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Trust DFM\"/>
    </mc:Choice>
  </mc:AlternateContent>
  <bookViews>
    <workbookView xWindow="-105" yWindow="-105" windowWidth="19425" windowHeight="11025" firstSheet="1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B3" i="1" l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E50" i="31" s="1"/>
  <c r="A49" i="31"/>
  <c r="E49" i="31" s="1"/>
  <c r="A48" i="31"/>
  <c r="E48" i="31" s="1"/>
  <c r="A47" i="31"/>
  <c r="E47" i="31" s="1"/>
  <c r="A46" i="31"/>
  <c r="E46" i="31" s="1"/>
  <c r="A45" i="31"/>
  <c r="E45" i="31" s="1"/>
  <c r="A44" i="31"/>
  <c r="E44" i="31" s="1"/>
  <c r="A43" i="31"/>
  <c r="E43" i="31" s="1"/>
  <c r="A42" i="31"/>
  <c r="E42" i="31" s="1"/>
  <c r="A41" i="31"/>
  <c r="E41" i="31" s="1"/>
  <c r="A40" i="31"/>
  <c r="E40" i="31" s="1"/>
  <c r="A39" i="31"/>
  <c r="E39" i="31" s="1"/>
  <c r="A38" i="31"/>
  <c r="E38" i="31" s="1"/>
  <c r="A37" i="31"/>
  <c r="E37" i="31" s="1"/>
  <c r="A36" i="31"/>
  <c r="E36" i="31" s="1"/>
  <c r="A35" i="31"/>
  <c r="E35" i="31" s="1"/>
  <c r="A34" i="31"/>
  <c r="E34" i="31" s="1"/>
  <c r="A33" i="31"/>
  <c r="E33" i="31" s="1"/>
  <c r="A32" i="31"/>
  <c r="E32" i="31" s="1"/>
  <c r="A31" i="31"/>
  <c r="E31" i="31" s="1"/>
  <c r="A30" i="31"/>
  <c r="E30" i="31" s="1"/>
  <c r="A29" i="31"/>
  <c r="E29" i="31" s="1"/>
  <c r="A28" i="31"/>
  <c r="E28" i="31" s="1"/>
  <c r="A27" i="31"/>
  <c r="E27" i="31" s="1"/>
  <c r="A26" i="31"/>
  <c r="E26" i="31" s="1"/>
  <c r="A25" i="31"/>
  <c r="E25" i="31" s="1"/>
  <c r="A24" i="31"/>
  <c r="E24" i="31" s="1"/>
  <c r="A23" i="31"/>
  <c r="E23" i="31" s="1"/>
  <c r="A22" i="31"/>
  <c r="E22" i="31" s="1"/>
  <c r="A21" i="31"/>
  <c r="E21" i="31" s="1"/>
  <c r="A20" i="31"/>
  <c r="E20" i="31" s="1"/>
  <c r="A19" i="31"/>
  <c r="E19" i="31" s="1"/>
  <c r="A18" i="31"/>
  <c r="E18" i="31" s="1"/>
  <c r="A17" i="31"/>
  <c r="E17" i="31" s="1"/>
  <c r="A16" i="31"/>
  <c r="E16" i="31" s="1"/>
  <c r="A15" i="31"/>
  <c r="E15" i="31" s="1"/>
  <c r="A14" i="31"/>
  <c r="E14" i="31" s="1"/>
  <c r="A13" i="31"/>
  <c r="E13" i="31" s="1"/>
  <c r="A12" i="31"/>
  <c r="E12" i="31" s="1"/>
  <c r="A11" i="31"/>
  <c r="E11" i="31" s="1"/>
  <c r="A10" i="31"/>
  <c r="E10" i="31" s="1"/>
  <c r="A9" i="31"/>
  <c r="E9" i="31" s="1"/>
  <c r="A8" i="31"/>
  <c r="E8" i="31" s="1"/>
  <c r="A7" i="31"/>
  <c r="E7" i="31" s="1"/>
  <c r="A6" i="31"/>
  <c r="E6" i="31" s="1"/>
  <c r="A5" i="31"/>
  <c r="E5" i="31" s="1"/>
  <c r="A4" i="31"/>
  <c r="E4" i="31" s="1"/>
  <c r="A3" i="31"/>
  <c r="E3" i="31" s="1"/>
  <c r="A2" i="31"/>
  <c r="E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E37" i="7"/>
  <c r="H37" i="7"/>
  <c r="F37" i="7"/>
  <c r="G37" i="7"/>
  <c r="B37" i="7"/>
  <c r="C37" i="7"/>
  <c r="D37" i="7"/>
  <c r="E45" i="7"/>
  <c r="H45" i="7"/>
  <c r="F45" i="7"/>
  <c r="G45" i="7"/>
  <c r="B45" i="7"/>
  <c r="C45" i="7"/>
  <c r="D45" i="7"/>
  <c r="F38" i="7"/>
  <c r="C38" i="7"/>
  <c r="G38" i="7"/>
  <c r="H38" i="7"/>
  <c r="B38" i="7"/>
  <c r="D38" i="7"/>
  <c r="E38" i="7"/>
  <c r="F46" i="7"/>
  <c r="G46" i="7"/>
  <c r="H46" i="7"/>
  <c r="B46" i="7"/>
  <c r="D46" i="7"/>
  <c r="E46" i="7"/>
  <c r="C46" i="7"/>
  <c r="G39" i="7"/>
  <c r="H39" i="7"/>
  <c r="B39" i="7"/>
  <c r="D39" i="7"/>
  <c r="C39" i="7"/>
  <c r="E39" i="7"/>
  <c r="F39" i="7"/>
  <c r="G47" i="7"/>
  <c r="D47" i="7"/>
  <c r="H47" i="7"/>
  <c r="B47" i="7"/>
  <c r="C47" i="7"/>
  <c r="E47" i="7"/>
  <c r="F47" i="7"/>
  <c r="H40" i="7"/>
  <c r="B40" i="7"/>
  <c r="C40" i="7"/>
  <c r="E40" i="7"/>
  <c r="D40" i="7"/>
  <c r="F40" i="7"/>
  <c r="G40" i="7"/>
  <c r="H48" i="7"/>
  <c r="B48" i="7"/>
  <c r="C48" i="7"/>
  <c r="D48" i="7"/>
  <c r="E48" i="7"/>
  <c r="F48" i="7"/>
  <c r="G48" i="7"/>
  <c r="C41" i="7"/>
  <c r="D41" i="7"/>
  <c r="B41" i="7"/>
  <c r="E41" i="7"/>
  <c r="F41" i="7"/>
  <c r="G41" i="7"/>
  <c r="H41" i="7"/>
  <c r="B49" i="7"/>
  <c r="D49" i="7"/>
  <c r="C49" i="7"/>
  <c r="E49" i="7"/>
  <c r="G49" i="7"/>
  <c r="H49" i="7"/>
  <c r="F49" i="7"/>
  <c r="B34" i="7"/>
  <c r="E34" i="7"/>
  <c r="C34" i="7"/>
  <c r="G34" i="7"/>
  <c r="D34" i="7"/>
  <c r="F34" i="7"/>
  <c r="H34" i="7"/>
  <c r="B42" i="7"/>
  <c r="E42" i="7"/>
  <c r="G42" i="7"/>
  <c r="C42" i="7"/>
  <c r="D42" i="7"/>
  <c r="F42" i="7"/>
  <c r="H42" i="7"/>
  <c r="B50" i="7"/>
  <c r="F50" i="7"/>
  <c r="C50" i="7"/>
  <c r="D50" i="7"/>
  <c r="G50" i="7"/>
  <c r="E50" i="7"/>
  <c r="H50" i="7"/>
  <c r="C35" i="7"/>
  <c r="D35" i="7"/>
  <c r="F35" i="7"/>
  <c r="E35" i="7"/>
  <c r="H35" i="7"/>
  <c r="G35" i="7"/>
  <c r="B35" i="7"/>
  <c r="C43" i="7"/>
  <c r="D43" i="7"/>
  <c r="E43" i="7"/>
  <c r="F43" i="7"/>
  <c r="H43" i="7"/>
  <c r="G43" i="7"/>
  <c r="B43" i="7"/>
  <c r="D36" i="7"/>
  <c r="F36" i="7"/>
  <c r="E36" i="7"/>
  <c r="G36" i="7"/>
  <c r="H36" i="7"/>
  <c r="B36" i="7"/>
  <c r="C36" i="7"/>
  <c r="D44" i="7"/>
  <c r="E44" i="7"/>
  <c r="F44" i="7"/>
  <c r="H44" i="7"/>
  <c r="G44" i="7"/>
  <c r="B44" i="7"/>
  <c r="C44" i="7"/>
  <c r="C17" i="4"/>
  <c r="H17" i="8" s="1"/>
  <c r="B17" i="4"/>
  <c r="G17" i="4"/>
  <c r="F17" i="4"/>
  <c r="F25" i="4"/>
  <c r="B25" i="4"/>
  <c r="E25" i="7" s="1"/>
  <c r="C25" i="4"/>
  <c r="H25" i="8" s="1"/>
  <c r="G25" i="4"/>
  <c r="C49" i="4"/>
  <c r="B49" i="4"/>
  <c r="G49" i="4"/>
  <c r="F49" i="4"/>
  <c r="B26" i="4"/>
  <c r="B26" i="7" s="1"/>
  <c r="F26" i="4"/>
  <c r="C26" i="4"/>
  <c r="H26" i="8" s="1"/>
  <c r="G26" i="4"/>
  <c r="B50" i="4"/>
  <c r="F50" i="4"/>
  <c r="C50" i="4"/>
  <c r="G50" i="4"/>
  <c r="C19" i="4"/>
  <c r="H19" i="8" s="1"/>
  <c r="G19" i="4"/>
  <c r="F19" i="4"/>
  <c r="B19" i="4"/>
  <c r="C43" i="4"/>
  <c r="G43" i="4"/>
  <c r="F43" i="4"/>
  <c r="B43" i="4"/>
  <c r="C4" i="4"/>
  <c r="H4" i="8" s="1"/>
  <c r="G4" i="4"/>
  <c r="B4" i="4"/>
  <c r="F4" i="4"/>
  <c r="F5" i="4"/>
  <c r="B5" i="4"/>
  <c r="C5" i="4"/>
  <c r="H5" i="8" s="1"/>
  <c r="G5" i="4"/>
  <c r="F21" i="4"/>
  <c r="B21" i="4"/>
  <c r="C21" i="4"/>
  <c r="H21" i="8" s="1"/>
  <c r="G21" i="4"/>
  <c r="F45" i="4"/>
  <c r="B45" i="4"/>
  <c r="C45" i="4"/>
  <c r="G45" i="4"/>
  <c r="B6" i="4"/>
  <c r="G6" i="4"/>
  <c r="F6" i="4"/>
  <c r="C6" i="4"/>
  <c r="H6" i="8" s="1"/>
  <c r="B14" i="4"/>
  <c r="F14" i="4"/>
  <c r="C14" i="4"/>
  <c r="H14" i="8" s="1"/>
  <c r="G14" i="4"/>
  <c r="B22" i="4"/>
  <c r="G22" i="4"/>
  <c r="F22" i="4"/>
  <c r="C22" i="4"/>
  <c r="H22" i="8" s="1"/>
  <c r="B30" i="4"/>
  <c r="G30" i="7" s="1"/>
  <c r="F30" i="4"/>
  <c r="C30" i="4"/>
  <c r="H30" i="8" s="1"/>
  <c r="G30" i="4"/>
  <c r="B38" i="4"/>
  <c r="G38" i="4"/>
  <c r="F38" i="4"/>
  <c r="C38" i="4"/>
  <c r="B46" i="4"/>
  <c r="F46" i="4"/>
  <c r="C46" i="4"/>
  <c r="G46" i="4"/>
  <c r="G41" i="4"/>
  <c r="B41" i="4"/>
  <c r="C41" i="4"/>
  <c r="F41" i="4"/>
  <c r="B18" i="4"/>
  <c r="F18" i="4"/>
  <c r="C18" i="4"/>
  <c r="H18" i="8" s="1"/>
  <c r="G18" i="4"/>
  <c r="B42" i="4"/>
  <c r="F42" i="4"/>
  <c r="C42" i="4"/>
  <c r="G42" i="4"/>
  <c r="C3" i="4"/>
  <c r="H3" i="8" s="1"/>
  <c r="G3" i="4"/>
  <c r="F3" i="4"/>
  <c r="B3" i="4"/>
  <c r="C35" i="4"/>
  <c r="G35" i="4"/>
  <c r="F35" i="4"/>
  <c r="B35" i="4"/>
  <c r="B12" i="4"/>
  <c r="C12" i="4"/>
  <c r="H12" i="8" s="1"/>
  <c r="G12" i="4"/>
  <c r="F12" i="4"/>
  <c r="F13" i="4"/>
  <c r="B13" i="4"/>
  <c r="C13" i="4"/>
  <c r="H13" i="8" s="1"/>
  <c r="G13" i="4"/>
  <c r="F29" i="4"/>
  <c r="B29" i="4"/>
  <c r="D29" i="7" s="1"/>
  <c r="C29" i="4"/>
  <c r="H29" i="8" s="1"/>
  <c r="G29" i="4"/>
  <c r="F37" i="4"/>
  <c r="B37" i="4"/>
  <c r="C37" i="4"/>
  <c r="G37" i="4"/>
  <c r="F7" i="4"/>
  <c r="B7" i="4"/>
  <c r="C7" i="4"/>
  <c r="H7" i="8" s="1"/>
  <c r="G7" i="4"/>
  <c r="B15" i="4"/>
  <c r="C15" i="4"/>
  <c r="H15" i="8" s="1"/>
  <c r="F15" i="4"/>
  <c r="G15" i="4"/>
  <c r="F23" i="4"/>
  <c r="B23" i="4"/>
  <c r="C23" i="7" s="1"/>
  <c r="C23" i="4"/>
  <c r="H23" i="8" s="1"/>
  <c r="G23" i="4"/>
  <c r="F31" i="4"/>
  <c r="B31" i="4"/>
  <c r="E31" i="7" s="1"/>
  <c r="C31" i="4"/>
  <c r="H31" i="8" s="1"/>
  <c r="G31" i="4"/>
  <c r="F39" i="4"/>
  <c r="B39" i="4"/>
  <c r="C39" i="4"/>
  <c r="G39" i="4"/>
  <c r="F47" i="4"/>
  <c r="B47" i="4"/>
  <c r="C47" i="4"/>
  <c r="G47" i="4"/>
  <c r="B9" i="4"/>
  <c r="C9" i="4"/>
  <c r="H9" i="8" s="1"/>
  <c r="G9" i="4"/>
  <c r="F9" i="4"/>
  <c r="C33" i="4"/>
  <c r="H33" i="8" s="1"/>
  <c r="B33" i="4"/>
  <c r="F33" i="7" s="1"/>
  <c r="G33" i="4"/>
  <c r="F33" i="4"/>
  <c r="C2" i="4"/>
  <c r="H2" i="8" s="1"/>
  <c r="B2" i="4"/>
  <c r="G2" i="4"/>
  <c r="F2" i="4"/>
  <c r="B34" i="4"/>
  <c r="F34" i="4"/>
  <c r="C34" i="4"/>
  <c r="G34" i="4"/>
  <c r="C27" i="4"/>
  <c r="H27" i="8" s="1"/>
  <c r="G27" i="4"/>
  <c r="F27" i="4"/>
  <c r="B27" i="4"/>
  <c r="E27" i="7" s="1"/>
  <c r="G8" i="4"/>
  <c r="F8" i="4"/>
  <c r="B8" i="4"/>
  <c r="C8" i="4"/>
  <c r="H8" i="8" s="1"/>
  <c r="G16" i="4"/>
  <c r="F16" i="4"/>
  <c r="B16" i="4"/>
  <c r="C16" i="4"/>
  <c r="H16" i="8" s="1"/>
  <c r="G24" i="4"/>
  <c r="F24" i="4"/>
  <c r="B24" i="4"/>
  <c r="H24" i="7" s="1"/>
  <c r="C24" i="4"/>
  <c r="H24" i="8" s="1"/>
  <c r="G32" i="4"/>
  <c r="F32" i="4"/>
  <c r="B32" i="4"/>
  <c r="B32" i="7" s="1"/>
  <c r="C32" i="4"/>
  <c r="H32" i="8" s="1"/>
  <c r="G40" i="4"/>
  <c r="F40" i="4"/>
  <c r="B40" i="4"/>
  <c r="C40" i="4"/>
  <c r="G48" i="4"/>
  <c r="F48" i="4"/>
  <c r="B48" i="4"/>
  <c r="C48" i="4"/>
  <c r="B10" i="4"/>
  <c r="F10" i="4"/>
  <c r="C10" i="4"/>
  <c r="H10" i="8" s="1"/>
  <c r="G10" i="4"/>
  <c r="C11" i="4"/>
  <c r="H11" i="8" s="1"/>
  <c r="G11" i="4"/>
  <c r="F11" i="4"/>
  <c r="B11" i="4"/>
  <c r="C20" i="4"/>
  <c r="H20" i="8" s="1"/>
  <c r="B20" i="4"/>
  <c r="G20" i="4"/>
  <c r="F20" i="4"/>
  <c r="B28" i="4"/>
  <c r="G28" i="7" s="1"/>
  <c r="C28" i="4"/>
  <c r="H28" i="8" s="1"/>
  <c r="G28" i="4"/>
  <c r="F28" i="4"/>
  <c r="C36" i="4"/>
  <c r="G36" i="4"/>
  <c r="B36" i="4"/>
  <c r="F36" i="4"/>
  <c r="B44" i="4"/>
  <c r="G44" i="4"/>
  <c r="C44" i="4"/>
  <c r="F44" i="4"/>
  <c r="C23" i="31"/>
  <c r="D23" i="31"/>
  <c r="C8" i="31"/>
  <c r="D8" i="31"/>
  <c r="C16" i="31"/>
  <c r="D16" i="31"/>
  <c r="C24" i="31"/>
  <c r="D24" i="31"/>
  <c r="D32" i="31"/>
  <c r="C32" i="31"/>
  <c r="D40" i="31"/>
  <c r="C40" i="31"/>
  <c r="C48" i="31"/>
  <c r="D48" i="31"/>
  <c r="C15" i="31"/>
  <c r="D15" i="31"/>
  <c r="C47" i="31"/>
  <c r="D47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C7" i="31"/>
  <c r="D7" i="31"/>
  <c r="C31" i="31"/>
  <c r="D31" i="31"/>
  <c r="D2" i="31"/>
  <c r="C2" i="31"/>
  <c r="C10" i="31"/>
  <c r="D10" i="31"/>
  <c r="D18" i="31"/>
  <c r="C18" i="31"/>
  <c r="D26" i="31"/>
  <c r="C26" i="31"/>
  <c r="C34" i="31"/>
  <c r="D34" i="31"/>
  <c r="C42" i="31"/>
  <c r="D42" i="31"/>
  <c r="D50" i="31"/>
  <c r="C50" i="31"/>
  <c r="C39" i="31"/>
  <c r="D39" i="31"/>
  <c r="C3" i="31"/>
  <c r="D3" i="31"/>
  <c r="C11" i="31"/>
  <c r="D11" i="31"/>
  <c r="C19" i="31"/>
  <c r="D19" i="31"/>
  <c r="C27" i="31"/>
  <c r="D27" i="31"/>
  <c r="C35" i="31"/>
  <c r="D35" i="31"/>
  <c r="C43" i="31"/>
  <c r="D43" i="31"/>
  <c r="C12" i="31"/>
  <c r="D12" i="31"/>
  <c r="C20" i="31"/>
  <c r="D20" i="31"/>
  <c r="C28" i="31"/>
  <c r="D28" i="31"/>
  <c r="D36" i="31"/>
  <c r="C36" i="31"/>
  <c r="D44" i="31"/>
  <c r="C44" i="31"/>
  <c r="C4" i="31"/>
  <c r="D4" i="31"/>
  <c r="C13" i="31"/>
  <c r="D13" i="31"/>
  <c r="C29" i="31"/>
  <c r="D29" i="31"/>
  <c r="C37" i="31"/>
  <c r="D37" i="31"/>
  <c r="C45" i="31"/>
  <c r="D45" i="31"/>
  <c r="C5" i="31"/>
  <c r="D5" i="31"/>
  <c r="C21" i="31"/>
  <c r="D21" i="31"/>
  <c r="C6" i="31"/>
  <c r="D6" i="31"/>
  <c r="D14" i="31"/>
  <c r="C14" i="31"/>
  <c r="C22" i="31"/>
  <c r="D22" i="31"/>
  <c r="D30" i="31"/>
  <c r="C30" i="31"/>
  <c r="C38" i="31"/>
  <c r="D38" i="31"/>
  <c r="D46" i="31"/>
  <c r="C46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E33" i="7" l="1"/>
  <c r="C25" i="7"/>
  <c r="F27" i="7"/>
  <c r="D25" i="7"/>
  <c r="C28" i="7"/>
  <c r="D27" i="7"/>
  <c r="H26" i="7"/>
  <c r="H25" i="7"/>
  <c r="H27" i="7"/>
  <c r="F26" i="7"/>
  <c r="H33" i="7"/>
  <c r="D31" i="7"/>
  <c r="G25" i="7"/>
  <c r="B31" i="7"/>
  <c r="H33" i="4"/>
  <c r="C27" i="7"/>
  <c r="D26" i="7"/>
  <c r="G33" i="7"/>
  <c r="D33" i="7"/>
  <c r="C33" i="7"/>
  <c r="B33" i="7"/>
  <c r="H32" i="7"/>
  <c r="F32" i="7"/>
  <c r="E32" i="7"/>
  <c r="C32" i="7"/>
  <c r="D32" i="7"/>
  <c r="G32" i="7"/>
  <c r="F25" i="7"/>
  <c r="G24" i="7"/>
  <c r="F31" i="7"/>
  <c r="B25" i="7"/>
  <c r="F24" i="7"/>
  <c r="C31" i="7"/>
  <c r="B27" i="7"/>
  <c r="H31" i="7"/>
  <c r="F30" i="7"/>
  <c r="D23" i="7"/>
  <c r="C29" i="7"/>
  <c r="B23" i="7"/>
  <c r="H29" i="7"/>
  <c r="F28" i="7"/>
  <c r="D24" i="7"/>
  <c r="G23" i="7"/>
  <c r="D30" i="7"/>
  <c r="G29" i="7"/>
  <c r="E28" i="7"/>
  <c r="G26" i="7"/>
  <c r="B24" i="7"/>
  <c r="G31" i="7"/>
  <c r="B30" i="7"/>
  <c r="F29" i="7"/>
  <c r="B29" i="7"/>
  <c r="D28" i="7"/>
  <c r="G27" i="7"/>
  <c r="E26" i="7"/>
  <c r="C24" i="7"/>
  <c r="E23" i="7"/>
  <c r="C30" i="7"/>
  <c r="B28" i="7"/>
  <c r="H23" i="7"/>
  <c r="H28" i="7"/>
  <c r="E30" i="7"/>
  <c r="C26" i="7"/>
  <c r="E24" i="7"/>
  <c r="F23" i="7"/>
  <c r="H30" i="7"/>
  <c r="E29" i="7"/>
  <c r="B11" i="7"/>
  <c r="E11" i="7"/>
  <c r="C11" i="7"/>
  <c r="H11" i="7"/>
  <c r="G11" i="7"/>
  <c r="D11" i="7"/>
  <c r="F11" i="7"/>
  <c r="H2" i="7"/>
  <c r="D2" i="7"/>
  <c r="C2" i="7"/>
  <c r="G2" i="7"/>
  <c r="B2" i="7"/>
  <c r="F2" i="7"/>
  <c r="E2" i="7"/>
  <c r="E7" i="7"/>
  <c r="H7" i="7"/>
  <c r="B7" i="7"/>
  <c r="D7" i="7"/>
  <c r="G7" i="7"/>
  <c r="F7" i="7"/>
  <c r="C7" i="7"/>
  <c r="C5" i="7"/>
  <c r="E5" i="7"/>
  <c r="H5" i="7"/>
  <c r="F5" i="7"/>
  <c r="G5" i="7"/>
  <c r="D5" i="7"/>
  <c r="B5" i="7"/>
  <c r="B19" i="7"/>
  <c r="H19" i="7"/>
  <c r="F19" i="7"/>
  <c r="E19" i="7"/>
  <c r="C19" i="7"/>
  <c r="G19" i="7"/>
  <c r="D19" i="7"/>
  <c r="F16" i="7"/>
  <c r="H16" i="7"/>
  <c r="D16" i="7"/>
  <c r="E16" i="7"/>
  <c r="C16" i="7"/>
  <c r="B16" i="7"/>
  <c r="G16" i="7"/>
  <c r="G17" i="7"/>
  <c r="B17" i="7"/>
  <c r="C17" i="7"/>
  <c r="H17" i="7"/>
  <c r="F17" i="7"/>
  <c r="E17" i="7"/>
  <c r="D17" i="7"/>
  <c r="G9" i="7"/>
  <c r="F9" i="7"/>
  <c r="C9" i="7"/>
  <c r="H9" i="7"/>
  <c r="D9" i="7"/>
  <c r="E9" i="7"/>
  <c r="B9" i="7"/>
  <c r="F8" i="7"/>
  <c r="E8" i="7"/>
  <c r="H8" i="7"/>
  <c r="D8" i="7"/>
  <c r="C8" i="7"/>
  <c r="B8" i="7"/>
  <c r="G8" i="7"/>
  <c r="B4" i="7"/>
  <c r="H4" i="7"/>
  <c r="G4" i="7"/>
  <c r="F4" i="7"/>
  <c r="E4" i="7"/>
  <c r="D4" i="7"/>
  <c r="C4" i="7"/>
  <c r="C13" i="7"/>
  <c r="D13" i="7"/>
  <c r="E13" i="7"/>
  <c r="H13" i="7"/>
  <c r="F13" i="7"/>
  <c r="B13" i="7"/>
  <c r="G13" i="7"/>
  <c r="B20" i="7"/>
  <c r="F20" i="7"/>
  <c r="D20" i="7"/>
  <c r="H20" i="7"/>
  <c r="C20" i="7"/>
  <c r="E20" i="7"/>
  <c r="G20" i="7"/>
  <c r="C21" i="7"/>
  <c r="B21" i="7"/>
  <c r="H21" i="7"/>
  <c r="G21" i="7"/>
  <c r="E21" i="7"/>
  <c r="D21" i="7"/>
  <c r="F21" i="7"/>
  <c r="H10" i="7"/>
  <c r="F10" i="7"/>
  <c r="G10" i="7"/>
  <c r="E10" i="7"/>
  <c r="C10" i="7"/>
  <c r="D10" i="7"/>
  <c r="B10" i="7"/>
  <c r="E15" i="7"/>
  <c r="B15" i="7"/>
  <c r="G15" i="7"/>
  <c r="D15" i="7"/>
  <c r="F15" i="7"/>
  <c r="C15" i="7"/>
  <c r="H15" i="7"/>
  <c r="D22" i="7"/>
  <c r="G22" i="7"/>
  <c r="H22" i="7"/>
  <c r="B22" i="7"/>
  <c r="E22" i="7"/>
  <c r="C22" i="7"/>
  <c r="F22" i="7"/>
  <c r="D6" i="7"/>
  <c r="H6" i="7"/>
  <c r="E6" i="7"/>
  <c r="G6" i="7"/>
  <c r="C6" i="7"/>
  <c r="F6" i="7"/>
  <c r="B6" i="7"/>
  <c r="B3" i="7"/>
  <c r="H3" i="7"/>
  <c r="G3" i="7"/>
  <c r="F3" i="7"/>
  <c r="D3" i="7"/>
  <c r="E3" i="7"/>
  <c r="C3" i="7"/>
  <c r="B12" i="7"/>
  <c r="E12" i="7"/>
  <c r="D12" i="7"/>
  <c r="H12" i="7"/>
  <c r="C12" i="7"/>
  <c r="G12" i="7"/>
  <c r="F12" i="7"/>
  <c r="H18" i="7"/>
  <c r="E18" i="7"/>
  <c r="F18" i="7"/>
  <c r="C18" i="7"/>
  <c r="G18" i="7"/>
  <c r="D18" i="7"/>
  <c r="B18" i="7"/>
  <c r="D14" i="7"/>
  <c r="B14" i="7"/>
  <c r="G14" i="7"/>
  <c r="C14" i="7"/>
  <c r="H14" i="7"/>
  <c r="E14" i="7"/>
  <c r="F1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<sst xmlns="http://schemas.openxmlformats.org/spreadsheetml/2006/main" count="215" uniqueCount="96">
  <si>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</si>
  <si>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</si>
  <si>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</si>
  <si>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</si>
  <si>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</si>
  <si>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</si>
  <si>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</si>
  <si>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</si>
  <si>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</si>
  <si>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</si>
  <si>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</si>
  <si>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</si>
  <si>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</si>
  <si>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</si>
  <si>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</si>
  <si>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</si>
  <si>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</si>
  <si>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</si>
  <si>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</si>
  <si>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</si>
  <si>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</si>
  <si>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</si>
  <si>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</si>
  <si>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</si>
  <si>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</si>
  <si>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</si>
  <si>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</si>
  <si>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</si>
  <si>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</si>
  <si>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</si>
  <si>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European Equities</t>
  </si>
  <si>
    <t>UK Equities</t>
  </si>
  <si>
    <t>Annual Management Charge</t>
  </si>
  <si>
    <t>Emerging Market Debt</t>
  </si>
  <si>
    <t>Unclassified</t>
  </si>
  <si>
    <t>Core Range</t>
  </si>
  <si>
    <t>Cultivate</t>
  </si>
  <si>
    <t>Endure</t>
  </si>
  <si>
    <t>Flourish</t>
  </si>
  <si>
    <t>Magnify</t>
  </si>
  <si>
    <t>Mature</t>
  </si>
  <si>
    <t>Preserve</t>
  </si>
  <si>
    <t>Trust DFM Protect</t>
  </si>
  <si>
    <t>Trust DFM Enjoy</t>
  </si>
  <si>
    <t>Trust DFM Grow</t>
  </si>
  <si>
    <t>https://trustdfm.com/ifa/our-models-financial-advisor-page/#</t>
  </si>
  <si>
    <t>Balanced Passive</t>
  </si>
  <si>
    <t>Cultivate Passive</t>
  </si>
  <si>
    <t>Balanced</t>
  </si>
  <si>
    <t>Endure Passive</t>
  </si>
  <si>
    <t>Flourish Passive</t>
  </si>
  <si>
    <t>Magnify Passive</t>
  </si>
  <si>
    <t>Mature Passsive</t>
  </si>
  <si>
    <t>Preserve Passive</t>
  </si>
  <si>
    <t>Protect Passive</t>
  </si>
  <si>
    <t>Enjoy Passive</t>
  </si>
  <si>
    <t>Grow Passive</t>
  </si>
  <si>
    <t>Passive Range</t>
  </si>
  <si>
    <t>Balanced Attenborough</t>
  </si>
  <si>
    <t>Cultivate Attenborough</t>
  </si>
  <si>
    <t>Endure Attenborough</t>
  </si>
  <si>
    <t>Flourish Attenborough</t>
  </si>
  <si>
    <t>Magnify Attenborough</t>
  </si>
  <si>
    <t>Preserve Attenborough</t>
  </si>
  <si>
    <t>Protect Attenborough</t>
  </si>
  <si>
    <t>Enjoy Attenborough</t>
  </si>
  <si>
    <t>Grow Attenborough</t>
  </si>
  <si>
    <t>Attenborough Range</t>
  </si>
  <si>
    <t>Natural Income Portfolios</t>
  </si>
  <si>
    <t>Passive Income</t>
  </si>
  <si>
    <t>Natural Income</t>
  </si>
  <si>
    <t>Ongoing Costs*</t>
  </si>
  <si>
    <t>1yr</t>
  </si>
  <si>
    <t>1m</t>
  </si>
  <si>
    <t>Global Equities</t>
  </si>
  <si>
    <t>Corporate Bonds</t>
  </si>
  <si>
    <t>Global Multi Asset</t>
  </si>
  <si>
    <t>Alternatives</t>
  </si>
  <si>
    <t>Asia Pacific Ex Japan Equities</t>
  </si>
  <si>
    <t>Fixed Income Multi Asset</t>
  </si>
  <si>
    <t>Core</t>
  </si>
  <si>
    <t>Passive</t>
  </si>
  <si>
    <t>Attenborough</t>
  </si>
  <si>
    <t>Income</t>
  </si>
  <si>
    <t>https://trustdfm.com/wp-content/uploads/2023/08/Trust-DFM-Core.pdf</t>
  </si>
  <si>
    <t>https://trustdfm.com/wp-content/uploads/2023/08/Trust-DFM-Passive.pdf</t>
  </si>
  <si>
    <t>https://trustdfm.com/wp-content/uploads/2023/08/Trust-DFM-Attenborough.pdf</t>
  </si>
  <si>
    <t>https://trustdfm.com/wp-content/uploads/2023/08/Trust-DFM-Income.pdf</t>
  </si>
  <si>
    <t>Fixed Income Multi Asset Credit</t>
  </si>
  <si>
    <t>Japanese Equities</t>
  </si>
  <si>
    <t>Emerging Market Equities</t>
  </si>
  <si>
    <t>Global Government Bonds</t>
  </si>
  <si>
    <t>US Equities</t>
  </si>
  <si>
    <t>Fixed Income</t>
  </si>
  <si>
    <t xml:space="preserve">Multi Asset </t>
  </si>
  <si>
    <t>Mature Attenborough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</si>
</sst>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3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57150</xdr:rowOff>
    </xdr:from>
    <xdr:to>
      <xdr:col>6</xdr:col>
      <xdr:colOff>569843</xdr:colOff>
      <xdr:row>10</xdr:row>
      <xdr:rowOff>152548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929DA6-78FA-3B3B-76BD-07923A9A2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41300"/>
          <a:ext cx="4227443" cy="17527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146050</xdr:rowOff>
    </xdr:from>
    <xdr:to>
      <xdr:col>7</xdr:col>
      <xdr:colOff>409534</xdr:colOff>
      <xdr:row>18</xdr:row>
      <xdr:rowOff>139788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BDF108E-58E5-4B23-165E-8D1B88F8B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171700"/>
          <a:ext cx="4676734" cy="1282788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17</xdr:col>
      <xdr:colOff>95537</xdr:colOff>
      <xdr:row>22</xdr:row>
      <xdr:rowOff>133556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776F447-E91B-F048-8542-3B1CD72CA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6800" y="184150"/>
          <a:ext cx="5581937" cy="40007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4"/>
  <sheetViews>
    <sheetView workbookViewId="0">
      <selection activeCell="A29" sqref="A29"/>
    </sheetView>
  </sheetViews>
  <sheetFormatPr defaultRowHeight="15" x14ac:dyDescent="0.25"/>
  <cols>
    <col min="1" max="1" width="37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48</v>
      </c>
      <c r="B3" t="str">
        <f>'PDF Scraping'!D2</f>
        <v>https://trustdfm.com/wp-content/uploads/2023/08/Trust-DFM-Core.pdf</v>
      </c>
      <c r="J3" s="4"/>
    </row>
    <row r="4" spans="1:10" x14ac:dyDescent="0.25">
      <c r="A4" t="s">
        <v>36</v>
      </c>
      <c r="B4" t="str">
        <f>'PDF Scraping'!D3</f>
        <v>https://trustdfm.com/wp-content/uploads/2023/08/Trust-DFM-Core.pdf</v>
      </c>
      <c r="J4" s="4"/>
    </row>
    <row r="5" spans="1:10" x14ac:dyDescent="0.25">
      <c r="A5" t="s">
        <v>37</v>
      </c>
      <c r="B5" t="str">
        <f>'PDF Scraping'!D4</f>
        <v>https://trustdfm.com/wp-content/uploads/2023/08/Trust-DFM-Core.pdf</v>
      </c>
    </row>
    <row r="6" spans="1:10" x14ac:dyDescent="0.25">
      <c r="A6" t="s">
        <v>38</v>
      </c>
      <c r="B6" t="str">
        <f>'PDF Scraping'!D5</f>
        <v>https://trustdfm.com/wp-content/uploads/2023/08/Trust-DFM-Core.pdf</v>
      </c>
    </row>
    <row r="7" spans="1:10" x14ac:dyDescent="0.25">
      <c r="A7" t="s">
        <v>39</v>
      </c>
      <c r="B7" t="str">
        <f>'PDF Scraping'!D6</f>
        <v>https://trustdfm.com/wp-content/uploads/2023/08/Trust-DFM-Core.pdf</v>
      </c>
    </row>
    <row r="8" spans="1:10" x14ac:dyDescent="0.25">
      <c r="A8" t="s">
        <v>40</v>
      </c>
      <c r="B8" t="str">
        <f>'PDF Scraping'!D7</f>
        <v>https://trustdfm.com/wp-content/uploads/2023/08/Trust-DFM-Core.pdf</v>
      </c>
    </row>
    <row r="9" spans="1:10" x14ac:dyDescent="0.25">
      <c r="A9" t="s">
        <v>41</v>
      </c>
      <c r="B9" t="str">
        <f>'PDF Scraping'!D8</f>
        <v>https://trustdfm.com/wp-content/uploads/2023/08/Trust-DFM-Core.pdf</v>
      </c>
    </row>
    <row r="10" spans="1:10" x14ac:dyDescent="0.25">
      <c r="A10" t="s">
        <v>42</v>
      </c>
      <c r="B10" t="str">
        <f>'PDF Scraping'!D9</f>
        <v>https://trustdfm.com/wp-content/uploads/2023/08/Trust-DFM-Core.pdf</v>
      </c>
    </row>
    <row r="11" spans="1:10" x14ac:dyDescent="0.25">
      <c r="A11" t="s">
        <v>43</v>
      </c>
      <c r="B11" t="str">
        <f>'PDF Scraping'!D10</f>
        <v>https://trustdfm.com/wp-content/uploads/2023/08/Trust-DFM-Core.pdf</v>
      </c>
    </row>
    <row r="12" spans="1:10" x14ac:dyDescent="0.25">
      <c r="A12" t="s">
        <v>44</v>
      </c>
      <c r="B12" t="str">
        <f>'PDF Scraping'!D11</f>
        <v>https://trustdfm.com/wp-content/uploads/2023/08/Trust-DFM-Core.pdf</v>
      </c>
    </row>
    <row r="13" spans="1:10" x14ac:dyDescent="0.25">
      <c r="A13" t="s">
        <v>46</v>
      </c>
      <c r="B13" t="str">
        <f>'PDF Scraping'!D12</f>
        <v>https://trustdfm.com/wp-content/uploads/2023/08/Trust-DFM-Passive.pdf</v>
      </c>
    </row>
    <row r="14" spans="1:10" x14ac:dyDescent="0.25">
      <c r="A14" t="s">
        <v>47</v>
      </c>
      <c r="B14" t="str">
        <f>'PDF Scraping'!D13</f>
        <v>https://trustdfm.com/wp-content/uploads/2023/08/Trust-DFM-Passive.pdf</v>
      </c>
    </row>
    <row r="15" spans="1:10" x14ac:dyDescent="0.25">
      <c r="A15" t="s">
        <v>49</v>
      </c>
      <c r="B15" t="str">
        <f>'PDF Scraping'!D14</f>
        <v>https://trustdfm.com/wp-content/uploads/2023/08/Trust-DFM-Passive.pdf</v>
      </c>
    </row>
    <row r="16" spans="1:10" x14ac:dyDescent="0.25">
      <c r="A16" t="s">
        <v>50</v>
      </c>
      <c r="B16" t="str">
        <f>'PDF Scraping'!D15</f>
        <v>https://trustdfm.com/wp-content/uploads/2023/08/Trust-DFM-Passive.pdf</v>
      </c>
    </row>
    <row r="17" spans="1:2" x14ac:dyDescent="0.25">
      <c r="A17" t="s">
        <v>51</v>
      </c>
      <c r="B17" t="str">
        <f>'PDF Scraping'!D16</f>
        <v>https://trustdfm.com/wp-content/uploads/2023/08/Trust-DFM-Passive.pdf</v>
      </c>
    </row>
    <row r="18" spans="1:2" x14ac:dyDescent="0.25">
      <c r="A18" t="s">
        <v>52</v>
      </c>
      <c r="B18" t="str">
        <f>'PDF Scraping'!D17</f>
        <v>https://trustdfm.com/wp-content/uploads/2023/08/Trust-DFM-Passive.pdf</v>
      </c>
    </row>
    <row r="19" spans="1:2" x14ac:dyDescent="0.25">
      <c r="A19" t="s">
        <v>53</v>
      </c>
      <c r="B19" t="str">
        <f>'PDF Scraping'!D18</f>
        <v>https://trustdfm.com/wp-content/uploads/2023/08/Trust-DFM-Passive.pdf</v>
      </c>
    </row>
    <row r="20" spans="1:2" x14ac:dyDescent="0.25">
      <c r="A20" t="s">
        <v>54</v>
      </c>
      <c r="B20" t="str">
        <f>'PDF Scraping'!D19</f>
        <v>https://trustdfm.com/wp-content/uploads/2023/08/Trust-DFM-Passive.pdf</v>
      </c>
    </row>
    <row r="21" spans="1:2" x14ac:dyDescent="0.25">
      <c r="A21" t="s">
        <v>55</v>
      </c>
      <c r="B21" t="str">
        <f>'PDF Scraping'!D20</f>
        <v>https://trustdfm.com/wp-content/uploads/2023/08/Trust-DFM-Passive.pdf</v>
      </c>
    </row>
    <row r="22" spans="1:2" x14ac:dyDescent="0.25">
      <c r="A22" t="s">
        <v>56</v>
      </c>
      <c r="B22" t="str">
        <f>'PDF Scraping'!D21</f>
        <v>https://trustdfm.com/wp-content/uploads/2023/08/Trust-DFM-Passive.pdf</v>
      </c>
    </row>
    <row r="23" spans="1:2" x14ac:dyDescent="0.25">
      <c r="A23" t="s">
        <v>58</v>
      </c>
      <c r="B23" t="str">
        <f>'PDF Scraping'!D22</f>
        <v>https://trustdfm.com/wp-content/uploads/2023/08/Trust-DFM-Attenborough.pdf</v>
      </c>
    </row>
    <row r="24" spans="1:2" x14ac:dyDescent="0.25">
      <c r="A24" t="s">
        <v>59</v>
      </c>
      <c r="B24" t="str">
        <f>'PDF Scraping'!D23</f>
        <v>https://trustdfm.com/wp-content/uploads/2023/08/Trust-DFM-Attenborough.pdf</v>
      </c>
    </row>
    <row r="25" spans="1:2" x14ac:dyDescent="0.25">
      <c r="A25" t="s">
        <v>60</v>
      </c>
      <c r="B25" t="str">
        <f>'PDF Scraping'!D24</f>
        <v>https://trustdfm.com/wp-content/uploads/2023/08/Trust-DFM-Attenborough.pdf</v>
      </c>
    </row>
    <row r="26" spans="1:2" x14ac:dyDescent="0.25">
      <c r="A26" t="s">
        <v>61</v>
      </c>
      <c r="B26" t="str">
        <f>'PDF Scraping'!D25</f>
        <v>https://trustdfm.com/wp-content/uploads/2023/08/Trust-DFM-Attenborough.pdf</v>
      </c>
    </row>
    <row r="27" spans="1:2" x14ac:dyDescent="0.25">
      <c r="A27" t="s">
        <v>62</v>
      </c>
      <c r="B27" t="str">
        <f>'PDF Scraping'!D26</f>
        <v>https://trustdfm.com/wp-content/uploads/2023/08/Trust-DFM-Attenborough.pdf</v>
      </c>
    </row>
    <row r="28" spans="1:2" x14ac:dyDescent="0.25">
      <c r="A28" s="10" t="s">
        <v>95</v>
      </c>
      <c r="B28" t="str">
        <f>'PDF Scraping'!D27</f>
        <v>https://trustdfm.com/wp-content/uploads/2023/08/Trust-DFM-Attenborough.pdf</v>
      </c>
    </row>
    <row r="29" spans="1:2" x14ac:dyDescent="0.25">
      <c r="A29" t="s">
        <v>63</v>
      </c>
      <c r="B29" t="str">
        <f>'PDF Scraping'!D28</f>
        <v>https://trustdfm.com/wp-content/uploads/2023/08/Trust-DFM-Attenborough.pdf</v>
      </c>
    </row>
    <row r="30" spans="1:2" x14ac:dyDescent="0.25">
      <c r="A30" t="s">
        <v>64</v>
      </c>
      <c r="B30" t="str">
        <f>'PDF Scraping'!D29</f>
        <v>https://trustdfm.com/wp-content/uploads/2023/08/Trust-DFM-Attenborough.pdf</v>
      </c>
    </row>
    <row r="31" spans="1:2" x14ac:dyDescent="0.25">
      <c r="A31" t="s">
        <v>65</v>
      </c>
      <c r="B31" t="str">
        <f>'PDF Scraping'!D30</f>
        <v>https://trustdfm.com/wp-content/uploads/2023/08/Trust-DFM-Attenborough.pdf</v>
      </c>
    </row>
    <row r="32" spans="1:2" x14ac:dyDescent="0.25">
      <c r="A32" t="s">
        <v>66</v>
      </c>
      <c r="B32" t="str">
        <f>'PDF Scraping'!D31</f>
        <v>https://trustdfm.com/wp-content/uploads/2023/08/Trust-DFM-Attenborough.pdf</v>
      </c>
    </row>
    <row r="33" spans="1:2" x14ac:dyDescent="0.25">
      <c r="A33" t="s">
        <v>69</v>
      </c>
      <c r="B33" t="str">
        <f>'PDF Scraping'!D32</f>
        <v>https://trustdfm.com/wp-content/uploads/2023/08/Trust-DFM-Income.pdf</v>
      </c>
    </row>
    <row r="34" spans="1:2" x14ac:dyDescent="0.25">
      <c r="A34" t="s">
        <v>70</v>
      </c>
      <c r="B34" t="str">
        <f>'PDF Scraping'!D33</f>
        <v>https://trustdfm.com/wp-content/uploads/2023/08/Trust-DFM-Income.pdf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tabSelected="1" workbookViewId="0">
      <selection activeCell="T13" sqref="T13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14.7109375" bestFit="1" customWidth="1"/>
    <col min="4" max="5" width="7" bestFit="1" customWidth="1"/>
    <col min="6" max="6" width="13.7109375" bestFit="1" customWidth="1"/>
  </cols>
  <sheetData>
    <row r="1" spans="1:6" x14ac:dyDescent="0.25">
      <c r="B1" t="s">
        <v>24</v>
      </c>
      <c r="C1" t="s">
        <v>71</v>
      </c>
      <c r="D1" t="s">
        <v>72</v>
      </c>
      <c r="E1" t="s">
        <v>73</v>
      </c>
    </row>
    <row r="2" spans="1:6" x14ac:dyDescent="0.25">
      <c r="A2" t="str">
        <f>IF(Input!A3="","",Input!A3)</f>
        <v>Balanced</v>
      </c>
      <c r="B2" s="1">
        <v>45138</v>
      </c>
      <c r="C2" s="5">
        <v>3.9000000000000003E-3</v>
      </c>
      <c r="D2" s="5">
        <v>2.3E-2</v>
      </c>
      <c r="E2" s="5">
        <v>1.46E-2</v>
      </c>
      <c r="F2" s="5"/>
    </row>
    <row r="3" spans="1:6" x14ac:dyDescent="0.25">
      <c r="A3" t="str">
        <f>IF(Input!A4="","",Input!A4)</f>
        <v>Cultivate</v>
      </c>
      <c r="B3" s="1">
        <v>45138</v>
      </c>
      <c r="C3" s="5">
        <v>3.7000000000000002E-3</v>
      </c>
      <c r="D3" s="5">
        <v>2.98E-2</v>
      </c>
      <c r="E3" s="5">
        <v>1.5700000000000002E-2</v>
      </c>
      <c r="F3" s="5"/>
    </row>
    <row r="4" spans="1:6" x14ac:dyDescent="0.25">
      <c r="A4" t="str">
        <f>IF(Input!A5="","",Input!A5)</f>
        <v>Endure</v>
      </c>
      <c r="B4" s="1">
        <v>45138</v>
      </c>
      <c r="C4" s="5">
        <v>3.9000000000000003E-3</v>
      </c>
      <c r="D4" s="5">
        <v>9.4999999999999998E-3</v>
      </c>
      <c r="E4" s="5">
        <v>1.3999999999999999E-2</v>
      </c>
      <c r="F4" s="5"/>
    </row>
    <row r="5" spans="1:6" x14ac:dyDescent="0.25">
      <c r="A5" t="str">
        <f>IF(Input!A6="","",Input!A6)</f>
        <v>Flourish</v>
      </c>
      <c r="B5" s="1">
        <v>45138</v>
      </c>
      <c r="C5" s="5">
        <v>3.7000000000000002E-3</v>
      </c>
      <c r="D5" s="5">
        <v>3.5299999999999998E-2</v>
      </c>
      <c r="E5" s="5">
        <v>1.6899999999999998E-2</v>
      </c>
      <c r="F5" s="5"/>
    </row>
    <row r="6" spans="1:6" x14ac:dyDescent="0.25">
      <c r="A6" t="str">
        <f>IF(Input!A7="","",Input!A7)</f>
        <v>Magnify</v>
      </c>
      <c r="B6" s="1">
        <v>45138</v>
      </c>
      <c r="C6" s="5">
        <v>3.8E-3</v>
      </c>
      <c r="D6" s="5">
        <v>4.07E-2</v>
      </c>
      <c r="E6" s="5">
        <v>1.8100000000000002E-2</v>
      </c>
      <c r="F6" s="5"/>
    </row>
    <row r="7" spans="1:6" x14ac:dyDescent="0.25">
      <c r="A7" t="str">
        <f>IF(Input!A8="","",Input!A8)</f>
        <v>Mature</v>
      </c>
      <c r="B7" s="1">
        <v>45138</v>
      </c>
      <c r="C7" s="5">
        <v>3.8E-3</v>
      </c>
      <c r="D7" s="5">
        <v>1.4800000000000001E-2</v>
      </c>
      <c r="E7" s="5">
        <v>1.6E-2</v>
      </c>
      <c r="F7" s="5"/>
    </row>
    <row r="8" spans="1:6" x14ac:dyDescent="0.25">
      <c r="A8" t="str">
        <f>IF(Input!A9="","",Input!A9)</f>
        <v>Preserve</v>
      </c>
      <c r="B8" s="1">
        <v>45138</v>
      </c>
      <c r="C8" s="5">
        <v>4.0999999999999995E-3</v>
      </c>
      <c r="D8" s="5">
        <v>4.5000000000000005E-3</v>
      </c>
      <c r="E8" s="5">
        <v>1.2E-2</v>
      </c>
      <c r="F8" s="5"/>
    </row>
    <row r="9" spans="1:6" x14ac:dyDescent="0.25">
      <c r="A9" t="str">
        <f>IF(Input!A10="","",Input!A10)</f>
        <v>Trust DFM Protect</v>
      </c>
      <c r="B9" s="1">
        <v>45138</v>
      </c>
      <c r="C9" s="5">
        <v>4.1999999999999997E-3</v>
      </c>
      <c r="D9" s="5">
        <v>-1.6399999999999998E-2</v>
      </c>
      <c r="E9" s="5">
        <v>-8.6999999999999994E-3</v>
      </c>
      <c r="F9" s="5"/>
    </row>
    <row r="10" spans="1:6" x14ac:dyDescent="0.25">
      <c r="A10" t="str">
        <f>IF(Input!A11="","",Input!A11)</f>
        <v>Trust DFM Enjoy</v>
      </c>
      <c r="B10" s="1">
        <v>45138</v>
      </c>
      <c r="C10" s="5">
        <v>3.5999999999999999E-3</v>
      </c>
      <c r="D10" s="5">
        <v>2.46E-2</v>
      </c>
      <c r="E10" s="5">
        <v>1.44E-2</v>
      </c>
      <c r="F10" s="5"/>
    </row>
    <row r="11" spans="1:6" x14ac:dyDescent="0.25">
      <c r="A11" t="str">
        <f>IF(Input!A12="","",Input!A12)</f>
        <v>Trust DFM Grow</v>
      </c>
      <c r="B11" s="1">
        <v>45138</v>
      </c>
      <c r="C11" s="5">
        <v>3.8E-3</v>
      </c>
      <c r="D11" s="5">
        <v>4.6100000000000002E-2</v>
      </c>
      <c r="E11" s="5">
        <v>1.9400000000000001E-2</v>
      </c>
      <c r="F11" s="5"/>
    </row>
    <row r="12" spans="1:6" x14ac:dyDescent="0.25">
      <c r="A12" t="str">
        <f>IF(Input!A13="","",Input!A13)</f>
        <v>Balanced Passive</v>
      </c>
      <c r="B12" s="1">
        <v>45138</v>
      </c>
      <c r="C12" s="5">
        <v>1.4000000000000002E-3</v>
      </c>
      <c r="D12" s="5">
        <v>3.6699999999999997E-2</v>
      </c>
      <c r="E12" s="5">
        <v>1.8000000000000002E-2</v>
      </c>
      <c r="F12" s="5"/>
    </row>
    <row r="13" spans="1:6" x14ac:dyDescent="0.25">
      <c r="A13" t="str">
        <f>IF(Input!A14="","",Input!A14)</f>
        <v>Cultivate Passive</v>
      </c>
      <c r="B13" s="1">
        <v>45138</v>
      </c>
      <c r="C13" s="5">
        <v>1.4000000000000002E-3</v>
      </c>
      <c r="D13" s="5">
        <v>4.2699999999999995E-2</v>
      </c>
      <c r="E13" s="5">
        <v>1.8700000000000001E-2</v>
      </c>
      <c r="F13" s="5"/>
    </row>
    <row r="14" spans="1:6" x14ac:dyDescent="0.25">
      <c r="A14" t="str">
        <f>IF(Input!A15="","",Input!A15)</f>
        <v>Endure Passive</v>
      </c>
      <c r="B14" s="1">
        <v>45138</v>
      </c>
      <c r="C14" s="5">
        <v>1.5E-3</v>
      </c>
      <c r="D14" s="5">
        <v>2.4399999999999998E-2</v>
      </c>
      <c r="E14" s="5">
        <v>1.47E-2</v>
      </c>
      <c r="F14" s="5"/>
    </row>
    <row r="15" spans="1:6" x14ac:dyDescent="0.25">
      <c r="A15" t="str">
        <f>IF(Input!A16="","",Input!A16)</f>
        <v>Flourish Passive</v>
      </c>
      <c r="B15" s="1">
        <v>45138</v>
      </c>
      <c r="C15" s="5">
        <v>1.2999999999999999E-3</v>
      </c>
      <c r="D15" s="5">
        <v>4.9500000000000002E-2</v>
      </c>
      <c r="E15" s="5">
        <v>2.0400000000000001E-2</v>
      </c>
      <c r="F15" s="5"/>
    </row>
    <row r="16" spans="1:6" x14ac:dyDescent="0.25">
      <c r="A16" t="str">
        <f>IF(Input!A17="","",Input!A17)</f>
        <v>Magnify Passive</v>
      </c>
      <c r="B16" s="1">
        <v>45138</v>
      </c>
      <c r="C16" s="5">
        <v>1.2999999999999999E-3</v>
      </c>
      <c r="D16" s="5">
        <v>5.5500000000000001E-2</v>
      </c>
      <c r="E16" s="5">
        <v>2.2499999999999999E-2</v>
      </c>
      <c r="F16" s="5"/>
    </row>
    <row r="17" spans="1:6" x14ac:dyDescent="0.25">
      <c r="A17" t="str">
        <f>IF(Input!A18="","",Input!A18)</f>
        <v>Mature Passsive</v>
      </c>
      <c r="B17" s="1">
        <v>45138</v>
      </c>
      <c r="C17" s="5">
        <v>1.4000000000000002E-3</v>
      </c>
      <c r="D17" s="5">
        <v>3.0899999999999997E-2</v>
      </c>
      <c r="E17" s="5">
        <v>1.55E-2</v>
      </c>
      <c r="F17" s="5"/>
    </row>
    <row r="18" spans="1:6" x14ac:dyDescent="0.25">
      <c r="A18" t="str">
        <f>IF(Input!A19="","",Input!A19)</f>
        <v>Preserve Passive</v>
      </c>
      <c r="B18" s="1">
        <v>45138</v>
      </c>
      <c r="C18" s="5">
        <v>1.5E-3</v>
      </c>
      <c r="D18" s="5">
        <v>1.77E-2</v>
      </c>
      <c r="E18" s="5">
        <v>1.3899999999999999E-2</v>
      </c>
      <c r="F18" s="5"/>
    </row>
    <row r="19" spans="1:6" x14ac:dyDescent="0.25">
      <c r="A19" t="str">
        <f>IF(Input!A20="","",Input!A20)</f>
        <v>Protect Passive</v>
      </c>
      <c r="B19" s="1">
        <v>45138</v>
      </c>
      <c r="C19" s="5">
        <v>1.5E-3</v>
      </c>
      <c r="D19" s="5">
        <v>1.11E-2</v>
      </c>
      <c r="E19" s="5">
        <v>1.3100000000000001E-2</v>
      </c>
      <c r="F19" s="5"/>
    </row>
    <row r="20" spans="1:6" x14ac:dyDescent="0.25">
      <c r="A20" t="str">
        <f>IF(Input!A21="","",Input!A21)</f>
        <v>Enjoy Passive</v>
      </c>
      <c r="B20" s="1">
        <v>45138</v>
      </c>
      <c r="C20" s="5">
        <v>1.4000000000000002E-3</v>
      </c>
      <c r="D20" s="5">
        <v>3.7599999999999995E-2</v>
      </c>
      <c r="E20" s="5">
        <v>1.6299999999999999E-2</v>
      </c>
      <c r="F20" s="5"/>
    </row>
    <row r="21" spans="1:6" x14ac:dyDescent="0.25">
      <c r="A21" t="str">
        <f>IF(Input!A22="","",Input!A22)</f>
        <v>Grow Passive</v>
      </c>
      <c r="B21" s="1">
        <v>45138</v>
      </c>
      <c r="C21" s="5">
        <v>1.1999999999999999E-3</v>
      </c>
      <c r="D21" s="5">
        <v>6.1500000000000006E-2</v>
      </c>
      <c r="E21" s="5">
        <v>2.4500000000000001E-2</v>
      </c>
      <c r="F21" s="5"/>
    </row>
    <row r="22" spans="1:6" x14ac:dyDescent="0.25">
      <c r="A22" t="str">
        <f>IF(Input!A23="","",Input!A23)</f>
        <v>Balanced Attenborough</v>
      </c>
      <c r="B22" s="1">
        <v>45138</v>
      </c>
      <c r="C22" s="5">
        <v>6.8999999999999999E-3</v>
      </c>
      <c r="D22" s="5">
        <v>1.03E-2</v>
      </c>
      <c r="E22" s="5">
        <v>1.37E-2</v>
      </c>
      <c r="F22" s="5"/>
    </row>
    <row r="23" spans="1:6" x14ac:dyDescent="0.25">
      <c r="A23" t="str">
        <f>IF(Input!A24="","",Input!A24)</f>
        <v>Cultivate Attenborough</v>
      </c>
      <c r="B23" s="1">
        <v>45138</v>
      </c>
      <c r="C23" s="5">
        <v>6.9999999999999993E-3</v>
      </c>
      <c r="D23" s="5">
        <v>1.52E-2</v>
      </c>
      <c r="E23" s="5">
        <v>1.3999999999999999E-2</v>
      </c>
      <c r="F23" s="5"/>
    </row>
    <row r="24" spans="1:6" x14ac:dyDescent="0.25">
      <c r="A24" t="str">
        <f>IF(Input!A25="","",Input!A25)</f>
        <v>Endure Attenborough</v>
      </c>
      <c r="B24" s="1">
        <v>45138</v>
      </c>
      <c r="C24" s="5">
        <v>6.5000000000000006E-3</v>
      </c>
      <c r="D24" s="5">
        <v>1E-3</v>
      </c>
      <c r="E24" s="5">
        <v>1.24E-2</v>
      </c>
      <c r="F24" s="5"/>
    </row>
    <row r="25" spans="1:6" x14ac:dyDescent="0.25">
      <c r="A25" t="str">
        <f>IF(Input!A26="","",Input!A26)</f>
        <v>Flourish Attenborough</v>
      </c>
      <c r="B25" s="1">
        <v>45138</v>
      </c>
      <c r="C25" s="5">
        <v>7.3000000000000001E-3</v>
      </c>
      <c r="D25" s="5">
        <v>2.0899999999999998E-2</v>
      </c>
      <c r="E25" s="5">
        <v>1.47E-2</v>
      </c>
    </row>
    <row r="26" spans="1:6" x14ac:dyDescent="0.25">
      <c r="A26" t="str">
        <f>IF(Input!A27="","",Input!A27)</f>
        <v>Magnify Attenborough</v>
      </c>
      <c r="B26" s="1">
        <v>45138</v>
      </c>
      <c r="C26" s="5">
        <v>7.6E-3</v>
      </c>
      <c r="D26" s="5">
        <v>1.8700000000000001E-2</v>
      </c>
      <c r="E26" s="5">
        <v>1.55E-2</v>
      </c>
    </row>
    <row r="27" spans="1:6" x14ac:dyDescent="0.25">
      <c r="A27" t="str">
        <f>IF(Input!A28="","",Input!A28)</f>
        <v>Mature Attenborough</v>
      </c>
      <c r="B27" s="1">
        <v>45138</v>
      </c>
      <c r="C27" s="5">
        <v>6.6E-3</v>
      </c>
      <c r="D27" s="5">
        <v>6.8999999999999999E-3</v>
      </c>
      <c r="E27" s="5">
        <v>1.2800000000000001E-2</v>
      </c>
    </row>
    <row r="28" spans="1:6" x14ac:dyDescent="0.25">
      <c r="A28" t="str">
        <f>IF(Input!A29="","",Input!A29)</f>
        <v>Preserve Attenborough</v>
      </c>
      <c r="B28" s="1">
        <v>45138</v>
      </c>
      <c r="C28" s="5">
        <v>6.3E-3</v>
      </c>
      <c r="D28" s="5">
        <v>-4.8999999999999998E-3</v>
      </c>
      <c r="E28" s="5">
        <v>1.2E-2</v>
      </c>
    </row>
    <row r="29" spans="1:6" x14ac:dyDescent="0.25">
      <c r="A29" t="str">
        <f>IF(Input!A30="","",Input!A30)</f>
        <v>Protect Attenborough</v>
      </c>
      <c r="B29" s="1">
        <v>45138</v>
      </c>
      <c r="C29" s="5">
        <v>6.1999999999999998E-3</v>
      </c>
      <c r="D29" s="5">
        <v>-1.0800000000000001E-2</v>
      </c>
      <c r="E29" s="5">
        <v>1.15E-2</v>
      </c>
    </row>
    <row r="30" spans="1:6" x14ac:dyDescent="0.25">
      <c r="A30" t="str">
        <f>IF(Input!A31="","",Input!A31)</f>
        <v>Enjoy Attenborough</v>
      </c>
      <c r="B30" s="1">
        <v>45138</v>
      </c>
      <c r="C30" s="5">
        <v>6.7000000000000002E-3</v>
      </c>
      <c r="D30" s="5">
        <v>1.29E-2</v>
      </c>
      <c r="E30" s="5">
        <v>1.3300000000000001E-2</v>
      </c>
    </row>
    <row r="31" spans="1:6" x14ac:dyDescent="0.25">
      <c r="A31" t="str">
        <f>IF(Input!A32="","",Input!A32)</f>
        <v>Grow Attenborough</v>
      </c>
      <c r="B31" s="1">
        <v>45138</v>
      </c>
      <c r="C31" s="5">
        <v>7.9000000000000008E-3</v>
      </c>
      <c r="D31" s="5">
        <v>2.23E-2</v>
      </c>
      <c r="E31" s="5">
        <v>1.6200000000000003E-2</v>
      </c>
    </row>
    <row r="32" spans="1:6" x14ac:dyDescent="0.25">
      <c r="A32" t="str">
        <f>IF(Input!A33="","",Input!A33)</f>
        <v>Passive Income</v>
      </c>
      <c r="B32" s="1">
        <v>45138</v>
      </c>
      <c r="C32" s="5">
        <v>2.3E-3</v>
      </c>
      <c r="D32">
        <v>4.4000000000000003E-3</v>
      </c>
      <c r="E32">
        <v>2.41E-2</v>
      </c>
    </row>
    <row r="33" spans="1:5" x14ac:dyDescent="0.25">
      <c r="A33" t="str">
        <f>IF(Input!A34="","",Input!A34)</f>
        <v>Natural Income</v>
      </c>
      <c r="B33" s="1">
        <v>45138</v>
      </c>
      <c r="C33" s="5">
        <v>6.5000000000000006E-3</v>
      </c>
      <c r="D33">
        <v>1.67E-2</v>
      </c>
      <c r="E33">
        <v>1.72E-2</v>
      </c>
    </row>
    <row r="34" spans="1:5" x14ac:dyDescent="0.25">
      <c r="A34" t="str">
        <f>IF(Input!A35="","",Input!A35)</f>
        <v/>
      </c>
      <c r="B34" s="7"/>
      <c r="C34" s="5"/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70" zoomScaleNormal="70" workbookViewId="0">
      <selection activeCell="L42" sqref="L42"/>
    </sheetView>
  </sheetViews>
  <sheetFormatPr defaultRowHeight="15" x14ac:dyDescent="0.25"/>
  <cols>
    <col min="1" max="1" width="22.28515625" bestFit="1" customWidth="1"/>
    <col min="2" max="2" width="14.42578125" bestFit="1" customWidth="1"/>
    <col min="3" max="3" width="15.85546875" bestFit="1" customWidth="1"/>
    <col min="4" max="4" width="17.42578125" bestFit="1" customWidth="1"/>
    <col min="5" max="5" width="11" bestFit="1" customWidth="1"/>
    <col min="6" max="6" width="26.85546875" bestFit="1" customWidth="1"/>
    <col min="7" max="7" width="17.28515625" bestFit="1" customWidth="1"/>
    <col min="8" max="8" width="23.7109375" bestFit="1" customWidth="1"/>
    <col min="9" max="9" width="29.85546875" bestFit="1" customWidth="1"/>
    <col min="10" max="10" width="16.85546875" bestFit="1" customWidth="1"/>
    <col min="11" max="11" width="24" bestFit="1" customWidth="1"/>
    <col min="12" max="12" width="24.5703125" bestFit="1" customWidth="1"/>
    <col min="13" max="13" width="10.85546875" bestFit="1" customWidth="1"/>
    <col min="14" max="14" width="7.140625" bestFit="1" customWidth="1"/>
    <col min="15" max="15" width="12.85546875" bestFit="1" customWidth="1"/>
    <col min="16" max="16" width="7.140625" bestFit="1" customWidth="1"/>
    <col min="17" max="17" width="11.85546875" bestFit="1" customWidth="1"/>
    <col min="18" max="18" width="11.425781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74</v>
      </c>
      <c r="C1" t="s">
        <v>75</v>
      </c>
      <c r="D1" t="s">
        <v>76</v>
      </c>
      <c r="E1" t="s">
        <v>31</v>
      </c>
      <c r="F1" t="s">
        <v>78</v>
      </c>
      <c r="G1" t="s">
        <v>30</v>
      </c>
      <c r="H1" t="s">
        <v>79</v>
      </c>
      <c r="I1" t="s">
        <v>88</v>
      </c>
      <c r="J1" t="s">
        <v>89</v>
      </c>
      <c r="K1" t="s">
        <v>90</v>
      </c>
      <c r="L1" t="s">
        <v>91</v>
      </c>
      <c r="M1" t="s">
        <v>92</v>
      </c>
      <c r="N1" s="8" t="s">
        <v>2</v>
      </c>
      <c r="O1" s="8" t="s">
        <v>93</v>
      </c>
      <c r="P1" s="8" t="s">
        <v>4</v>
      </c>
      <c r="Q1" s="8" t="s">
        <v>77</v>
      </c>
      <c r="R1" s="8" t="s">
        <v>94</v>
      </c>
    </row>
    <row r="2" spans="1:30" x14ac:dyDescent="0.25">
      <c r="A2" t="str">
        <f>IF(Input!A3="","",Input!A3)</f>
        <v>Balanced</v>
      </c>
      <c r="B2" s="5">
        <v>0.23899999999999999</v>
      </c>
      <c r="C2" s="5">
        <v>0.16699999999999998</v>
      </c>
      <c r="D2" s="5"/>
      <c r="E2" s="5">
        <v>0.161</v>
      </c>
      <c r="F2" s="5">
        <v>0.05</v>
      </c>
      <c r="G2" s="5"/>
      <c r="H2" s="5">
        <v>7.2999999999999995E-2</v>
      </c>
      <c r="I2" s="5">
        <v>0.02</v>
      </c>
      <c r="J2" s="5">
        <v>2.3E-2</v>
      </c>
      <c r="K2" s="5"/>
      <c r="L2" s="5"/>
      <c r="M2" s="5">
        <v>2.7999999999999997E-2</v>
      </c>
      <c r="N2" s="5">
        <v>0.55399999999999994</v>
      </c>
      <c r="O2" s="5">
        <v>0.26</v>
      </c>
      <c r="P2" s="5">
        <v>0.1</v>
      </c>
      <c r="Q2" s="5">
        <v>2.3E-2</v>
      </c>
      <c r="R2" s="5">
        <v>6.3E-2</v>
      </c>
      <c r="T2" s="5"/>
      <c r="U2" s="5"/>
      <c r="V2" s="5"/>
    </row>
    <row r="3" spans="1:30" x14ac:dyDescent="0.25">
      <c r="A3" t="str">
        <f>IF(Input!A4="","",Input!A4)</f>
        <v>Cultivate</v>
      </c>
      <c r="B3" s="5">
        <v>0.26500000000000001</v>
      </c>
      <c r="C3" s="5">
        <v>0.14699999999999999</v>
      </c>
      <c r="D3" s="5">
        <v>4.4000000000000004E-2</v>
      </c>
      <c r="E3" s="5">
        <v>0.19699999999999998</v>
      </c>
      <c r="F3" s="5">
        <v>6.3E-2</v>
      </c>
      <c r="G3" s="5"/>
      <c r="H3" s="5">
        <v>0.06</v>
      </c>
      <c r="I3" s="5"/>
      <c r="J3" s="5">
        <v>3.2000000000000001E-2</v>
      </c>
      <c r="K3" s="5"/>
      <c r="L3" s="5"/>
      <c r="M3" s="5">
        <v>2.2000000000000002E-2</v>
      </c>
      <c r="N3" s="5">
        <v>0.63900000000000001</v>
      </c>
      <c r="O3" s="5">
        <v>0.20699999999999999</v>
      </c>
      <c r="P3" s="5">
        <v>8.8000000000000009E-2</v>
      </c>
      <c r="Q3" s="5">
        <v>2.2000000000000002E-2</v>
      </c>
      <c r="R3" s="5">
        <v>4.4000000000000004E-2</v>
      </c>
      <c r="S3" s="5"/>
      <c r="T3" s="5"/>
    </row>
    <row r="4" spans="1:30" x14ac:dyDescent="0.25">
      <c r="A4" t="str">
        <f>IF(Input!A5="","",Input!A5)</f>
        <v>Endure</v>
      </c>
      <c r="B4" s="5">
        <v>0.20499999999999999</v>
      </c>
      <c r="C4" s="5">
        <v>0.17899999999999999</v>
      </c>
      <c r="D4" s="5">
        <v>0.11</v>
      </c>
      <c r="E4" s="5">
        <v>0.20199999999999999</v>
      </c>
      <c r="F4" s="5"/>
      <c r="G4" s="5">
        <v>0.01</v>
      </c>
      <c r="H4" s="5">
        <v>0.10099999999999999</v>
      </c>
      <c r="I4" s="5">
        <v>0.03</v>
      </c>
      <c r="J4" s="5"/>
      <c r="K4" s="5"/>
      <c r="L4" s="5"/>
      <c r="M4" s="5"/>
      <c r="N4" s="5">
        <v>0.41700000000000004</v>
      </c>
      <c r="O4" s="5">
        <v>0.31</v>
      </c>
      <c r="P4" s="5">
        <v>0.14300000000000002</v>
      </c>
      <c r="Q4" s="5">
        <v>0.02</v>
      </c>
      <c r="R4" s="5">
        <v>0.11</v>
      </c>
      <c r="S4" s="5"/>
      <c r="T4" s="5"/>
    </row>
    <row r="5" spans="1:30" x14ac:dyDescent="0.25">
      <c r="A5" t="str">
        <f>IF(Input!A6="","",Input!A6)</f>
        <v>Flourish</v>
      </c>
      <c r="B5" s="5">
        <v>0.3</v>
      </c>
      <c r="C5" s="5">
        <v>0.125</v>
      </c>
      <c r="D5" s="5">
        <v>0.03</v>
      </c>
      <c r="E5" s="5">
        <v>0.20499999999999999</v>
      </c>
      <c r="F5" s="5">
        <v>7.4999999999999997E-2</v>
      </c>
      <c r="G5" s="5">
        <v>7.0000000000000007E-2</v>
      </c>
      <c r="H5" s="5">
        <v>0.04</v>
      </c>
      <c r="I5" s="5"/>
      <c r="J5" s="5">
        <v>3.5000000000000003E-2</v>
      </c>
      <c r="K5" s="5"/>
      <c r="L5" s="5"/>
      <c r="M5" s="5">
        <v>0.04</v>
      </c>
      <c r="N5" s="5">
        <v>0.72499999999999998</v>
      </c>
      <c r="O5" s="5">
        <v>0.16500000000000001</v>
      </c>
      <c r="P5" s="5">
        <v>6.5000000000000002E-2</v>
      </c>
      <c r="Q5" s="5">
        <v>1.4999999999999999E-2</v>
      </c>
      <c r="R5" s="5">
        <v>0.03</v>
      </c>
      <c r="S5" s="5"/>
      <c r="T5" s="5"/>
    </row>
    <row r="6" spans="1:30" x14ac:dyDescent="0.25">
      <c r="A6" t="str">
        <f>IF(Input!A7="","",Input!A7)</f>
        <v>Magnify</v>
      </c>
      <c r="B6" s="5">
        <v>0.33500000000000002</v>
      </c>
      <c r="C6" s="5">
        <v>0.10300000000000001</v>
      </c>
      <c r="D6" s="5">
        <v>1.6E-2</v>
      </c>
      <c r="E6" s="5">
        <v>0.21100000000000002</v>
      </c>
      <c r="F6" s="5">
        <v>8.6999999999999994E-2</v>
      </c>
      <c r="G6" s="5">
        <v>0.08</v>
      </c>
      <c r="H6" s="5">
        <v>0.02</v>
      </c>
      <c r="I6" s="5"/>
      <c r="J6" s="5">
        <v>3.7999999999999999E-2</v>
      </c>
      <c r="K6" s="5"/>
      <c r="L6" s="5"/>
      <c r="M6" s="5"/>
      <c r="N6" s="5">
        <v>0.81099999999999994</v>
      </c>
      <c r="O6" s="5">
        <v>0.12300000000000001</v>
      </c>
      <c r="P6" s="5">
        <v>4.2000000000000003E-2</v>
      </c>
      <c r="Q6" s="5">
        <v>8.0000000000000002E-3</v>
      </c>
      <c r="R6" s="5">
        <v>1.6E-2</v>
      </c>
      <c r="S6" s="5"/>
      <c r="T6" s="5"/>
    </row>
    <row r="7" spans="1:30" x14ac:dyDescent="0.25">
      <c r="A7" t="str">
        <f>IF(Input!A8="","",Input!A8)</f>
        <v>Mature</v>
      </c>
      <c r="B7" s="5">
        <v>0.249</v>
      </c>
      <c r="C7" s="5">
        <v>0.14300000000000002</v>
      </c>
      <c r="D7" s="5">
        <v>9.9000000000000005E-2</v>
      </c>
      <c r="E7" s="5">
        <v>0.26800000000000002</v>
      </c>
      <c r="F7" s="5"/>
      <c r="G7" s="5">
        <v>5.0000000000000001E-3</v>
      </c>
      <c r="H7" s="5">
        <v>8.1000000000000003E-2</v>
      </c>
      <c r="I7" s="5">
        <v>1.4999999999999999E-2</v>
      </c>
      <c r="J7" s="5"/>
      <c r="K7" s="5"/>
      <c r="L7" s="5"/>
      <c r="M7" s="5"/>
      <c r="N7" s="5">
        <v>0.52200000000000002</v>
      </c>
      <c r="O7" s="5">
        <v>0.23899999999999999</v>
      </c>
      <c r="P7" s="5">
        <v>0.13</v>
      </c>
      <c r="Q7" s="5">
        <v>0.01</v>
      </c>
      <c r="R7" s="5">
        <v>9.9000000000000005E-2</v>
      </c>
      <c r="S7" s="5"/>
      <c r="T7" s="5"/>
      <c r="AD7" s="5"/>
    </row>
    <row r="8" spans="1:30" x14ac:dyDescent="0.25">
      <c r="A8" t="str">
        <f>IF(Input!A9="","",Input!A9)</f>
        <v>Preserve</v>
      </c>
      <c r="B8" s="5">
        <v>0.16300000000000001</v>
      </c>
      <c r="C8" s="5">
        <v>0.214</v>
      </c>
      <c r="D8" s="5">
        <v>0.12</v>
      </c>
      <c r="E8" s="5">
        <v>0.13600000000000001</v>
      </c>
      <c r="F8" s="5"/>
      <c r="G8" s="5">
        <v>1.4999999999999999E-2</v>
      </c>
      <c r="H8" s="5">
        <v>0.12</v>
      </c>
      <c r="I8" s="5">
        <v>4.4999999999999998E-2</v>
      </c>
      <c r="J8" s="5"/>
      <c r="K8" s="5"/>
      <c r="L8" s="5"/>
      <c r="M8" s="5"/>
      <c r="N8" s="5">
        <v>0.314</v>
      </c>
      <c r="O8" s="5">
        <v>0.379</v>
      </c>
      <c r="P8" s="5">
        <v>0.157</v>
      </c>
      <c r="Q8" s="5">
        <v>0.03</v>
      </c>
      <c r="R8" s="5">
        <v>0.12</v>
      </c>
      <c r="S8" s="5"/>
      <c r="T8" s="5"/>
    </row>
    <row r="9" spans="1:30" x14ac:dyDescent="0.25">
      <c r="A9" t="str">
        <f>IF(Input!A10="","",Input!A10)</f>
        <v>Trust DFM Protect</v>
      </c>
      <c r="B9" s="5">
        <v>0.12</v>
      </c>
      <c r="C9" s="5">
        <v>0.25</v>
      </c>
      <c r="D9" s="5">
        <v>0.13</v>
      </c>
      <c r="E9" s="5">
        <v>7.0000000000000007E-2</v>
      </c>
      <c r="F9" s="5"/>
      <c r="G9" s="5">
        <v>0.02</v>
      </c>
      <c r="H9" s="5">
        <v>0.14000000000000001</v>
      </c>
      <c r="I9" s="5">
        <v>0.06</v>
      </c>
      <c r="J9" s="5"/>
      <c r="K9" s="5"/>
      <c r="L9" s="5"/>
      <c r="M9" s="5"/>
      <c r="N9" s="5">
        <v>0.21</v>
      </c>
      <c r="O9" s="5">
        <v>0.45</v>
      </c>
      <c r="P9" s="5">
        <v>0.17</v>
      </c>
      <c r="Q9" s="5">
        <v>0.04</v>
      </c>
      <c r="R9" s="5">
        <v>0.13</v>
      </c>
      <c r="S9" s="5"/>
      <c r="T9" s="5"/>
    </row>
    <row r="10" spans="1:30" x14ac:dyDescent="0.25">
      <c r="A10" t="str">
        <f>IF(Input!A11="","",Input!A11)</f>
        <v>Trust DFM Enjoy</v>
      </c>
      <c r="B10" s="5">
        <v>0.23</v>
      </c>
      <c r="C10" s="5">
        <v>0.17</v>
      </c>
      <c r="D10" s="5">
        <v>0.06</v>
      </c>
      <c r="E10" s="5">
        <v>0.19</v>
      </c>
      <c r="F10" s="5">
        <v>0.05</v>
      </c>
      <c r="G10" s="5">
        <v>0.05</v>
      </c>
      <c r="H10" s="5">
        <v>0.08</v>
      </c>
      <c r="I10" s="5"/>
      <c r="J10" s="5">
        <v>0.03</v>
      </c>
      <c r="K10" s="5"/>
      <c r="L10" s="5"/>
      <c r="M10" s="5"/>
      <c r="N10" s="5">
        <v>0.55000000000000004</v>
      </c>
      <c r="O10" s="5">
        <v>0.25</v>
      </c>
      <c r="P10" s="5">
        <v>0.11</v>
      </c>
      <c r="Q10" s="5">
        <v>0.03</v>
      </c>
      <c r="R10" s="5">
        <v>0.06</v>
      </c>
      <c r="S10" s="5"/>
      <c r="T10" s="5"/>
    </row>
    <row r="11" spans="1:30" x14ac:dyDescent="0.25">
      <c r="A11" t="str">
        <f>IF(Input!A12="","",Input!A12)</f>
        <v>Trust DFM Grow</v>
      </c>
      <c r="B11" s="5">
        <v>0.37</v>
      </c>
      <c r="C11" s="5">
        <v>0.08</v>
      </c>
      <c r="D11" s="5"/>
      <c r="E11" s="5">
        <v>0.22</v>
      </c>
      <c r="F11" s="5">
        <v>0.1</v>
      </c>
      <c r="G11" s="5">
        <v>0.09</v>
      </c>
      <c r="H11" s="5"/>
      <c r="I11" s="5"/>
      <c r="J11" s="5">
        <v>0.04</v>
      </c>
      <c r="K11" s="5"/>
      <c r="L11" s="5"/>
      <c r="M11" s="5">
        <v>0.08</v>
      </c>
      <c r="N11" s="5">
        <v>0.9</v>
      </c>
      <c r="O11" s="5">
        <v>0.08</v>
      </c>
      <c r="P11" s="5">
        <v>0.02</v>
      </c>
      <c r="Q11" s="5"/>
      <c r="R11" s="5"/>
      <c r="S11" s="5"/>
      <c r="T11" s="5"/>
    </row>
    <row r="12" spans="1:30" x14ac:dyDescent="0.25">
      <c r="A12" t="str">
        <f>IF(Input!A13="","",Input!A13)</f>
        <v>Balanced Passive</v>
      </c>
      <c r="B12" s="5">
        <v>0.11</v>
      </c>
      <c r="C12" s="5">
        <v>0.222</v>
      </c>
      <c r="D12" s="5">
        <v>4.7E-2</v>
      </c>
      <c r="E12" s="5">
        <v>0.20399999999999999</v>
      </c>
      <c r="F12" s="5">
        <v>3.3000000000000002E-2</v>
      </c>
      <c r="G12" s="5"/>
      <c r="H12" s="5"/>
      <c r="I12" s="5"/>
      <c r="J12" s="5">
        <v>2.7000000000000003E-2</v>
      </c>
      <c r="K12" s="5">
        <v>1.7000000000000001E-2</v>
      </c>
      <c r="L12" s="5">
        <v>0.05</v>
      </c>
      <c r="M12" s="5">
        <v>0.11699999999999999</v>
      </c>
      <c r="N12" s="5">
        <v>0.56100000000000005</v>
      </c>
      <c r="O12" s="5">
        <v>0.27200000000000002</v>
      </c>
      <c r="P12" s="5">
        <v>0.12</v>
      </c>
      <c r="Q12" s="5"/>
      <c r="R12" s="5">
        <v>4.7E-2</v>
      </c>
      <c r="S12" s="5"/>
      <c r="T12" s="5"/>
    </row>
    <row r="13" spans="1:30" x14ac:dyDescent="0.25">
      <c r="A13" t="str">
        <f>IF(Input!A14="","",Input!A14)</f>
        <v>Cultivate Passive</v>
      </c>
      <c r="B13" s="5">
        <v>8.7499999999999994E-2</v>
      </c>
      <c r="C13" s="5">
        <v>0.18</v>
      </c>
      <c r="D13" s="5">
        <v>5.2499999999999998E-2</v>
      </c>
      <c r="E13" s="5">
        <v>0.25629999999999997</v>
      </c>
      <c r="F13" s="5">
        <v>0.05</v>
      </c>
      <c r="G13" s="5"/>
      <c r="H13" s="5"/>
      <c r="I13" s="5"/>
      <c r="J13" s="5">
        <v>3.5000000000000003E-2</v>
      </c>
      <c r="K13" s="5">
        <v>0.02</v>
      </c>
      <c r="L13" s="5">
        <v>3.7499999999999999E-2</v>
      </c>
      <c r="M13" s="5">
        <v>0.12380000000000001</v>
      </c>
      <c r="N13" s="5">
        <v>0.63500000000000001</v>
      </c>
      <c r="O13" s="5">
        <v>0.2175</v>
      </c>
      <c r="P13" s="5">
        <v>9.5000000000000001E-2</v>
      </c>
      <c r="Q13" s="5"/>
      <c r="R13" s="5">
        <v>5.2499999999999998E-2</v>
      </c>
      <c r="S13" s="5"/>
      <c r="T13" s="5"/>
    </row>
    <row r="14" spans="1:30" x14ac:dyDescent="0.25">
      <c r="A14" t="str">
        <f>IF(Input!A15="","",Input!A15)</f>
        <v>Endure Passive</v>
      </c>
      <c r="B14" s="5">
        <v>6.8000000000000005E-2</v>
      </c>
      <c r="C14" s="5">
        <v>0.29399999999999998</v>
      </c>
      <c r="D14" s="5">
        <v>7.0000000000000007E-2</v>
      </c>
      <c r="E14" s="5">
        <v>0.16</v>
      </c>
      <c r="F14" s="5">
        <v>2.5000000000000001E-2</v>
      </c>
      <c r="G14" s="5">
        <v>3.5000000000000003E-2</v>
      </c>
      <c r="H14" s="5"/>
      <c r="I14" s="5"/>
      <c r="J14" s="5">
        <v>1.4999999999999999E-2</v>
      </c>
      <c r="K14" s="5"/>
      <c r="L14" s="5">
        <v>7.4999999999999997E-2</v>
      </c>
      <c r="M14" s="5">
        <v>8.8000000000000009E-2</v>
      </c>
      <c r="N14" s="5">
        <v>0.39100000000000001</v>
      </c>
      <c r="O14" s="5">
        <v>0.36899999999999999</v>
      </c>
      <c r="P14" s="5">
        <v>0.17</v>
      </c>
      <c r="Q14" s="5"/>
      <c r="R14" s="5">
        <v>7.0000000000000007E-2</v>
      </c>
      <c r="S14" s="5"/>
      <c r="T14" s="5"/>
    </row>
    <row r="15" spans="1:30" x14ac:dyDescent="0.25">
      <c r="A15" t="str">
        <f>IF(Input!A16="","",Input!A16)</f>
        <v>Flourish Passive</v>
      </c>
      <c r="B15" s="5">
        <v>0.14800000000000002</v>
      </c>
      <c r="C15" s="5">
        <v>0.14499999999999999</v>
      </c>
      <c r="D15" s="5">
        <v>3.5000000000000003E-2</v>
      </c>
      <c r="E15" s="5">
        <v>0.255</v>
      </c>
      <c r="F15" s="5">
        <v>0.05</v>
      </c>
      <c r="G15" s="5"/>
      <c r="H15" s="5"/>
      <c r="I15" s="5"/>
      <c r="J15" s="5">
        <v>0.04</v>
      </c>
      <c r="K15" s="5">
        <v>2.5000000000000001E-2</v>
      </c>
      <c r="L15" s="5">
        <v>2.5000000000000001E-2</v>
      </c>
      <c r="M15" s="5">
        <v>0.13699999999999998</v>
      </c>
      <c r="N15" s="5">
        <v>0.72499999999999998</v>
      </c>
      <c r="O15" s="5">
        <v>0.17</v>
      </c>
      <c r="P15" s="5">
        <v>7.0000000000000007E-2</v>
      </c>
      <c r="Q15" s="5"/>
      <c r="R15" s="5">
        <v>3.5000000000000003E-2</v>
      </c>
      <c r="S15" s="5"/>
      <c r="T15" s="5"/>
    </row>
    <row r="16" spans="1:30" x14ac:dyDescent="0.25">
      <c r="A16" t="str">
        <f>IF(Input!A17="","",Input!A17)</f>
        <v>Magnify Passive</v>
      </c>
      <c r="B16" s="5">
        <v>0.17129999999999998</v>
      </c>
      <c r="C16" s="5">
        <v>0.1125</v>
      </c>
      <c r="D16" s="5">
        <v>1.7500000000000002E-2</v>
      </c>
      <c r="E16" s="5">
        <v>0.27250000000000002</v>
      </c>
      <c r="F16" s="5"/>
      <c r="G16" s="5">
        <v>0.08</v>
      </c>
      <c r="H16" s="5"/>
      <c r="I16" s="5"/>
      <c r="J16" s="5">
        <v>4.4999999999999998E-2</v>
      </c>
      <c r="K16" s="5">
        <v>3.7499999999999999E-2</v>
      </c>
      <c r="L16" s="5">
        <v>1.2500000000000001E-2</v>
      </c>
      <c r="M16" s="5">
        <v>0.15629999999999999</v>
      </c>
      <c r="N16" s="5">
        <v>0.8125</v>
      </c>
      <c r="O16" s="5">
        <v>0.125</v>
      </c>
      <c r="P16" s="5">
        <v>4.4999999999999998E-2</v>
      </c>
      <c r="Q16" s="5"/>
      <c r="R16" s="5">
        <v>1.7500000000000002E-2</v>
      </c>
      <c r="S16" s="5"/>
      <c r="T16" s="5"/>
    </row>
    <row r="17" spans="1:29" x14ac:dyDescent="0.25">
      <c r="A17" t="str">
        <f>IF(Input!A18="","",Input!A18)</f>
        <v>Mature Passsive</v>
      </c>
      <c r="B17" s="5">
        <v>8.3800000000000013E-2</v>
      </c>
      <c r="C17" s="5">
        <v>0.2525</v>
      </c>
      <c r="D17" s="5">
        <v>7.0000000000000007E-2</v>
      </c>
      <c r="E17" s="5">
        <v>0.19</v>
      </c>
      <c r="F17" s="5">
        <v>3.7499999999999999E-2</v>
      </c>
      <c r="G17" s="5">
        <v>4.2500000000000003E-2</v>
      </c>
      <c r="H17" s="5"/>
      <c r="I17" s="5"/>
      <c r="J17" s="5">
        <v>2.2499999999999999E-2</v>
      </c>
      <c r="K17" s="5"/>
      <c r="L17" s="5">
        <v>6.25E-2</v>
      </c>
      <c r="M17" s="5">
        <v>9.3800000000000008E-2</v>
      </c>
      <c r="N17" s="5">
        <v>0.47</v>
      </c>
      <c r="O17" s="5">
        <v>0.315</v>
      </c>
      <c r="P17" s="5">
        <v>0.14499999999999999</v>
      </c>
      <c r="Q17" s="5"/>
      <c r="R17" s="5">
        <v>7.0000000000000007E-2</v>
      </c>
      <c r="T17" s="5"/>
      <c r="W17" s="5"/>
      <c r="Y17" s="5"/>
      <c r="Z17" s="5"/>
      <c r="AB17" s="5"/>
    </row>
    <row r="18" spans="1:29" x14ac:dyDescent="0.25">
      <c r="A18" t="str">
        <f>IF(Input!A19="","",Input!A19)</f>
        <v>Preserve Passive</v>
      </c>
      <c r="B18" s="5">
        <v>5.1299999999999998E-2</v>
      </c>
      <c r="C18" s="5">
        <v>0.33750000000000002</v>
      </c>
      <c r="D18" s="5">
        <v>7.0000000000000007E-2</v>
      </c>
      <c r="E18" s="5">
        <v>0.13</v>
      </c>
      <c r="F18" s="5">
        <v>1.2500000000000001E-2</v>
      </c>
      <c r="G18" s="5">
        <v>2.75E-2</v>
      </c>
      <c r="H18" s="5"/>
      <c r="I18" s="5"/>
      <c r="J18" s="5">
        <v>7.4999999999999997E-3</v>
      </c>
      <c r="K18" s="5"/>
      <c r="L18" s="5">
        <v>8.7499999999999994E-2</v>
      </c>
      <c r="M18" s="5">
        <v>8.1300000000000011E-2</v>
      </c>
      <c r="N18" s="5">
        <v>0.31</v>
      </c>
      <c r="O18" s="5">
        <v>0.42499999999999999</v>
      </c>
      <c r="P18" s="5">
        <v>0.19500000000000001</v>
      </c>
      <c r="Q18" s="5"/>
      <c r="R18" s="5">
        <v>7.0000000000000007E-2</v>
      </c>
      <c r="T18" s="5"/>
      <c r="U18" s="5"/>
      <c r="Z18" s="5"/>
    </row>
    <row r="19" spans="1:29" x14ac:dyDescent="0.25">
      <c r="A19" t="str">
        <f>IF(Input!A20="","",Input!A20)</f>
        <v>Protect Passive</v>
      </c>
      <c r="B19" s="5">
        <v>3.5000000000000003E-2</v>
      </c>
      <c r="C19" s="5">
        <v>0.38</v>
      </c>
      <c r="D19" s="5">
        <v>7.0000000000000007E-2</v>
      </c>
      <c r="E19" s="5">
        <v>0.1</v>
      </c>
      <c r="F19" s="5"/>
      <c r="G19" s="5">
        <v>0.02</v>
      </c>
      <c r="H19" s="5"/>
      <c r="I19" s="5"/>
      <c r="J19" s="5"/>
      <c r="K19" s="5"/>
      <c r="L19" s="5">
        <v>0.1</v>
      </c>
      <c r="M19" s="5">
        <v>7.4999999999999997E-2</v>
      </c>
      <c r="N19" s="5">
        <v>0.23</v>
      </c>
      <c r="O19" s="5">
        <v>0.48</v>
      </c>
      <c r="P19" s="5">
        <v>0.22</v>
      </c>
      <c r="Q19" s="5"/>
      <c r="R19" s="5">
        <v>7.0000000000000007E-2</v>
      </c>
      <c r="T19" s="5"/>
      <c r="U19" s="5"/>
      <c r="W19" s="5"/>
      <c r="X19" s="5"/>
      <c r="Y19" s="5"/>
    </row>
    <row r="20" spans="1:29" x14ac:dyDescent="0.25">
      <c r="A20" t="str">
        <f>IF(Input!A21="","",Input!A21)</f>
        <v>Enjoy Passive</v>
      </c>
      <c r="B20" s="5">
        <v>0.1</v>
      </c>
      <c r="C20" s="5">
        <v>0.21</v>
      </c>
      <c r="D20" s="5">
        <v>7.0000000000000007E-2</v>
      </c>
      <c r="E20" s="5">
        <v>0.22</v>
      </c>
      <c r="F20" s="5">
        <v>0.05</v>
      </c>
      <c r="G20" s="5">
        <v>0.05</v>
      </c>
      <c r="H20" s="5"/>
      <c r="I20" s="5"/>
      <c r="J20" s="5">
        <v>0.03</v>
      </c>
      <c r="K20" s="5"/>
      <c r="L20" s="5">
        <v>0.05</v>
      </c>
      <c r="M20" s="5">
        <v>0.1</v>
      </c>
      <c r="N20" s="5">
        <v>0.55000000000000004</v>
      </c>
      <c r="O20" s="5">
        <v>0.26</v>
      </c>
      <c r="P20" s="5">
        <v>0.12</v>
      </c>
      <c r="Q20" s="5"/>
      <c r="R20" s="5">
        <v>7.0000000000000007E-2</v>
      </c>
      <c r="T20" s="5"/>
      <c r="W20" s="5"/>
      <c r="X20" s="5"/>
      <c r="Y20" s="5"/>
      <c r="AB20" s="5"/>
    </row>
    <row r="21" spans="1:29" x14ac:dyDescent="0.25">
      <c r="A21" t="str">
        <f>IF(Input!A22="","",Input!A22)</f>
        <v>Grow Passive</v>
      </c>
      <c r="B21" s="5">
        <v>0.19500000000000001</v>
      </c>
      <c r="C21" s="5">
        <v>0.08</v>
      </c>
      <c r="D21" s="5"/>
      <c r="E21" s="5">
        <v>0.28999999999999998</v>
      </c>
      <c r="F21" s="5">
        <v>0.05</v>
      </c>
      <c r="G21" s="5">
        <v>0.09</v>
      </c>
      <c r="H21" s="5"/>
      <c r="I21" s="5"/>
      <c r="J21" s="5">
        <v>0.05</v>
      </c>
      <c r="K21" s="5">
        <v>0.05</v>
      </c>
      <c r="L21" s="5"/>
      <c r="M21" s="5">
        <v>0.17499999999999999</v>
      </c>
      <c r="N21" s="5">
        <v>0.9</v>
      </c>
      <c r="O21" s="5">
        <v>0.08</v>
      </c>
      <c r="P21" s="5">
        <v>0.02</v>
      </c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Balanced Attenborough</v>
      </c>
      <c r="B22" s="5">
        <v>0.314</v>
      </c>
      <c r="C22" s="5">
        <v>0.17899999999999999</v>
      </c>
      <c r="D22" s="5">
        <v>0.14699999999999999</v>
      </c>
      <c r="E22" s="5">
        <v>0.11</v>
      </c>
      <c r="F22" s="5">
        <v>4.2999999999999997E-2</v>
      </c>
      <c r="G22" s="5">
        <v>0.04</v>
      </c>
      <c r="H22" s="5"/>
      <c r="I22" s="5">
        <v>1.7000000000000001E-2</v>
      </c>
      <c r="J22" s="5"/>
      <c r="K22" s="5"/>
      <c r="L22" s="5"/>
      <c r="M22" s="5"/>
      <c r="N22" s="5">
        <v>0.50700000000000001</v>
      </c>
      <c r="O22" s="5">
        <v>0.19600000000000001</v>
      </c>
      <c r="P22" s="5">
        <v>0.10300000000000001</v>
      </c>
      <c r="Q22" s="5">
        <v>4.7E-2</v>
      </c>
      <c r="R22" s="5">
        <v>0.14699999999999999</v>
      </c>
      <c r="T22" s="5"/>
      <c r="U22" s="5"/>
      <c r="Z22" s="5"/>
    </row>
    <row r="23" spans="1:29" x14ac:dyDescent="0.25">
      <c r="A23" t="str">
        <f>IF(Input!A24="","",Input!A24)</f>
        <v>Cultivate Attenborough</v>
      </c>
      <c r="B23" s="5">
        <v>0.33799999999999997</v>
      </c>
      <c r="C23" s="5">
        <v>0.16699999999999998</v>
      </c>
      <c r="D23" s="5">
        <v>0.113</v>
      </c>
      <c r="E23" s="5">
        <v>0.13400000000000001</v>
      </c>
      <c r="F23" s="5">
        <v>5.7999999999999996E-2</v>
      </c>
      <c r="G23" s="5">
        <v>0.05</v>
      </c>
      <c r="I23" s="5"/>
      <c r="J23" s="5"/>
      <c r="K23" s="5"/>
      <c r="L23" s="5"/>
      <c r="M23" s="5"/>
      <c r="N23" s="5">
        <v>0.57999999999999996</v>
      </c>
      <c r="O23" s="5">
        <v>0.16699999999999998</v>
      </c>
      <c r="P23" s="5">
        <v>9.5000000000000001E-2</v>
      </c>
      <c r="Q23" s="5">
        <v>4.4999999999999998E-2</v>
      </c>
      <c r="R23" s="5">
        <v>0.113</v>
      </c>
      <c r="T23" s="5"/>
      <c r="U23" s="5"/>
      <c r="Y23" s="5"/>
      <c r="AB23" s="5"/>
    </row>
    <row r="24" spans="1:29" x14ac:dyDescent="0.25">
      <c r="A24" t="str">
        <f>IF(Input!A25="","",Input!A25)</f>
        <v>Endure Attenborough</v>
      </c>
      <c r="B24" s="5">
        <v>0.17</v>
      </c>
      <c r="C24" s="5">
        <v>0.23</v>
      </c>
      <c r="D24" s="5">
        <v>0.22</v>
      </c>
      <c r="E24" s="5">
        <v>0.08</v>
      </c>
      <c r="F24" s="5">
        <v>2.5000000000000001E-2</v>
      </c>
      <c r="G24" s="5">
        <v>3.5000000000000003E-2</v>
      </c>
      <c r="I24" s="5">
        <v>2.5000000000000001E-2</v>
      </c>
      <c r="J24" s="5"/>
      <c r="K24" s="5"/>
      <c r="L24" s="5"/>
      <c r="M24" s="5"/>
      <c r="N24" s="5">
        <v>0.31</v>
      </c>
      <c r="O24" s="5">
        <v>0.255</v>
      </c>
      <c r="P24" s="5">
        <v>0.14499999999999999</v>
      </c>
      <c r="Q24" s="5">
        <v>7.0000000000000007E-2</v>
      </c>
      <c r="R24" s="5">
        <v>0.22</v>
      </c>
      <c r="T24" s="5"/>
      <c r="U24" s="5"/>
      <c r="Y24" s="5"/>
    </row>
    <row r="25" spans="1:29" x14ac:dyDescent="0.25">
      <c r="A25" t="str">
        <f>IF(Input!A26="","",Input!A26)</f>
        <v>Flourish Attenborough</v>
      </c>
      <c r="B25" s="5">
        <v>0.42499999999999999</v>
      </c>
      <c r="C25" s="5">
        <v>0.14000000000000001</v>
      </c>
      <c r="D25" s="5">
        <v>7.4999999999999997E-2</v>
      </c>
      <c r="E25" s="5">
        <v>0.14499999999999999</v>
      </c>
      <c r="F25" s="5">
        <v>6.5000000000000002E-2</v>
      </c>
      <c r="G25" s="5">
        <v>0.05</v>
      </c>
      <c r="I25" s="5"/>
      <c r="L25" s="5"/>
      <c r="M25" s="5"/>
      <c r="N25" s="5">
        <v>0.68500000000000005</v>
      </c>
      <c r="O25" s="5">
        <v>0.14000000000000001</v>
      </c>
      <c r="P25" s="5">
        <v>7.0000000000000007E-2</v>
      </c>
      <c r="Q25" s="5">
        <v>0.03</v>
      </c>
      <c r="R25" s="5">
        <v>7.4999999999999997E-2</v>
      </c>
      <c r="U25" s="5"/>
      <c r="W25" s="5"/>
      <c r="AB25" s="5"/>
    </row>
    <row r="26" spans="1:29" x14ac:dyDescent="0.25">
      <c r="A26" t="str">
        <f>IF(Input!A27="","",Input!A27)</f>
        <v>Magnify Attenborough</v>
      </c>
      <c r="B26" s="5">
        <v>0.51200000000000001</v>
      </c>
      <c r="C26" s="5">
        <v>0.11</v>
      </c>
      <c r="D26" s="5">
        <v>0.04</v>
      </c>
      <c r="E26" s="5">
        <v>0.156</v>
      </c>
      <c r="F26" s="5">
        <v>7.2000000000000008E-2</v>
      </c>
      <c r="G26" s="5">
        <v>0.05</v>
      </c>
      <c r="I26" s="5"/>
      <c r="L26" s="5"/>
      <c r="M26" s="5"/>
      <c r="N26" s="5">
        <v>0.79</v>
      </c>
      <c r="O26" s="5">
        <v>0.11</v>
      </c>
      <c r="P26" s="5">
        <v>4.4999999999999998E-2</v>
      </c>
      <c r="Q26" s="5">
        <v>1.4999999999999999E-2</v>
      </c>
      <c r="R26" s="5">
        <v>0.04</v>
      </c>
      <c r="U26" s="5"/>
      <c r="W26" s="5"/>
      <c r="AB26" s="5"/>
    </row>
    <row r="27" spans="1:29" x14ac:dyDescent="0.25">
      <c r="A27" t="str">
        <f>IF(Input!A28="","",Input!A28)</f>
        <v>Mature Attenborough</v>
      </c>
      <c r="B27" s="5">
        <v>0.21</v>
      </c>
      <c r="C27" s="5">
        <v>0.215</v>
      </c>
      <c r="D27" s="5">
        <v>0.18600000000000003</v>
      </c>
      <c r="E27" s="5">
        <v>0.1</v>
      </c>
      <c r="F27" s="5">
        <v>3.7999999999999999E-2</v>
      </c>
      <c r="G27" s="5">
        <v>4.2000000000000003E-2</v>
      </c>
      <c r="I27" s="5">
        <v>1.2E-2</v>
      </c>
      <c r="L27" s="5"/>
      <c r="M27" s="5"/>
      <c r="N27" s="5">
        <v>0.39</v>
      </c>
      <c r="O27" s="5">
        <v>0.22699999999999998</v>
      </c>
      <c r="P27" s="5">
        <v>0.13200000000000001</v>
      </c>
      <c r="Q27" s="5">
        <v>6.5000000000000002E-2</v>
      </c>
      <c r="R27" s="5">
        <v>0.18600000000000003</v>
      </c>
      <c r="U27" s="5"/>
      <c r="W27" s="5"/>
      <c r="AB27" s="5"/>
    </row>
    <row r="28" spans="1:29" x14ac:dyDescent="0.25">
      <c r="A28" t="str">
        <f>IF(Input!A29="","",Input!A29)</f>
        <v>Preserve Attenborough</v>
      </c>
      <c r="B28" s="5">
        <v>0.13</v>
      </c>
      <c r="C28" s="5">
        <v>0.245</v>
      </c>
      <c r="D28" s="5">
        <v>0.254</v>
      </c>
      <c r="E28" s="5">
        <v>0.06</v>
      </c>
      <c r="F28" s="5">
        <v>1.2E-2</v>
      </c>
      <c r="G28" s="5">
        <v>2.7999999999999997E-2</v>
      </c>
      <c r="I28" s="5">
        <v>3.7999999999999999E-2</v>
      </c>
      <c r="M28" s="5"/>
      <c r="N28" s="5">
        <v>0.23</v>
      </c>
      <c r="O28" s="5">
        <v>0.28300000000000003</v>
      </c>
      <c r="P28" s="5">
        <v>0.158</v>
      </c>
      <c r="Q28" s="5">
        <v>7.4999999999999997E-2</v>
      </c>
      <c r="R28" s="5">
        <v>0.254</v>
      </c>
      <c r="U28" s="5"/>
      <c r="W28" s="5"/>
      <c r="AB28" s="5"/>
      <c r="AC28" s="5"/>
    </row>
    <row r="29" spans="1:29" x14ac:dyDescent="0.25">
      <c r="A29" t="str">
        <f>IF(Input!A30="","",Input!A30)</f>
        <v>Protect Attenborough</v>
      </c>
      <c r="B29" s="5">
        <v>0.09</v>
      </c>
      <c r="C29" s="5">
        <v>0.26</v>
      </c>
      <c r="D29" s="5">
        <v>0.28999999999999998</v>
      </c>
      <c r="E29" s="5">
        <v>0.04</v>
      </c>
      <c r="G29" s="5">
        <v>0.02</v>
      </c>
      <c r="H29" s="5"/>
      <c r="I29" s="5">
        <v>0.05</v>
      </c>
      <c r="J29" s="5"/>
      <c r="K29" s="5"/>
      <c r="L29" s="5"/>
      <c r="M29" s="5"/>
      <c r="N29" s="5">
        <v>0.15</v>
      </c>
      <c r="O29" s="5">
        <v>0.31</v>
      </c>
      <c r="P29" s="5">
        <v>0.17</v>
      </c>
      <c r="Q29" s="5">
        <v>0.08</v>
      </c>
      <c r="R29" s="5">
        <v>0.28999999999999998</v>
      </c>
      <c r="S29" s="5"/>
      <c r="T29" s="5"/>
    </row>
    <row r="30" spans="1:29" x14ac:dyDescent="0.25">
      <c r="A30" t="str">
        <f>IF(Input!A31="","",Input!A31)</f>
        <v>Enjoy Attenborough</v>
      </c>
      <c r="B30" s="5">
        <v>0.25</v>
      </c>
      <c r="C30" s="5">
        <v>0.2</v>
      </c>
      <c r="D30" s="5">
        <v>0.15</v>
      </c>
      <c r="E30" s="5">
        <v>0.12</v>
      </c>
      <c r="F30" s="5">
        <v>0.05</v>
      </c>
      <c r="G30" s="5">
        <v>0.05</v>
      </c>
      <c r="H30" s="5"/>
      <c r="J30" s="5"/>
      <c r="K30" s="5"/>
      <c r="M30" s="5"/>
      <c r="N30" s="5">
        <v>0.47</v>
      </c>
      <c r="O30" s="5">
        <v>0.2</v>
      </c>
      <c r="P30" s="5">
        <v>0.12</v>
      </c>
      <c r="Q30" s="5">
        <v>0.06</v>
      </c>
      <c r="R30" s="5">
        <v>0.15</v>
      </c>
      <c r="S30" s="5"/>
      <c r="T30" s="5"/>
    </row>
    <row r="31" spans="1:29" x14ac:dyDescent="0.25">
      <c r="A31" t="str">
        <f>IF(Input!A32="","",Input!A32)</f>
        <v>Grow Attenborough</v>
      </c>
      <c r="B31" s="5">
        <v>0.6</v>
      </c>
      <c r="C31" s="5">
        <v>0.08</v>
      </c>
      <c r="E31" s="5">
        <v>0.17</v>
      </c>
      <c r="F31" s="5">
        <v>0.08</v>
      </c>
      <c r="G31" s="5">
        <v>0.05</v>
      </c>
      <c r="H31" s="5"/>
      <c r="I31" s="5"/>
      <c r="J31" s="5"/>
      <c r="M31" s="5"/>
      <c r="N31" s="5">
        <v>0.9</v>
      </c>
      <c r="O31" s="5">
        <v>0.08</v>
      </c>
      <c r="P31" s="5">
        <v>0.02</v>
      </c>
      <c r="Q31" s="5"/>
      <c r="S31" s="5"/>
      <c r="T31" s="5"/>
    </row>
    <row r="32" spans="1:29" x14ac:dyDescent="0.25">
      <c r="A32" t="str">
        <f>IF(Input!A33="","",Input!A33)</f>
        <v>Passive Income</v>
      </c>
      <c r="B32" s="5">
        <v>0.17</v>
      </c>
      <c r="C32" s="5">
        <v>0.28999999999999998</v>
      </c>
      <c r="E32" s="5">
        <v>0.22</v>
      </c>
      <c r="F32" s="5">
        <v>0.05</v>
      </c>
      <c r="G32" s="5">
        <v>0.06</v>
      </c>
      <c r="H32" s="5"/>
      <c r="I32" s="5"/>
      <c r="J32" s="5">
        <v>0.02</v>
      </c>
      <c r="L32" s="5">
        <v>0.04</v>
      </c>
      <c r="M32" s="5">
        <v>0.03</v>
      </c>
      <c r="N32" s="5">
        <v>0.55000000000000004</v>
      </c>
      <c r="O32" s="5">
        <v>0.33</v>
      </c>
      <c r="P32" s="5">
        <v>0.12</v>
      </c>
      <c r="Q32" s="5"/>
      <c r="R32" s="5"/>
      <c r="S32" s="5"/>
      <c r="T32" s="5"/>
    </row>
    <row r="33" spans="1:27" x14ac:dyDescent="0.25">
      <c r="A33" t="str">
        <f>IF(Input!A34="","",Input!A34)</f>
        <v>Natural Income</v>
      </c>
      <c r="B33" s="5">
        <v>0.2</v>
      </c>
      <c r="C33" s="5">
        <v>0.12</v>
      </c>
      <c r="E33" s="5">
        <v>0.3</v>
      </c>
      <c r="F33" s="5">
        <v>0.05</v>
      </c>
      <c r="G33" s="5">
        <v>0.06</v>
      </c>
      <c r="H33" s="5">
        <v>0.08</v>
      </c>
      <c r="I33" s="5"/>
      <c r="J33" s="5">
        <v>0.02</v>
      </c>
      <c r="M33" s="5"/>
      <c r="N33" s="5">
        <v>0.63</v>
      </c>
      <c r="O33" s="5">
        <v>0.25</v>
      </c>
      <c r="P33" s="5">
        <v>0.12</v>
      </c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E34" s="5"/>
      <c r="F34" s="5"/>
      <c r="H34" s="5"/>
      <c r="I34" s="5"/>
      <c r="O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2" workbookViewId="0">
      <selection activeCell="D6" sqref="D6"/>
    </sheetView>
  </sheetViews>
  <sheetFormatPr defaultRowHeight="15" x14ac:dyDescent="0.25"/>
  <cols>
    <col min="1" max="1" width="19.5703125" bestFit="1" customWidth="1"/>
    <col min="2" max="2" width="53.85546875" bestFit="1" customWidth="1"/>
    <col min="3" max="3" width="15.140625" bestFit="1" customWidth="1"/>
    <col min="4" max="4" width="70.710937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Balanced</v>
      </c>
      <c r="B2" t="s">
        <v>45</v>
      </c>
      <c r="C2" t="s">
        <v>80</v>
      </c>
      <c r="D2" s="8" t="s">
        <v>84</v>
      </c>
      <c r="E2" t="s">
        <v>35</v>
      </c>
    </row>
    <row r="3" spans="1:5" x14ac:dyDescent="0.25">
      <c r="A3" t="str">
        <f>IF(Input!A4="","",Input!A4)</f>
        <v>Cultivate</v>
      </c>
      <c r="B3" t="s">
        <v>45</v>
      </c>
      <c r="C3" t="s">
        <v>80</v>
      </c>
      <c r="D3" s="8" t="s">
        <v>84</v>
      </c>
      <c r="E3" t="s">
        <v>35</v>
      </c>
    </row>
    <row r="4" spans="1:5" x14ac:dyDescent="0.25">
      <c r="A4" t="str">
        <f>IF(Input!A5="","",Input!A5)</f>
        <v>Endure</v>
      </c>
      <c r="B4" t="s">
        <v>45</v>
      </c>
      <c r="C4" t="s">
        <v>80</v>
      </c>
      <c r="D4" s="8" t="s">
        <v>84</v>
      </c>
      <c r="E4" t="s">
        <v>35</v>
      </c>
    </row>
    <row r="5" spans="1:5" x14ac:dyDescent="0.25">
      <c r="A5" t="str">
        <f>IF(Input!A6="","",Input!A6)</f>
        <v>Flourish</v>
      </c>
      <c r="B5" t="s">
        <v>45</v>
      </c>
      <c r="C5" t="s">
        <v>80</v>
      </c>
      <c r="D5" s="8" t="s">
        <v>84</v>
      </c>
      <c r="E5" t="s">
        <v>35</v>
      </c>
    </row>
    <row r="6" spans="1:5" x14ac:dyDescent="0.25">
      <c r="A6" t="str">
        <f>IF(Input!A7="","",Input!A7)</f>
        <v>Magnify</v>
      </c>
      <c r="B6" t="s">
        <v>45</v>
      </c>
      <c r="C6" t="s">
        <v>80</v>
      </c>
      <c r="D6" s="8" t="s">
        <v>84</v>
      </c>
      <c r="E6" t="s">
        <v>35</v>
      </c>
    </row>
    <row r="7" spans="1:5" x14ac:dyDescent="0.25">
      <c r="A7" t="str">
        <f>IF(Input!A8="","",Input!A8)</f>
        <v>Mature</v>
      </c>
      <c r="B7" t="s">
        <v>45</v>
      </c>
      <c r="C7" t="s">
        <v>80</v>
      </c>
      <c r="D7" s="8" t="s">
        <v>84</v>
      </c>
      <c r="E7" t="s">
        <v>35</v>
      </c>
    </row>
    <row r="8" spans="1:5" x14ac:dyDescent="0.25">
      <c r="A8" t="str">
        <f>IF(Input!A9="","",Input!A9)</f>
        <v>Preserve</v>
      </c>
      <c r="B8" t="s">
        <v>45</v>
      </c>
      <c r="C8" t="s">
        <v>80</v>
      </c>
      <c r="D8" s="8" t="s">
        <v>84</v>
      </c>
      <c r="E8" t="s">
        <v>35</v>
      </c>
    </row>
    <row r="9" spans="1:5" x14ac:dyDescent="0.25">
      <c r="A9" t="str">
        <f>IF(Input!A10="","",Input!A10)</f>
        <v>Trust DFM Protect</v>
      </c>
      <c r="B9" t="s">
        <v>45</v>
      </c>
      <c r="C9" t="s">
        <v>80</v>
      </c>
      <c r="D9" s="8" t="s">
        <v>84</v>
      </c>
      <c r="E9" t="s">
        <v>35</v>
      </c>
    </row>
    <row r="10" spans="1:5" x14ac:dyDescent="0.25">
      <c r="A10" t="str">
        <f>IF(Input!A11="","",Input!A11)</f>
        <v>Trust DFM Enjoy</v>
      </c>
      <c r="B10" t="s">
        <v>45</v>
      </c>
      <c r="C10" t="s">
        <v>80</v>
      </c>
      <c r="D10" s="8" t="s">
        <v>84</v>
      </c>
      <c r="E10" t="s">
        <v>35</v>
      </c>
    </row>
    <row r="11" spans="1:5" x14ac:dyDescent="0.25">
      <c r="A11" t="str">
        <f>IF(Input!A12="","",Input!A12)</f>
        <v>Trust DFM Grow</v>
      </c>
      <c r="B11" t="s">
        <v>45</v>
      </c>
      <c r="C11" t="s">
        <v>80</v>
      </c>
      <c r="D11" s="8" t="s">
        <v>84</v>
      </c>
      <c r="E11" t="s">
        <v>35</v>
      </c>
    </row>
    <row r="12" spans="1:5" x14ac:dyDescent="0.25">
      <c r="A12" t="str">
        <f>IF(Input!A13="","",Input!A13)</f>
        <v>Balanced Passive</v>
      </c>
      <c r="B12" t="s">
        <v>45</v>
      </c>
      <c r="C12" t="s">
        <v>81</v>
      </c>
      <c r="D12" s="8" t="s">
        <v>85</v>
      </c>
      <c r="E12" t="s">
        <v>57</v>
      </c>
    </row>
    <row r="13" spans="1:5" x14ac:dyDescent="0.25">
      <c r="A13" t="str">
        <f>IF(Input!A14="","",Input!A14)</f>
        <v>Cultivate Passive</v>
      </c>
      <c r="B13" t="s">
        <v>45</v>
      </c>
      <c r="C13" t="s">
        <v>81</v>
      </c>
      <c r="D13" s="8" t="s">
        <v>85</v>
      </c>
      <c r="E13" t="s">
        <v>57</v>
      </c>
    </row>
    <row r="14" spans="1:5" x14ac:dyDescent="0.25">
      <c r="A14" t="str">
        <f>IF(Input!A15="","",Input!A15)</f>
        <v>Endure Passive</v>
      </c>
      <c r="B14" t="s">
        <v>45</v>
      </c>
      <c r="C14" t="s">
        <v>81</v>
      </c>
      <c r="D14" s="8" t="s">
        <v>85</v>
      </c>
      <c r="E14" t="s">
        <v>57</v>
      </c>
    </row>
    <row r="15" spans="1:5" x14ac:dyDescent="0.25">
      <c r="A15" t="str">
        <f>IF(Input!A16="","",Input!A16)</f>
        <v>Flourish Passive</v>
      </c>
      <c r="B15" t="s">
        <v>45</v>
      </c>
      <c r="C15" t="s">
        <v>81</v>
      </c>
      <c r="D15" s="8" t="s">
        <v>85</v>
      </c>
      <c r="E15" t="s">
        <v>57</v>
      </c>
    </row>
    <row r="16" spans="1:5" x14ac:dyDescent="0.25">
      <c r="A16" t="str">
        <f>IF(Input!A17="","",Input!A17)</f>
        <v>Magnify Passive</v>
      </c>
      <c r="B16" t="s">
        <v>45</v>
      </c>
      <c r="C16" t="s">
        <v>81</v>
      </c>
      <c r="D16" s="8" t="s">
        <v>85</v>
      </c>
      <c r="E16" t="s">
        <v>57</v>
      </c>
    </row>
    <row r="17" spans="1:5" x14ac:dyDescent="0.25">
      <c r="A17" t="str">
        <f>IF(Input!A18="","",Input!A18)</f>
        <v>Mature Passsive</v>
      </c>
      <c r="B17" t="s">
        <v>45</v>
      </c>
      <c r="C17" t="s">
        <v>81</v>
      </c>
      <c r="D17" s="8" t="s">
        <v>85</v>
      </c>
      <c r="E17" t="s">
        <v>57</v>
      </c>
    </row>
    <row r="18" spans="1:5" x14ac:dyDescent="0.25">
      <c r="A18" t="str">
        <f>IF(Input!A19="","",Input!A19)</f>
        <v>Preserve Passive</v>
      </c>
      <c r="B18" t="s">
        <v>45</v>
      </c>
      <c r="C18" t="s">
        <v>81</v>
      </c>
      <c r="D18" s="8" t="s">
        <v>85</v>
      </c>
      <c r="E18" t="s">
        <v>57</v>
      </c>
    </row>
    <row r="19" spans="1:5" x14ac:dyDescent="0.25">
      <c r="A19" t="str">
        <f>IF(Input!A20="","",Input!A20)</f>
        <v>Protect Passive</v>
      </c>
      <c r="B19" t="s">
        <v>45</v>
      </c>
      <c r="C19" t="s">
        <v>81</v>
      </c>
      <c r="D19" s="8" t="s">
        <v>85</v>
      </c>
      <c r="E19" t="s">
        <v>57</v>
      </c>
    </row>
    <row r="20" spans="1:5" x14ac:dyDescent="0.25">
      <c r="A20" t="str">
        <f>IF(Input!A21="","",Input!A21)</f>
        <v>Enjoy Passive</v>
      </c>
      <c r="B20" t="s">
        <v>45</v>
      </c>
      <c r="C20" t="s">
        <v>81</v>
      </c>
      <c r="D20" s="8" t="s">
        <v>85</v>
      </c>
      <c r="E20" t="s">
        <v>57</v>
      </c>
    </row>
    <row r="21" spans="1:5" x14ac:dyDescent="0.25">
      <c r="A21" t="str">
        <f>IF(Input!A22="","",Input!A22)</f>
        <v>Grow Passive</v>
      </c>
      <c r="B21" t="s">
        <v>45</v>
      </c>
      <c r="C21" t="s">
        <v>81</v>
      </c>
      <c r="D21" s="8" t="s">
        <v>85</v>
      </c>
      <c r="E21" t="s">
        <v>57</v>
      </c>
    </row>
    <row r="22" spans="1:5" x14ac:dyDescent="0.25">
      <c r="A22" t="str">
        <f>IF(Input!A23="","",Input!A23)</f>
        <v>Balanced Attenborough</v>
      </c>
      <c r="B22" t="s">
        <v>45</v>
      </c>
      <c r="C22" t="s">
        <v>82</v>
      </c>
      <c r="D22" s="8" t="s">
        <v>86</v>
      </c>
      <c r="E22" t="s">
        <v>67</v>
      </c>
    </row>
    <row r="23" spans="1:5" x14ac:dyDescent="0.25">
      <c r="A23" t="str">
        <f>IF(Input!A24="","",Input!A24)</f>
        <v>Cultivate Attenborough</v>
      </c>
      <c r="B23" t="s">
        <v>45</v>
      </c>
      <c r="C23" t="s">
        <v>82</v>
      </c>
      <c r="D23" s="8" t="s">
        <v>86</v>
      </c>
      <c r="E23" t="s">
        <v>67</v>
      </c>
    </row>
    <row r="24" spans="1:5" x14ac:dyDescent="0.25">
      <c r="A24" t="str">
        <f>IF(Input!A25="","",Input!A25)</f>
        <v>Endure Attenborough</v>
      </c>
      <c r="B24" t="s">
        <v>45</v>
      </c>
      <c r="C24" t="s">
        <v>82</v>
      </c>
      <c r="D24" s="8" t="s">
        <v>86</v>
      </c>
      <c r="E24" t="s">
        <v>67</v>
      </c>
    </row>
    <row r="25" spans="1:5" x14ac:dyDescent="0.25">
      <c r="A25" t="str">
        <f>IF(Input!A26="","",Input!A26)</f>
        <v>Flourish Attenborough</v>
      </c>
      <c r="B25" t="s">
        <v>45</v>
      </c>
      <c r="C25" t="s">
        <v>82</v>
      </c>
      <c r="D25" s="8" t="s">
        <v>86</v>
      </c>
      <c r="E25" t="s">
        <v>67</v>
      </c>
    </row>
    <row r="26" spans="1:5" x14ac:dyDescent="0.25">
      <c r="A26" t="str">
        <f>IF(Input!A27="","",Input!A27)</f>
        <v>Magnify Attenborough</v>
      </c>
      <c r="B26" t="s">
        <v>45</v>
      </c>
      <c r="C26" t="s">
        <v>82</v>
      </c>
      <c r="D26" s="8" t="s">
        <v>86</v>
      </c>
      <c r="E26" t="s">
        <v>67</v>
      </c>
    </row>
    <row r="27" spans="1:5" x14ac:dyDescent="0.25">
      <c r="A27" t="str">
        <f>IF(Input!A28="","",Input!A28)</f>
        <v>Mature Attenborough</v>
      </c>
      <c r="B27" t="s">
        <v>45</v>
      </c>
      <c r="C27" t="s">
        <v>82</v>
      </c>
      <c r="D27" s="8" t="s">
        <v>86</v>
      </c>
      <c r="E27" t="s">
        <v>67</v>
      </c>
    </row>
    <row r="28" spans="1:5" x14ac:dyDescent="0.25">
      <c r="A28" t="str">
        <f>IF(Input!A29="","",Input!A29)</f>
        <v>Preserve Attenborough</v>
      </c>
      <c r="B28" t="s">
        <v>45</v>
      </c>
      <c r="C28" t="s">
        <v>82</v>
      </c>
      <c r="D28" s="8" t="s">
        <v>86</v>
      </c>
      <c r="E28" t="s">
        <v>67</v>
      </c>
    </row>
    <row r="29" spans="1:5" x14ac:dyDescent="0.25">
      <c r="A29" t="str">
        <f>IF(Input!A30="","",Input!A30)</f>
        <v>Protect Attenborough</v>
      </c>
      <c r="B29" t="s">
        <v>45</v>
      </c>
      <c r="C29" t="s">
        <v>82</v>
      </c>
      <c r="D29" s="8" t="s">
        <v>86</v>
      </c>
      <c r="E29" t="s">
        <v>67</v>
      </c>
    </row>
    <row r="30" spans="1:5" x14ac:dyDescent="0.25">
      <c r="A30" t="str">
        <f>IF(Input!A31="","",Input!A31)</f>
        <v>Enjoy Attenborough</v>
      </c>
      <c r="B30" t="s">
        <v>45</v>
      </c>
      <c r="C30" t="s">
        <v>82</v>
      </c>
      <c r="D30" s="8" t="s">
        <v>86</v>
      </c>
      <c r="E30" t="s">
        <v>67</v>
      </c>
    </row>
    <row r="31" spans="1:5" x14ac:dyDescent="0.25">
      <c r="A31" t="str">
        <f>IF(Input!A32="","",Input!A32)</f>
        <v>Grow Attenborough</v>
      </c>
      <c r="B31" t="s">
        <v>45</v>
      </c>
      <c r="C31" t="s">
        <v>82</v>
      </c>
      <c r="D31" s="8" t="s">
        <v>86</v>
      </c>
      <c r="E31" t="s">
        <v>67</v>
      </c>
    </row>
    <row r="32" spans="1:5" x14ac:dyDescent="0.25">
      <c r="A32" t="str">
        <f>IF(Input!A33="","",Input!A33)</f>
        <v>Passive Income</v>
      </c>
      <c r="B32" t="s">
        <v>45</v>
      </c>
      <c r="C32" t="s">
        <v>83</v>
      </c>
      <c r="D32" s="8" t="s">
        <v>87</v>
      </c>
      <c r="E32" t="s">
        <v>68</v>
      </c>
    </row>
    <row r="33" spans="1:5" x14ac:dyDescent="0.25">
      <c r="A33" t="str">
        <f>IF(Input!A34="","",Input!A34)</f>
        <v>Natural Income</v>
      </c>
      <c r="B33" t="s">
        <v>45</v>
      </c>
      <c r="C33" t="s">
        <v>83</v>
      </c>
      <c r="D33" s="8" t="s">
        <v>87</v>
      </c>
      <c r="E33" t="s">
        <v>68</v>
      </c>
    </row>
    <row r="34" spans="1:5" x14ac:dyDescent="0.25">
      <c r="A34" t="str">
        <f>IF(Input!A35="","",Input!A35)</f>
        <v/>
      </c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B4" sqref="B4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Balanced</v>
      </c>
      <c r="B2" s="1">
        <f>IF(A2="","",EOMONTH(DATE(YEAR(IF(A2="","",'Additional Information'!B2)),MONTH(IF(A2="","",'Additional Information'!B2)),DAY(IF(A2="","",'Additional Information'!B2))),0))</f>
        <v>45138</v>
      </c>
    </row>
    <row r="3" spans="1:2" x14ac:dyDescent="0.25">
      <c r="A3" t="str">
        <f>IF(Input!A4="","",Input!A4)</f>
        <v>Cultivate</v>
      </c>
      <c r="B3" s="1">
        <f>IF(A3="","",EOMONTH(DATE(YEAR(IF(A3="","",'Additional Information'!B3)),MONTH(IF(A3="","",'Additional Information'!B3)),DAY(IF(A3="","",'Additional Information'!B3))),0))</f>
        <v>45138</v>
      </c>
    </row>
    <row r="4" spans="1:2" x14ac:dyDescent="0.25">
      <c r="A4" t="str">
        <f>IF(Input!A5="","",Input!A5)</f>
        <v>Endure</v>
      </c>
      <c r="B4" s="1">
        <f>IF(A4="","",EOMONTH(DATE(YEAR(IF(A4="","",'Additional Information'!B4)),MONTH(IF(A4="","",'Additional Information'!B4)),DAY(IF(A4="","",'Additional Information'!B4))),0))</f>
        <v>45138</v>
      </c>
    </row>
    <row r="5" spans="1:2" x14ac:dyDescent="0.25">
      <c r="A5" t="str">
        <f>IF(Input!A6="","",Input!A6)</f>
        <v>Flourish</v>
      </c>
      <c r="B5" s="1">
        <f>IF(A5="","",EOMONTH(DATE(YEAR(IF(A5="","",'Additional Information'!B5)),MONTH(IF(A5="","",'Additional Information'!B5)),DAY(IF(A5="","",'Additional Information'!B5))),0))</f>
        <v>45138</v>
      </c>
    </row>
    <row r="6" spans="1:2" x14ac:dyDescent="0.25">
      <c r="A6" t="str">
        <f>IF(Input!A7="","",Input!A7)</f>
        <v>Magnify</v>
      </c>
      <c r="B6" s="1">
        <f>IF(A6="","",EOMONTH(DATE(YEAR(IF(A6="","",'Additional Information'!B6)),MONTH(IF(A6="","",'Additional Information'!B6)),DAY(IF(A6="","",'Additional Information'!B6))),0))</f>
        <v>45138</v>
      </c>
    </row>
    <row r="7" spans="1:2" x14ac:dyDescent="0.25">
      <c r="A7" t="str">
        <f>IF(Input!A8="","",Input!A8)</f>
        <v>Mature</v>
      </c>
      <c r="B7" s="1">
        <f>IF(A7="","",EOMONTH(DATE(YEAR(IF(A7="","",'Additional Information'!B7)),MONTH(IF(A7="","",'Additional Information'!B7)),DAY(IF(A7="","",'Additional Information'!B7))),0))</f>
        <v>45138</v>
      </c>
    </row>
    <row r="8" spans="1:2" x14ac:dyDescent="0.25">
      <c r="A8" t="str">
        <f>IF(Input!A9="","",Input!A9)</f>
        <v>Preserve</v>
      </c>
      <c r="B8" s="1">
        <f>IF(A8="","",EOMONTH(DATE(YEAR(IF(A8="","",'Additional Information'!B8)),MONTH(IF(A8="","",'Additional Information'!B8)),DAY(IF(A8="","",'Additional Information'!B8))),0))</f>
        <v>45138</v>
      </c>
    </row>
    <row r="9" spans="1:2" x14ac:dyDescent="0.25">
      <c r="A9" t="str">
        <f>IF(Input!A10="","",Input!A10)</f>
        <v>Trust DFM Protect</v>
      </c>
      <c r="B9" s="1">
        <f>IF(A9="","",EOMONTH(DATE(YEAR(IF(A9="","",'Additional Information'!B9)),MONTH(IF(A9="","",'Additional Information'!B9)),DAY(IF(A9="","",'Additional Information'!B9))),0))</f>
        <v>45138</v>
      </c>
    </row>
    <row r="10" spans="1:2" x14ac:dyDescent="0.25">
      <c r="A10" t="str">
        <f>IF(Input!A11="","",Input!A11)</f>
        <v>Trust DFM Enjoy</v>
      </c>
      <c r="B10" s="1">
        <f>IF(A10="","",EOMONTH(DATE(YEAR(IF(A10="","",'Additional Information'!B10)),MONTH(IF(A10="","",'Additional Information'!B10)),DAY(IF(A10="","",'Additional Information'!B10))),0))</f>
        <v>45138</v>
      </c>
    </row>
    <row r="11" spans="1:2" x14ac:dyDescent="0.25">
      <c r="A11" t="str">
        <f>IF(Input!A12="","",Input!A12)</f>
        <v>Trust DFM Grow</v>
      </c>
      <c r="B11" s="1">
        <f>IF(A11="","",EOMONTH(DATE(YEAR(IF(A11="","",'Additional Information'!B11)),MONTH(IF(A11="","",'Additional Information'!B11)),DAY(IF(A11="","",'Additional Information'!B11))),0))</f>
        <v>45138</v>
      </c>
    </row>
    <row r="12" spans="1:2" x14ac:dyDescent="0.25">
      <c r="A12" t="str">
        <f>IF(Input!A13="","",Input!A13)</f>
        <v>Balanced Passive</v>
      </c>
      <c r="B12" s="1">
        <f>IF(A12="","",EOMONTH(DATE(YEAR(IF(A12="","",'Additional Information'!B12)),MONTH(IF(A12="","",'Additional Information'!B12)),DAY(IF(A12="","",'Additional Information'!B12))),0))</f>
        <v>45138</v>
      </c>
    </row>
    <row r="13" spans="1:2" x14ac:dyDescent="0.25">
      <c r="A13" t="str">
        <f>IF(Input!A14="","",Input!A14)</f>
        <v>Cultivate Passive</v>
      </c>
      <c r="B13" s="1">
        <f>IF(A13="","",EOMONTH(DATE(YEAR(IF(A13="","",'Additional Information'!B13)),MONTH(IF(A13="","",'Additional Information'!B13)),DAY(IF(A13="","",'Additional Information'!B13))),0))</f>
        <v>45138</v>
      </c>
    </row>
    <row r="14" spans="1:2" x14ac:dyDescent="0.25">
      <c r="A14" t="str">
        <f>IF(Input!A15="","",Input!A15)</f>
        <v>Endure Passive</v>
      </c>
      <c r="B14" s="1">
        <f>IF(A14="","",EOMONTH(DATE(YEAR(IF(A14="","",'Additional Information'!B14)),MONTH(IF(A14="","",'Additional Information'!B14)),DAY(IF(A14="","",'Additional Information'!B14))),0))</f>
        <v>45138</v>
      </c>
    </row>
    <row r="15" spans="1:2" x14ac:dyDescent="0.25">
      <c r="A15" t="str">
        <f>IF(Input!A16="","",Input!A16)</f>
        <v>Flourish Passive</v>
      </c>
      <c r="B15" s="1">
        <f>IF(A15="","",EOMONTH(DATE(YEAR(IF(A15="","",'Additional Information'!B15)),MONTH(IF(A15="","",'Additional Information'!B15)),DAY(IF(A15="","",'Additional Information'!B15))),0))</f>
        <v>45138</v>
      </c>
    </row>
    <row r="16" spans="1:2" x14ac:dyDescent="0.25">
      <c r="A16" t="str">
        <f>IF(Input!A17="","",Input!A17)</f>
        <v>Magnify Passive</v>
      </c>
      <c r="B16" s="1">
        <f>IF(A16="","",EOMONTH(DATE(YEAR(IF(A16="","",'Additional Information'!B16)),MONTH(IF(A16="","",'Additional Information'!B16)),DAY(IF(A16="","",'Additional Information'!B16))),0))</f>
        <v>45138</v>
      </c>
    </row>
    <row r="17" spans="1:2" x14ac:dyDescent="0.25">
      <c r="A17" t="str">
        <f>IF(Input!A18="","",Input!A18)</f>
        <v>Mature Passsive</v>
      </c>
      <c r="B17" s="1">
        <f>IF(A17="","",EOMONTH(DATE(YEAR(IF(A17="","",'Additional Information'!B17)),MONTH(IF(A17="","",'Additional Information'!B17)),DAY(IF(A17="","",'Additional Information'!B17))),0))</f>
        <v>45138</v>
      </c>
    </row>
    <row r="18" spans="1:2" x14ac:dyDescent="0.25">
      <c r="A18" t="str">
        <f>IF(Input!A19="","",Input!A19)</f>
        <v>Preserve Passive</v>
      </c>
      <c r="B18" s="1">
        <f>IF(A18="","",EOMONTH(DATE(YEAR(IF(A18="","",'Additional Information'!B18)),MONTH(IF(A18="","",'Additional Information'!B18)),DAY(IF(A18="","",'Additional Information'!B18))),0))</f>
        <v>45138</v>
      </c>
    </row>
    <row r="19" spans="1:2" x14ac:dyDescent="0.25">
      <c r="A19" t="str">
        <f>IF(Input!A20="","",Input!A20)</f>
        <v>Protect Passive</v>
      </c>
      <c r="B19" s="1">
        <f>IF(A19="","",EOMONTH(DATE(YEAR(IF(A19="","",'Additional Information'!B19)),MONTH(IF(A19="","",'Additional Information'!B19)),DAY(IF(A19="","",'Additional Information'!B19))),0))</f>
        <v>45138</v>
      </c>
    </row>
    <row r="20" spans="1:2" x14ac:dyDescent="0.25">
      <c r="A20" t="str">
        <f>IF(Input!A21="","",Input!A21)</f>
        <v>Enjoy Passive</v>
      </c>
      <c r="B20" s="1">
        <f>IF(A20="","",EOMONTH(DATE(YEAR(IF(A20="","",'Additional Information'!B20)),MONTH(IF(A20="","",'Additional Information'!B20)),DAY(IF(A20="","",'Additional Information'!B20))),0))</f>
        <v>45138</v>
      </c>
    </row>
    <row r="21" spans="1:2" x14ac:dyDescent="0.25">
      <c r="A21" t="str">
        <f>IF(Input!A22="","",Input!A22)</f>
        <v>Grow Passive</v>
      </c>
      <c r="B21" s="1">
        <f>IF(A21="","",EOMONTH(DATE(YEAR(IF(A21="","",'Additional Information'!B21)),MONTH(IF(A21="","",'Additional Information'!B21)),DAY(IF(A21="","",'Additional Information'!B21))),0))</f>
        <v>45138</v>
      </c>
    </row>
    <row r="22" spans="1:2" x14ac:dyDescent="0.25">
      <c r="A22" t="str">
        <f>IF(Input!A23="","",Input!A23)</f>
        <v>Balanced Attenborough</v>
      </c>
      <c r="B22" s="1">
        <f>IF(A22="","",EOMONTH(DATE(YEAR(IF(A22="","",'Additional Information'!B22)),MONTH(IF(A22="","",'Additional Information'!B22)),DAY(IF(A22="","",'Additional Information'!B22))),0))</f>
        <v>45138</v>
      </c>
    </row>
    <row r="23" spans="1:2" x14ac:dyDescent="0.25">
      <c r="A23" t="str">
        <f>IF(Input!A24="","",Input!A24)</f>
        <v>Cultivate Attenborough</v>
      </c>
      <c r="B23" s="1">
        <f>IF(A23="","",EOMONTH(DATE(YEAR(IF(A23="","",'Additional Information'!B23)),MONTH(IF(A23="","",'Additional Information'!B23)),DAY(IF(A23="","",'Additional Information'!B23))),0))</f>
        <v>45138</v>
      </c>
    </row>
    <row r="24" spans="1:2" x14ac:dyDescent="0.25">
      <c r="A24" t="str">
        <f>IF(Input!A25="","",Input!A25)</f>
        <v>Endure Attenborough</v>
      </c>
      <c r="B24" s="1">
        <f>IF(A24="","",EOMONTH(DATE(YEAR(IF(A24="","",'Additional Information'!B24)),MONTH(IF(A24="","",'Additional Information'!B24)),DAY(IF(A24="","",'Additional Information'!B24))),0))</f>
        <v>45138</v>
      </c>
    </row>
    <row r="25" spans="1:2" x14ac:dyDescent="0.25">
      <c r="A25" t="str">
        <f>IF(Input!A26="","",Input!A26)</f>
        <v>Flourish Attenborough</v>
      </c>
      <c r="B25" s="1">
        <f>IF(A25="","",EOMONTH(DATE(YEAR(IF(A25="","",'Additional Information'!B25)),MONTH(IF(A25="","",'Additional Information'!B25)),DAY(IF(A25="","",'Additional Information'!B25))),0))</f>
        <v>45138</v>
      </c>
    </row>
    <row r="26" spans="1:2" x14ac:dyDescent="0.25">
      <c r="A26" t="str">
        <f>IF(Input!A27="","",Input!A27)</f>
        <v>Magnify Attenborough</v>
      </c>
      <c r="B26" s="1">
        <f>IF(A26="","",EOMONTH(DATE(YEAR(IF(A26="","",'Additional Information'!B26)),MONTH(IF(A26="","",'Additional Information'!B26)),DAY(IF(A26="","",'Additional Information'!B26))),0))</f>
        <v>45138</v>
      </c>
    </row>
    <row r="27" spans="1:2" x14ac:dyDescent="0.25">
      <c r="A27" t="str">
        <f>IF(Input!A28="","",Input!A28)</f>
        <v>Mature Attenborough</v>
      </c>
      <c r="B27" s="1">
        <f>IF(A27="","",EOMONTH(DATE(YEAR(IF(A27="","",'Additional Information'!B27)),MONTH(IF(A27="","",'Additional Information'!B27)),DAY(IF(A27="","",'Additional Information'!B27))),0))</f>
        <v>45138</v>
      </c>
    </row>
    <row r="28" spans="1:2" x14ac:dyDescent="0.25">
      <c r="A28" t="str">
        <f>IF(Input!A29="","",Input!A29)</f>
        <v>Preserve Attenborough</v>
      </c>
      <c r="B28" s="1">
        <f>IF(A28="","",EOMONTH(DATE(YEAR(IF(A28="","",'Additional Information'!B28)),MONTH(IF(A28="","",'Additional Information'!B28)),DAY(IF(A28="","",'Additional Information'!B28))),0))</f>
        <v>45138</v>
      </c>
    </row>
    <row r="29" spans="1:2" x14ac:dyDescent="0.25">
      <c r="A29" t="str">
        <f>IF(Input!A30="","",Input!A30)</f>
        <v>Protect Attenborough</v>
      </c>
      <c r="B29" s="1">
        <f>IF(A29="","",EOMONTH(DATE(YEAR(IF(A29="","",'Additional Information'!B29)),MONTH(IF(A29="","",'Additional Information'!B29)),DAY(IF(A29="","",'Additional Information'!B29))),0))</f>
        <v>45138</v>
      </c>
    </row>
    <row r="30" spans="1:2" x14ac:dyDescent="0.25">
      <c r="A30" t="str">
        <f>IF(Input!A31="","",Input!A31)</f>
        <v>Enjoy Attenborough</v>
      </c>
      <c r="B30" s="1">
        <f>IF(A30="","",EOMONTH(DATE(YEAR(IF(A30="","",'Additional Information'!B30)),MONTH(IF(A30="","",'Additional Information'!B30)),DAY(IF(A30="","",'Additional Information'!B30))),0))</f>
        <v>45138</v>
      </c>
    </row>
    <row r="31" spans="1:2" x14ac:dyDescent="0.25">
      <c r="A31" t="str">
        <f>IF(Input!A32="","",Input!A32)</f>
        <v>Grow Attenborough</v>
      </c>
      <c r="B31" s="1">
        <f>IF(A31="","",EOMONTH(DATE(YEAR(IF(A31="","",'Additional Information'!B31)),MONTH(IF(A31="","",'Additional Information'!B31)),DAY(IF(A31="","",'Additional Information'!B31))),0))</f>
        <v>45138</v>
      </c>
    </row>
    <row r="32" spans="1:2" x14ac:dyDescent="0.25">
      <c r="A32" t="str">
        <f>IF(Input!A33="","",Input!A33)</f>
        <v>Passive Income</v>
      </c>
      <c r="B32" s="1">
        <f>IF(A32="","",EOMONTH(DATE(YEAR(IF(A32="","",'Additional Information'!B32)),MONTH(IF(A32="","",'Additional Information'!B32)),DAY(IF(A32="","",'Additional Information'!B32))),0))</f>
        <v>45138</v>
      </c>
    </row>
    <row r="33" spans="1:2" x14ac:dyDescent="0.25">
      <c r="A33" t="str">
        <f>IF(Input!A34="","",Input!A34)</f>
        <v>Natural Income</v>
      </c>
      <c r="B33" s="1">
        <f>IF(A33="","",EOMONTH(DATE(YEAR(IF(A33="","",'Additional Information'!B33)),MONTH(IF(A33="","",'Additional Information'!B33)),DAY(IF(A33="","",'Additional Information'!B33))),0))</f>
        <v>45138</v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32</v>
      </c>
    </row>
    <row r="2" spans="1:5" x14ac:dyDescent="0.25">
      <c r="A2" t="str">
        <f>IF(Input!A3="","",Input!A3)</f>
        <v>Balanced</v>
      </c>
      <c r="C2">
        <f>IF(A2="","",'Additional Information'!E2)</f>
        <v>1.46E-2</v>
      </c>
      <c r="D2" s="5">
        <f>IF(A2="","",SUM('Additional Information'!C2,'Additional Information'!D2))</f>
        <v>2.69E-2</v>
      </c>
      <c r="E2">
        <f>IF(A2="","",SUM('Additional Information'!C2))</f>
        <v>3.9000000000000003E-3</v>
      </c>
    </row>
    <row r="3" spans="1:5" x14ac:dyDescent="0.25">
      <c r="A3" t="str">
        <f>IF(Input!A4="","",Input!A4)</f>
        <v>Cultivate</v>
      </c>
      <c r="C3">
        <f>IF(A3="","",'Additional Information'!E3)</f>
        <v>1.5700000000000002E-2</v>
      </c>
      <c r="D3" s="5">
        <f>IF(A3="","",SUM('Additional Information'!C3,'Additional Information'!D3))</f>
        <v>3.3500000000000002E-2</v>
      </c>
      <c r="E3">
        <f>IF(A3="","",SUM('Additional Information'!C3))</f>
        <v>3.7000000000000002E-3</v>
      </c>
    </row>
    <row r="4" spans="1:5" x14ac:dyDescent="0.25">
      <c r="A4" t="str">
        <f>IF(Input!A5="","",Input!A5)</f>
        <v>Endure</v>
      </c>
      <c r="C4">
        <f>IF(A4="","",'Additional Information'!E4)</f>
        <v>1.3999999999999999E-2</v>
      </c>
      <c r="D4" s="5">
        <f>IF(A4="","",SUM('Additional Information'!C4,'Additional Information'!D4))</f>
        <v>1.34E-2</v>
      </c>
      <c r="E4">
        <f>IF(A4="","",SUM('Additional Information'!C4))</f>
        <v>3.9000000000000003E-3</v>
      </c>
    </row>
    <row r="5" spans="1:5" x14ac:dyDescent="0.25">
      <c r="A5" t="str">
        <f>IF(Input!A6="","",Input!A6)</f>
        <v>Flourish</v>
      </c>
      <c r="C5">
        <f>IF(A5="","",'Additional Information'!E5)</f>
        <v>1.6899999999999998E-2</v>
      </c>
      <c r="D5" s="5">
        <f>IF(A5="","",SUM('Additional Information'!C5,'Additional Information'!D5))</f>
        <v>3.9E-2</v>
      </c>
      <c r="E5">
        <f>IF(A5="","",SUM('Additional Information'!C5))</f>
        <v>3.7000000000000002E-3</v>
      </c>
    </row>
    <row r="6" spans="1:5" x14ac:dyDescent="0.25">
      <c r="A6" t="str">
        <f>IF(Input!A7="","",Input!A7)</f>
        <v>Magnify</v>
      </c>
      <c r="C6">
        <f>IF(A6="","",'Additional Information'!E6)</f>
        <v>1.8100000000000002E-2</v>
      </c>
      <c r="D6" s="5">
        <f>IF(A6="","",SUM('Additional Information'!C6,'Additional Information'!D6))</f>
        <v>4.4499999999999998E-2</v>
      </c>
      <c r="E6">
        <f>IF(A6="","",SUM('Additional Information'!C6))</f>
        <v>3.8E-3</v>
      </c>
    </row>
    <row r="7" spans="1:5" x14ac:dyDescent="0.25">
      <c r="A7" t="str">
        <f>IF(Input!A8="","",Input!A8)</f>
        <v>Mature</v>
      </c>
      <c r="C7">
        <f>IF(A7="","",'Additional Information'!E7)</f>
        <v>1.6E-2</v>
      </c>
      <c r="D7" s="5">
        <f>IF(A7="","",SUM('Additional Information'!C7,'Additional Information'!D7))</f>
        <v>1.8600000000000002E-2</v>
      </c>
      <c r="E7">
        <f>IF(A7="","",SUM('Additional Information'!C7))</f>
        <v>3.8E-3</v>
      </c>
    </row>
    <row r="8" spans="1:5" x14ac:dyDescent="0.25">
      <c r="A8" t="str">
        <f>IF(Input!A9="","",Input!A9)</f>
        <v>Preserve</v>
      </c>
      <c r="C8">
        <f>IF(A8="","",'Additional Information'!E8)</f>
        <v>1.2E-2</v>
      </c>
      <c r="D8" s="5">
        <f>IF(A8="","",SUM('Additional Information'!C8,'Additional Information'!D8))</f>
        <v>8.6E-3</v>
      </c>
      <c r="E8">
        <f>IF(A8="","",SUM('Additional Information'!C8))</f>
        <v>4.0999999999999995E-3</v>
      </c>
    </row>
    <row r="9" spans="1:5" x14ac:dyDescent="0.25">
      <c r="A9" t="str">
        <f>IF(Input!A10="","",Input!A10)</f>
        <v>Trust DFM Protect</v>
      </c>
      <c r="C9">
        <f>IF(A9="","",'Additional Information'!E9)</f>
        <v>-8.6999999999999994E-3</v>
      </c>
      <c r="D9" s="5">
        <f>IF(A9="","",SUM('Additional Information'!C9,'Additional Information'!D9))</f>
        <v>-1.2199999999999999E-2</v>
      </c>
      <c r="E9">
        <f>IF(A9="","",SUM('Additional Information'!C9))</f>
        <v>4.1999999999999997E-3</v>
      </c>
    </row>
    <row r="10" spans="1:5" x14ac:dyDescent="0.25">
      <c r="A10" t="str">
        <f>IF(Input!A11="","",Input!A11)</f>
        <v>Trust DFM Enjoy</v>
      </c>
      <c r="C10">
        <f>IF(A10="","",'Additional Information'!E10)</f>
        <v>1.44E-2</v>
      </c>
      <c r="D10" s="5">
        <f>IF(A10="","",SUM('Additional Information'!C10,'Additional Information'!D10))</f>
        <v>2.8199999999999999E-2</v>
      </c>
      <c r="E10">
        <f>IF(A10="","",SUM('Additional Information'!C10))</f>
        <v>3.5999999999999999E-3</v>
      </c>
    </row>
    <row r="11" spans="1:5" x14ac:dyDescent="0.25">
      <c r="A11" t="str">
        <f>IF(Input!A12="","",Input!A12)</f>
        <v>Trust DFM Grow</v>
      </c>
      <c r="C11">
        <f>IF(A11="","",'Additional Information'!E11)</f>
        <v>1.9400000000000001E-2</v>
      </c>
      <c r="D11" s="5">
        <f>IF(A11="","",SUM('Additional Information'!C11,'Additional Information'!D11))</f>
        <v>4.99E-2</v>
      </c>
      <c r="E11">
        <f>IF(A11="","",SUM('Additional Information'!C11))</f>
        <v>3.8E-3</v>
      </c>
    </row>
    <row r="12" spans="1:5" x14ac:dyDescent="0.25">
      <c r="A12" t="str">
        <f>IF(Input!A13="","",Input!A13)</f>
        <v>Balanced Passive</v>
      </c>
      <c r="C12">
        <f>IF(A12="","",'Additional Information'!E12)</f>
        <v>1.8000000000000002E-2</v>
      </c>
      <c r="D12" s="5">
        <f>IF(A12="","",SUM('Additional Information'!C12,'Additional Information'!D12))</f>
        <v>3.8099999999999995E-2</v>
      </c>
      <c r="E12">
        <f>IF(A12="","",SUM('Additional Information'!C12))</f>
        <v>1.4000000000000002E-3</v>
      </c>
    </row>
    <row r="13" spans="1:5" x14ac:dyDescent="0.25">
      <c r="A13" t="str">
        <f>IF(Input!A14="","",Input!A14)</f>
        <v>Cultivate Passive</v>
      </c>
      <c r="C13">
        <f>IF(A13="","",'Additional Information'!E13)</f>
        <v>1.8700000000000001E-2</v>
      </c>
      <c r="D13" s="5">
        <f>IF(A13="","",SUM('Additional Information'!C13,'Additional Information'!D13))</f>
        <v>4.4099999999999993E-2</v>
      </c>
      <c r="E13">
        <f>IF(A13="","",SUM('Additional Information'!C13))</f>
        <v>1.4000000000000002E-3</v>
      </c>
    </row>
    <row r="14" spans="1:5" x14ac:dyDescent="0.25">
      <c r="A14" t="str">
        <f>IF(Input!A15="","",Input!A15)</f>
        <v>Endure Passive</v>
      </c>
      <c r="C14">
        <f>IF(A14="","",'Additional Information'!E14)</f>
        <v>1.47E-2</v>
      </c>
      <c r="D14" s="5">
        <f>IF(A14="","",SUM('Additional Information'!C14,'Additional Information'!D14))</f>
        <v>2.5899999999999999E-2</v>
      </c>
      <c r="E14">
        <f>IF(A14="","",SUM('Additional Information'!C14))</f>
        <v>1.5E-3</v>
      </c>
    </row>
    <row r="15" spans="1:5" x14ac:dyDescent="0.25">
      <c r="A15" t="str">
        <f>IF(Input!A16="","",Input!A16)</f>
        <v>Flourish Passive</v>
      </c>
      <c r="C15">
        <f>IF(A15="","",'Additional Information'!E15)</f>
        <v>2.0400000000000001E-2</v>
      </c>
      <c r="D15" s="5">
        <f>IF(A15="","",SUM('Additional Information'!C15,'Additional Information'!D15))</f>
        <v>5.0800000000000005E-2</v>
      </c>
      <c r="E15">
        <f>IF(A15="","",SUM('Additional Information'!C15))</f>
        <v>1.2999999999999999E-3</v>
      </c>
    </row>
    <row r="16" spans="1:5" x14ac:dyDescent="0.25">
      <c r="A16" t="str">
        <f>IF(Input!A17="","",Input!A17)</f>
        <v>Magnify Passive</v>
      </c>
      <c r="C16">
        <f>IF(A16="","",'Additional Information'!E16)</f>
        <v>2.2499999999999999E-2</v>
      </c>
      <c r="D16" s="5">
        <f>IF(A16="","",SUM('Additional Information'!C16,'Additional Information'!D16))</f>
        <v>5.6800000000000003E-2</v>
      </c>
      <c r="E16">
        <f>IF(A16="","",SUM('Additional Information'!C16))</f>
        <v>1.2999999999999999E-3</v>
      </c>
    </row>
    <row r="17" spans="1:5" x14ac:dyDescent="0.25">
      <c r="A17" t="str">
        <f>IF(Input!A18="","",Input!A18)</f>
        <v>Mature Passsive</v>
      </c>
      <c r="C17">
        <f>IF(A17="","",'Additional Information'!E17)</f>
        <v>1.55E-2</v>
      </c>
      <c r="D17" s="5">
        <f>IF(A17="","",SUM('Additional Information'!C17,'Additional Information'!D17))</f>
        <v>3.2299999999999995E-2</v>
      </c>
      <c r="E17">
        <f>IF(A17="","",SUM('Additional Information'!C17))</f>
        <v>1.4000000000000002E-3</v>
      </c>
    </row>
    <row r="18" spans="1:5" x14ac:dyDescent="0.25">
      <c r="A18" t="str">
        <f>IF(Input!A19="","",Input!A19)</f>
        <v>Preserve Passive</v>
      </c>
      <c r="C18">
        <f>IF(A18="","",'Additional Information'!E18)</f>
        <v>1.3899999999999999E-2</v>
      </c>
      <c r="D18" s="5">
        <f>IF(A18="","",SUM('Additional Information'!C18,'Additional Information'!D18))</f>
        <v>1.9200000000000002E-2</v>
      </c>
      <c r="E18">
        <f>IF(A18="","",SUM('Additional Information'!C18))</f>
        <v>1.5E-3</v>
      </c>
    </row>
    <row r="19" spans="1:5" x14ac:dyDescent="0.25">
      <c r="A19" t="str">
        <f>IF(Input!A20="","",Input!A20)</f>
        <v>Protect Passive</v>
      </c>
      <c r="C19">
        <f>IF(A19="","",'Additional Information'!E19)</f>
        <v>1.3100000000000001E-2</v>
      </c>
      <c r="D19" s="5">
        <f>IF(A19="","",SUM('Additional Information'!C19,'Additional Information'!D19))</f>
        <v>1.26E-2</v>
      </c>
      <c r="E19">
        <f>IF(A19="","",SUM('Additional Information'!C19))</f>
        <v>1.5E-3</v>
      </c>
    </row>
    <row r="20" spans="1:5" x14ac:dyDescent="0.25">
      <c r="A20" t="str">
        <f>IF(Input!A21="","",Input!A21)</f>
        <v>Enjoy Passive</v>
      </c>
      <c r="C20">
        <f>IF(A20="","",'Additional Information'!E20)</f>
        <v>1.6299999999999999E-2</v>
      </c>
      <c r="D20" s="5">
        <f>IF(A20="","",SUM('Additional Information'!C20,'Additional Information'!D20))</f>
        <v>3.8999999999999993E-2</v>
      </c>
      <c r="E20">
        <f>IF(A20="","",SUM('Additional Information'!C20))</f>
        <v>1.4000000000000002E-3</v>
      </c>
    </row>
    <row r="21" spans="1:5" x14ac:dyDescent="0.25">
      <c r="A21" t="str">
        <f>IF(Input!A22="","",Input!A22)</f>
        <v>Grow Passive</v>
      </c>
      <c r="C21">
        <f>IF(A21="","",'Additional Information'!E21)</f>
        <v>2.4500000000000001E-2</v>
      </c>
      <c r="D21" s="5">
        <f>IF(A21="","",SUM('Additional Information'!C21,'Additional Information'!D21))</f>
        <v>6.2700000000000006E-2</v>
      </c>
      <c r="E21">
        <f>IF(A21="","",SUM('Additional Information'!C21))</f>
        <v>1.1999999999999999E-3</v>
      </c>
    </row>
    <row r="22" spans="1:5" x14ac:dyDescent="0.25">
      <c r="A22" t="str">
        <f>IF(Input!A23="","",Input!A23)</f>
        <v>Balanced Attenborough</v>
      </c>
      <c r="C22">
        <f>IF(A22="","",'Additional Information'!E22)</f>
        <v>1.37E-2</v>
      </c>
      <c r="D22" s="5">
        <f>IF(A22="","",SUM('Additional Information'!C22,'Additional Information'!D22))</f>
        <v>1.72E-2</v>
      </c>
      <c r="E22">
        <f>IF(A22="","",SUM('Additional Information'!C22))</f>
        <v>6.8999999999999999E-3</v>
      </c>
    </row>
    <row r="23" spans="1:5" x14ac:dyDescent="0.25">
      <c r="A23" t="str">
        <f>IF(Input!A24="","",Input!A24)</f>
        <v>Cultivate Attenborough</v>
      </c>
      <c r="C23">
        <f>IF(A23="","",'Additional Information'!E23)</f>
        <v>1.3999999999999999E-2</v>
      </c>
      <c r="D23" s="5">
        <f>IF(A23="","",SUM('Additional Information'!C23,'Additional Information'!D23))</f>
        <v>2.2199999999999998E-2</v>
      </c>
      <c r="E23">
        <f>IF(A23="","",SUM('Additional Information'!C23))</f>
        <v>6.9999999999999993E-3</v>
      </c>
    </row>
    <row r="24" spans="1:5" x14ac:dyDescent="0.25">
      <c r="A24" t="str">
        <f>IF(Input!A25="","",Input!A25)</f>
        <v>Endure Attenborough</v>
      </c>
      <c r="C24">
        <f>IF(A24="","",'Additional Information'!E24)</f>
        <v>1.24E-2</v>
      </c>
      <c r="D24" s="5">
        <f>IF(A24="","",SUM('Additional Information'!C24,'Additional Information'!D24))</f>
        <v>7.5000000000000006E-3</v>
      </c>
      <c r="E24">
        <f>IF(A24="","",SUM('Additional Information'!C24))</f>
        <v>6.5000000000000006E-3</v>
      </c>
    </row>
    <row r="25" spans="1:5" x14ac:dyDescent="0.25">
      <c r="A25" t="str">
        <f>IF(Input!A26="","",Input!A26)</f>
        <v>Flourish Attenborough</v>
      </c>
      <c r="C25">
        <f>IF(A25="","",'Additional Information'!E25)</f>
        <v>1.47E-2</v>
      </c>
      <c r="D25" s="5">
        <f>IF(A25="","",SUM('Additional Information'!C25,'Additional Information'!D25))</f>
        <v>2.8199999999999999E-2</v>
      </c>
      <c r="E25">
        <f>IF(A25="","",SUM('Additional Information'!C25))</f>
        <v>7.3000000000000001E-3</v>
      </c>
    </row>
    <row r="26" spans="1:5" x14ac:dyDescent="0.25">
      <c r="A26" t="str">
        <f>IF(Input!A27="","",Input!A27)</f>
        <v>Magnify Attenborough</v>
      </c>
      <c r="C26">
        <f>IF(A26="","",'Additional Information'!E26)</f>
        <v>1.55E-2</v>
      </c>
      <c r="D26" s="5">
        <f>IF(A26="","",SUM('Additional Information'!C26,'Additional Information'!D26))</f>
        <v>2.63E-2</v>
      </c>
      <c r="E26">
        <f>IF(A26="","",SUM('Additional Information'!C26))</f>
        <v>7.6E-3</v>
      </c>
    </row>
    <row r="27" spans="1:5" x14ac:dyDescent="0.25">
      <c r="A27" t="str">
        <f>IF(Input!A28="","",Input!A28)</f>
        <v>Mature Attenborough</v>
      </c>
      <c r="C27">
        <f>IF(A27="","",'Additional Information'!E27)</f>
        <v>1.2800000000000001E-2</v>
      </c>
      <c r="D27" s="5">
        <f>IF(A27="","",SUM('Additional Information'!C27,'Additional Information'!D27))</f>
        <v>1.35E-2</v>
      </c>
      <c r="E27">
        <f>IF(A27="","",SUM('Additional Information'!C27))</f>
        <v>6.6E-3</v>
      </c>
    </row>
    <row r="28" spans="1:5" x14ac:dyDescent="0.25">
      <c r="A28" t="str">
        <f>IF(Input!A29="","",Input!A29)</f>
        <v>Preserve Attenborough</v>
      </c>
      <c r="C28">
        <f>IF(A28="","",'Additional Information'!E28)</f>
        <v>1.2E-2</v>
      </c>
      <c r="D28" s="5">
        <f>IF(A28="","",SUM('Additional Information'!C28,'Additional Information'!D28))</f>
        <v>1.4000000000000002E-3</v>
      </c>
      <c r="E28">
        <f>IF(A28="","",SUM('Additional Information'!C28))</f>
        <v>6.3E-3</v>
      </c>
    </row>
    <row r="29" spans="1:5" x14ac:dyDescent="0.25">
      <c r="A29" t="str">
        <f>IF(Input!A30="","",Input!A30)</f>
        <v>Protect Attenborough</v>
      </c>
      <c r="C29">
        <f>IF(A29="","",'Additional Information'!E29)</f>
        <v>1.15E-2</v>
      </c>
      <c r="D29" s="5">
        <f>IF(A29="","",SUM('Additional Information'!C29,'Additional Information'!D29))</f>
        <v>-4.6000000000000008E-3</v>
      </c>
      <c r="E29">
        <f>IF(A29="","",SUM('Additional Information'!C29))</f>
        <v>6.1999999999999998E-3</v>
      </c>
    </row>
    <row r="30" spans="1:5" x14ac:dyDescent="0.25">
      <c r="A30" t="str">
        <f>IF(Input!A31="","",Input!A31)</f>
        <v>Enjoy Attenborough</v>
      </c>
      <c r="C30">
        <f>IF(A30="","",'Additional Information'!E30)</f>
        <v>1.3300000000000001E-2</v>
      </c>
      <c r="D30" s="5">
        <f>IF(A30="","",SUM('Additional Information'!C30,'Additional Information'!D30))</f>
        <v>1.9599999999999999E-2</v>
      </c>
      <c r="E30">
        <f>IF(A30="","",SUM('Additional Information'!C30))</f>
        <v>6.7000000000000002E-3</v>
      </c>
    </row>
    <row r="31" spans="1:5" x14ac:dyDescent="0.25">
      <c r="A31" t="str">
        <f>IF(Input!A32="","",Input!A32)</f>
        <v>Grow Attenborough</v>
      </c>
      <c r="C31">
        <f>IF(A31="","",'Additional Information'!E31)</f>
        <v>1.6200000000000003E-2</v>
      </c>
      <c r="D31" s="5">
        <f>IF(A31="","",SUM('Additional Information'!C31,'Additional Information'!D31))</f>
        <v>3.0200000000000001E-2</v>
      </c>
      <c r="E31">
        <f>IF(A31="","",SUM('Additional Information'!C31))</f>
        <v>7.9000000000000008E-3</v>
      </c>
    </row>
    <row r="32" spans="1:5" x14ac:dyDescent="0.25">
      <c r="A32" t="str">
        <f>IF(Input!A33="","",Input!A33)</f>
        <v>Passive Income</v>
      </c>
      <c r="C32">
        <f>IF(A32="","",'Additional Information'!E32)</f>
        <v>2.41E-2</v>
      </c>
      <c r="D32" s="5">
        <f>IF(A32="","",SUM('Additional Information'!C32,'Additional Information'!D32))</f>
        <v>6.7000000000000002E-3</v>
      </c>
      <c r="E32">
        <f>IF(A32="","",SUM('Additional Information'!C32))</f>
        <v>2.3E-3</v>
      </c>
    </row>
    <row r="33" spans="1:5" x14ac:dyDescent="0.25">
      <c r="A33" t="str">
        <f>IF(Input!A34="","",Input!A34)</f>
        <v>Natural Income</v>
      </c>
      <c r="C33">
        <f>IF(A33="","",'Additional Information'!E33)</f>
        <v>1.72E-2</v>
      </c>
      <c r="D33" s="5">
        <f>IF(A33="","",SUM('Additional Information'!C33,'Additional Information'!D33))</f>
        <v>2.3199999999999998E-2</v>
      </c>
      <c r="E33">
        <f>IF(A33="","",SUM('Additional Information'!C33))</f>
        <v>6.5000000000000006E-3</v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Balanced</v>
      </c>
      <c r="B2" t="e">
        <f>IF(A2="","",SUM('Asset Allocation'!C2,'Asset Allocation'!E2,'Asset Allocation'!G2,'Asset Allocation'!H2,'Asset Allocation'!J2,'Asset Allocation'!L2,'Asset Allocation'!#REF!,'Asset Allocation'!M2))</f>
        <v>#REF!</v>
      </c>
      <c r="C2">
        <f>IF(A2="","",SUM('Asset Allocation'!B2,'Asset Allocation'!F2,'Asset Allocation'!K2,'Asset Allocation'!O2))</f>
        <v>0.54899999999999993</v>
      </c>
      <c r="F2">
        <f>IF(A2="","",SUM('Asset Allocation'!N2))</f>
        <v>0.55399999999999994</v>
      </c>
      <c r="G2">
        <f>IF(A2="","",SUM('Asset Allocation'!I2))</f>
        <v>0.02</v>
      </c>
      <c r="H2" t="e">
        <f t="shared" ref="H2:H50" si="0">IF(A2="","",1-SUM(B2:G2))</f>
        <v>#REF!</v>
      </c>
    </row>
    <row r="3" spans="1:8" x14ac:dyDescent="0.25">
      <c r="A3" t="str">
        <f>IF(Input!A4="","",Input!A4)</f>
        <v>Cultivate</v>
      </c>
      <c r="B3" t="e">
        <f>IF(A3="","",SUM('Asset Allocation'!C3,'Asset Allocation'!E3,'Asset Allocation'!G3,'Asset Allocation'!H3,'Asset Allocation'!J3,'Asset Allocation'!L3,'Asset Allocation'!#REF!,'Asset Allocation'!M3))</f>
        <v>#REF!</v>
      </c>
      <c r="C3">
        <f>IF(A3="","",SUM('Asset Allocation'!B3,'Asset Allocation'!F3,'Asset Allocation'!K3,'Asset Allocation'!O3))</f>
        <v>0.53500000000000003</v>
      </c>
      <c r="F3">
        <f>IF(A3="","",SUM('Asset Allocation'!N3))</f>
        <v>0.63900000000000001</v>
      </c>
      <c r="G3">
        <f>IF(A3="","",SUM('Asset Allocation'!I3))</f>
        <v>0</v>
      </c>
      <c r="H3" t="e">
        <f t="shared" si="0"/>
        <v>#REF!</v>
      </c>
    </row>
    <row r="4" spans="1:8" x14ac:dyDescent="0.25">
      <c r="A4" t="str">
        <f>IF(Input!A5="","",Input!A5)</f>
        <v>Endure</v>
      </c>
      <c r="B4" t="e">
        <f>IF(A4="","",SUM('Asset Allocation'!C4,'Asset Allocation'!E4,'Asset Allocation'!G4,'Asset Allocation'!H4,'Asset Allocation'!J4,'Asset Allocation'!L4,'Asset Allocation'!#REF!,'Asset Allocation'!M4))</f>
        <v>#REF!</v>
      </c>
      <c r="C4">
        <f>IF(A4="","",SUM('Asset Allocation'!B4,'Asset Allocation'!F4,'Asset Allocation'!K4,'Asset Allocation'!O4))</f>
        <v>0.51500000000000001</v>
      </c>
      <c r="F4">
        <f>IF(A4="","",SUM('Asset Allocation'!N4))</f>
        <v>0.41700000000000004</v>
      </c>
      <c r="G4">
        <f>IF(A4="","",SUM('Asset Allocation'!I4))</f>
        <v>0.03</v>
      </c>
      <c r="H4" t="e">
        <f t="shared" si="0"/>
        <v>#REF!</v>
      </c>
    </row>
    <row r="5" spans="1:8" x14ac:dyDescent="0.25">
      <c r="A5" t="str">
        <f>IF(Input!A6="","",Input!A6)</f>
        <v>Flourish</v>
      </c>
      <c r="B5" t="e">
        <f>IF(A5="","",SUM('Asset Allocation'!C5,'Asset Allocation'!E5,'Asset Allocation'!G5,'Asset Allocation'!H5,'Asset Allocation'!J5,'Asset Allocation'!L5,'Asset Allocation'!#REF!,'Asset Allocation'!M5))</f>
        <v>#REF!</v>
      </c>
      <c r="C5">
        <f>IF(A5="","",SUM('Asset Allocation'!B5,'Asset Allocation'!F5,'Asset Allocation'!K5,'Asset Allocation'!O5))</f>
        <v>0.54</v>
      </c>
      <c r="F5">
        <f>IF(A5="","",SUM('Asset Allocation'!N5))</f>
        <v>0.72499999999999998</v>
      </c>
      <c r="G5">
        <f>IF(A5="","",SUM('Asset Allocation'!I5))</f>
        <v>0</v>
      </c>
      <c r="H5" t="e">
        <f t="shared" si="0"/>
        <v>#REF!</v>
      </c>
    </row>
    <row r="6" spans="1:8" x14ac:dyDescent="0.25">
      <c r="A6" t="str">
        <f>IF(Input!A7="","",Input!A7)</f>
        <v>Magnify</v>
      </c>
      <c r="B6" t="e">
        <f>IF(A6="","",SUM('Asset Allocation'!C6,'Asset Allocation'!E6,'Asset Allocation'!G6,'Asset Allocation'!H6,'Asset Allocation'!J6,'Asset Allocation'!L6,'Asset Allocation'!#REF!,'Asset Allocation'!M6))</f>
        <v>#REF!</v>
      </c>
      <c r="C6">
        <f>IF(A6="","",SUM('Asset Allocation'!B6,'Asset Allocation'!F6,'Asset Allocation'!K6,'Asset Allocation'!O6))</f>
        <v>0.54500000000000004</v>
      </c>
      <c r="F6">
        <f>IF(A6="","",SUM('Asset Allocation'!N6))</f>
        <v>0.81099999999999994</v>
      </c>
      <c r="G6">
        <f>IF(A6="","",SUM('Asset Allocation'!I6))</f>
        <v>0</v>
      </c>
      <c r="H6" t="e">
        <f t="shared" si="0"/>
        <v>#REF!</v>
      </c>
    </row>
    <row r="7" spans="1:8" x14ac:dyDescent="0.25">
      <c r="A7" t="str">
        <f>IF(Input!A8="","",Input!A8)</f>
        <v>Mature</v>
      </c>
      <c r="B7" t="e">
        <f>IF(A7="","",SUM('Asset Allocation'!C7,'Asset Allocation'!E7,'Asset Allocation'!G7,'Asset Allocation'!H7,'Asset Allocation'!J7,'Asset Allocation'!L7,'Asset Allocation'!#REF!,'Asset Allocation'!M7))</f>
        <v>#REF!</v>
      </c>
      <c r="C7">
        <f>IF(A7="","",SUM('Asset Allocation'!B7,'Asset Allocation'!F7,'Asset Allocation'!K7,'Asset Allocation'!O7))</f>
        <v>0.48799999999999999</v>
      </c>
      <c r="F7">
        <f>IF(A7="","",SUM('Asset Allocation'!N7))</f>
        <v>0.52200000000000002</v>
      </c>
      <c r="G7">
        <f>IF(A7="","",SUM('Asset Allocation'!I7))</f>
        <v>1.4999999999999999E-2</v>
      </c>
      <c r="H7" t="e">
        <f t="shared" si="0"/>
        <v>#REF!</v>
      </c>
    </row>
    <row r="8" spans="1:8" x14ac:dyDescent="0.25">
      <c r="A8" t="str">
        <f>IF(Input!A9="","",Input!A9)</f>
        <v>Preserve</v>
      </c>
      <c r="B8" t="e">
        <f>IF(A8="","",SUM('Asset Allocation'!C8,'Asset Allocation'!E8,'Asset Allocation'!G8,'Asset Allocation'!H8,'Asset Allocation'!J8,'Asset Allocation'!L8,'Asset Allocation'!#REF!,'Asset Allocation'!M8))</f>
        <v>#REF!</v>
      </c>
      <c r="C8">
        <f>IF(A8="","",SUM('Asset Allocation'!B8,'Asset Allocation'!F8,'Asset Allocation'!K8,'Asset Allocation'!O8))</f>
        <v>0.54200000000000004</v>
      </c>
      <c r="F8">
        <f>IF(A8="","",SUM('Asset Allocation'!N8))</f>
        <v>0.314</v>
      </c>
      <c r="G8">
        <f>IF(A8="","",SUM('Asset Allocation'!I8))</f>
        <v>4.4999999999999998E-2</v>
      </c>
      <c r="H8" t="e">
        <f t="shared" si="0"/>
        <v>#REF!</v>
      </c>
    </row>
    <row r="9" spans="1:8" x14ac:dyDescent="0.25">
      <c r="A9" t="str">
        <f>IF(Input!A10="","",Input!A10)</f>
        <v>Trust DFM Protect</v>
      </c>
      <c r="B9" t="e">
        <f>IF(A9="","",SUM('Asset Allocation'!C9,'Asset Allocation'!E9,'Asset Allocation'!G9,'Asset Allocation'!H9,'Asset Allocation'!J9,'Asset Allocation'!L9,'Asset Allocation'!#REF!,'Asset Allocation'!M9))</f>
        <v>#REF!</v>
      </c>
      <c r="C9">
        <f>IF(A9="","",SUM('Asset Allocation'!B9,'Asset Allocation'!F9,'Asset Allocation'!K9,'Asset Allocation'!O9))</f>
        <v>0.57000000000000006</v>
      </c>
      <c r="F9">
        <f>IF(A9="","",SUM('Asset Allocation'!N9))</f>
        <v>0.21</v>
      </c>
      <c r="G9">
        <f>IF(A9="","",SUM('Asset Allocation'!I9))</f>
        <v>0.06</v>
      </c>
      <c r="H9" t="e">
        <f t="shared" si="0"/>
        <v>#REF!</v>
      </c>
    </row>
    <row r="10" spans="1:8" x14ac:dyDescent="0.25">
      <c r="A10" t="str">
        <f>IF(Input!A11="","",Input!A11)</f>
        <v>Trust DFM Enjoy</v>
      </c>
      <c r="B10" t="e">
        <f>IF(A10="","",SUM('Asset Allocation'!C10,'Asset Allocation'!E10,'Asset Allocation'!G10,'Asset Allocation'!H10,'Asset Allocation'!J10,'Asset Allocation'!L10,'Asset Allocation'!#REF!,'Asset Allocation'!M10))</f>
        <v>#REF!</v>
      </c>
      <c r="C10">
        <f>IF(A10="","",SUM('Asset Allocation'!B10,'Asset Allocation'!F10,'Asset Allocation'!K10,'Asset Allocation'!O10))</f>
        <v>0.53</v>
      </c>
      <c r="F10">
        <f>IF(A10="","",SUM('Asset Allocation'!N10))</f>
        <v>0.55000000000000004</v>
      </c>
      <c r="G10">
        <f>IF(A10="","",SUM('Asset Allocation'!I10))</f>
        <v>0</v>
      </c>
      <c r="H10" t="e">
        <f t="shared" si="0"/>
        <v>#REF!</v>
      </c>
    </row>
    <row r="11" spans="1:8" x14ac:dyDescent="0.25">
      <c r="A11" t="str">
        <f>IF(Input!A12="","",Input!A12)</f>
        <v>Trust DFM Grow</v>
      </c>
      <c r="B11" t="e">
        <f>IF(A11="","",SUM('Asset Allocation'!C11,'Asset Allocation'!E11,'Asset Allocation'!G11,'Asset Allocation'!H11,'Asset Allocation'!J11,'Asset Allocation'!L11,'Asset Allocation'!#REF!,'Asset Allocation'!M11))</f>
        <v>#REF!</v>
      </c>
      <c r="C11">
        <f>IF(A11="","",SUM('Asset Allocation'!B11,'Asset Allocation'!F11,'Asset Allocation'!K11,'Asset Allocation'!O11))</f>
        <v>0.54999999999999993</v>
      </c>
      <c r="F11">
        <f>IF(A11="","",SUM('Asset Allocation'!N11))</f>
        <v>0.9</v>
      </c>
      <c r="G11">
        <f>IF(A11="","",SUM('Asset Allocation'!I11))</f>
        <v>0</v>
      </c>
      <c r="H11" t="e">
        <f t="shared" si="0"/>
        <v>#REF!</v>
      </c>
    </row>
    <row r="12" spans="1:8" x14ac:dyDescent="0.25">
      <c r="A12" t="str">
        <f>IF(Input!A13="","",Input!A13)</f>
        <v>Balanced Passive</v>
      </c>
      <c r="B12" t="e">
        <f>IF(A12="","",SUM('Asset Allocation'!C12,'Asset Allocation'!E12,'Asset Allocation'!G12,'Asset Allocation'!H12,'Asset Allocation'!J12,'Asset Allocation'!L12,'Asset Allocation'!#REF!,'Asset Allocation'!M12))</f>
        <v>#REF!</v>
      </c>
      <c r="C12">
        <f>IF(A12="","",SUM('Asset Allocation'!B12,'Asset Allocation'!F12,'Asset Allocation'!K12,'Asset Allocation'!O12))</f>
        <v>0.43200000000000005</v>
      </c>
      <c r="F12">
        <f>IF(A12="","",SUM('Asset Allocation'!N12))</f>
        <v>0.56100000000000005</v>
      </c>
      <c r="G12">
        <f>IF(A12="","",SUM('Asset Allocation'!I12))</f>
        <v>0</v>
      </c>
      <c r="H12" t="e">
        <f t="shared" si="0"/>
        <v>#REF!</v>
      </c>
    </row>
    <row r="13" spans="1:8" x14ac:dyDescent="0.25">
      <c r="A13" t="str">
        <f>IF(Input!A14="","",Input!A14)</f>
        <v>Cultivate Passive</v>
      </c>
      <c r="B13" t="e">
        <f>IF(A13="","",SUM('Asset Allocation'!C13,'Asset Allocation'!E13,'Asset Allocation'!G13,'Asset Allocation'!H13,'Asset Allocation'!J13,'Asset Allocation'!L13,'Asset Allocation'!#REF!,'Asset Allocation'!M13))</f>
        <v>#REF!</v>
      </c>
      <c r="C13">
        <f>IF(A13="","",SUM('Asset Allocation'!B13,'Asset Allocation'!F13,'Asset Allocation'!K13,'Asset Allocation'!O13))</f>
        <v>0.375</v>
      </c>
      <c r="F13">
        <f>IF(A13="","",SUM('Asset Allocation'!N13))</f>
        <v>0.63500000000000001</v>
      </c>
      <c r="G13">
        <f>IF(A13="","",SUM('Asset Allocation'!I13))</f>
        <v>0</v>
      </c>
      <c r="H13" t="e">
        <f t="shared" si="0"/>
        <v>#REF!</v>
      </c>
    </row>
    <row r="14" spans="1:8" x14ac:dyDescent="0.25">
      <c r="A14" t="str">
        <f>IF(Input!A15="","",Input!A15)</f>
        <v>Endure Passive</v>
      </c>
      <c r="B14" t="e">
        <f>IF(A14="","",SUM('Asset Allocation'!C14,'Asset Allocation'!E14,'Asset Allocation'!G14,'Asset Allocation'!H14,'Asset Allocation'!J14,'Asset Allocation'!L14,'Asset Allocation'!#REF!,'Asset Allocation'!M14))</f>
        <v>#REF!</v>
      </c>
      <c r="C14">
        <f>IF(A14="","",SUM('Asset Allocation'!B14,'Asset Allocation'!F14,'Asset Allocation'!K14,'Asset Allocation'!O14))</f>
        <v>0.46199999999999997</v>
      </c>
      <c r="F14">
        <f>IF(A14="","",SUM('Asset Allocation'!N14))</f>
        <v>0.39100000000000001</v>
      </c>
      <c r="G14">
        <f>IF(A14="","",SUM('Asset Allocation'!I14))</f>
        <v>0</v>
      </c>
      <c r="H14" t="e">
        <f t="shared" si="0"/>
        <v>#REF!</v>
      </c>
    </row>
    <row r="15" spans="1:8" x14ac:dyDescent="0.25">
      <c r="A15" t="str">
        <f>IF(Input!A16="","",Input!A16)</f>
        <v>Flourish Passive</v>
      </c>
      <c r="B15" t="e">
        <f>IF(A15="","",SUM('Asset Allocation'!C15,'Asset Allocation'!E15,'Asset Allocation'!G15,'Asset Allocation'!H15,'Asset Allocation'!J15,'Asset Allocation'!L15,'Asset Allocation'!#REF!,'Asset Allocation'!M15))</f>
        <v>#REF!</v>
      </c>
      <c r="C15">
        <f>IF(A15="","",SUM('Asset Allocation'!B15,'Asset Allocation'!F15,'Asset Allocation'!K15,'Asset Allocation'!O15))</f>
        <v>0.39300000000000002</v>
      </c>
      <c r="F15">
        <f>IF(A15="","",SUM('Asset Allocation'!N15))</f>
        <v>0.72499999999999998</v>
      </c>
      <c r="G15">
        <f>IF(A15="","",SUM('Asset Allocation'!I15))</f>
        <v>0</v>
      </c>
      <c r="H15" t="e">
        <f t="shared" si="0"/>
        <v>#REF!</v>
      </c>
    </row>
    <row r="16" spans="1:8" x14ac:dyDescent="0.25">
      <c r="A16" t="str">
        <f>IF(Input!A17="","",Input!A17)</f>
        <v>Magnify Passive</v>
      </c>
      <c r="B16" t="e">
        <f>IF(A16="","",SUM('Asset Allocation'!C16,'Asset Allocation'!E16,'Asset Allocation'!G16,'Asset Allocation'!H16,'Asset Allocation'!J16,'Asset Allocation'!L16,'Asset Allocation'!#REF!,'Asset Allocation'!M16))</f>
        <v>#REF!</v>
      </c>
      <c r="C16">
        <f>IF(A16="","",SUM('Asset Allocation'!B16,'Asset Allocation'!F16,'Asset Allocation'!K16,'Asset Allocation'!O16))</f>
        <v>0.33379999999999999</v>
      </c>
      <c r="F16">
        <f>IF(A16="","",SUM('Asset Allocation'!N16))</f>
        <v>0.8125</v>
      </c>
      <c r="G16">
        <f>IF(A16="","",SUM('Asset Allocation'!I16))</f>
        <v>0</v>
      </c>
      <c r="H16" t="e">
        <f t="shared" si="0"/>
        <v>#REF!</v>
      </c>
    </row>
    <row r="17" spans="1:8" x14ac:dyDescent="0.25">
      <c r="A17" t="str">
        <f>IF(Input!A18="","",Input!A18)</f>
        <v>Mature Passsive</v>
      </c>
      <c r="B17" t="e">
        <f>IF(A17="","",SUM('Asset Allocation'!C17,'Asset Allocation'!E17,'Asset Allocation'!G17,'Asset Allocation'!H17,'Asset Allocation'!J17,'Asset Allocation'!L17,'Asset Allocation'!#REF!,'Asset Allocation'!M17))</f>
        <v>#REF!</v>
      </c>
      <c r="C17">
        <f>IF(A17="","",SUM('Asset Allocation'!B17,'Asset Allocation'!F17,'Asset Allocation'!K17,'Asset Allocation'!O17))</f>
        <v>0.43630000000000002</v>
      </c>
      <c r="F17">
        <f>IF(A17="","",SUM('Asset Allocation'!N17))</f>
        <v>0.47</v>
      </c>
      <c r="G17">
        <f>IF(A17="","",SUM('Asset Allocation'!I17))</f>
        <v>0</v>
      </c>
      <c r="H17" t="e">
        <f t="shared" si="0"/>
        <v>#REF!</v>
      </c>
    </row>
    <row r="18" spans="1:8" x14ac:dyDescent="0.25">
      <c r="A18" t="str">
        <f>IF(Input!A19="","",Input!A19)</f>
        <v>Preserve Passive</v>
      </c>
      <c r="B18" t="e">
        <f>IF(A18="","",SUM('Asset Allocation'!C18,'Asset Allocation'!E18,'Asset Allocation'!G18,'Asset Allocation'!H18,'Asset Allocation'!J18,'Asset Allocation'!L18,'Asset Allocation'!#REF!,'Asset Allocation'!M18))</f>
        <v>#REF!</v>
      </c>
      <c r="C18">
        <f>IF(A18="","",SUM('Asset Allocation'!B18,'Asset Allocation'!F18,'Asset Allocation'!K18,'Asset Allocation'!O18))</f>
        <v>0.48880000000000001</v>
      </c>
      <c r="F18">
        <f>IF(A18="","",SUM('Asset Allocation'!N18))</f>
        <v>0.31</v>
      </c>
      <c r="G18">
        <f>IF(A18="","",SUM('Asset Allocation'!I18))</f>
        <v>0</v>
      </c>
      <c r="H18" t="e">
        <f t="shared" si="0"/>
        <v>#REF!</v>
      </c>
    </row>
    <row r="19" spans="1:8" x14ac:dyDescent="0.25">
      <c r="A19" t="str">
        <f>IF(Input!A20="","",Input!A20)</f>
        <v>Protect Passive</v>
      </c>
      <c r="B19" t="e">
        <f>IF(A19="","",SUM('Asset Allocation'!C19,'Asset Allocation'!E19,'Asset Allocation'!G19,'Asset Allocation'!H19,'Asset Allocation'!J19,'Asset Allocation'!L19,'Asset Allocation'!#REF!,'Asset Allocation'!M19))</f>
        <v>#REF!</v>
      </c>
      <c r="C19">
        <f>IF(A19="","",SUM('Asset Allocation'!B19,'Asset Allocation'!F19,'Asset Allocation'!K19,'Asset Allocation'!O19))</f>
        <v>0.51500000000000001</v>
      </c>
      <c r="F19">
        <f>IF(A19="","",SUM('Asset Allocation'!N19))</f>
        <v>0.23</v>
      </c>
      <c r="G19">
        <f>IF(A19="","",SUM('Asset Allocation'!I19))</f>
        <v>0</v>
      </c>
      <c r="H19" t="e">
        <f t="shared" si="0"/>
        <v>#REF!</v>
      </c>
    </row>
    <row r="20" spans="1:8" x14ac:dyDescent="0.25">
      <c r="A20" t="str">
        <f>IF(Input!A21="","",Input!A21)</f>
        <v>Enjoy Passive</v>
      </c>
      <c r="B20" t="e">
        <f>IF(A20="","",SUM('Asset Allocation'!C20,'Asset Allocation'!E20,'Asset Allocation'!G20,'Asset Allocation'!H20,'Asset Allocation'!J20,'Asset Allocation'!L20,'Asset Allocation'!#REF!,'Asset Allocation'!M20))</f>
        <v>#REF!</v>
      </c>
      <c r="C20">
        <f>IF(A20="","",SUM('Asset Allocation'!B20,'Asset Allocation'!F20,'Asset Allocation'!K20,'Asset Allocation'!O20))</f>
        <v>0.41000000000000003</v>
      </c>
      <c r="F20">
        <f>IF(A20="","",SUM('Asset Allocation'!N20))</f>
        <v>0.55000000000000004</v>
      </c>
      <c r="G20">
        <f>IF(A20="","",SUM('Asset Allocation'!I20))</f>
        <v>0</v>
      </c>
      <c r="H20" t="e">
        <f t="shared" si="0"/>
        <v>#REF!</v>
      </c>
    </row>
    <row r="21" spans="1:8" x14ac:dyDescent="0.25">
      <c r="A21" t="str">
        <f>IF(Input!A22="","",Input!A22)</f>
        <v>Grow Passive</v>
      </c>
      <c r="B21" t="e">
        <f>IF(A21="","",SUM('Asset Allocation'!C21,'Asset Allocation'!E21,'Asset Allocation'!G21,'Asset Allocation'!H21,'Asset Allocation'!J21,'Asset Allocation'!L21,'Asset Allocation'!#REF!,'Asset Allocation'!M21))</f>
        <v>#REF!</v>
      </c>
      <c r="C21">
        <f>IF(A21="","",SUM('Asset Allocation'!B21,'Asset Allocation'!F21,'Asset Allocation'!K21,'Asset Allocation'!O21))</f>
        <v>0.375</v>
      </c>
      <c r="F21">
        <f>IF(A21="","",SUM('Asset Allocation'!N21))</f>
        <v>0.9</v>
      </c>
      <c r="G21">
        <f>IF(A21="","",SUM('Asset Allocation'!I21))</f>
        <v>0</v>
      </c>
      <c r="H21" t="e">
        <f t="shared" si="0"/>
        <v>#REF!</v>
      </c>
    </row>
    <row r="22" spans="1:8" x14ac:dyDescent="0.25">
      <c r="A22" t="str">
        <f>IF(Input!A23="","",Input!A23)</f>
        <v>Balanced Attenborough</v>
      </c>
      <c r="B22" t="e">
        <f>IF(A22="","",SUM('Asset Allocation'!C22,'Asset Allocation'!E22,'Asset Allocation'!G22,'Asset Allocation'!H22,'Asset Allocation'!J22,'Asset Allocation'!L22,'Asset Allocation'!#REF!,'Asset Allocation'!M22))</f>
        <v>#REF!</v>
      </c>
      <c r="C22">
        <f>IF(A22="","",SUM('Asset Allocation'!B22,'Asset Allocation'!F22,'Asset Allocation'!K22,'Asset Allocation'!O22))</f>
        <v>0.55299999999999994</v>
      </c>
      <c r="F22">
        <f>IF(A22="","",SUM('Asset Allocation'!N22))</f>
        <v>0.50700000000000001</v>
      </c>
      <c r="G22">
        <f>IF(A22="","",SUM('Asset Allocation'!I22))</f>
        <v>1.7000000000000001E-2</v>
      </c>
      <c r="H22" t="e">
        <f t="shared" si="0"/>
        <v>#REF!</v>
      </c>
    </row>
    <row r="23" spans="1:8" x14ac:dyDescent="0.25">
      <c r="A23" t="str">
        <f>IF(Input!A24="","",Input!A24)</f>
        <v>Cultivate Attenborough</v>
      </c>
      <c r="B23" t="e">
        <f>IF(A23="","",SUM('Asset Allocation'!C23,'Asset Allocation'!E23,'Asset Allocation'!G23,'Asset Allocation'!H23,'Asset Allocation'!J23,'Asset Allocation'!L23,'Asset Allocation'!#REF!,'Asset Allocation'!M23))</f>
        <v>#REF!</v>
      </c>
      <c r="C23">
        <f>IF(A23="","",SUM('Asset Allocation'!B23,'Asset Allocation'!F23,'Asset Allocation'!K23,'Asset Allocation'!O23))</f>
        <v>0.56299999999999994</v>
      </c>
      <c r="F23">
        <f>IF(A23="","",SUM('Asset Allocation'!N23))</f>
        <v>0.57999999999999996</v>
      </c>
      <c r="G23">
        <f>IF(A23="","",SUM('Asset Allocation'!I23))</f>
        <v>0</v>
      </c>
      <c r="H23" t="e">
        <f t="shared" si="0"/>
        <v>#REF!</v>
      </c>
    </row>
    <row r="24" spans="1:8" x14ac:dyDescent="0.25">
      <c r="A24" t="str">
        <f>IF(Input!A25="","",Input!A25)</f>
        <v>Endure Attenborough</v>
      </c>
      <c r="B24" t="e">
        <f>IF(A24="","",SUM('Asset Allocation'!C24,'Asset Allocation'!E24,'Asset Allocation'!G24,'Asset Allocation'!H24,'Asset Allocation'!J24,'Asset Allocation'!L24,'Asset Allocation'!#REF!,'Asset Allocation'!M24))</f>
        <v>#REF!</v>
      </c>
      <c r="C24">
        <f>IF(A24="","",SUM('Asset Allocation'!B24,'Asset Allocation'!F24,'Asset Allocation'!K24,'Asset Allocation'!O24))</f>
        <v>0.45</v>
      </c>
      <c r="F24">
        <f>IF(A24="","",SUM('Asset Allocation'!N24))</f>
        <v>0.31</v>
      </c>
      <c r="G24">
        <f>IF(A24="","",SUM('Asset Allocation'!I24))</f>
        <v>2.5000000000000001E-2</v>
      </c>
      <c r="H24" t="e">
        <f t="shared" si="0"/>
        <v>#REF!</v>
      </c>
    </row>
    <row r="25" spans="1:8" x14ac:dyDescent="0.25">
      <c r="A25" t="str">
        <f>IF(Input!A26="","",Input!A26)</f>
        <v>Flourish Attenborough</v>
      </c>
      <c r="B25" t="e">
        <f>IF(A25="","",SUM('Asset Allocation'!C25,'Asset Allocation'!E25,'Asset Allocation'!G25,'Asset Allocation'!H25,'Asset Allocation'!J25,'Asset Allocation'!L25,'Asset Allocation'!#REF!,'Asset Allocation'!M25))</f>
        <v>#REF!</v>
      </c>
      <c r="C25">
        <f>IF(A25="","",SUM('Asset Allocation'!B25,'Asset Allocation'!F25,'Asset Allocation'!K25,'Asset Allocation'!O25))</f>
        <v>0.63</v>
      </c>
      <c r="F25">
        <f>IF(A25="","",SUM('Asset Allocation'!N25))</f>
        <v>0.68500000000000005</v>
      </c>
      <c r="G25">
        <f>IF(A25="","",SUM('Asset Allocation'!I25))</f>
        <v>0</v>
      </c>
      <c r="H25" t="e">
        <f t="shared" si="0"/>
        <v>#REF!</v>
      </c>
    </row>
    <row r="26" spans="1:8" x14ac:dyDescent="0.25">
      <c r="A26" t="str">
        <f>IF(Input!A27="","",Input!A27)</f>
        <v>Magnify Attenborough</v>
      </c>
      <c r="B26" t="e">
        <f>IF(A26="","",SUM('Asset Allocation'!C26,'Asset Allocation'!E26,'Asset Allocation'!G26,'Asset Allocation'!H26,'Asset Allocation'!J26,'Asset Allocation'!L26,'Asset Allocation'!#REF!,'Asset Allocation'!M26))</f>
        <v>#REF!</v>
      </c>
      <c r="C26">
        <f>IF(A26="","",SUM('Asset Allocation'!B26,'Asset Allocation'!F26,'Asset Allocation'!K26,'Asset Allocation'!O26))</f>
        <v>0.69400000000000006</v>
      </c>
      <c r="F26">
        <f>IF(A26="","",SUM('Asset Allocation'!N26))</f>
        <v>0.79</v>
      </c>
      <c r="G26">
        <f>IF(A26="","",SUM('Asset Allocation'!I26))</f>
        <v>0</v>
      </c>
      <c r="H26" t="e">
        <f t="shared" si="0"/>
        <v>#REF!</v>
      </c>
    </row>
    <row r="27" spans="1:8" x14ac:dyDescent="0.25">
      <c r="A27" t="str">
        <f>IF(Input!A28="","",Input!A28)</f>
        <v>Mature Attenborough</v>
      </c>
      <c r="B27" t="e">
        <f>IF(A27="","",SUM('Asset Allocation'!C27,'Asset Allocation'!E27,'Asset Allocation'!G27,'Asset Allocation'!H27,'Asset Allocation'!J27,'Asset Allocation'!L27,'Asset Allocation'!#REF!,'Asset Allocation'!M27))</f>
        <v>#REF!</v>
      </c>
      <c r="C27">
        <f>IF(A27="","",SUM('Asset Allocation'!B27,'Asset Allocation'!F27,'Asset Allocation'!K27,'Asset Allocation'!O27))</f>
        <v>0.47499999999999998</v>
      </c>
      <c r="F27">
        <f>IF(A27="","",SUM('Asset Allocation'!N27))</f>
        <v>0.39</v>
      </c>
      <c r="G27">
        <f>IF(A27="","",SUM('Asset Allocation'!I27))</f>
        <v>1.2E-2</v>
      </c>
      <c r="H27" t="e">
        <f t="shared" si="0"/>
        <v>#REF!</v>
      </c>
    </row>
    <row r="28" spans="1:8" x14ac:dyDescent="0.25">
      <c r="A28" t="str">
        <f>IF(Input!A29="","",Input!A29)</f>
        <v>Preserve Attenborough</v>
      </c>
      <c r="B28" t="e">
        <f>IF(A28="","",SUM('Asset Allocation'!C28,'Asset Allocation'!E28,'Asset Allocation'!G28,'Asset Allocation'!H28,'Asset Allocation'!J28,'Asset Allocation'!L28,'Asset Allocation'!#REF!,'Asset Allocation'!M28))</f>
        <v>#REF!</v>
      </c>
      <c r="C28">
        <f>IF(A28="","",SUM('Asset Allocation'!B28,'Asset Allocation'!F28,'Asset Allocation'!K28,'Asset Allocation'!O28))</f>
        <v>0.42500000000000004</v>
      </c>
      <c r="F28">
        <f>IF(A28="","",SUM('Asset Allocation'!N28))</f>
        <v>0.23</v>
      </c>
      <c r="G28">
        <f>IF(A28="","",SUM('Asset Allocation'!I28))</f>
        <v>3.7999999999999999E-2</v>
      </c>
      <c r="H28" t="e">
        <f t="shared" si="0"/>
        <v>#REF!</v>
      </c>
    </row>
    <row r="29" spans="1:8" x14ac:dyDescent="0.25">
      <c r="A29" t="str">
        <f>IF(Input!A30="","",Input!A30)</f>
        <v>Protect Attenborough</v>
      </c>
      <c r="B29" t="e">
        <f>IF(A29="","",SUM('Asset Allocation'!C29,'Asset Allocation'!E29,'Asset Allocation'!G29,'Asset Allocation'!H29,'Asset Allocation'!J29,'Asset Allocation'!L29,'Asset Allocation'!#REF!,'Asset Allocation'!M29))</f>
        <v>#REF!</v>
      </c>
      <c r="C29">
        <f>IF(A29="","",SUM('Asset Allocation'!B29,'Asset Allocation'!F29,'Asset Allocation'!K29,'Asset Allocation'!O29))</f>
        <v>0.4</v>
      </c>
      <c r="F29">
        <f>IF(A29="","",SUM('Asset Allocation'!N29))</f>
        <v>0.15</v>
      </c>
      <c r="G29">
        <f>IF(A29="","",SUM('Asset Allocation'!I29))</f>
        <v>0.05</v>
      </c>
      <c r="H29" t="e">
        <f t="shared" si="0"/>
        <v>#REF!</v>
      </c>
    </row>
    <row r="30" spans="1:8" x14ac:dyDescent="0.25">
      <c r="A30" t="str">
        <f>IF(Input!A31="","",Input!A31)</f>
        <v>Enjoy Attenborough</v>
      </c>
      <c r="B30" t="e">
        <f>IF(A30="","",SUM('Asset Allocation'!C30,'Asset Allocation'!E30,'Asset Allocation'!G30,'Asset Allocation'!H30,'Asset Allocation'!J30,'Asset Allocation'!L30,'Asset Allocation'!#REF!,'Asset Allocation'!M30))</f>
        <v>#REF!</v>
      </c>
      <c r="C30">
        <f>IF(A30="","",SUM('Asset Allocation'!B30,'Asset Allocation'!F30,'Asset Allocation'!K30,'Asset Allocation'!O30))</f>
        <v>0.5</v>
      </c>
      <c r="F30">
        <f>IF(A30="","",SUM('Asset Allocation'!N30))</f>
        <v>0.47</v>
      </c>
      <c r="G30">
        <f>IF(A30="","",SUM('Asset Allocation'!I30))</f>
        <v>0</v>
      </c>
      <c r="H30" t="e">
        <f t="shared" si="0"/>
        <v>#REF!</v>
      </c>
    </row>
    <row r="31" spans="1:8" x14ac:dyDescent="0.25">
      <c r="A31" t="str">
        <f>IF(Input!A32="","",Input!A32)</f>
        <v>Grow Attenborough</v>
      </c>
      <c r="B31" t="e">
        <f>IF(A31="","",SUM('Asset Allocation'!C31,'Asset Allocation'!E31,'Asset Allocation'!G31,'Asset Allocation'!H31,'Asset Allocation'!J31,'Asset Allocation'!L31,'Asset Allocation'!#REF!,'Asset Allocation'!M31))</f>
        <v>#REF!</v>
      </c>
      <c r="C31">
        <f>IF(A31="","",SUM('Asset Allocation'!B31,'Asset Allocation'!F31,'Asset Allocation'!K31,'Asset Allocation'!O31))</f>
        <v>0.7599999999999999</v>
      </c>
      <c r="F31">
        <f>IF(A31="","",SUM('Asset Allocation'!N31))</f>
        <v>0.9</v>
      </c>
      <c r="G31">
        <f>IF(A31="","",SUM('Asset Allocation'!I31))</f>
        <v>0</v>
      </c>
      <c r="H31" t="e">
        <f t="shared" si="0"/>
        <v>#REF!</v>
      </c>
    </row>
    <row r="32" spans="1:8" x14ac:dyDescent="0.25">
      <c r="A32" t="str">
        <f>IF(Input!A33="","",Input!A33)</f>
        <v>Passive Income</v>
      </c>
      <c r="B32" t="e">
        <f>IF(A32="","",SUM('Asset Allocation'!C32,'Asset Allocation'!E32,'Asset Allocation'!G32,'Asset Allocation'!H32,'Asset Allocation'!J32,'Asset Allocation'!L32,'Asset Allocation'!#REF!,'Asset Allocation'!M32))</f>
        <v>#REF!</v>
      </c>
      <c r="C32">
        <f>IF(A32="","",SUM('Asset Allocation'!B32,'Asset Allocation'!F32,'Asset Allocation'!K32,'Asset Allocation'!O32))</f>
        <v>0.55000000000000004</v>
      </c>
      <c r="F32">
        <f>IF(A32="","",SUM('Asset Allocation'!N32))</f>
        <v>0.55000000000000004</v>
      </c>
      <c r="G32">
        <f>IF(A32="","",SUM('Asset Allocation'!I32))</f>
        <v>0</v>
      </c>
      <c r="H32" t="e">
        <f t="shared" si="0"/>
        <v>#REF!</v>
      </c>
    </row>
    <row r="33" spans="1:8" x14ac:dyDescent="0.25">
      <c r="A33" t="str">
        <f>IF(Input!A34="","",Input!A34)</f>
        <v>Natural Income</v>
      </c>
      <c r="B33" t="e">
        <f>IF(A33="","",SUM('Asset Allocation'!C33,'Asset Allocation'!E33,'Asset Allocation'!G33,'Asset Allocation'!H33,'Asset Allocation'!J33,'Asset Allocation'!L33,'Asset Allocation'!#REF!,'Asset Allocation'!M33))</f>
        <v>#REF!</v>
      </c>
      <c r="C33">
        <f>IF(A33="","",SUM('Asset Allocation'!B33,'Asset Allocation'!F33,'Asset Allocation'!K33,'Asset Allocation'!O33))</f>
        <v>0.5</v>
      </c>
      <c r="F33">
        <f>IF(A33="","",SUM('Asset Allocation'!N33))</f>
        <v>0.63</v>
      </c>
      <c r="G33">
        <f>IF(A33="","",SUM('Asset Allocation'!I33))</f>
        <v>0</v>
      </c>
      <c r="H33" t="e">
        <f t="shared" si="0"/>
        <v>#REF!</v>
      </c>
    </row>
    <row r="34" spans="1:8" x14ac:dyDescent="0.25">
      <c r="A34" t="str">
        <f>IF(Input!A35="","",Input!A35)</f>
        <v/>
      </c>
      <c r="B34" t="str">
        <f>IF(A34="","",SUM('Asset Allocation'!C34,'Asset Allocation'!E34,'Asset Allocation'!G34,'Asset Allocation'!H34,'Asset Allocation'!J34,'Asset Allocation'!L34,'Asset Allocation'!#REF!,'Asset Allocation'!M34))</f>
        <v/>
      </c>
      <c r="C34" t="str">
        <f>IF(A34="","",SUM('Asset Allocation'!B34,'Asset Allocation'!F34,'Asset Allocation'!K34,'Asset Allocation'!O34))</f>
        <v/>
      </c>
      <c r="F34" t="str">
        <f>IF(A34="","",SUM('Asset Allocation'!N34))</f>
        <v/>
      </c>
      <c r="G34" t="str">
        <f>IF(A34="","",SUM('Asset Allocation'!I34))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Allocation'!C35,'Asset Allocation'!E35,'Asset Allocation'!G35,'Asset Allocation'!H35,'Asset Allocation'!J35,'Asset Allocation'!L35,'Asset Allocation'!#REF!,'Asset Allocation'!M35))</f>
        <v/>
      </c>
      <c r="C35" t="str">
        <f>IF(A35="","",SUM('Asset Allocation'!B35,'Asset Allocation'!F35,'Asset Allocation'!K35,'Asset Allocation'!O35))</f>
        <v/>
      </c>
      <c r="F35" t="str">
        <f>IF(A35="","",SUM('Asset Allocation'!N35))</f>
        <v/>
      </c>
      <c r="G35" t="str">
        <f>IF(A35="","",SUM('Asset Allocation'!I35))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Allocation'!C36,'Asset Allocation'!E36,'Asset Allocation'!G36,'Asset Allocation'!H36,'Asset Allocation'!J36,'Asset Allocation'!L36,'Asset Allocation'!#REF!,'Asset Allocation'!M36))</f>
        <v/>
      </c>
      <c r="C36" t="str">
        <f>IF(A36="","",SUM('Asset Allocation'!B36,'Asset Allocation'!F36,'Asset Allocation'!K36,'Asset Allocation'!O36))</f>
        <v/>
      </c>
      <c r="F36" t="str">
        <f>IF(A36="","",SUM('Asset Allocation'!N36))</f>
        <v/>
      </c>
      <c r="G36" t="str">
        <f>IF(A36="","",SUM('Asset Allocation'!I36))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Allocation'!C37,'Asset Allocation'!E37,'Asset Allocation'!G37,'Asset Allocation'!H37,'Asset Allocation'!J37,'Asset Allocation'!L37,'Asset Allocation'!#REF!,'Asset Allocation'!M37))</f>
        <v/>
      </c>
      <c r="C37" t="str">
        <f>IF(A37="","",SUM('Asset Allocation'!B37,'Asset Allocation'!F37,'Asset Allocation'!K37,'Asset Allocation'!O37))</f>
        <v/>
      </c>
      <c r="F37" t="str">
        <f>IF(A37="","",SUM('Asset Allocation'!N37))</f>
        <v/>
      </c>
      <c r="G37" t="str">
        <f>IF(A37="","",SUM('Asset Allocation'!I37))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Allocation'!C38,'Asset Allocation'!E38,'Asset Allocation'!G38,'Asset Allocation'!H38,'Asset Allocation'!J38,'Asset Allocation'!L38,'Asset Allocation'!#REF!,'Asset Allocation'!M38))</f>
        <v/>
      </c>
      <c r="C38" t="str">
        <f>IF(A38="","",SUM('Asset Allocation'!B38,'Asset Allocation'!F38,'Asset Allocation'!K38,'Asset Allocation'!O38))</f>
        <v/>
      </c>
      <c r="F38" t="str">
        <f>IF(A38="","",SUM('Asset Allocation'!N38))</f>
        <v/>
      </c>
      <c r="G38" t="str">
        <f>IF(A38="","",SUM('Asset Allocation'!I38))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Allocation'!C39,'Asset Allocation'!E39,'Asset Allocation'!G39,'Asset Allocation'!H39,'Asset Allocation'!J39,'Asset Allocation'!L39,'Asset Allocation'!#REF!,'Asset Allocation'!M39))</f>
        <v/>
      </c>
      <c r="C39" t="str">
        <f>IF(A39="","",SUM('Asset Allocation'!B39,'Asset Allocation'!F39,'Asset Allocation'!K39,'Asset Allocation'!O39))</f>
        <v/>
      </c>
      <c r="F39" t="str">
        <f>IF(A39="","",SUM('Asset Allocation'!N39))</f>
        <v/>
      </c>
      <c r="G39" t="str">
        <f>IF(A39="","",SUM('Asset Allocation'!I39))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Allocation'!C40,'Asset Allocation'!E40,'Asset Allocation'!G40,'Asset Allocation'!H40,'Asset Allocation'!J40,'Asset Allocation'!L40,'Asset Allocation'!#REF!,'Asset Allocation'!M40))</f>
        <v/>
      </c>
      <c r="C40" t="str">
        <f>IF(A40="","",SUM('Asset Allocation'!B40,'Asset Allocation'!F40,'Asset Allocation'!K40,'Asset Allocation'!O40))</f>
        <v/>
      </c>
      <c r="F40" t="str">
        <f>IF(A40="","",SUM('Asset Allocation'!N40))</f>
        <v/>
      </c>
      <c r="G40" t="str">
        <f>IF(A40="","",SUM('Asset Allocation'!I40))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Allocation'!C41,'Asset Allocation'!E41,'Asset Allocation'!G41,'Asset Allocation'!H41,'Asset Allocation'!J41,'Asset Allocation'!L41,'Asset Allocation'!#REF!,'Asset Allocation'!M41))</f>
        <v/>
      </c>
      <c r="C41" t="str">
        <f>IF(A41="","",SUM('Asset Allocation'!B41,'Asset Allocation'!F41,'Asset Allocation'!K41,'Asset Allocation'!O41))</f>
        <v/>
      </c>
      <c r="F41" t="str">
        <f>IF(A41="","",SUM('Asset Allocation'!N41))</f>
        <v/>
      </c>
      <c r="G41" t="str">
        <f>IF(A41="","",SUM('Asset Allocation'!I41))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Allocation'!C42,'Asset Allocation'!E42,'Asset Allocation'!G42,'Asset Allocation'!H42,'Asset Allocation'!J42,'Asset Allocation'!L42,'Asset Allocation'!#REF!,'Asset Allocation'!M42))</f>
        <v/>
      </c>
      <c r="C42" t="str">
        <f>IF(A42="","",SUM('Asset Allocation'!B42,'Asset Allocation'!F42,'Asset Allocation'!K42,'Asset Allocation'!O42))</f>
        <v/>
      </c>
      <c r="F42" t="str">
        <f>IF(A42="","",SUM('Asset Allocation'!N42))</f>
        <v/>
      </c>
      <c r="G42" t="str">
        <f>IF(A42="","",SUM('Asset Allocation'!I42))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Allocation'!C43,'Asset Allocation'!E43,'Asset Allocation'!G43,'Asset Allocation'!H43,'Asset Allocation'!J43,'Asset Allocation'!L43,'Asset Allocation'!#REF!,'Asset Allocation'!M43))</f>
        <v/>
      </c>
      <c r="C43" t="str">
        <f>IF(A43="","",SUM('Asset Allocation'!B43,'Asset Allocation'!F43,'Asset Allocation'!K43,'Asset Allocation'!O43))</f>
        <v/>
      </c>
      <c r="F43" t="str">
        <f>IF(A43="","",SUM('Asset Allocation'!N43))</f>
        <v/>
      </c>
      <c r="G43" t="str">
        <f>IF(A43="","",SUM('Asset Allocation'!I43))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Allocation'!C44,'Asset Allocation'!E44,'Asset Allocation'!G44,'Asset Allocation'!H44,'Asset Allocation'!J44,'Asset Allocation'!L44,'Asset Allocation'!#REF!,'Asset Allocation'!M44))</f>
        <v/>
      </c>
      <c r="C44" t="str">
        <f>IF(A44="","",SUM('Asset Allocation'!B44,'Asset Allocation'!F44,'Asset Allocation'!K44,'Asset Allocation'!O44))</f>
        <v/>
      </c>
      <c r="F44" t="str">
        <f>IF(A44="","",SUM('Asset Allocation'!N44))</f>
        <v/>
      </c>
      <c r="G44" t="str">
        <f>IF(A44="","",SUM('Asset Allocation'!I44))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Allocation'!C45,'Asset Allocation'!E45,'Asset Allocation'!G45,'Asset Allocation'!H45,'Asset Allocation'!J45,'Asset Allocation'!L45,'Asset Allocation'!#REF!,'Asset Allocation'!M45))</f>
        <v/>
      </c>
      <c r="C45" t="str">
        <f>IF(A45="","",SUM('Asset Allocation'!B45,'Asset Allocation'!F45,'Asset Allocation'!K45,'Asset Allocation'!O45))</f>
        <v/>
      </c>
      <c r="F45" t="str">
        <f>IF(A45="","",SUM('Asset Allocation'!N45))</f>
        <v/>
      </c>
      <c r="G45" t="str">
        <f>IF(A45="","",SUM('Asset Allocation'!I45))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Allocation'!C46,'Asset Allocation'!E46,'Asset Allocation'!G46,'Asset Allocation'!H46,'Asset Allocation'!J46,'Asset Allocation'!L46,'Asset Allocation'!#REF!,'Asset Allocation'!M46))</f>
        <v/>
      </c>
      <c r="C46" t="str">
        <f>IF(A46="","",SUM('Asset Allocation'!B46,'Asset Allocation'!F46,'Asset Allocation'!K46,'Asset Allocation'!O46))</f>
        <v/>
      </c>
      <c r="F46" t="str">
        <f>IF(A46="","",SUM('Asset Allocation'!N46))</f>
        <v/>
      </c>
      <c r="G46" t="str">
        <f>IF(A46="","",SUM('Asset Allocation'!I46))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Allocation'!C47,'Asset Allocation'!E47,'Asset Allocation'!G47,'Asset Allocation'!H47,'Asset Allocation'!J47,'Asset Allocation'!L47,'Asset Allocation'!#REF!,'Asset Allocation'!M47))</f>
        <v/>
      </c>
      <c r="C47" t="str">
        <f>IF(A47="","",SUM('Asset Allocation'!B47,'Asset Allocation'!F47,'Asset Allocation'!K47,'Asset Allocation'!O47))</f>
        <v/>
      </c>
      <c r="F47" t="str">
        <f>IF(A47="","",SUM('Asset Allocation'!N47))</f>
        <v/>
      </c>
      <c r="G47" t="str">
        <f>IF(A47="","",SUM('Asset Allocation'!I47))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Allocation'!C48,'Asset Allocation'!E48,'Asset Allocation'!G48,'Asset Allocation'!H48,'Asset Allocation'!J48,'Asset Allocation'!L48,'Asset Allocation'!#REF!,'Asset Allocation'!M48))</f>
        <v/>
      </c>
      <c r="C48" t="str">
        <f>IF(A48="","",SUM('Asset Allocation'!B48,'Asset Allocation'!F48,'Asset Allocation'!K48,'Asset Allocation'!O48))</f>
        <v/>
      </c>
      <c r="F48" t="str">
        <f>IF(A48="","",SUM('Asset Allocation'!N48))</f>
        <v/>
      </c>
      <c r="G48" t="str">
        <f>IF(A48="","",SUM('Asset Allocation'!I48))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Allocation'!C49,'Asset Allocation'!E49,'Asset Allocation'!G49,'Asset Allocation'!H49,'Asset Allocation'!J49,'Asset Allocation'!L49,'Asset Allocation'!#REF!,'Asset Allocation'!M49))</f>
        <v/>
      </c>
      <c r="C49" t="str">
        <f>IF(A49="","",SUM('Asset Allocation'!B49,'Asset Allocation'!F49,'Asset Allocation'!K49,'Asset Allocation'!O49))</f>
        <v/>
      </c>
      <c r="F49" t="str">
        <f>IF(A49="","",SUM('Asset Allocation'!N49))</f>
        <v/>
      </c>
      <c r="G49" t="str">
        <f>IF(A49="","",SUM('Asset Allocation'!I49))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Allocation'!C50,'Asset Allocation'!E50,'Asset Allocation'!G50,'Asset Allocation'!H50,'Asset Allocation'!J50,'Asset Allocation'!L50,'Asset Allocation'!#REF!,'Asset Allocation'!M50))</f>
        <v/>
      </c>
      <c r="C50" t="str">
        <f>IF(A50="","",SUM('Asset Allocation'!B50,'Asset Allocation'!F50,'Asset Allocation'!K50,'Asset Allocation'!O50))</f>
        <v/>
      </c>
      <c r="F50" t="str">
        <f>IF(A50="","",SUM('Asset Allocation'!N50))</f>
        <v/>
      </c>
      <c r="G50" t="str">
        <f>IF(A50="","",SUM('Asset Allocation'!I50))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Balanced</v>
      </c>
      <c r="B2" s="6">
        <f>IFERROR(IF(A2="","",SUM('Asset Allocation'!C2)/'Broad Asset Allocation'!B2),0)</f>
        <v>0</v>
      </c>
      <c r="C2" s="6">
        <f>IFERROR(IF(A2="","",SUM('Asset Allocation'!J2)/'Broad Asset Allocation'!B2),0)</f>
        <v>0</v>
      </c>
      <c r="D2" s="6">
        <f>IFERROR(IF(A2="","",SUM('Asset Allocation'!E2)/'Broad Asset Allocation'!B2),0)</f>
        <v>0</v>
      </c>
      <c r="E2" s="6">
        <f>IFERROR(IF(A2="","",SUM('Asset Allocation'!H2)/'Broad Asset Allocation'!B2),0)</f>
        <v>0</v>
      </c>
      <c r="F2" s="6">
        <f>IFERROR(IF(A2="","",SUM('Asset Allocation'!G2)/'Broad Asset Allocation'!B2),0)</f>
        <v>0</v>
      </c>
      <c r="G2" s="6">
        <f>IFERROR(IF(A2="","",SUM('Asset Allocation'!L2,'Asset Allocation'!#REF!)/'Broad Asset Allocation'!B2),0)</f>
        <v>0</v>
      </c>
      <c r="H2" s="6">
        <f>IFERROR(IF(A2="","",SUM('Asset Allocation'!M2)/'Broad Asset Allocation'!B2),0)</f>
        <v>0</v>
      </c>
    </row>
    <row r="3" spans="1:8" x14ac:dyDescent="0.25">
      <c r="A3" t="str">
        <f>IF(Input!A4="","",Input!A4)</f>
        <v>Cultivate</v>
      </c>
      <c r="B3" s="6">
        <f>IFERROR(IF(A3="","",SUM('Asset Allocation'!C3)/'Broad Asset Allocation'!B3),0)</f>
        <v>0</v>
      </c>
      <c r="C3" s="6">
        <f>IFERROR(IF(A3="","",SUM('Asset Allocation'!J3)/'Broad Asset Allocation'!B3),0)</f>
        <v>0</v>
      </c>
      <c r="D3" s="6">
        <f>IFERROR(IF(A3="","",SUM('Asset Allocation'!E3)/'Broad Asset Allocation'!B3),0)</f>
        <v>0</v>
      </c>
      <c r="E3" s="6">
        <f>IFERROR(IF(A3="","",SUM('Asset Allocation'!H3)/'Broad Asset Allocation'!B3),0)</f>
        <v>0</v>
      </c>
      <c r="F3" s="6">
        <f>IFERROR(IF(A3="","",SUM('Asset Allocation'!G3)/'Broad Asset Allocation'!B3),0)</f>
        <v>0</v>
      </c>
      <c r="G3" s="6">
        <f>IFERROR(IF(A3="","",SUM('Asset Allocation'!L3,'Asset Allocation'!#REF!)/'Broad Asset Allocation'!B3),0)</f>
        <v>0</v>
      </c>
      <c r="H3" s="6">
        <f>IFERROR(IF(A3="","",SUM('Asset Allocation'!M3)/'Broad Asset Allocation'!B3),0)</f>
        <v>0</v>
      </c>
    </row>
    <row r="4" spans="1:8" x14ac:dyDescent="0.25">
      <c r="A4" t="str">
        <f>IF(Input!A5="","",Input!A5)</f>
        <v>Endure</v>
      </c>
      <c r="B4" s="6">
        <f>IFERROR(IF(A4="","",SUM('Asset Allocation'!C4)/'Broad Asset Allocation'!B4),0)</f>
        <v>0</v>
      </c>
      <c r="C4" s="6">
        <f>IFERROR(IF(A4="","",SUM('Asset Allocation'!J4)/'Broad Asset Allocation'!B4),0)</f>
        <v>0</v>
      </c>
      <c r="D4" s="6">
        <f>IFERROR(IF(A4="","",SUM('Asset Allocation'!E4)/'Broad Asset Allocation'!B4),0)</f>
        <v>0</v>
      </c>
      <c r="E4" s="6">
        <f>IFERROR(IF(A4="","",SUM('Asset Allocation'!H4)/'Broad Asset Allocation'!B4),0)</f>
        <v>0</v>
      </c>
      <c r="F4" s="6">
        <f>IFERROR(IF(A4="","",SUM('Asset Allocation'!G4)/'Broad Asset Allocation'!B4),0)</f>
        <v>0</v>
      </c>
      <c r="G4" s="6">
        <f>IFERROR(IF(A4="","",SUM('Asset Allocation'!L4,'Asset Allocation'!#REF!)/'Broad Asset Allocation'!B4),0)</f>
        <v>0</v>
      </c>
      <c r="H4" s="6">
        <f>IFERROR(IF(A4="","",SUM('Asset Allocation'!M4)/'Broad Asset Allocation'!B4),0)</f>
        <v>0</v>
      </c>
    </row>
    <row r="5" spans="1:8" x14ac:dyDescent="0.25">
      <c r="A5" t="str">
        <f>IF(Input!A6="","",Input!A6)</f>
        <v>Flourish</v>
      </c>
      <c r="B5" s="6">
        <f>IFERROR(IF(A5="","",SUM('Asset Allocation'!C5)/'Broad Asset Allocation'!B5),0)</f>
        <v>0</v>
      </c>
      <c r="C5" s="6">
        <f>IFERROR(IF(A5="","",SUM('Asset Allocation'!J5)/'Broad Asset Allocation'!B5),0)</f>
        <v>0</v>
      </c>
      <c r="D5" s="6">
        <f>IFERROR(IF(A5="","",SUM('Asset Allocation'!E5)/'Broad Asset Allocation'!B5),0)</f>
        <v>0</v>
      </c>
      <c r="E5" s="6">
        <f>IFERROR(IF(A5="","",SUM('Asset Allocation'!H5)/'Broad Asset Allocation'!B5),0)</f>
        <v>0</v>
      </c>
      <c r="F5" s="6">
        <f>IFERROR(IF(A5="","",SUM('Asset Allocation'!G5)/'Broad Asset Allocation'!B5),0)</f>
        <v>0</v>
      </c>
      <c r="G5" s="6">
        <f>IFERROR(IF(A5="","",SUM('Asset Allocation'!L5,'Asset Allocation'!#REF!)/'Broad Asset Allocation'!B5),0)</f>
        <v>0</v>
      </c>
      <c r="H5" s="6">
        <f>IFERROR(IF(A5="","",SUM('Asset Allocation'!M5)/'Broad Asset Allocation'!B5),0)</f>
        <v>0</v>
      </c>
    </row>
    <row r="6" spans="1:8" x14ac:dyDescent="0.25">
      <c r="A6" t="str">
        <f>IF(Input!A7="","",Input!A7)</f>
        <v>Magnify</v>
      </c>
      <c r="B6" s="6">
        <f>IFERROR(IF(A6="","",SUM('Asset Allocation'!C6)/'Broad Asset Allocation'!B6),0)</f>
        <v>0</v>
      </c>
      <c r="C6" s="6">
        <f>IFERROR(IF(A6="","",SUM('Asset Allocation'!J6)/'Broad Asset Allocation'!B6),0)</f>
        <v>0</v>
      </c>
      <c r="D6" s="6">
        <f>IFERROR(IF(A6="","",SUM('Asset Allocation'!E6)/'Broad Asset Allocation'!B6),0)</f>
        <v>0</v>
      </c>
      <c r="E6" s="6">
        <f>IFERROR(IF(A6="","",SUM('Asset Allocation'!H6)/'Broad Asset Allocation'!B6),0)</f>
        <v>0</v>
      </c>
      <c r="F6" s="6">
        <f>IFERROR(IF(A6="","",SUM('Asset Allocation'!G6)/'Broad Asset Allocation'!B6),0)</f>
        <v>0</v>
      </c>
      <c r="G6" s="6">
        <f>IFERROR(IF(A6="","",SUM('Asset Allocation'!L6,'Asset Allocation'!#REF!)/'Broad Asset Allocation'!B6),0)</f>
        <v>0</v>
      </c>
      <c r="H6" s="6">
        <f>IFERROR(IF(A6="","",SUM('Asset Allocation'!M6)/'Broad Asset Allocation'!B6),0)</f>
        <v>0</v>
      </c>
    </row>
    <row r="7" spans="1:8" x14ac:dyDescent="0.25">
      <c r="A7" t="str">
        <f>IF(Input!A8="","",Input!A8)</f>
        <v>Mature</v>
      </c>
      <c r="B7" s="6">
        <f>IFERROR(IF(A7="","",SUM('Asset Allocation'!C7)/'Broad Asset Allocation'!B7),0)</f>
        <v>0</v>
      </c>
      <c r="C7" s="6">
        <f>IFERROR(IF(A7="","",SUM('Asset Allocation'!J7)/'Broad Asset Allocation'!B7),0)</f>
        <v>0</v>
      </c>
      <c r="D7" s="6">
        <f>IFERROR(IF(A7="","",SUM('Asset Allocation'!E7)/'Broad Asset Allocation'!B7),0)</f>
        <v>0</v>
      </c>
      <c r="E7" s="6">
        <f>IFERROR(IF(A7="","",SUM('Asset Allocation'!H7)/'Broad Asset Allocation'!B7),0)</f>
        <v>0</v>
      </c>
      <c r="F7" s="6">
        <f>IFERROR(IF(A7="","",SUM('Asset Allocation'!G7)/'Broad Asset Allocation'!B7),0)</f>
        <v>0</v>
      </c>
      <c r="G7" s="6">
        <f>IFERROR(IF(A7="","",SUM('Asset Allocation'!L7,'Asset Allocation'!#REF!)/'Broad Asset Allocation'!B7),0)</f>
        <v>0</v>
      </c>
      <c r="H7" s="6">
        <f>IFERROR(IF(A7="","",SUM('Asset Allocation'!M7)/'Broad Asset Allocation'!B7),0)</f>
        <v>0</v>
      </c>
    </row>
    <row r="8" spans="1:8" x14ac:dyDescent="0.25">
      <c r="A8" t="str">
        <f>IF(Input!A9="","",Input!A9)</f>
        <v>Preserve</v>
      </c>
      <c r="B8" s="6">
        <f>IFERROR(IF(A8="","",SUM('Asset Allocation'!C8)/'Broad Asset Allocation'!B8),0)</f>
        <v>0</v>
      </c>
      <c r="C8" s="6">
        <f>IFERROR(IF(A8="","",SUM('Asset Allocation'!J8)/'Broad Asset Allocation'!B8),0)</f>
        <v>0</v>
      </c>
      <c r="D8" s="6">
        <f>IFERROR(IF(A8="","",SUM('Asset Allocation'!E8)/'Broad Asset Allocation'!B8),0)</f>
        <v>0</v>
      </c>
      <c r="E8" s="6">
        <f>IFERROR(IF(A8="","",SUM('Asset Allocation'!H8)/'Broad Asset Allocation'!B8),0)</f>
        <v>0</v>
      </c>
      <c r="F8" s="6">
        <f>IFERROR(IF(A8="","",SUM('Asset Allocation'!G8)/'Broad Asset Allocation'!B8),0)</f>
        <v>0</v>
      </c>
      <c r="G8" s="6">
        <f>IFERROR(IF(A8="","",SUM('Asset Allocation'!L8,'Asset Allocation'!#REF!)/'Broad Asset Allocation'!B8),0)</f>
        <v>0</v>
      </c>
      <c r="H8" s="6">
        <f>IFERROR(IF(A8="","",SUM('Asset Allocation'!M8)/'Broad Asset Allocation'!B8),0)</f>
        <v>0</v>
      </c>
    </row>
    <row r="9" spans="1:8" x14ac:dyDescent="0.25">
      <c r="A9" t="str">
        <f>IF(Input!A10="","",Input!A10)</f>
        <v>Trust DFM Protect</v>
      </c>
      <c r="B9" s="6">
        <f>IFERROR(IF(A9="","",SUM('Asset Allocation'!C9)/'Broad Asset Allocation'!B9),0)</f>
        <v>0</v>
      </c>
      <c r="C9" s="6">
        <f>IFERROR(IF(A9="","",SUM('Asset Allocation'!J9)/'Broad Asset Allocation'!B9),0)</f>
        <v>0</v>
      </c>
      <c r="D9" s="6">
        <f>IFERROR(IF(A9="","",SUM('Asset Allocation'!E9)/'Broad Asset Allocation'!B9),0)</f>
        <v>0</v>
      </c>
      <c r="E9" s="6">
        <f>IFERROR(IF(A9="","",SUM('Asset Allocation'!H9)/'Broad Asset Allocation'!B9),0)</f>
        <v>0</v>
      </c>
      <c r="F9" s="6">
        <f>IFERROR(IF(A9="","",SUM('Asset Allocation'!G9)/'Broad Asset Allocation'!B9),0)</f>
        <v>0</v>
      </c>
      <c r="G9" s="6">
        <f>IFERROR(IF(A9="","",SUM('Asset Allocation'!L9,'Asset Allocation'!#REF!)/'Broad Asset Allocation'!B9),0)</f>
        <v>0</v>
      </c>
      <c r="H9" s="6">
        <f>IFERROR(IF(A9="","",SUM('Asset Allocation'!M9)/'Broad Asset Allocation'!B9),0)</f>
        <v>0</v>
      </c>
    </row>
    <row r="10" spans="1:8" x14ac:dyDescent="0.25">
      <c r="A10" t="str">
        <f>IF(Input!A11="","",Input!A11)</f>
        <v>Trust DFM Enjoy</v>
      </c>
      <c r="B10" s="6">
        <f>IFERROR(IF(A10="","",SUM('Asset Allocation'!C10)/'Broad Asset Allocation'!B10),0)</f>
        <v>0</v>
      </c>
      <c r="C10" s="6">
        <f>IFERROR(IF(A10="","",SUM('Asset Allocation'!J10)/'Broad Asset Allocation'!B10),0)</f>
        <v>0</v>
      </c>
      <c r="D10" s="6">
        <f>IFERROR(IF(A10="","",SUM('Asset Allocation'!E10)/'Broad Asset Allocation'!B10),0)</f>
        <v>0</v>
      </c>
      <c r="E10" s="6">
        <f>IFERROR(IF(A10="","",SUM('Asset Allocation'!H10)/'Broad Asset Allocation'!B10),0)</f>
        <v>0</v>
      </c>
      <c r="F10" s="6">
        <f>IFERROR(IF(A10="","",SUM('Asset Allocation'!G10)/'Broad Asset Allocation'!B10),0)</f>
        <v>0</v>
      </c>
      <c r="G10" s="6">
        <f>IFERROR(IF(A10="","",SUM('Asset Allocation'!L10,'Asset Allocation'!#REF!)/'Broad Asset Allocation'!B10),0)</f>
        <v>0</v>
      </c>
      <c r="H10" s="6">
        <f>IFERROR(IF(A10="","",SUM('Asset Allocation'!M10)/'Broad Asset Allocation'!B10),0)</f>
        <v>0</v>
      </c>
    </row>
    <row r="11" spans="1:8" x14ac:dyDescent="0.25">
      <c r="A11" t="str">
        <f>IF(Input!A12="","",Input!A12)</f>
        <v>Trust DFM Grow</v>
      </c>
      <c r="B11" s="6">
        <f>IFERROR(IF(A11="","",SUM('Asset Allocation'!C11)/'Broad Asset Allocation'!B11),0)</f>
        <v>0</v>
      </c>
      <c r="C11" s="6">
        <f>IFERROR(IF(A11="","",SUM('Asset Allocation'!J11)/'Broad Asset Allocation'!B11),0)</f>
        <v>0</v>
      </c>
      <c r="D11" s="6">
        <f>IFERROR(IF(A11="","",SUM('Asset Allocation'!E11)/'Broad Asset Allocation'!B11),0)</f>
        <v>0</v>
      </c>
      <c r="E11" s="6">
        <f>IFERROR(IF(A11="","",SUM('Asset Allocation'!H11)/'Broad Asset Allocation'!B11),0)</f>
        <v>0</v>
      </c>
      <c r="F11" s="6">
        <f>IFERROR(IF(A11="","",SUM('Asset Allocation'!G11)/'Broad Asset Allocation'!B11),0)</f>
        <v>0</v>
      </c>
      <c r="G11" s="6">
        <f>IFERROR(IF(A11="","",SUM('Asset Allocation'!L11,'Asset Allocation'!#REF!)/'Broad Asset Allocation'!B11),0)</f>
        <v>0</v>
      </c>
      <c r="H11" s="6">
        <f>IFERROR(IF(A11="","",SUM('Asset Allocation'!M11)/'Broad Asset Allocation'!B11),0)</f>
        <v>0</v>
      </c>
    </row>
    <row r="12" spans="1:8" x14ac:dyDescent="0.25">
      <c r="A12" t="str">
        <f>IF(Input!A13="","",Input!A13)</f>
        <v>Balanced Passive</v>
      </c>
      <c r="B12" s="6">
        <f>IFERROR(IF(A12="","",SUM('Asset Allocation'!C12)/'Broad Asset Allocation'!B12),0)</f>
        <v>0</v>
      </c>
      <c r="C12" s="6">
        <f>IFERROR(IF(A12="","",SUM('Asset Allocation'!J12)/'Broad Asset Allocation'!B12),0)</f>
        <v>0</v>
      </c>
      <c r="D12" s="6">
        <f>IFERROR(IF(A12="","",SUM('Asset Allocation'!E12)/'Broad Asset Allocation'!B12),0)</f>
        <v>0</v>
      </c>
      <c r="E12" s="6">
        <f>IFERROR(IF(A12="","",SUM('Asset Allocation'!H12)/'Broad Asset Allocation'!B12),0)</f>
        <v>0</v>
      </c>
      <c r="F12" s="6">
        <f>IFERROR(IF(A12="","",SUM('Asset Allocation'!G12)/'Broad Asset Allocation'!B12),0)</f>
        <v>0</v>
      </c>
      <c r="G12" s="6">
        <f>IFERROR(IF(A12="","",SUM('Asset Allocation'!L12,'Asset Allocation'!#REF!)/'Broad Asset Allocation'!B12),0)</f>
        <v>0</v>
      </c>
      <c r="H12" s="6">
        <f>IFERROR(IF(A12="","",SUM('Asset Allocation'!M12)/'Broad Asset Allocation'!B12),0)</f>
        <v>0</v>
      </c>
    </row>
    <row r="13" spans="1:8" x14ac:dyDescent="0.25">
      <c r="A13" t="str">
        <f>IF(Input!A14="","",Input!A14)</f>
        <v>Cultivate Passive</v>
      </c>
      <c r="B13" s="6">
        <f>IFERROR(IF(A13="","",SUM('Asset Allocation'!C13)/'Broad Asset Allocation'!B13),0)</f>
        <v>0</v>
      </c>
      <c r="C13" s="6">
        <f>IFERROR(IF(A13="","",SUM('Asset Allocation'!J13)/'Broad Asset Allocation'!B13),0)</f>
        <v>0</v>
      </c>
      <c r="D13" s="6">
        <f>IFERROR(IF(A13="","",SUM('Asset Allocation'!E13)/'Broad Asset Allocation'!B13),0)</f>
        <v>0</v>
      </c>
      <c r="E13" s="6">
        <f>IFERROR(IF(A13="","",SUM('Asset Allocation'!H13)/'Broad Asset Allocation'!B13),0)</f>
        <v>0</v>
      </c>
      <c r="F13" s="6">
        <f>IFERROR(IF(A13="","",SUM('Asset Allocation'!G13)/'Broad Asset Allocation'!B13),0)</f>
        <v>0</v>
      </c>
      <c r="G13" s="6">
        <f>IFERROR(IF(A13="","",SUM('Asset Allocation'!L13,'Asset Allocation'!#REF!)/'Broad Asset Allocation'!B13),0)</f>
        <v>0</v>
      </c>
      <c r="H13" s="6">
        <f>IFERROR(IF(A13="","",SUM('Asset Allocation'!M13)/'Broad Asset Allocation'!B13),0)</f>
        <v>0</v>
      </c>
    </row>
    <row r="14" spans="1:8" x14ac:dyDescent="0.25">
      <c r="A14" t="str">
        <f>IF(Input!A15="","",Input!A15)</f>
        <v>Endure Passive</v>
      </c>
      <c r="B14" s="6">
        <f>IFERROR(IF(A14="","",SUM('Asset Allocation'!C14)/'Broad Asset Allocation'!B14),0)</f>
        <v>0</v>
      </c>
      <c r="C14" s="6">
        <f>IFERROR(IF(A14="","",SUM('Asset Allocation'!J14)/'Broad Asset Allocation'!B14),0)</f>
        <v>0</v>
      </c>
      <c r="D14" s="6">
        <f>IFERROR(IF(A14="","",SUM('Asset Allocation'!E14)/'Broad Asset Allocation'!B14),0)</f>
        <v>0</v>
      </c>
      <c r="E14" s="6">
        <f>IFERROR(IF(A14="","",SUM('Asset Allocation'!H14)/'Broad Asset Allocation'!B14),0)</f>
        <v>0</v>
      </c>
      <c r="F14" s="6">
        <f>IFERROR(IF(A14="","",SUM('Asset Allocation'!G14)/'Broad Asset Allocation'!B14),0)</f>
        <v>0</v>
      </c>
      <c r="G14" s="6">
        <f>IFERROR(IF(A14="","",SUM('Asset Allocation'!L14,'Asset Allocation'!#REF!)/'Broad Asset Allocation'!B14),0)</f>
        <v>0</v>
      </c>
      <c r="H14" s="6">
        <f>IFERROR(IF(A14="","",SUM('Asset Allocation'!M14)/'Broad Asset Allocation'!B14),0)</f>
        <v>0</v>
      </c>
    </row>
    <row r="15" spans="1:8" x14ac:dyDescent="0.25">
      <c r="A15" t="str">
        <f>IF(Input!A16="","",Input!A16)</f>
        <v>Flourish Passive</v>
      </c>
      <c r="B15" s="6">
        <f>IFERROR(IF(A15="","",SUM('Asset Allocation'!C15)/'Broad Asset Allocation'!B15),0)</f>
        <v>0</v>
      </c>
      <c r="C15" s="6">
        <f>IFERROR(IF(A15="","",SUM('Asset Allocation'!J15)/'Broad Asset Allocation'!B15),0)</f>
        <v>0</v>
      </c>
      <c r="D15" s="6">
        <f>IFERROR(IF(A15="","",SUM('Asset Allocation'!E15)/'Broad Asset Allocation'!B15),0)</f>
        <v>0</v>
      </c>
      <c r="E15" s="6">
        <f>IFERROR(IF(A15="","",SUM('Asset Allocation'!H15)/'Broad Asset Allocation'!B15),0)</f>
        <v>0</v>
      </c>
      <c r="F15" s="6">
        <f>IFERROR(IF(A15="","",SUM('Asset Allocation'!G15)/'Broad Asset Allocation'!B15),0)</f>
        <v>0</v>
      </c>
      <c r="G15" s="6">
        <f>IFERROR(IF(A15="","",SUM('Asset Allocation'!L15,'Asset Allocation'!#REF!)/'Broad Asset Allocation'!B15),0)</f>
        <v>0</v>
      </c>
      <c r="H15" s="6">
        <f>IFERROR(IF(A15="","",SUM('Asset Allocation'!M15)/'Broad Asset Allocation'!B15),0)</f>
        <v>0</v>
      </c>
    </row>
    <row r="16" spans="1:8" x14ac:dyDescent="0.25">
      <c r="A16" t="str">
        <f>IF(Input!A17="","",Input!A17)</f>
        <v>Magnify Passive</v>
      </c>
      <c r="B16" s="6">
        <f>IFERROR(IF(A16="","",SUM('Asset Allocation'!C16)/'Broad Asset Allocation'!B16),0)</f>
        <v>0</v>
      </c>
      <c r="C16" s="6">
        <f>IFERROR(IF(A16="","",SUM('Asset Allocation'!J16)/'Broad Asset Allocation'!B16),0)</f>
        <v>0</v>
      </c>
      <c r="D16" s="6">
        <f>IFERROR(IF(A16="","",SUM('Asset Allocation'!E16)/'Broad Asset Allocation'!B16),0)</f>
        <v>0</v>
      </c>
      <c r="E16" s="6">
        <f>IFERROR(IF(A16="","",SUM('Asset Allocation'!H16)/'Broad Asset Allocation'!B16),0)</f>
        <v>0</v>
      </c>
      <c r="F16" s="6">
        <f>IFERROR(IF(A16="","",SUM('Asset Allocation'!G16)/'Broad Asset Allocation'!B16),0)</f>
        <v>0</v>
      </c>
      <c r="G16" s="6">
        <f>IFERROR(IF(A16="","",SUM('Asset Allocation'!L16,'Asset Allocation'!#REF!)/'Broad Asset Allocation'!B16),0)</f>
        <v>0</v>
      </c>
      <c r="H16" s="6">
        <f>IFERROR(IF(A16="","",SUM('Asset Allocation'!M16)/'Broad Asset Allocation'!B16),0)</f>
        <v>0</v>
      </c>
    </row>
    <row r="17" spans="1:8" x14ac:dyDescent="0.25">
      <c r="A17" t="str">
        <f>IF(Input!A18="","",Input!A18)</f>
        <v>Mature Passsive</v>
      </c>
      <c r="B17" s="6">
        <f>IFERROR(IF(A17="","",SUM('Asset Allocation'!C17)/'Broad Asset Allocation'!B17),0)</f>
        <v>0</v>
      </c>
      <c r="C17" s="6">
        <f>IFERROR(IF(A17="","",SUM('Asset Allocation'!J17)/'Broad Asset Allocation'!B17),0)</f>
        <v>0</v>
      </c>
      <c r="D17" s="6">
        <f>IFERROR(IF(A17="","",SUM('Asset Allocation'!E17)/'Broad Asset Allocation'!B17),0)</f>
        <v>0</v>
      </c>
      <c r="E17" s="6">
        <f>IFERROR(IF(A17="","",SUM('Asset Allocation'!H17)/'Broad Asset Allocation'!B17),0)</f>
        <v>0</v>
      </c>
      <c r="F17" s="6">
        <f>IFERROR(IF(A17="","",SUM('Asset Allocation'!G17)/'Broad Asset Allocation'!B17),0)</f>
        <v>0</v>
      </c>
      <c r="G17" s="6">
        <f>IFERROR(IF(A17="","",SUM('Asset Allocation'!L17,'Asset Allocation'!#REF!)/'Broad Asset Allocation'!B17),0)</f>
        <v>0</v>
      </c>
      <c r="H17" s="6">
        <f>IFERROR(IF(A17="","",SUM('Asset Allocation'!M17)/'Broad Asset Allocation'!B17),0)</f>
        <v>0</v>
      </c>
    </row>
    <row r="18" spans="1:8" x14ac:dyDescent="0.25">
      <c r="A18" t="str">
        <f>IF(Input!A19="","",Input!A19)</f>
        <v>Preserve Passive</v>
      </c>
      <c r="B18" s="6">
        <f>IFERROR(IF(A18="","",SUM('Asset Allocation'!C18)/'Broad Asset Allocation'!B18),0)</f>
        <v>0</v>
      </c>
      <c r="C18" s="6">
        <f>IFERROR(IF(A18="","",SUM('Asset Allocation'!J18)/'Broad Asset Allocation'!B18),0)</f>
        <v>0</v>
      </c>
      <c r="D18" s="6">
        <f>IFERROR(IF(A18="","",SUM('Asset Allocation'!E18)/'Broad Asset Allocation'!B18),0)</f>
        <v>0</v>
      </c>
      <c r="E18" s="6">
        <f>IFERROR(IF(A18="","",SUM('Asset Allocation'!H18)/'Broad Asset Allocation'!B18),0)</f>
        <v>0</v>
      </c>
      <c r="F18" s="6">
        <f>IFERROR(IF(A18="","",SUM('Asset Allocation'!G18)/'Broad Asset Allocation'!B18),0)</f>
        <v>0</v>
      </c>
      <c r="G18" s="6">
        <f>IFERROR(IF(A18="","",SUM('Asset Allocation'!L18,'Asset Allocation'!#REF!)/'Broad Asset Allocation'!B18),0)</f>
        <v>0</v>
      </c>
      <c r="H18" s="6">
        <f>IFERROR(IF(A18="","",SUM('Asset Allocation'!M18)/'Broad Asset Allocation'!B18),0)</f>
        <v>0</v>
      </c>
    </row>
    <row r="19" spans="1:8" x14ac:dyDescent="0.25">
      <c r="A19" t="str">
        <f>IF(Input!A20="","",Input!A20)</f>
        <v>Protect Passive</v>
      </c>
      <c r="B19" s="6">
        <f>IFERROR(IF(A19="","",SUM('Asset Allocation'!C19)/'Broad Asset Allocation'!B19),0)</f>
        <v>0</v>
      </c>
      <c r="C19" s="6">
        <f>IFERROR(IF(A19="","",SUM('Asset Allocation'!J19)/'Broad Asset Allocation'!B19),0)</f>
        <v>0</v>
      </c>
      <c r="D19" s="6">
        <f>IFERROR(IF(A19="","",SUM('Asset Allocation'!E19)/'Broad Asset Allocation'!B19),0)</f>
        <v>0</v>
      </c>
      <c r="E19" s="6">
        <f>IFERROR(IF(A19="","",SUM('Asset Allocation'!H19)/'Broad Asset Allocation'!B19),0)</f>
        <v>0</v>
      </c>
      <c r="F19" s="6">
        <f>IFERROR(IF(A19="","",SUM('Asset Allocation'!G19)/'Broad Asset Allocation'!B19),0)</f>
        <v>0</v>
      </c>
      <c r="G19" s="6">
        <f>IFERROR(IF(A19="","",SUM('Asset Allocation'!L19,'Asset Allocation'!#REF!)/'Broad Asset Allocation'!B19),0)</f>
        <v>0</v>
      </c>
      <c r="H19" s="6">
        <f>IFERROR(IF(A19="","",SUM('Asset Allocation'!M19)/'Broad Asset Allocation'!B19),0)</f>
        <v>0</v>
      </c>
    </row>
    <row r="20" spans="1:8" x14ac:dyDescent="0.25">
      <c r="A20" t="str">
        <f>IF(Input!A21="","",Input!A21)</f>
        <v>Enjoy Passive</v>
      </c>
      <c r="B20" s="6">
        <f>IFERROR(IF(A20="","",SUM('Asset Allocation'!C20)/'Broad Asset Allocation'!B20),0)</f>
        <v>0</v>
      </c>
      <c r="C20" s="6">
        <f>IFERROR(IF(A20="","",SUM('Asset Allocation'!J20)/'Broad Asset Allocation'!B20),0)</f>
        <v>0</v>
      </c>
      <c r="D20" s="6">
        <f>IFERROR(IF(A20="","",SUM('Asset Allocation'!E20)/'Broad Asset Allocation'!B20),0)</f>
        <v>0</v>
      </c>
      <c r="E20" s="6">
        <f>IFERROR(IF(A20="","",SUM('Asset Allocation'!H20)/'Broad Asset Allocation'!B20),0)</f>
        <v>0</v>
      </c>
      <c r="F20" s="6">
        <f>IFERROR(IF(A20="","",SUM('Asset Allocation'!G20)/'Broad Asset Allocation'!B20),0)</f>
        <v>0</v>
      </c>
      <c r="G20" s="6">
        <f>IFERROR(IF(A20="","",SUM('Asset Allocation'!L20,'Asset Allocation'!#REF!)/'Broad Asset Allocation'!B20),0)</f>
        <v>0</v>
      </c>
      <c r="H20" s="6">
        <f>IFERROR(IF(A20="","",SUM('Asset Allocation'!M20)/'Broad Asset Allocation'!B20),0)</f>
        <v>0</v>
      </c>
    </row>
    <row r="21" spans="1:8" x14ac:dyDescent="0.25">
      <c r="A21" t="str">
        <f>IF(Input!A22="","",Input!A22)</f>
        <v>Grow Passive</v>
      </c>
      <c r="B21" s="6">
        <f>IFERROR(IF(A21="","",SUM('Asset Allocation'!C21)/'Broad Asset Allocation'!B21),0)</f>
        <v>0</v>
      </c>
      <c r="C21" s="6">
        <f>IFERROR(IF(A21="","",SUM('Asset Allocation'!J21)/'Broad Asset Allocation'!B21),0)</f>
        <v>0</v>
      </c>
      <c r="D21" s="6">
        <f>IFERROR(IF(A21="","",SUM('Asset Allocation'!E21)/'Broad Asset Allocation'!B21),0)</f>
        <v>0</v>
      </c>
      <c r="E21" s="6">
        <f>IFERROR(IF(A21="","",SUM('Asset Allocation'!H21)/'Broad Asset Allocation'!B21),0)</f>
        <v>0</v>
      </c>
      <c r="F21" s="6">
        <f>IFERROR(IF(A21="","",SUM('Asset Allocation'!G21)/'Broad Asset Allocation'!B21),0)</f>
        <v>0</v>
      </c>
      <c r="G21" s="6">
        <f>IFERROR(IF(A21="","",SUM('Asset Allocation'!L21,'Asset Allocation'!#REF!)/'Broad Asset Allocation'!B21),0)</f>
        <v>0</v>
      </c>
      <c r="H21" s="6">
        <f>IFERROR(IF(A21="","",SUM('Asset Allocation'!M21)/'Broad Asset Allocation'!B21),0)</f>
        <v>0</v>
      </c>
    </row>
    <row r="22" spans="1:8" x14ac:dyDescent="0.25">
      <c r="A22" t="str">
        <f>IF(Input!A23="","",Input!A23)</f>
        <v>Balanced Attenborough</v>
      </c>
      <c r="B22" s="6">
        <f>IFERROR(IF(A22="","",SUM('Asset Allocation'!C22)/'Broad Asset Allocation'!B22),0)</f>
        <v>0</v>
      </c>
      <c r="C22" s="6">
        <f>IFERROR(IF(A22="","",SUM('Asset Allocation'!J22)/'Broad Asset Allocation'!B22),0)</f>
        <v>0</v>
      </c>
      <c r="D22" s="6">
        <f>IFERROR(IF(A22="","",SUM('Asset Allocation'!E22)/'Broad Asset Allocation'!B22),0)</f>
        <v>0</v>
      </c>
      <c r="E22" s="6">
        <f>IFERROR(IF(A22="","",SUM('Asset Allocation'!H22)/'Broad Asset Allocation'!B22),0)</f>
        <v>0</v>
      </c>
      <c r="F22" s="6">
        <f>IFERROR(IF(A22="","",SUM('Asset Allocation'!G22)/'Broad Asset Allocation'!B22),0)</f>
        <v>0</v>
      </c>
      <c r="G22" s="6">
        <f>IFERROR(IF(A22="","",SUM('Asset Allocation'!L22,'Asset Allocation'!#REF!)/'Broad Asset Allocation'!B22),0)</f>
        <v>0</v>
      </c>
      <c r="H22" s="6">
        <f>IFERROR(IF(A22="","",SUM('Asset Allocation'!M22)/'Broad Asset Allocation'!B22),0)</f>
        <v>0</v>
      </c>
    </row>
    <row r="23" spans="1:8" x14ac:dyDescent="0.25">
      <c r="A23" t="str">
        <f>IF(Input!A24="","",Input!A24)</f>
        <v>Cultivate Attenborough</v>
      </c>
      <c r="B23" s="6">
        <f>IFERROR(IF(A23="","",SUM('Asset Allocation'!C23)/'Broad Asset Allocation'!B23),0)</f>
        <v>0</v>
      </c>
      <c r="C23" s="6">
        <f>IFERROR(IF(A23="","",SUM('Asset Allocation'!J23)/'Broad Asset Allocation'!B23),0)</f>
        <v>0</v>
      </c>
      <c r="D23" s="6">
        <f>IFERROR(IF(A23="","",SUM('Asset Allocation'!E23)/'Broad Asset Allocation'!B23),0)</f>
        <v>0</v>
      </c>
      <c r="E23" s="6">
        <f>IFERROR(IF(A23="","",SUM('Asset Allocation'!H23)/'Broad Asset Allocation'!B23),0)</f>
        <v>0</v>
      </c>
      <c r="F23" s="6">
        <f>IFERROR(IF(A23="","",SUM('Asset Allocation'!G23)/'Broad Asset Allocation'!B23),0)</f>
        <v>0</v>
      </c>
      <c r="G23" s="6">
        <f>IFERROR(IF(A23="","",SUM('Asset Allocation'!L23,'Asset Allocation'!#REF!)/'Broad Asset Allocation'!B23),0)</f>
        <v>0</v>
      </c>
      <c r="H23" s="6">
        <f>IFERROR(IF(A23="","",SUM('Asset Allocation'!M23)/'Broad Asset Allocation'!B23),0)</f>
        <v>0</v>
      </c>
    </row>
    <row r="24" spans="1:8" x14ac:dyDescent="0.25">
      <c r="A24" t="str">
        <f>IF(Input!A25="","",Input!A25)</f>
        <v>Endure Attenborough</v>
      </c>
      <c r="B24" s="6">
        <f>IFERROR(IF(A24="","",SUM('Asset Allocation'!C24)/'Broad Asset Allocation'!B24),0)</f>
        <v>0</v>
      </c>
      <c r="C24" s="6">
        <f>IFERROR(IF(A24="","",SUM('Asset Allocation'!J24)/'Broad Asset Allocation'!B24),0)</f>
        <v>0</v>
      </c>
      <c r="D24" s="6">
        <f>IFERROR(IF(A24="","",SUM('Asset Allocation'!E24)/'Broad Asset Allocation'!B24),0)</f>
        <v>0</v>
      </c>
      <c r="E24" s="6">
        <f>IFERROR(IF(A24="","",SUM('Asset Allocation'!H24)/'Broad Asset Allocation'!B24),0)</f>
        <v>0</v>
      </c>
      <c r="F24" s="6">
        <f>IFERROR(IF(A24="","",SUM('Asset Allocation'!G24)/'Broad Asset Allocation'!B24),0)</f>
        <v>0</v>
      </c>
      <c r="G24" s="6">
        <f>IFERROR(IF(A24="","",SUM('Asset Allocation'!L24,'Asset Allocation'!#REF!)/'Broad Asset Allocation'!B24),0)</f>
        <v>0</v>
      </c>
      <c r="H24" s="6">
        <f>IFERROR(IF(A24="","",SUM('Asset Allocation'!M24)/'Broad Asset Allocation'!B24),0)</f>
        <v>0</v>
      </c>
    </row>
    <row r="25" spans="1:8" x14ac:dyDescent="0.25">
      <c r="A25" t="str">
        <f>IF(Input!A26="","",Input!A26)</f>
        <v>Flourish Attenborough</v>
      </c>
      <c r="B25" s="6">
        <f>IFERROR(IF(A25="","",SUM('Asset Allocation'!C25)/'Broad Asset Allocation'!B25),0)</f>
        <v>0</v>
      </c>
      <c r="C25" s="6">
        <f>IFERROR(IF(A25="","",SUM('Asset Allocation'!J25)/'Broad Asset Allocation'!B25),0)</f>
        <v>0</v>
      </c>
      <c r="D25" s="6">
        <f>IFERROR(IF(A25="","",SUM('Asset Allocation'!E25)/'Broad Asset Allocation'!B25),0)</f>
        <v>0</v>
      </c>
      <c r="E25" s="6">
        <f>IFERROR(IF(A25="","",SUM('Asset Allocation'!H25)/'Broad Asset Allocation'!B25),0)</f>
        <v>0</v>
      </c>
      <c r="F25" s="6">
        <f>IFERROR(IF(A25="","",SUM('Asset Allocation'!G25)/'Broad Asset Allocation'!B25),0)</f>
        <v>0</v>
      </c>
      <c r="G25" s="6">
        <f>IFERROR(IF(A25="","",SUM('Asset Allocation'!L25,'Asset Allocation'!#REF!)/'Broad Asset Allocation'!B25),0)</f>
        <v>0</v>
      </c>
      <c r="H25" s="6">
        <f>IFERROR(IF(A25="","",SUM('Asset Allocation'!M25)/'Broad Asset Allocation'!B25),0)</f>
        <v>0</v>
      </c>
    </row>
    <row r="26" spans="1:8" x14ac:dyDescent="0.25">
      <c r="A26" t="str">
        <f>IF(Input!A27="","",Input!A27)</f>
        <v>Magnify Attenborough</v>
      </c>
      <c r="B26" s="6">
        <f>IFERROR(IF(A26="","",SUM('Asset Allocation'!C26)/'Broad Asset Allocation'!B26),0)</f>
        <v>0</v>
      </c>
      <c r="C26" s="6">
        <f>IFERROR(IF(A26="","",SUM('Asset Allocation'!J26)/'Broad Asset Allocation'!B26),0)</f>
        <v>0</v>
      </c>
      <c r="D26" s="6">
        <f>IFERROR(IF(A26="","",SUM('Asset Allocation'!E26)/'Broad Asset Allocation'!B26),0)</f>
        <v>0</v>
      </c>
      <c r="E26" s="6">
        <f>IFERROR(IF(A26="","",SUM('Asset Allocation'!H26)/'Broad Asset Allocation'!B26),0)</f>
        <v>0</v>
      </c>
      <c r="F26" s="6">
        <f>IFERROR(IF(A26="","",SUM('Asset Allocation'!G26)/'Broad Asset Allocation'!B26),0)</f>
        <v>0</v>
      </c>
      <c r="G26" s="6">
        <f>IFERROR(IF(A26="","",SUM('Asset Allocation'!L26,'Asset Allocation'!#REF!)/'Broad Asset Allocation'!B26),0)</f>
        <v>0</v>
      </c>
      <c r="H26" s="6">
        <f>IFERROR(IF(A26="","",SUM('Asset Allocation'!M26)/'Broad Asset Allocation'!B26),0)</f>
        <v>0</v>
      </c>
    </row>
    <row r="27" spans="1:8" x14ac:dyDescent="0.25">
      <c r="A27" t="str">
        <f>IF(Input!A28="","",Input!A28)</f>
        <v>Mature Attenborough</v>
      </c>
      <c r="B27" s="6">
        <f>IFERROR(IF(A27="","",SUM('Asset Allocation'!C27)/'Broad Asset Allocation'!B27),0)</f>
        <v>0</v>
      </c>
      <c r="C27" s="6">
        <f>IFERROR(IF(A27="","",SUM('Asset Allocation'!J27)/'Broad Asset Allocation'!B27),0)</f>
        <v>0</v>
      </c>
      <c r="D27" s="6">
        <f>IFERROR(IF(A27="","",SUM('Asset Allocation'!E27)/'Broad Asset Allocation'!B27),0)</f>
        <v>0</v>
      </c>
      <c r="E27" s="6">
        <f>IFERROR(IF(A27="","",SUM('Asset Allocation'!H27)/'Broad Asset Allocation'!B27),0)</f>
        <v>0</v>
      </c>
      <c r="F27" s="6">
        <f>IFERROR(IF(A27="","",SUM('Asset Allocation'!G27)/'Broad Asset Allocation'!B27),0)</f>
        <v>0</v>
      </c>
      <c r="G27" s="6">
        <f>IFERROR(IF(A27="","",SUM('Asset Allocation'!L27,'Asset Allocation'!#REF!)/'Broad Asset Allocation'!B27),0)</f>
        <v>0</v>
      </c>
      <c r="H27" s="6">
        <f>IFERROR(IF(A27="","",SUM('Asset Allocation'!M27)/'Broad Asset Allocation'!B27),0)</f>
        <v>0</v>
      </c>
    </row>
    <row r="28" spans="1:8" x14ac:dyDescent="0.25">
      <c r="A28" t="str">
        <f>IF(Input!A29="","",Input!A29)</f>
        <v>Preserve Attenborough</v>
      </c>
      <c r="B28" s="6">
        <f>IFERROR(IF(A28="","",SUM('Asset Allocation'!C28)/'Broad Asset Allocation'!B28),0)</f>
        <v>0</v>
      </c>
      <c r="C28" s="6">
        <f>IFERROR(IF(A28="","",SUM('Asset Allocation'!J28)/'Broad Asset Allocation'!B28),0)</f>
        <v>0</v>
      </c>
      <c r="D28" s="6">
        <f>IFERROR(IF(A28="","",SUM('Asset Allocation'!E28)/'Broad Asset Allocation'!B28),0)</f>
        <v>0</v>
      </c>
      <c r="E28" s="6">
        <f>IFERROR(IF(A28="","",SUM('Asset Allocation'!H28)/'Broad Asset Allocation'!B28),0)</f>
        <v>0</v>
      </c>
      <c r="F28" s="6">
        <f>IFERROR(IF(A28="","",SUM('Asset Allocation'!G28)/'Broad Asset Allocation'!B28),0)</f>
        <v>0</v>
      </c>
      <c r="G28" s="6">
        <f>IFERROR(IF(A28="","",SUM('Asset Allocation'!L28,'Asset Allocation'!#REF!)/'Broad Asset Allocation'!B28),0)</f>
        <v>0</v>
      </c>
      <c r="H28" s="6">
        <f>IFERROR(IF(A28="","",SUM('Asset Allocation'!M28)/'Broad Asset Allocation'!B28),0)</f>
        <v>0</v>
      </c>
    </row>
    <row r="29" spans="1:8" x14ac:dyDescent="0.25">
      <c r="A29" t="str">
        <f>IF(Input!A30="","",Input!A30)</f>
        <v>Protect Attenborough</v>
      </c>
      <c r="B29" s="6">
        <f>IFERROR(IF(A29="","",SUM('Asset Allocation'!C29)/'Broad Asset Allocation'!B29),0)</f>
        <v>0</v>
      </c>
      <c r="C29" s="6">
        <f>IFERROR(IF(A29="","",SUM('Asset Allocation'!J29)/'Broad Asset Allocation'!B29),0)</f>
        <v>0</v>
      </c>
      <c r="D29" s="6">
        <f>IFERROR(IF(A29="","",SUM('Asset Allocation'!E29)/'Broad Asset Allocation'!B29),0)</f>
        <v>0</v>
      </c>
      <c r="E29" s="6">
        <f>IFERROR(IF(A29="","",SUM('Asset Allocation'!H29)/'Broad Asset Allocation'!B29),0)</f>
        <v>0</v>
      </c>
      <c r="F29" s="6">
        <f>IFERROR(IF(A29="","",SUM('Asset Allocation'!G29)/'Broad Asset Allocation'!B29),0)</f>
        <v>0</v>
      </c>
      <c r="G29" s="6">
        <f>IFERROR(IF(A29="","",SUM('Asset Allocation'!L29,'Asset Allocation'!#REF!)/'Broad Asset Allocation'!B29),0)</f>
        <v>0</v>
      </c>
      <c r="H29" s="6">
        <f>IFERROR(IF(A29="","",SUM('Asset Allocation'!M29)/'Broad Asset Allocation'!B29),0)</f>
        <v>0</v>
      </c>
    </row>
    <row r="30" spans="1:8" x14ac:dyDescent="0.25">
      <c r="A30" t="str">
        <f>IF(Input!A31="","",Input!A31)</f>
        <v>Enjoy Attenborough</v>
      </c>
      <c r="B30" s="6">
        <f>IFERROR(IF(A30="","",SUM('Asset Allocation'!C30)/'Broad Asset Allocation'!B30),0)</f>
        <v>0</v>
      </c>
      <c r="C30" s="6">
        <f>IFERROR(IF(A30="","",SUM('Asset Allocation'!J30)/'Broad Asset Allocation'!B30),0)</f>
        <v>0</v>
      </c>
      <c r="D30" s="6">
        <f>IFERROR(IF(A30="","",SUM('Asset Allocation'!E30)/'Broad Asset Allocation'!B30),0)</f>
        <v>0</v>
      </c>
      <c r="E30" s="6">
        <f>IFERROR(IF(A30="","",SUM('Asset Allocation'!H30)/'Broad Asset Allocation'!B30),0)</f>
        <v>0</v>
      </c>
      <c r="F30" s="6">
        <f>IFERROR(IF(A30="","",SUM('Asset Allocation'!G30)/'Broad Asset Allocation'!B30),0)</f>
        <v>0</v>
      </c>
      <c r="G30" s="6">
        <f>IFERROR(IF(A30="","",SUM('Asset Allocation'!L30,'Asset Allocation'!#REF!)/'Broad Asset Allocation'!B30),0)</f>
        <v>0</v>
      </c>
      <c r="H30" s="6">
        <f>IFERROR(IF(A30="","",SUM('Asset Allocation'!M30)/'Broad Asset Allocation'!B30),0)</f>
        <v>0</v>
      </c>
    </row>
    <row r="31" spans="1:8" x14ac:dyDescent="0.25">
      <c r="A31" t="str">
        <f>IF(Input!A32="","",Input!A32)</f>
        <v>Grow Attenborough</v>
      </c>
      <c r="B31" s="6">
        <f>IFERROR(IF(A31="","",SUM('Asset Allocation'!C31)/'Broad Asset Allocation'!B31),0)</f>
        <v>0</v>
      </c>
      <c r="C31" s="6">
        <f>IFERROR(IF(A31="","",SUM('Asset Allocation'!J31)/'Broad Asset Allocation'!B31),0)</f>
        <v>0</v>
      </c>
      <c r="D31" s="6">
        <f>IFERROR(IF(A31="","",SUM('Asset Allocation'!E31)/'Broad Asset Allocation'!B31),0)</f>
        <v>0</v>
      </c>
      <c r="E31" s="6">
        <f>IFERROR(IF(A31="","",SUM('Asset Allocation'!H31)/'Broad Asset Allocation'!B31),0)</f>
        <v>0</v>
      </c>
      <c r="F31" s="6">
        <f>IFERROR(IF(A31="","",SUM('Asset Allocation'!G31)/'Broad Asset Allocation'!B31),0)</f>
        <v>0</v>
      </c>
      <c r="G31" s="6">
        <f>IFERROR(IF(A31="","",SUM('Asset Allocation'!L31,'Asset Allocation'!#REF!)/'Broad Asset Allocation'!B31),0)</f>
        <v>0</v>
      </c>
      <c r="H31" s="6">
        <f>IFERROR(IF(A31="","",SUM('Asset Allocation'!M31)/'Broad Asset Allocation'!B31),0)</f>
        <v>0</v>
      </c>
    </row>
    <row r="32" spans="1:8" x14ac:dyDescent="0.25">
      <c r="A32" t="str">
        <f>IF(Input!A33="","",Input!A33)</f>
        <v>Passive Income</v>
      </c>
      <c r="B32" s="6">
        <f>IFERROR(IF(A32="","",SUM('Asset Allocation'!C32)/'Broad Asset Allocation'!B32),0)</f>
        <v>0</v>
      </c>
      <c r="C32" s="6">
        <f>IFERROR(IF(A32="","",SUM('Asset Allocation'!J32)/'Broad Asset Allocation'!B32),0)</f>
        <v>0</v>
      </c>
      <c r="D32" s="6">
        <f>IFERROR(IF(A32="","",SUM('Asset Allocation'!E32)/'Broad Asset Allocation'!B32),0)</f>
        <v>0</v>
      </c>
      <c r="E32" s="6">
        <f>IFERROR(IF(A32="","",SUM('Asset Allocation'!H32)/'Broad Asset Allocation'!B32),0)</f>
        <v>0</v>
      </c>
      <c r="F32" s="6">
        <f>IFERROR(IF(A32="","",SUM('Asset Allocation'!G32)/'Broad Asset Allocation'!B32),0)</f>
        <v>0</v>
      </c>
      <c r="G32" s="6">
        <f>IFERROR(IF(A32="","",SUM('Asset Allocation'!L32,'Asset Allocation'!#REF!)/'Broad Asset Allocation'!B32),0)</f>
        <v>0</v>
      </c>
      <c r="H32" s="6">
        <f>IFERROR(IF(A32="","",SUM('Asset Allocation'!M32)/'Broad Asset Allocation'!B32),0)</f>
        <v>0</v>
      </c>
    </row>
    <row r="33" spans="1:8" x14ac:dyDescent="0.25">
      <c r="A33" t="str">
        <f>IF(Input!A34="","",Input!A34)</f>
        <v>Natural Income</v>
      </c>
      <c r="B33" s="6">
        <f>IFERROR(IF(A33="","",SUM('Asset Allocation'!C33)/'Broad Asset Allocation'!B33),0)</f>
        <v>0</v>
      </c>
      <c r="C33" s="6">
        <f>IFERROR(IF(A33="","",SUM('Asset Allocation'!J33)/'Broad Asset Allocation'!B33),0)</f>
        <v>0</v>
      </c>
      <c r="D33" s="6">
        <f>IFERROR(IF(A33="","",SUM('Asset Allocation'!E33)/'Broad Asset Allocation'!B33),0)</f>
        <v>0</v>
      </c>
      <c r="E33" s="6">
        <f>IFERROR(IF(A33="","",SUM('Asset Allocation'!H33)/'Broad Asset Allocation'!B33),0)</f>
        <v>0</v>
      </c>
      <c r="F33" s="6">
        <f>IFERROR(IF(A33="","",SUM('Asset Allocation'!G33)/'Broad Asset Allocation'!B33),0)</f>
        <v>0</v>
      </c>
      <c r="G33" s="6">
        <f>IFERROR(IF(A33="","",SUM('Asset Allocation'!L33,'Asset Allocation'!#REF!)/'Broad Asset Allocation'!B33),0)</f>
        <v>0</v>
      </c>
      <c r="H33" s="6">
        <f>IFERROR(IF(A33="","",SUM('Asset Allocation'!M33)/'Broad Asset Allocation'!B33),0)</f>
        <v>0</v>
      </c>
    </row>
    <row r="34" spans="1:8" x14ac:dyDescent="0.25">
      <c r="A34" t="str">
        <f>IF(Input!A35="","",Input!A35)</f>
        <v/>
      </c>
      <c r="B34" s="6" t="str">
        <f>IFERROR(IF(A34="","",SUM('Asset Allocation'!C34)/'Broad Asset Allocation'!B34),0)</f>
        <v/>
      </c>
      <c r="C34" s="6" t="str">
        <f>IFERROR(IF(A34="","",SUM('Asset Allocation'!J34)/'Broad Asset Allocation'!B34),0)</f>
        <v/>
      </c>
      <c r="D34" s="6" t="str">
        <f>IFERROR(IF(A34="","",SUM('Asset Allocation'!E34)/'Broad Asset Allocation'!B34),0)</f>
        <v/>
      </c>
      <c r="E34" s="6" t="str">
        <f>IFERROR(IF(A34="","",SUM('Asset Allocation'!H34)/'Broad Asset Allocation'!B34),0)</f>
        <v/>
      </c>
      <c r="F34" s="6" t="str">
        <f>IFERROR(IF(A34="","",SUM('Asset Allocation'!G34)/'Broad Asset Allocation'!B34),0)</f>
        <v/>
      </c>
      <c r="G34" s="6" t="str">
        <f>IFERROR(IF(A34="","",SUM('Asset Allocation'!L34,'Asset Allocation'!#REF!)/'Broad Asset Allocation'!B34),0)</f>
        <v/>
      </c>
      <c r="H34" s="6" t="str">
        <f>IFERROR(IF(A34="","",SUM('Asset Allocation'!M34)/'Broad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Allocation'!C35)/'Broad Asset Allocation'!B35),0)</f>
        <v/>
      </c>
      <c r="C35" s="6" t="str">
        <f>IFERROR(IF(A35="","",SUM('Asset Allocation'!J35)/'Broad Asset Allocation'!B35),0)</f>
        <v/>
      </c>
      <c r="D35" s="6" t="str">
        <f>IFERROR(IF(A35="","",SUM('Asset Allocation'!E35)/'Broad Asset Allocation'!B35),0)</f>
        <v/>
      </c>
      <c r="E35" s="6" t="str">
        <f>IFERROR(IF(A35="","",SUM('Asset Allocation'!H35)/'Broad Asset Allocation'!B35),0)</f>
        <v/>
      </c>
      <c r="F35" s="6" t="str">
        <f>IFERROR(IF(A35="","",SUM('Asset Allocation'!G35)/'Broad Asset Allocation'!B35),0)</f>
        <v/>
      </c>
      <c r="G35" s="6" t="str">
        <f>IFERROR(IF(A35="","",SUM('Asset Allocation'!L35,'Asset Allocation'!#REF!)/'Broad Asset Allocation'!B35),0)</f>
        <v/>
      </c>
      <c r="H35" s="6" t="str">
        <f>IFERROR(IF(A35="","",SUM('Asset Allocation'!M35)/'Broad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Allocation'!C36)/'Broad Asset Allocation'!B36),0)</f>
        <v/>
      </c>
      <c r="C36" s="6" t="str">
        <f>IFERROR(IF(A36="","",SUM('Asset Allocation'!J36)/'Broad Asset Allocation'!B36),0)</f>
        <v/>
      </c>
      <c r="D36" s="6" t="str">
        <f>IFERROR(IF(A36="","",SUM('Asset Allocation'!E36)/'Broad Asset Allocation'!B36),0)</f>
        <v/>
      </c>
      <c r="E36" s="6" t="str">
        <f>IFERROR(IF(A36="","",SUM('Asset Allocation'!H36)/'Broad Asset Allocation'!B36),0)</f>
        <v/>
      </c>
      <c r="F36" s="6" t="str">
        <f>IFERROR(IF(A36="","",SUM('Asset Allocation'!G36)/'Broad Asset Allocation'!B36),0)</f>
        <v/>
      </c>
      <c r="G36" s="6" t="str">
        <f>IFERROR(IF(A36="","",SUM('Asset Allocation'!L36,'Asset Allocation'!#REF!)/'Broad Asset Allocation'!B36),0)</f>
        <v/>
      </c>
      <c r="H36" s="6" t="str">
        <f>IFERROR(IF(A36="","",SUM('Asset Allocation'!M36)/'Broad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Allocation'!C37)/'Broad Asset Allocation'!B37),0)</f>
        <v/>
      </c>
      <c r="C37" s="6" t="str">
        <f>IFERROR(IF(A37="","",SUM('Asset Allocation'!J37)/'Broad Asset Allocation'!B37),0)</f>
        <v/>
      </c>
      <c r="D37" s="6" t="str">
        <f>IFERROR(IF(A37="","",SUM('Asset Allocation'!E37)/'Broad Asset Allocation'!B37),0)</f>
        <v/>
      </c>
      <c r="E37" s="6" t="str">
        <f>IFERROR(IF(A37="","",SUM('Asset Allocation'!H37)/'Broad Asset Allocation'!B37),0)</f>
        <v/>
      </c>
      <c r="F37" s="6" t="str">
        <f>IFERROR(IF(A37="","",SUM('Asset Allocation'!G37)/'Broad Asset Allocation'!B37),0)</f>
        <v/>
      </c>
      <c r="G37" s="6" t="str">
        <f>IFERROR(IF(A37="","",SUM('Asset Allocation'!L37,'Asset Allocation'!#REF!)/'Broad Asset Allocation'!B37),0)</f>
        <v/>
      </c>
      <c r="H37" s="6" t="str">
        <f>IFERROR(IF(A37="","",SUM('Asset Allocation'!M37)/'Broad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Allocation'!C38)/'Broad Asset Allocation'!B38),0)</f>
        <v/>
      </c>
      <c r="C38" s="6" t="str">
        <f>IFERROR(IF(A38="","",SUM('Asset Allocation'!J38)/'Broad Asset Allocation'!B38),0)</f>
        <v/>
      </c>
      <c r="D38" s="6" t="str">
        <f>IFERROR(IF(A38="","",SUM('Asset Allocation'!E38)/'Broad Asset Allocation'!B38),0)</f>
        <v/>
      </c>
      <c r="E38" s="6" t="str">
        <f>IFERROR(IF(A38="","",SUM('Asset Allocation'!H38)/'Broad Asset Allocation'!B38),0)</f>
        <v/>
      </c>
      <c r="F38" s="6" t="str">
        <f>IFERROR(IF(A38="","",SUM('Asset Allocation'!G38)/'Broad Asset Allocation'!B38),0)</f>
        <v/>
      </c>
      <c r="G38" s="6" t="str">
        <f>IFERROR(IF(A38="","",SUM('Asset Allocation'!L38,'Asset Allocation'!#REF!)/'Broad Asset Allocation'!B38),0)</f>
        <v/>
      </c>
      <c r="H38" s="6" t="str">
        <f>IFERROR(IF(A38="","",SUM('Asset Allocation'!M38)/'Broad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Allocation'!C39)/'Broad Asset Allocation'!B39),0)</f>
        <v/>
      </c>
      <c r="C39" s="6" t="str">
        <f>IFERROR(IF(A39="","",SUM('Asset Allocation'!J39)/'Broad Asset Allocation'!B39),0)</f>
        <v/>
      </c>
      <c r="D39" s="6" t="str">
        <f>IFERROR(IF(A39="","",SUM('Asset Allocation'!E39)/'Broad Asset Allocation'!B39),0)</f>
        <v/>
      </c>
      <c r="E39" s="6" t="str">
        <f>IFERROR(IF(A39="","",SUM('Asset Allocation'!H39)/'Broad Asset Allocation'!B39),0)</f>
        <v/>
      </c>
      <c r="F39" s="6" t="str">
        <f>IFERROR(IF(A39="","",SUM('Asset Allocation'!G39)/'Broad Asset Allocation'!B39),0)</f>
        <v/>
      </c>
      <c r="G39" s="6" t="str">
        <f>IFERROR(IF(A39="","",SUM('Asset Allocation'!L39,'Asset Allocation'!#REF!)/'Broad Asset Allocation'!B39),0)</f>
        <v/>
      </c>
      <c r="H39" s="6" t="str">
        <f>IFERROR(IF(A39="","",SUM('Asset Allocation'!M39)/'Broad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Allocation'!C40)/'Broad Asset Allocation'!B40),0)</f>
        <v/>
      </c>
      <c r="C40" s="6" t="str">
        <f>IFERROR(IF(A40="","",SUM('Asset Allocation'!J40)/'Broad Asset Allocation'!B40),0)</f>
        <v/>
      </c>
      <c r="D40" s="6" t="str">
        <f>IFERROR(IF(A40="","",SUM('Asset Allocation'!E40)/'Broad Asset Allocation'!B40),0)</f>
        <v/>
      </c>
      <c r="E40" s="6" t="str">
        <f>IFERROR(IF(A40="","",SUM('Asset Allocation'!H40)/'Broad Asset Allocation'!B40),0)</f>
        <v/>
      </c>
      <c r="F40" s="6" t="str">
        <f>IFERROR(IF(A40="","",SUM('Asset Allocation'!G40)/'Broad Asset Allocation'!B40),0)</f>
        <v/>
      </c>
      <c r="G40" s="6" t="str">
        <f>IFERROR(IF(A40="","",SUM('Asset Allocation'!L40,'Asset Allocation'!#REF!)/'Broad Asset Allocation'!B40),0)</f>
        <v/>
      </c>
      <c r="H40" s="6" t="str">
        <f>IFERROR(IF(A40="","",SUM('Asset Allocation'!M40)/'Broad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Allocation'!C41)/'Broad Asset Allocation'!B41),0)</f>
        <v/>
      </c>
      <c r="C41" s="6" t="str">
        <f>IFERROR(IF(A41="","",SUM('Asset Allocation'!J41)/'Broad Asset Allocation'!B41),0)</f>
        <v/>
      </c>
      <c r="D41" s="6" t="str">
        <f>IFERROR(IF(A41="","",SUM('Asset Allocation'!E41)/'Broad Asset Allocation'!B41),0)</f>
        <v/>
      </c>
      <c r="E41" s="6" t="str">
        <f>IFERROR(IF(A41="","",SUM('Asset Allocation'!H41)/'Broad Asset Allocation'!B41),0)</f>
        <v/>
      </c>
      <c r="F41" s="6" t="str">
        <f>IFERROR(IF(A41="","",SUM('Asset Allocation'!G41)/'Broad Asset Allocation'!B41),0)</f>
        <v/>
      </c>
      <c r="G41" s="6" t="str">
        <f>IFERROR(IF(A41="","",SUM('Asset Allocation'!L41,'Asset Allocation'!#REF!)/'Broad Asset Allocation'!B41),0)</f>
        <v/>
      </c>
      <c r="H41" s="6" t="str">
        <f>IFERROR(IF(A41="","",SUM('Asset Allocation'!M41)/'Broad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Allocation'!C42)/'Broad Asset Allocation'!B42),0)</f>
        <v/>
      </c>
      <c r="C42" s="6" t="str">
        <f>IFERROR(IF(A42="","",SUM('Asset Allocation'!J42)/'Broad Asset Allocation'!B42),0)</f>
        <v/>
      </c>
      <c r="D42" s="6" t="str">
        <f>IFERROR(IF(A42="","",SUM('Asset Allocation'!E42)/'Broad Asset Allocation'!B42),0)</f>
        <v/>
      </c>
      <c r="E42" s="6" t="str">
        <f>IFERROR(IF(A42="","",SUM('Asset Allocation'!H42)/'Broad Asset Allocation'!B42),0)</f>
        <v/>
      </c>
      <c r="F42" s="6" t="str">
        <f>IFERROR(IF(A42="","",SUM('Asset Allocation'!G42)/'Broad Asset Allocation'!B42),0)</f>
        <v/>
      </c>
      <c r="G42" s="6" t="str">
        <f>IFERROR(IF(A42="","",SUM('Asset Allocation'!L42,'Asset Allocation'!#REF!)/'Broad Asset Allocation'!B42),0)</f>
        <v/>
      </c>
      <c r="H42" s="6" t="str">
        <f>IFERROR(IF(A42="","",SUM('Asset Allocation'!M42)/'Broad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Allocation'!C43)/'Broad Asset Allocation'!B43),0)</f>
        <v/>
      </c>
      <c r="C43" s="6" t="str">
        <f>IFERROR(IF(A43="","",SUM('Asset Allocation'!J43)/'Broad Asset Allocation'!B43),0)</f>
        <v/>
      </c>
      <c r="D43" s="6" t="str">
        <f>IFERROR(IF(A43="","",SUM('Asset Allocation'!E43)/'Broad Asset Allocation'!B43),0)</f>
        <v/>
      </c>
      <c r="E43" s="6" t="str">
        <f>IFERROR(IF(A43="","",SUM('Asset Allocation'!H43)/'Broad Asset Allocation'!B43),0)</f>
        <v/>
      </c>
      <c r="F43" s="6" t="str">
        <f>IFERROR(IF(A43="","",SUM('Asset Allocation'!G43)/'Broad Asset Allocation'!B43),0)</f>
        <v/>
      </c>
      <c r="G43" s="6" t="str">
        <f>IFERROR(IF(A43="","",SUM('Asset Allocation'!L43,'Asset Allocation'!#REF!)/'Broad Asset Allocation'!B43),0)</f>
        <v/>
      </c>
      <c r="H43" s="6" t="str">
        <f>IFERROR(IF(A43="","",SUM('Asset Allocation'!M43)/'Broad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Allocation'!C44)/'Broad Asset Allocation'!B44),0)</f>
        <v/>
      </c>
      <c r="C44" s="6" t="str">
        <f>IFERROR(IF(A44="","",SUM('Asset Allocation'!J44)/'Broad Asset Allocation'!B44),0)</f>
        <v/>
      </c>
      <c r="D44" s="6" t="str">
        <f>IFERROR(IF(A44="","",SUM('Asset Allocation'!E44)/'Broad Asset Allocation'!B44),0)</f>
        <v/>
      </c>
      <c r="E44" s="6" t="str">
        <f>IFERROR(IF(A44="","",SUM('Asset Allocation'!H44)/'Broad Asset Allocation'!B44),0)</f>
        <v/>
      </c>
      <c r="F44" s="6" t="str">
        <f>IFERROR(IF(A44="","",SUM('Asset Allocation'!G44)/'Broad Asset Allocation'!B44),0)</f>
        <v/>
      </c>
      <c r="G44" s="6" t="str">
        <f>IFERROR(IF(A44="","",SUM('Asset Allocation'!L44,'Asset Allocation'!#REF!)/'Broad Asset Allocation'!B44),0)</f>
        <v/>
      </c>
      <c r="H44" s="6" t="str">
        <f>IFERROR(IF(A44="","",SUM('Asset Allocation'!M44)/'Broad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Allocation'!C45)/'Broad Asset Allocation'!B45),0)</f>
        <v/>
      </c>
      <c r="C45" s="6" t="str">
        <f>IFERROR(IF(A45="","",SUM('Asset Allocation'!J45)/'Broad Asset Allocation'!B45),0)</f>
        <v/>
      </c>
      <c r="D45" s="6" t="str">
        <f>IFERROR(IF(A45="","",SUM('Asset Allocation'!E45)/'Broad Asset Allocation'!B45),0)</f>
        <v/>
      </c>
      <c r="E45" s="6" t="str">
        <f>IFERROR(IF(A45="","",SUM('Asset Allocation'!H45)/'Broad Asset Allocation'!B45),0)</f>
        <v/>
      </c>
      <c r="F45" s="6" t="str">
        <f>IFERROR(IF(A45="","",SUM('Asset Allocation'!G45)/'Broad Asset Allocation'!B45),0)</f>
        <v/>
      </c>
      <c r="G45" s="6" t="str">
        <f>IFERROR(IF(A45="","",SUM('Asset Allocation'!L45,'Asset Allocation'!#REF!)/'Broad Asset Allocation'!B45),0)</f>
        <v/>
      </c>
      <c r="H45" s="6" t="str">
        <f>IFERROR(IF(A45="","",SUM('Asset Allocation'!M45)/'Broad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Allocation'!C46)/'Broad Asset Allocation'!B46),0)</f>
        <v/>
      </c>
      <c r="C46" s="6" t="str">
        <f>IFERROR(IF(A46="","",SUM('Asset Allocation'!J46)/'Broad Asset Allocation'!B46),0)</f>
        <v/>
      </c>
      <c r="D46" s="6" t="str">
        <f>IFERROR(IF(A46="","",SUM('Asset Allocation'!E46)/'Broad Asset Allocation'!B46),0)</f>
        <v/>
      </c>
      <c r="E46" s="6" t="str">
        <f>IFERROR(IF(A46="","",SUM('Asset Allocation'!H46)/'Broad Asset Allocation'!B46),0)</f>
        <v/>
      </c>
      <c r="F46" s="6" t="str">
        <f>IFERROR(IF(A46="","",SUM('Asset Allocation'!G46)/'Broad Asset Allocation'!B46),0)</f>
        <v/>
      </c>
      <c r="G46" s="6" t="str">
        <f>IFERROR(IF(A46="","",SUM('Asset Allocation'!L46,'Asset Allocation'!#REF!)/'Broad Asset Allocation'!B46),0)</f>
        <v/>
      </c>
      <c r="H46" s="6" t="str">
        <f>IFERROR(IF(A46="","",SUM('Asset Allocation'!M46)/'Broad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Allocation'!C47)/'Broad Asset Allocation'!B47),0)</f>
        <v/>
      </c>
      <c r="C47" s="6" t="str">
        <f>IFERROR(IF(A47="","",SUM('Asset Allocation'!J47)/'Broad Asset Allocation'!B47),0)</f>
        <v/>
      </c>
      <c r="D47" s="6" t="str">
        <f>IFERROR(IF(A47="","",SUM('Asset Allocation'!E47)/'Broad Asset Allocation'!B47),0)</f>
        <v/>
      </c>
      <c r="E47" s="6" t="str">
        <f>IFERROR(IF(A47="","",SUM('Asset Allocation'!H47)/'Broad Asset Allocation'!B47),0)</f>
        <v/>
      </c>
      <c r="F47" s="6" t="str">
        <f>IFERROR(IF(A47="","",SUM('Asset Allocation'!G47)/'Broad Asset Allocation'!B47),0)</f>
        <v/>
      </c>
      <c r="G47" s="6" t="str">
        <f>IFERROR(IF(A47="","",SUM('Asset Allocation'!L47,'Asset Allocation'!#REF!)/'Broad Asset Allocation'!B47),0)</f>
        <v/>
      </c>
      <c r="H47" s="6" t="str">
        <f>IFERROR(IF(A47="","",SUM('Asset Allocation'!M47)/'Broad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Allocation'!C48)/'Broad Asset Allocation'!B48),0)</f>
        <v/>
      </c>
      <c r="C48" s="6" t="str">
        <f>IFERROR(IF(A48="","",SUM('Asset Allocation'!J48)/'Broad Asset Allocation'!B48),0)</f>
        <v/>
      </c>
      <c r="D48" s="6" t="str">
        <f>IFERROR(IF(A48="","",SUM('Asset Allocation'!E48)/'Broad Asset Allocation'!B48),0)</f>
        <v/>
      </c>
      <c r="E48" s="6" t="str">
        <f>IFERROR(IF(A48="","",SUM('Asset Allocation'!H48)/'Broad Asset Allocation'!B48),0)</f>
        <v/>
      </c>
      <c r="F48" s="6" t="str">
        <f>IFERROR(IF(A48="","",SUM('Asset Allocation'!G48)/'Broad Asset Allocation'!B48),0)</f>
        <v/>
      </c>
      <c r="G48" s="6" t="str">
        <f>IFERROR(IF(A48="","",SUM('Asset Allocation'!L48,'Asset Allocation'!#REF!)/'Broad Asset Allocation'!B48),0)</f>
        <v/>
      </c>
      <c r="H48" s="6" t="str">
        <f>IFERROR(IF(A48="","",SUM('Asset Allocation'!M48)/'Broad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Allocation'!C49)/'Broad Asset Allocation'!B49),0)</f>
        <v/>
      </c>
      <c r="C49" s="6" t="str">
        <f>IFERROR(IF(A49="","",SUM('Asset Allocation'!J49)/'Broad Asset Allocation'!B49),0)</f>
        <v/>
      </c>
      <c r="D49" s="6" t="str">
        <f>IFERROR(IF(A49="","",SUM('Asset Allocation'!E49)/'Broad Asset Allocation'!B49),0)</f>
        <v/>
      </c>
      <c r="E49" s="6" t="str">
        <f>IFERROR(IF(A49="","",SUM('Asset Allocation'!H49)/'Broad Asset Allocation'!B49),0)</f>
        <v/>
      </c>
      <c r="F49" s="6" t="str">
        <f>IFERROR(IF(A49="","",SUM('Asset Allocation'!G49)/'Broad Asset Allocation'!B49),0)</f>
        <v/>
      </c>
      <c r="G49" s="6" t="str">
        <f>IFERROR(IF(A49="","",SUM('Asset Allocation'!L49,'Asset Allocation'!#REF!)/'Broad Asset Allocation'!B49),0)</f>
        <v/>
      </c>
      <c r="H49" s="6" t="str">
        <f>IFERROR(IF(A49="","",SUM('Asset Allocation'!M49)/'Broad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Allocation'!C50)/'Broad Asset Allocation'!B50),0)</f>
        <v/>
      </c>
      <c r="C50" s="6" t="str">
        <f>IFERROR(IF(A50="","",SUM('Asset Allocation'!J50)/'Broad Asset Allocation'!B50),0)</f>
        <v/>
      </c>
      <c r="D50" s="6" t="str">
        <f>IFERROR(IF(A50="","",SUM('Asset Allocation'!E50)/'Broad Asset Allocation'!B50),0)</f>
        <v/>
      </c>
      <c r="E50" s="6" t="str">
        <f>IFERROR(IF(A50="","",SUM('Asset Allocation'!H50)/'Broad Asset Allocation'!B50),0)</f>
        <v/>
      </c>
      <c r="F50" s="6" t="str">
        <f>IFERROR(IF(A50="","",SUM('Asset Allocation'!G50)/'Broad Asset Allocation'!B50),0)</f>
        <v/>
      </c>
      <c r="G50" s="6" t="str">
        <f>IFERROR(IF(A50="","",SUM('Asset Allocation'!L50,'Asset Allocation'!#REF!)/'Broad Asset Allocation'!B50),0)</f>
        <v/>
      </c>
      <c r="H50" s="6" t="str">
        <f>IFERROR(IF(A50="","",SUM('Asset Allocation'!M50)/'Broad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33</v>
      </c>
      <c r="G1" t="s">
        <v>17</v>
      </c>
      <c r="H1" t="s">
        <v>34</v>
      </c>
    </row>
    <row r="2" spans="1:8" x14ac:dyDescent="0.25">
      <c r="A2" t="str">
        <f>IF(Input!A3="","",Input!A3)</f>
        <v>Balanced</v>
      </c>
      <c r="H2">
        <f>IFERROR(IF(A2="","",SUM('Broad Asset Allocation'!C2)/'Broad Asset Allocation'!C2),0)</f>
        <v>1</v>
      </c>
    </row>
    <row r="3" spans="1:8" x14ac:dyDescent="0.25">
      <c r="A3" t="str">
        <f>IF(Input!A4="","",Input!A4)</f>
        <v>Cultivate</v>
      </c>
      <c r="H3">
        <f>IFERROR(IF(A3="","",SUM('Broad Asset Allocation'!C3)/'Broad Asset Allocation'!C3),0)</f>
        <v>1</v>
      </c>
    </row>
    <row r="4" spans="1:8" x14ac:dyDescent="0.25">
      <c r="A4" t="str">
        <f>IF(Input!A5="","",Input!A5)</f>
        <v>Endure</v>
      </c>
      <c r="H4">
        <f>IFERROR(IF(A4="","",SUM('Broad Asset Allocation'!C4)/'Broad Asset Allocation'!C4),0)</f>
        <v>1</v>
      </c>
    </row>
    <row r="5" spans="1:8" x14ac:dyDescent="0.25">
      <c r="A5" t="str">
        <f>IF(Input!A6="","",Input!A6)</f>
        <v>Flourish</v>
      </c>
      <c r="H5">
        <f>IFERROR(IF(A5="","",SUM('Broad Asset Allocation'!C5)/'Broad Asset Allocation'!C5),0)</f>
        <v>1</v>
      </c>
    </row>
    <row r="6" spans="1:8" x14ac:dyDescent="0.25">
      <c r="A6" t="str">
        <f>IF(Input!A7="","",Input!A7)</f>
        <v>Magnify</v>
      </c>
      <c r="H6">
        <f>IFERROR(IF(A6="","",SUM('Broad Asset Allocation'!C6)/'Broad Asset Allocation'!C6),0)</f>
        <v>1</v>
      </c>
    </row>
    <row r="7" spans="1:8" x14ac:dyDescent="0.25">
      <c r="A7" t="str">
        <f>IF(Input!A8="","",Input!A8)</f>
        <v>Mature</v>
      </c>
      <c r="H7">
        <f>IFERROR(IF(A7="","",SUM('Broad Asset Allocation'!C7)/'Broad Asset Allocation'!C7),0)</f>
        <v>1</v>
      </c>
    </row>
    <row r="8" spans="1:8" x14ac:dyDescent="0.25">
      <c r="A8" t="str">
        <f>IF(Input!A9="","",Input!A9)</f>
        <v>Preserve</v>
      </c>
      <c r="H8">
        <f>IFERROR(IF(A8="","",SUM('Broad Asset Allocation'!C8)/'Broad Asset Allocation'!C8),0)</f>
        <v>1</v>
      </c>
    </row>
    <row r="9" spans="1:8" x14ac:dyDescent="0.25">
      <c r="A9" t="str">
        <f>IF(Input!A10="","",Input!A10)</f>
        <v>Trust DFM Protect</v>
      </c>
      <c r="H9">
        <f>IFERROR(IF(A9="","",SUM('Broad Asset Allocation'!C9)/'Broad Asset Allocation'!C9),0)</f>
        <v>1</v>
      </c>
    </row>
    <row r="10" spans="1:8" x14ac:dyDescent="0.25">
      <c r="A10" t="str">
        <f>IF(Input!A11="","",Input!A11)</f>
        <v>Trust DFM Enjoy</v>
      </c>
      <c r="H10">
        <f>IFERROR(IF(A10="","",SUM('Broad Asset Allocation'!C10)/'Broad Asset Allocation'!C10),0)</f>
        <v>1</v>
      </c>
    </row>
    <row r="11" spans="1:8" x14ac:dyDescent="0.25">
      <c r="A11" t="str">
        <f>IF(Input!A12="","",Input!A12)</f>
        <v>Trust DFM Grow</v>
      </c>
      <c r="H11">
        <f>IFERROR(IF(A11="","",SUM('Broad Asset Allocation'!C11)/'Broad Asset Allocation'!C11),0)</f>
        <v>1</v>
      </c>
    </row>
    <row r="12" spans="1:8" x14ac:dyDescent="0.25">
      <c r="A12" t="str">
        <f>IF(Input!A13="","",Input!A13)</f>
        <v>Balanced Passive</v>
      </c>
      <c r="H12">
        <f>IFERROR(IF(A12="","",SUM('Broad Asset Allocation'!C12)/'Broad Asset Allocation'!C12),0)</f>
        <v>1</v>
      </c>
    </row>
    <row r="13" spans="1:8" x14ac:dyDescent="0.25">
      <c r="A13" t="str">
        <f>IF(Input!A14="","",Input!A14)</f>
        <v>Cultivate Passive</v>
      </c>
      <c r="H13">
        <f>IFERROR(IF(A13="","",SUM('Broad Asset Allocation'!C13)/'Broad Asset Allocation'!C13),0)</f>
        <v>1</v>
      </c>
    </row>
    <row r="14" spans="1:8" x14ac:dyDescent="0.25">
      <c r="A14" t="str">
        <f>IF(Input!A15="","",Input!A15)</f>
        <v>Endure Passive</v>
      </c>
      <c r="H14">
        <f>IFERROR(IF(A14="","",SUM('Broad Asset Allocation'!C14)/'Broad Asset Allocation'!C14),0)</f>
        <v>1</v>
      </c>
    </row>
    <row r="15" spans="1:8" x14ac:dyDescent="0.25">
      <c r="A15" t="str">
        <f>IF(Input!A16="","",Input!A16)</f>
        <v>Flourish Passive</v>
      </c>
      <c r="H15">
        <f>IFERROR(IF(A15="","",SUM('Broad Asset Allocation'!C15)/'Broad Asset Allocation'!C15),0)</f>
        <v>1</v>
      </c>
    </row>
    <row r="16" spans="1:8" x14ac:dyDescent="0.25">
      <c r="A16" t="str">
        <f>IF(Input!A17="","",Input!A17)</f>
        <v>Magnify Passive</v>
      </c>
      <c r="H16">
        <f>IFERROR(IF(A16="","",SUM('Broad Asset Allocation'!C16)/'Broad Asset Allocation'!C16),0)</f>
        <v>1</v>
      </c>
    </row>
    <row r="17" spans="1:8" x14ac:dyDescent="0.25">
      <c r="A17" t="str">
        <f>IF(Input!A18="","",Input!A18)</f>
        <v>Mature Passsive</v>
      </c>
      <c r="H17">
        <f>IFERROR(IF(A17="","",SUM('Broad Asset Allocation'!C17)/'Broad Asset Allocation'!C17),0)</f>
        <v>1</v>
      </c>
    </row>
    <row r="18" spans="1:8" x14ac:dyDescent="0.25">
      <c r="A18" t="str">
        <f>IF(Input!A19="","",Input!A19)</f>
        <v>Preserve Passive</v>
      </c>
      <c r="H18">
        <f>IFERROR(IF(A18="","",SUM('Broad Asset Allocation'!C18)/'Broad Asset Allocation'!C18),0)</f>
        <v>1</v>
      </c>
    </row>
    <row r="19" spans="1:8" x14ac:dyDescent="0.25">
      <c r="A19" t="str">
        <f>IF(Input!A20="","",Input!A20)</f>
        <v>Protect Passive</v>
      </c>
      <c r="H19">
        <f>IFERROR(IF(A19="","",SUM('Broad Asset Allocation'!C19)/'Broad Asset Allocation'!C19),0)</f>
        <v>1</v>
      </c>
    </row>
    <row r="20" spans="1:8" x14ac:dyDescent="0.25">
      <c r="A20" t="str">
        <f>IF(Input!A21="","",Input!A21)</f>
        <v>Enjoy Passive</v>
      </c>
      <c r="H20">
        <f>IFERROR(IF(A20="","",SUM('Broad Asset Allocation'!C20)/'Broad Asset Allocation'!C20),0)</f>
        <v>1</v>
      </c>
    </row>
    <row r="21" spans="1:8" x14ac:dyDescent="0.25">
      <c r="A21" t="str">
        <f>IF(Input!A22="","",Input!A22)</f>
        <v>Grow Passive</v>
      </c>
      <c r="H21">
        <f>IFERROR(IF(A21="","",SUM('Broad Asset Allocation'!C21)/'Broad Asset Allocation'!C21),0)</f>
        <v>1</v>
      </c>
    </row>
    <row r="22" spans="1:8" x14ac:dyDescent="0.25">
      <c r="A22" t="str">
        <f>IF(Input!A23="","",Input!A23)</f>
        <v>Balanced Attenborough</v>
      </c>
      <c r="H22">
        <f>IFERROR(IF(A22="","",SUM('Broad Asset Allocation'!C22)/'Broad Asset Allocation'!C22),0)</f>
        <v>1</v>
      </c>
    </row>
    <row r="23" spans="1:8" x14ac:dyDescent="0.25">
      <c r="A23" t="str">
        <f>IF(Input!A24="","",Input!A24)</f>
        <v>Cultivate Attenborough</v>
      </c>
      <c r="H23">
        <f>IFERROR(IF(A23="","",SUM('Broad Asset Allocation'!C23)/'Broad Asset Allocation'!C23),0)</f>
        <v>1</v>
      </c>
    </row>
    <row r="24" spans="1:8" x14ac:dyDescent="0.25">
      <c r="A24" t="str">
        <f>IF(Input!A25="","",Input!A25)</f>
        <v>Endure Attenborough</v>
      </c>
      <c r="H24">
        <f>IFERROR(IF(A24="","",SUM('Broad Asset Allocation'!C24)/'Broad Asset Allocation'!C24),0)</f>
        <v>1</v>
      </c>
    </row>
    <row r="25" spans="1:8" x14ac:dyDescent="0.25">
      <c r="A25" t="str">
        <f>IF(Input!A26="","",Input!A26)</f>
        <v>Flourish Attenborough</v>
      </c>
      <c r="H25">
        <f>IFERROR(IF(A25="","",SUM('Broad Asset Allocation'!C25)/'Broad Asset Allocation'!C25),0)</f>
        <v>1</v>
      </c>
    </row>
    <row r="26" spans="1:8" x14ac:dyDescent="0.25">
      <c r="A26" t="str">
        <f>IF(Input!A27="","",Input!A27)</f>
        <v>Magnify Attenborough</v>
      </c>
      <c r="H26">
        <f>IFERROR(IF(A26="","",SUM('Broad Asset Allocation'!C26)/'Broad Asset Allocation'!C26),0)</f>
        <v>1</v>
      </c>
    </row>
    <row r="27" spans="1:8" x14ac:dyDescent="0.25">
      <c r="A27" t="str">
        <f>IF(Input!A28="","",Input!A28)</f>
        <v>Mature Attenborough</v>
      </c>
      <c r="H27">
        <f>IFERROR(IF(A27="","",SUM('Broad Asset Allocation'!C27)/'Broad Asset Allocation'!C27),0)</f>
        <v>1</v>
      </c>
    </row>
    <row r="28" spans="1:8" x14ac:dyDescent="0.25">
      <c r="A28" t="str">
        <f>IF(Input!A29="","",Input!A29)</f>
        <v>Preserve Attenborough</v>
      </c>
      <c r="H28">
        <f>IFERROR(IF(A28="","",SUM('Broad Asset Allocation'!C28)/'Broad Asset Allocation'!C28),0)</f>
        <v>1</v>
      </c>
    </row>
    <row r="29" spans="1:8" x14ac:dyDescent="0.25">
      <c r="A29" t="str">
        <f>IF(Input!A30="","",Input!A30)</f>
        <v>Protect Attenborough</v>
      </c>
      <c r="H29">
        <f>IFERROR(IF(A29="","",SUM('Broad Asset Allocation'!C29)/'Broad Asset Allocation'!C29),0)</f>
        <v>1</v>
      </c>
    </row>
    <row r="30" spans="1:8" x14ac:dyDescent="0.25">
      <c r="A30" t="str">
        <f>IF(Input!A31="","",Input!A31)</f>
        <v>Enjoy Attenborough</v>
      </c>
      <c r="H30">
        <f>IFERROR(IF(A30="","",SUM('Broad Asset Allocation'!C30)/'Broad Asset Allocation'!C30),0)</f>
        <v>1</v>
      </c>
    </row>
    <row r="31" spans="1:8" x14ac:dyDescent="0.25">
      <c r="A31" t="str">
        <f>IF(Input!A32="","",Input!A32)</f>
        <v>Grow Attenborough</v>
      </c>
      <c r="H31">
        <f>IFERROR(IF(A31="","",SUM('Broad Asset Allocation'!C31)/'Broad Asset Allocation'!C31),0)</f>
        <v>1</v>
      </c>
    </row>
    <row r="32" spans="1:8" x14ac:dyDescent="0.25">
      <c r="A32" t="str">
        <f>IF(Input!A33="","",Input!A33)</f>
        <v>Passive Income</v>
      </c>
      <c r="H32">
        <f>IFERROR(IF(A32="","",SUM('Broad Asset Allocation'!C32)/'Broad Asset Allocation'!C32),0)</f>
        <v>1</v>
      </c>
    </row>
    <row r="33" spans="1:8" x14ac:dyDescent="0.25">
      <c r="A33" t="str">
        <f>IF(Input!A34="","",Input!A34)</f>
        <v>Natural Income</v>
      </c>
      <c r="H33">
        <f>IFERROR(IF(A33="","",SUM('Broad Asset Allocation'!C33)/'Broad Asset Allocation'!C33),0)</f>
        <v>1</v>
      </c>
    </row>
    <row r="34" spans="1:8" x14ac:dyDescent="0.25">
      <c r="A34" t="str">
        <f>IF(Input!A35="","",Input!A35)</f>
        <v/>
      </c>
      <c r="H34" t="str">
        <f>IFERROR(IF(A34="","",SUM('Broad 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IFERROR(IF(A35="","",SUM('Broad 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IFERROR(IF(A36="","",SUM('Broad 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IFERROR(IF(A37="","",SUM('Broad 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IFERROR(IF(A38="","",SUM('Broad 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IFERROR(IF(A39="","",SUM('Broad 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IFERROR(IF(A40="","",SUM('Broad 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IFERROR(IF(A41="","",SUM('Broad 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IFERROR(IF(A42="","",SUM('Broad 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IFERROR(IF(A43="","",SUM('Broad 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IFERROR(IF(A44="","",SUM('Broad 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IFERROR(IF(A45="","",SUM('Broad 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IFERROR(IF(A46="","",SUM('Broad 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IFERROR(IF(A47="","",SUM('Broad 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IFERROR(IF(A48="","",SUM('Broad 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IFERROR(IF(A49="","",SUM('Broad 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IFERROR(IF(A50="","",SUM('Broad 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Attenborough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2023-10-20T20:08:33Z</dcterms:modified>
</cp:coreProperties>
</file>