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pdf_scraping\16_milestone\Trust DFM\"/>
    </mc:Choice>
  </mc:AlternateContent>
  <xr:revisionPtr revIDLastSave="0" documentId="13_ncr:1_{8A3F6EDE-6A7D-43DC-8896-7AF22760AEF8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<sst xmlns="http://schemas.openxmlformats.org/spreadsheetml/2006/main" count="208" uniqueCount="89">
  <si>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</si>
  <si>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</si>
  <si>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</si>
  <si>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</si>
  <si>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</si>
  <si>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</si>
  <si>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</si>
  <si>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</si>
  <si>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</si>
  <si>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</si>
  <si>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</si>
  <si>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</si>
  <si>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</si>
  <si>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</si>
  <si>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</si>
  <si>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</si>
  <si>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</si>
  <si>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</si>
  <si>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</si>
  <si>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</si>
  <si>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</si>
  <si>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</si>
  <si>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</si>
  <si>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</si>
  <si>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</si>
  <si>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</si>
  <si>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</si>
  <si>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</si>
  <si>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</si>
  <si>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</si>
  <si>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European Equities</t>
  </si>
  <si>
    <t>UK Equities</t>
  </si>
  <si>
    <t>Annual Management Charge</t>
  </si>
  <si>
    <t>Emerging Market Debt</t>
  </si>
  <si>
    <t>Unclassified</t>
  </si>
  <si>
    <t>Core Range</t>
  </si>
  <si>
    <t>Cultivate</t>
  </si>
  <si>
    <t>Endure</t>
  </si>
  <si>
    <t>Flourish</t>
  </si>
  <si>
    <t>Magnify</t>
  </si>
  <si>
    <t>Mature</t>
  </si>
  <si>
    <t>Preserve</t>
  </si>
  <si>
    <t>Trust DFM Protect</t>
  </si>
  <si>
    <t>Trust DFM Enjoy</t>
  </si>
  <si>
    <t>Trust DFM Grow</t>
  </si>
  <si>
    <t>https://trustdfm.com/ifa/our-models-financial-advisor-page/#</t>
  </si>
  <si>
    <t>Balanced Passive</t>
  </si>
  <si>
    <t>Cultivate Passive</t>
  </si>
  <si>
    <t>Balanced</t>
  </si>
  <si>
    <t>Endure Passive</t>
  </si>
  <si>
    <t>Flourish Passive</t>
  </si>
  <si>
    <t>Magnify Passive</t>
  </si>
  <si>
    <t>Mature Passsive</t>
  </si>
  <si>
    <t>Preserve Passive</t>
  </si>
  <si>
    <t>Protect Passive</t>
  </si>
  <si>
    <t>Enjoy Passive</t>
  </si>
  <si>
    <t>Grow Passive</t>
  </si>
  <si>
    <t>Passive Range</t>
  </si>
  <si>
    <t>Balanced Attenborough</t>
  </si>
  <si>
    <t>Cultivate Attenborough</t>
  </si>
  <si>
    <t>Endure Attenborough</t>
  </si>
  <si>
    <t>Flourish Attenborough</t>
  </si>
  <si>
    <t>Magnify Attenborough</t>
  </si>
  <si>
    <t>Preserve Attenborough</t>
  </si>
  <si>
    <t>Protect Attenborough</t>
  </si>
  <si>
    <t>Enjoy Attenborough</t>
  </si>
  <si>
    <t>Grow Attenborough</t>
  </si>
  <si>
    <t>Attenborough Range</t>
  </si>
  <si>
    <t>Natural Income Portfolios</t>
  </si>
  <si>
    <t>Passive Income</t>
  </si>
  <si>
    <t>Natural Income</t>
  </si>
  <si>
    <t>Ongoing Costs*</t>
  </si>
  <si>
    <t>1yr</t>
  </si>
  <si>
    <t>1m</t>
  </si>
  <si>
    <t>Global Equities</t>
  </si>
  <si>
    <t>Corporate Bonds</t>
  </si>
  <si>
    <t>Global Multi Asset</t>
  </si>
  <si>
    <t>Alternatives</t>
  </si>
  <si>
    <t>Asia Pacific Ex Japan Equities</t>
  </si>
  <si>
    <t>Fixed Income Multi Asset</t>
  </si>
  <si>
    <t>Credit</t>
  </si>
  <si>
    <t>Core</t>
  </si>
  <si>
    <t>Passive</t>
  </si>
  <si>
    <t>Attenborough</t>
  </si>
  <si>
    <t>Income</t>
  </si>
  <si>
    <t>https://trustdfm.com/wp-content/uploads/2023/08/Trust-DFM-Core.pdf</t>
  </si>
  <si>
    <t>https://trustdfm.com/wp-content/uploads/2023/08/Trust-DFM-Passive.pdf</t>
  </si>
  <si>
    <t>https://trustdfm.com/wp-content/uploads/2023/08/Trust-DFM-Attenborough.pdf</t>
  </si>
  <si>
    <t>https://trustdfm.com/wp-content/uploads/2023/08/Trust-DFM-Income.pdf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</si>
</sst>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6</xdr:col>
      <xdr:colOff>569843</xdr:colOff>
      <xdr:row>10</xdr:row>
      <xdr:rowOff>152548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929DA6-78FA-3B3B-76BD-07923A9A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"/>
          <a:ext cx="4227443" cy="1752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146050</xdr:rowOff>
    </xdr:from>
    <xdr:to>
      <xdr:col>7</xdr:col>
      <xdr:colOff>409534</xdr:colOff>
      <xdr:row>18</xdr:row>
      <xdr:rowOff>139788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DF108E-58E5-4B23-165E-8D1B88F8B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71700"/>
          <a:ext cx="4676734" cy="128278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17</xdr:col>
      <xdr:colOff>95537</xdr:colOff>
      <xdr:row>22</xdr:row>
      <xdr:rowOff>133556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76F447-E91B-F048-8542-3B1CD72C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84150"/>
          <a:ext cx="5581937" cy="4000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/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34"/>
  <sheetViews>
    <sheetView workbookViewId="0">
      <selection activeCell="A2" sqref="A2"/>
    </sheetView>
  </sheetViews>
  <sheetFormatPr defaultRowHeight="14.5" x14ac:dyDescent="0.35"/>
  <cols>
    <col min="1" max="1" width="37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48</v>
      </c>
      <c r="B3" t="str">
        <f>'PDF Scraping'!D2</f>
        <v>https://trustdfm.com/wp-content/uploads/2023/08/Trust-DFM-Core.pdf</v>
      </c>
      <c r="J3" s="4"/>
    </row>
    <row r="4" spans="1:10" x14ac:dyDescent="0.35">
      <c r="A4" t="s">
        <v>36</v>
      </c>
      <c r="B4" t="str">
        <f>'PDF Scraping'!D3</f>
        <v>https://trustdfm.com/wp-content/uploads/2023/08/Trust-DFM-Core.pdf</v>
      </c>
      <c r="J4" s="4"/>
    </row>
    <row r="5" spans="1:10" x14ac:dyDescent="0.35">
      <c r="A5" t="s">
        <v>37</v>
      </c>
      <c r="B5" t="str">
        <f>'PDF Scraping'!D4</f>
        <v>https://trustdfm.com/wp-content/uploads/2023/08/Trust-DFM-Core.pdf</v>
      </c>
    </row>
    <row r="6" spans="1:10" x14ac:dyDescent="0.35">
      <c r="A6" t="s">
        <v>38</v>
      </c>
      <c r="B6" t="str">
        <f>'PDF Scraping'!D5</f>
        <v>https://trustdfm.com/wp-content/uploads/2023/08/Trust-DFM-Core.pdf</v>
      </c>
    </row>
    <row r="7" spans="1:10" x14ac:dyDescent="0.35">
      <c r="A7" t="s">
        <v>39</v>
      </c>
      <c r="B7" t="str">
        <f>'PDF Scraping'!D6</f>
        <v>https://trustdfm.com/wp-content/uploads/2023/08/Trust-DFM-Core.pdf</v>
      </c>
    </row>
    <row r="8" spans="1:10" x14ac:dyDescent="0.35">
      <c r="A8" t="s">
        <v>40</v>
      </c>
      <c r="B8" t="str">
        <f>'PDF Scraping'!D7</f>
        <v>https://trustdfm.com/wp-content/uploads/2023/08/Trust-DFM-Core.pdf</v>
      </c>
    </row>
    <row r="9" spans="1:10" x14ac:dyDescent="0.35">
      <c r="A9" t="s">
        <v>41</v>
      </c>
      <c r="B9" t="str">
        <f>'PDF Scraping'!D8</f>
        <v>https://trustdfm.com/wp-content/uploads/2023/08/Trust-DFM-Core.pdf</v>
      </c>
    </row>
    <row r="10" spans="1:10" x14ac:dyDescent="0.35">
      <c r="A10" t="s">
        <v>42</v>
      </c>
      <c r="B10" t="str">
        <f>'PDF Scraping'!D9</f>
        <v>https://trustdfm.com/wp-content/uploads/2023/08/Trust-DFM-Core.pdf</v>
      </c>
    </row>
    <row r="11" spans="1:10" x14ac:dyDescent="0.35">
      <c r="A11" t="s">
        <v>43</v>
      </c>
      <c r="B11" t="str">
        <f>'PDF Scraping'!D10</f>
        <v>https://trustdfm.com/wp-content/uploads/2023/08/Trust-DFM-Core.pdf</v>
      </c>
    </row>
    <row r="12" spans="1:10" x14ac:dyDescent="0.35">
      <c r="A12" t="s">
        <v>44</v>
      </c>
      <c r="B12" t="str">
        <f>'PDF Scraping'!D11</f>
        <v>https://trustdfm.com/wp-content/uploads/2023/08/Trust-DFM-Core.pdf</v>
      </c>
    </row>
    <row r="13" spans="1:10" x14ac:dyDescent="0.35">
      <c r="A13" t="s">
        <v>46</v>
      </c>
      <c r="B13" t="str">
        <f>'PDF Scraping'!D12</f>
        <v>https://trustdfm.com/wp-content/uploads/2023/08/Trust-DFM-Passive.pdf</v>
      </c>
    </row>
    <row r="14" spans="1:10" x14ac:dyDescent="0.35">
      <c r="A14" t="s">
        <v>47</v>
      </c>
      <c r="B14" t="str">
        <f>'PDF Scraping'!D13</f>
        <v>https://trustdfm.com/wp-content/uploads/2023/08/Trust-DFM-Passive.pdf</v>
      </c>
    </row>
    <row r="15" spans="1:10" x14ac:dyDescent="0.35">
      <c r="A15" t="s">
        <v>49</v>
      </c>
      <c r="B15" t="str">
        <f>'PDF Scraping'!D14</f>
        <v>https://trustdfm.com/wp-content/uploads/2023/08/Trust-DFM-Passive.pdf</v>
      </c>
    </row>
    <row r="16" spans="1:10" x14ac:dyDescent="0.35">
      <c r="A16" t="s">
        <v>50</v>
      </c>
      <c r="B16" t="str">
        <f>'PDF Scraping'!D15</f>
        <v>https://trustdfm.com/wp-content/uploads/2023/08/Trust-DFM-Passive.pdf</v>
      </c>
    </row>
    <row r="17" spans="1:2" x14ac:dyDescent="0.35">
      <c r="A17" t="s">
        <v>51</v>
      </c>
      <c r="B17" t="str">
        <f>'PDF Scraping'!D16</f>
        <v>https://trustdfm.com/wp-content/uploads/2023/08/Trust-DFM-Passive.pdf</v>
      </c>
    </row>
    <row r="18" spans="1:2" x14ac:dyDescent="0.35">
      <c r="A18" t="s">
        <v>52</v>
      </c>
      <c r="B18" t="str">
        <f>'PDF Scraping'!D17</f>
        <v>https://trustdfm.com/wp-content/uploads/2023/08/Trust-DFM-Passive.pdf</v>
      </c>
    </row>
    <row r="19" spans="1:2" x14ac:dyDescent="0.35">
      <c r="A19" t="s">
        <v>53</v>
      </c>
      <c r="B19" t="str">
        <f>'PDF Scraping'!D18</f>
        <v>https://trustdfm.com/wp-content/uploads/2023/08/Trust-DFM-Passive.pdf</v>
      </c>
    </row>
    <row r="20" spans="1:2" x14ac:dyDescent="0.35">
      <c r="A20" t="s">
        <v>54</v>
      </c>
      <c r="B20" t="str">
        <f>'PDF Scraping'!D19</f>
        <v>https://trustdfm.com/wp-content/uploads/2023/08/Trust-DFM-Passive.pdf</v>
      </c>
    </row>
    <row r="21" spans="1:2" x14ac:dyDescent="0.35">
      <c r="A21" t="s">
        <v>55</v>
      </c>
      <c r="B21" t="str">
        <f>'PDF Scraping'!D20</f>
        <v>https://trustdfm.com/wp-content/uploads/2023/08/Trust-DFM-Passive.pdf</v>
      </c>
    </row>
    <row r="22" spans="1:2" x14ac:dyDescent="0.35">
      <c r="A22" t="s">
        <v>56</v>
      </c>
      <c r="B22" t="str">
        <f>'PDF Scraping'!D21</f>
        <v>https://trustdfm.com/wp-content/uploads/2023/08/Trust-DFM-Passive.pdf</v>
      </c>
    </row>
    <row r="23" spans="1:2" x14ac:dyDescent="0.35">
      <c r="A23" t="s">
        <v>58</v>
      </c>
      <c r="B23" t="str">
        <f>'PDF Scraping'!D22</f>
        <v>https://trustdfm.com/wp-content/uploads/2023/08/Trust-DFM-Attenborough.pdf</v>
      </c>
    </row>
    <row r="24" spans="1:2" x14ac:dyDescent="0.35">
      <c r="A24" t="s">
        <v>59</v>
      </c>
      <c r="B24" t="str">
        <f>'PDF Scraping'!D23</f>
        <v>https://trustdfm.com/wp-content/uploads/2023/08/Trust-DFM-Attenborough.pdf</v>
      </c>
    </row>
    <row r="25" spans="1:2" x14ac:dyDescent="0.35">
      <c r="A25" t="s">
        <v>60</v>
      </c>
      <c r="B25" t="str">
        <f>'PDF Scraping'!D24</f>
        <v>https://trustdfm.com/wp-content/uploads/2023/08/Trust-DFM-Attenborough.pdf</v>
      </c>
    </row>
    <row r="26" spans="1:2" x14ac:dyDescent="0.35">
      <c r="A26" t="s">
        <v>61</v>
      </c>
      <c r="B26" t="str">
        <f>'PDF Scraping'!D25</f>
        <v>https://trustdfm.com/wp-content/uploads/2023/08/Trust-DFM-Attenborough.pdf</v>
      </c>
    </row>
    <row r="27" spans="1:2" x14ac:dyDescent="0.35">
      <c r="A27" t="s">
        <v>62</v>
      </c>
      <c r="B27" t="str">
        <f>'PDF Scraping'!D26</f>
        <v>https://trustdfm.com/wp-content/uploads/2023/08/Trust-DFM-Attenborough.pdf</v>
      </c>
    </row>
    <row r="28" spans="1:2" x14ac:dyDescent="0.35">
      <c r="A28" t="s">
        <v>52</v>
      </c>
      <c r="B28" t="str">
        <f>'PDF Scraping'!D27</f>
        <v>https://trustdfm.com/wp-content/uploads/2023/08/Trust-DFM-Attenborough.pdf</v>
      </c>
    </row>
    <row r="29" spans="1:2" x14ac:dyDescent="0.35">
      <c r="A29" t="s">
        <v>63</v>
      </c>
      <c r="B29" t="str">
        <f>'PDF Scraping'!D28</f>
        <v>https://trustdfm.com/wp-content/uploads/2023/08/Trust-DFM-Attenborough.pdf</v>
      </c>
    </row>
    <row r="30" spans="1:2" x14ac:dyDescent="0.35">
      <c r="A30" t="s">
        <v>64</v>
      </c>
      <c r="B30" t="str">
        <f>'PDF Scraping'!D29</f>
        <v>https://trustdfm.com/wp-content/uploads/2023/08/Trust-DFM-Attenborough.pdf</v>
      </c>
    </row>
    <row r="31" spans="1:2" x14ac:dyDescent="0.35">
      <c r="A31" t="s">
        <v>65</v>
      </c>
      <c r="B31" t="str">
        <f>'PDF Scraping'!D30</f>
        <v>https://trustdfm.com/wp-content/uploads/2023/08/Trust-DFM-Attenborough.pdf</v>
      </c>
    </row>
    <row r="32" spans="1:2" x14ac:dyDescent="0.35">
      <c r="A32" t="s">
        <v>66</v>
      </c>
      <c r="B32" t="str">
        <f>'PDF Scraping'!D31</f>
        <v>https://trustdfm.com/wp-content/uploads/2023/08/Trust-DFM-Attenborough.pdf</v>
      </c>
    </row>
    <row r="33" spans="1:2" x14ac:dyDescent="0.35">
      <c r="A33" t="s">
        <v>69</v>
      </c>
      <c r="B33" t="str">
        <f>'PDF Scraping'!D32</f>
        <v>https://trustdfm.com/wp-content/uploads/2023/08/Trust-DFM-Income.pdf</v>
      </c>
    </row>
    <row r="34" spans="1:2" x14ac:dyDescent="0.35">
      <c r="A34" t="s">
        <v>70</v>
      </c>
      <c r="B34" t="str">
        <f>'PDF Scraping'!D33</f>
        <v>https://trustdfm.com/wp-content/uploads/2023/08/Trust-DFM-Income.pdf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F1" sqref="F1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71</v>
      </c>
      <c r="D1" t="s">
        <v>72</v>
      </c>
      <c r="E1" t="s">
        <v>73</v>
      </c>
    </row>
    <row r="2" spans="1:6" x14ac:dyDescent="0.35">
      <c r="A2" t="str">
        <f>IF(Input!A3="","",Input!A3)</f>
        <v>Balanced</v>
      </c>
      <c r="B2" s="1"/>
      <c r="C2" s="5"/>
      <c r="D2" s="5"/>
      <c r="E2" s="5"/>
      <c r="F2" s="5"/>
    </row>
    <row r="3" spans="1:6" x14ac:dyDescent="0.35">
      <c r="A3" t="str">
        <f>IF(Input!A4="","",Input!A4)</f>
        <v>Cultivate</v>
      </c>
      <c r="B3" s="1"/>
      <c r="C3" s="5"/>
      <c r="D3" s="5"/>
      <c r="E3" s="5"/>
      <c r="F3" s="5"/>
    </row>
    <row r="4" spans="1:6" x14ac:dyDescent="0.35">
      <c r="A4" t="str">
        <f>IF(Input!A5="","",Input!A5)</f>
        <v>Endure</v>
      </c>
      <c r="B4" s="1"/>
      <c r="C4" s="5"/>
      <c r="D4" s="5"/>
      <c r="E4" s="5"/>
      <c r="F4" s="5"/>
    </row>
    <row r="5" spans="1:6" x14ac:dyDescent="0.35">
      <c r="A5" t="str">
        <f>IF(Input!A6="","",Input!A6)</f>
        <v>Flourish</v>
      </c>
      <c r="B5" s="1"/>
      <c r="C5" s="5"/>
      <c r="D5" s="5"/>
      <c r="E5" s="5"/>
      <c r="F5" s="5"/>
    </row>
    <row r="6" spans="1:6" x14ac:dyDescent="0.35">
      <c r="A6" t="str">
        <f>IF(Input!A7="","",Input!A7)</f>
        <v>Magnify</v>
      </c>
      <c r="B6" s="1"/>
      <c r="C6" s="5"/>
      <c r="D6" s="5"/>
      <c r="E6" s="5"/>
      <c r="F6" s="5"/>
    </row>
    <row r="7" spans="1:6" x14ac:dyDescent="0.35">
      <c r="A7" t="str">
        <f>IF(Input!A8="","",Input!A8)</f>
        <v>Mature</v>
      </c>
      <c r="B7" s="1"/>
      <c r="C7" s="5"/>
      <c r="D7" s="5"/>
      <c r="E7" s="5"/>
      <c r="F7" s="5"/>
    </row>
    <row r="8" spans="1:6" x14ac:dyDescent="0.35">
      <c r="A8" t="str">
        <f>IF(Input!A9="","",Input!A9)</f>
        <v>Preserve</v>
      </c>
      <c r="B8" s="1"/>
      <c r="C8" s="5"/>
      <c r="D8" s="5"/>
      <c r="E8" s="5"/>
      <c r="F8" s="5"/>
    </row>
    <row r="9" spans="1:6" x14ac:dyDescent="0.35">
      <c r="A9" t="str">
        <f>IF(Input!A10="","",Input!A10)</f>
        <v>Trust DFM Protect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Trust DFM Enjoy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Trust DFM Grow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Balanced Passive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Cultivate Passive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Endure Passive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Flourish Passive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Magnify Passive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>Mature Passsive</v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>Preserve Passive</v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>Protect Passive</v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>Enjoy Passive</v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>Grow Passive</v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>Balanced Attenborough</v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>Cultivate Attenborough</v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>Endure Attenborough</v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>Flourish Attenborough</v>
      </c>
      <c r="B25" s="7"/>
      <c r="C25" s="5"/>
    </row>
    <row r="26" spans="1:6" x14ac:dyDescent="0.35">
      <c r="A26" t="str">
        <f>IF(Input!A27="","",Input!A27)</f>
        <v>Magnify Attenborough</v>
      </c>
      <c r="B26" s="7"/>
      <c r="C26" s="5"/>
    </row>
    <row r="27" spans="1:6" x14ac:dyDescent="0.35">
      <c r="A27" t="str">
        <f>IF(Input!A28="","",Input!A28)</f>
        <v>Mature Passsive</v>
      </c>
      <c r="B27" s="7"/>
      <c r="C27" s="5"/>
    </row>
    <row r="28" spans="1:6" x14ac:dyDescent="0.35">
      <c r="A28" t="str">
        <f>IF(Input!A29="","",Input!A29)</f>
        <v>Preserve Attenborough</v>
      </c>
      <c r="B28" s="7"/>
      <c r="C28" s="5"/>
    </row>
    <row r="29" spans="1:6" x14ac:dyDescent="0.35">
      <c r="A29" t="str">
        <f>IF(Input!A30="","",Input!A30)</f>
        <v>Protect Attenborough</v>
      </c>
      <c r="B29" s="7"/>
      <c r="C29" s="5"/>
    </row>
    <row r="30" spans="1:6" x14ac:dyDescent="0.35">
      <c r="A30" t="str">
        <f>IF(Input!A31="","",Input!A31)</f>
        <v>Enjoy Attenborough</v>
      </c>
      <c r="B30" s="7"/>
      <c r="C30" s="5"/>
    </row>
    <row r="31" spans="1:6" x14ac:dyDescent="0.35">
      <c r="A31" t="str">
        <f>IF(Input!A32="","",Input!A32)</f>
        <v>Grow Attenborough</v>
      </c>
      <c r="B31" s="7"/>
      <c r="C31" s="5"/>
    </row>
    <row r="32" spans="1:6" x14ac:dyDescent="0.35">
      <c r="A32" t="str">
        <f>IF(Input!A33="","",Input!A33)</f>
        <v>Passive Income</v>
      </c>
      <c r="B32" s="7"/>
      <c r="C32" s="5"/>
    </row>
    <row r="33" spans="1:3" x14ac:dyDescent="0.35">
      <c r="A33" t="str">
        <f>IF(Input!A34="","",Input!A34)</f>
        <v>Natural Income</v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/>
  </sheetViews>
  <sheetFormatPr defaultRowHeight="14.5" x14ac:dyDescent="0.35"/>
  <cols>
    <col min="1" max="1" width="40.1796875" bestFit="1" customWidth="1"/>
    <col min="2" max="2" width="18.08984375" bestFit="1" customWidth="1"/>
    <col min="3" max="3" width="21.26953125" bestFit="1" customWidth="1"/>
    <col min="4" max="4" width="16" bestFit="1" customWidth="1"/>
    <col min="5" max="5" width="7.1796875" bestFit="1" customWidth="1"/>
    <col min="6" max="6" width="17.08984375" bestFit="1" customWidth="1"/>
    <col min="7" max="7" width="15.54296875" bestFit="1" customWidth="1"/>
    <col min="8" max="8" width="13.1796875" bestFit="1" customWidth="1"/>
    <col min="9" max="9" width="10.08984375" bestFit="1" customWidth="1"/>
    <col min="10" max="10" width="18.36328125" bestFit="1" customWidth="1"/>
    <col min="11" max="11" width="22.453125" bestFit="1" customWidth="1"/>
    <col min="12" max="12" width="18.54296875" bestFit="1" customWidth="1"/>
    <col min="13" max="13" width="21.36328125" bestFit="1" customWidth="1"/>
    <col min="14" max="14" width="14.26953125" bestFit="1" customWidth="1"/>
    <col min="15" max="15" width="15.816406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74</v>
      </c>
      <c r="C1" t="s">
        <v>75</v>
      </c>
      <c r="D1" t="s">
        <v>76</v>
      </c>
      <c r="E1" t="s">
        <v>31</v>
      </c>
      <c r="F1" t="s">
        <v>4</v>
      </c>
      <c r="G1" t="s">
        <v>77</v>
      </c>
      <c r="H1" t="s">
        <v>78</v>
      </c>
      <c r="I1" t="s">
        <v>30</v>
      </c>
      <c r="J1" t="s">
        <v>79</v>
      </c>
      <c r="K1" t="s">
        <v>80</v>
      </c>
    </row>
    <row r="2" spans="1:30" x14ac:dyDescent="0.35">
      <c r="A2" t="str">
        <f>IF(Input!A3="","",Input!A3)</f>
        <v>Balanced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Cultivate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Endure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Flourish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Magnify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Mature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Preserve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Trust DFM Protect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Trust DFM Enjoy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Trust DFM Grow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Balanced Passive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Cultivate Passive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Endure Passive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Flourish Passive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Magnify Passive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>Mature Passsive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>Preserve Passive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>Protect Passive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>Enjoy Passive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>Grow Passive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>Balanced Attenborough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>Cultivate Attenborough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>Endure Attenborough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>Flourish Attenborough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>Magnify Attenborough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>Mature Passsive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>Preserve Attenborough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>Protect Attenborough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>Enjoy Attenborough</v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>Grow Attenborough</v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>Passive Income</v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>Natural Income</v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topLeftCell="B12" workbookViewId="0">
      <selection activeCell="D6" sqref="D6"/>
    </sheetView>
  </sheetViews>
  <sheetFormatPr defaultRowHeight="14.5" x14ac:dyDescent="0.35"/>
  <cols>
    <col min="1" max="1" width="19.6328125" bestFit="1" customWidth="1"/>
    <col min="2" max="2" width="53.81640625" bestFit="1" customWidth="1"/>
    <col min="3" max="3" width="15.1796875" bestFit="1" customWidth="1"/>
    <col min="4" max="4" width="70.7265625" style="8" bestFit="1" customWidth="1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Balanced</v>
      </c>
      <c r="B2" t="s">
        <v>45</v>
      </c>
      <c r="C2" t="s">
        <v>81</v>
      </c>
      <c r="D2" s="8" t="s">
        <v>85</v>
      </c>
      <c r="E2" t="s">
        <v>35</v>
      </c>
    </row>
    <row r="3" spans="1:5" x14ac:dyDescent="0.35">
      <c r="A3" t="str">
        <f>IF(Input!A4="","",Input!A4)</f>
        <v>Cultivate</v>
      </c>
      <c r="B3" t="s">
        <v>45</v>
      </c>
      <c r="C3" t="s">
        <v>81</v>
      </c>
      <c r="D3" s="8" t="s">
        <v>85</v>
      </c>
      <c r="E3" t="s">
        <v>35</v>
      </c>
    </row>
    <row r="4" spans="1:5" x14ac:dyDescent="0.35">
      <c r="A4" t="str">
        <f>IF(Input!A5="","",Input!A5)</f>
        <v>Endure</v>
      </c>
      <c r="B4" t="s">
        <v>45</v>
      </c>
      <c r="C4" t="s">
        <v>81</v>
      </c>
      <c r="D4" s="8" t="s">
        <v>85</v>
      </c>
      <c r="E4" t="s">
        <v>35</v>
      </c>
    </row>
    <row r="5" spans="1:5" x14ac:dyDescent="0.35">
      <c r="A5" t="str">
        <f>IF(Input!A6="","",Input!A6)</f>
        <v>Flourish</v>
      </c>
      <c r="B5" t="s">
        <v>45</v>
      </c>
      <c r="C5" t="s">
        <v>81</v>
      </c>
      <c r="D5" s="8" t="s">
        <v>85</v>
      </c>
      <c r="E5" t="s">
        <v>35</v>
      </c>
    </row>
    <row r="6" spans="1:5" x14ac:dyDescent="0.35">
      <c r="A6" t="str">
        <f>IF(Input!A7="","",Input!A7)</f>
        <v>Magnify</v>
      </c>
      <c r="B6" t="s">
        <v>45</v>
      </c>
      <c r="C6" t="s">
        <v>81</v>
      </c>
      <c r="D6" s="8" t="s">
        <v>85</v>
      </c>
      <c r="E6" t="s">
        <v>35</v>
      </c>
    </row>
    <row r="7" spans="1:5" x14ac:dyDescent="0.35">
      <c r="A7" t="str">
        <f>IF(Input!A8="","",Input!A8)</f>
        <v>Mature</v>
      </c>
      <c r="B7" t="s">
        <v>45</v>
      </c>
      <c r="C7" t="s">
        <v>81</v>
      </c>
      <c r="D7" s="8" t="s">
        <v>85</v>
      </c>
      <c r="E7" t="s">
        <v>35</v>
      </c>
    </row>
    <row r="8" spans="1:5" x14ac:dyDescent="0.35">
      <c r="A8" t="str">
        <f>IF(Input!A9="","",Input!A9)</f>
        <v>Preserve</v>
      </c>
      <c r="B8" t="s">
        <v>45</v>
      </c>
      <c r="C8" t="s">
        <v>81</v>
      </c>
      <c r="D8" s="8" t="s">
        <v>85</v>
      </c>
      <c r="E8" t="s">
        <v>35</v>
      </c>
    </row>
    <row r="9" spans="1:5" x14ac:dyDescent="0.35">
      <c r="A9" t="str">
        <f>IF(Input!A10="","",Input!A10)</f>
        <v>Trust DFM Protect</v>
      </c>
      <c r="B9" t="s">
        <v>45</v>
      </c>
      <c r="C9" t="s">
        <v>81</v>
      </c>
      <c r="D9" s="8" t="s">
        <v>85</v>
      </c>
      <c r="E9" t="s">
        <v>35</v>
      </c>
    </row>
    <row r="10" spans="1:5" x14ac:dyDescent="0.35">
      <c r="A10" t="str">
        <f>IF(Input!A11="","",Input!A11)</f>
        <v>Trust DFM Enjoy</v>
      </c>
      <c r="B10" t="s">
        <v>45</v>
      </c>
      <c r="C10" t="s">
        <v>81</v>
      </c>
      <c r="D10" s="8" t="s">
        <v>85</v>
      </c>
      <c r="E10" t="s">
        <v>35</v>
      </c>
    </row>
    <row r="11" spans="1:5" x14ac:dyDescent="0.35">
      <c r="A11" t="str">
        <f>IF(Input!A12="","",Input!A12)</f>
        <v>Trust DFM Grow</v>
      </c>
      <c r="B11" t="s">
        <v>45</v>
      </c>
      <c r="C11" t="s">
        <v>81</v>
      </c>
      <c r="D11" s="8" t="s">
        <v>85</v>
      </c>
      <c r="E11" t="s">
        <v>35</v>
      </c>
    </row>
    <row r="12" spans="1:5" x14ac:dyDescent="0.35">
      <c r="A12" t="str">
        <f>IF(Input!A13="","",Input!A13)</f>
        <v>Balanced Passive</v>
      </c>
      <c r="B12" t="s">
        <v>45</v>
      </c>
      <c r="C12" t="s">
        <v>82</v>
      </c>
      <c r="D12" s="8" t="s">
        <v>86</v>
      </c>
      <c r="E12" t="s">
        <v>57</v>
      </c>
    </row>
    <row r="13" spans="1:5" x14ac:dyDescent="0.35">
      <c r="A13" t="str">
        <f>IF(Input!A14="","",Input!A14)</f>
        <v>Cultivate Passive</v>
      </c>
      <c r="B13" t="s">
        <v>45</v>
      </c>
      <c r="C13" t="s">
        <v>82</v>
      </c>
      <c r="D13" s="8" t="s">
        <v>86</v>
      </c>
      <c r="E13" t="s">
        <v>57</v>
      </c>
    </row>
    <row r="14" spans="1:5" x14ac:dyDescent="0.35">
      <c r="A14" t="str">
        <f>IF(Input!A15="","",Input!A15)</f>
        <v>Endure Passive</v>
      </c>
      <c r="B14" t="s">
        <v>45</v>
      </c>
      <c r="C14" t="s">
        <v>82</v>
      </c>
      <c r="D14" s="8" t="s">
        <v>86</v>
      </c>
      <c r="E14" t="s">
        <v>57</v>
      </c>
    </row>
    <row r="15" spans="1:5" x14ac:dyDescent="0.35">
      <c r="A15" t="str">
        <f>IF(Input!A16="","",Input!A16)</f>
        <v>Flourish Passive</v>
      </c>
      <c r="B15" t="s">
        <v>45</v>
      </c>
      <c r="C15" t="s">
        <v>82</v>
      </c>
      <c r="D15" s="8" t="s">
        <v>86</v>
      </c>
      <c r="E15" t="s">
        <v>57</v>
      </c>
    </row>
    <row r="16" spans="1:5" x14ac:dyDescent="0.35">
      <c r="A16" t="str">
        <f>IF(Input!A17="","",Input!A17)</f>
        <v>Magnify Passive</v>
      </c>
      <c r="B16" t="s">
        <v>45</v>
      </c>
      <c r="C16" t="s">
        <v>82</v>
      </c>
      <c r="D16" s="8" t="s">
        <v>86</v>
      </c>
      <c r="E16" t="s">
        <v>57</v>
      </c>
    </row>
    <row r="17" spans="1:5" x14ac:dyDescent="0.35">
      <c r="A17" t="str">
        <f>IF(Input!A18="","",Input!A18)</f>
        <v>Mature Passsive</v>
      </c>
      <c r="B17" t="s">
        <v>45</v>
      </c>
      <c r="C17" t="s">
        <v>82</v>
      </c>
      <c r="D17" s="8" t="s">
        <v>86</v>
      </c>
      <c r="E17" t="s">
        <v>57</v>
      </c>
    </row>
    <row r="18" spans="1:5" x14ac:dyDescent="0.35">
      <c r="A18" t="str">
        <f>IF(Input!A19="","",Input!A19)</f>
        <v>Preserve Passive</v>
      </c>
      <c r="B18" t="s">
        <v>45</v>
      </c>
      <c r="C18" t="s">
        <v>82</v>
      </c>
      <c r="D18" s="8" t="s">
        <v>86</v>
      </c>
      <c r="E18" t="s">
        <v>57</v>
      </c>
    </row>
    <row r="19" spans="1:5" x14ac:dyDescent="0.35">
      <c r="A19" t="str">
        <f>IF(Input!A20="","",Input!A20)</f>
        <v>Protect Passive</v>
      </c>
      <c r="B19" t="s">
        <v>45</v>
      </c>
      <c r="C19" t="s">
        <v>82</v>
      </c>
      <c r="D19" s="8" t="s">
        <v>86</v>
      </c>
      <c r="E19" t="s">
        <v>57</v>
      </c>
    </row>
    <row r="20" spans="1:5" x14ac:dyDescent="0.35">
      <c r="A20" t="str">
        <f>IF(Input!A21="","",Input!A21)</f>
        <v>Enjoy Passive</v>
      </c>
      <c r="B20" t="s">
        <v>45</v>
      </c>
      <c r="C20" t="s">
        <v>82</v>
      </c>
      <c r="D20" s="8" t="s">
        <v>86</v>
      </c>
      <c r="E20" t="s">
        <v>57</v>
      </c>
    </row>
    <row r="21" spans="1:5" x14ac:dyDescent="0.35">
      <c r="A21" t="str">
        <f>IF(Input!A22="","",Input!A22)</f>
        <v>Grow Passive</v>
      </c>
      <c r="B21" t="s">
        <v>45</v>
      </c>
      <c r="C21" t="s">
        <v>82</v>
      </c>
      <c r="D21" s="8" t="s">
        <v>86</v>
      </c>
      <c r="E21" t="s">
        <v>57</v>
      </c>
    </row>
    <row r="22" spans="1:5" x14ac:dyDescent="0.35">
      <c r="A22" t="str">
        <f>IF(Input!A23="","",Input!A23)</f>
        <v>Balanced Attenborough</v>
      </c>
      <c r="B22" t="s">
        <v>45</v>
      </c>
      <c r="C22" t="s">
        <v>83</v>
      </c>
      <c r="D22" s="8" t="s">
        <v>87</v>
      </c>
      <c r="E22" t="s">
        <v>67</v>
      </c>
    </row>
    <row r="23" spans="1:5" x14ac:dyDescent="0.35">
      <c r="A23" t="str">
        <f>IF(Input!A24="","",Input!A24)</f>
        <v>Cultivate Attenborough</v>
      </c>
      <c r="B23" t="s">
        <v>45</v>
      </c>
      <c r="C23" t="s">
        <v>83</v>
      </c>
      <c r="D23" s="8" t="s">
        <v>87</v>
      </c>
      <c r="E23" t="s">
        <v>67</v>
      </c>
    </row>
    <row r="24" spans="1:5" x14ac:dyDescent="0.35">
      <c r="A24" t="str">
        <f>IF(Input!A25="","",Input!A25)</f>
        <v>Endure Attenborough</v>
      </c>
      <c r="B24" t="s">
        <v>45</v>
      </c>
      <c r="C24" t="s">
        <v>83</v>
      </c>
      <c r="D24" s="8" t="s">
        <v>87</v>
      </c>
      <c r="E24" t="s">
        <v>67</v>
      </c>
    </row>
    <row r="25" spans="1:5" x14ac:dyDescent="0.35">
      <c r="A25" t="str">
        <f>IF(Input!A26="","",Input!A26)</f>
        <v>Flourish Attenborough</v>
      </c>
      <c r="B25" t="s">
        <v>45</v>
      </c>
      <c r="C25" t="s">
        <v>83</v>
      </c>
      <c r="D25" s="8" t="s">
        <v>87</v>
      </c>
      <c r="E25" t="s">
        <v>67</v>
      </c>
    </row>
    <row r="26" spans="1:5" x14ac:dyDescent="0.35">
      <c r="A26" t="str">
        <f>IF(Input!A27="","",Input!A27)</f>
        <v>Magnify Attenborough</v>
      </c>
      <c r="B26" t="s">
        <v>45</v>
      </c>
      <c r="C26" t="s">
        <v>83</v>
      </c>
      <c r="D26" s="8" t="s">
        <v>87</v>
      </c>
      <c r="E26" t="s">
        <v>67</v>
      </c>
    </row>
    <row r="27" spans="1:5" x14ac:dyDescent="0.35">
      <c r="A27" t="str">
        <f>IF(Input!A28="","",Input!A28)</f>
        <v>Mature Passsive</v>
      </c>
      <c r="B27" t="s">
        <v>45</v>
      </c>
      <c r="C27" t="s">
        <v>83</v>
      </c>
      <c r="D27" s="8" t="s">
        <v>87</v>
      </c>
      <c r="E27" t="s">
        <v>67</v>
      </c>
    </row>
    <row r="28" spans="1:5" x14ac:dyDescent="0.35">
      <c r="A28" t="str">
        <f>IF(Input!A29="","",Input!A29)</f>
        <v>Preserve Attenborough</v>
      </c>
      <c r="B28" t="s">
        <v>45</v>
      </c>
      <c r="C28" t="s">
        <v>83</v>
      </c>
      <c r="D28" s="8" t="s">
        <v>87</v>
      </c>
      <c r="E28" t="s">
        <v>67</v>
      </c>
    </row>
    <row r="29" spans="1:5" x14ac:dyDescent="0.35">
      <c r="A29" t="str">
        <f>IF(Input!A30="","",Input!A30)</f>
        <v>Protect Attenborough</v>
      </c>
      <c r="B29" t="s">
        <v>45</v>
      </c>
      <c r="C29" t="s">
        <v>83</v>
      </c>
      <c r="D29" s="8" t="s">
        <v>87</v>
      </c>
      <c r="E29" t="s">
        <v>67</v>
      </c>
    </row>
    <row r="30" spans="1:5" x14ac:dyDescent="0.35">
      <c r="A30" t="str">
        <f>IF(Input!A31="","",Input!A31)</f>
        <v>Enjoy Attenborough</v>
      </c>
      <c r="B30" t="s">
        <v>45</v>
      </c>
      <c r="C30" t="s">
        <v>83</v>
      </c>
      <c r="D30" s="8" t="s">
        <v>87</v>
      </c>
      <c r="E30" t="s">
        <v>67</v>
      </c>
    </row>
    <row r="31" spans="1:5" x14ac:dyDescent="0.35">
      <c r="A31" t="str">
        <f>IF(Input!A32="","",Input!A32)</f>
        <v>Grow Attenborough</v>
      </c>
      <c r="B31" t="s">
        <v>45</v>
      </c>
      <c r="C31" t="s">
        <v>83</v>
      </c>
      <c r="D31" s="8" t="s">
        <v>87</v>
      </c>
      <c r="E31" t="s">
        <v>67</v>
      </c>
    </row>
    <row r="32" spans="1:5" x14ac:dyDescent="0.35">
      <c r="A32" t="str">
        <f>IF(Input!A33="","",Input!A33)</f>
        <v>Passive Income</v>
      </c>
      <c r="B32" t="s">
        <v>45</v>
      </c>
      <c r="C32" t="s">
        <v>84</v>
      </c>
      <c r="D32" s="8" t="s">
        <v>88</v>
      </c>
      <c r="E32" t="s">
        <v>68</v>
      </c>
    </row>
    <row r="33" spans="1:5" x14ac:dyDescent="0.35">
      <c r="A33" t="str">
        <f>IF(Input!A34="","",Input!A34)</f>
        <v>Natural Income</v>
      </c>
      <c r="B33" t="s">
        <v>45</v>
      </c>
      <c r="C33" t="s">
        <v>84</v>
      </c>
      <c r="D33" s="8" t="s">
        <v>88</v>
      </c>
      <c r="E33" t="s">
        <v>68</v>
      </c>
    </row>
    <row r="34" spans="1:5" x14ac:dyDescent="0.35">
      <c r="A34" t="str">
        <f>IF(Input!A35="","",Input!A35)</f>
        <v/>
      </c>
    </row>
    <row r="35" spans="1:5" x14ac:dyDescent="0.35">
      <c r="A35" t="str">
        <f>IF(Input!A36="","",Input!A36)</f>
        <v/>
      </c>
    </row>
    <row r="36" spans="1:5" x14ac:dyDescent="0.35">
      <c r="A36" t="str">
        <f>IF(Input!A37="","",Input!A37)</f>
        <v/>
      </c>
    </row>
    <row r="37" spans="1:5" x14ac:dyDescent="0.35">
      <c r="A37" t="str">
        <f>IF(Input!A38="","",Input!A38)</f>
        <v/>
      </c>
    </row>
    <row r="38" spans="1:5" x14ac:dyDescent="0.35">
      <c r="A38" t="str">
        <f>IF(Input!A39="","",Input!A39)</f>
        <v/>
      </c>
    </row>
    <row r="39" spans="1:5" x14ac:dyDescent="0.35">
      <c r="A39" t="str">
        <f>IF(Input!A40="","",Input!A40)</f>
        <v/>
      </c>
    </row>
    <row r="40" spans="1:5" x14ac:dyDescent="0.35">
      <c r="A40" t="str">
        <f>IF(Input!A41="","",Input!A41)</f>
        <v/>
      </c>
    </row>
    <row r="41" spans="1:5" x14ac:dyDescent="0.35">
      <c r="A41" t="str">
        <f>IF(Input!A42="","",Input!A42)</f>
        <v/>
      </c>
    </row>
    <row r="42" spans="1:5" x14ac:dyDescent="0.35">
      <c r="A42" t="str">
        <f>IF(Input!A43="","",Input!A43)</f>
        <v/>
      </c>
    </row>
    <row r="43" spans="1:5" x14ac:dyDescent="0.35">
      <c r="A43" t="str">
        <f>IF(Input!A44="","",Input!A44)</f>
        <v/>
      </c>
    </row>
    <row r="44" spans="1:5" x14ac:dyDescent="0.35">
      <c r="A44" t="str">
        <f>IF(Input!A45="","",Input!A45)</f>
        <v/>
      </c>
    </row>
    <row r="45" spans="1:5" x14ac:dyDescent="0.35">
      <c r="A45" t="str">
        <f>IF(Input!A46="","",Input!A46)</f>
        <v/>
      </c>
    </row>
    <row r="46" spans="1:5" x14ac:dyDescent="0.35">
      <c r="A46" t="str">
        <f>IF(Input!A47="","",Input!A47)</f>
        <v/>
      </c>
    </row>
    <row r="47" spans="1:5" x14ac:dyDescent="0.35">
      <c r="A47" t="str">
        <f>IF(Input!A48="","",Input!A48)</f>
        <v/>
      </c>
    </row>
    <row r="48" spans="1:5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Balanced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Cultivate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Endure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Flourish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Magnify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Mature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Preserve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Trust DFM Protect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Trust DFM Enjoy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Trust DFM Grow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Balanced Passive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Cultivate Passive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Endure Passive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>Flourish Passive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35">
      <c r="A16" t="str">
        <f>IF(Input!A17="","",Input!A17)</f>
        <v>Magnify Passive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35">
      <c r="A17" t="str">
        <f>IF(Input!A18="","",Input!A18)</f>
        <v>Mature Passsive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35">
      <c r="A18" t="str">
        <f>IF(Input!A19="","",Input!A19)</f>
        <v>Preserve Passive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35">
      <c r="A19" t="str">
        <f>IF(Input!A20="","",Input!A20)</f>
        <v>Protect Passive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35">
      <c r="A20" t="str">
        <f>IF(Input!A21="","",Input!A21)</f>
        <v>Enjoy Passive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35">
      <c r="A21" t="str">
        <f>IF(Input!A22="","",Input!A22)</f>
        <v>Grow Passive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35">
      <c r="A22" t="str">
        <f>IF(Input!A23="","",Input!A23)</f>
        <v>Balanced Attenborough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35">
      <c r="A23" t="str">
        <f>IF(Input!A24="","",Input!A24)</f>
        <v>Cultivate Attenborough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35">
      <c r="A24" t="str">
        <f>IF(Input!A25="","",Input!A25)</f>
        <v>Endure Attenborough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35">
      <c r="A25" t="str">
        <f>IF(Input!A26="","",Input!A26)</f>
        <v>Flourish Attenborough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35">
      <c r="A26" t="str">
        <f>IF(Input!A27="","",Input!A27)</f>
        <v>Magnify Attenborough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35">
      <c r="A27" t="str">
        <f>IF(Input!A28="","",Input!A28)</f>
        <v>Mature Passsive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35">
      <c r="A28" t="str">
        <f>IF(Input!A29="","",Input!A29)</f>
        <v>Preserve Attenborough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35">
      <c r="A29" t="str">
        <f>IF(Input!A30="","",Input!A30)</f>
        <v>Protect Attenborough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35">
      <c r="A30" t="str">
        <f>IF(Input!A31="","",Input!A31)</f>
        <v>Enjoy Attenborough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35">
      <c r="A31" t="str">
        <f>IF(Input!A32="","",Input!A32)</f>
        <v>Grow Attenborough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35">
      <c r="A32" t="str">
        <f>IF(Input!A33="","",Input!A33)</f>
        <v>Passive Income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35">
      <c r="A33" t="str">
        <f>IF(Input!A34="","",Input!A34)</f>
        <v>Natural Income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32</v>
      </c>
    </row>
    <row r="2" spans="1:5" x14ac:dyDescent="0.35">
      <c r="A2" t="str">
        <f>IF(Input!A3="","",Input!A3)</f>
        <v>Balanced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Cultivate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Endure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>Flourish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35">
      <c r="A6" t="str">
        <f>IF(Input!A7="","",Input!A7)</f>
        <v>Magnify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35">
      <c r="A7" t="str">
        <f>IF(Input!A8="","",Input!A8)</f>
        <v>Mature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35">
      <c r="A8" t="str">
        <f>IF(Input!A9="","",Input!A9)</f>
        <v>Preserve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35">
      <c r="A9" t="str">
        <f>IF(Input!A10="","",Input!A10)</f>
        <v>Trust DFM Protect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35">
      <c r="A10" t="str">
        <f>IF(Input!A11="","",Input!A11)</f>
        <v>Trust DFM Enjoy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35">
      <c r="A11" t="str">
        <f>IF(Input!A12="","",Input!A12)</f>
        <v>Trust DFM Grow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35">
      <c r="A12" t="str">
        <f>IF(Input!A13="","",Input!A13)</f>
        <v>Balanced Passive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35">
      <c r="A13" t="str">
        <f>IF(Input!A14="","",Input!A14)</f>
        <v>Cultivate Passive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35">
      <c r="A14" t="str">
        <f>IF(Input!A15="","",Input!A15)</f>
        <v>Endure Passive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35">
      <c r="A15" t="str">
        <f>IF(Input!A16="","",Input!A16)</f>
        <v>Flourish Passive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35">
      <c r="A16" t="str">
        <f>IF(Input!A17="","",Input!A17)</f>
        <v>Magnify Passive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35">
      <c r="A17" t="str">
        <f>IF(Input!A18="","",Input!A18)</f>
        <v>Mature Passsive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35">
      <c r="A18" t="str">
        <f>IF(Input!A19="","",Input!A19)</f>
        <v>Preserve Passive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35">
      <c r="A19" t="str">
        <f>IF(Input!A20="","",Input!A20)</f>
        <v>Protect Passive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35">
      <c r="A20" t="str">
        <f>IF(Input!A21="","",Input!A21)</f>
        <v>Enjoy Passive</v>
      </c>
      <c r="C20">
        <f>IF(A20="","",'Additional Information'!E20)</f>
        <v>0</v>
      </c>
      <c r="D20" s="5">
        <f>IF(A20="","",SUM('Additional Information'!C20,'Additional Information'!D20))</f>
        <v>0</v>
      </c>
      <c r="E20">
        <f>IF(A20="","",SUM('Additional Information'!C20))</f>
        <v>0</v>
      </c>
    </row>
    <row r="21" spans="1:5" x14ac:dyDescent="0.35">
      <c r="A21" t="str">
        <f>IF(Input!A22="","",Input!A22)</f>
        <v>Grow Passive</v>
      </c>
      <c r="C21">
        <f>IF(A21="","",'Additional Information'!E21)</f>
        <v>0</v>
      </c>
      <c r="D21" s="5">
        <f>IF(A21="","",SUM('Additional Information'!C21,'Additional Information'!D21))</f>
        <v>0</v>
      </c>
      <c r="E21">
        <f>IF(A21="","",SUM('Additional Information'!C21))</f>
        <v>0</v>
      </c>
    </row>
    <row r="22" spans="1:5" x14ac:dyDescent="0.35">
      <c r="A22" t="str">
        <f>IF(Input!A23="","",Input!A23)</f>
        <v>Balanced Attenborough</v>
      </c>
      <c r="C22">
        <f>IF(A22="","",'Additional Information'!E22)</f>
        <v>0</v>
      </c>
      <c r="D22" s="5">
        <f>IF(A22="","",SUM('Additional Information'!C22,'Additional Information'!D22))</f>
        <v>0</v>
      </c>
      <c r="E22">
        <f>IF(A22="","",SUM('Additional Information'!C22))</f>
        <v>0</v>
      </c>
    </row>
    <row r="23" spans="1:5" x14ac:dyDescent="0.35">
      <c r="A23" t="str">
        <f>IF(Input!A24="","",Input!A24)</f>
        <v>Cultivate Attenborough</v>
      </c>
      <c r="C23">
        <f>IF(A23="","",'Additional Information'!E23)</f>
        <v>0</v>
      </c>
      <c r="D23" s="5">
        <f>IF(A23="","",SUM('Additional Information'!C23,'Additional Information'!D23))</f>
        <v>0</v>
      </c>
      <c r="E23">
        <f>IF(A23="","",SUM('Additional Information'!C23))</f>
        <v>0</v>
      </c>
    </row>
    <row r="24" spans="1:5" x14ac:dyDescent="0.35">
      <c r="A24" t="str">
        <f>IF(Input!A25="","",Input!A25)</f>
        <v>Endure Attenborough</v>
      </c>
      <c r="C24">
        <f>IF(A24="","",'Additional Information'!E24)</f>
        <v>0</v>
      </c>
      <c r="D24" s="5">
        <f>IF(A24="","",SUM('Additional Information'!C24,'Additional Information'!D24))</f>
        <v>0</v>
      </c>
      <c r="E24">
        <f>IF(A24="","",SUM('Additional Information'!C24))</f>
        <v>0</v>
      </c>
    </row>
    <row r="25" spans="1:5" x14ac:dyDescent="0.35">
      <c r="A25" t="str">
        <f>IF(Input!A26="","",Input!A26)</f>
        <v>Flourish Attenborough</v>
      </c>
      <c r="C25">
        <f>IF(A25="","",'Additional Information'!E25)</f>
        <v>0</v>
      </c>
      <c r="D25" s="5">
        <f>IF(A25="","",SUM('Additional Information'!C25,'Additional Information'!D25))</f>
        <v>0</v>
      </c>
      <c r="E25">
        <f>IF(A25="","",SUM('Additional Information'!C25))</f>
        <v>0</v>
      </c>
    </row>
    <row r="26" spans="1:5" x14ac:dyDescent="0.35">
      <c r="A26" t="str">
        <f>IF(Input!A27="","",Input!A27)</f>
        <v>Magnify Attenborough</v>
      </c>
      <c r="C26">
        <f>IF(A26="","",'Additional Information'!E26)</f>
        <v>0</v>
      </c>
      <c r="D26" s="5">
        <f>IF(A26="","",SUM('Additional Information'!C26,'Additional Information'!D26))</f>
        <v>0</v>
      </c>
      <c r="E26">
        <f>IF(A26="","",SUM('Additional Information'!C26))</f>
        <v>0</v>
      </c>
    </row>
    <row r="27" spans="1:5" x14ac:dyDescent="0.35">
      <c r="A27" t="str">
        <f>IF(Input!A28="","",Input!A28)</f>
        <v>Mature Passsive</v>
      </c>
      <c r="C27">
        <f>IF(A27="","",'Additional Information'!E27)</f>
        <v>0</v>
      </c>
      <c r="D27" s="5">
        <f>IF(A27="","",SUM('Additional Information'!C27,'Additional Information'!D27))</f>
        <v>0</v>
      </c>
      <c r="E27">
        <f>IF(A27="","",SUM('Additional Information'!C27))</f>
        <v>0</v>
      </c>
    </row>
    <row r="28" spans="1:5" x14ac:dyDescent="0.35">
      <c r="A28" t="str">
        <f>IF(Input!A29="","",Input!A29)</f>
        <v>Preserve Attenborough</v>
      </c>
      <c r="C28">
        <f>IF(A28="","",'Additional Information'!E28)</f>
        <v>0</v>
      </c>
      <c r="D28" s="5">
        <f>IF(A28="","",SUM('Additional Information'!C28,'Additional Information'!D28))</f>
        <v>0</v>
      </c>
      <c r="E28">
        <f>IF(A28="","",SUM('Additional Information'!C28))</f>
        <v>0</v>
      </c>
    </row>
    <row r="29" spans="1:5" x14ac:dyDescent="0.35">
      <c r="A29" t="str">
        <f>IF(Input!A30="","",Input!A30)</f>
        <v>Protect Attenborough</v>
      </c>
      <c r="C29">
        <f>IF(A29="","",'Additional Information'!E29)</f>
        <v>0</v>
      </c>
      <c r="D29" s="5">
        <f>IF(A29="","",SUM('Additional Information'!C29,'Additional Information'!D29))</f>
        <v>0</v>
      </c>
      <c r="E29">
        <f>IF(A29="","",SUM('Additional Information'!C29))</f>
        <v>0</v>
      </c>
    </row>
    <row r="30" spans="1:5" x14ac:dyDescent="0.35">
      <c r="A30" t="str">
        <f>IF(Input!A31="","",Input!A31)</f>
        <v>Enjoy Attenborough</v>
      </c>
      <c r="C30">
        <f>IF(A30="","",'Additional Information'!E30)</f>
        <v>0</v>
      </c>
      <c r="D30" s="5">
        <f>IF(A30="","",SUM('Additional Information'!C30,'Additional Information'!D30))</f>
        <v>0</v>
      </c>
      <c r="E30">
        <f>IF(A30="","",SUM('Additional Information'!C30))</f>
        <v>0</v>
      </c>
    </row>
    <row r="31" spans="1:5" x14ac:dyDescent="0.35">
      <c r="A31" t="str">
        <f>IF(Input!A32="","",Input!A32)</f>
        <v>Grow Attenborough</v>
      </c>
      <c r="C31">
        <f>IF(A31="","",'Additional Information'!E31)</f>
        <v>0</v>
      </c>
      <c r="D31" s="5">
        <f>IF(A31="","",SUM('Additional Information'!C31,'Additional Information'!D31))</f>
        <v>0</v>
      </c>
      <c r="E31">
        <f>IF(A31="","",SUM('Additional Information'!C31))</f>
        <v>0</v>
      </c>
    </row>
    <row r="32" spans="1:5" x14ac:dyDescent="0.35">
      <c r="A32" t="str">
        <f>IF(Input!A33="","",Input!A33)</f>
        <v>Passive Income</v>
      </c>
      <c r="C32">
        <f>IF(A32="","",'Additional Information'!E32)</f>
        <v>0</v>
      </c>
      <c r="D32" s="5">
        <f>IF(A32="","",SUM('Additional Information'!C32,'Additional Information'!D32))</f>
        <v>0</v>
      </c>
      <c r="E32">
        <f>IF(A32="","",SUM('Additional Information'!C32))</f>
        <v>0</v>
      </c>
    </row>
    <row r="33" spans="1:5" x14ac:dyDescent="0.35">
      <c r="A33" t="str">
        <f>IF(Input!A34="","",Input!A34)</f>
        <v>Natural Income</v>
      </c>
      <c r="C33">
        <f>IF(A33="","",'Additional Information'!E33)</f>
        <v>0</v>
      </c>
      <c r="D33" s="5">
        <f>IF(A33="","",SUM('Additional Information'!C33,'Additional Information'!D33))</f>
        <v>0</v>
      </c>
      <c r="E33">
        <f>IF(A33="","",SUM('Additional Information'!C33))</f>
        <v>0</v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Balanced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Cultivate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35">
      <c r="A4" t="str">
        <f>IF(Input!A5="","",Input!A5)</f>
        <v>Endure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35">
      <c r="A5" t="str">
        <f>IF(Input!A6="","",Input!A6)</f>
        <v>Flourish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35">
      <c r="A6" t="str">
        <f>IF(Input!A7="","",Input!A7)</f>
        <v>Magnify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35">
      <c r="A7" t="str">
        <f>IF(Input!A8="","",Input!A8)</f>
        <v>Mature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35">
      <c r="A8" t="str">
        <f>IF(Input!A9="","",Input!A9)</f>
        <v>Preserve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35">
      <c r="A9" t="str">
        <f>IF(Input!A10="","",Input!A10)</f>
        <v>Trust DFM Protect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35">
      <c r="A10" t="str">
        <f>IF(Input!A11="","",Input!A11)</f>
        <v>Trust DFM Enjoy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35">
      <c r="A11" t="str">
        <f>IF(Input!A12="","",Input!A12)</f>
        <v>Trust DFM Grow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35">
      <c r="A12" t="str">
        <f>IF(Input!A13="","",Input!A13)</f>
        <v>Balanced Passive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35">
      <c r="A13" t="str">
        <f>IF(Input!A14="","",Input!A14)</f>
        <v>Cultivate Passive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35">
      <c r="A14" t="str">
        <f>IF(Input!A15="","",Input!A15)</f>
        <v>Endure Passive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35">
      <c r="A15" t="str">
        <f>IF(Input!A16="","",Input!A16)</f>
        <v>Flourish Passive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35">
      <c r="A16" t="str">
        <f>IF(Input!A17="","",Input!A17)</f>
        <v>Magnify Passive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35">
      <c r="A17" t="str">
        <f>IF(Input!A18="","",Input!A18)</f>
        <v>Mature Passsive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35">
      <c r="A18" t="str">
        <f>IF(Input!A19="","",Input!A19)</f>
        <v>Preserve Passive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35">
      <c r="A19" t="str">
        <f>IF(Input!A20="","",Input!A20)</f>
        <v>Protect Passive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35">
      <c r="A20" t="str">
        <f>IF(Input!A21="","",Input!A21)</f>
        <v>Enjoy Passive</v>
      </c>
      <c r="B20">
        <f>IF(A20="","",SUM('Asset Allocation'!C20,'Asset Allocation'!D20,'Asset Allocation'!F20,'Asset Allocation'!G20,'Asset Allocation'!I20,'Asset Allocation'!K20,'Asset Allocation'!O20,'Asset Allocation'!L20))</f>
        <v>0</v>
      </c>
      <c r="C20">
        <f>IF(A20="","",SUM('Asset Allocation'!B20,'Asset Allocation'!E20,'Asset Allocation'!J20,'Asset Allocation'!N20))</f>
        <v>0</v>
      </c>
      <c r="F20">
        <f>IF(A20="","",SUM('Asset Allocation'!M20))</f>
        <v>0</v>
      </c>
      <c r="G20">
        <f>IF(A20="","",SUM('Asset Allocation'!H20))</f>
        <v>0</v>
      </c>
      <c r="H20">
        <f t="shared" si="0"/>
        <v>1</v>
      </c>
    </row>
    <row r="21" spans="1:8" x14ac:dyDescent="0.35">
      <c r="A21" t="str">
        <f>IF(Input!A22="","",Input!A22)</f>
        <v>Grow Passive</v>
      </c>
      <c r="B21">
        <f>IF(A21="","",SUM('Asset Allocation'!C21,'Asset Allocation'!D21,'Asset Allocation'!F21,'Asset Allocation'!G21,'Asset Allocation'!I21,'Asset Allocation'!K21,'Asset Allocation'!O21,'Asset Allocation'!L21))</f>
        <v>0</v>
      </c>
      <c r="C21">
        <f>IF(A21="","",SUM('Asset Allocation'!B21,'Asset Allocation'!E21,'Asset Allocation'!J21,'Asset Allocation'!N21))</f>
        <v>0</v>
      </c>
      <c r="F21">
        <f>IF(A21="","",SUM('Asset Allocation'!M21))</f>
        <v>0</v>
      </c>
      <c r="G21">
        <f>IF(A21="","",SUM('Asset Allocation'!H21))</f>
        <v>0</v>
      </c>
      <c r="H21">
        <f t="shared" si="0"/>
        <v>1</v>
      </c>
    </row>
    <row r="22" spans="1:8" x14ac:dyDescent="0.35">
      <c r="A22" t="str">
        <f>IF(Input!A23="","",Input!A23)</f>
        <v>Balanced Attenborough</v>
      </c>
      <c r="B22">
        <f>IF(A22="","",SUM('Asset Allocation'!C22,'Asset Allocation'!D22,'Asset Allocation'!F22,'Asset Allocation'!G22,'Asset Allocation'!I22,'Asset Allocation'!K22,'Asset Allocation'!O22,'Asset Allocation'!L22))</f>
        <v>0</v>
      </c>
      <c r="C22">
        <f>IF(A22="","",SUM('Asset Allocation'!B22,'Asset Allocation'!E22,'Asset Allocation'!J22,'Asset Allocation'!N22))</f>
        <v>0</v>
      </c>
      <c r="F22">
        <f>IF(A22="","",SUM('Asset Allocation'!M22))</f>
        <v>0</v>
      </c>
      <c r="G22">
        <f>IF(A22="","",SUM('Asset Allocation'!H22))</f>
        <v>0</v>
      </c>
      <c r="H22">
        <f t="shared" si="0"/>
        <v>1</v>
      </c>
    </row>
    <row r="23" spans="1:8" x14ac:dyDescent="0.35">
      <c r="A23" t="str">
        <f>IF(Input!A24="","",Input!A24)</f>
        <v>Cultivate Attenborough</v>
      </c>
      <c r="B23">
        <f>IF(A23="","",SUM('Asset Allocation'!C23,'Asset Allocation'!D23,'Asset Allocation'!F23,'Asset Allocation'!G23,'Asset Allocation'!I23,'Asset Allocation'!K23,'Asset Allocation'!O23,'Asset Allocation'!L23))</f>
        <v>0</v>
      </c>
      <c r="C23">
        <f>IF(A23="","",SUM('Asset Allocation'!B23,'Asset Allocation'!E23,'Asset Allocation'!J23,'Asset Allocation'!N23))</f>
        <v>0</v>
      </c>
      <c r="F23">
        <f>IF(A23="","",SUM('Asset Allocation'!M23))</f>
        <v>0</v>
      </c>
      <c r="G23">
        <f>IF(A23="","",SUM('Asset Allocation'!H23))</f>
        <v>0</v>
      </c>
      <c r="H23">
        <f t="shared" si="0"/>
        <v>1</v>
      </c>
    </row>
    <row r="24" spans="1:8" x14ac:dyDescent="0.35">
      <c r="A24" t="str">
        <f>IF(Input!A25="","",Input!A25)</f>
        <v>Endure Attenborough</v>
      </c>
      <c r="B24">
        <f>IF(A24="","",SUM('Asset Allocation'!C24,'Asset Allocation'!D24,'Asset Allocation'!F24,'Asset Allocation'!G24,'Asset Allocation'!I24,'Asset Allocation'!K24,'Asset Allocation'!O24,'Asset Allocation'!L24))</f>
        <v>0</v>
      </c>
      <c r="C24">
        <f>IF(A24="","",SUM('Asset Allocation'!B24,'Asset Allocation'!E24,'Asset Allocation'!J24,'Asset Allocation'!N24))</f>
        <v>0</v>
      </c>
      <c r="F24">
        <f>IF(A24="","",SUM('Asset Allocation'!M24))</f>
        <v>0</v>
      </c>
      <c r="G24">
        <f>IF(A24="","",SUM('Asset Allocation'!H24))</f>
        <v>0</v>
      </c>
      <c r="H24">
        <f t="shared" si="0"/>
        <v>1</v>
      </c>
    </row>
    <row r="25" spans="1:8" x14ac:dyDescent="0.35">
      <c r="A25" t="str">
        <f>IF(Input!A26="","",Input!A26)</f>
        <v>Flourish Attenborough</v>
      </c>
      <c r="B25">
        <f>IF(A25="","",SUM('Asset Allocation'!C25,'Asset Allocation'!D25,'Asset Allocation'!F25,'Asset Allocation'!G25,'Asset Allocation'!I25,'Asset Allocation'!K25,'Asset Allocation'!O25,'Asset Allocation'!L25))</f>
        <v>0</v>
      </c>
      <c r="C25">
        <f>IF(A25="","",SUM('Asset Allocation'!B25,'Asset Allocation'!E25,'Asset Allocation'!J25,'Asset Allocation'!N25))</f>
        <v>0</v>
      </c>
      <c r="F25">
        <f>IF(A25="","",SUM('Asset Allocation'!M25))</f>
        <v>0</v>
      </c>
      <c r="G25">
        <f>IF(A25="","",SUM('Asset Allocation'!H25))</f>
        <v>0</v>
      </c>
      <c r="H25">
        <f t="shared" si="0"/>
        <v>1</v>
      </c>
    </row>
    <row r="26" spans="1:8" x14ac:dyDescent="0.35">
      <c r="A26" t="str">
        <f>IF(Input!A27="","",Input!A27)</f>
        <v>Magnify Attenborough</v>
      </c>
      <c r="B26">
        <f>IF(A26="","",SUM('Asset Allocation'!C26,'Asset Allocation'!D26,'Asset Allocation'!F26,'Asset Allocation'!G26,'Asset Allocation'!I26,'Asset Allocation'!K26,'Asset Allocation'!O26,'Asset Allocation'!L26))</f>
        <v>0</v>
      </c>
      <c r="C26">
        <f>IF(A26="","",SUM('Asset Allocation'!B26,'Asset Allocation'!E26,'Asset Allocation'!J26,'Asset Allocation'!N26))</f>
        <v>0</v>
      </c>
      <c r="F26">
        <f>IF(A26="","",SUM('Asset Allocation'!M26))</f>
        <v>0</v>
      </c>
      <c r="G26">
        <f>IF(A26="","",SUM('Asset Allocation'!H26))</f>
        <v>0</v>
      </c>
      <c r="H26">
        <f t="shared" si="0"/>
        <v>1</v>
      </c>
    </row>
    <row r="27" spans="1:8" x14ac:dyDescent="0.35">
      <c r="A27" t="str">
        <f>IF(Input!A28="","",Input!A28)</f>
        <v>Mature Passsive</v>
      </c>
      <c r="B27">
        <f>IF(A27="","",SUM('Asset Allocation'!C27,'Asset Allocation'!D27,'Asset Allocation'!F27,'Asset Allocation'!G27,'Asset Allocation'!I27,'Asset Allocation'!K27,'Asset Allocation'!O27,'Asset Allocation'!L27))</f>
        <v>0</v>
      </c>
      <c r="C27">
        <f>IF(A27="","",SUM('Asset Allocation'!B27,'Asset Allocation'!E27,'Asset Allocation'!J27,'Asset Allocation'!N27))</f>
        <v>0</v>
      </c>
      <c r="F27">
        <f>IF(A27="","",SUM('Asset Allocation'!M27))</f>
        <v>0</v>
      </c>
      <c r="G27">
        <f>IF(A27="","",SUM('Asset Allocation'!H27))</f>
        <v>0</v>
      </c>
      <c r="H27">
        <f t="shared" si="0"/>
        <v>1</v>
      </c>
    </row>
    <row r="28" spans="1:8" x14ac:dyDescent="0.35">
      <c r="A28" t="str">
        <f>IF(Input!A29="","",Input!A29)</f>
        <v>Preserve Attenborough</v>
      </c>
      <c r="B28">
        <f>IF(A28="","",SUM('Asset Allocation'!C28,'Asset Allocation'!D28,'Asset Allocation'!F28,'Asset Allocation'!G28,'Asset Allocation'!I28,'Asset Allocation'!K28,'Asset Allocation'!O28,'Asset Allocation'!L28))</f>
        <v>0</v>
      </c>
      <c r="C28">
        <f>IF(A28="","",SUM('Asset Allocation'!B28,'Asset Allocation'!E28,'Asset Allocation'!J28,'Asset Allocation'!N28))</f>
        <v>0</v>
      </c>
      <c r="F28">
        <f>IF(A28="","",SUM('Asset Allocation'!M28))</f>
        <v>0</v>
      </c>
      <c r="G28">
        <f>IF(A28="","",SUM('Asset Allocation'!H28))</f>
        <v>0</v>
      </c>
      <c r="H28">
        <f t="shared" si="0"/>
        <v>1</v>
      </c>
    </row>
    <row r="29" spans="1:8" x14ac:dyDescent="0.35">
      <c r="A29" t="str">
        <f>IF(Input!A30="","",Input!A30)</f>
        <v>Protect Attenborough</v>
      </c>
      <c r="B29">
        <f>IF(A29="","",SUM('Asset Allocation'!C29,'Asset Allocation'!D29,'Asset Allocation'!F29,'Asset Allocation'!G29,'Asset Allocation'!I29,'Asset Allocation'!K29,'Asset Allocation'!O29,'Asset Allocation'!L29))</f>
        <v>0</v>
      </c>
      <c r="C29">
        <f>IF(A29="","",SUM('Asset Allocation'!B29,'Asset Allocation'!E29,'Asset Allocation'!J29,'Asset Allocation'!N29))</f>
        <v>0</v>
      </c>
      <c r="F29">
        <f>IF(A29="","",SUM('Asset Allocation'!M29))</f>
        <v>0</v>
      </c>
      <c r="G29">
        <f>IF(A29="","",SUM('Asset Allocation'!H29))</f>
        <v>0</v>
      </c>
      <c r="H29">
        <f t="shared" si="0"/>
        <v>1</v>
      </c>
    </row>
    <row r="30" spans="1:8" x14ac:dyDescent="0.35">
      <c r="A30" t="str">
        <f>IF(Input!A31="","",Input!A31)</f>
        <v>Enjoy Attenborough</v>
      </c>
      <c r="B30">
        <f>IF(A30="","",SUM('Asset Allocation'!C30,'Asset Allocation'!D30,'Asset Allocation'!F30,'Asset Allocation'!G30,'Asset Allocation'!I30,'Asset Allocation'!K30,'Asset Allocation'!O30,'Asset Allocation'!L30))</f>
        <v>0</v>
      </c>
      <c r="C30">
        <f>IF(A30="","",SUM('Asset Allocation'!B30,'Asset Allocation'!E30,'Asset Allocation'!J30,'Asset Allocation'!N30))</f>
        <v>0</v>
      </c>
      <c r="F30">
        <f>IF(A30="","",SUM('Asset Allocation'!M30))</f>
        <v>0</v>
      </c>
      <c r="G30">
        <f>IF(A30="","",SUM('Asset Allocation'!H30))</f>
        <v>0</v>
      </c>
      <c r="H30">
        <f t="shared" si="0"/>
        <v>1</v>
      </c>
    </row>
    <row r="31" spans="1:8" x14ac:dyDescent="0.35">
      <c r="A31" t="str">
        <f>IF(Input!A32="","",Input!A32)</f>
        <v>Grow Attenborough</v>
      </c>
      <c r="B31">
        <f>IF(A31="","",SUM('Asset Allocation'!C31,'Asset Allocation'!D31,'Asset Allocation'!F31,'Asset Allocation'!G31,'Asset Allocation'!I31,'Asset Allocation'!K31,'Asset Allocation'!O31,'Asset Allocation'!L31))</f>
        <v>0</v>
      </c>
      <c r="C31">
        <f>IF(A31="","",SUM('Asset Allocation'!B31,'Asset Allocation'!E31,'Asset Allocation'!J31,'Asset Allocation'!N31))</f>
        <v>0</v>
      </c>
      <c r="F31">
        <f>IF(A31="","",SUM('Asset Allocation'!M31))</f>
        <v>0</v>
      </c>
      <c r="G31">
        <f>IF(A31="","",SUM('Asset Allocation'!H31))</f>
        <v>0</v>
      </c>
      <c r="H31">
        <f t="shared" si="0"/>
        <v>1</v>
      </c>
    </row>
    <row r="32" spans="1:8" x14ac:dyDescent="0.35">
      <c r="A32" t="str">
        <f>IF(Input!A33="","",Input!A33)</f>
        <v>Passive Income</v>
      </c>
      <c r="B32">
        <f>IF(A32="","",SUM('Asset Allocation'!C32,'Asset Allocation'!D32,'Asset Allocation'!F32,'Asset Allocation'!G32,'Asset Allocation'!I32,'Asset Allocation'!K32,'Asset Allocation'!O32,'Asset Allocation'!L32))</f>
        <v>0</v>
      </c>
      <c r="C32">
        <f>IF(A32="","",SUM('Asset Allocation'!B32,'Asset Allocation'!E32,'Asset Allocation'!J32,'Asset Allocation'!N32))</f>
        <v>0</v>
      </c>
      <c r="F32">
        <f>IF(A32="","",SUM('Asset Allocation'!M32))</f>
        <v>0</v>
      </c>
      <c r="G32">
        <f>IF(A32="","",SUM('Asset Allocation'!H32))</f>
        <v>0</v>
      </c>
      <c r="H32">
        <f t="shared" si="0"/>
        <v>1</v>
      </c>
    </row>
    <row r="33" spans="1:8" x14ac:dyDescent="0.35">
      <c r="A33" t="str">
        <f>IF(Input!A34="","",Input!A34)</f>
        <v>Natural Income</v>
      </c>
      <c r="B33">
        <f>IF(A33="","",SUM('Asset Allocation'!C33,'Asset Allocation'!D33,'Asset Allocation'!F33,'Asset Allocation'!G33,'Asset Allocation'!I33,'Asset Allocation'!K33,'Asset Allocation'!O33,'Asset Allocation'!L33))</f>
        <v>0</v>
      </c>
      <c r="C33">
        <f>IF(A33="","",SUM('Asset Allocation'!B33,'Asset Allocation'!E33,'Asset Allocation'!J33,'Asset Allocation'!N33))</f>
        <v>0</v>
      </c>
      <c r="F33">
        <f>IF(A33="","",SUM('Asset Allocation'!M33))</f>
        <v>0</v>
      </c>
      <c r="G33">
        <f>IF(A33="","",SUM('Asset Allocation'!H33))</f>
        <v>0</v>
      </c>
      <c r="H33">
        <f t="shared" si="0"/>
        <v>1</v>
      </c>
    </row>
    <row r="34" spans="1:8" x14ac:dyDescent="0.3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Balanced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35">
      <c r="A3" t="str">
        <f>IF(Input!A4="","",Input!A4)</f>
        <v>Cultivate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35">
      <c r="A4" t="str">
        <f>IF(Input!A5="","",Input!A5)</f>
        <v>Endure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35">
      <c r="A5" t="str">
        <f>IF(Input!A6="","",Input!A6)</f>
        <v>Flourish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35">
      <c r="A6" t="str">
        <f>IF(Input!A7="","",Input!A7)</f>
        <v>Magnify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35">
      <c r="A7" t="str">
        <f>IF(Input!A8="","",Input!A8)</f>
        <v>Mature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35">
      <c r="A8" t="str">
        <f>IF(Input!A9="","",Input!A9)</f>
        <v>Preserve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35">
      <c r="A9" t="str">
        <f>IF(Input!A10="","",Input!A10)</f>
        <v>Trust DFM Protect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35">
      <c r="A10" t="str">
        <f>IF(Input!A11="","",Input!A11)</f>
        <v>Trust DFM Enjoy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35">
      <c r="A11" t="str">
        <f>IF(Input!A12="","",Input!A12)</f>
        <v>Trust DFM Grow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35">
      <c r="A12" t="str">
        <f>IF(Input!A13="","",Input!A13)</f>
        <v>Balanced Passive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35">
      <c r="A13" t="str">
        <f>IF(Input!A14="","",Input!A14)</f>
        <v>Cultivate Passive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35">
      <c r="A14" t="str">
        <f>IF(Input!A15="","",Input!A15)</f>
        <v>Endure Passive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35">
      <c r="A15" t="str">
        <f>IF(Input!A16="","",Input!A16)</f>
        <v>Flourish Passive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35">
      <c r="A16" t="str">
        <f>IF(Input!A17="","",Input!A17)</f>
        <v>Magnify Passive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35">
      <c r="A17" t="str">
        <f>IF(Input!A18="","",Input!A18)</f>
        <v>Mature Passsive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35">
      <c r="A18" t="str">
        <f>IF(Input!A19="","",Input!A19)</f>
        <v>Preserve Passive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35">
      <c r="A19" t="str">
        <f>IF(Input!A20="","",Input!A20)</f>
        <v>Protect Passive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35">
      <c r="A20" t="str">
        <f>IF(Input!A21="","",Input!A21)</f>
        <v>Enjoy Passive</v>
      </c>
      <c r="B20" s="6">
        <f>IFERROR(IF(A20="","",SUM('Asset Allocation'!C20)/'Broad Asset Allocation'!B20),0)</f>
        <v>0</v>
      </c>
      <c r="C20" s="6">
        <f>IFERROR(IF(A20="","",SUM('Asset Allocation'!I20)/'Broad Asset Allocation'!B20),0)</f>
        <v>0</v>
      </c>
      <c r="D20" s="6">
        <f>IFERROR(IF(A20="","",SUM('Asset Allocation'!D20)/'Broad Asset Allocation'!B20),0)</f>
        <v>0</v>
      </c>
      <c r="E20" s="6">
        <f>IFERROR(IF(A20="","",SUM('Asset Allocation'!G20)/'Broad Asset Allocation'!B20),0)</f>
        <v>0</v>
      </c>
      <c r="F20" s="6">
        <f>IFERROR(IF(A20="","",SUM('Asset Allocation'!F20)/'Broad Asset Allocation'!B20),0)</f>
        <v>0</v>
      </c>
      <c r="G20" s="6">
        <f>IFERROR(IF(A20="","",SUM('Asset Allocation'!K20,'Asset Allocation'!O20)/'Broad Asset Allocation'!B20),0)</f>
        <v>0</v>
      </c>
      <c r="H20" s="6">
        <f>IFERROR(IF(A20="","",SUM('Asset Allocation'!L20)/'Broad Asset Allocation'!B20),0)</f>
        <v>0</v>
      </c>
    </row>
    <row r="21" spans="1:8" x14ac:dyDescent="0.35">
      <c r="A21" t="str">
        <f>IF(Input!A22="","",Input!A22)</f>
        <v>Grow Passive</v>
      </c>
      <c r="B21" s="6">
        <f>IFERROR(IF(A21="","",SUM('Asset Allocation'!C21)/'Broad Asset Allocation'!B21),0)</f>
        <v>0</v>
      </c>
      <c r="C21" s="6">
        <f>IFERROR(IF(A21="","",SUM('Asset Allocation'!I21)/'Broad Asset Allocation'!B21),0)</f>
        <v>0</v>
      </c>
      <c r="D21" s="6">
        <f>IFERROR(IF(A21="","",SUM('Asset Allocation'!D21)/'Broad Asset Allocation'!B21),0)</f>
        <v>0</v>
      </c>
      <c r="E21" s="6">
        <f>IFERROR(IF(A21="","",SUM('Asset Allocation'!G21)/'Broad Asset Allocation'!B21),0)</f>
        <v>0</v>
      </c>
      <c r="F21" s="6">
        <f>IFERROR(IF(A21="","",SUM('Asset Allocation'!F21)/'Broad Asset Allocation'!B21),0)</f>
        <v>0</v>
      </c>
      <c r="G21" s="6">
        <f>IFERROR(IF(A21="","",SUM('Asset Allocation'!K21,'Asset Allocation'!O21)/'Broad Asset Allocation'!B21),0)</f>
        <v>0</v>
      </c>
      <c r="H21" s="6">
        <f>IFERROR(IF(A21="","",SUM('Asset Allocation'!L21)/'Broad Asset Allocation'!B21),0)</f>
        <v>0</v>
      </c>
    </row>
    <row r="22" spans="1:8" x14ac:dyDescent="0.35">
      <c r="A22" t="str">
        <f>IF(Input!A23="","",Input!A23)</f>
        <v>Balanced Attenborough</v>
      </c>
      <c r="B22" s="6">
        <f>IFERROR(IF(A22="","",SUM('Asset Allocation'!C22)/'Broad Asset Allocation'!B22),0)</f>
        <v>0</v>
      </c>
      <c r="C22" s="6">
        <f>IFERROR(IF(A22="","",SUM('Asset Allocation'!I22)/'Broad Asset Allocation'!B22),0)</f>
        <v>0</v>
      </c>
      <c r="D22" s="6">
        <f>IFERROR(IF(A22="","",SUM('Asset Allocation'!D22)/'Broad Asset Allocation'!B22),0)</f>
        <v>0</v>
      </c>
      <c r="E22" s="6">
        <f>IFERROR(IF(A22="","",SUM('Asset Allocation'!G22)/'Broad Asset Allocation'!B22),0)</f>
        <v>0</v>
      </c>
      <c r="F22" s="6">
        <f>IFERROR(IF(A22="","",SUM('Asset Allocation'!F22)/'Broad Asset Allocation'!B22),0)</f>
        <v>0</v>
      </c>
      <c r="G22" s="6">
        <f>IFERROR(IF(A22="","",SUM('Asset Allocation'!K22,'Asset Allocation'!O22)/'Broad Asset Allocation'!B22),0)</f>
        <v>0</v>
      </c>
      <c r="H22" s="6">
        <f>IFERROR(IF(A22="","",SUM('Asset Allocation'!L22)/'Broad Asset Allocation'!B22),0)</f>
        <v>0</v>
      </c>
    </row>
    <row r="23" spans="1:8" x14ac:dyDescent="0.35">
      <c r="A23" t="str">
        <f>IF(Input!A24="","",Input!A24)</f>
        <v>Cultivate Attenborough</v>
      </c>
      <c r="B23" s="6">
        <f>IFERROR(IF(A23="","",SUM('Asset Allocation'!C23)/'Broad Asset Allocation'!B23),0)</f>
        <v>0</v>
      </c>
      <c r="C23" s="6">
        <f>IFERROR(IF(A23="","",SUM('Asset Allocation'!I23)/'Broad Asset Allocation'!B23),0)</f>
        <v>0</v>
      </c>
      <c r="D23" s="6">
        <f>IFERROR(IF(A23="","",SUM('Asset Allocation'!D23)/'Broad Asset Allocation'!B23),0)</f>
        <v>0</v>
      </c>
      <c r="E23" s="6">
        <f>IFERROR(IF(A23="","",SUM('Asset Allocation'!G23)/'Broad Asset Allocation'!B23),0)</f>
        <v>0</v>
      </c>
      <c r="F23" s="6">
        <f>IFERROR(IF(A23="","",SUM('Asset Allocation'!F23)/'Broad Asset Allocation'!B23),0)</f>
        <v>0</v>
      </c>
      <c r="G23" s="6">
        <f>IFERROR(IF(A23="","",SUM('Asset Allocation'!K23,'Asset Allocation'!O23)/'Broad Asset Allocation'!B23),0)</f>
        <v>0</v>
      </c>
      <c r="H23" s="6">
        <f>IFERROR(IF(A23="","",SUM('Asset Allocation'!L23)/'Broad Asset Allocation'!B23),0)</f>
        <v>0</v>
      </c>
    </row>
    <row r="24" spans="1:8" x14ac:dyDescent="0.35">
      <c r="A24" t="str">
        <f>IF(Input!A25="","",Input!A25)</f>
        <v>Endure Attenborough</v>
      </c>
      <c r="B24" s="6">
        <f>IFERROR(IF(A24="","",SUM('Asset Allocation'!C24)/'Broad Asset Allocation'!B24),0)</f>
        <v>0</v>
      </c>
      <c r="C24" s="6">
        <f>IFERROR(IF(A24="","",SUM('Asset Allocation'!I24)/'Broad Asset Allocation'!B24),0)</f>
        <v>0</v>
      </c>
      <c r="D24" s="6">
        <f>IFERROR(IF(A24="","",SUM('Asset Allocation'!D24)/'Broad Asset Allocation'!B24),0)</f>
        <v>0</v>
      </c>
      <c r="E24" s="6">
        <f>IFERROR(IF(A24="","",SUM('Asset Allocation'!G24)/'Broad Asset Allocation'!B24),0)</f>
        <v>0</v>
      </c>
      <c r="F24" s="6">
        <f>IFERROR(IF(A24="","",SUM('Asset Allocation'!F24)/'Broad Asset Allocation'!B24),0)</f>
        <v>0</v>
      </c>
      <c r="G24" s="6">
        <f>IFERROR(IF(A24="","",SUM('Asset Allocation'!K24,'Asset Allocation'!O24)/'Broad Asset Allocation'!B24),0)</f>
        <v>0</v>
      </c>
      <c r="H24" s="6">
        <f>IFERROR(IF(A24="","",SUM('Asset Allocation'!L24)/'Broad Asset Allocation'!B24),0)</f>
        <v>0</v>
      </c>
    </row>
    <row r="25" spans="1:8" x14ac:dyDescent="0.35">
      <c r="A25" t="str">
        <f>IF(Input!A26="","",Input!A26)</f>
        <v>Flourish Attenborough</v>
      </c>
      <c r="B25" s="6">
        <f>IFERROR(IF(A25="","",SUM('Asset Allocation'!C25)/'Broad Asset Allocation'!B25),0)</f>
        <v>0</v>
      </c>
      <c r="C25" s="6">
        <f>IFERROR(IF(A25="","",SUM('Asset Allocation'!I25)/'Broad Asset Allocation'!B25),0)</f>
        <v>0</v>
      </c>
      <c r="D25" s="6">
        <f>IFERROR(IF(A25="","",SUM('Asset Allocation'!D25)/'Broad Asset Allocation'!B25),0)</f>
        <v>0</v>
      </c>
      <c r="E25" s="6">
        <f>IFERROR(IF(A25="","",SUM('Asset Allocation'!G25)/'Broad Asset Allocation'!B25),0)</f>
        <v>0</v>
      </c>
      <c r="F25" s="6">
        <f>IFERROR(IF(A25="","",SUM('Asset Allocation'!F25)/'Broad Asset Allocation'!B25),0)</f>
        <v>0</v>
      </c>
      <c r="G25" s="6">
        <f>IFERROR(IF(A25="","",SUM('Asset Allocation'!K25,'Asset Allocation'!O25)/'Broad Asset Allocation'!B25),0)</f>
        <v>0</v>
      </c>
      <c r="H25" s="6">
        <f>IFERROR(IF(A25="","",SUM('Asset Allocation'!L25)/'Broad Asset Allocation'!B25),0)</f>
        <v>0</v>
      </c>
    </row>
    <row r="26" spans="1:8" x14ac:dyDescent="0.35">
      <c r="A26" t="str">
        <f>IF(Input!A27="","",Input!A27)</f>
        <v>Magnify Attenborough</v>
      </c>
      <c r="B26" s="6">
        <f>IFERROR(IF(A26="","",SUM('Asset Allocation'!C26)/'Broad Asset Allocation'!B26),0)</f>
        <v>0</v>
      </c>
      <c r="C26" s="6">
        <f>IFERROR(IF(A26="","",SUM('Asset Allocation'!I26)/'Broad Asset Allocation'!B26),0)</f>
        <v>0</v>
      </c>
      <c r="D26" s="6">
        <f>IFERROR(IF(A26="","",SUM('Asset Allocation'!D26)/'Broad Asset Allocation'!B26),0)</f>
        <v>0</v>
      </c>
      <c r="E26" s="6">
        <f>IFERROR(IF(A26="","",SUM('Asset Allocation'!G26)/'Broad Asset Allocation'!B26),0)</f>
        <v>0</v>
      </c>
      <c r="F26" s="6">
        <f>IFERROR(IF(A26="","",SUM('Asset Allocation'!F26)/'Broad Asset Allocation'!B26),0)</f>
        <v>0</v>
      </c>
      <c r="G26" s="6">
        <f>IFERROR(IF(A26="","",SUM('Asset Allocation'!K26,'Asset Allocation'!O26)/'Broad Asset Allocation'!B26),0)</f>
        <v>0</v>
      </c>
      <c r="H26" s="6">
        <f>IFERROR(IF(A26="","",SUM('Asset Allocation'!L26)/'Broad Asset Allocation'!B26),0)</f>
        <v>0</v>
      </c>
    </row>
    <row r="27" spans="1:8" x14ac:dyDescent="0.35">
      <c r="A27" t="str">
        <f>IF(Input!A28="","",Input!A28)</f>
        <v>Mature Passsive</v>
      </c>
      <c r="B27" s="6">
        <f>IFERROR(IF(A27="","",SUM('Asset Allocation'!C27)/'Broad Asset Allocation'!B27),0)</f>
        <v>0</v>
      </c>
      <c r="C27" s="6">
        <f>IFERROR(IF(A27="","",SUM('Asset Allocation'!I27)/'Broad Asset Allocation'!B27),0)</f>
        <v>0</v>
      </c>
      <c r="D27" s="6">
        <f>IFERROR(IF(A27="","",SUM('Asset Allocation'!D27)/'Broad Asset Allocation'!B27),0)</f>
        <v>0</v>
      </c>
      <c r="E27" s="6">
        <f>IFERROR(IF(A27="","",SUM('Asset Allocation'!G27)/'Broad Asset Allocation'!B27),0)</f>
        <v>0</v>
      </c>
      <c r="F27" s="6">
        <f>IFERROR(IF(A27="","",SUM('Asset Allocation'!F27)/'Broad Asset Allocation'!B27),0)</f>
        <v>0</v>
      </c>
      <c r="G27" s="6">
        <f>IFERROR(IF(A27="","",SUM('Asset Allocation'!K27,'Asset Allocation'!O27)/'Broad Asset Allocation'!B27),0)</f>
        <v>0</v>
      </c>
      <c r="H27" s="6">
        <f>IFERROR(IF(A27="","",SUM('Asset Allocation'!L27)/'Broad Asset Allocation'!B27),0)</f>
        <v>0</v>
      </c>
    </row>
    <row r="28" spans="1:8" x14ac:dyDescent="0.35">
      <c r="A28" t="str">
        <f>IF(Input!A29="","",Input!A29)</f>
        <v>Preserve Attenborough</v>
      </c>
      <c r="B28" s="6">
        <f>IFERROR(IF(A28="","",SUM('Asset Allocation'!C28)/'Broad Asset Allocation'!B28),0)</f>
        <v>0</v>
      </c>
      <c r="C28" s="6">
        <f>IFERROR(IF(A28="","",SUM('Asset Allocation'!I28)/'Broad Asset Allocation'!B28),0)</f>
        <v>0</v>
      </c>
      <c r="D28" s="6">
        <f>IFERROR(IF(A28="","",SUM('Asset Allocation'!D28)/'Broad Asset Allocation'!B28),0)</f>
        <v>0</v>
      </c>
      <c r="E28" s="6">
        <f>IFERROR(IF(A28="","",SUM('Asset Allocation'!G28)/'Broad Asset Allocation'!B28),0)</f>
        <v>0</v>
      </c>
      <c r="F28" s="6">
        <f>IFERROR(IF(A28="","",SUM('Asset Allocation'!F28)/'Broad Asset Allocation'!B28),0)</f>
        <v>0</v>
      </c>
      <c r="G28" s="6">
        <f>IFERROR(IF(A28="","",SUM('Asset Allocation'!K28,'Asset Allocation'!O28)/'Broad Asset Allocation'!B28),0)</f>
        <v>0</v>
      </c>
      <c r="H28" s="6">
        <f>IFERROR(IF(A28="","",SUM('Asset Allocation'!L28)/'Broad Asset Allocation'!B28),0)</f>
        <v>0</v>
      </c>
    </row>
    <row r="29" spans="1:8" x14ac:dyDescent="0.35">
      <c r="A29" t="str">
        <f>IF(Input!A30="","",Input!A30)</f>
        <v>Protect Attenborough</v>
      </c>
      <c r="B29" s="6">
        <f>IFERROR(IF(A29="","",SUM('Asset Allocation'!C29)/'Broad Asset Allocation'!B29),0)</f>
        <v>0</v>
      </c>
      <c r="C29" s="6">
        <f>IFERROR(IF(A29="","",SUM('Asset Allocation'!I29)/'Broad Asset Allocation'!B29),0)</f>
        <v>0</v>
      </c>
      <c r="D29" s="6">
        <f>IFERROR(IF(A29="","",SUM('Asset Allocation'!D29)/'Broad Asset Allocation'!B29),0)</f>
        <v>0</v>
      </c>
      <c r="E29" s="6">
        <f>IFERROR(IF(A29="","",SUM('Asset Allocation'!G29)/'Broad Asset Allocation'!B29),0)</f>
        <v>0</v>
      </c>
      <c r="F29" s="6">
        <f>IFERROR(IF(A29="","",SUM('Asset Allocation'!F29)/'Broad Asset Allocation'!B29),0)</f>
        <v>0</v>
      </c>
      <c r="G29" s="6">
        <f>IFERROR(IF(A29="","",SUM('Asset Allocation'!K29,'Asset Allocation'!O29)/'Broad Asset Allocation'!B29),0)</f>
        <v>0</v>
      </c>
      <c r="H29" s="6">
        <f>IFERROR(IF(A29="","",SUM('Asset Allocation'!L29)/'Broad Asset Allocation'!B29),0)</f>
        <v>0</v>
      </c>
    </row>
    <row r="30" spans="1:8" x14ac:dyDescent="0.35">
      <c r="A30" t="str">
        <f>IF(Input!A31="","",Input!A31)</f>
        <v>Enjoy Attenborough</v>
      </c>
      <c r="B30" s="6">
        <f>IFERROR(IF(A30="","",SUM('Asset Allocation'!C30)/'Broad Asset Allocation'!B30),0)</f>
        <v>0</v>
      </c>
      <c r="C30" s="6">
        <f>IFERROR(IF(A30="","",SUM('Asset Allocation'!I30)/'Broad Asset Allocation'!B30),0)</f>
        <v>0</v>
      </c>
      <c r="D30" s="6">
        <f>IFERROR(IF(A30="","",SUM('Asset Allocation'!D30)/'Broad Asset Allocation'!B30),0)</f>
        <v>0</v>
      </c>
      <c r="E30" s="6">
        <f>IFERROR(IF(A30="","",SUM('Asset Allocation'!G30)/'Broad Asset Allocation'!B30),0)</f>
        <v>0</v>
      </c>
      <c r="F30" s="6">
        <f>IFERROR(IF(A30="","",SUM('Asset Allocation'!F30)/'Broad Asset Allocation'!B30),0)</f>
        <v>0</v>
      </c>
      <c r="G30" s="6">
        <f>IFERROR(IF(A30="","",SUM('Asset Allocation'!K30,'Asset Allocation'!O30)/'Broad Asset Allocation'!B30),0)</f>
        <v>0</v>
      </c>
      <c r="H30" s="6">
        <f>IFERROR(IF(A30="","",SUM('Asset Allocation'!L30)/'Broad Asset Allocation'!B30),0)</f>
        <v>0</v>
      </c>
    </row>
    <row r="31" spans="1:8" x14ac:dyDescent="0.35">
      <c r="A31" t="str">
        <f>IF(Input!A32="","",Input!A32)</f>
        <v>Grow Attenborough</v>
      </c>
      <c r="B31" s="6">
        <f>IFERROR(IF(A31="","",SUM('Asset Allocation'!C31)/'Broad Asset Allocation'!B31),0)</f>
        <v>0</v>
      </c>
      <c r="C31" s="6">
        <f>IFERROR(IF(A31="","",SUM('Asset Allocation'!I31)/'Broad Asset Allocation'!B31),0)</f>
        <v>0</v>
      </c>
      <c r="D31" s="6">
        <f>IFERROR(IF(A31="","",SUM('Asset Allocation'!D31)/'Broad Asset Allocation'!B31),0)</f>
        <v>0</v>
      </c>
      <c r="E31" s="6">
        <f>IFERROR(IF(A31="","",SUM('Asset Allocation'!G31)/'Broad Asset Allocation'!B31),0)</f>
        <v>0</v>
      </c>
      <c r="F31" s="6">
        <f>IFERROR(IF(A31="","",SUM('Asset Allocation'!F31)/'Broad Asset Allocation'!B31),0)</f>
        <v>0</v>
      </c>
      <c r="G31" s="6">
        <f>IFERROR(IF(A31="","",SUM('Asset Allocation'!K31,'Asset Allocation'!O31)/'Broad Asset Allocation'!B31),0)</f>
        <v>0</v>
      </c>
      <c r="H31" s="6">
        <f>IFERROR(IF(A31="","",SUM('Asset Allocation'!L31)/'Broad Asset Allocation'!B31),0)</f>
        <v>0</v>
      </c>
    </row>
    <row r="32" spans="1:8" x14ac:dyDescent="0.35">
      <c r="A32" t="str">
        <f>IF(Input!A33="","",Input!A33)</f>
        <v>Passive Income</v>
      </c>
      <c r="B32" s="6">
        <f>IFERROR(IF(A32="","",SUM('Asset Allocation'!C32)/'Broad Asset Allocation'!B32),0)</f>
        <v>0</v>
      </c>
      <c r="C32" s="6">
        <f>IFERROR(IF(A32="","",SUM('Asset Allocation'!I32)/'Broad Asset Allocation'!B32),0)</f>
        <v>0</v>
      </c>
      <c r="D32" s="6">
        <f>IFERROR(IF(A32="","",SUM('Asset Allocation'!D32)/'Broad Asset Allocation'!B32),0)</f>
        <v>0</v>
      </c>
      <c r="E32" s="6">
        <f>IFERROR(IF(A32="","",SUM('Asset Allocation'!G32)/'Broad Asset Allocation'!B32),0)</f>
        <v>0</v>
      </c>
      <c r="F32" s="6">
        <f>IFERROR(IF(A32="","",SUM('Asset Allocation'!F32)/'Broad Asset Allocation'!B32),0)</f>
        <v>0</v>
      </c>
      <c r="G32" s="6">
        <f>IFERROR(IF(A32="","",SUM('Asset Allocation'!K32,'Asset Allocation'!O32)/'Broad Asset Allocation'!B32),0)</f>
        <v>0</v>
      </c>
      <c r="H32" s="6">
        <f>IFERROR(IF(A32="","",SUM('Asset Allocation'!L32)/'Broad Asset Allocation'!B32),0)</f>
        <v>0</v>
      </c>
    </row>
    <row r="33" spans="1:8" x14ac:dyDescent="0.35">
      <c r="A33" t="str">
        <f>IF(Input!A34="","",Input!A34)</f>
        <v>Natural Income</v>
      </c>
      <c r="B33" s="6">
        <f>IFERROR(IF(A33="","",SUM('Asset Allocation'!C33)/'Broad Asset Allocation'!B33),0)</f>
        <v>0</v>
      </c>
      <c r="C33" s="6">
        <f>IFERROR(IF(A33="","",SUM('Asset Allocation'!I33)/'Broad Asset Allocation'!B33),0)</f>
        <v>0</v>
      </c>
      <c r="D33" s="6">
        <f>IFERROR(IF(A33="","",SUM('Asset Allocation'!D33)/'Broad Asset Allocation'!B33),0)</f>
        <v>0</v>
      </c>
      <c r="E33" s="6">
        <f>IFERROR(IF(A33="","",SUM('Asset Allocation'!G33)/'Broad Asset Allocation'!B33),0)</f>
        <v>0</v>
      </c>
      <c r="F33" s="6">
        <f>IFERROR(IF(A33="","",SUM('Asset Allocation'!F33)/'Broad Asset Allocation'!B33),0)</f>
        <v>0</v>
      </c>
      <c r="G33" s="6">
        <f>IFERROR(IF(A33="","",SUM('Asset Allocation'!K33,'Asset Allocation'!O33)/'Broad Asset Allocation'!B33),0)</f>
        <v>0</v>
      </c>
      <c r="H33" s="6">
        <f>IFERROR(IF(A33="","",SUM('Asset Allocation'!L33)/'Broad Asset Allocation'!B33),0)</f>
        <v>0</v>
      </c>
    </row>
    <row r="34" spans="1:8" x14ac:dyDescent="0.3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33</v>
      </c>
      <c r="G1" t="s">
        <v>17</v>
      </c>
      <c r="H1" t="s">
        <v>34</v>
      </c>
    </row>
    <row r="2" spans="1:8" x14ac:dyDescent="0.35">
      <c r="A2" t="str">
        <f>IF(Input!A3="","",Input!A3)</f>
        <v>Balanced</v>
      </c>
      <c r="H2">
        <f>IFERROR(IF(A2="","",SUM('Broad Asset Allocation'!C2)/'Broad Asset Allocation'!C2),0)</f>
        <v>0</v>
      </c>
    </row>
    <row r="3" spans="1:8" x14ac:dyDescent="0.35">
      <c r="A3" t="str">
        <f>IF(Input!A4="","",Input!A4)</f>
        <v>Cultivate</v>
      </c>
      <c r="H3">
        <f>IFERROR(IF(A3="","",SUM('Broad Asset Allocation'!C3)/'Broad Asset Allocation'!C3),0)</f>
        <v>0</v>
      </c>
    </row>
    <row r="4" spans="1:8" x14ac:dyDescent="0.35">
      <c r="A4" t="str">
        <f>IF(Input!A5="","",Input!A5)</f>
        <v>Endure</v>
      </c>
      <c r="H4">
        <f>IFERROR(IF(A4="","",SUM('Broad Asset Allocation'!C4)/'Broad Asset Allocation'!C4),0)</f>
        <v>0</v>
      </c>
    </row>
    <row r="5" spans="1:8" x14ac:dyDescent="0.35">
      <c r="A5" t="str">
        <f>IF(Input!A6="","",Input!A6)</f>
        <v>Flourish</v>
      </c>
      <c r="H5">
        <f>IFERROR(IF(A5="","",SUM('Broad Asset Allocation'!C5)/'Broad Asset Allocation'!C5),0)</f>
        <v>0</v>
      </c>
    </row>
    <row r="6" spans="1:8" x14ac:dyDescent="0.35">
      <c r="A6" t="str">
        <f>IF(Input!A7="","",Input!A7)</f>
        <v>Magnify</v>
      </c>
      <c r="H6">
        <f>IFERROR(IF(A6="","",SUM('Broad Asset Allocation'!C6)/'Broad Asset Allocation'!C6),0)</f>
        <v>0</v>
      </c>
    </row>
    <row r="7" spans="1:8" x14ac:dyDescent="0.35">
      <c r="A7" t="str">
        <f>IF(Input!A8="","",Input!A8)</f>
        <v>Mature</v>
      </c>
      <c r="H7">
        <f>IFERROR(IF(A7="","",SUM('Broad Asset Allocation'!C7)/'Broad Asset Allocation'!C7),0)</f>
        <v>0</v>
      </c>
    </row>
    <row r="8" spans="1:8" x14ac:dyDescent="0.35">
      <c r="A8" t="str">
        <f>IF(Input!A9="","",Input!A9)</f>
        <v>Preserve</v>
      </c>
      <c r="H8">
        <f>IFERROR(IF(A8="","",SUM('Broad Asset Allocation'!C8)/'Broad Asset Allocation'!C8),0)</f>
        <v>0</v>
      </c>
    </row>
    <row r="9" spans="1:8" x14ac:dyDescent="0.35">
      <c r="A9" t="str">
        <f>IF(Input!A10="","",Input!A10)</f>
        <v>Trust DFM Protect</v>
      </c>
      <c r="H9">
        <f>IFERROR(IF(A9="","",SUM('Broad Asset Allocation'!C9)/'Broad Asset Allocation'!C9),0)</f>
        <v>0</v>
      </c>
    </row>
    <row r="10" spans="1:8" x14ac:dyDescent="0.35">
      <c r="A10" t="str">
        <f>IF(Input!A11="","",Input!A11)</f>
        <v>Trust DFM Enjoy</v>
      </c>
      <c r="H10">
        <f>IFERROR(IF(A10="","",SUM('Broad Asset Allocation'!C10)/'Broad Asset Allocation'!C10),0)</f>
        <v>0</v>
      </c>
    </row>
    <row r="11" spans="1:8" x14ac:dyDescent="0.35">
      <c r="A11" t="str">
        <f>IF(Input!A12="","",Input!A12)</f>
        <v>Trust DFM Grow</v>
      </c>
      <c r="H11">
        <f>IFERROR(IF(A11="","",SUM('Broad Asset Allocation'!C11)/'Broad Asset Allocation'!C11),0)</f>
        <v>0</v>
      </c>
    </row>
    <row r="12" spans="1:8" x14ac:dyDescent="0.35">
      <c r="A12" t="str">
        <f>IF(Input!A13="","",Input!A13)</f>
        <v>Balanced Passive</v>
      </c>
      <c r="H12">
        <f>IFERROR(IF(A12="","",SUM('Broad Asset Allocation'!C12)/'Broad Asset Allocation'!C12),0)</f>
        <v>0</v>
      </c>
    </row>
    <row r="13" spans="1:8" x14ac:dyDescent="0.35">
      <c r="A13" t="str">
        <f>IF(Input!A14="","",Input!A14)</f>
        <v>Cultivate Passive</v>
      </c>
      <c r="H13">
        <f>IFERROR(IF(A13="","",SUM('Broad Asset Allocation'!C13)/'Broad Asset Allocation'!C13),0)</f>
        <v>0</v>
      </c>
    </row>
    <row r="14" spans="1:8" x14ac:dyDescent="0.35">
      <c r="A14" t="str">
        <f>IF(Input!A15="","",Input!A15)</f>
        <v>Endure Passive</v>
      </c>
      <c r="H14">
        <f>IFERROR(IF(A14="","",SUM('Broad Asset Allocation'!C14)/'Broad Asset Allocation'!C14),0)</f>
        <v>0</v>
      </c>
    </row>
    <row r="15" spans="1:8" x14ac:dyDescent="0.35">
      <c r="A15" t="str">
        <f>IF(Input!A16="","",Input!A16)</f>
        <v>Flourish Passive</v>
      </c>
      <c r="H15">
        <f>IFERROR(IF(A15="","",SUM('Broad Asset Allocation'!C15)/'Broad Asset Allocation'!C15),0)</f>
        <v>0</v>
      </c>
    </row>
    <row r="16" spans="1:8" x14ac:dyDescent="0.35">
      <c r="A16" t="str">
        <f>IF(Input!A17="","",Input!A17)</f>
        <v>Magnify Passive</v>
      </c>
      <c r="H16">
        <f>IFERROR(IF(A16="","",SUM('Broad Asset Allocation'!C16)/'Broad Asset Allocation'!C16),0)</f>
        <v>0</v>
      </c>
    </row>
    <row r="17" spans="1:8" x14ac:dyDescent="0.35">
      <c r="A17" t="str">
        <f>IF(Input!A18="","",Input!A18)</f>
        <v>Mature Passsive</v>
      </c>
      <c r="H17">
        <f>IFERROR(IF(A17="","",SUM('Broad Asset Allocation'!C17)/'Broad Asset Allocation'!C17),0)</f>
        <v>0</v>
      </c>
    </row>
    <row r="18" spans="1:8" x14ac:dyDescent="0.35">
      <c r="A18" t="str">
        <f>IF(Input!A19="","",Input!A19)</f>
        <v>Preserve Passive</v>
      </c>
      <c r="H18">
        <f>IFERROR(IF(A18="","",SUM('Broad Asset Allocation'!C18)/'Broad Asset Allocation'!C18),0)</f>
        <v>0</v>
      </c>
    </row>
    <row r="19" spans="1:8" x14ac:dyDescent="0.35">
      <c r="A19" t="str">
        <f>IF(Input!A20="","",Input!A20)</f>
        <v>Protect Passive</v>
      </c>
      <c r="H19">
        <f>IFERROR(IF(A19="","",SUM('Broad Asset Allocation'!C19)/'Broad Asset Allocation'!C19),0)</f>
        <v>0</v>
      </c>
    </row>
    <row r="20" spans="1:8" x14ac:dyDescent="0.35">
      <c r="A20" t="str">
        <f>IF(Input!A21="","",Input!A21)</f>
        <v>Enjoy Passive</v>
      </c>
      <c r="H20">
        <f>IFERROR(IF(A20="","",SUM('Broad Asset Allocation'!C20)/'Broad Asset Allocation'!C20),0)</f>
        <v>0</v>
      </c>
    </row>
    <row r="21" spans="1:8" x14ac:dyDescent="0.35">
      <c r="A21" t="str">
        <f>IF(Input!A22="","",Input!A22)</f>
        <v>Grow Passive</v>
      </c>
      <c r="H21">
        <f>IFERROR(IF(A21="","",SUM('Broad Asset Allocation'!C21)/'Broad Asset Allocation'!C21),0)</f>
        <v>0</v>
      </c>
    </row>
    <row r="22" spans="1:8" x14ac:dyDescent="0.35">
      <c r="A22" t="str">
        <f>IF(Input!A23="","",Input!A23)</f>
        <v>Balanced Attenborough</v>
      </c>
      <c r="H22">
        <f>IFERROR(IF(A22="","",SUM('Broad Asset Allocation'!C22)/'Broad Asset Allocation'!C22),0)</f>
        <v>0</v>
      </c>
    </row>
    <row r="23" spans="1:8" x14ac:dyDescent="0.35">
      <c r="A23" t="str">
        <f>IF(Input!A24="","",Input!A24)</f>
        <v>Cultivate Attenborough</v>
      </c>
      <c r="H23">
        <f>IFERROR(IF(A23="","",SUM('Broad Asset Allocation'!C23)/'Broad Asset Allocation'!C23),0)</f>
        <v>0</v>
      </c>
    </row>
    <row r="24" spans="1:8" x14ac:dyDescent="0.35">
      <c r="A24" t="str">
        <f>IF(Input!A25="","",Input!A25)</f>
        <v>Endure Attenborough</v>
      </c>
      <c r="H24">
        <f>IFERROR(IF(A24="","",SUM('Broad Asset Allocation'!C24)/'Broad Asset Allocation'!C24),0)</f>
        <v>0</v>
      </c>
    </row>
    <row r="25" spans="1:8" x14ac:dyDescent="0.35">
      <c r="A25" t="str">
        <f>IF(Input!A26="","",Input!A26)</f>
        <v>Flourish Attenborough</v>
      </c>
      <c r="H25">
        <f>IFERROR(IF(A25="","",SUM('Broad Asset Allocation'!C25)/'Broad Asset Allocation'!C25),0)</f>
        <v>0</v>
      </c>
    </row>
    <row r="26" spans="1:8" x14ac:dyDescent="0.35">
      <c r="A26" t="str">
        <f>IF(Input!A27="","",Input!A27)</f>
        <v>Magnify Attenborough</v>
      </c>
      <c r="H26">
        <f>IFERROR(IF(A26="","",SUM('Broad Asset Allocation'!C26)/'Broad Asset Allocation'!C26),0)</f>
        <v>0</v>
      </c>
    </row>
    <row r="27" spans="1:8" x14ac:dyDescent="0.35">
      <c r="A27" t="str">
        <f>IF(Input!A28="","",Input!A28)</f>
        <v>Mature Passsive</v>
      </c>
      <c r="H27">
        <f>IFERROR(IF(A27="","",SUM('Broad Asset Allocation'!C27)/'Broad Asset Allocation'!C27),0)</f>
        <v>0</v>
      </c>
    </row>
    <row r="28" spans="1:8" x14ac:dyDescent="0.35">
      <c r="A28" t="str">
        <f>IF(Input!A29="","",Input!A29)</f>
        <v>Preserve Attenborough</v>
      </c>
      <c r="H28">
        <f>IFERROR(IF(A28="","",SUM('Broad Asset Allocation'!C28)/'Broad Asset Allocation'!C28),0)</f>
        <v>0</v>
      </c>
    </row>
    <row r="29" spans="1:8" x14ac:dyDescent="0.35">
      <c r="A29" t="str">
        <f>IF(Input!A30="","",Input!A30)</f>
        <v>Protect Attenborough</v>
      </c>
      <c r="H29">
        <f>IFERROR(IF(A29="","",SUM('Broad Asset Allocation'!C29)/'Broad Asset Allocation'!C29),0)</f>
        <v>0</v>
      </c>
    </row>
    <row r="30" spans="1:8" x14ac:dyDescent="0.35">
      <c r="A30" t="str">
        <f>IF(Input!A31="","",Input!A31)</f>
        <v>Enjoy Attenborough</v>
      </c>
      <c r="H30">
        <f>IFERROR(IF(A30="","",SUM('Broad Asset Allocation'!C30)/'Broad Asset Allocation'!C30),0)</f>
        <v>0</v>
      </c>
    </row>
    <row r="31" spans="1:8" x14ac:dyDescent="0.35">
      <c r="A31" t="str">
        <f>IF(Input!A32="","",Input!A32)</f>
        <v>Grow Attenborough</v>
      </c>
      <c r="H31">
        <f>IFERROR(IF(A31="","",SUM('Broad Asset Allocation'!C31)/'Broad Asset Allocation'!C31),0)</f>
        <v>0</v>
      </c>
    </row>
    <row r="32" spans="1:8" x14ac:dyDescent="0.35">
      <c r="A32" t="str">
        <f>IF(Input!A33="","",Input!A33)</f>
        <v>Passive Income</v>
      </c>
      <c r="H32">
        <f>IFERROR(IF(A32="","",SUM('Broad Asset Allocation'!C32)/'Broad Asset Allocation'!C32),0)</f>
        <v>0</v>
      </c>
    </row>
    <row r="33" spans="1:8" x14ac:dyDescent="0.35">
      <c r="A33" t="str">
        <f>IF(Input!A34="","",Input!A34)</f>
        <v>Natural Income</v>
      </c>
      <c r="H33">
        <f>IFERROR(IF(A33="","",SUM('Broad Asset Allocation'!C33)/'Broad Asset Allocation'!C33),0)</f>
        <v>0</v>
      </c>
    </row>
    <row r="34" spans="1:8" x14ac:dyDescent="0.3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8C86-0001-482F-BB29-778960EB8B16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2023-10-18T10:46:24Z</dcterms:modified>
</cp:coreProperties>
</file>