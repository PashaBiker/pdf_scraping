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FACET\"/>
    </mc:Choice>
  </mc:AlternateContent>
  <xr:revisionPtr revIDLastSave="0" documentId="13_ncr:1_{A89FBAD4-1A50-4F3C-A1AC-5BE7B88A066F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<sst xmlns="http://schemas.openxmlformats.org/spreadsheetml/2006/main" count="116" uniqueCount="96">
  <si>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</si>
  <si>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</si>
  <si>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</si>
  <si>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</si>
  <si>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</si>
  <si>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</si>
  <si>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</si>
  <si>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</si>
  <si>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</si>
  <si>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</si>
  <si>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</si>
  <si>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</si>
  <si>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</si>
  <si>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</si>
  <si>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</si>
  <si>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</si>
  <si>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</si>
  <si>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</si>
  <si>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</si>
  <si>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</si>
  <si>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</si>
  <si>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</si>
  <si>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</si>
  <si>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</si>
  <si>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</si>
  <si>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</si>
  <si>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</si>
  <si>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</si>
  <si>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</si>
  <si>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</si>
  <si>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</si>
  <si>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</si>
  <si>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</si>
  <si>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</si>
  <si>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1m</t>
  </si>
  <si>
    <t>Model Portfolio Risk Level 2</t>
  </si>
  <si>
    <t>Model Portfolio Passive Risk Level 2</t>
  </si>
  <si>
    <t>Model Portfolio Risk Level 3</t>
  </si>
  <si>
    <t>Model Portfolio Passive Risk Level 3</t>
  </si>
  <si>
    <t>Model Portfolio Risk Level 4</t>
  </si>
  <si>
    <t>Model Portfolio Passive Risk Level 4</t>
  </si>
  <si>
    <t>Model Portfolio Risk Level 5</t>
  </si>
  <si>
    <t>Model Portfolio Passive Risk Level 5</t>
  </si>
  <si>
    <t>Model Portfolio Risk Level 6</t>
  </si>
  <si>
    <t>Model Portfolio Passive Risk Level 6</t>
  </si>
  <si>
    <t>Model Portfolio Risk Level 7</t>
  </si>
  <si>
    <t>Model Portfolio Passive Risk Level 7</t>
  </si>
  <si>
    <t>Model Portfolio Risk Level 8</t>
  </si>
  <si>
    <t>Model Portfolio Passive Risk Level 8</t>
  </si>
  <si>
    <t>Model Portfolio Risk Level 9</t>
  </si>
  <si>
    <t>Model Portfolio Passive Risk Level 9</t>
  </si>
  <si>
    <t>Model Portfolio Risk Level 10</t>
  </si>
  <si>
    <t>Model Portfolio Passive Risk Level 10</t>
  </si>
  <si>
    <t>Risk Level 2</t>
  </si>
  <si>
    <t>Passive Risk Level 2</t>
  </si>
  <si>
    <t>Risk Level 3</t>
  </si>
  <si>
    <t>Passive Risk Level 3</t>
  </si>
  <si>
    <t>Risk Level 4</t>
  </si>
  <si>
    <t>Passive Risk Level 4</t>
  </si>
  <si>
    <t>Risk Level 5</t>
  </si>
  <si>
    <t>Passive Risk Level 5</t>
  </si>
  <si>
    <t>Risk Level 6</t>
  </si>
  <si>
    <t>Passive Risk Level 6</t>
  </si>
  <si>
    <t>Risk Level 7</t>
  </si>
  <si>
    <t>Passive Risk Level 7</t>
  </si>
  <si>
    <t>Risk Level 8</t>
  </si>
  <si>
    <t>Passive Risk Level 8</t>
  </si>
  <si>
    <t>Risk Level 9</t>
  </si>
  <si>
    <t>Passive Risk Level 9</t>
  </si>
  <si>
    <t>Risk Level 10</t>
  </si>
  <si>
    <t>Passive Risk Level 10</t>
  </si>
  <si>
    <t>https://www.facet-im.co.uk/resources/</t>
  </si>
  <si>
    <t>https://www.facet-im.co.uk/wp-content/uploads/2023/08/Managed-Risk-2-July-2023.pdf</t>
  </si>
  <si>
    <t>https://www.facet-im.co.uk/wp-content/uploads/2023/08/Passive-Risk-2-July-2023.pdf</t>
  </si>
  <si>
    <t>https://www.facet-im.co.uk/wp-content/uploads/2023/08/Managed-Risk-3-July-2023.pdf</t>
  </si>
  <si>
    <t>https://www.facet-im.co.uk/wp-content/uploads/2023/08/Passive-Risk-3-July-2023.pdf</t>
  </si>
  <si>
    <t>https://www.facet-im.co.uk/wp-content/uploads/2023/08/Managed-Risk-4-July-2023.pdf</t>
  </si>
  <si>
    <t>https://www.facet-im.co.uk/wp-content/uploads/2023/08/Passive-Risk-4-July-2023.pdf</t>
  </si>
  <si>
    <t>https://www.facet-im.co.uk/wp-content/uploads/2023/08/Managed-Risk-5-July-2023.pdf</t>
  </si>
  <si>
    <t>https://www.facet-im.co.uk/wp-content/uploads/2023/08/Passive-Risk-5-July-2023.pdf</t>
  </si>
  <si>
    <t>https://www.facet-im.co.uk/wp-content/uploads/2023/08/Managed-Risk-6-July-2023.pdf</t>
  </si>
  <si>
    <t>https://www.facet-im.co.uk/wp-content/uploads/2023/08/Passive-Risk-6-July-2023.pdf</t>
  </si>
  <si>
    <t>https://www.facet-im.co.uk/wp-content/uploads/2023/08/Managed-Risk-7-July-2023.pdf</t>
  </si>
  <si>
    <t>https://www.facet-im.co.uk/wp-content/uploads/2023/08/Passive-Risk-7-July-2023.pdf</t>
  </si>
  <si>
    <t>https://www.facet-im.co.uk/wp-content/uploads/2023/08/Managed-Risk-8-July-2023.pdf</t>
  </si>
  <si>
    <t>https://www.facet-im.co.uk/wp-content/uploads/2023/08/Passive-Risk-8-July-2023.pdf</t>
  </si>
  <si>
    <t>https://www.facet-im.co.uk/wp-content/uploads/2023/08/Managed-Risk-9-July-2023.pdf</t>
  </si>
  <si>
    <t>https://www.facet-im.co.uk/wp-content/uploads/2023/08/Passive-Risk-9-July-2023.pdf</t>
  </si>
  <si>
    <t>https://www.facet-im.co.uk/wp-content/uploads/2023/08/Managed-Risk-10-July-2023.pdf</t>
  </si>
  <si>
    <t>https://www.facet-im.co.uk/wp-content/uploads/2023/08/Passive-Risk-10-July-2023.pdf</t>
  </si>
  <si>
    <t>Annual Management Charge (AMC)</t>
  </si>
  <si>
    <t>OCF</t>
  </si>
  <si>
    <t>Equities</t>
  </si>
  <si>
    <t>Fixed Income</t>
  </si>
  <si>
    <t>Property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</si>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</sst>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3</xdr:col>
      <xdr:colOff>535691</xdr:colOff>
      <xdr:row>7</xdr:row>
      <xdr:rowOff>177903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D1995B-98C4-D088-F9FC-DC938F51B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2364491" cy="121295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8</xdr:row>
      <xdr:rowOff>139700</xdr:rowOff>
    </xdr:from>
    <xdr:to>
      <xdr:col>4</xdr:col>
      <xdr:colOff>161456</xdr:colOff>
      <xdr:row>16</xdr:row>
      <xdr:rowOff>12786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656CED-1C38-D20B-46CD-BB2A8CD2F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1612900"/>
          <a:ext cx="2580806" cy="1346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533584</xdr:colOff>
      <xdr:row>16</xdr:row>
      <xdr:rowOff>6492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6055132-7882-9C95-2666-B2B7862B8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581584" cy="27687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139700</xdr:rowOff>
    </xdr:from>
    <xdr:to>
      <xdr:col>5</xdr:col>
      <xdr:colOff>208200</xdr:colOff>
      <xdr:row>29</xdr:row>
      <xdr:rowOff>69983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2ADA760-0C4E-3CBA-AC59-324BBB0E6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86100"/>
          <a:ext cx="3256200" cy="2324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/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21"/>
  <sheetViews>
    <sheetView workbookViewId="0">
      <selection activeCell="A3" sqref="A3"/>
    </sheetView>
  </sheetViews>
  <sheetFormatPr defaultRowHeight="14.5" x14ac:dyDescent="0.35"/>
  <cols>
    <col min="1" max="1" width="37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53</v>
      </c>
      <c r="B3" t="str">
        <f>'PDF Scraping'!D2</f>
        <v>https://www.facet-im.co.uk/wp-content/uploads/2023/08/Managed-Risk-2-July-2023.pdf</v>
      </c>
      <c r="C3" s="4"/>
      <c r="J3" s="4"/>
    </row>
    <row r="4" spans="1:10" x14ac:dyDescent="0.35">
      <c r="A4" t="s">
        <v>54</v>
      </c>
      <c r="B4" t="str">
        <f>'PDF Scraping'!D3</f>
        <v>https://www.facet-im.co.uk/wp-content/uploads/2023/08/Passive-Risk-2-July-2023.pdf</v>
      </c>
      <c r="C4" s="4"/>
      <c r="J4" s="4"/>
    </row>
    <row r="5" spans="1:10" x14ac:dyDescent="0.35">
      <c r="A5" t="s">
        <v>55</v>
      </c>
      <c r="B5" t="str">
        <f>'PDF Scraping'!D4</f>
        <v>https://www.facet-im.co.uk/wp-content/uploads/2023/08/Managed-Risk-3-July-2023.pdf</v>
      </c>
      <c r="C5" s="4"/>
    </row>
    <row r="6" spans="1:10" x14ac:dyDescent="0.35">
      <c r="A6" t="s">
        <v>56</v>
      </c>
      <c r="B6" t="str">
        <f>'PDF Scraping'!D5</f>
        <v>https://www.facet-im.co.uk/wp-content/uploads/2023/08/Passive-Risk-3-July-2023.pdf</v>
      </c>
      <c r="C6" s="4"/>
    </row>
    <row r="7" spans="1:10" x14ac:dyDescent="0.35">
      <c r="A7" t="s">
        <v>57</v>
      </c>
      <c r="B7" t="str">
        <f>'PDF Scraping'!D6</f>
        <v>https://www.facet-im.co.uk/wp-content/uploads/2023/08/Managed-Risk-4-July-2023.pdf</v>
      </c>
      <c r="C7" s="4"/>
    </row>
    <row r="8" spans="1:10" x14ac:dyDescent="0.35">
      <c r="A8" t="s">
        <v>58</v>
      </c>
      <c r="B8" t="str">
        <f>'PDF Scraping'!D7</f>
        <v>https://www.facet-im.co.uk/wp-content/uploads/2023/08/Passive-Risk-4-July-2023.pdf</v>
      </c>
      <c r="C8" s="4"/>
    </row>
    <row r="9" spans="1:10" x14ac:dyDescent="0.35">
      <c r="A9" t="s">
        <v>59</v>
      </c>
      <c r="B9" t="str">
        <f>'PDF Scraping'!D8</f>
        <v>https://www.facet-im.co.uk/wp-content/uploads/2023/08/Managed-Risk-5-July-2023.pdf</v>
      </c>
      <c r="C9" s="4"/>
    </row>
    <row r="10" spans="1:10" x14ac:dyDescent="0.35">
      <c r="A10" t="s">
        <v>60</v>
      </c>
      <c r="B10" t="str">
        <f>'PDF Scraping'!D9</f>
        <v>https://www.facet-im.co.uk/wp-content/uploads/2023/08/Passive-Risk-5-July-2023.pdf</v>
      </c>
      <c r="C10" s="4"/>
    </row>
    <row r="11" spans="1:10" x14ac:dyDescent="0.35">
      <c r="A11" t="s">
        <v>61</v>
      </c>
      <c r="B11" t="str">
        <f>'PDF Scraping'!D10</f>
        <v>https://www.facet-im.co.uk/wp-content/uploads/2023/08/Managed-Risk-6-July-2023.pdf</v>
      </c>
      <c r="C11" s="4"/>
    </row>
    <row r="12" spans="1:10" x14ac:dyDescent="0.35">
      <c r="A12" t="s">
        <v>62</v>
      </c>
      <c r="B12" t="str">
        <f>'PDF Scraping'!D11</f>
        <v>https://www.facet-im.co.uk/wp-content/uploads/2023/08/Passive-Risk-6-July-2023.pdf</v>
      </c>
      <c r="C12" s="4"/>
    </row>
    <row r="13" spans="1:10" x14ac:dyDescent="0.35">
      <c r="A13" t="s">
        <v>63</v>
      </c>
      <c r="B13" t="str">
        <f>'PDF Scraping'!D12</f>
        <v>https://www.facet-im.co.uk/wp-content/uploads/2023/08/Managed-Risk-7-July-2023.pdf</v>
      </c>
      <c r="C13" s="4"/>
    </row>
    <row r="14" spans="1:10" x14ac:dyDescent="0.35">
      <c r="A14" t="s">
        <v>64</v>
      </c>
      <c r="B14" t="str">
        <f>'PDF Scraping'!D13</f>
        <v>https://www.facet-im.co.uk/wp-content/uploads/2023/08/Passive-Risk-7-July-2023.pdf</v>
      </c>
      <c r="C14" s="4"/>
    </row>
    <row r="15" spans="1:10" x14ac:dyDescent="0.35">
      <c r="A15" t="s">
        <v>65</v>
      </c>
      <c r="B15" t="str">
        <f>'PDF Scraping'!D14</f>
        <v>https://www.facet-im.co.uk/wp-content/uploads/2023/08/Managed-Risk-8-July-2023.pdf</v>
      </c>
      <c r="C15" s="4"/>
    </row>
    <row r="16" spans="1:10" x14ac:dyDescent="0.35">
      <c r="A16" t="s">
        <v>66</v>
      </c>
      <c r="B16" t="str">
        <f>'PDF Scraping'!D15</f>
        <v>https://www.facet-im.co.uk/wp-content/uploads/2023/08/Passive-Risk-8-July-2023.pdf</v>
      </c>
      <c r="C16" s="4"/>
    </row>
    <row r="17" spans="1:3" x14ac:dyDescent="0.35">
      <c r="A17" t="s">
        <v>67</v>
      </c>
      <c r="B17" t="str">
        <f>'PDF Scraping'!D16</f>
        <v>https://www.facet-im.co.uk/wp-content/uploads/2023/08/Managed-Risk-9-July-2023.pdf</v>
      </c>
      <c r="C17" s="4"/>
    </row>
    <row r="18" spans="1:3" x14ac:dyDescent="0.35">
      <c r="A18" t="s">
        <v>68</v>
      </c>
      <c r="B18" t="str">
        <f>'PDF Scraping'!D17</f>
        <v>https://www.facet-im.co.uk/wp-content/uploads/2023/08/Passive-Risk-9-July-2023.pdf</v>
      </c>
      <c r="C18" s="4"/>
    </row>
    <row r="19" spans="1:3" x14ac:dyDescent="0.35">
      <c r="A19" t="s">
        <v>69</v>
      </c>
      <c r="B19" t="str">
        <f>'PDF Scraping'!D18</f>
        <v>https://www.facet-im.co.uk/wp-content/uploads/2023/08/Managed-Risk-10-July-2023.pdf</v>
      </c>
      <c r="C19" s="4"/>
    </row>
    <row r="20" spans="1:3" x14ac:dyDescent="0.35">
      <c r="A20" t="s">
        <v>70</v>
      </c>
      <c r="B20" t="str">
        <f>'PDF Scraping'!D19</f>
        <v>https://www.facet-im.co.uk/wp-content/uploads/2023/08/Passive-Risk-10-July-2023.pdf</v>
      </c>
      <c r="C20" s="4"/>
    </row>
    <row r="21" spans="1:3" x14ac:dyDescent="0.35">
      <c r="C21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G1" sqref="G1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90</v>
      </c>
      <c r="D1" t="s">
        <v>91</v>
      </c>
      <c r="E1" t="s">
        <v>33</v>
      </c>
      <c r="F1" t="s">
        <v>34</v>
      </c>
    </row>
    <row r="2" spans="1:6" x14ac:dyDescent="0.35">
      <c r="A2" t="str">
        <f>IF(Input!A3="","",Input!A3)</f>
        <v>Risk Level 2</v>
      </c>
      <c r="B2" s="1"/>
      <c r="C2" s="5"/>
      <c r="D2" s="5"/>
      <c r="E2" s="5"/>
      <c r="F2" s="5"/>
    </row>
    <row r="3" spans="1:6" x14ac:dyDescent="0.35">
      <c r="A3" t="str">
        <f>IF(Input!A4="","",Input!A4)</f>
        <v>Passive Risk Level 2</v>
      </c>
      <c r="B3" s="1"/>
      <c r="C3" s="5"/>
      <c r="D3" s="5"/>
      <c r="E3" s="5"/>
      <c r="F3" s="5"/>
    </row>
    <row r="4" spans="1:6" x14ac:dyDescent="0.35">
      <c r="A4" t="str">
        <f>IF(Input!A5="","",Input!A5)</f>
        <v>Risk Level 3</v>
      </c>
      <c r="B4" s="1"/>
      <c r="C4" s="5"/>
      <c r="D4" s="5"/>
      <c r="E4" s="5"/>
      <c r="F4" s="5"/>
    </row>
    <row r="5" spans="1:6" x14ac:dyDescent="0.35">
      <c r="A5" t="str">
        <f>IF(Input!A6="","",Input!A6)</f>
        <v>Passive Risk Level 3</v>
      </c>
      <c r="B5" s="1"/>
      <c r="C5" s="5"/>
      <c r="D5" s="5"/>
      <c r="E5" s="5"/>
      <c r="F5" s="5"/>
    </row>
    <row r="6" spans="1:6" x14ac:dyDescent="0.35">
      <c r="A6" t="str">
        <f>IF(Input!A7="","",Input!A7)</f>
        <v>Risk Level 4</v>
      </c>
      <c r="B6" s="1"/>
      <c r="C6" s="5"/>
      <c r="D6" s="5"/>
      <c r="E6" s="5"/>
      <c r="F6" s="5"/>
    </row>
    <row r="7" spans="1:6" x14ac:dyDescent="0.35">
      <c r="A7" t="str">
        <f>IF(Input!A8="","",Input!A8)</f>
        <v>Passive Risk Level 4</v>
      </c>
      <c r="B7" s="1"/>
      <c r="C7" s="5"/>
      <c r="D7" s="5"/>
      <c r="E7" s="5"/>
      <c r="F7" s="5"/>
    </row>
    <row r="8" spans="1:6" x14ac:dyDescent="0.35">
      <c r="A8" t="str">
        <f>IF(Input!A9="","",Input!A9)</f>
        <v>Risk Level 5</v>
      </c>
      <c r="B8" s="1"/>
      <c r="C8" s="5"/>
      <c r="D8" s="5"/>
      <c r="E8" s="5"/>
      <c r="F8" s="5"/>
    </row>
    <row r="9" spans="1:6" x14ac:dyDescent="0.35">
      <c r="A9" t="str">
        <f>IF(Input!A10="","",Input!A10)</f>
        <v>Passive Risk Level 5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>Risk Level 6</v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>Passive Risk Level 6</v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>Risk Level 7</v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>Passive Risk Level 7</v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>Risk Level 8</v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>Passive Risk Level 8</v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>Risk Level 9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Passive Risk Level 9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Risk Level 10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Passive Risk Level 10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F2" sqref="F2"/>
    </sheetView>
  </sheetViews>
  <sheetFormatPr defaultRowHeight="14.5" x14ac:dyDescent="0.35"/>
  <cols>
    <col min="1" max="1" width="40.1796875" bestFit="1" customWidth="1"/>
    <col min="2" max="2" width="18.08984375" bestFit="1" customWidth="1"/>
    <col min="3" max="3" width="21.26953125" bestFit="1" customWidth="1"/>
    <col min="4" max="4" width="16" bestFit="1" customWidth="1"/>
    <col min="5" max="5" width="7.1796875" bestFit="1" customWidth="1"/>
    <col min="6" max="6" width="17.08984375" bestFit="1" customWidth="1"/>
    <col min="7" max="7" width="15.54296875" bestFit="1" customWidth="1"/>
    <col min="8" max="8" width="13.1796875" bestFit="1" customWidth="1"/>
    <col min="9" max="9" width="10.08984375" bestFit="1" customWidth="1"/>
    <col min="10" max="10" width="18.36328125" bestFit="1" customWidth="1"/>
    <col min="11" max="11" width="22.453125" bestFit="1" customWidth="1"/>
    <col min="12" max="12" width="18.54296875" bestFit="1" customWidth="1"/>
    <col min="13" max="13" width="21.36328125" bestFit="1" customWidth="1"/>
    <col min="14" max="14" width="14.26953125" bestFit="1" customWidth="1"/>
    <col min="15" max="15" width="15.816406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92</v>
      </c>
      <c r="C1" t="s">
        <v>93</v>
      </c>
      <c r="D1" t="s">
        <v>94</v>
      </c>
      <c r="E1" t="s">
        <v>4</v>
      </c>
      <c r="F1" t="s">
        <v>95</v>
      </c>
    </row>
    <row r="2" spans="1:30" x14ac:dyDescent="0.35">
      <c r="A2" t="str">
        <f>IF(Input!A3="","",Input!A3)</f>
        <v>Risk Level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Passive Risk Level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Risk Level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Passive Risk Level 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Risk Level 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Passive Risk Level 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Risk Level 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Passive Risk Level 5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Risk Level 6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Passive Risk Level 6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Risk Level 7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Passive Risk Level 7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Risk Level 8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Passive Risk Level 8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Risk Level 9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Passive Risk Level 9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Risk Level 10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Passive Risk Level 10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/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Risk Level 2</v>
      </c>
      <c r="B2" t="s">
        <v>71</v>
      </c>
      <c r="C2" t="s">
        <v>35</v>
      </c>
      <c r="D2" s="8" t="s">
        <v>72</v>
      </c>
    </row>
    <row r="3" spans="1:5" x14ac:dyDescent="0.35">
      <c r="A3" t="str">
        <f>IF(Input!A4="","",Input!A4)</f>
        <v>Passive Risk Level 2</v>
      </c>
      <c r="B3" t="s">
        <v>71</v>
      </c>
      <c r="C3" t="s">
        <v>36</v>
      </c>
      <c r="D3" s="8" t="s">
        <v>73</v>
      </c>
    </row>
    <row r="4" spans="1:5" x14ac:dyDescent="0.35">
      <c r="A4" t="str">
        <f>IF(Input!A5="","",Input!A5)</f>
        <v>Risk Level 3</v>
      </c>
      <c r="B4" t="s">
        <v>71</v>
      </c>
      <c r="C4" t="s">
        <v>37</v>
      </c>
      <c r="D4" s="8" t="s">
        <v>74</v>
      </c>
    </row>
    <row r="5" spans="1:5" x14ac:dyDescent="0.35">
      <c r="A5" t="str">
        <f>IF(Input!A6="","",Input!A6)</f>
        <v>Passive Risk Level 3</v>
      </c>
      <c r="B5" t="s">
        <v>71</v>
      </c>
      <c r="C5" t="s">
        <v>38</v>
      </c>
      <c r="D5" s="8" t="s">
        <v>75</v>
      </c>
    </row>
    <row r="6" spans="1:5" x14ac:dyDescent="0.35">
      <c r="A6" t="str">
        <f>IF(Input!A7="","",Input!A7)</f>
        <v>Risk Level 4</v>
      </c>
      <c r="B6" t="s">
        <v>71</v>
      </c>
      <c r="C6" t="s">
        <v>39</v>
      </c>
      <c r="D6" s="8" t="s">
        <v>76</v>
      </c>
    </row>
    <row r="7" spans="1:5" x14ac:dyDescent="0.35">
      <c r="A7" t="str">
        <f>IF(Input!A8="","",Input!A8)</f>
        <v>Passive Risk Level 4</v>
      </c>
      <c r="B7" t="s">
        <v>71</v>
      </c>
      <c r="C7" t="s">
        <v>40</v>
      </c>
      <c r="D7" s="8" t="s">
        <v>77</v>
      </c>
    </row>
    <row r="8" spans="1:5" x14ac:dyDescent="0.35">
      <c r="A8" t="str">
        <f>IF(Input!A9="","",Input!A9)</f>
        <v>Risk Level 5</v>
      </c>
      <c r="B8" t="s">
        <v>71</v>
      </c>
      <c r="C8" t="s">
        <v>41</v>
      </c>
      <c r="D8" s="8" t="s">
        <v>78</v>
      </c>
    </row>
    <row r="9" spans="1:5" x14ac:dyDescent="0.35">
      <c r="A9" t="str">
        <f>IF(Input!A10="","",Input!A10)</f>
        <v>Passive Risk Level 5</v>
      </c>
      <c r="B9" t="s">
        <v>71</v>
      </c>
      <c r="C9" t="s">
        <v>42</v>
      </c>
      <c r="D9" s="8" t="s">
        <v>79</v>
      </c>
    </row>
    <row r="10" spans="1:5" x14ac:dyDescent="0.35">
      <c r="A10" t="str">
        <f>IF(Input!A11="","",Input!A11)</f>
        <v>Risk Level 6</v>
      </c>
      <c r="B10" t="s">
        <v>71</v>
      </c>
      <c r="C10" t="s">
        <v>43</v>
      </c>
      <c r="D10" s="8" t="s">
        <v>80</v>
      </c>
    </row>
    <row r="11" spans="1:5" x14ac:dyDescent="0.35">
      <c r="A11" t="str">
        <f>IF(Input!A12="","",Input!A12)</f>
        <v>Passive Risk Level 6</v>
      </c>
      <c r="B11" t="s">
        <v>71</v>
      </c>
      <c r="C11" t="s">
        <v>44</v>
      </c>
      <c r="D11" s="8" t="s">
        <v>81</v>
      </c>
    </row>
    <row r="12" spans="1:5" x14ac:dyDescent="0.35">
      <c r="A12" t="str">
        <f>IF(Input!A13="","",Input!A13)</f>
        <v>Risk Level 7</v>
      </c>
      <c r="B12" t="s">
        <v>71</v>
      </c>
      <c r="C12" t="s">
        <v>45</v>
      </c>
      <c r="D12" s="8" t="s">
        <v>82</v>
      </c>
    </row>
    <row r="13" spans="1:5" x14ac:dyDescent="0.35">
      <c r="A13" t="str">
        <f>IF(Input!A14="","",Input!A14)</f>
        <v>Passive Risk Level 7</v>
      </c>
      <c r="B13" t="s">
        <v>71</v>
      </c>
      <c r="C13" t="s">
        <v>46</v>
      </c>
      <c r="D13" s="8" t="s">
        <v>83</v>
      </c>
    </row>
    <row r="14" spans="1:5" x14ac:dyDescent="0.35">
      <c r="A14" t="str">
        <f>IF(Input!A15="","",Input!A15)</f>
        <v>Risk Level 8</v>
      </c>
      <c r="B14" t="s">
        <v>71</v>
      </c>
      <c r="C14" t="s">
        <v>47</v>
      </c>
      <c r="D14" s="8" t="s">
        <v>84</v>
      </c>
    </row>
    <row r="15" spans="1:5" x14ac:dyDescent="0.35">
      <c r="A15" t="str">
        <f>IF(Input!A16="","",Input!A16)</f>
        <v>Passive Risk Level 8</v>
      </c>
      <c r="B15" t="s">
        <v>71</v>
      </c>
      <c r="C15" t="s">
        <v>48</v>
      </c>
      <c r="D15" s="8" t="s">
        <v>85</v>
      </c>
    </row>
    <row r="16" spans="1:5" x14ac:dyDescent="0.35">
      <c r="A16" t="str">
        <f>IF(Input!A17="","",Input!A17)</f>
        <v>Risk Level 9</v>
      </c>
      <c r="B16" t="s">
        <v>71</v>
      </c>
      <c r="C16" t="s">
        <v>49</v>
      </c>
      <c r="D16" s="8" t="s">
        <v>86</v>
      </c>
    </row>
    <row r="17" spans="1:4" x14ac:dyDescent="0.35">
      <c r="A17" t="str">
        <f>IF(Input!A18="","",Input!A18)</f>
        <v>Passive Risk Level 9</v>
      </c>
      <c r="B17" t="s">
        <v>71</v>
      </c>
      <c r="C17" t="s">
        <v>50</v>
      </c>
      <c r="D17" s="8" t="s">
        <v>87</v>
      </c>
    </row>
    <row r="18" spans="1:4" x14ac:dyDescent="0.35">
      <c r="A18" t="str">
        <f>IF(Input!A19="","",Input!A19)</f>
        <v>Risk Level 10</v>
      </c>
      <c r="B18" t="s">
        <v>71</v>
      </c>
      <c r="C18" t="s">
        <v>51</v>
      </c>
      <c r="D18" s="8" t="s">
        <v>88</v>
      </c>
    </row>
    <row r="19" spans="1:4" x14ac:dyDescent="0.35">
      <c r="A19" t="str">
        <f>IF(Input!A20="","",Input!A20)</f>
        <v>Passive Risk Level 10</v>
      </c>
      <c r="B19" t="s">
        <v>71</v>
      </c>
      <c r="C19" t="s">
        <v>52</v>
      </c>
      <c r="D19" s="8" t="s">
        <v>89</v>
      </c>
    </row>
    <row r="20" spans="1:4" x14ac:dyDescent="0.35">
      <c r="A20" t="str">
        <f>IF(Input!A21="","",Input!A21)</f>
        <v/>
      </c>
    </row>
    <row r="21" spans="1:4" x14ac:dyDescent="0.35">
      <c r="A21" t="str">
        <f>IF(Input!A22="","",Input!A22)</f>
        <v/>
      </c>
    </row>
    <row r="22" spans="1:4" x14ac:dyDescent="0.35">
      <c r="A22" t="str">
        <f>IF(Input!A23="","",Input!A23)</f>
        <v/>
      </c>
    </row>
    <row r="23" spans="1:4" x14ac:dyDescent="0.35">
      <c r="A23" t="str">
        <f>IF(Input!A24="","",Input!A24)</f>
        <v/>
      </c>
    </row>
    <row r="24" spans="1:4" x14ac:dyDescent="0.35">
      <c r="A24" t="str">
        <f>IF(Input!A25="","",Input!A25)</f>
        <v/>
      </c>
    </row>
    <row r="25" spans="1:4" x14ac:dyDescent="0.35">
      <c r="A25" t="str">
        <f>IF(Input!A26="","",Input!A26)</f>
        <v/>
      </c>
    </row>
    <row r="26" spans="1:4" x14ac:dyDescent="0.35">
      <c r="A26" t="str">
        <f>IF(Input!A27="","",Input!A27)</f>
        <v/>
      </c>
    </row>
    <row r="27" spans="1:4" x14ac:dyDescent="0.35">
      <c r="A27" t="str">
        <f>IF(Input!A28="","",Input!A28)</f>
        <v/>
      </c>
    </row>
    <row r="28" spans="1:4" x14ac:dyDescent="0.35">
      <c r="A28" t="str">
        <f>IF(Input!A29="","",Input!A29)</f>
        <v/>
      </c>
    </row>
    <row r="29" spans="1:4" x14ac:dyDescent="0.35">
      <c r="A29" t="str">
        <f>IF(Input!A30="","",Input!A30)</f>
        <v/>
      </c>
    </row>
    <row r="30" spans="1:4" x14ac:dyDescent="0.35">
      <c r="A30" t="str">
        <f>IF(Input!A31="","",Input!A31)</f>
        <v/>
      </c>
    </row>
    <row r="31" spans="1:4" x14ac:dyDescent="0.35">
      <c r="A31" t="str">
        <f>IF(Input!A32="","",Input!A32)</f>
        <v/>
      </c>
    </row>
    <row r="32" spans="1:4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Risk Level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Passive Risk Level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Risk Level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Passive Risk Level 3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Risk Level 4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Passive Risk Level 4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Risk Level 5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Passive Risk Level 5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Risk Level 6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Passive Risk Level 6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Risk Level 7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Passive Risk Level 7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Risk Level 8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Passive Risk Level 8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Risk Level 9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Passive Risk Level 9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Risk Level 10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Passive Risk Level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Risk Level 2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Passive Risk Level 2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>Risk Level 3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35">
      <c r="A5" t="str">
        <f>IF(Input!A6="","",Input!A6)</f>
        <v>Passive Risk Level 3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35">
      <c r="A6" t="str">
        <f>IF(Input!A7="","",Input!A7)</f>
        <v>Risk Level 4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35">
      <c r="A7" t="str">
        <f>IF(Input!A8="","",Input!A8)</f>
        <v>Passive Risk Level 4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35">
      <c r="A8" t="str">
        <f>IF(Input!A9="","",Input!A9)</f>
        <v>Risk Level 5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35">
      <c r="A9" t="str">
        <f>IF(Input!A10="","",Input!A10)</f>
        <v>Passive Risk Level 5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35">
      <c r="A10" t="str">
        <f>IF(Input!A11="","",Input!A11)</f>
        <v>Risk Level 6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35">
      <c r="A11" t="str">
        <f>IF(Input!A12="","",Input!A12)</f>
        <v>Passive Risk Level 6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35">
      <c r="A12" t="str">
        <f>IF(Input!A13="","",Input!A13)</f>
        <v>Risk Level 7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35">
      <c r="A13" t="str">
        <f>IF(Input!A14="","",Input!A14)</f>
        <v>Passive Risk Level 7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35">
      <c r="A14" t="str">
        <f>IF(Input!A15="","",Input!A15)</f>
        <v>Risk Level 8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35">
      <c r="A15" t="str">
        <f>IF(Input!A16="","",Input!A16)</f>
        <v>Passive Risk Level 8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35">
      <c r="A16" t="str">
        <f>IF(Input!A17="","",Input!A17)</f>
        <v>Risk Level 9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35">
      <c r="A17" t="str">
        <f>IF(Input!A18="","",Input!A18)</f>
        <v>Passive Risk Level 9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35">
      <c r="A18" t="str">
        <f>IF(Input!A19="","",Input!A19)</f>
        <v>Risk Level 10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35">
      <c r="A19" t="str">
        <f>IF(Input!A20="","",Input!A20)</f>
        <v>Passive Risk Level 10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3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3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3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3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3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3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3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Risk Level 2</v>
      </c>
      <c r="B2">
        <f>IF(A2="","",SUM('Asset Allocation'!C2,'Asset Allocation'!D2,'Asset Allocation'!F2,'Asset Allocation'!G2,'Asset Allocation'!I2,'Asset Allocation'!K2,'Asset Allocation'!O2,'Asset Allocation'!L2))</f>
        <v>0</v>
      </c>
      <c r="C2">
        <f>IF(A2="","",SUM('Asset Allocation'!B2,'Asset Allocation'!E2,'Asset Allocation'!J2,'Asset Allocation'!N2))</f>
        <v>0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Passive Risk Level 2</v>
      </c>
      <c r="B3">
        <f>IF(A3="","",SUM('Asset Allocation'!C3,'Asset Allocation'!D3,'Asset Allocation'!F3,'Asset Allocation'!G3,'Asset Allocation'!I3,'Asset Allocation'!K3,'Asset Allocation'!O3,'Asset Allocation'!L3))</f>
        <v>0</v>
      </c>
      <c r="C3">
        <f>IF(A3="","",SUM('Asset Allocation'!B3,'Asset Allocation'!E3,'Asset Allocation'!J3,'Asset Allocation'!N3))</f>
        <v>0</v>
      </c>
      <c r="F3">
        <f>IF(A3="","",SUM('Asset Allocation'!M3))</f>
        <v>0</v>
      </c>
      <c r="G3">
        <f>IF(A3="","",SUM('Asset Allocation'!H3))</f>
        <v>0</v>
      </c>
      <c r="H3">
        <f t="shared" si="0"/>
        <v>1</v>
      </c>
    </row>
    <row r="4" spans="1:8" x14ac:dyDescent="0.35">
      <c r="A4" t="str">
        <f>IF(Input!A5="","",Input!A5)</f>
        <v>Risk Level 3</v>
      </c>
      <c r="B4">
        <f>IF(A4="","",SUM('Asset Allocation'!C4,'Asset Allocation'!D4,'Asset Allocation'!F4,'Asset Allocation'!G4,'Asset Allocation'!I4,'Asset Allocation'!K4,'Asset Allocation'!O4,'Asset Allocation'!L4))</f>
        <v>0</v>
      </c>
      <c r="C4">
        <f>IF(A4="","",SUM('Asset Allocation'!B4,'Asset Allocation'!E4,'Asset Allocation'!J4,'Asset Allocation'!N4))</f>
        <v>0</v>
      </c>
      <c r="F4">
        <f>IF(A4="","",SUM('Asset Allocation'!M4))</f>
        <v>0</v>
      </c>
      <c r="G4">
        <f>IF(A4="","",SUM('Asset Allocation'!H4))</f>
        <v>0</v>
      </c>
      <c r="H4">
        <f t="shared" si="0"/>
        <v>1</v>
      </c>
    </row>
    <row r="5" spans="1:8" x14ac:dyDescent="0.35">
      <c r="A5" t="str">
        <f>IF(Input!A6="","",Input!A6)</f>
        <v>Passive Risk Level 3</v>
      </c>
      <c r="B5">
        <f>IF(A5="","",SUM('Asset Allocation'!C5,'Asset Allocation'!D5,'Asset Allocation'!F5,'Asset Allocation'!G5,'Asset Allocation'!I5,'Asset Allocation'!K5,'Asset Allocation'!O5,'Asset Allocation'!L5))</f>
        <v>0</v>
      </c>
      <c r="C5">
        <f>IF(A5="","",SUM('Asset Allocation'!B5,'Asset Allocation'!E5,'Asset Allocation'!J5,'Asset Allocation'!N5))</f>
        <v>0</v>
      </c>
      <c r="F5">
        <f>IF(A5="","",SUM('Asset Allocation'!M5))</f>
        <v>0</v>
      </c>
      <c r="G5">
        <f>IF(A5="","",SUM('Asset Allocation'!H5))</f>
        <v>0</v>
      </c>
      <c r="H5">
        <f t="shared" si="0"/>
        <v>1</v>
      </c>
    </row>
    <row r="6" spans="1:8" x14ac:dyDescent="0.35">
      <c r="A6" t="str">
        <f>IF(Input!A7="","",Input!A7)</f>
        <v>Risk Level 4</v>
      </c>
      <c r="B6">
        <f>IF(A6="","",SUM('Asset Allocation'!C6,'Asset Allocation'!D6,'Asset Allocation'!F6,'Asset Allocation'!G6,'Asset Allocation'!I6,'Asset Allocation'!K6,'Asset Allocation'!O6,'Asset Allocation'!L6))</f>
        <v>0</v>
      </c>
      <c r="C6">
        <f>IF(A6="","",SUM('Asset Allocation'!B6,'Asset Allocation'!E6,'Asset Allocation'!J6,'Asset Allocation'!N6))</f>
        <v>0</v>
      </c>
      <c r="F6">
        <f>IF(A6="","",SUM('Asset Allocation'!M6))</f>
        <v>0</v>
      </c>
      <c r="G6">
        <f>IF(A6="","",SUM('Asset Allocation'!H6))</f>
        <v>0</v>
      </c>
      <c r="H6">
        <f t="shared" si="0"/>
        <v>1</v>
      </c>
    </row>
    <row r="7" spans="1:8" x14ac:dyDescent="0.35">
      <c r="A7" t="str">
        <f>IF(Input!A8="","",Input!A8)</f>
        <v>Passive Risk Level 4</v>
      </c>
      <c r="B7">
        <f>IF(A7="","",SUM('Asset Allocation'!C7,'Asset Allocation'!D7,'Asset Allocation'!F7,'Asset Allocation'!G7,'Asset Allocation'!I7,'Asset Allocation'!K7,'Asset Allocation'!O7,'Asset Allocation'!L7))</f>
        <v>0</v>
      </c>
      <c r="C7">
        <f>IF(A7="","",SUM('Asset Allocation'!B7,'Asset Allocation'!E7,'Asset Allocation'!J7,'Asset Allocation'!N7))</f>
        <v>0</v>
      </c>
      <c r="F7">
        <f>IF(A7="","",SUM('Asset Allocation'!M7))</f>
        <v>0</v>
      </c>
      <c r="G7">
        <f>IF(A7="","",SUM('Asset Allocation'!H7))</f>
        <v>0</v>
      </c>
      <c r="H7">
        <f t="shared" si="0"/>
        <v>1</v>
      </c>
    </row>
    <row r="8" spans="1:8" x14ac:dyDescent="0.35">
      <c r="A8" t="str">
        <f>IF(Input!A9="","",Input!A9)</f>
        <v>Risk Level 5</v>
      </c>
      <c r="B8">
        <f>IF(A8="","",SUM('Asset Allocation'!C8,'Asset Allocation'!D8,'Asset Allocation'!F8,'Asset Allocation'!G8,'Asset Allocation'!I8,'Asset Allocation'!K8,'Asset Allocation'!O8,'Asset Allocation'!L8))</f>
        <v>0</v>
      </c>
      <c r="C8">
        <f>IF(A8="","",SUM('Asset Allocation'!B8,'Asset Allocation'!E8,'Asset Allocation'!J8,'Asset Allocation'!N8))</f>
        <v>0</v>
      </c>
      <c r="F8">
        <f>IF(A8="","",SUM('Asset Allocation'!M8))</f>
        <v>0</v>
      </c>
      <c r="G8">
        <f>IF(A8="","",SUM('Asset Allocation'!H8))</f>
        <v>0</v>
      </c>
      <c r="H8">
        <f t="shared" si="0"/>
        <v>1</v>
      </c>
    </row>
    <row r="9" spans="1:8" x14ac:dyDescent="0.35">
      <c r="A9" t="str">
        <f>IF(Input!A10="","",Input!A10)</f>
        <v>Passive Risk Level 5</v>
      </c>
      <c r="B9">
        <f>IF(A9="","",SUM('Asset Allocation'!C9,'Asset Allocation'!D9,'Asset Allocation'!F9,'Asset Allocation'!G9,'Asset Allocation'!I9,'Asset Allocation'!K9,'Asset Allocation'!O9,'Asset Allocation'!L9))</f>
        <v>0</v>
      </c>
      <c r="C9">
        <f>IF(A9="","",SUM('Asset Allocation'!B9,'Asset Allocation'!E9,'Asset Allocation'!J9,'Asset Allocation'!N9))</f>
        <v>0</v>
      </c>
      <c r="F9">
        <f>IF(A9="","",SUM('Asset Allocation'!M9))</f>
        <v>0</v>
      </c>
      <c r="G9">
        <f>IF(A9="","",SUM('Asset Allocation'!H9))</f>
        <v>0</v>
      </c>
      <c r="H9">
        <f t="shared" si="0"/>
        <v>1</v>
      </c>
    </row>
    <row r="10" spans="1:8" x14ac:dyDescent="0.35">
      <c r="A10" t="str">
        <f>IF(Input!A11="","",Input!A11)</f>
        <v>Risk Level 6</v>
      </c>
      <c r="B10">
        <f>IF(A10="","",SUM('Asset Allocation'!C10,'Asset Allocation'!D10,'Asset Allocation'!F10,'Asset Allocation'!G10,'Asset Allocation'!I10,'Asset Allocation'!K10,'Asset Allocation'!O10,'Asset Allocation'!L10))</f>
        <v>0</v>
      </c>
      <c r="C10">
        <f>IF(A10="","",SUM('Asset Allocation'!B10,'Asset Allocation'!E10,'Asset Allocation'!J10,'Asset Allocation'!N10))</f>
        <v>0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1</v>
      </c>
    </row>
    <row r="11" spans="1:8" x14ac:dyDescent="0.35">
      <c r="A11" t="str">
        <f>IF(Input!A12="","",Input!A12)</f>
        <v>Passive Risk Level 6</v>
      </c>
      <c r="B11">
        <f>IF(A11="","",SUM('Asset Allocation'!C11,'Asset Allocation'!D11,'Asset Allocation'!F11,'Asset Allocation'!G11,'Asset Allocation'!I11,'Asset Allocation'!K11,'Asset Allocation'!O11,'Asset Allocation'!L11))</f>
        <v>0</v>
      </c>
      <c r="C11">
        <f>IF(A11="","",SUM('Asset Allocation'!B11,'Asset Allocation'!E11,'Asset Allocation'!J11,'Asset Allocation'!N11))</f>
        <v>0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</v>
      </c>
    </row>
    <row r="12" spans="1:8" x14ac:dyDescent="0.35">
      <c r="A12" t="str">
        <f>IF(Input!A13="","",Input!A13)</f>
        <v>Risk Level 7</v>
      </c>
      <c r="B12">
        <f>IF(A12="","",SUM('Asset Allocation'!C12,'Asset Allocation'!D12,'Asset Allocation'!F12,'Asset Allocation'!G12,'Asset Allocation'!I12,'Asset Allocation'!K12,'Asset Allocation'!O12,'Asset Allocation'!L12))</f>
        <v>0</v>
      </c>
      <c r="C12">
        <f>IF(A12="","",SUM('Asset Allocation'!B12,'Asset Allocation'!E12,'Asset Allocation'!J12,'Asset Allocation'!N12))</f>
        <v>0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1</v>
      </c>
    </row>
    <row r="13" spans="1:8" x14ac:dyDescent="0.35">
      <c r="A13" t="str">
        <f>IF(Input!A14="","",Input!A14)</f>
        <v>Passive Risk Level 7</v>
      </c>
      <c r="B13">
        <f>IF(A13="","",SUM('Asset Allocation'!C13,'Asset Allocation'!D13,'Asset Allocation'!F13,'Asset Allocation'!G13,'Asset Allocation'!I13,'Asset Allocation'!K13,'Asset Allocation'!O13,'Asset Allocation'!L13))</f>
        <v>0</v>
      </c>
      <c r="C13">
        <f>IF(A13="","",SUM('Asset Allocation'!B13,'Asset Allocation'!E13,'Asset Allocation'!J13,'Asset Allocation'!N13))</f>
        <v>0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1</v>
      </c>
    </row>
    <row r="14" spans="1:8" x14ac:dyDescent="0.35">
      <c r="A14" t="str">
        <f>IF(Input!A15="","",Input!A15)</f>
        <v>Risk Level 8</v>
      </c>
      <c r="B14">
        <f>IF(A14="","",SUM('Asset Allocation'!C14,'Asset Allocation'!D14,'Asset Allocation'!F14,'Asset Allocation'!G14,'Asset Allocation'!I14,'Asset Allocation'!K14,'Asset Allocation'!O14,'Asset Allocation'!L14))</f>
        <v>0</v>
      </c>
      <c r="C14">
        <f>IF(A14="","",SUM('Asset Allocation'!B14,'Asset Allocation'!E14,'Asset Allocation'!J14,'Asset Allocation'!N14))</f>
        <v>0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</v>
      </c>
    </row>
    <row r="15" spans="1:8" x14ac:dyDescent="0.35">
      <c r="A15" t="str">
        <f>IF(Input!A16="","",Input!A16)</f>
        <v>Passive Risk Level 8</v>
      </c>
      <c r="B15">
        <f>IF(A15="","",SUM('Asset Allocation'!C15,'Asset Allocation'!D15,'Asset Allocation'!F15,'Asset Allocation'!G15,'Asset Allocation'!I15,'Asset Allocation'!K15,'Asset Allocation'!O15,'Asset Allocation'!L15))</f>
        <v>0</v>
      </c>
      <c r="C15">
        <f>IF(A15="","",SUM('Asset Allocation'!B15,'Asset Allocation'!E15,'Asset Allocation'!J15,'Asset Allocation'!N15))</f>
        <v>0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1</v>
      </c>
    </row>
    <row r="16" spans="1:8" x14ac:dyDescent="0.35">
      <c r="A16" t="str">
        <f>IF(Input!A17="","",Input!A17)</f>
        <v>Risk Level 9</v>
      </c>
      <c r="B16">
        <f>IF(A16="","",SUM('Asset Allocation'!C16,'Asset Allocation'!D16,'Asset Allocation'!F16,'Asset Allocation'!G16,'Asset Allocation'!I16,'Asset Allocation'!K16,'Asset Allocation'!O16,'Asset Allocation'!L16))</f>
        <v>0</v>
      </c>
      <c r="C16">
        <f>IF(A16="","",SUM('Asset Allocation'!B16,'Asset Allocation'!E16,'Asset Allocation'!J16,'Asset Allocation'!N16))</f>
        <v>0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</v>
      </c>
    </row>
    <row r="17" spans="1:8" x14ac:dyDescent="0.35">
      <c r="A17" t="str">
        <f>IF(Input!A18="","",Input!A18)</f>
        <v>Passive Risk Level 9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1</v>
      </c>
    </row>
    <row r="18" spans="1:8" x14ac:dyDescent="0.35">
      <c r="A18" t="str">
        <f>IF(Input!A19="","",Input!A19)</f>
        <v>Risk Level 10</v>
      </c>
      <c r="B18">
        <f>IF(A18="","",SUM('Asset Allocation'!C18,'Asset Allocation'!D18,'Asset Allocation'!F18,'Asset Allocation'!G18,'Asset Allocation'!I18,'Asset Allocation'!K18,'Asset Allocation'!O18,'Asset Allocation'!L18))</f>
        <v>0</v>
      </c>
      <c r="C18">
        <f>IF(A18="","",SUM('Asset Allocation'!B18,'Asset Allocation'!E18,'Asset Allocation'!J18,'Asset Allocation'!N18))</f>
        <v>0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</v>
      </c>
    </row>
    <row r="19" spans="1:8" x14ac:dyDescent="0.35">
      <c r="A19" t="str">
        <f>IF(Input!A20="","",Input!A20)</f>
        <v>Passive Risk Level 10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0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1</v>
      </c>
    </row>
    <row r="20" spans="1:8" x14ac:dyDescent="0.35">
      <c r="A20" t="str">
        <f>IF(Input!A21="","",Input!A21)</f>
        <v/>
      </c>
      <c r="B20" t="str">
        <f>IF(A20="","",SUM('Asset Allocation'!C20,'Asset Allocation'!D20,'Asset Allocation'!F20,'Asset Allocation'!G20,'Asset Allocation'!I20,'Asset Allocation'!K20,'Asset Allocation'!O20,'Asset Allocation'!L20))</f>
        <v/>
      </c>
      <c r="C20" t="str">
        <f>IF(A20="","",SUM('Asset Allocation'!B20,'Asset Allocation'!E20,'Asset Allocation'!J20,'Asset Allocation'!N20))</f>
        <v/>
      </c>
      <c r="F20" t="str">
        <f>IF(A20="","",SUM('Asset Allocation'!M20))</f>
        <v/>
      </c>
      <c r="G20" t="str">
        <f>IF(A20="","",SUM('Asset Allocation'!H20))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Allocation'!C21,'Asset Allocation'!D21,'Asset Allocation'!F21,'Asset Allocation'!G21,'Asset Allocation'!I21,'Asset Allocation'!K21,'Asset Allocation'!O21,'Asset Allocation'!L21))</f>
        <v/>
      </c>
      <c r="C21" t="str">
        <f>IF(A21="","",SUM('Asset Allocation'!B21,'Asset Allocation'!E21,'Asset Allocation'!J21,'Asset Allocation'!N21))</f>
        <v/>
      </c>
      <c r="F21" t="str">
        <f>IF(A21="","",SUM('Asset Allocation'!M21))</f>
        <v/>
      </c>
      <c r="G21" t="str">
        <f>IF(A21="","",SUM('Asset Allocation'!H21))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Allocation'!C22,'Asset Allocation'!D22,'Asset Allocation'!F22,'Asset Allocation'!G22,'Asset Allocation'!I22,'Asset Allocation'!K22,'Asset Allocation'!O22,'Asset Allocation'!L22))</f>
        <v/>
      </c>
      <c r="C22" t="str">
        <f>IF(A22="","",SUM('Asset Allocation'!B22,'Asset Allocation'!E22,'Asset Allocation'!J22,'Asset Allocation'!N22))</f>
        <v/>
      </c>
      <c r="F22" t="str">
        <f>IF(A22="","",SUM('Asset Allocation'!M22))</f>
        <v/>
      </c>
      <c r="G22" t="str">
        <f>IF(A22="","",SUM('Asset Allocation'!H22))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Allocation'!C23,'Asset Allocation'!D23,'Asset Allocation'!F23,'Asset Allocation'!G23,'Asset Allocation'!I23,'Asset Allocation'!K23,'Asset Allocation'!O23,'Asset Allocation'!L23))</f>
        <v/>
      </c>
      <c r="C23" t="str">
        <f>IF(A23="","",SUM('Asset Allocation'!B23,'Asset Allocation'!E23,'Asset Allocation'!J23,'Asset Allocation'!N23))</f>
        <v/>
      </c>
      <c r="F23" t="str">
        <f>IF(A23="","",SUM('Asset Allocation'!M23))</f>
        <v/>
      </c>
      <c r="G23" t="str">
        <f>IF(A23="","",SUM('Asset Allocation'!H23))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Allocation'!C24,'Asset Allocation'!D24,'Asset Allocation'!F24,'Asset Allocation'!G24,'Asset Allocation'!I24,'Asset Allocation'!K24,'Asset Allocation'!O24,'Asset Allocation'!L24))</f>
        <v/>
      </c>
      <c r="C24" t="str">
        <f>IF(A24="","",SUM('Asset Allocation'!B24,'Asset Allocation'!E24,'Asset Allocation'!J24,'Asset Allocation'!N24))</f>
        <v/>
      </c>
      <c r="F24" t="str">
        <f>IF(A24="","",SUM('Asset Allocation'!M24))</f>
        <v/>
      </c>
      <c r="G24" t="str">
        <f>IF(A24="","",SUM('Asset Allocation'!H24))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Allocation'!C25,'Asset Allocation'!D25,'Asset Allocation'!F25,'Asset Allocation'!G25,'Asset Allocation'!I25,'Asset Allocation'!K25,'Asset Allocation'!O25,'Asset Allocation'!L25))</f>
        <v/>
      </c>
      <c r="C25" t="str">
        <f>IF(A25="","",SUM('Asset Allocation'!B25,'Asset Allocation'!E25,'Asset Allocation'!J25,'Asset Allocation'!N25))</f>
        <v/>
      </c>
      <c r="F25" t="str">
        <f>IF(A25="","",SUM('Asset Allocation'!M25))</f>
        <v/>
      </c>
      <c r="G25" t="str">
        <f>IF(A25="","",SUM('Asset Allocation'!H25))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Allocation'!C26,'Asset Allocation'!D26,'Asset Allocation'!F26,'Asset Allocation'!G26,'Asset Allocation'!I26,'Asset Allocation'!K26,'Asset Allocation'!O26,'Asset Allocation'!L26))</f>
        <v/>
      </c>
      <c r="C26" t="str">
        <f>IF(A26="","",SUM('Asset Allocation'!B26,'Asset Allocation'!E26,'Asset Allocation'!J26,'Asset Allocation'!N26))</f>
        <v/>
      </c>
      <c r="F26" t="str">
        <f>IF(A26="","",SUM('Asset Allocation'!M26))</f>
        <v/>
      </c>
      <c r="G26" t="str">
        <f>IF(A26="","",SUM('Asset Allocation'!H26))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Allocation'!C27,'Asset Allocation'!D27,'Asset Allocation'!F27,'Asset Allocation'!G27,'Asset Allocation'!I27,'Asset Allocation'!K27,'Asset Allocation'!O27,'Asset Allocation'!L27))</f>
        <v/>
      </c>
      <c r="C27" t="str">
        <f>IF(A27="","",SUM('Asset Allocation'!B27,'Asset Allocation'!E27,'Asset Allocation'!J27,'Asset Allocation'!N27))</f>
        <v/>
      </c>
      <c r="F27" t="str">
        <f>IF(A27="","",SUM('Asset Allocation'!M27))</f>
        <v/>
      </c>
      <c r="G27" t="str">
        <f>IF(A27="","",SUM('Asset Allocation'!H27))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Allocation'!C28,'Asset Allocation'!D28,'Asset Allocation'!F28,'Asset Allocation'!G28,'Asset Allocation'!I28,'Asset Allocation'!K28,'Asset Allocation'!O28,'Asset Allocation'!L28))</f>
        <v/>
      </c>
      <c r="C28" t="str">
        <f>IF(A28="","",SUM('Asset Allocation'!B28,'Asset Allocation'!E28,'Asset Allocation'!J28,'Asset Allocation'!N28))</f>
        <v/>
      </c>
      <c r="F28" t="str">
        <f>IF(A28="","",SUM('Asset Allocation'!M28))</f>
        <v/>
      </c>
      <c r="G28" t="str">
        <f>IF(A28="","",SUM('Asset Allocation'!H28))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Allocation'!C29,'Asset Allocation'!D29,'Asset Allocation'!F29,'Asset Allocation'!G29,'Asset Allocation'!I29,'Asset Allocation'!K29,'Asset Allocation'!O29,'Asset Allocation'!L29))</f>
        <v/>
      </c>
      <c r="C29" t="str">
        <f>IF(A29="","",SUM('Asset Allocation'!B29,'Asset Allocation'!E29,'Asset Allocation'!J29,'Asset Allocation'!N29))</f>
        <v/>
      </c>
      <c r="F29" t="str">
        <f>IF(A29="","",SUM('Asset Allocation'!M29))</f>
        <v/>
      </c>
      <c r="G29" t="str">
        <f>IF(A29="","",SUM('Asset Allocation'!H29))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Allocation'!C30,'Asset Allocation'!D30,'Asset Allocation'!F30,'Asset Allocation'!G30,'Asset Allocation'!I30,'Asset Allocation'!K30,'Asset Allocation'!O30,'Asset Allocation'!L30))</f>
        <v/>
      </c>
      <c r="C30" t="str">
        <f>IF(A30="","",SUM('Asset Allocation'!B30,'Asset Allocation'!E30,'Asset Allocation'!J30,'Asset Allocation'!N30))</f>
        <v/>
      </c>
      <c r="F30" t="str">
        <f>IF(A30="","",SUM('Asset Allocation'!M30))</f>
        <v/>
      </c>
      <c r="G30" t="str">
        <f>IF(A30="","",SUM('Asset Allocation'!H30))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Allocation'!C31,'Asset Allocation'!D31,'Asset Allocation'!F31,'Asset Allocation'!G31,'Asset Allocation'!I31,'Asset Allocation'!K31,'Asset Allocation'!O31,'Asset Allocation'!L31))</f>
        <v/>
      </c>
      <c r="C31" t="str">
        <f>IF(A31="","",SUM('Asset Allocation'!B31,'Asset Allocation'!E31,'Asset Allocation'!J31,'Asset Allocation'!N31))</f>
        <v/>
      </c>
      <c r="F31" t="str">
        <f>IF(A31="","",SUM('Asset Allocation'!M31))</f>
        <v/>
      </c>
      <c r="G31" t="str">
        <f>IF(A31="","",SUM('Asset Allocation'!H31))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Allocation'!C32,'Asset Allocation'!D32,'Asset Allocation'!F32,'Asset Allocation'!G32,'Asset Allocation'!I32,'Asset Allocation'!K32,'Asset Allocation'!O32,'Asset Allocation'!L32))</f>
        <v/>
      </c>
      <c r="C32" t="str">
        <f>IF(A32="","",SUM('Asset Allocation'!B32,'Asset Allocation'!E32,'Asset Allocation'!J32,'Asset Allocation'!N32))</f>
        <v/>
      </c>
      <c r="F32" t="str">
        <f>IF(A32="","",SUM('Asset Allocation'!M32))</f>
        <v/>
      </c>
      <c r="G32" t="str">
        <f>IF(A32="","",SUM('Asset Allocation'!H32))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Allocation'!C33,'Asset Allocation'!D33,'Asset Allocation'!F33,'Asset Allocation'!G33,'Asset Allocation'!I33,'Asset Allocation'!K33,'Asset Allocation'!O33,'Asset Allocation'!L33))</f>
        <v/>
      </c>
      <c r="C33" t="str">
        <f>IF(A33="","",SUM('Asset Allocation'!B33,'Asset Allocation'!E33,'Asset Allocation'!J33,'Asset Allocation'!N33))</f>
        <v/>
      </c>
      <c r="F33" t="str">
        <f>IF(A33="","",SUM('Asset Allocation'!M33))</f>
        <v/>
      </c>
      <c r="G33" t="str">
        <f>IF(A33="","",SUM('Asset Allocation'!H33))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Risk Level 2</v>
      </c>
      <c r="B2" s="6">
        <f>IFERROR(IF(A2="","",SUM('Asset Allocation'!C2)/'Broad Asset Allocation'!B2),0)</f>
        <v>0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35">
      <c r="A3" t="str">
        <f>IF(Input!A4="","",Input!A4)</f>
        <v>Passive Risk Level 2</v>
      </c>
      <c r="B3" s="6">
        <f>IFERROR(IF(A3="","",SUM('Asset Allocation'!C3)/'Broad Asset Allocation'!B3),0)</f>
        <v>0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35">
      <c r="A4" t="str">
        <f>IF(Input!A5="","",Input!A5)</f>
        <v>Risk Level 3</v>
      </c>
      <c r="B4" s="6">
        <f>IFERROR(IF(A4="","",SUM('Asset Allocation'!C4)/'Broad Asset Allocation'!B4),0)</f>
        <v>0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35">
      <c r="A5" t="str">
        <f>IF(Input!A6="","",Input!A6)</f>
        <v>Passive Risk Level 3</v>
      </c>
      <c r="B5" s="6">
        <f>IFERROR(IF(A5="","",SUM('Asset Allocation'!C5)/'Broad Asset Allocation'!B5),0)</f>
        <v>0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35">
      <c r="A6" t="str">
        <f>IF(Input!A7="","",Input!A7)</f>
        <v>Risk Level 4</v>
      </c>
      <c r="B6" s="6">
        <f>IFERROR(IF(A6="","",SUM('Asset Allocation'!C6)/'Broad Asset Allocation'!B6),0)</f>
        <v>0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35">
      <c r="A7" t="str">
        <f>IF(Input!A8="","",Input!A8)</f>
        <v>Passive Risk Level 4</v>
      </c>
      <c r="B7" s="6">
        <f>IFERROR(IF(A7="","",SUM('Asset Allocation'!C7)/'Broad Asset Allocation'!B7),0)</f>
        <v>0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35">
      <c r="A8" t="str">
        <f>IF(Input!A9="","",Input!A9)</f>
        <v>Risk Level 5</v>
      </c>
      <c r="B8" s="6">
        <f>IFERROR(IF(A8="","",SUM('Asset Allocation'!C8)/'Broad Asset Allocation'!B8),0)</f>
        <v>0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35">
      <c r="A9" t="str">
        <f>IF(Input!A10="","",Input!A10)</f>
        <v>Passive Risk Level 5</v>
      </c>
      <c r="B9" s="6">
        <f>IFERROR(IF(A9="","",SUM('Asset Allocation'!C9)/'Broad Asset Allocation'!B9),0)</f>
        <v>0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35">
      <c r="A10" t="str">
        <f>IF(Input!A11="","",Input!A11)</f>
        <v>Risk Level 6</v>
      </c>
      <c r="B10" s="6">
        <f>IFERROR(IF(A10="","",SUM('Asset Allocation'!C10)/'Broad Asset Allocation'!B10),0)</f>
        <v>0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35">
      <c r="A11" t="str">
        <f>IF(Input!A12="","",Input!A12)</f>
        <v>Passive Risk Level 6</v>
      </c>
      <c r="B11" s="6">
        <f>IFERROR(IF(A11="","",SUM('Asset Allocation'!C11)/'Broad Asset Allocation'!B11),0)</f>
        <v>0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35">
      <c r="A12" t="str">
        <f>IF(Input!A13="","",Input!A13)</f>
        <v>Risk Level 7</v>
      </c>
      <c r="B12" s="6">
        <f>IFERROR(IF(A12="","",SUM('Asset Allocation'!C12)/'Broad Asset Allocation'!B12),0)</f>
        <v>0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35">
      <c r="A13" t="str">
        <f>IF(Input!A14="","",Input!A14)</f>
        <v>Passive Risk Level 7</v>
      </c>
      <c r="B13" s="6">
        <f>IFERROR(IF(A13="","",SUM('Asset Allocation'!C13)/'Broad Asset Allocation'!B13),0)</f>
        <v>0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35">
      <c r="A14" t="str">
        <f>IF(Input!A15="","",Input!A15)</f>
        <v>Risk Level 8</v>
      </c>
      <c r="B14" s="6">
        <f>IFERROR(IF(A14="","",SUM('Asset Allocation'!C14)/'Broad Asset Allocation'!B14),0)</f>
        <v>0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35">
      <c r="A15" t="str">
        <f>IF(Input!A16="","",Input!A16)</f>
        <v>Passive Risk Level 8</v>
      </c>
      <c r="B15" s="6">
        <f>IFERROR(IF(A15="","",SUM('Asset Allocation'!C15)/'Broad Asset Allocation'!B15),0)</f>
        <v>0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35">
      <c r="A16" t="str">
        <f>IF(Input!A17="","",Input!A17)</f>
        <v>Risk Level 9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35">
      <c r="A17" t="str">
        <f>IF(Input!A18="","",Input!A18)</f>
        <v>Passive Risk Level 9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35">
      <c r="A18" t="str">
        <f>IF(Input!A19="","",Input!A19)</f>
        <v>Risk Level 10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35">
      <c r="A19" t="str">
        <f>IF(Input!A20="","",Input!A20)</f>
        <v>Passive Risk Level 10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35">
      <c r="A20" t="str">
        <f>IF(Input!A21="","",Input!A21)</f>
        <v/>
      </c>
      <c r="B20" s="6" t="str">
        <f>IFERROR(IF(A20="","",SUM('Asset Allocation'!C20)/'Broad Asset Allocation'!B20),0)</f>
        <v/>
      </c>
      <c r="C20" s="6" t="str">
        <f>IFERROR(IF(A20="","",SUM('Asset Allocation'!I20)/'Broad Asset Allocation'!B20),0)</f>
        <v/>
      </c>
      <c r="D20" s="6" t="str">
        <f>IFERROR(IF(A20="","",SUM('Asset Allocation'!D20)/'Broad Asset Allocation'!B20),0)</f>
        <v/>
      </c>
      <c r="E20" s="6" t="str">
        <f>IFERROR(IF(A20="","",SUM('Asset Allocation'!G20)/'Broad Asset Allocation'!B20),0)</f>
        <v/>
      </c>
      <c r="F20" s="6" t="str">
        <f>IFERROR(IF(A20="","",SUM('Asset Allocation'!F20)/'Broad Asset Allocation'!B20),0)</f>
        <v/>
      </c>
      <c r="G20" s="6" t="str">
        <f>IFERROR(IF(A20="","",SUM('Asset Allocation'!K20,'Asset Allocation'!O20)/'Broad Asset Allocation'!B20),0)</f>
        <v/>
      </c>
      <c r="H20" s="6" t="str">
        <f>IFERROR(IF(A20="","",SUM('Asset Allocation'!L20)/'Broad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Allocation'!C21)/'Broad Asset Allocation'!B21),0)</f>
        <v/>
      </c>
      <c r="C21" s="6" t="str">
        <f>IFERROR(IF(A21="","",SUM('Asset Allocation'!I21)/'Broad Asset Allocation'!B21),0)</f>
        <v/>
      </c>
      <c r="D21" s="6" t="str">
        <f>IFERROR(IF(A21="","",SUM('Asset Allocation'!D21)/'Broad Asset Allocation'!B21),0)</f>
        <v/>
      </c>
      <c r="E21" s="6" t="str">
        <f>IFERROR(IF(A21="","",SUM('Asset Allocation'!G21)/'Broad Asset Allocation'!B21),0)</f>
        <v/>
      </c>
      <c r="F21" s="6" t="str">
        <f>IFERROR(IF(A21="","",SUM('Asset Allocation'!F21)/'Broad Asset Allocation'!B21),0)</f>
        <v/>
      </c>
      <c r="G21" s="6" t="str">
        <f>IFERROR(IF(A21="","",SUM('Asset Allocation'!K21,'Asset Allocation'!O21)/'Broad Asset Allocation'!B21),0)</f>
        <v/>
      </c>
      <c r="H21" s="6" t="str">
        <f>IFERROR(IF(A21="","",SUM('Asset Allocation'!L21)/'Broad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Allocation'!C22)/'Broad Asset Allocation'!B22),0)</f>
        <v/>
      </c>
      <c r="C22" s="6" t="str">
        <f>IFERROR(IF(A22="","",SUM('Asset Allocation'!I22)/'Broad Asset Allocation'!B22),0)</f>
        <v/>
      </c>
      <c r="D22" s="6" t="str">
        <f>IFERROR(IF(A22="","",SUM('Asset Allocation'!D22)/'Broad Asset Allocation'!B22),0)</f>
        <v/>
      </c>
      <c r="E22" s="6" t="str">
        <f>IFERROR(IF(A22="","",SUM('Asset Allocation'!G22)/'Broad Asset Allocation'!B22),0)</f>
        <v/>
      </c>
      <c r="F22" s="6" t="str">
        <f>IFERROR(IF(A22="","",SUM('Asset Allocation'!F22)/'Broad Asset Allocation'!B22),0)</f>
        <v/>
      </c>
      <c r="G22" s="6" t="str">
        <f>IFERROR(IF(A22="","",SUM('Asset Allocation'!K22,'Asset Allocation'!O22)/'Broad Asset Allocation'!B22),0)</f>
        <v/>
      </c>
      <c r="H22" s="6" t="str">
        <f>IFERROR(IF(A22="","",SUM('Asset Allocation'!L22)/'Broad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Allocation'!C23)/'Broad Asset Allocation'!B23),0)</f>
        <v/>
      </c>
      <c r="C23" s="6" t="str">
        <f>IFERROR(IF(A23="","",SUM('Asset Allocation'!I23)/'Broad Asset Allocation'!B23),0)</f>
        <v/>
      </c>
      <c r="D23" s="6" t="str">
        <f>IFERROR(IF(A23="","",SUM('Asset Allocation'!D23)/'Broad Asset Allocation'!B23),0)</f>
        <v/>
      </c>
      <c r="E23" s="6" t="str">
        <f>IFERROR(IF(A23="","",SUM('Asset Allocation'!G23)/'Broad Asset Allocation'!B23),0)</f>
        <v/>
      </c>
      <c r="F23" s="6" t="str">
        <f>IFERROR(IF(A23="","",SUM('Asset Allocation'!F23)/'Broad Asset Allocation'!B23),0)</f>
        <v/>
      </c>
      <c r="G23" s="6" t="str">
        <f>IFERROR(IF(A23="","",SUM('Asset Allocation'!K23,'Asset Allocation'!O23)/'Broad Asset Allocation'!B23),0)</f>
        <v/>
      </c>
      <c r="H23" s="6" t="str">
        <f>IFERROR(IF(A23="","",SUM('Asset Allocation'!L23)/'Broad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Allocation'!C24)/'Broad Asset Allocation'!B24),0)</f>
        <v/>
      </c>
      <c r="C24" s="6" t="str">
        <f>IFERROR(IF(A24="","",SUM('Asset Allocation'!I24)/'Broad Asset Allocation'!B24),0)</f>
        <v/>
      </c>
      <c r="D24" s="6" t="str">
        <f>IFERROR(IF(A24="","",SUM('Asset Allocation'!D24)/'Broad Asset Allocation'!B24),0)</f>
        <v/>
      </c>
      <c r="E24" s="6" t="str">
        <f>IFERROR(IF(A24="","",SUM('Asset Allocation'!G24)/'Broad Asset Allocation'!B24),0)</f>
        <v/>
      </c>
      <c r="F24" s="6" t="str">
        <f>IFERROR(IF(A24="","",SUM('Asset Allocation'!F24)/'Broad Asset Allocation'!B24),0)</f>
        <v/>
      </c>
      <c r="G24" s="6" t="str">
        <f>IFERROR(IF(A24="","",SUM('Asset Allocation'!K24,'Asset Allocation'!O24)/'Broad Asset Allocation'!B24),0)</f>
        <v/>
      </c>
      <c r="H24" s="6" t="str">
        <f>IFERROR(IF(A24="","",SUM('Asset Allocation'!L24)/'Broad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Allocation'!C25)/'Broad Asset Allocation'!B25),0)</f>
        <v/>
      </c>
      <c r="C25" s="6" t="str">
        <f>IFERROR(IF(A25="","",SUM('Asset Allocation'!I25)/'Broad Asset Allocation'!B25),0)</f>
        <v/>
      </c>
      <c r="D25" s="6" t="str">
        <f>IFERROR(IF(A25="","",SUM('Asset Allocation'!D25)/'Broad Asset Allocation'!B25),0)</f>
        <v/>
      </c>
      <c r="E25" s="6" t="str">
        <f>IFERROR(IF(A25="","",SUM('Asset Allocation'!G25)/'Broad Asset Allocation'!B25),0)</f>
        <v/>
      </c>
      <c r="F25" s="6" t="str">
        <f>IFERROR(IF(A25="","",SUM('Asset Allocation'!F25)/'Broad Asset Allocation'!B25),0)</f>
        <v/>
      </c>
      <c r="G25" s="6" t="str">
        <f>IFERROR(IF(A25="","",SUM('Asset Allocation'!K25,'Asset Allocation'!O25)/'Broad Asset Allocation'!B25),0)</f>
        <v/>
      </c>
      <c r="H25" s="6" t="str">
        <f>IFERROR(IF(A25="","",SUM('Asset Allocation'!L25)/'Broad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Allocation'!C26)/'Broad Asset Allocation'!B26),0)</f>
        <v/>
      </c>
      <c r="C26" s="6" t="str">
        <f>IFERROR(IF(A26="","",SUM('Asset Allocation'!I26)/'Broad Asset Allocation'!B26),0)</f>
        <v/>
      </c>
      <c r="D26" s="6" t="str">
        <f>IFERROR(IF(A26="","",SUM('Asset Allocation'!D26)/'Broad Asset Allocation'!B26),0)</f>
        <v/>
      </c>
      <c r="E26" s="6" t="str">
        <f>IFERROR(IF(A26="","",SUM('Asset Allocation'!G26)/'Broad Asset Allocation'!B26),0)</f>
        <v/>
      </c>
      <c r="F26" s="6" t="str">
        <f>IFERROR(IF(A26="","",SUM('Asset Allocation'!F26)/'Broad Asset Allocation'!B26),0)</f>
        <v/>
      </c>
      <c r="G26" s="6" t="str">
        <f>IFERROR(IF(A26="","",SUM('Asset Allocation'!K26,'Asset Allocation'!O26)/'Broad Asset Allocation'!B26),0)</f>
        <v/>
      </c>
      <c r="H26" s="6" t="str">
        <f>IFERROR(IF(A26="","",SUM('Asset Allocation'!L26)/'Broad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Allocation'!C27)/'Broad Asset Allocation'!B27),0)</f>
        <v/>
      </c>
      <c r="C27" s="6" t="str">
        <f>IFERROR(IF(A27="","",SUM('Asset Allocation'!I27)/'Broad Asset Allocation'!B27),0)</f>
        <v/>
      </c>
      <c r="D27" s="6" t="str">
        <f>IFERROR(IF(A27="","",SUM('Asset Allocation'!D27)/'Broad Asset Allocation'!B27),0)</f>
        <v/>
      </c>
      <c r="E27" s="6" t="str">
        <f>IFERROR(IF(A27="","",SUM('Asset Allocation'!G27)/'Broad Asset Allocation'!B27),0)</f>
        <v/>
      </c>
      <c r="F27" s="6" t="str">
        <f>IFERROR(IF(A27="","",SUM('Asset Allocation'!F27)/'Broad Asset Allocation'!B27),0)</f>
        <v/>
      </c>
      <c r="G27" s="6" t="str">
        <f>IFERROR(IF(A27="","",SUM('Asset Allocation'!K27,'Asset Allocation'!O27)/'Broad Asset Allocation'!B27),0)</f>
        <v/>
      </c>
      <c r="H27" s="6" t="str">
        <f>IFERROR(IF(A27="","",SUM('Asset Allocation'!L27)/'Broad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Allocation'!C28)/'Broad Asset Allocation'!B28),0)</f>
        <v/>
      </c>
      <c r="C28" s="6" t="str">
        <f>IFERROR(IF(A28="","",SUM('Asset Allocation'!I28)/'Broad Asset Allocation'!B28),0)</f>
        <v/>
      </c>
      <c r="D28" s="6" t="str">
        <f>IFERROR(IF(A28="","",SUM('Asset Allocation'!D28)/'Broad Asset Allocation'!B28),0)</f>
        <v/>
      </c>
      <c r="E28" s="6" t="str">
        <f>IFERROR(IF(A28="","",SUM('Asset Allocation'!G28)/'Broad Asset Allocation'!B28),0)</f>
        <v/>
      </c>
      <c r="F28" s="6" t="str">
        <f>IFERROR(IF(A28="","",SUM('Asset Allocation'!F28)/'Broad Asset Allocation'!B28),0)</f>
        <v/>
      </c>
      <c r="G28" s="6" t="str">
        <f>IFERROR(IF(A28="","",SUM('Asset Allocation'!K28,'Asset Allocation'!O28)/'Broad Asset Allocation'!B28),0)</f>
        <v/>
      </c>
      <c r="H28" s="6" t="str">
        <f>IFERROR(IF(A28="","",SUM('Asset Allocation'!L28)/'Broad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Allocation'!C29)/'Broad Asset Allocation'!B29),0)</f>
        <v/>
      </c>
      <c r="C29" s="6" t="str">
        <f>IFERROR(IF(A29="","",SUM('Asset Allocation'!I29)/'Broad Asset Allocation'!B29),0)</f>
        <v/>
      </c>
      <c r="D29" s="6" t="str">
        <f>IFERROR(IF(A29="","",SUM('Asset Allocation'!D29)/'Broad Asset Allocation'!B29),0)</f>
        <v/>
      </c>
      <c r="E29" s="6" t="str">
        <f>IFERROR(IF(A29="","",SUM('Asset Allocation'!G29)/'Broad Asset Allocation'!B29),0)</f>
        <v/>
      </c>
      <c r="F29" s="6" t="str">
        <f>IFERROR(IF(A29="","",SUM('Asset Allocation'!F29)/'Broad Asset Allocation'!B29),0)</f>
        <v/>
      </c>
      <c r="G29" s="6" t="str">
        <f>IFERROR(IF(A29="","",SUM('Asset Allocation'!K29,'Asset Allocation'!O29)/'Broad Asset Allocation'!B29),0)</f>
        <v/>
      </c>
      <c r="H29" s="6" t="str">
        <f>IFERROR(IF(A29="","",SUM('Asset Allocation'!L29)/'Broad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Allocation'!C30)/'Broad Asset Allocation'!B30),0)</f>
        <v/>
      </c>
      <c r="C30" s="6" t="str">
        <f>IFERROR(IF(A30="","",SUM('Asset Allocation'!I30)/'Broad Asset Allocation'!B30),0)</f>
        <v/>
      </c>
      <c r="D30" s="6" t="str">
        <f>IFERROR(IF(A30="","",SUM('Asset Allocation'!D30)/'Broad Asset Allocation'!B30),0)</f>
        <v/>
      </c>
      <c r="E30" s="6" t="str">
        <f>IFERROR(IF(A30="","",SUM('Asset Allocation'!G30)/'Broad Asset Allocation'!B30),0)</f>
        <v/>
      </c>
      <c r="F30" s="6" t="str">
        <f>IFERROR(IF(A30="","",SUM('Asset Allocation'!F30)/'Broad Asset Allocation'!B30),0)</f>
        <v/>
      </c>
      <c r="G30" s="6" t="str">
        <f>IFERROR(IF(A30="","",SUM('Asset Allocation'!K30,'Asset Allocation'!O30)/'Broad Asset Allocation'!B30),0)</f>
        <v/>
      </c>
      <c r="H30" s="6" t="str">
        <f>IFERROR(IF(A30="","",SUM('Asset Allocation'!L30)/'Broad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Allocation'!C31)/'Broad Asset Allocation'!B31),0)</f>
        <v/>
      </c>
      <c r="C31" s="6" t="str">
        <f>IFERROR(IF(A31="","",SUM('Asset Allocation'!I31)/'Broad Asset Allocation'!B31),0)</f>
        <v/>
      </c>
      <c r="D31" s="6" t="str">
        <f>IFERROR(IF(A31="","",SUM('Asset Allocation'!D31)/'Broad Asset Allocation'!B31),0)</f>
        <v/>
      </c>
      <c r="E31" s="6" t="str">
        <f>IFERROR(IF(A31="","",SUM('Asset Allocation'!G31)/'Broad Asset Allocation'!B31),0)</f>
        <v/>
      </c>
      <c r="F31" s="6" t="str">
        <f>IFERROR(IF(A31="","",SUM('Asset Allocation'!F31)/'Broad Asset Allocation'!B31),0)</f>
        <v/>
      </c>
      <c r="G31" s="6" t="str">
        <f>IFERROR(IF(A31="","",SUM('Asset Allocation'!K31,'Asset Allocation'!O31)/'Broad Asset Allocation'!B31),0)</f>
        <v/>
      </c>
      <c r="H31" s="6" t="str">
        <f>IFERROR(IF(A31="","",SUM('Asset Allocation'!L31)/'Broad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Allocation'!C32)/'Broad Asset Allocation'!B32),0)</f>
        <v/>
      </c>
      <c r="C32" s="6" t="str">
        <f>IFERROR(IF(A32="","",SUM('Asset Allocation'!I32)/'Broad Asset Allocation'!B32),0)</f>
        <v/>
      </c>
      <c r="D32" s="6" t="str">
        <f>IFERROR(IF(A32="","",SUM('Asset Allocation'!D32)/'Broad Asset Allocation'!B32),0)</f>
        <v/>
      </c>
      <c r="E32" s="6" t="str">
        <f>IFERROR(IF(A32="","",SUM('Asset Allocation'!G32)/'Broad Asset Allocation'!B32),0)</f>
        <v/>
      </c>
      <c r="F32" s="6" t="str">
        <f>IFERROR(IF(A32="","",SUM('Asset Allocation'!F32)/'Broad Asset Allocation'!B32),0)</f>
        <v/>
      </c>
      <c r="G32" s="6" t="str">
        <f>IFERROR(IF(A32="","",SUM('Asset Allocation'!K32,'Asset Allocation'!O32)/'Broad Asset Allocation'!B32),0)</f>
        <v/>
      </c>
      <c r="H32" s="6" t="str">
        <f>IFERROR(IF(A32="","",SUM('Asset Allocation'!L32)/'Broad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Allocation'!C33)/'Broad Asset Allocation'!B33),0)</f>
        <v/>
      </c>
      <c r="C33" s="6" t="str">
        <f>IFERROR(IF(A33="","",SUM('Asset Allocation'!I33)/'Broad Asset Allocation'!B33),0)</f>
        <v/>
      </c>
      <c r="D33" s="6" t="str">
        <f>IFERROR(IF(A33="","",SUM('Asset Allocation'!D33)/'Broad Asset Allocation'!B33),0)</f>
        <v/>
      </c>
      <c r="E33" s="6" t="str">
        <f>IFERROR(IF(A33="","",SUM('Asset Allocation'!G33)/'Broad Asset Allocation'!B33),0)</f>
        <v/>
      </c>
      <c r="F33" s="6" t="str">
        <f>IFERROR(IF(A33="","",SUM('Asset Allocation'!F33)/'Broad Asset Allocation'!B33),0)</f>
        <v/>
      </c>
      <c r="G33" s="6" t="str">
        <f>IFERROR(IF(A33="","",SUM('Asset Allocation'!K33,'Asset Allocation'!O33)/'Broad Asset Allocation'!B33),0)</f>
        <v/>
      </c>
      <c r="H33" s="6" t="str">
        <f>IFERROR(IF(A33="","",SUM('Asset Allocation'!L33)/'Broad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Risk Level 2</v>
      </c>
      <c r="H2">
        <f>IFERROR(IF(A2="","",SUM('Broad Asset Allocation'!C2)/'Broad Asset Allocation'!C2),0)</f>
        <v>0</v>
      </c>
    </row>
    <row r="3" spans="1:8" x14ac:dyDescent="0.35">
      <c r="A3" t="str">
        <f>IF(Input!A4="","",Input!A4)</f>
        <v>Passive Risk Level 2</v>
      </c>
      <c r="H3">
        <f>IFERROR(IF(A3="","",SUM('Broad Asset Allocation'!C3)/'Broad Asset Allocation'!C3),0)</f>
        <v>0</v>
      </c>
    </row>
    <row r="4" spans="1:8" x14ac:dyDescent="0.35">
      <c r="A4" t="str">
        <f>IF(Input!A5="","",Input!A5)</f>
        <v>Risk Level 3</v>
      </c>
      <c r="H4">
        <f>IFERROR(IF(A4="","",SUM('Broad Asset Allocation'!C4)/'Broad Asset Allocation'!C4),0)</f>
        <v>0</v>
      </c>
    </row>
    <row r="5" spans="1:8" x14ac:dyDescent="0.35">
      <c r="A5" t="str">
        <f>IF(Input!A6="","",Input!A6)</f>
        <v>Passive Risk Level 3</v>
      </c>
      <c r="H5">
        <f>IFERROR(IF(A5="","",SUM('Broad Asset Allocation'!C5)/'Broad Asset Allocation'!C5),0)</f>
        <v>0</v>
      </c>
    </row>
    <row r="6" spans="1:8" x14ac:dyDescent="0.35">
      <c r="A6" t="str">
        <f>IF(Input!A7="","",Input!A7)</f>
        <v>Risk Level 4</v>
      </c>
      <c r="H6">
        <f>IFERROR(IF(A6="","",SUM('Broad Asset Allocation'!C6)/'Broad Asset Allocation'!C6),0)</f>
        <v>0</v>
      </c>
    </row>
    <row r="7" spans="1:8" x14ac:dyDescent="0.35">
      <c r="A7" t="str">
        <f>IF(Input!A8="","",Input!A8)</f>
        <v>Passive Risk Level 4</v>
      </c>
      <c r="H7">
        <f>IFERROR(IF(A7="","",SUM('Broad Asset Allocation'!C7)/'Broad Asset Allocation'!C7),0)</f>
        <v>0</v>
      </c>
    </row>
    <row r="8" spans="1:8" x14ac:dyDescent="0.35">
      <c r="A8" t="str">
        <f>IF(Input!A9="","",Input!A9)</f>
        <v>Risk Level 5</v>
      </c>
      <c r="H8">
        <f>IFERROR(IF(A8="","",SUM('Broad Asset Allocation'!C8)/'Broad Asset Allocation'!C8),0)</f>
        <v>0</v>
      </c>
    </row>
    <row r="9" spans="1:8" x14ac:dyDescent="0.35">
      <c r="A9" t="str">
        <f>IF(Input!A10="","",Input!A10)</f>
        <v>Passive Risk Level 5</v>
      </c>
      <c r="H9">
        <f>IFERROR(IF(A9="","",SUM('Broad Asset Allocation'!C9)/'Broad Asset Allocation'!C9),0)</f>
        <v>0</v>
      </c>
    </row>
    <row r="10" spans="1:8" x14ac:dyDescent="0.35">
      <c r="A10" t="str">
        <f>IF(Input!A11="","",Input!A11)</f>
        <v>Risk Level 6</v>
      </c>
      <c r="H10">
        <f>IFERROR(IF(A10="","",SUM('Broad Asset Allocation'!C10)/'Broad Asset Allocation'!C10),0)</f>
        <v>0</v>
      </c>
    </row>
    <row r="11" spans="1:8" x14ac:dyDescent="0.35">
      <c r="A11" t="str">
        <f>IF(Input!A12="","",Input!A12)</f>
        <v>Passive Risk Level 6</v>
      </c>
      <c r="H11">
        <f>IFERROR(IF(A11="","",SUM('Broad Asset Allocation'!C11)/'Broad Asset Allocation'!C11),0)</f>
        <v>0</v>
      </c>
    </row>
    <row r="12" spans="1:8" x14ac:dyDescent="0.35">
      <c r="A12" t="str">
        <f>IF(Input!A13="","",Input!A13)</f>
        <v>Risk Level 7</v>
      </c>
      <c r="H12">
        <f>IFERROR(IF(A12="","",SUM('Broad Asset Allocation'!C12)/'Broad Asset Allocation'!C12),0)</f>
        <v>0</v>
      </c>
    </row>
    <row r="13" spans="1:8" x14ac:dyDescent="0.35">
      <c r="A13" t="str">
        <f>IF(Input!A14="","",Input!A14)</f>
        <v>Passive Risk Level 7</v>
      </c>
      <c r="H13">
        <f>IFERROR(IF(A13="","",SUM('Broad Asset Allocation'!C13)/'Broad Asset Allocation'!C13),0)</f>
        <v>0</v>
      </c>
    </row>
    <row r="14" spans="1:8" x14ac:dyDescent="0.35">
      <c r="A14" t="str">
        <f>IF(Input!A15="","",Input!A15)</f>
        <v>Risk Level 8</v>
      </c>
      <c r="H14">
        <f>IFERROR(IF(A14="","",SUM('Broad Asset Allocation'!C14)/'Broad Asset Allocation'!C14),0)</f>
        <v>0</v>
      </c>
    </row>
    <row r="15" spans="1:8" x14ac:dyDescent="0.35">
      <c r="A15" t="str">
        <f>IF(Input!A16="","",Input!A16)</f>
        <v>Passive Risk Level 8</v>
      </c>
      <c r="H15">
        <f>IFERROR(IF(A15="","",SUM('Broad Asset Allocation'!C15)/'Broad Asset Allocation'!C15),0)</f>
        <v>0</v>
      </c>
    </row>
    <row r="16" spans="1:8" x14ac:dyDescent="0.35">
      <c r="A16" t="str">
        <f>IF(Input!A17="","",Input!A17)</f>
        <v>Risk Level 9</v>
      </c>
      <c r="H16">
        <f>IFERROR(IF(A16="","",SUM('Broad Asset Allocation'!C16)/'Broad Asset Allocation'!C16),0)</f>
        <v>0</v>
      </c>
    </row>
    <row r="17" spans="1:8" x14ac:dyDescent="0.35">
      <c r="A17" t="str">
        <f>IF(Input!A18="","",Input!A18)</f>
        <v>Passive Risk Level 9</v>
      </c>
      <c r="H17">
        <f>IFERROR(IF(A17="","",SUM('Broad Asset Allocation'!C17)/'Broad Asset Allocation'!C17),0)</f>
        <v>0</v>
      </c>
    </row>
    <row r="18" spans="1:8" x14ac:dyDescent="0.35">
      <c r="A18" t="str">
        <f>IF(Input!A19="","",Input!A19)</f>
        <v>Risk Level 10</v>
      </c>
      <c r="H18">
        <f>IFERROR(IF(A18="","",SUM('Broad Asset Allocation'!C18)/'Broad Asset Allocation'!C18),0)</f>
        <v>0</v>
      </c>
    </row>
    <row r="19" spans="1:8" x14ac:dyDescent="0.35">
      <c r="A19" t="str">
        <f>IF(Input!A20="","",Input!A20)</f>
        <v>Passive Risk Level 10</v>
      </c>
      <c r="H19">
        <f>IFERROR(IF(A19="","",SUM('Broad Asset Allocation'!C19)/'Broad Asset Allocation'!C19),0)</f>
        <v>0</v>
      </c>
    </row>
    <row r="20" spans="1:8" x14ac:dyDescent="0.35">
      <c r="A20" t="str">
        <f>IF(Input!A21="","",Input!A21)</f>
        <v/>
      </c>
      <c r="H20" t="str">
        <f>IFERROR(IF(A20="","",SUM('Broad 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IFERROR(IF(A21="","",SUM('Broad 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IFERROR(IF(A22="","",SUM('Broad 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IFERROR(IF(A23="","",SUM('Broad 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IFERROR(IF(A24="","",SUM('Broad 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IFERROR(IF(A25="","",SUM('Broad 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IFERROR(IF(A26="","",SUM('Broad 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IFERROR(IF(A27="","",SUM('Broad 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IFERROR(IF(A28="","",SUM('Broad 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IFERROR(IF(A29="","",SUM('Broad 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IFERROR(IF(A30="","",SUM('Broad 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IFERROR(IF(A31="","",SUM('Broad 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IFERROR(IF(A32="","",SUM('Broad 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IFERROR(IF(A33="","",SUM('Broad 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8C86-0001-482F-BB29-778960EB8B16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2023-09-08T15:44:12Z</dcterms:modified>
</cp:coreProperties>
</file>