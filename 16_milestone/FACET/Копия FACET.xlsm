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FACET\"/>
    </mc:Choice>
  </mc:AlternateContent>
  <bookViews>
    <workbookView xWindow="-105" yWindow="-105" windowWidth="19425" windowHeight="1102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E50" i="31" s="1"/>
  <c r="A49" i="31"/>
  <c r="E49" i="31" s="1"/>
  <c r="A48" i="31"/>
  <c r="E48" i="31" s="1"/>
  <c r="A47" i="31"/>
  <c r="E47" i="31" s="1"/>
  <c r="A46" i="31"/>
  <c r="E46" i="31" s="1"/>
  <c r="A45" i="31"/>
  <c r="E45" i="31" s="1"/>
  <c r="A44" i="31"/>
  <c r="E44" i="31" s="1"/>
  <c r="A43" i="31"/>
  <c r="E43" i="31" s="1"/>
  <c r="A42" i="31"/>
  <c r="E42" i="31" s="1"/>
  <c r="A41" i="31"/>
  <c r="E41" i="31" s="1"/>
  <c r="A40" i="31"/>
  <c r="E40" i="31" s="1"/>
  <c r="A39" i="31"/>
  <c r="E39" i="31" s="1"/>
  <c r="A38" i="31"/>
  <c r="E38" i="31" s="1"/>
  <c r="A37" i="31"/>
  <c r="E37" i="31" s="1"/>
  <c r="A36" i="31"/>
  <c r="E36" i="31" s="1"/>
  <c r="A35" i="31"/>
  <c r="E35" i="31" s="1"/>
  <c r="A34" i="31"/>
  <c r="E34" i="31" s="1"/>
  <c r="A33" i="31"/>
  <c r="E33" i="31" s="1"/>
  <c r="A32" i="31"/>
  <c r="E32" i="31" s="1"/>
  <c r="A31" i="31"/>
  <c r="E31" i="31" s="1"/>
  <c r="A30" i="31"/>
  <c r="E30" i="31" s="1"/>
  <c r="A29" i="31"/>
  <c r="E29" i="31" s="1"/>
  <c r="A28" i="31"/>
  <c r="E28" i="31" s="1"/>
  <c r="A27" i="31"/>
  <c r="E27" i="31" s="1"/>
  <c r="A26" i="31"/>
  <c r="E26" i="31" s="1"/>
  <c r="A25" i="31"/>
  <c r="E25" i="31" s="1"/>
  <c r="A24" i="31"/>
  <c r="E24" i="31" s="1"/>
  <c r="A23" i="31"/>
  <c r="E23" i="31" s="1"/>
  <c r="A22" i="31"/>
  <c r="E22" i="31" s="1"/>
  <c r="A21" i="31"/>
  <c r="E21" i="31" s="1"/>
  <c r="A20" i="31"/>
  <c r="E20" i="31" s="1"/>
  <c r="A19" i="31"/>
  <c r="E19" i="31" s="1"/>
  <c r="A18" i="31"/>
  <c r="E18" i="31" s="1"/>
  <c r="A17" i="31"/>
  <c r="E17" i="31" s="1"/>
  <c r="A16" i="31"/>
  <c r="E16" i="31" s="1"/>
  <c r="A15" i="31"/>
  <c r="E15" i="31" s="1"/>
  <c r="A14" i="31"/>
  <c r="E14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7" i="31"/>
  <c r="E7" i="31" s="1"/>
  <c r="A6" i="31"/>
  <c r="E6" i="31" s="1"/>
  <c r="A5" i="31"/>
  <c r="E5" i="31" s="1"/>
  <c r="A4" i="31"/>
  <c r="E4" i="31" s="1"/>
  <c r="A3" i="31"/>
  <c r="E3" i="31" s="1"/>
  <c r="A2" i="31"/>
  <c r="E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E37" i="7"/>
  <c r="H37" i="7"/>
  <c r="F37" i="7"/>
  <c r="G37" i="7"/>
  <c r="B37" i="7"/>
  <c r="C37" i="7"/>
  <c r="D37" i="7"/>
  <c r="E45" i="7"/>
  <c r="H45" i="7"/>
  <c r="F45" i="7"/>
  <c r="G45" i="7"/>
  <c r="B45" i="7"/>
  <c r="C45" i="7"/>
  <c r="D45" i="7"/>
  <c r="F38" i="7"/>
  <c r="C38" i="7"/>
  <c r="G38" i="7"/>
  <c r="H38" i="7"/>
  <c r="B38" i="7"/>
  <c r="D38" i="7"/>
  <c r="E38" i="7"/>
  <c r="F46" i="7"/>
  <c r="G46" i="7"/>
  <c r="H46" i="7"/>
  <c r="B46" i="7"/>
  <c r="D46" i="7"/>
  <c r="E46" i="7"/>
  <c r="C46" i="7"/>
  <c r="G39" i="7"/>
  <c r="H39" i="7"/>
  <c r="B39" i="7"/>
  <c r="D39" i="7"/>
  <c r="C39" i="7"/>
  <c r="E39" i="7"/>
  <c r="F39" i="7"/>
  <c r="G47" i="7"/>
  <c r="D47" i="7"/>
  <c r="H47" i="7"/>
  <c r="B47" i="7"/>
  <c r="C47" i="7"/>
  <c r="E47" i="7"/>
  <c r="F47" i="7"/>
  <c r="H40" i="7"/>
  <c r="B40" i="7"/>
  <c r="C40" i="7"/>
  <c r="E40" i="7"/>
  <c r="D40" i="7"/>
  <c r="F40" i="7"/>
  <c r="G40" i="7"/>
  <c r="H48" i="7"/>
  <c r="B48" i="7"/>
  <c r="C48" i="7"/>
  <c r="D48" i="7"/>
  <c r="E48" i="7"/>
  <c r="F48" i="7"/>
  <c r="G48" i="7"/>
  <c r="E33" i="7"/>
  <c r="C41" i="7"/>
  <c r="D41" i="7"/>
  <c r="B41" i="7"/>
  <c r="E41" i="7"/>
  <c r="F41" i="7"/>
  <c r="G41" i="7"/>
  <c r="H41" i="7"/>
  <c r="B49" i="7"/>
  <c r="D49" i="7"/>
  <c r="C49" i="7"/>
  <c r="E49" i="7"/>
  <c r="G49" i="7"/>
  <c r="H49" i="7"/>
  <c r="F49" i="7"/>
  <c r="B34" i="7"/>
  <c r="E34" i="7"/>
  <c r="C34" i="7"/>
  <c r="G34" i="7"/>
  <c r="D34" i="7"/>
  <c r="F34" i="7"/>
  <c r="H34" i="7"/>
  <c r="B42" i="7"/>
  <c r="E42" i="7"/>
  <c r="G42" i="7"/>
  <c r="C42" i="7"/>
  <c r="D42" i="7"/>
  <c r="F42" i="7"/>
  <c r="H42" i="7"/>
  <c r="B50" i="7"/>
  <c r="F50" i="7"/>
  <c r="C50" i="7"/>
  <c r="D50" i="7"/>
  <c r="G50" i="7"/>
  <c r="E50" i="7"/>
  <c r="H50" i="7"/>
  <c r="C35" i="7"/>
  <c r="D35" i="7"/>
  <c r="F35" i="7"/>
  <c r="E35" i="7"/>
  <c r="H35" i="7"/>
  <c r="G35" i="7"/>
  <c r="B35" i="7"/>
  <c r="C43" i="7"/>
  <c r="D43" i="7"/>
  <c r="E43" i="7"/>
  <c r="F43" i="7"/>
  <c r="H43" i="7"/>
  <c r="G43" i="7"/>
  <c r="B43" i="7"/>
  <c r="D36" i="7"/>
  <c r="F36" i="7"/>
  <c r="E36" i="7"/>
  <c r="G36" i="7"/>
  <c r="H36" i="7"/>
  <c r="B36" i="7"/>
  <c r="C36" i="7"/>
  <c r="D44" i="7"/>
  <c r="E44" i="7"/>
  <c r="F44" i="7"/>
  <c r="H44" i="7"/>
  <c r="G44" i="7"/>
  <c r="B44" i="7"/>
  <c r="C44" i="7"/>
  <c r="C17" i="4"/>
  <c r="H17" i="8" s="1"/>
  <c r="B17" i="4"/>
  <c r="G17" i="4"/>
  <c r="F17" i="4"/>
  <c r="F25" i="4"/>
  <c r="B25" i="4"/>
  <c r="E25" i="7" s="1"/>
  <c r="C25" i="4"/>
  <c r="H25" i="8" s="1"/>
  <c r="G25" i="4"/>
  <c r="C49" i="4"/>
  <c r="B49" i="4"/>
  <c r="G49" i="4"/>
  <c r="F49" i="4"/>
  <c r="B26" i="4"/>
  <c r="B26" i="7" s="1"/>
  <c r="F26" i="4"/>
  <c r="C26" i="4"/>
  <c r="H26" i="8" s="1"/>
  <c r="G26" i="4"/>
  <c r="B50" i="4"/>
  <c r="F50" i="4"/>
  <c r="C50" i="4"/>
  <c r="G50" i="4"/>
  <c r="C19" i="4"/>
  <c r="H19" i="8" s="1"/>
  <c r="G19" i="4"/>
  <c r="F19" i="4"/>
  <c r="B19" i="4"/>
  <c r="C43" i="4"/>
  <c r="G43" i="4"/>
  <c r="F43" i="4"/>
  <c r="B43" i="4"/>
  <c r="C4" i="4"/>
  <c r="H4" i="8" s="1"/>
  <c r="G4" i="4"/>
  <c r="B4" i="4"/>
  <c r="F4" i="4"/>
  <c r="F5" i="4"/>
  <c r="B5" i="4"/>
  <c r="C5" i="4"/>
  <c r="H5" i="8" s="1"/>
  <c r="G5" i="4"/>
  <c r="F21" i="4"/>
  <c r="B21" i="4"/>
  <c r="C21" i="4"/>
  <c r="H21" i="8" s="1"/>
  <c r="G21" i="4"/>
  <c r="F45" i="4"/>
  <c r="B45" i="4"/>
  <c r="C45" i="4"/>
  <c r="G45" i="4"/>
  <c r="B6" i="4"/>
  <c r="G6" i="4"/>
  <c r="F6" i="4"/>
  <c r="C6" i="4"/>
  <c r="H6" i="8" s="1"/>
  <c r="B14" i="4"/>
  <c r="F14" i="4"/>
  <c r="C14" i="4"/>
  <c r="H14" i="8" s="1"/>
  <c r="G14" i="4"/>
  <c r="B22" i="4"/>
  <c r="G22" i="4"/>
  <c r="F22" i="4"/>
  <c r="C22" i="4"/>
  <c r="H22" i="8" s="1"/>
  <c r="B30" i="4"/>
  <c r="G30" i="7" s="1"/>
  <c r="F30" i="4"/>
  <c r="C30" i="4"/>
  <c r="H30" i="8" s="1"/>
  <c r="G30" i="4"/>
  <c r="B38" i="4"/>
  <c r="G38" i="4"/>
  <c r="F38" i="4"/>
  <c r="C38" i="4"/>
  <c r="B46" i="4"/>
  <c r="F46" i="4"/>
  <c r="C46" i="4"/>
  <c r="G46" i="4"/>
  <c r="G41" i="4"/>
  <c r="B41" i="4"/>
  <c r="C41" i="4"/>
  <c r="F41" i="4"/>
  <c r="B18" i="4"/>
  <c r="F18" i="4"/>
  <c r="C18" i="4"/>
  <c r="H18" i="8" s="1"/>
  <c r="G18" i="4"/>
  <c r="B42" i="4"/>
  <c r="F42" i="4"/>
  <c r="C42" i="4"/>
  <c r="G42" i="4"/>
  <c r="C3" i="4"/>
  <c r="H3" i="8" s="1"/>
  <c r="G3" i="4"/>
  <c r="F3" i="4"/>
  <c r="B3" i="4"/>
  <c r="C35" i="4"/>
  <c r="G35" i="4"/>
  <c r="F35" i="4"/>
  <c r="B35" i="4"/>
  <c r="B12" i="4"/>
  <c r="C12" i="4"/>
  <c r="H12" i="8" s="1"/>
  <c r="G12" i="4"/>
  <c r="F12" i="4"/>
  <c r="F13" i="4"/>
  <c r="B13" i="4"/>
  <c r="C13" i="4"/>
  <c r="H13" i="8" s="1"/>
  <c r="G13" i="4"/>
  <c r="F29" i="4"/>
  <c r="B29" i="4"/>
  <c r="D29" i="7" s="1"/>
  <c r="C29" i="4"/>
  <c r="H29" i="8" s="1"/>
  <c r="G29" i="4"/>
  <c r="F37" i="4"/>
  <c r="B37" i="4"/>
  <c r="C37" i="4"/>
  <c r="G37" i="4"/>
  <c r="F7" i="4"/>
  <c r="B7" i="4"/>
  <c r="C7" i="4"/>
  <c r="H7" i="8" s="1"/>
  <c r="G7" i="4"/>
  <c r="B15" i="4"/>
  <c r="C15" i="4"/>
  <c r="H15" i="8" s="1"/>
  <c r="F15" i="4"/>
  <c r="G15" i="4"/>
  <c r="F23" i="4"/>
  <c r="B23" i="4"/>
  <c r="C23" i="7" s="1"/>
  <c r="C23" i="4"/>
  <c r="H23" i="8" s="1"/>
  <c r="G23" i="4"/>
  <c r="F31" i="4"/>
  <c r="B31" i="4"/>
  <c r="E31" i="7" s="1"/>
  <c r="C31" i="4"/>
  <c r="H31" i="8" s="1"/>
  <c r="G31" i="4"/>
  <c r="F39" i="4"/>
  <c r="B39" i="4"/>
  <c r="C39" i="4"/>
  <c r="G39" i="4"/>
  <c r="F47" i="4"/>
  <c r="B47" i="4"/>
  <c r="C47" i="4"/>
  <c r="G47" i="4"/>
  <c r="B9" i="4"/>
  <c r="C9" i="4"/>
  <c r="H9" i="8" s="1"/>
  <c r="G9" i="4"/>
  <c r="F9" i="4"/>
  <c r="C33" i="4"/>
  <c r="H33" i="8" s="1"/>
  <c r="B33" i="4"/>
  <c r="F33" i="7" s="1"/>
  <c r="G33" i="4"/>
  <c r="F33" i="4"/>
  <c r="C2" i="4"/>
  <c r="H2" i="8" s="1"/>
  <c r="B2" i="4"/>
  <c r="G2" i="4"/>
  <c r="F2" i="4"/>
  <c r="B34" i="4"/>
  <c r="F34" i="4"/>
  <c r="C34" i="4"/>
  <c r="G34" i="4"/>
  <c r="C27" i="4"/>
  <c r="H27" i="8" s="1"/>
  <c r="G27" i="4"/>
  <c r="F27" i="4"/>
  <c r="B27" i="4"/>
  <c r="E27" i="7" s="1"/>
  <c r="G8" i="4"/>
  <c r="F8" i="4"/>
  <c r="B8" i="4"/>
  <c r="C8" i="4"/>
  <c r="H8" i="8" s="1"/>
  <c r="G16" i="4"/>
  <c r="F16" i="4"/>
  <c r="B16" i="4"/>
  <c r="C16" i="4"/>
  <c r="H16" i="8" s="1"/>
  <c r="G24" i="4"/>
  <c r="F24" i="4"/>
  <c r="B24" i="4"/>
  <c r="H24" i="7" s="1"/>
  <c r="C24" i="4"/>
  <c r="H24" i="8" s="1"/>
  <c r="G32" i="4"/>
  <c r="F32" i="4"/>
  <c r="B32" i="4"/>
  <c r="B32" i="7" s="1"/>
  <c r="C32" i="4"/>
  <c r="H32" i="8" s="1"/>
  <c r="G40" i="4"/>
  <c r="F40" i="4"/>
  <c r="B40" i="4"/>
  <c r="C40" i="4"/>
  <c r="G48" i="4"/>
  <c r="F48" i="4"/>
  <c r="B48" i="4"/>
  <c r="C48" i="4"/>
  <c r="B10" i="4"/>
  <c r="F10" i="4"/>
  <c r="C10" i="4"/>
  <c r="H10" i="8" s="1"/>
  <c r="G10" i="4"/>
  <c r="C11" i="4"/>
  <c r="H11" i="8" s="1"/>
  <c r="G11" i="4"/>
  <c r="F11" i="4"/>
  <c r="B11" i="4"/>
  <c r="C20" i="4"/>
  <c r="H20" i="8" s="1"/>
  <c r="B20" i="4"/>
  <c r="G20" i="4"/>
  <c r="F20" i="4"/>
  <c r="B28" i="4"/>
  <c r="G28" i="7" s="1"/>
  <c r="C28" i="4"/>
  <c r="H28" i="8" s="1"/>
  <c r="G28" i="4"/>
  <c r="F28" i="4"/>
  <c r="C36" i="4"/>
  <c r="G36" i="4"/>
  <c r="B36" i="4"/>
  <c r="F36" i="4"/>
  <c r="B44" i="4"/>
  <c r="G44" i="4"/>
  <c r="C44" i="4"/>
  <c r="F44" i="4"/>
  <c r="C23" i="31"/>
  <c r="D23" i="31"/>
  <c r="C8" i="31"/>
  <c r="D8" i="31"/>
  <c r="C16" i="31"/>
  <c r="D16" i="31"/>
  <c r="C24" i="31"/>
  <c r="D24" i="31"/>
  <c r="D32" i="31"/>
  <c r="C32" i="31"/>
  <c r="D40" i="31"/>
  <c r="C40" i="31"/>
  <c r="C48" i="31"/>
  <c r="D48" i="31"/>
  <c r="C15" i="31"/>
  <c r="D15" i="31"/>
  <c r="C47" i="31"/>
  <c r="D47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C7" i="31"/>
  <c r="D7" i="31"/>
  <c r="C31" i="31"/>
  <c r="D31" i="31"/>
  <c r="D2" i="31"/>
  <c r="C2" i="31"/>
  <c r="C10" i="31"/>
  <c r="D10" i="31"/>
  <c r="D18" i="31"/>
  <c r="C18" i="31"/>
  <c r="D26" i="31"/>
  <c r="C26" i="31"/>
  <c r="C34" i="31"/>
  <c r="D34" i="31"/>
  <c r="C42" i="31"/>
  <c r="D42" i="31"/>
  <c r="D50" i="31"/>
  <c r="C50" i="31"/>
  <c r="C39" i="31"/>
  <c r="D39" i="31"/>
  <c r="C3" i="31"/>
  <c r="D3" i="31"/>
  <c r="C11" i="31"/>
  <c r="D11" i="31"/>
  <c r="C19" i="31"/>
  <c r="D19" i="31"/>
  <c r="C27" i="31"/>
  <c r="D27" i="31"/>
  <c r="C35" i="31"/>
  <c r="D35" i="31"/>
  <c r="C43" i="31"/>
  <c r="D43" i="31"/>
  <c r="C12" i="31"/>
  <c r="D12" i="31"/>
  <c r="C20" i="31"/>
  <c r="D20" i="31"/>
  <c r="C28" i="31"/>
  <c r="D28" i="31"/>
  <c r="D36" i="31"/>
  <c r="C36" i="31"/>
  <c r="D44" i="31"/>
  <c r="C44" i="31"/>
  <c r="C4" i="31"/>
  <c r="D4" i="31"/>
  <c r="C13" i="31"/>
  <c r="D13" i="31"/>
  <c r="C29" i="31"/>
  <c r="D29" i="31"/>
  <c r="C37" i="31"/>
  <c r="D37" i="31"/>
  <c r="C45" i="31"/>
  <c r="D45" i="31"/>
  <c r="C5" i="31"/>
  <c r="D5" i="31"/>
  <c r="C21" i="31"/>
  <c r="D21" i="31"/>
  <c r="C6" i="31"/>
  <c r="D6" i="31"/>
  <c r="D14" i="31"/>
  <c r="C14" i="31"/>
  <c r="C22" i="31"/>
  <c r="D22" i="31"/>
  <c r="D30" i="31"/>
  <c r="C30" i="31"/>
  <c r="C38" i="31"/>
  <c r="D38" i="31"/>
  <c r="D46" i="31"/>
  <c r="C46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25" i="7" l="1"/>
  <c r="F27" i="7"/>
  <c r="D25" i="7"/>
  <c r="C28" i="7"/>
  <c r="D27" i="7"/>
  <c r="H26" i="7"/>
  <c r="H25" i="7"/>
  <c r="H27" i="7"/>
  <c r="F26" i="7"/>
  <c r="H33" i="7"/>
  <c r="D31" i="7"/>
  <c r="G25" i="7"/>
  <c r="B31" i="7"/>
  <c r="H33" i="4"/>
  <c r="C27" i="7"/>
  <c r="D26" i="7"/>
  <c r="G33" i="7"/>
  <c r="D33" i="7"/>
  <c r="C33" i="7"/>
  <c r="B33" i="7"/>
  <c r="H32" i="7"/>
  <c r="F32" i="7"/>
  <c r="E32" i="7"/>
  <c r="C32" i="7"/>
  <c r="D32" i="7"/>
  <c r="G32" i="7"/>
  <c r="F25" i="7"/>
  <c r="G24" i="7"/>
  <c r="F31" i="7"/>
  <c r="B25" i="7"/>
  <c r="F24" i="7"/>
  <c r="C31" i="7"/>
  <c r="B27" i="7"/>
  <c r="H31" i="7"/>
  <c r="F30" i="7"/>
  <c r="D23" i="7"/>
  <c r="C29" i="7"/>
  <c r="B23" i="7"/>
  <c r="H29" i="7"/>
  <c r="F28" i="7"/>
  <c r="D24" i="7"/>
  <c r="G23" i="7"/>
  <c r="D30" i="7"/>
  <c r="G29" i="7"/>
  <c r="E28" i="7"/>
  <c r="G26" i="7"/>
  <c r="B24" i="7"/>
  <c r="G31" i="7"/>
  <c r="B30" i="7"/>
  <c r="F29" i="7"/>
  <c r="B29" i="7"/>
  <c r="D28" i="7"/>
  <c r="G27" i="7"/>
  <c r="E26" i="7"/>
  <c r="C24" i="7"/>
  <c r="E23" i="7"/>
  <c r="C30" i="7"/>
  <c r="B28" i="7"/>
  <c r="H23" i="7"/>
  <c r="H28" i="7"/>
  <c r="E30" i="7"/>
  <c r="C26" i="7"/>
  <c r="E24" i="7"/>
  <c r="F23" i="7"/>
  <c r="H30" i="7"/>
  <c r="E29" i="7"/>
  <c r="B11" i="7"/>
  <c r="E11" i="7"/>
  <c r="C11" i="7"/>
  <c r="H11" i="7"/>
  <c r="G11" i="7"/>
  <c r="D11" i="7"/>
  <c r="F11" i="7"/>
  <c r="H2" i="7"/>
  <c r="D2" i="7"/>
  <c r="C2" i="7"/>
  <c r="G2" i="7"/>
  <c r="B2" i="7"/>
  <c r="F2" i="7"/>
  <c r="E2" i="7"/>
  <c r="E7" i="7"/>
  <c r="H7" i="7"/>
  <c r="B7" i="7"/>
  <c r="D7" i="7"/>
  <c r="G7" i="7"/>
  <c r="F7" i="7"/>
  <c r="C7" i="7"/>
  <c r="C5" i="7"/>
  <c r="E5" i="7"/>
  <c r="H5" i="7"/>
  <c r="F5" i="7"/>
  <c r="G5" i="7"/>
  <c r="D5" i="7"/>
  <c r="B5" i="7"/>
  <c r="B19" i="7"/>
  <c r="H19" i="7"/>
  <c r="F19" i="7"/>
  <c r="E19" i="7"/>
  <c r="C19" i="7"/>
  <c r="G19" i="7"/>
  <c r="D19" i="7"/>
  <c r="F16" i="7"/>
  <c r="H16" i="7"/>
  <c r="D16" i="7"/>
  <c r="E16" i="7"/>
  <c r="C16" i="7"/>
  <c r="B16" i="7"/>
  <c r="G16" i="7"/>
  <c r="G17" i="7"/>
  <c r="B17" i="7"/>
  <c r="C17" i="7"/>
  <c r="H17" i="7"/>
  <c r="F17" i="7"/>
  <c r="E17" i="7"/>
  <c r="D17" i="7"/>
  <c r="G9" i="7"/>
  <c r="F9" i="7"/>
  <c r="C9" i="7"/>
  <c r="H9" i="7"/>
  <c r="D9" i="7"/>
  <c r="E9" i="7"/>
  <c r="B9" i="7"/>
  <c r="F8" i="7"/>
  <c r="E8" i="7"/>
  <c r="H8" i="7"/>
  <c r="D8" i="7"/>
  <c r="C8" i="7"/>
  <c r="B8" i="7"/>
  <c r="G8" i="7"/>
  <c r="B4" i="7"/>
  <c r="H4" i="7"/>
  <c r="G4" i="7"/>
  <c r="F4" i="7"/>
  <c r="E4" i="7"/>
  <c r="D4" i="7"/>
  <c r="C4" i="7"/>
  <c r="C13" i="7"/>
  <c r="D13" i="7"/>
  <c r="E13" i="7"/>
  <c r="H13" i="7"/>
  <c r="F13" i="7"/>
  <c r="B13" i="7"/>
  <c r="G13" i="7"/>
  <c r="B20" i="7"/>
  <c r="F20" i="7"/>
  <c r="D20" i="7"/>
  <c r="H20" i="7"/>
  <c r="C20" i="7"/>
  <c r="E20" i="7"/>
  <c r="G20" i="7"/>
  <c r="C21" i="7"/>
  <c r="B21" i="7"/>
  <c r="H21" i="7"/>
  <c r="G21" i="7"/>
  <c r="E21" i="7"/>
  <c r="D21" i="7"/>
  <c r="F21" i="7"/>
  <c r="H10" i="7"/>
  <c r="F10" i="7"/>
  <c r="G10" i="7"/>
  <c r="E10" i="7"/>
  <c r="C10" i="7"/>
  <c r="D10" i="7"/>
  <c r="B10" i="7"/>
  <c r="E15" i="7"/>
  <c r="B15" i="7"/>
  <c r="G15" i="7"/>
  <c r="D15" i="7"/>
  <c r="F15" i="7"/>
  <c r="C15" i="7"/>
  <c r="H15" i="7"/>
  <c r="D22" i="7"/>
  <c r="G22" i="7"/>
  <c r="H22" i="7"/>
  <c r="B22" i="7"/>
  <c r="E22" i="7"/>
  <c r="C22" i="7"/>
  <c r="F22" i="7"/>
  <c r="D6" i="7"/>
  <c r="H6" i="7"/>
  <c r="E6" i="7"/>
  <c r="G6" i="7"/>
  <c r="C6" i="7"/>
  <c r="F6" i="7"/>
  <c r="B6" i="7"/>
  <c r="B3" i="7"/>
  <c r="H3" i="7"/>
  <c r="G3" i="7"/>
  <c r="F3" i="7"/>
  <c r="D3" i="7"/>
  <c r="E3" i="7"/>
  <c r="C3" i="7"/>
  <c r="B12" i="7"/>
  <c r="E12" i="7"/>
  <c r="D12" i="7"/>
  <c r="H12" i="7"/>
  <c r="C12" i="7"/>
  <c r="G12" i="7"/>
  <c r="F12" i="7"/>
  <c r="H18" i="7"/>
  <c r="E18" i="7"/>
  <c r="F18" i="7"/>
  <c r="C18" i="7"/>
  <c r="G18" i="7"/>
  <c r="D18" i="7"/>
  <c r="B18" i="7"/>
  <c r="D14" i="7"/>
  <c r="B14" i="7"/>
  <c r="G14" i="7"/>
  <c r="C14" i="7"/>
  <c r="H14" i="7"/>
  <c r="E14" i="7"/>
  <c r="F1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<sst xmlns="http://schemas.openxmlformats.org/spreadsheetml/2006/main" count="116" uniqueCount="96">
  <si>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</si>
  <si>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</si>
  <si>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</si>
  <si>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</si>
  <si>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</si>
  <si>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</si>
  <si>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</si>
  <si>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</si>
  <si>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</si>
  <si>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</si>
  <si>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</si>
  <si>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</si>
  <si>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</si>
  <si>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</si>
  <si>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</si>
  <si>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</si>
  <si>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</si>
  <si>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</si>
  <si>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</si>
  <si>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</si>
  <si>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</si>
  <si>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</si>
  <si>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</si>
  <si>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</si>
  <si>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</si>
  <si>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</si>
  <si>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</si>
  <si>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</si>
  <si>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</si>
  <si>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</si>
  <si>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</si>
  <si>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</si>
  <si>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</si>
  <si>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</si>
  <si>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1m</t>
  </si>
  <si>
    <t>Model Portfolio Risk Level 2</t>
  </si>
  <si>
    <t>Model Portfolio Passive Risk Level 2</t>
  </si>
  <si>
    <t>Model Portfolio Risk Level 3</t>
  </si>
  <si>
    <t>Model Portfolio Passive Risk Level 3</t>
  </si>
  <si>
    <t>Model Portfolio Risk Level 4</t>
  </si>
  <si>
    <t>Model Portfolio Passive Risk Level 4</t>
  </si>
  <si>
    <t>Model Portfolio Risk Level 5</t>
  </si>
  <si>
    <t>Model Portfolio Passive Risk Level 5</t>
  </si>
  <si>
    <t>Model Portfolio Risk Level 6</t>
  </si>
  <si>
    <t>Model Portfolio Passive Risk Level 6</t>
  </si>
  <si>
    <t>Model Portfolio Risk Level 7</t>
  </si>
  <si>
    <t>Model Portfolio Passive Risk Level 7</t>
  </si>
  <si>
    <t>Model Portfolio Risk Level 8</t>
  </si>
  <si>
    <t>Model Portfolio Passive Risk Level 8</t>
  </si>
  <si>
    <t>Model Portfolio Risk Level 9</t>
  </si>
  <si>
    <t>Model Portfolio Passive Risk Level 9</t>
  </si>
  <si>
    <t>Model Portfolio Risk Level 10</t>
  </si>
  <si>
    <t>Model Portfolio Passive Risk Level 10</t>
  </si>
  <si>
    <t>Risk Level 2</t>
  </si>
  <si>
    <t>Passive Risk Level 2</t>
  </si>
  <si>
    <t>Risk Level 3</t>
  </si>
  <si>
    <t>Passive Risk Level 3</t>
  </si>
  <si>
    <t>Risk Level 4</t>
  </si>
  <si>
    <t>Passive Risk Level 4</t>
  </si>
  <si>
    <t>Risk Level 5</t>
  </si>
  <si>
    <t>Passive Risk Level 5</t>
  </si>
  <si>
    <t>Risk Level 6</t>
  </si>
  <si>
    <t>Passive Risk Level 6</t>
  </si>
  <si>
    <t>Risk Level 7</t>
  </si>
  <si>
    <t>Passive Risk Level 7</t>
  </si>
  <si>
    <t>Risk Level 8</t>
  </si>
  <si>
    <t>Passive Risk Level 8</t>
  </si>
  <si>
    <t>Risk Level 9</t>
  </si>
  <si>
    <t>Passive Risk Level 9</t>
  </si>
  <si>
    <t>Risk Level 10</t>
  </si>
  <si>
    <t>Passive Risk Level 10</t>
  </si>
  <si>
    <t>https://www.facet-im.co.uk/resources/</t>
  </si>
  <si>
    <t>Annual Management Charge (AMC)</t>
  </si>
  <si>
    <t>OCF</t>
  </si>
  <si>
    <t>Equities</t>
  </si>
  <si>
    <t>Fixed Income</t>
  </si>
  <si>
    <t>Property</t>
  </si>
  <si>
    <t>Other</t>
  </si>
  <si>
    <t>https://www.facet-im.co.uk/wp-content/uploads/2023/09/Managed-Risk-2-August-2023.pdf</t>
  </si>
  <si>
    <t>https://www.facet-im.co.uk/wp-content/uploads/2023/09/Passive-Risk-2-August-2023.pdf</t>
  </si>
  <si>
    <t>https://www.facet-im.co.uk/wp-content/uploads/2023/09/Managed-Risk-3-August-2023.pdf</t>
  </si>
  <si>
    <t>https://www.facet-im.co.uk/wp-content/uploads/2023/09/Passive-Risk-3-August-2023.pdf</t>
  </si>
  <si>
    <t>https://www.facet-im.co.uk/wp-content/uploads/2023/09/Managed-Risk-4-August-2023.pdf</t>
  </si>
  <si>
    <t>https://www.facet-im.co.uk/wp-content/uploads/2023/09/Passive-Risk-4-August-2023.pdf</t>
  </si>
  <si>
    <t>https://www.facet-im.co.uk/wp-content/uploads/2023/09/Managed-Risk-5-August-2023.pdf</t>
  </si>
  <si>
    <t>https://www.facet-im.co.uk/wp-content/uploads/2023/09/Passive-Risk-5-August-2023.pdf</t>
  </si>
  <si>
    <t>https://www.facet-im.co.uk/wp-content/uploads/2023/09/Managed-Risk-6-August-2023.pdf</t>
  </si>
  <si>
    <t>https://www.facet-im.co.uk/wp-content/uploads/2023/09/Passive-Risk-6-August-2023.pdf</t>
  </si>
  <si>
    <t>https://www.facet-im.co.uk/wp-content/uploads/2023/09/Managed-Risk-7-August-2023.pdf</t>
  </si>
  <si>
    <t>https://www.facet-im.co.uk/wp-content/uploads/2023/09/Passive-Risk-7-August-2023.pdf</t>
  </si>
  <si>
    <t>https://www.facet-im.co.uk/wp-content/uploads/2023/09/Managed-Risk-8-August-2023.pdf</t>
  </si>
  <si>
    <t>https://www.facet-im.co.uk/wp-content/uploads/2023/09/Passive-Risk-8-August-2023.pdf</t>
  </si>
  <si>
    <t>https://www.facet-im.co.uk/wp-content/uploads/2023/09/Managed-Risk-9-August-2023-1.pdf</t>
  </si>
  <si>
    <t>https://www.facet-im.co.uk/wp-content/uploads/2023/09/Passive-Risk-9-August-2023.pdf</t>
  </si>
  <si>
    <t>https://www.facet-im.co.uk/wp-content/uploads/2023/09/Managed-Risk-10-August-2023.pdf</t>
  </si>
  <si>
    <t>https://www.facet-im.co.uk/wp-content/uploads/2023/09/Passive-Risk-10-August-2023.pdf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</si>
</sst>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3</xdr:col>
      <xdr:colOff>535691</xdr:colOff>
      <xdr:row>7</xdr:row>
      <xdr:rowOff>177903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5D1995B-98C4-D088-F9FC-DC938F51B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2364491" cy="121295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8</xdr:row>
      <xdr:rowOff>139700</xdr:rowOff>
    </xdr:from>
    <xdr:to>
      <xdr:col>4</xdr:col>
      <xdr:colOff>161456</xdr:colOff>
      <xdr:row>16</xdr:row>
      <xdr:rowOff>12786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8656CED-1C38-D20B-46CD-BB2A8CD2F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1612900"/>
          <a:ext cx="2580806" cy="13462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533584</xdr:colOff>
      <xdr:row>16</xdr:row>
      <xdr:rowOff>6492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6055132-7882-9C95-2666-B2B7862B8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581584" cy="27687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139700</xdr:rowOff>
    </xdr:from>
    <xdr:to>
      <xdr:col>5</xdr:col>
      <xdr:colOff>208200</xdr:colOff>
      <xdr:row>29</xdr:row>
      <xdr:rowOff>69983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2ADA760-0C4E-3CBA-AC59-324BBB0E6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086100"/>
          <a:ext cx="3256200" cy="2324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1"/>
  <sheetViews>
    <sheetView workbookViewId="0">
      <selection activeCell="A3" sqref="A3"/>
    </sheetView>
  </sheetViews>
  <sheetFormatPr defaultRowHeight="15" x14ac:dyDescent="0.25"/>
  <cols>
    <col min="1" max="1" width="37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53</v>
      </c>
      <c r="B3" t="str">
        <f>'PDF Scraping'!D2</f>
        <v>https://www.facet-im.co.uk/wp-content/uploads/2023/09/Managed-Risk-2-August-2023.pdf</v>
      </c>
      <c r="C3" s="4"/>
      <c r="J3" s="4"/>
    </row>
    <row r="4" spans="1:10" x14ac:dyDescent="0.25">
      <c r="A4" t="s">
        <v>54</v>
      </c>
      <c r="B4" t="str">
        <f>'PDF Scraping'!D3</f>
        <v>https://www.facet-im.co.uk/wp-content/uploads/2023/09/Passive-Risk-2-August-2023.pdf</v>
      </c>
      <c r="C4" s="4"/>
      <c r="J4" s="4"/>
    </row>
    <row r="5" spans="1:10" x14ac:dyDescent="0.25">
      <c r="A5" t="s">
        <v>55</v>
      </c>
      <c r="B5" t="str">
        <f>'PDF Scraping'!D4</f>
        <v>https://www.facet-im.co.uk/wp-content/uploads/2023/09/Managed-Risk-3-August-2023.pdf</v>
      </c>
      <c r="C5" s="4"/>
    </row>
    <row r="6" spans="1:10" x14ac:dyDescent="0.25">
      <c r="A6" t="s">
        <v>56</v>
      </c>
      <c r="B6" t="str">
        <f>'PDF Scraping'!D5</f>
        <v>https://www.facet-im.co.uk/wp-content/uploads/2023/09/Passive-Risk-3-August-2023.pdf</v>
      </c>
      <c r="C6" s="4"/>
    </row>
    <row r="7" spans="1:10" x14ac:dyDescent="0.25">
      <c r="A7" t="s">
        <v>57</v>
      </c>
      <c r="B7" t="str">
        <f>'PDF Scraping'!D6</f>
        <v>https://www.facet-im.co.uk/wp-content/uploads/2023/09/Managed-Risk-4-August-2023.pdf</v>
      </c>
      <c r="C7" s="4"/>
    </row>
    <row r="8" spans="1:10" x14ac:dyDescent="0.25">
      <c r="A8" t="s">
        <v>58</v>
      </c>
      <c r="B8" t="str">
        <f>'PDF Scraping'!D7</f>
        <v>https://www.facet-im.co.uk/wp-content/uploads/2023/09/Passive-Risk-4-August-2023.pdf</v>
      </c>
      <c r="C8" s="4"/>
    </row>
    <row r="9" spans="1:10" x14ac:dyDescent="0.25">
      <c r="A9" t="s">
        <v>59</v>
      </c>
      <c r="B9" t="str">
        <f>'PDF Scraping'!D8</f>
        <v>https://www.facet-im.co.uk/wp-content/uploads/2023/09/Managed-Risk-5-August-2023.pdf</v>
      </c>
      <c r="C9" s="4"/>
    </row>
    <row r="10" spans="1:10" x14ac:dyDescent="0.25">
      <c r="A10" t="s">
        <v>60</v>
      </c>
      <c r="B10" t="str">
        <f>'PDF Scraping'!D9</f>
        <v>https://www.facet-im.co.uk/wp-content/uploads/2023/09/Passive-Risk-5-August-2023.pdf</v>
      </c>
      <c r="C10" s="4"/>
    </row>
    <row r="11" spans="1:10" x14ac:dyDescent="0.25">
      <c r="A11" t="s">
        <v>61</v>
      </c>
      <c r="B11" t="str">
        <f>'PDF Scraping'!D10</f>
        <v>https://www.facet-im.co.uk/wp-content/uploads/2023/09/Managed-Risk-6-August-2023.pdf</v>
      </c>
      <c r="C11" s="4"/>
    </row>
    <row r="12" spans="1:10" x14ac:dyDescent="0.25">
      <c r="A12" t="s">
        <v>62</v>
      </c>
      <c r="B12" t="str">
        <f>'PDF Scraping'!D11</f>
        <v>https://www.facet-im.co.uk/wp-content/uploads/2023/09/Passive-Risk-6-August-2023.pdf</v>
      </c>
      <c r="C12" s="4"/>
    </row>
    <row r="13" spans="1:10" x14ac:dyDescent="0.25">
      <c r="A13" t="s">
        <v>63</v>
      </c>
      <c r="B13" t="str">
        <f>'PDF Scraping'!D12</f>
        <v>https://www.facet-im.co.uk/wp-content/uploads/2023/09/Managed-Risk-7-August-2023.pdf</v>
      </c>
      <c r="C13" s="4"/>
    </row>
    <row r="14" spans="1:10" x14ac:dyDescent="0.25">
      <c r="A14" t="s">
        <v>64</v>
      </c>
      <c r="B14" t="str">
        <f>'PDF Scraping'!D13</f>
        <v>https://www.facet-im.co.uk/wp-content/uploads/2023/09/Passive-Risk-7-August-2023.pdf</v>
      </c>
      <c r="C14" s="4"/>
    </row>
    <row r="15" spans="1:10" x14ac:dyDescent="0.25">
      <c r="A15" t="s">
        <v>65</v>
      </c>
      <c r="B15" t="str">
        <f>'PDF Scraping'!D14</f>
        <v>https://www.facet-im.co.uk/wp-content/uploads/2023/09/Managed-Risk-8-August-2023.pdf</v>
      </c>
      <c r="C15" s="4"/>
    </row>
    <row r="16" spans="1:10" x14ac:dyDescent="0.25">
      <c r="A16" t="s">
        <v>66</v>
      </c>
      <c r="B16" t="str">
        <f>'PDF Scraping'!D15</f>
        <v>https://www.facet-im.co.uk/wp-content/uploads/2023/09/Passive-Risk-8-August-2023.pdf</v>
      </c>
      <c r="C16" s="4"/>
    </row>
    <row r="17" spans="1:3" x14ac:dyDescent="0.25">
      <c r="A17" t="s">
        <v>67</v>
      </c>
      <c r="B17" t="str">
        <f>'PDF Scraping'!D16</f>
        <v>https://www.facet-im.co.uk/wp-content/uploads/2023/09/Managed-Risk-9-August-2023-1.pdf</v>
      </c>
      <c r="C17" s="4"/>
    </row>
    <row r="18" spans="1:3" x14ac:dyDescent="0.25">
      <c r="A18" t="s">
        <v>68</v>
      </c>
      <c r="B18" t="str">
        <f>'PDF Scraping'!D17</f>
        <v>https://www.facet-im.co.uk/wp-content/uploads/2023/09/Passive-Risk-9-August-2023.pdf</v>
      </c>
      <c r="C18" s="4"/>
    </row>
    <row r="19" spans="1:3" x14ac:dyDescent="0.25">
      <c r="A19" t="s">
        <v>69</v>
      </c>
      <c r="B19" t="str">
        <f>'PDF Scraping'!D18</f>
        <v>https://www.facet-im.co.uk/wp-content/uploads/2023/09/Managed-Risk-10-August-2023.pdf</v>
      </c>
      <c r="C19" s="4"/>
    </row>
    <row r="20" spans="1:3" x14ac:dyDescent="0.25">
      <c r="A20" t="s">
        <v>70</v>
      </c>
      <c r="B20" t="str">
        <f>'PDF Scraping'!D19</f>
        <v>https://www.facet-im.co.uk/wp-content/uploads/2023/09/Passive-Risk-10-August-2023.pdf</v>
      </c>
      <c r="C20" s="4"/>
    </row>
    <row r="21" spans="1:3" x14ac:dyDescent="0.25">
      <c r="C21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G1" sqref="G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24</v>
      </c>
      <c r="C1" t="s">
        <v>72</v>
      </c>
      <c r="D1" t="s">
        <v>73</v>
      </c>
      <c r="E1" t="s">
        <v>33</v>
      </c>
      <c r="F1" t="s">
        <v>34</v>
      </c>
    </row>
    <row r="2" spans="1:6" x14ac:dyDescent="0.25">
      <c r="A2" t="str">
        <f>IF(Input!A3="","",Input!A3)</f>
        <v>Risk Level 2</v>
      </c>
      <c r="B2" s="1"/>
      <c r="C2" s="5"/>
      <c r="D2" s="5"/>
      <c r="E2" s="5"/>
      <c r="F2" s="5"/>
    </row>
    <row r="3" spans="1:6" x14ac:dyDescent="0.25">
      <c r="A3" t="str">
        <f>IF(Input!A4="","",Input!A4)</f>
        <v>Passive Risk Level 2</v>
      </c>
      <c r="B3" s="1"/>
      <c r="C3" s="5"/>
      <c r="D3" s="5"/>
      <c r="E3" s="5"/>
      <c r="F3" s="5"/>
    </row>
    <row r="4" spans="1:6" x14ac:dyDescent="0.25">
      <c r="A4" t="str">
        <f>IF(Input!A5="","",Input!A5)</f>
        <v>Risk Level 3</v>
      </c>
      <c r="B4" s="1"/>
      <c r="C4" s="5"/>
      <c r="D4" s="5"/>
      <c r="E4" s="5"/>
      <c r="F4" s="5"/>
    </row>
    <row r="5" spans="1:6" x14ac:dyDescent="0.25">
      <c r="A5" t="str">
        <f>IF(Input!A6="","",Input!A6)</f>
        <v>Passive Risk Level 3</v>
      </c>
      <c r="B5" s="1"/>
      <c r="C5" s="5"/>
      <c r="D5" s="5"/>
      <c r="E5" s="5"/>
      <c r="F5" s="5"/>
    </row>
    <row r="6" spans="1:6" x14ac:dyDescent="0.25">
      <c r="A6" t="str">
        <f>IF(Input!A7="","",Input!A7)</f>
        <v>Risk Level 4</v>
      </c>
      <c r="B6" s="1"/>
      <c r="C6" s="5"/>
      <c r="D6" s="5"/>
      <c r="E6" s="5"/>
      <c r="F6" s="5"/>
    </row>
    <row r="7" spans="1:6" x14ac:dyDescent="0.25">
      <c r="A7" t="str">
        <f>IF(Input!A8="","",Input!A8)</f>
        <v>Passive Risk Level 4</v>
      </c>
      <c r="B7" s="1"/>
      <c r="C7" s="5"/>
      <c r="D7" s="5"/>
      <c r="E7" s="5"/>
      <c r="F7" s="5"/>
    </row>
    <row r="8" spans="1:6" x14ac:dyDescent="0.25">
      <c r="A8" t="str">
        <f>IF(Input!A9="","",Input!A9)</f>
        <v>Risk Level 5</v>
      </c>
      <c r="B8" s="1"/>
      <c r="C8" s="5"/>
      <c r="D8" s="5"/>
      <c r="E8" s="5"/>
      <c r="F8" s="5"/>
    </row>
    <row r="9" spans="1:6" x14ac:dyDescent="0.25">
      <c r="A9" t="str">
        <f>IF(Input!A10="","",Input!A10)</f>
        <v>Passive Risk Level 5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Risk Level 6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Passive Risk Level 6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>Risk Level 7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Passive Risk Level 7</v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>Risk Level 8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Passive Risk Level 8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Risk Level 9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Passive Risk Level 9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Risk Level 10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Passive Risk Level 10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F2" sqref="F2"/>
    </sheetView>
  </sheetViews>
  <sheetFormatPr defaultRowHeight="15" x14ac:dyDescent="0.25"/>
  <cols>
    <col min="1" max="1" width="40.140625" bestFit="1" customWidth="1"/>
    <col min="2" max="2" width="18.140625" bestFit="1" customWidth="1"/>
    <col min="3" max="3" width="21.28515625" bestFit="1" customWidth="1"/>
    <col min="4" max="4" width="16" bestFit="1" customWidth="1"/>
    <col min="5" max="5" width="7.140625" bestFit="1" customWidth="1"/>
    <col min="6" max="6" width="17.140625" bestFit="1" customWidth="1"/>
    <col min="7" max="7" width="15.5703125" bestFit="1" customWidth="1"/>
    <col min="8" max="8" width="13.140625" bestFit="1" customWidth="1"/>
    <col min="9" max="9" width="10.140625" bestFit="1" customWidth="1"/>
    <col min="10" max="10" width="18.42578125" bestFit="1" customWidth="1"/>
    <col min="11" max="11" width="22.42578125" bestFit="1" customWidth="1"/>
    <col min="12" max="12" width="18.5703125" bestFit="1" customWidth="1"/>
    <col min="13" max="13" width="21.42578125" bestFit="1" customWidth="1"/>
    <col min="14" max="14" width="14.28515625" bestFit="1" customWidth="1"/>
    <col min="15" max="15" width="15.8554687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74</v>
      </c>
      <c r="C1" t="s">
        <v>75</v>
      </c>
      <c r="D1" t="s">
        <v>76</v>
      </c>
      <c r="E1" t="s">
        <v>4</v>
      </c>
      <c r="F1" t="s">
        <v>77</v>
      </c>
    </row>
    <row r="2" spans="1:30" x14ac:dyDescent="0.25">
      <c r="A2" t="str">
        <f>IF(Input!A3="","",Input!A3)</f>
        <v>Risk Level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Risk Level 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Risk Level 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Risk Level 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Risk Level 4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Risk Level 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Risk Level 5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Risk Level 5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Risk Level 6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Passive Risk Level 6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Risk Level 7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Passive Risk Level 7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Risk Level 8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Passive Risk Level 8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Risk Level 9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Passive Risk Level 9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Risk Level 10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Passive Risk Level 10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B1" workbookViewId="0">
      <selection activeCell="D20" sqref="D20"/>
    </sheetView>
  </sheetViews>
  <sheetFormatPr defaultRowHeight="15" x14ac:dyDescent="0.25"/>
  <cols>
    <col min="1" max="1" width="19.5703125" bestFit="1" customWidth="1"/>
    <col min="2" max="2" width="34.28515625" bestFit="1" customWidth="1"/>
    <col min="3" max="3" width="31.5703125" bestFit="1" customWidth="1"/>
    <col min="4" max="4" width="77.8554687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Risk Level 2</v>
      </c>
      <c r="B2" t="s">
        <v>71</v>
      </c>
      <c r="C2" t="s">
        <v>35</v>
      </c>
      <c r="D2" s="8" t="s">
        <v>78</v>
      </c>
    </row>
    <row r="3" spans="1:5" x14ac:dyDescent="0.25">
      <c r="A3" t="str">
        <f>IF(Input!A4="","",Input!A4)</f>
        <v>Passive Risk Level 2</v>
      </c>
      <c r="B3" t="s">
        <v>71</v>
      </c>
      <c r="C3" t="s">
        <v>36</v>
      </c>
      <c r="D3" s="8" t="s">
        <v>79</v>
      </c>
    </row>
    <row r="4" spans="1:5" x14ac:dyDescent="0.25">
      <c r="A4" t="str">
        <f>IF(Input!A5="","",Input!A5)</f>
        <v>Risk Level 3</v>
      </c>
      <c r="B4" t="s">
        <v>71</v>
      </c>
      <c r="C4" t="s">
        <v>37</v>
      </c>
      <c r="D4" s="8" t="s">
        <v>80</v>
      </c>
    </row>
    <row r="5" spans="1:5" x14ac:dyDescent="0.25">
      <c r="A5" t="str">
        <f>IF(Input!A6="","",Input!A6)</f>
        <v>Passive Risk Level 3</v>
      </c>
      <c r="B5" t="s">
        <v>71</v>
      </c>
      <c r="C5" t="s">
        <v>38</v>
      </c>
      <c r="D5" s="8" t="s">
        <v>81</v>
      </c>
    </row>
    <row r="6" spans="1:5" x14ac:dyDescent="0.25">
      <c r="A6" t="str">
        <f>IF(Input!A7="","",Input!A7)</f>
        <v>Risk Level 4</v>
      </c>
      <c r="B6" t="s">
        <v>71</v>
      </c>
      <c r="C6" t="s">
        <v>39</v>
      </c>
      <c r="D6" s="8" t="s">
        <v>82</v>
      </c>
    </row>
    <row r="7" spans="1:5" x14ac:dyDescent="0.25">
      <c r="A7" t="str">
        <f>IF(Input!A8="","",Input!A8)</f>
        <v>Passive Risk Level 4</v>
      </c>
      <c r="B7" t="s">
        <v>71</v>
      </c>
      <c r="C7" t="s">
        <v>40</v>
      </c>
      <c r="D7" s="8" t="s">
        <v>83</v>
      </c>
    </row>
    <row r="8" spans="1:5" x14ac:dyDescent="0.25">
      <c r="A8" t="str">
        <f>IF(Input!A9="","",Input!A9)</f>
        <v>Risk Level 5</v>
      </c>
      <c r="B8" t="s">
        <v>71</v>
      </c>
      <c r="C8" t="s">
        <v>41</v>
      </c>
      <c r="D8" s="8" t="s">
        <v>84</v>
      </c>
    </row>
    <row r="9" spans="1:5" x14ac:dyDescent="0.25">
      <c r="A9" t="str">
        <f>IF(Input!A10="","",Input!A10)</f>
        <v>Passive Risk Level 5</v>
      </c>
      <c r="B9" t="s">
        <v>71</v>
      </c>
      <c r="C9" t="s">
        <v>42</v>
      </c>
      <c r="D9" s="8" t="s">
        <v>85</v>
      </c>
    </row>
    <row r="10" spans="1:5" x14ac:dyDescent="0.25">
      <c r="A10" t="str">
        <f>IF(Input!A11="","",Input!A11)</f>
        <v>Risk Level 6</v>
      </c>
      <c r="B10" t="s">
        <v>71</v>
      </c>
      <c r="C10" t="s">
        <v>43</v>
      </c>
      <c r="D10" s="8" t="s">
        <v>86</v>
      </c>
    </row>
    <row r="11" spans="1:5" x14ac:dyDescent="0.25">
      <c r="A11" t="str">
        <f>IF(Input!A12="","",Input!A12)</f>
        <v>Passive Risk Level 6</v>
      </c>
      <c r="B11" t="s">
        <v>71</v>
      </c>
      <c r="C11" t="s">
        <v>44</v>
      </c>
      <c r="D11" s="8" t="s">
        <v>87</v>
      </c>
    </row>
    <row r="12" spans="1:5" x14ac:dyDescent="0.25">
      <c r="A12" t="str">
        <f>IF(Input!A13="","",Input!A13)</f>
        <v>Risk Level 7</v>
      </c>
      <c r="B12" t="s">
        <v>71</v>
      </c>
      <c r="C12" t="s">
        <v>45</v>
      </c>
      <c r="D12" s="8" t="s">
        <v>88</v>
      </c>
    </row>
    <row r="13" spans="1:5" x14ac:dyDescent="0.25">
      <c r="A13" t="str">
        <f>IF(Input!A14="","",Input!A14)</f>
        <v>Passive Risk Level 7</v>
      </c>
      <c r="B13" t="s">
        <v>71</v>
      </c>
      <c r="C13" t="s">
        <v>46</v>
      </c>
      <c r="D13" s="8" t="s">
        <v>89</v>
      </c>
    </row>
    <row r="14" spans="1:5" x14ac:dyDescent="0.25">
      <c r="A14" t="str">
        <f>IF(Input!A15="","",Input!A15)</f>
        <v>Risk Level 8</v>
      </c>
      <c r="B14" t="s">
        <v>71</v>
      </c>
      <c r="C14" t="s">
        <v>47</v>
      </c>
      <c r="D14" s="8" t="s">
        <v>90</v>
      </c>
    </row>
    <row r="15" spans="1:5" x14ac:dyDescent="0.25">
      <c r="A15" t="str">
        <f>IF(Input!A16="","",Input!A16)</f>
        <v>Passive Risk Level 8</v>
      </c>
      <c r="B15" t="s">
        <v>71</v>
      </c>
      <c r="C15" t="s">
        <v>48</v>
      </c>
      <c r="D15" s="8" t="s">
        <v>91</v>
      </c>
    </row>
    <row r="16" spans="1:5" x14ac:dyDescent="0.25">
      <c r="A16" t="str">
        <f>IF(Input!A17="","",Input!A17)</f>
        <v>Risk Level 9</v>
      </c>
      <c r="B16" t="s">
        <v>71</v>
      </c>
      <c r="C16" t="s">
        <v>49</v>
      </c>
      <c r="D16" s="8" t="s">
        <v>92</v>
      </c>
    </row>
    <row r="17" spans="1:4" x14ac:dyDescent="0.25">
      <c r="A17" t="str">
        <f>IF(Input!A18="","",Input!A18)</f>
        <v>Passive Risk Level 9</v>
      </c>
      <c r="B17" t="s">
        <v>71</v>
      </c>
      <c r="C17" t="s">
        <v>50</v>
      </c>
      <c r="D17" s="8" t="s">
        <v>93</v>
      </c>
    </row>
    <row r="18" spans="1:4" x14ac:dyDescent="0.25">
      <c r="A18" t="str">
        <f>IF(Input!A19="","",Input!A19)</f>
        <v>Risk Level 10</v>
      </c>
      <c r="B18" t="s">
        <v>71</v>
      </c>
      <c r="C18" t="s">
        <v>51</v>
      </c>
      <c r="D18" s="8" t="s">
        <v>94</v>
      </c>
    </row>
    <row r="19" spans="1:4" x14ac:dyDescent="0.25">
      <c r="A19" t="str">
        <f>IF(Input!A20="","",Input!A20)</f>
        <v>Passive Risk Level 10</v>
      </c>
      <c r="B19" t="s">
        <v>71</v>
      </c>
      <c r="C19" t="s">
        <v>52</v>
      </c>
      <c r="D19" s="8" t="s">
        <v>95</v>
      </c>
    </row>
    <row r="20" spans="1:4" x14ac:dyDescent="0.25">
      <c r="A20" t="str">
        <f>IF(Input!A21="","",Input!A21)</f>
        <v/>
      </c>
    </row>
    <row r="21" spans="1:4" x14ac:dyDescent="0.25">
      <c r="A21" t="str">
        <f>IF(Input!A22="","",Input!A22)</f>
        <v/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B4" sqref="B4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Risk Level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Passive Risk Level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Risk Level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Passive Risk Level 3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Risk Level 4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Passive Risk Level 4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Risk Level 5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Passive Risk Level 5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Risk Level 6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Passive Risk Level 6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Risk Level 7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Passive Risk Level 7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Risk Level 8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Passive Risk Level 8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Risk Level 9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Passive Risk Level 9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Risk Level 10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Passive Risk Level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Risk Level 2</v>
      </c>
      <c r="C2">
        <f>IF(A2="","",'Additional Information'!E2)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5" x14ac:dyDescent="0.25">
      <c r="A3" t="str">
        <f>IF(Input!A4="","",Input!A4)</f>
        <v>Passive Risk Level 2</v>
      </c>
      <c r="C3">
        <f>IF(A3="","",'Additional Information'!E3)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5" x14ac:dyDescent="0.25">
      <c r="A4" t="str">
        <f>IF(Input!A5="","",Input!A5)</f>
        <v>Risk Level 3</v>
      </c>
      <c r="C4">
        <f>IF(A4="","",'Additional Information'!E4)</f>
        <v>0</v>
      </c>
      <c r="D4" s="5">
        <f>IF(A4="","",SUM('Additional Information'!C4,'Additional Information'!D4))</f>
        <v>0</v>
      </c>
      <c r="E4">
        <f>IF(A4="","",SUM('Additional Information'!C4))</f>
        <v>0</v>
      </c>
    </row>
    <row r="5" spans="1:5" x14ac:dyDescent="0.25">
      <c r="A5" t="str">
        <f>IF(Input!A6="","",Input!A6)</f>
        <v>Passive Risk Level 3</v>
      </c>
      <c r="C5">
        <f>IF(A5="","",'Additional Information'!E5)</f>
        <v>0</v>
      </c>
      <c r="D5" s="5">
        <f>IF(A5="","",SUM('Additional Information'!C5,'Additional Information'!D5))</f>
        <v>0</v>
      </c>
      <c r="E5">
        <f>IF(A5="","",SUM('Additional Information'!C5))</f>
        <v>0</v>
      </c>
    </row>
    <row r="6" spans="1:5" x14ac:dyDescent="0.25">
      <c r="A6" t="str">
        <f>IF(Input!A7="","",Input!A7)</f>
        <v>Risk Level 4</v>
      </c>
      <c r="C6">
        <f>IF(A6="","",'Additional Information'!E6)</f>
        <v>0</v>
      </c>
      <c r="D6" s="5">
        <f>IF(A6="","",SUM('Additional Information'!C6,'Additional Information'!D6))</f>
        <v>0</v>
      </c>
      <c r="E6">
        <f>IF(A6="","",SUM('Additional Information'!C6))</f>
        <v>0</v>
      </c>
    </row>
    <row r="7" spans="1:5" x14ac:dyDescent="0.25">
      <c r="A7" t="str">
        <f>IF(Input!A8="","",Input!A8)</f>
        <v>Passive Risk Level 4</v>
      </c>
      <c r="C7">
        <f>IF(A7="","",'Additional Information'!E7)</f>
        <v>0</v>
      </c>
      <c r="D7" s="5">
        <f>IF(A7="","",SUM('Additional Information'!C7,'Additional Information'!D7))</f>
        <v>0</v>
      </c>
      <c r="E7">
        <f>IF(A7="","",SUM('Additional Information'!C7))</f>
        <v>0</v>
      </c>
    </row>
    <row r="8" spans="1:5" x14ac:dyDescent="0.25">
      <c r="A8" t="str">
        <f>IF(Input!A9="","",Input!A9)</f>
        <v>Risk Level 5</v>
      </c>
      <c r="C8">
        <f>IF(A8="","",'Additional Information'!E8)</f>
        <v>0</v>
      </c>
      <c r="D8" s="5">
        <f>IF(A8="","",SUM('Additional Information'!C8,'Additional Information'!D8))</f>
        <v>0</v>
      </c>
      <c r="E8">
        <f>IF(A8="","",SUM('Additional Information'!C8))</f>
        <v>0</v>
      </c>
    </row>
    <row r="9" spans="1:5" x14ac:dyDescent="0.25">
      <c r="A9" t="str">
        <f>IF(Input!A10="","",Input!A10)</f>
        <v>Passive Risk Level 5</v>
      </c>
      <c r="C9">
        <f>IF(A9="","",'Additional Information'!E9)</f>
        <v>0</v>
      </c>
      <c r="D9" s="5">
        <f>IF(A9="","",SUM('Additional Information'!C9,'Additional Information'!D9))</f>
        <v>0</v>
      </c>
      <c r="E9">
        <f>IF(A9="","",SUM('Additional Information'!C9))</f>
        <v>0</v>
      </c>
    </row>
    <row r="10" spans="1:5" x14ac:dyDescent="0.25">
      <c r="A10" t="str">
        <f>IF(Input!A11="","",Input!A11)</f>
        <v>Risk Level 6</v>
      </c>
      <c r="C10">
        <f>IF(A10="","",'Additional Information'!E10)</f>
        <v>0</v>
      </c>
      <c r="D10" s="5">
        <f>IF(A10="","",SUM('Additional Information'!C10,'Additional Information'!D10))</f>
        <v>0</v>
      </c>
      <c r="E10">
        <f>IF(A10="","",SUM('Additional Information'!C10))</f>
        <v>0</v>
      </c>
    </row>
    <row r="11" spans="1:5" x14ac:dyDescent="0.25">
      <c r="A11" t="str">
        <f>IF(Input!A12="","",Input!A12)</f>
        <v>Passive Risk Level 6</v>
      </c>
      <c r="C11">
        <f>IF(A11="","",'Additional Information'!E11)</f>
        <v>0</v>
      </c>
      <c r="D11" s="5">
        <f>IF(A11="","",SUM('Additional Information'!C11,'Additional Information'!D11))</f>
        <v>0</v>
      </c>
      <c r="E11">
        <f>IF(A11="","",SUM('Additional Information'!C11))</f>
        <v>0</v>
      </c>
    </row>
    <row r="12" spans="1:5" x14ac:dyDescent="0.25">
      <c r="A12" t="str">
        <f>IF(Input!A13="","",Input!A13)</f>
        <v>Risk Level 7</v>
      </c>
      <c r="C12">
        <f>IF(A12="","",'Additional Information'!E12)</f>
        <v>0</v>
      </c>
      <c r="D12" s="5">
        <f>IF(A12="","",SUM('Additional Information'!C12,'Additional Information'!D12))</f>
        <v>0</v>
      </c>
      <c r="E12">
        <f>IF(A12="","",SUM('Additional Information'!C12))</f>
        <v>0</v>
      </c>
    </row>
    <row r="13" spans="1:5" x14ac:dyDescent="0.25">
      <c r="A13" t="str">
        <f>IF(Input!A14="","",Input!A14)</f>
        <v>Passive Risk Level 7</v>
      </c>
      <c r="C13">
        <f>IF(A13="","",'Additional Information'!E13)</f>
        <v>0</v>
      </c>
      <c r="D13" s="5">
        <f>IF(A13="","",SUM('Additional Information'!C13,'Additional Information'!D13))</f>
        <v>0</v>
      </c>
      <c r="E13">
        <f>IF(A13="","",SUM('Additional Information'!C13))</f>
        <v>0</v>
      </c>
    </row>
    <row r="14" spans="1:5" x14ac:dyDescent="0.25">
      <c r="A14" t="str">
        <f>IF(Input!A15="","",Input!A15)</f>
        <v>Risk Level 8</v>
      </c>
      <c r="C14">
        <f>IF(A14="","",'Additional Information'!E14)</f>
        <v>0</v>
      </c>
      <c r="D14" s="5">
        <f>IF(A14="","",SUM('Additional Information'!C14,'Additional Information'!D14))</f>
        <v>0</v>
      </c>
      <c r="E14">
        <f>IF(A14="","",SUM('Additional Information'!C14))</f>
        <v>0</v>
      </c>
    </row>
    <row r="15" spans="1:5" x14ac:dyDescent="0.25">
      <c r="A15" t="str">
        <f>IF(Input!A16="","",Input!A16)</f>
        <v>Passive Risk Level 8</v>
      </c>
      <c r="C15">
        <f>IF(A15="","",'Additional Information'!E15)</f>
        <v>0</v>
      </c>
      <c r="D15" s="5">
        <f>IF(A15="","",SUM('Additional Information'!C15,'Additional Information'!D15))</f>
        <v>0</v>
      </c>
      <c r="E15">
        <f>IF(A15="","",SUM('Additional Information'!C15))</f>
        <v>0</v>
      </c>
    </row>
    <row r="16" spans="1:5" x14ac:dyDescent="0.25">
      <c r="A16" t="str">
        <f>IF(Input!A17="","",Input!A17)</f>
        <v>Risk Level 9</v>
      </c>
      <c r="C16">
        <f>IF(A16="","",'Additional Information'!E16)</f>
        <v>0</v>
      </c>
      <c r="D16" s="5">
        <f>IF(A16="","",SUM('Additional Information'!C16,'Additional Information'!D16))</f>
        <v>0</v>
      </c>
      <c r="E16">
        <f>IF(A16="","",SUM('Additional Information'!C16))</f>
        <v>0</v>
      </c>
    </row>
    <row r="17" spans="1:5" x14ac:dyDescent="0.25">
      <c r="A17" t="str">
        <f>IF(Input!A18="","",Input!A18)</f>
        <v>Passive Risk Level 9</v>
      </c>
      <c r="C17">
        <f>IF(A17="","",'Additional Information'!E17)</f>
        <v>0</v>
      </c>
      <c r="D17" s="5">
        <f>IF(A17="","",SUM('Additional Information'!C17,'Additional Information'!D17))</f>
        <v>0</v>
      </c>
      <c r="E17">
        <f>IF(A17="","",SUM('Additional Information'!C17))</f>
        <v>0</v>
      </c>
    </row>
    <row r="18" spans="1:5" x14ac:dyDescent="0.25">
      <c r="A18" t="str">
        <f>IF(Input!A19="","",Input!A19)</f>
        <v>Risk Level 10</v>
      </c>
      <c r="C18">
        <f>IF(A18="","",'Additional Information'!E18)</f>
        <v>0</v>
      </c>
      <c r="D18" s="5">
        <f>IF(A18="","",SUM('Additional Information'!C18,'Additional Information'!D18))</f>
        <v>0</v>
      </c>
      <c r="E18">
        <f>IF(A18="","",SUM('Additional Information'!C18))</f>
        <v>0</v>
      </c>
    </row>
    <row r="19" spans="1:5" x14ac:dyDescent="0.25">
      <c r="A19" t="str">
        <f>IF(Input!A20="","",Input!A20)</f>
        <v>Passive Risk Level 10</v>
      </c>
      <c r="C19">
        <f>IF(A19="","",'Additional Information'!E19)</f>
        <v>0</v>
      </c>
      <c r="D19" s="5">
        <f>IF(A19="","",SUM('Additional Information'!C19,'Additional Information'!D19))</f>
        <v>0</v>
      </c>
      <c r="E19">
        <f>IF(A19="","",SUM('Additional Information'!C19))</f>
        <v>0</v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Risk Level 2</v>
      </c>
      <c r="B2">
        <f>IF(A2="","",SUM('Asset Allocation'!C2,'Asset Allocation'!D2,'Asset Allocation'!F2,'Asset Allocation'!G2,'Asset Allocation'!I2,'Asset Allocation'!K2,'Asset Allocation'!O2,'Asset Allocation'!L2))</f>
        <v>0</v>
      </c>
      <c r="C2">
        <f>IF(A2="","",SUM('Asset Allocation'!B2,'Asset Allocation'!E2,'Asset Allocation'!J2,'Asset Allocation'!N2))</f>
        <v>0</v>
      </c>
      <c r="F2">
        <f>IF(A2="","",SUM('Asset Allocation'!M2))</f>
        <v>0</v>
      </c>
      <c r="G2">
        <f>IF(A2="","",SUM('Asset Allocation'!H2))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Passive Risk Level 2</v>
      </c>
      <c r="B3">
        <f>IF(A3="","",SUM('Asset Allocation'!C3,'Asset Allocation'!D3,'Asset Allocation'!F3,'Asset Allocation'!G3,'Asset Allocation'!I3,'Asset Allocation'!K3,'Asset Allocation'!O3,'Asset Allocation'!L3))</f>
        <v>0</v>
      </c>
      <c r="C3">
        <f>IF(A3="","",SUM('Asset Allocation'!B3,'Asset Allocation'!E3,'Asset Allocation'!J3,'Asset Allocation'!N3))</f>
        <v>0</v>
      </c>
      <c r="F3">
        <f>IF(A3="","",SUM('Asset Allocation'!M3))</f>
        <v>0</v>
      </c>
      <c r="G3">
        <f>IF(A3="","",SUM('Asset Allocation'!H3))</f>
        <v>0</v>
      </c>
      <c r="H3">
        <f t="shared" si="0"/>
        <v>1</v>
      </c>
    </row>
    <row r="4" spans="1:8" x14ac:dyDescent="0.25">
      <c r="A4" t="str">
        <f>IF(Input!A5="","",Input!A5)</f>
        <v>Risk Level 3</v>
      </c>
      <c r="B4">
        <f>IF(A4="","",SUM('Asset Allocation'!C4,'Asset Allocation'!D4,'Asset Allocation'!F4,'Asset Allocation'!G4,'Asset Allocation'!I4,'Asset Allocation'!K4,'Asset Allocation'!O4,'Asset Allocation'!L4))</f>
        <v>0</v>
      </c>
      <c r="C4">
        <f>IF(A4="","",SUM('Asset Allocation'!B4,'Asset Allocation'!E4,'Asset Allocation'!J4,'Asset Allocation'!N4))</f>
        <v>0</v>
      </c>
      <c r="F4">
        <f>IF(A4="","",SUM('Asset Allocation'!M4))</f>
        <v>0</v>
      </c>
      <c r="G4">
        <f>IF(A4="","",SUM('Asset Allocation'!H4))</f>
        <v>0</v>
      </c>
      <c r="H4">
        <f t="shared" si="0"/>
        <v>1</v>
      </c>
    </row>
    <row r="5" spans="1:8" x14ac:dyDescent="0.25">
      <c r="A5" t="str">
        <f>IF(Input!A6="","",Input!A6)</f>
        <v>Passive Risk Level 3</v>
      </c>
      <c r="B5">
        <f>IF(A5="","",SUM('Asset Allocation'!C5,'Asset Allocation'!D5,'Asset Allocation'!F5,'Asset Allocation'!G5,'Asset Allocation'!I5,'Asset Allocation'!K5,'Asset Allocation'!O5,'Asset Allocation'!L5))</f>
        <v>0</v>
      </c>
      <c r="C5">
        <f>IF(A5="","",SUM('Asset Allocation'!B5,'Asset Allocation'!E5,'Asset Allocation'!J5,'Asset Allocation'!N5))</f>
        <v>0</v>
      </c>
      <c r="F5">
        <f>IF(A5="","",SUM('Asset Allocation'!M5))</f>
        <v>0</v>
      </c>
      <c r="G5">
        <f>IF(A5="","",SUM('Asset Allocation'!H5))</f>
        <v>0</v>
      </c>
      <c r="H5">
        <f t="shared" si="0"/>
        <v>1</v>
      </c>
    </row>
    <row r="6" spans="1:8" x14ac:dyDescent="0.25">
      <c r="A6" t="str">
        <f>IF(Input!A7="","",Input!A7)</f>
        <v>Risk Level 4</v>
      </c>
      <c r="B6">
        <f>IF(A6="","",SUM('Asset Allocation'!C6,'Asset Allocation'!D6,'Asset Allocation'!F6,'Asset Allocation'!G6,'Asset Allocation'!I6,'Asset Allocation'!K6,'Asset Allocation'!O6,'Asset Allocation'!L6))</f>
        <v>0</v>
      </c>
      <c r="C6">
        <f>IF(A6="","",SUM('Asset Allocation'!B6,'Asset Allocation'!E6,'Asset Allocation'!J6,'Asset Allocation'!N6))</f>
        <v>0</v>
      </c>
      <c r="F6">
        <f>IF(A6="","",SUM('Asset Allocation'!M6))</f>
        <v>0</v>
      </c>
      <c r="G6">
        <f>IF(A6="","",SUM('Asset Allocation'!H6))</f>
        <v>0</v>
      </c>
      <c r="H6">
        <f t="shared" si="0"/>
        <v>1</v>
      </c>
    </row>
    <row r="7" spans="1:8" x14ac:dyDescent="0.25">
      <c r="A7" t="str">
        <f>IF(Input!A8="","",Input!A8)</f>
        <v>Passive Risk Level 4</v>
      </c>
      <c r="B7">
        <f>IF(A7="","",SUM('Asset Allocation'!C7,'Asset Allocation'!D7,'Asset Allocation'!F7,'Asset Allocation'!G7,'Asset Allocation'!I7,'Asset Allocation'!K7,'Asset Allocation'!O7,'Asset Allocation'!L7))</f>
        <v>0</v>
      </c>
      <c r="C7">
        <f>IF(A7="","",SUM('Asset Allocation'!B7,'Asset Allocation'!E7,'Asset Allocation'!J7,'Asset Allocation'!N7))</f>
        <v>0</v>
      </c>
      <c r="F7">
        <f>IF(A7="","",SUM('Asset Allocation'!M7))</f>
        <v>0</v>
      </c>
      <c r="G7">
        <f>IF(A7="","",SUM('Asset Allocation'!H7))</f>
        <v>0</v>
      </c>
      <c r="H7">
        <f t="shared" si="0"/>
        <v>1</v>
      </c>
    </row>
    <row r="8" spans="1:8" x14ac:dyDescent="0.25">
      <c r="A8" t="str">
        <f>IF(Input!A9="","",Input!A9)</f>
        <v>Risk Level 5</v>
      </c>
      <c r="B8">
        <f>IF(A8="","",SUM('Asset Allocation'!C8,'Asset Allocation'!D8,'Asset Allocation'!F8,'Asset Allocation'!G8,'Asset Allocation'!I8,'Asset Allocation'!K8,'Asset Allocation'!O8,'Asset Allocation'!L8))</f>
        <v>0</v>
      </c>
      <c r="C8">
        <f>IF(A8="","",SUM('Asset Allocation'!B8,'Asset Allocation'!E8,'Asset Allocation'!J8,'Asset Allocation'!N8))</f>
        <v>0</v>
      </c>
      <c r="F8">
        <f>IF(A8="","",SUM('Asset Allocation'!M8))</f>
        <v>0</v>
      </c>
      <c r="G8">
        <f>IF(A8="","",SUM('Asset Allocation'!H8))</f>
        <v>0</v>
      </c>
      <c r="H8">
        <f t="shared" si="0"/>
        <v>1</v>
      </c>
    </row>
    <row r="9" spans="1:8" x14ac:dyDescent="0.25">
      <c r="A9" t="str">
        <f>IF(Input!A10="","",Input!A10)</f>
        <v>Passive Risk Level 5</v>
      </c>
      <c r="B9">
        <f>IF(A9="","",SUM('Asset Allocation'!C9,'Asset Allocation'!D9,'Asset Allocation'!F9,'Asset Allocation'!G9,'Asset Allocation'!I9,'Asset Allocation'!K9,'Asset Allocation'!O9,'Asset Allocation'!L9))</f>
        <v>0</v>
      </c>
      <c r="C9">
        <f>IF(A9="","",SUM('Asset Allocation'!B9,'Asset Allocation'!E9,'Asset Allocation'!J9,'Asset Allocation'!N9))</f>
        <v>0</v>
      </c>
      <c r="F9">
        <f>IF(A9="","",SUM('Asset Allocation'!M9))</f>
        <v>0</v>
      </c>
      <c r="G9">
        <f>IF(A9="","",SUM('Asset Allocation'!H9))</f>
        <v>0</v>
      </c>
      <c r="H9">
        <f t="shared" si="0"/>
        <v>1</v>
      </c>
    </row>
    <row r="10" spans="1:8" x14ac:dyDescent="0.25">
      <c r="A10" t="str">
        <f>IF(Input!A11="","",Input!A11)</f>
        <v>Risk Level 6</v>
      </c>
      <c r="B10">
        <f>IF(A10="","",SUM('Asset Allocation'!C10,'Asset Allocation'!D10,'Asset Allocation'!F10,'Asset Allocation'!G10,'Asset Allocation'!I10,'Asset Allocation'!K10,'Asset Allocation'!O10,'Asset Allocation'!L10))</f>
        <v>0</v>
      </c>
      <c r="C10">
        <f>IF(A10="","",SUM('Asset Allocation'!B10,'Asset Allocation'!E10,'Asset Allocation'!J10,'Asset Allocation'!N10))</f>
        <v>0</v>
      </c>
      <c r="F10">
        <f>IF(A10="","",SUM('Asset Allocation'!M10))</f>
        <v>0</v>
      </c>
      <c r="G10">
        <f>IF(A10="","",SUM('Asset Allocation'!H10))</f>
        <v>0</v>
      </c>
      <c r="H10">
        <f t="shared" si="0"/>
        <v>1</v>
      </c>
    </row>
    <row r="11" spans="1:8" x14ac:dyDescent="0.25">
      <c r="A11" t="str">
        <f>IF(Input!A12="","",Input!A12)</f>
        <v>Passive Risk Level 6</v>
      </c>
      <c r="B11">
        <f>IF(A11="","",SUM('Asset Allocation'!C11,'Asset Allocation'!D11,'Asset Allocation'!F11,'Asset Allocation'!G11,'Asset Allocation'!I11,'Asset Allocation'!K11,'Asset Allocation'!O11,'Asset Allocation'!L11))</f>
        <v>0</v>
      </c>
      <c r="C11">
        <f>IF(A11="","",SUM('Asset Allocation'!B11,'Asset Allocation'!E11,'Asset Allocation'!J11,'Asset Allocation'!N11))</f>
        <v>0</v>
      </c>
      <c r="F11">
        <f>IF(A11="","",SUM('Asset Allocation'!M11))</f>
        <v>0</v>
      </c>
      <c r="G11">
        <f>IF(A11="","",SUM('Asset Allocation'!H11))</f>
        <v>0</v>
      </c>
      <c r="H11">
        <f t="shared" si="0"/>
        <v>1</v>
      </c>
    </row>
    <row r="12" spans="1:8" x14ac:dyDescent="0.25">
      <c r="A12" t="str">
        <f>IF(Input!A13="","",Input!A13)</f>
        <v>Risk Level 7</v>
      </c>
      <c r="B12">
        <f>IF(A12="","",SUM('Asset Allocation'!C12,'Asset Allocation'!D12,'Asset Allocation'!F12,'Asset Allocation'!G12,'Asset Allocation'!I12,'Asset Allocation'!K12,'Asset Allocation'!O12,'Asset Allocation'!L12))</f>
        <v>0</v>
      </c>
      <c r="C12">
        <f>IF(A12="","",SUM('Asset Allocation'!B12,'Asset Allocation'!E12,'Asset Allocation'!J12,'Asset Allocation'!N12))</f>
        <v>0</v>
      </c>
      <c r="F12">
        <f>IF(A12="","",SUM('Asset Allocation'!M12))</f>
        <v>0</v>
      </c>
      <c r="G12">
        <f>IF(A12="","",SUM('Asset Allocation'!H12))</f>
        <v>0</v>
      </c>
      <c r="H12">
        <f t="shared" si="0"/>
        <v>1</v>
      </c>
    </row>
    <row r="13" spans="1:8" x14ac:dyDescent="0.25">
      <c r="A13" t="str">
        <f>IF(Input!A14="","",Input!A14)</f>
        <v>Passive Risk Level 7</v>
      </c>
      <c r="B13">
        <f>IF(A13="","",SUM('Asset Allocation'!C13,'Asset Allocation'!D13,'Asset Allocation'!F13,'Asset Allocation'!G13,'Asset Allocation'!I13,'Asset Allocation'!K13,'Asset Allocation'!O13,'Asset Allocation'!L13))</f>
        <v>0</v>
      </c>
      <c r="C13">
        <f>IF(A13="","",SUM('Asset Allocation'!B13,'Asset Allocation'!E13,'Asset Allocation'!J13,'Asset Allocation'!N13))</f>
        <v>0</v>
      </c>
      <c r="F13">
        <f>IF(A13="","",SUM('Asset Allocation'!M13))</f>
        <v>0</v>
      </c>
      <c r="G13">
        <f>IF(A13="","",SUM('Asset Allocation'!H13))</f>
        <v>0</v>
      </c>
      <c r="H13">
        <f t="shared" si="0"/>
        <v>1</v>
      </c>
    </row>
    <row r="14" spans="1:8" x14ac:dyDescent="0.25">
      <c r="A14" t="str">
        <f>IF(Input!A15="","",Input!A15)</f>
        <v>Risk Level 8</v>
      </c>
      <c r="B14">
        <f>IF(A14="","",SUM('Asset Allocation'!C14,'Asset Allocation'!D14,'Asset Allocation'!F14,'Asset Allocation'!G14,'Asset Allocation'!I14,'Asset Allocation'!K14,'Asset Allocation'!O14,'Asset Allocation'!L14))</f>
        <v>0</v>
      </c>
      <c r="C14">
        <f>IF(A14="","",SUM('Asset Allocation'!B14,'Asset Allocation'!E14,'Asset Allocation'!J14,'Asset Allocation'!N14))</f>
        <v>0</v>
      </c>
      <c r="F14">
        <f>IF(A14="","",SUM('Asset Allocation'!M14))</f>
        <v>0</v>
      </c>
      <c r="G14">
        <f>IF(A14="","",SUM('Asset Allocation'!H14))</f>
        <v>0</v>
      </c>
      <c r="H14">
        <f t="shared" si="0"/>
        <v>1</v>
      </c>
    </row>
    <row r="15" spans="1:8" x14ac:dyDescent="0.25">
      <c r="A15" t="str">
        <f>IF(Input!A16="","",Input!A16)</f>
        <v>Passive Risk Level 8</v>
      </c>
      <c r="B15">
        <f>IF(A15="","",SUM('Asset Allocation'!C15,'Asset Allocation'!D15,'Asset Allocation'!F15,'Asset Allocation'!G15,'Asset Allocation'!I15,'Asset Allocation'!K15,'Asset Allocation'!O15,'Asset Allocation'!L15))</f>
        <v>0</v>
      </c>
      <c r="C15">
        <f>IF(A15="","",SUM('Asset Allocation'!B15,'Asset Allocation'!E15,'Asset Allocation'!J15,'Asset Allocation'!N15))</f>
        <v>0</v>
      </c>
      <c r="F15">
        <f>IF(A15="","",SUM('Asset Allocation'!M15))</f>
        <v>0</v>
      </c>
      <c r="G15">
        <f>IF(A15="","",SUM('Asset Allocation'!H15))</f>
        <v>0</v>
      </c>
      <c r="H15">
        <f t="shared" si="0"/>
        <v>1</v>
      </c>
    </row>
    <row r="16" spans="1:8" x14ac:dyDescent="0.25">
      <c r="A16" t="str">
        <f>IF(Input!A17="","",Input!A17)</f>
        <v>Risk Level 9</v>
      </c>
      <c r="B16">
        <f>IF(A16="","",SUM('Asset Allocation'!C16,'Asset Allocation'!D16,'Asset Allocation'!F16,'Asset Allocation'!G16,'Asset Allocation'!I16,'Asset Allocation'!K16,'Asset Allocation'!O16,'Asset Allocation'!L16))</f>
        <v>0</v>
      </c>
      <c r="C16">
        <f>IF(A16="","",SUM('Asset Allocation'!B16,'Asset Allocation'!E16,'Asset Allocation'!J16,'Asset Allocation'!N16))</f>
        <v>0</v>
      </c>
      <c r="F16">
        <f>IF(A16="","",SUM('Asset Allocation'!M16))</f>
        <v>0</v>
      </c>
      <c r="G16">
        <f>IF(A16="","",SUM('Asset Allocation'!H16))</f>
        <v>0</v>
      </c>
      <c r="H16">
        <f t="shared" si="0"/>
        <v>1</v>
      </c>
    </row>
    <row r="17" spans="1:8" x14ac:dyDescent="0.25">
      <c r="A17" t="str">
        <f>IF(Input!A18="","",Input!A18)</f>
        <v>Passive Risk Level 9</v>
      </c>
      <c r="B17">
        <f>IF(A17="","",SUM('Asset Allocation'!C17,'Asset Allocation'!D17,'Asset Allocation'!F17,'Asset Allocation'!G17,'Asset Allocation'!I17,'Asset Allocation'!K17,'Asset Allocation'!O17,'Asset Allocation'!L17))</f>
        <v>0</v>
      </c>
      <c r="C17">
        <f>IF(A17="","",SUM('Asset Allocation'!B17,'Asset Allocation'!E17,'Asset Allocation'!J17,'Asset Allocation'!N17))</f>
        <v>0</v>
      </c>
      <c r="F17">
        <f>IF(A17="","",SUM('Asset Allocation'!M17))</f>
        <v>0</v>
      </c>
      <c r="G17">
        <f>IF(A17="","",SUM('Asset Allocation'!H17))</f>
        <v>0</v>
      </c>
      <c r="H17">
        <f t="shared" si="0"/>
        <v>1</v>
      </c>
    </row>
    <row r="18" spans="1:8" x14ac:dyDescent="0.25">
      <c r="A18" t="str">
        <f>IF(Input!A19="","",Input!A19)</f>
        <v>Risk Level 10</v>
      </c>
      <c r="B18">
        <f>IF(A18="","",SUM('Asset Allocation'!C18,'Asset Allocation'!D18,'Asset Allocation'!F18,'Asset Allocation'!G18,'Asset Allocation'!I18,'Asset Allocation'!K18,'Asset Allocation'!O18,'Asset Allocation'!L18))</f>
        <v>0</v>
      </c>
      <c r="C18">
        <f>IF(A18="","",SUM('Asset Allocation'!B18,'Asset Allocation'!E18,'Asset Allocation'!J18,'Asset Allocation'!N18))</f>
        <v>0</v>
      </c>
      <c r="F18">
        <f>IF(A18="","",SUM('Asset Allocation'!M18))</f>
        <v>0</v>
      </c>
      <c r="G18">
        <f>IF(A18="","",SUM('Asset Allocation'!H18))</f>
        <v>0</v>
      </c>
      <c r="H18">
        <f t="shared" si="0"/>
        <v>1</v>
      </c>
    </row>
    <row r="19" spans="1:8" x14ac:dyDescent="0.25">
      <c r="A19" t="str">
        <f>IF(Input!A20="","",Input!A20)</f>
        <v>Passive Risk Level 10</v>
      </c>
      <c r="B19">
        <f>IF(A19="","",SUM('Asset Allocation'!C19,'Asset Allocation'!D19,'Asset Allocation'!F19,'Asset Allocation'!G19,'Asset Allocation'!I19,'Asset Allocation'!K19,'Asset Allocation'!O19,'Asset Allocation'!L19))</f>
        <v>0</v>
      </c>
      <c r="C19">
        <f>IF(A19="","",SUM('Asset Allocation'!B19,'Asset Allocation'!E19,'Asset Allocation'!J19,'Asset Allocation'!N19))</f>
        <v>0</v>
      </c>
      <c r="F19">
        <f>IF(A19="","",SUM('Asset Allocation'!M19))</f>
        <v>0</v>
      </c>
      <c r="G19">
        <f>IF(A19="","",SUM('Asset Allocation'!H19))</f>
        <v>0</v>
      </c>
      <c r="H19">
        <f t="shared" si="0"/>
        <v>1</v>
      </c>
    </row>
    <row r="20" spans="1:8" x14ac:dyDescent="0.25">
      <c r="A20" t="str">
        <f>IF(Input!A21="","",Input!A21)</f>
        <v/>
      </c>
      <c r="B20" t="str">
        <f>IF(A20="","",SUM('Asset Allocation'!C20,'Asset Allocation'!D20,'Asset Allocation'!F20,'Asset Allocation'!G20,'Asset Allocation'!I20,'Asset Allocation'!K20,'Asset Allocation'!O20,'Asset Allocation'!L20))</f>
        <v/>
      </c>
      <c r="C20" t="str">
        <f>IF(A20="","",SUM('Asset Allocation'!B20,'Asset Allocation'!E20,'Asset Allocation'!J20,'Asset Allocation'!N20))</f>
        <v/>
      </c>
      <c r="F20" t="str">
        <f>IF(A20="","",SUM('Asset Allocation'!M20))</f>
        <v/>
      </c>
      <c r="G20" t="str">
        <f>IF(A20="","",SUM('Asset Allocation'!H20))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Allocation'!C21,'Asset Allocation'!D21,'Asset Allocation'!F21,'Asset Allocation'!G21,'Asset Allocation'!I21,'Asset Allocation'!K21,'Asset Allocation'!O21,'Asset Allocation'!L21))</f>
        <v/>
      </c>
      <c r="C21" t="str">
        <f>IF(A21="","",SUM('Asset Allocation'!B21,'Asset Allocation'!E21,'Asset Allocation'!J21,'Asset Allocation'!N21))</f>
        <v/>
      </c>
      <c r="F21" t="str">
        <f>IF(A21="","",SUM('Asset Allocation'!M21))</f>
        <v/>
      </c>
      <c r="G21" t="str">
        <f>IF(A21="","",SUM('Asset Allocation'!H21))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Allocation'!C22,'Asset Allocation'!D22,'Asset Allocation'!F22,'Asset Allocation'!G22,'Asset Allocation'!I22,'Asset Allocation'!K22,'Asset Allocation'!O22,'Asset Allocation'!L22))</f>
        <v/>
      </c>
      <c r="C22" t="str">
        <f>IF(A22="","",SUM('Asset Allocation'!B22,'Asset Allocation'!E22,'Asset Allocation'!J22,'Asset Allocation'!N22))</f>
        <v/>
      </c>
      <c r="F22" t="str">
        <f>IF(A22="","",SUM('Asset Allocation'!M22))</f>
        <v/>
      </c>
      <c r="G22" t="str">
        <f>IF(A22="","",SUM('Asset Allocation'!H22))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Allocation'!C23,'Asset Allocation'!D23,'Asset Allocation'!F23,'Asset Allocation'!G23,'Asset Allocation'!I23,'Asset Allocation'!K23,'Asset Allocation'!O23,'Asset Allocation'!L23))</f>
        <v/>
      </c>
      <c r="C23" t="str">
        <f>IF(A23="","",SUM('Asset Allocation'!B23,'Asset Allocation'!E23,'Asset Allocation'!J23,'Asset Allocation'!N23))</f>
        <v/>
      </c>
      <c r="F23" t="str">
        <f>IF(A23="","",SUM('Asset Allocation'!M23))</f>
        <v/>
      </c>
      <c r="G23" t="str">
        <f>IF(A23="","",SUM('Asset Allocation'!H23))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Allocation'!C24,'Asset Allocation'!D24,'Asset Allocation'!F24,'Asset Allocation'!G24,'Asset Allocation'!I24,'Asset Allocation'!K24,'Asset Allocation'!O24,'Asset Allocation'!L24))</f>
        <v/>
      </c>
      <c r="C24" t="str">
        <f>IF(A24="","",SUM('Asset Allocation'!B24,'Asset Allocation'!E24,'Asset Allocation'!J24,'Asset Allocation'!N24))</f>
        <v/>
      </c>
      <c r="F24" t="str">
        <f>IF(A24="","",SUM('Asset Allocation'!M24))</f>
        <v/>
      </c>
      <c r="G24" t="str">
        <f>IF(A24="","",SUM('Asset Allocation'!H24))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Allocation'!C25,'Asset Allocation'!D25,'Asset Allocation'!F25,'Asset Allocation'!G25,'Asset Allocation'!I25,'Asset Allocation'!K25,'Asset Allocation'!O25,'Asset Allocation'!L25))</f>
        <v/>
      </c>
      <c r="C25" t="str">
        <f>IF(A25="","",SUM('Asset Allocation'!B25,'Asset Allocation'!E25,'Asset Allocation'!J25,'Asset Allocation'!N25))</f>
        <v/>
      </c>
      <c r="F25" t="str">
        <f>IF(A25="","",SUM('Asset Allocation'!M25))</f>
        <v/>
      </c>
      <c r="G25" t="str">
        <f>IF(A25="","",SUM('Asset Allocation'!H25))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Allocation'!C26,'Asset Allocation'!D26,'Asset Allocation'!F26,'Asset Allocation'!G26,'Asset Allocation'!I26,'Asset Allocation'!K26,'Asset Allocation'!O26,'Asset Allocation'!L26))</f>
        <v/>
      </c>
      <c r="C26" t="str">
        <f>IF(A26="","",SUM('Asset Allocation'!B26,'Asset Allocation'!E26,'Asset Allocation'!J26,'Asset Allocation'!N26))</f>
        <v/>
      </c>
      <c r="F26" t="str">
        <f>IF(A26="","",SUM('Asset Allocation'!M26))</f>
        <v/>
      </c>
      <c r="G26" t="str">
        <f>IF(A26="","",SUM('Asset Allocation'!H26))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Allocation'!C27,'Asset Allocation'!D27,'Asset Allocation'!F27,'Asset Allocation'!G27,'Asset Allocation'!I27,'Asset Allocation'!K27,'Asset Allocation'!O27,'Asset Allocation'!L27))</f>
        <v/>
      </c>
      <c r="C27" t="str">
        <f>IF(A27="","",SUM('Asset Allocation'!B27,'Asset Allocation'!E27,'Asset Allocation'!J27,'Asset Allocation'!N27))</f>
        <v/>
      </c>
      <c r="F27" t="str">
        <f>IF(A27="","",SUM('Asset Allocation'!M27))</f>
        <v/>
      </c>
      <c r="G27" t="str">
        <f>IF(A27="","",SUM('Asset Allocation'!H27))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Allocation'!C28,'Asset Allocation'!D28,'Asset Allocation'!F28,'Asset Allocation'!G28,'Asset Allocation'!I28,'Asset Allocation'!K28,'Asset Allocation'!O28,'Asset Allocation'!L28))</f>
        <v/>
      </c>
      <c r="C28" t="str">
        <f>IF(A28="","",SUM('Asset Allocation'!B28,'Asset Allocation'!E28,'Asset Allocation'!J28,'Asset Allocation'!N28))</f>
        <v/>
      </c>
      <c r="F28" t="str">
        <f>IF(A28="","",SUM('Asset Allocation'!M28))</f>
        <v/>
      </c>
      <c r="G28" t="str">
        <f>IF(A28="","",SUM('Asset Allocation'!H28))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Allocation'!C29,'Asset Allocation'!D29,'Asset Allocation'!F29,'Asset Allocation'!G29,'Asset Allocation'!I29,'Asset Allocation'!K29,'Asset Allocation'!O29,'Asset Allocation'!L29))</f>
        <v/>
      </c>
      <c r="C29" t="str">
        <f>IF(A29="","",SUM('Asset Allocation'!B29,'Asset Allocation'!E29,'Asset Allocation'!J29,'Asset Allocation'!N29))</f>
        <v/>
      </c>
      <c r="F29" t="str">
        <f>IF(A29="","",SUM('Asset Allocation'!M29))</f>
        <v/>
      </c>
      <c r="G29" t="str">
        <f>IF(A29="","",SUM('Asset Allocation'!H29))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Allocation'!C30,'Asset Allocation'!D30,'Asset Allocation'!F30,'Asset Allocation'!G30,'Asset Allocation'!I30,'Asset Allocation'!K30,'Asset Allocation'!O30,'Asset Allocation'!L30))</f>
        <v/>
      </c>
      <c r="C30" t="str">
        <f>IF(A30="","",SUM('Asset Allocation'!B30,'Asset Allocation'!E30,'Asset Allocation'!J30,'Asset Allocation'!N30))</f>
        <v/>
      </c>
      <c r="F30" t="str">
        <f>IF(A30="","",SUM('Asset Allocation'!M30))</f>
        <v/>
      </c>
      <c r="G30" t="str">
        <f>IF(A30="","",SUM('Asset Allocation'!H30))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Allocation'!C31,'Asset Allocation'!D31,'Asset Allocation'!F31,'Asset Allocation'!G31,'Asset Allocation'!I31,'Asset Allocation'!K31,'Asset Allocation'!O31,'Asset Allocation'!L31))</f>
        <v/>
      </c>
      <c r="C31" t="str">
        <f>IF(A31="","",SUM('Asset Allocation'!B31,'Asset Allocation'!E31,'Asset Allocation'!J31,'Asset Allocation'!N31))</f>
        <v/>
      </c>
      <c r="F31" t="str">
        <f>IF(A31="","",SUM('Asset Allocation'!M31))</f>
        <v/>
      </c>
      <c r="G31" t="str">
        <f>IF(A31="","",SUM('Asset Allocation'!H31))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Allocation'!C32,'Asset Allocation'!D32,'Asset Allocation'!F32,'Asset Allocation'!G32,'Asset Allocation'!I32,'Asset Allocation'!K32,'Asset Allocation'!O32,'Asset Allocation'!L32))</f>
        <v/>
      </c>
      <c r="C32" t="str">
        <f>IF(A32="","",SUM('Asset Allocation'!B32,'Asset Allocation'!E32,'Asset Allocation'!J32,'Asset Allocation'!N32))</f>
        <v/>
      </c>
      <c r="F32" t="str">
        <f>IF(A32="","",SUM('Asset Allocation'!M32))</f>
        <v/>
      </c>
      <c r="G32" t="str">
        <f>IF(A32="","",SUM('Asset Allocation'!H32))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Allocation'!C33,'Asset Allocation'!D33,'Asset Allocation'!F33,'Asset Allocation'!G33,'Asset Allocation'!I33,'Asset Allocation'!K33,'Asset Allocation'!O33,'Asset Allocation'!L33))</f>
        <v/>
      </c>
      <c r="C33" t="str">
        <f>IF(A33="","",SUM('Asset Allocation'!B33,'Asset Allocation'!E33,'Asset Allocation'!J33,'Asset Allocation'!N33))</f>
        <v/>
      </c>
      <c r="F33" t="str">
        <f>IF(A33="","",SUM('Asset Allocation'!M33))</f>
        <v/>
      </c>
      <c r="G33" t="str">
        <f>IF(A33="","",SUM('Asset Allocation'!H33))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Allocation'!C34,'Asset Allocation'!D34,'Asset Allocation'!F34,'Asset Allocation'!G34,'Asset Allocation'!I34,'Asset Allocation'!K34,'Asset Allocation'!O34,'Asset Allocation'!L34))</f>
        <v/>
      </c>
      <c r="C34" t="str">
        <f>IF(A34="","",SUM('Asset Allocation'!B34,'Asset Allocation'!E34,'Asset Allocation'!J34,'Asset Allocation'!N34))</f>
        <v/>
      </c>
      <c r="F34" t="str">
        <f>IF(A34="","",SUM('Asset Allocation'!M34))</f>
        <v/>
      </c>
      <c r="G34" t="str">
        <f>IF(A34="","",SUM('Asset Allocation'!H34))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Allocation'!D35,'Asset Allocation'!F35,'Asset Allocation'!G35,'Asset Allocation'!I35,'Asset Allocation'!K35,'Asset Allocation'!O35,'Asset Allocation'!L35))</f>
        <v/>
      </c>
      <c r="C35" t="str">
        <f>IF(A35="","",SUM('Asset Allocation'!B35,'Asset Allocation'!E35,'Asset Allocation'!J35,'Asset Allocation'!N35))</f>
        <v/>
      </c>
      <c r="F35" t="str">
        <f>IF(A35="","",SUM('Asset Allocation'!M35))</f>
        <v/>
      </c>
      <c r="G35" t="str">
        <f>IF(A35="","",SUM('Asset Allocation'!H35))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Allocation'!D36,'Asset Allocation'!F36,'Asset Allocation'!G36,'Asset Allocation'!I36,'Asset Allocation'!K36,'Asset Allocation'!O36,'Asset Allocation'!L36))</f>
        <v/>
      </c>
      <c r="C36" t="str">
        <f>IF(A36="","",SUM('Asset Allocation'!B36,'Asset Allocation'!E36,'Asset Allocation'!J36,'Asset Allocation'!N36))</f>
        <v/>
      </c>
      <c r="F36" t="str">
        <f>IF(A36="","",SUM('Asset Allocation'!M36))</f>
        <v/>
      </c>
      <c r="G36" t="str">
        <f>IF(A36="","",SUM('Asset Allocation'!H36))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Allocation'!D37,'Asset Allocation'!F37,'Asset Allocation'!G37,'Asset Allocation'!I37,'Asset Allocation'!K37,'Asset Allocation'!O37,'Asset Allocation'!L37))</f>
        <v/>
      </c>
      <c r="C37" t="str">
        <f>IF(A37="","",SUM('Asset Allocation'!B37,'Asset Allocation'!E37,'Asset Allocation'!J37,'Asset Allocation'!N37))</f>
        <v/>
      </c>
      <c r="F37" t="str">
        <f>IF(A37="","",SUM('Asset Allocation'!M37))</f>
        <v/>
      </c>
      <c r="G37" t="str">
        <f>IF(A37="","",SUM('Asset Allocation'!H37))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Allocation'!D38,'Asset Allocation'!F38,'Asset Allocation'!G38,'Asset Allocation'!I38,'Asset Allocation'!K38,'Asset Allocation'!O38,'Asset Allocation'!L38))</f>
        <v/>
      </c>
      <c r="C38" t="str">
        <f>IF(A38="","",SUM('Asset Allocation'!B38,'Asset Allocation'!E38,'Asset Allocation'!J38,'Asset Allocation'!N38))</f>
        <v/>
      </c>
      <c r="F38" t="str">
        <f>IF(A38="","",SUM('Asset Allocation'!M38))</f>
        <v/>
      </c>
      <c r="G38" t="str">
        <f>IF(A38="","",SUM('Asset Allocation'!H38))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Allocation'!D39,'Asset Allocation'!F39,'Asset Allocation'!G39,'Asset Allocation'!I39,'Asset Allocation'!K39,'Asset Allocation'!O39,'Asset Allocation'!L39))</f>
        <v/>
      </c>
      <c r="C39" t="str">
        <f>IF(A39="","",SUM('Asset Allocation'!B39,'Asset Allocation'!E39,'Asset Allocation'!J39,'Asset Allocation'!N39))</f>
        <v/>
      </c>
      <c r="F39" t="str">
        <f>IF(A39="","",SUM('Asset Allocation'!M39))</f>
        <v/>
      </c>
      <c r="G39" t="str">
        <f>IF(A39="","",SUM('Asset Allocation'!H39))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Allocation'!D40,'Asset Allocation'!F40,'Asset Allocation'!G40,'Asset Allocation'!I40,'Asset Allocation'!K40,'Asset Allocation'!O40,'Asset Allocation'!L40))</f>
        <v/>
      </c>
      <c r="C40" t="str">
        <f>IF(A40="","",SUM('Asset Allocation'!B40,'Asset Allocation'!E40,'Asset Allocation'!J40,'Asset Allocation'!N40))</f>
        <v/>
      </c>
      <c r="F40" t="str">
        <f>IF(A40="","",SUM('Asset Allocation'!M40))</f>
        <v/>
      </c>
      <c r="G40" t="str">
        <f>IF(A40="","",SUM('Asset Allocation'!H40))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Allocation'!D41,'Asset Allocation'!F41,'Asset Allocation'!G41,'Asset Allocation'!I41,'Asset Allocation'!K41,'Asset Allocation'!O41,'Asset Allocation'!L41))</f>
        <v/>
      </c>
      <c r="C41" t="str">
        <f>IF(A41="","",SUM('Asset Allocation'!B41,'Asset Allocation'!E41,'Asset Allocation'!J41,'Asset Allocation'!N41))</f>
        <v/>
      </c>
      <c r="F41" t="str">
        <f>IF(A41="","",SUM('Asset Allocation'!M41))</f>
        <v/>
      </c>
      <c r="G41" t="str">
        <f>IF(A41="","",SUM('Asset Allocation'!H41))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Allocation'!D42,'Asset Allocation'!F42,'Asset Allocation'!G42,'Asset Allocation'!I42,'Asset Allocation'!K42,'Asset Allocation'!O42,'Asset Allocation'!L42))</f>
        <v/>
      </c>
      <c r="C42" t="str">
        <f>IF(A42="","",SUM('Asset Allocation'!B42,'Asset Allocation'!E42,'Asset Allocation'!J42,'Asset Allocation'!N42))</f>
        <v/>
      </c>
      <c r="F42" t="str">
        <f>IF(A42="","",SUM('Asset Allocation'!M42))</f>
        <v/>
      </c>
      <c r="G42" t="str">
        <f>IF(A42="","",SUM('Asset Allocation'!H42))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Allocation'!D43,'Asset Allocation'!F43,'Asset Allocation'!G43,'Asset Allocation'!I43,'Asset Allocation'!K43,'Asset Allocation'!O43,'Asset Allocation'!L43))</f>
        <v/>
      </c>
      <c r="C43" t="str">
        <f>IF(A43="","",SUM('Asset Allocation'!B43,'Asset Allocation'!E43,'Asset Allocation'!J43,'Asset Allocation'!N43))</f>
        <v/>
      </c>
      <c r="F43" t="str">
        <f>IF(A43="","",SUM('Asset Allocation'!M43))</f>
        <v/>
      </c>
      <c r="G43" t="str">
        <f>IF(A43="","",SUM('Asset Allocation'!H43))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Allocation'!D44,'Asset Allocation'!F44,'Asset Allocation'!G44,'Asset Allocation'!I44,'Asset Allocation'!K44,'Asset Allocation'!O44,'Asset Allocation'!L44))</f>
        <v/>
      </c>
      <c r="C44" t="str">
        <f>IF(A44="","",SUM('Asset Allocation'!B44,'Asset Allocation'!E44,'Asset Allocation'!J44,'Asset Allocation'!N44))</f>
        <v/>
      </c>
      <c r="F44" t="str">
        <f>IF(A44="","",SUM('Asset Allocation'!M44))</f>
        <v/>
      </c>
      <c r="G44" t="str">
        <f>IF(A44="","",SUM('Asset Allocation'!H44))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Allocation'!D45,'Asset Allocation'!F45,'Asset Allocation'!G45,'Asset Allocation'!I45,'Asset Allocation'!K45,'Asset Allocation'!O45,'Asset Allocation'!L45))</f>
        <v/>
      </c>
      <c r="C45" t="str">
        <f>IF(A45="","",SUM('Asset Allocation'!B45,'Asset Allocation'!E45,'Asset Allocation'!J45,'Asset Allocation'!N45))</f>
        <v/>
      </c>
      <c r="F45" t="str">
        <f>IF(A45="","",SUM('Asset Allocation'!M45))</f>
        <v/>
      </c>
      <c r="G45" t="str">
        <f>IF(A45="","",SUM('Asset Allocation'!H45))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Allocation'!D46,'Asset Allocation'!F46,'Asset Allocation'!G46,'Asset Allocation'!I46,'Asset Allocation'!K46,'Asset Allocation'!O46,'Asset Allocation'!L46))</f>
        <v/>
      </c>
      <c r="C46" t="str">
        <f>IF(A46="","",SUM('Asset Allocation'!B46,'Asset Allocation'!E46,'Asset Allocation'!J46,'Asset Allocation'!N46))</f>
        <v/>
      </c>
      <c r="F46" t="str">
        <f>IF(A46="","",SUM('Asset Allocation'!M46))</f>
        <v/>
      </c>
      <c r="G46" t="str">
        <f>IF(A46="","",SUM('Asset Allocation'!H46))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Allocation'!D47,'Asset Allocation'!F47,'Asset Allocation'!G47,'Asset Allocation'!I47,'Asset Allocation'!K47,'Asset Allocation'!O47,'Asset Allocation'!L47))</f>
        <v/>
      </c>
      <c r="C47" t="str">
        <f>IF(A47="","",SUM('Asset Allocation'!B47,'Asset Allocation'!E47,'Asset Allocation'!J47,'Asset Allocation'!N47))</f>
        <v/>
      </c>
      <c r="F47" t="str">
        <f>IF(A47="","",SUM('Asset Allocation'!M47))</f>
        <v/>
      </c>
      <c r="G47" t="str">
        <f>IF(A47="","",SUM('Asset Allocation'!H47))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Allocation'!D48,'Asset Allocation'!F48,'Asset Allocation'!G48,'Asset Allocation'!I48,'Asset Allocation'!K48,'Asset Allocation'!O48,'Asset Allocation'!L48))</f>
        <v/>
      </c>
      <c r="C48" t="str">
        <f>IF(A48="","",SUM('Asset Allocation'!B48,'Asset Allocation'!E48,'Asset Allocation'!J48,'Asset Allocation'!N48))</f>
        <v/>
      </c>
      <c r="F48" t="str">
        <f>IF(A48="","",SUM('Asset Allocation'!M48))</f>
        <v/>
      </c>
      <c r="G48" t="str">
        <f>IF(A48="","",SUM('Asset Allocation'!H48))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Allocation'!D49,'Asset Allocation'!F49,'Asset Allocation'!G49,'Asset Allocation'!I49,'Asset Allocation'!K49,'Asset Allocation'!O49,'Asset Allocation'!L49))</f>
        <v/>
      </c>
      <c r="C49" t="str">
        <f>IF(A49="","",SUM('Asset Allocation'!B49,'Asset Allocation'!E49,'Asset Allocation'!J49,'Asset Allocation'!N49))</f>
        <v/>
      </c>
      <c r="F49" t="str">
        <f>IF(A49="","",SUM('Asset Allocation'!M49))</f>
        <v/>
      </c>
      <c r="G49" t="str">
        <f>IF(A49="","",SUM('Asset Allocation'!H49))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Allocation'!D50,'Asset Allocation'!F50,'Asset Allocation'!G50,'Asset Allocation'!I50,'Asset Allocation'!K50,'Asset Allocation'!O50,'Asset Allocation'!L50))</f>
        <v/>
      </c>
      <c r="C50" t="str">
        <f>IF(A50="","",SUM('Asset Allocation'!B50,'Asset Allocation'!E50,'Asset Allocation'!J50,'Asset Allocation'!N50))</f>
        <v/>
      </c>
      <c r="F50" t="str">
        <f>IF(A50="","",SUM('Asset Allocation'!M50))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Risk Level 2</v>
      </c>
      <c r="B2" s="6">
        <f>IFERROR(IF(A2="","",SUM('Asset Allocation'!C2)/'Broad Asset Allocation'!B2),0)</f>
        <v>0</v>
      </c>
      <c r="C2" s="6">
        <f>IFERROR(IF(A2="","",SUM('Asset Allocation'!I2)/'Broad Asset Allocation'!B2),0)</f>
        <v>0</v>
      </c>
      <c r="D2" s="6">
        <f>IFERROR(IF(A2="","",SUM('Asset Allocation'!D2)/'Broad Asset Allocation'!B2),0)</f>
        <v>0</v>
      </c>
      <c r="E2" s="6">
        <f>IFERROR(IF(A2="","",SUM('Asset Allocation'!G2)/'Broad Asset Allocation'!B2),0)</f>
        <v>0</v>
      </c>
      <c r="F2" s="6">
        <f>IFERROR(IF(A2="","",SUM('Asset Allocation'!F2)/'Broad Asset Allocation'!B2),0)</f>
        <v>0</v>
      </c>
      <c r="G2" s="6">
        <f>IFERROR(IF(A2="","",SUM('Asset Allocation'!K2,'Asset Allocation'!O2)/'Broad Asset Allocation'!B2),0)</f>
        <v>0</v>
      </c>
      <c r="H2" s="6">
        <f>IFERROR(IF(A2="","",SUM('Asset Allocation'!L2)/'Broad Asset Allocation'!B2),0)</f>
        <v>0</v>
      </c>
    </row>
    <row r="3" spans="1:8" x14ac:dyDescent="0.25">
      <c r="A3" t="str">
        <f>IF(Input!A4="","",Input!A4)</f>
        <v>Passive Risk Level 2</v>
      </c>
      <c r="B3" s="6">
        <f>IFERROR(IF(A3="","",SUM('Asset Allocation'!C3)/'Broad Asset Allocation'!B3),0)</f>
        <v>0</v>
      </c>
      <c r="C3" s="6">
        <f>IFERROR(IF(A3="","",SUM('Asset Allocation'!I3)/'Broad Asset Allocation'!B3),0)</f>
        <v>0</v>
      </c>
      <c r="D3" s="6">
        <f>IFERROR(IF(A3="","",SUM('Asset Allocation'!D3)/'Broad Asset Allocation'!B3),0)</f>
        <v>0</v>
      </c>
      <c r="E3" s="6">
        <f>IFERROR(IF(A3="","",SUM('Asset Allocation'!G3)/'Broad Asset Allocation'!B3),0)</f>
        <v>0</v>
      </c>
      <c r="F3" s="6">
        <f>IFERROR(IF(A3="","",SUM('Asset Allocation'!F3)/'Broad Asset Allocation'!B3),0)</f>
        <v>0</v>
      </c>
      <c r="G3" s="6">
        <f>IFERROR(IF(A3="","",SUM('Asset Allocation'!K3,'Asset Allocation'!O3)/'Broad Asset Allocation'!B3),0)</f>
        <v>0</v>
      </c>
      <c r="H3" s="6">
        <f>IFERROR(IF(A3="","",SUM('Asset Allocation'!L3)/'Broad Asset Allocation'!B3),0)</f>
        <v>0</v>
      </c>
    </row>
    <row r="4" spans="1:8" x14ac:dyDescent="0.25">
      <c r="A4" t="str">
        <f>IF(Input!A5="","",Input!A5)</f>
        <v>Risk Level 3</v>
      </c>
      <c r="B4" s="6">
        <f>IFERROR(IF(A4="","",SUM('Asset Allocation'!C4)/'Broad Asset Allocation'!B4),0)</f>
        <v>0</v>
      </c>
      <c r="C4" s="6">
        <f>IFERROR(IF(A4="","",SUM('Asset Allocation'!I4)/'Broad Asset Allocation'!B4),0)</f>
        <v>0</v>
      </c>
      <c r="D4" s="6">
        <f>IFERROR(IF(A4="","",SUM('Asset Allocation'!D4)/'Broad Asset Allocation'!B4),0)</f>
        <v>0</v>
      </c>
      <c r="E4" s="6">
        <f>IFERROR(IF(A4="","",SUM('Asset Allocation'!G4)/'Broad Asset Allocation'!B4),0)</f>
        <v>0</v>
      </c>
      <c r="F4" s="6">
        <f>IFERROR(IF(A4="","",SUM('Asset Allocation'!F4)/'Broad Asset Allocation'!B4),0)</f>
        <v>0</v>
      </c>
      <c r="G4" s="6">
        <f>IFERROR(IF(A4="","",SUM('Asset Allocation'!K4,'Asset Allocation'!O4)/'Broad Asset Allocation'!B4),0)</f>
        <v>0</v>
      </c>
      <c r="H4" s="6">
        <f>IFERROR(IF(A4="","",SUM('Asset Allocation'!L4)/'Broad Asset Allocation'!B4),0)</f>
        <v>0</v>
      </c>
    </row>
    <row r="5" spans="1:8" x14ac:dyDescent="0.25">
      <c r="A5" t="str">
        <f>IF(Input!A6="","",Input!A6)</f>
        <v>Passive Risk Level 3</v>
      </c>
      <c r="B5" s="6">
        <f>IFERROR(IF(A5="","",SUM('Asset Allocation'!C5)/'Broad Asset Allocation'!B5),0)</f>
        <v>0</v>
      </c>
      <c r="C5" s="6">
        <f>IFERROR(IF(A5="","",SUM('Asset Allocation'!I5)/'Broad Asset Allocation'!B5),0)</f>
        <v>0</v>
      </c>
      <c r="D5" s="6">
        <f>IFERROR(IF(A5="","",SUM('Asset Allocation'!D5)/'Broad Asset Allocation'!B5),0)</f>
        <v>0</v>
      </c>
      <c r="E5" s="6">
        <f>IFERROR(IF(A5="","",SUM('Asset Allocation'!G5)/'Broad Asset Allocation'!B5),0)</f>
        <v>0</v>
      </c>
      <c r="F5" s="6">
        <f>IFERROR(IF(A5="","",SUM('Asset Allocation'!F5)/'Broad Asset Allocation'!B5),0)</f>
        <v>0</v>
      </c>
      <c r="G5" s="6">
        <f>IFERROR(IF(A5="","",SUM('Asset Allocation'!K5,'Asset Allocation'!O5)/'Broad Asset Allocation'!B5),0)</f>
        <v>0</v>
      </c>
      <c r="H5" s="6">
        <f>IFERROR(IF(A5="","",SUM('Asset Allocation'!L5)/'Broad Asset Allocation'!B5),0)</f>
        <v>0</v>
      </c>
    </row>
    <row r="6" spans="1:8" x14ac:dyDescent="0.25">
      <c r="A6" t="str">
        <f>IF(Input!A7="","",Input!A7)</f>
        <v>Risk Level 4</v>
      </c>
      <c r="B6" s="6">
        <f>IFERROR(IF(A6="","",SUM('Asset Allocation'!C6)/'Broad Asset Allocation'!B6),0)</f>
        <v>0</v>
      </c>
      <c r="C6" s="6">
        <f>IFERROR(IF(A6="","",SUM('Asset Allocation'!I6)/'Broad Asset Allocation'!B6),0)</f>
        <v>0</v>
      </c>
      <c r="D6" s="6">
        <f>IFERROR(IF(A6="","",SUM('Asset Allocation'!D6)/'Broad Asset Allocation'!B6),0)</f>
        <v>0</v>
      </c>
      <c r="E6" s="6">
        <f>IFERROR(IF(A6="","",SUM('Asset Allocation'!G6)/'Broad Asset Allocation'!B6),0)</f>
        <v>0</v>
      </c>
      <c r="F6" s="6">
        <f>IFERROR(IF(A6="","",SUM('Asset Allocation'!F6)/'Broad Asset Allocation'!B6),0)</f>
        <v>0</v>
      </c>
      <c r="G6" s="6">
        <f>IFERROR(IF(A6="","",SUM('Asset Allocation'!K6,'Asset Allocation'!O6)/'Broad Asset Allocation'!B6),0)</f>
        <v>0</v>
      </c>
      <c r="H6" s="6">
        <f>IFERROR(IF(A6="","",SUM('Asset Allocation'!L6)/'Broad Asset Allocation'!B6),0)</f>
        <v>0</v>
      </c>
    </row>
    <row r="7" spans="1:8" x14ac:dyDescent="0.25">
      <c r="A7" t="str">
        <f>IF(Input!A8="","",Input!A8)</f>
        <v>Passive Risk Level 4</v>
      </c>
      <c r="B7" s="6">
        <f>IFERROR(IF(A7="","",SUM('Asset Allocation'!C7)/'Broad Asset Allocation'!B7),0)</f>
        <v>0</v>
      </c>
      <c r="C7" s="6">
        <f>IFERROR(IF(A7="","",SUM('Asset Allocation'!I7)/'Broad Asset Allocation'!B7),0)</f>
        <v>0</v>
      </c>
      <c r="D7" s="6">
        <f>IFERROR(IF(A7="","",SUM('Asset Allocation'!D7)/'Broad Asset Allocation'!B7),0)</f>
        <v>0</v>
      </c>
      <c r="E7" s="6">
        <f>IFERROR(IF(A7="","",SUM('Asset Allocation'!G7)/'Broad Asset Allocation'!B7),0)</f>
        <v>0</v>
      </c>
      <c r="F7" s="6">
        <f>IFERROR(IF(A7="","",SUM('Asset Allocation'!F7)/'Broad Asset Allocation'!B7),0)</f>
        <v>0</v>
      </c>
      <c r="G7" s="6">
        <f>IFERROR(IF(A7="","",SUM('Asset Allocation'!K7,'Asset Allocation'!O7)/'Broad Asset Allocation'!B7),0)</f>
        <v>0</v>
      </c>
      <c r="H7" s="6">
        <f>IFERROR(IF(A7="","",SUM('Asset Allocation'!L7)/'Broad Asset Allocation'!B7),0)</f>
        <v>0</v>
      </c>
    </row>
    <row r="8" spans="1:8" x14ac:dyDescent="0.25">
      <c r="A8" t="str">
        <f>IF(Input!A9="","",Input!A9)</f>
        <v>Risk Level 5</v>
      </c>
      <c r="B8" s="6">
        <f>IFERROR(IF(A8="","",SUM('Asset Allocation'!C8)/'Broad Asset Allocation'!B8),0)</f>
        <v>0</v>
      </c>
      <c r="C8" s="6">
        <f>IFERROR(IF(A8="","",SUM('Asset Allocation'!I8)/'Broad Asset Allocation'!B8),0)</f>
        <v>0</v>
      </c>
      <c r="D8" s="6">
        <f>IFERROR(IF(A8="","",SUM('Asset Allocation'!D8)/'Broad Asset Allocation'!B8),0)</f>
        <v>0</v>
      </c>
      <c r="E8" s="6">
        <f>IFERROR(IF(A8="","",SUM('Asset Allocation'!G8)/'Broad Asset Allocation'!B8),0)</f>
        <v>0</v>
      </c>
      <c r="F8" s="6">
        <f>IFERROR(IF(A8="","",SUM('Asset Allocation'!F8)/'Broad Asset Allocation'!B8),0)</f>
        <v>0</v>
      </c>
      <c r="G8" s="6">
        <f>IFERROR(IF(A8="","",SUM('Asset Allocation'!K8,'Asset Allocation'!O8)/'Broad Asset Allocation'!B8),0)</f>
        <v>0</v>
      </c>
      <c r="H8" s="6">
        <f>IFERROR(IF(A8="","",SUM('Asset Allocation'!L8)/'Broad Asset Allocation'!B8),0)</f>
        <v>0</v>
      </c>
    </row>
    <row r="9" spans="1:8" x14ac:dyDescent="0.25">
      <c r="A9" t="str">
        <f>IF(Input!A10="","",Input!A10)</f>
        <v>Passive Risk Level 5</v>
      </c>
      <c r="B9" s="6">
        <f>IFERROR(IF(A9="","",SUM('Asset Allocation'!C9)/'Broad Asset Allocation'!B9),0)</f>
        <v>0</v>
      </c>
      <c r="C9" s="6">
        <f>IFERROR(IF(A9="","",SUM('Asset Allocation'!I9)/'Broad Asset Allocation'!B9),0)</f>
        <v>0</v>
      </c>
      <c r="D9" s="6">
        <f>IFERROR(IF(A9="","",SUM('Asset Allocation'!D9)/'Broad Asset Allocation'!B9),0)</f>
        <v>0</v>
      </c>
      <c r="E9" s="6">
        <f>IFERROR(IF(A9="","",SUM('Asset Allocation'!G9)/'Broad Asset Allocation'!B9),0)</f>
        <v>0</v>
      </c>
      <c r="F9" s="6">
        <f>IFERROR(IF(A9="","",SUM('Asset Allocation'!F9)/'Broad Asset Allocation'!B9),0)</f>
        <v>0</v>
      </c>
      <c r="G9" s="6">
        <f>IFERROR(IF(A9="","",SUM('Asset Allocation'!K9,'Asset Allocation'!O9)/'Broad Asset Allocation'!B9),0)</f>
        <v>0</v>
      </c>
      <c r="H9" s="6">
        <f>IFERROR(IF(A9="","",SUM('Asset Allocation'!L9)/'Broad Asset Allocation'!B9),0)</f>
        <v>0</v>
      </c>
    </row>
    <row r="10" spans="1:8" x14ac:dyDescent="0.25">
      <c r="A10" t="str">
        <f>IF(Input!A11="","",Input!A11)</f>
        <v>Risk Level 6</v>
      </c>
      <c r="B10" s="6">
        <f>IFERROR(IF(A10="","",SUM('Asset Allocation'!C10)/'Broad Asset Allocation'!B10),0)</f>
        <v>0</v>
      </c>
      <c r="C10" s="6">
        <f>IFERROR(IF(A10="","",SUM('Asset Allocation'!I10)/'Broad Asset Allocation'!B10),0)</f>
        <v>0</v>
      </c>
      <c r="D10" s="6">
        <f>IFERROR(IF(A10="","",SUM('Asset Allocation'!D10)/'Broad Asset Allocation'!B10),0)</f>
        <v>0</v>
      </c>
      <c r="E10" s="6">
        <f>IFERROR(IF(A10="","",SUM('Asset Allocation'!G10)/'Broad Asset Allocation'!B10),0)</f>
        <v>0</v>
      </c>
      <c r="F10" s="6">
        <f>IFERROR(IF(A10="","",SUM('Asset Allocation'!F10)/'Broad Asset Allocation'!B10),0)</f>
        <v>0</v>
      </c>
      <c r="G10" s="6">
        <f>IFERROR(IF(A10="","",SUM('Asset Allocation'!K10,'Asset Allocation'!O10)/'Broad Asset Allocation'!B10),0)</f>
        <v>0</v>
      </c>
      <c r="H10" s="6">
        <f>IFERROR(IF(A10="","",SUM('Asset Allocation'!L10)/'Broad Asset Allocation'!B10),0)</f>
        <v>0</v>
      </c>
    </row>
    <row r="11" spans="1:8" x14ac:dyDescent="0.25">
      <c r="A11" t="str">
        <f>IF(Input!A12="","",Input!A12)</f>
        <v>Passive Risk Level 6</v>
      </c>
      <c r="B11" s="6">
        <f>IFERROR(IF(A11="","",SUM('Asset Allocation'!C11)/'Broad Asset Allocation'!B11),0)</f>
        <v>0</v>
      </c>
      <c r="C11" s="6">
        <f>IFERROR(IF(A11="","",SUM('Asset Allocation'!I11)/'Broad Asset Allocation'!B11),0)</f>
        <v>0</v>
      </c>
      <c r="D11" s="6">
        <f>IFERROR(IF(A11="","",SUM('Asset Allocation'!D11)/'Broad Asset Allocation'!B11),0)</f>
        <v>0</v>
      </c>
      <c r="E11" s="6">
        <f>IFERROR(IF(A11="","",SUM('Asset Allocation'!G11)/'Broad Asset Allocation'!B11),0)</f>
        <v>0</v>
      </c>
      <c r="F11" s="6">
        <f>IFERROR(IF(A11="","",SUM('Asset Allocation'!F11)/'Broad Asset Allocation'!B11),0)</f>
        <v>0</v>
      </c>
      <c r="G11" s="6">
        <f>IFERROR(IF(A11="","",SUM('Asset Allocation'!K11,'Asset Allocation'!O11)/'Broad Asset Allocation'!B11),0)</f>
        <v>0</v>
      </c>
      <c r="H11" s="6">
        <f>IFERROR(IF(A11="","",SUM('Asset Allocation'!L11)/'Broad Asset Allocation'!B11),0)</f>
        <v>0</v>
      </c>
    </row>
    <row r="12" spans="1:8" x14ac:dyDescent="0.25">
      <c r="A12" t="str">
        <f>IF(Input!A13="","",Input!A13)</f>
        <v>Risk Level 7</v>
      </c>
      <c r="B12" s="6">
        <f>IFERROR(IF(A12="","",SUM('Asset Allocation'!C12)/'Broad Asset Allocation'!B12),0)</f>
        <v>0</v>
      </c>
      <c r="C12" s="6">
        <f>IFERROR(IF(A12="","",SUM('Asset Allocation'!I12)/'Broad Asset Allocation'!B12),0)</f>
        <v>0</v>
      </c>
      <c r="D12" s="6">
        <f>IFERROR(IF(A12="","",SUM('Asset Allocation'!D12)/'Broad Asset Allocation'!B12),0)</f>
        <v>0</v>
      </c>
      <c r="E12" s="6">
        <f>IFERROR(IF(A12="","",SUM('Asset Allocation'!G12)/'Broad Asset Allocation'!B12),0)</f>
        <v>0</v>
      </c>
      <c r="F12" s="6">
        <f>IFERROR(IF(A12="","",SUM('Asset Allocation'!F12)/'Broad Asset Allocation'!B12),0)</f>
        <v>0</v>
      </c>
      <c r="G12" s="6">
        <f>IFERROR(IF(A12="","",SUM('Asset Allocation'!K12,'Asset Allocation'!O12)/'Broad Asset Allocation'!B12),0)</f>
        <v>0</v>
      </c>
      <c r="H12" s="6">
        <f>IFERROR(IF(A12="","",SUM('Asset Allocation'!L12)/'Broad Asset Allocation'!B12),0)</f>
        <v>0</v>
      </c>
    </row>
    <row r="13" spans="1:8" x14ac:dyDescent="0.25">
      <c r="A13" t="str">
        <f>IF(Input!A14="","",Input!A14)</f>
        <v>Passive Risk Level 7</v>
      </c>
      <c r="B13" s="6">
        <f>IFERROR(IF(A13="","",SUM('Asset Allocation'!C13)/'Broad Asset Allocation'!B13),0)</f>
        <v>0</v>
      </c>
      <c r="C13" s="6">
        <f>IFERROR(IF(A13="","",SUM('Asset Allocation'!I13)/'Broad Asset Allocation'!B13),0)</f>
        <v>0</v>
      </c>
      <c r="D13" s="6">
        <f>IFERROR(IF(A13="","",SUM('Asset Allocation'!D13)/'Broad Asset Allocation'!B13),0)</f>
        <v>0</v>
      </c>
      <c r="E13" s="6">
        <f>IFERROR(IF(A13="","",SUM('Asset Allocation'!G13)/'Broad Asset Allocation'!B13),0)</f>
        <v>0</v>
      </c>
      <c r="F13" s="6">
        <f>IFERROR(IF(A13="","",SUM('Asset Allocation'!F13)/'Broad Asset Allocation'!B13),0)</f>
        <v>0</v>
      </c>
      <c r="G13" s="6">
        <f>IFERROR(IF(A13="","",SUM('Asset Allocation'!K13,'Asset Allocation'!O13)/'Broad Asset Allocation'!B13),0)</f>
        <v>0</v>
      </c>
      <c r="H13" s="6">
        <f>IFERROR(IF(A13="","",SUM('Asset Allocation'!L13)/'Broad Asset Allocation'!B13),0)</f>
        <v>0</v>
      </c>
    </row>
    <row r="14" spans="1:8" x14ac:dyDescent="0.25">
      <c r="A14" t="str">
        <f>IF(Input!A15="","",Input!A15)</f>
        <v>Risk Level 8</v>
      </c>
      <c r="B14" s="6">
        <f>IFERROR(IF(A14="","",SUM('Asset Allocation'!C14)/'Broad Asset Allocation'!B14),0)</f>
        <v>0</v>
      </c>
      <c r="C14" s="6">
        <f>IFERROR(IF(A14="","",SUM('Asset Allocation'!I14)/'Broad Asset Allocation'!B14),0)</f>
        <v>0</v>
      </c>
      <c r="D14" s="6">
        <f>IFERROR(IF(A14="","",SUM('Asset Allocation'!D14)/'Broad Asset Allocation'!B14),0)</f>
        <v>0</v>
      </c>
      <c r="E14" s="6">
        <f>IFERROR(IF(A14="","",SUM('Asset Allocation'!G14)/'Broad Asset Allocation'!B14),0)</f>
        <v>0</v>
      </c>
      <c r="F14" s="6">
        <f>IFERROR(IF(A14="","",SUM('Asset Allocation'!F14)/'Broad Asset Allocation'!B14),0)</f>
        <v>0</v>
      </c>
      <c r="G14" s="6">
        <f>IFERROR(IF(A14="","",SUM('Asset Allocation'!K14,'Asset Allocation'!O14)/'Broad Asset Allocation'!B14),0)</f>
        <v>0</v>
      </c>
      <c r="H14" s="6">
        <f>IFERROR(IF(A14="","",SUM('Asset Allocation'!L14)/'Broad Asset Allocation'!B14),0)</f>
        <v>0</v>
      </c>
    </row>
    <row r="15" spans="1:8" x14ac:dyDescent="0.25">
      <c r="A15" t="str">
        <f>IF(Input!A16="","",Input!A16)</f>
        <v>Passive Risk Level 8</v>
      </c>
      <c r="B15" s="6">
        <f>IFERROR(IF(A15="","",SUM('Asset Allocation'!C15)/'Broad Asset Allocation'!B15),0)</f>
        <v>0</v>
      </c>
      <c r="C15" s="6">
        <f>IFERROR(IF(A15="","",SUM('Asset Allocation'!I15)/'Broad Asset Allocation'!B15),0)</f>
        <v>0</v>
      </c>
      <c r="D15" s="6">
        <f>IFERROR(IF(A15="","",SUM('Asset Allocation'!D15)/'Broad Asset Allocation'!B15),0)</f>
        <v>0</v>
      </c>
      <c r="E15" s="6">
        <f>IFERROR(IF(A15="","",SUM('Asset Allocation'!G15)/'Broad Asset Allocation'!B15),0)</f>
        <v>0</v>
      </c>
      <c r="F15" s="6">
        <f>IFERROR(IF(A15="","",SUM('Asset Allocation'!F15)/'Broad Asset Allocation'!B15),0)</f>
        <v>0</v>
      </c>
      <c r="G15" s="6">
        <f>IFERROR(IF(A15="","",SUM('Asset Allocation'!K15,'Asset Allocation'!O15)/'Broad Asset Allocation'!B15),0)</f>
        <v>0</v>
      </c>
      <c r="H15" s="6">
        <f>IFERROR(IF(A15="","",SUM('Asset Allocation'!L15)/'Broad Asset Allocation'!B15),0)</f>
        <v>0</v>
      </c>
    </row>
    <row r="16" spans="1:8" x14ac:dyDescent="0.25">
      <c r="A16" t="str">
        <f>IF(Input!A17="","",Input!A17)</f>
        <v>Risk Level 9</v>
      </c>
      <c r="B16" s="6">
        <f>IFERROR(IF(A16="","",SUM('Asset Allocation'!C16)/'Broad Asset Allocation'!B16),0)</f>
        <v>0</v>
      </c>
      <c r="C16" s="6">
        <f>IFERROR(IF(A16="","",SUM('Asset Allocation'!I16)/'Broad Asset Allocation'!B16),0)</f>
        <v>0</v>
      </c>
      <c r="D16" s="6">
        <f>IFERROR(IF(A16="","",SUM('Asset Allocation'!D16)/'Broad Asset Allocation'!B16),0)</f>
        <v>0</v>
      </c>
      <c r="E16" s="6">
        <f>IFERROR(IF(A16="","",SUM('Asset Allocation'!G16)/'Broad Asset Allocation'!B16),0)</f>
        <v>0</v>
      </c>
      <c r="F16" s="6">
        <f>IFERROR(IF(A16="","",SUM('Asset Allocation'!F16)/'Broad Asset Allocation'!B16),0)</f>
        <v>0</v>
      </c>
      <c r="G16" s="6">
        <f>IFERROR(IF(A16="","",SUM('Asset Allocation'!K16,'Asset Allocation'!O16)/'Broad Asset Allocation'!B16),0)</f>
        <v>0</v>
      </c>
      <c r="H16" s="6">
        <f>IFERROR(IF(A16="","",SUM('Asset Allocation'!L16)/'Broad Asset Allocation'!B16),0)</f>
        <v>0</v>
      </c>
    </row>
    <row r="17" spans="1:8" x14ac:dyDescent="0.25">
      <c r="A17" t="str">
        <f>IF(Input!A18="","",Input!A18)</f>
        <v>Passive Risk Level 9</v>
      </c>
      <c r="B17" s="6">
        <f>IFERROR(IF(A17="","",SUM('Asset Allocation'!C17)/'Broad Asset Allocation'!B17),0)</f>
        <v>0</v>
      </c>
      <c r="C17" s="6">
        <f>IFERROR(IF(A17="","",SUM('Asset Allocation'!I17)/'Broad Asset Allocation'!B17),0)</f>
        <v>0</v>
      </c>
      <c r="D17" s="6">
        <f>IFERROR(IF(A17="","",SUM('Asset Allocation'!D17)/'Broad Asset Allocation'!B17),0)</f>
        <v>0</v>
      </c>
      <c r="E17" s="6">
        <f>IFERROR(IF(A17="","",SUM('Asset Allocation'!G17)/'Broad Asset Allocation'!B17),0)</f>
        <v>0</v>
      </c>
      <c r="F17" s="6">
        <f>IFERROR(IF(A17="","",SUM('Asset Allocation'!F17)/'Broad Asset Allocation'!B17),0)</f>
        <v>0</v>
      </c>
      <c r="G17" s="6">
        <f>IFERROR(IF(A17="","",SUM('Asset Allocation'!K17,'Asset Allocation'!O17)/'Broad Asset Allocation'!B17),0)</f>
        <v>0</v>
      </c>
      <c r="H17" s="6">
        <f>IFERROR(IF(A17="","",SUM('Asset Allocation'!L17)/'Broad Asset Allocation'!B17),0)</f>
        <v>0</v>
      </c>
    </row>
    <row r="18" spans="1:8" x14ac:dyDescent="0.25">
      <c r="A18" t="str">
        <f>IF(Input!A19="","",Input!A19)</f>
        <v>Risk Level 10</v>
      </c>
      <c r="B18" s="6">
        <f>IFERROR(IF(A18="","",SUM('Asset Allocation'!C18)/'Broad Asset Allocation'!B18),0)</f>
        <v>0</v>
      </c>
      <c r="C18" s="6">
        <f>IFERROR(IF(A18="","",SUM('Asset Allocation'!I18)/'Broad Asset Allocation'!B18),0)</f>
        <v>0</v>
      </c>
      <c r="D18" s="6">
        <f>IFERROR(IF(A18="","",SUM('Asset Allocation'!D18)/'Broad Asset Allocation'!B18),0)</f>
        <v>0</v>
      </c>
      <c r="E18" s="6">
        <f>IFERROR(IF(A18="","",SUM('Asset Allocation'!G18)/'Broad Asset Allocation'!B18),0)</f>
        <v>0</v>
      </c>
      <c r="F18" s="6">
        <f>IFERROR(IF(A18="","",SUM('Asset Allocation'!F18)/'Broad Asset Allocation'!B18),0)</f>
        <v>0</v>
      </c>
      <c r="G18" s="6">
        <f>IFERROR(IF(A18="","",SUM('Asset Allocation'!K18,'Asset Allocation'!O18)/'Broad Asset Allocation'!B18),0)</f>
        <v>0</v>
      </c>
      <c r="H18" s="6">
        <f>IFERROR(IF(A18="","",SUM('Asset Allocation'!L18)/'Broad Asset Allocation'!B18),0)</f>
        <v>0</v>
      </c>
    </row>
    <row r="19" spans="1:8" x14ac:dyDescent="0.25">
      <c r="A19" t="str">
        <f>IF(Input!A20="","",Input!A20)</f>
        <v>Passive Risk Level 10</v>
      </c>
      <c r="B19" s="6">
        <f>IFERROR(IF(A19="","",SUM('Asset Allocation'!C19)/'Broad Asset Allocation'!B19),0)</f>
        <v>0</v>
      </c>
      <c r="C19" s="6">
        <f>IFERROR(IF(A19="","",SUM('Asset Allocation'!I19)/'Broad Asset Allocation'!B19),0)</f>
        <v>0</v>
      </c>
      <c r="D19" s="6">
        <f>IFERROR(IF(A19="","",SUM('Asset Allocation'!D19)/'Broad Asset Allocation'!B19),0)</f>
        <v>0</v>
      </c>
      <c r="E19" s="6">
        <f>IFERROR(IF(A19="","",SUM('Asset Allocation'!G19)/'Broad Asset Allocation'!B19),0)</f>
        <v>0</v>
      </c>
      <c r="F19" s="6">
        <f>IFERROR(IF(A19="","",SUM('Asset Allocation'!F19)/'Broad Asset Allocation'!B19),0)</f>
        <v>0</v>
      </c>
      <c r="G19" s="6">
        <f>IFERROR(IF(A19="","",SUM('Asset Allocation'!K19,'Asset Allocation'!O19)/'Broad Asset Allocation'!B19),0)</f>
        <v>0</v>
      </c>
      <c r="H19" s="6">
        <f>IFERROR(IF(A19="","",SUM('Asset Allocation'!L19)/'Broad Asset Allocation'!B19),0)</f>
        <v>0</v>
      </c>
    </row>
    <row r="20" spans="1:8" x14ac:dyDescent="0.25">
      <c r="A20" t="str">
        <f>IF(Input!A21="","",Input!A21)</f>
        <v/>
      </c>
      <c r="B20" s="6" t="str">
        <f>IFERROR(IF(A20="","",SUM('Asset Allocation'!C20)/'Broad Asset Allocation'!B20),0)</f>
        <v/>
      </c>
      <c r="C20" s="6" t="str">
        <f>IFERROR(IF(A20="","",SUM('Asset Allocation'!I20)/'Broad Asset Allocation'!B20),0)</f>
        <v/>
      </c>
      <c r="D20" s="6" t="str">
        <f>IFERROR(IF(A20="","",SUM('Asset Allocation'!D20)/'Broad Asset Allocation'!B20),0)</f>
        <v/>
      </c>
      <c r="E20" s="6" t="str">
        <f>IFERROR(IF(A20="","",SUM('Asset Allocation'!G20)/'Broad Asset Allocation'!B20),0)</f>
        <v/>
      </c>
      <c r="F20" s="6" t="str">
        <f>IFERROR(IF(A20="","",SUM('Asset Allocation'!F20)/'Broad Asset Allocation'!B20),0)</f>
        <v/>
      </c>
      <c r="G20" s="6" t="str">
        <f>IFERROR(IF(A20="","",SUM('Asset Allocation'!K20,'Asset Allocation'!O20)/'Broad Asset Allocation'!B20),0)</f>
        <v/>
      </c>
      <c r="H20" s="6" t="str">
        <f>IFERROR(IF(A20="","",SUM('Asset Allocation'!L20)/'Broad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Allocation'!C21)/'Broad Asset Allocation'!B21),0)</f>
        <v/>
      </c>
      <c r="C21" s="6" t="str">
        <f>IFERROR(IF(A21="","",SUM('Asset Allocation'!I21)/'Broad Asset Allocation'!B21),0)</f>
        <v/>
      </c>
      <c r="D21" s="6" t="str">
        <f>IFERROR(IF(A21="","",SUM('Asset Allocation'!D21)/'Broad Asset Allocation'!B21),0)</f>
        <v/>
      </c>
      <c r="E21" s="6" t="str">
        <f>IFERROR(IF(A21="","",SUM('Asset Allocation'!G21)/'Broad Asset Allocation'!B21),0)</f>
        <v/>
      </c>
      <c r="F21" s="6" t="str">
        <f>IFERROR(IF(A21="","",SUM('Asset Allocation'!F21)/'Broad Asset Allocation'!B21),0)</f>
        <v/>
      </c>
      <c r="G21" s="6" t="str">
        <f>IFERROR(IF(A21="","",SUM('Asset Allocation'!K21,'Asset Allocation'!O21)/'Broad Asset Allocation'!B21),0)</f>
        <v/>
      </c>
      <c r="H21" s="6" t="str">
        <f>IFERROR(IF(A21="","",SUM('Asset Allocation'!L21)/'Broad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Allocation'!C22)/'Broad Asset Allocation'!B22),0)</f>
        <v/>
      </c>
      <c r="C22" s="6" t="str">
        <f>IFERROR(IF(A22="","",SUM('Asset Allocation'!I22)/'Broad Asset Allocation'!B22),0)</f>
        <v/>
      </c>
      <c r="D22" s="6" t="str">
        <f>IFERROR(IF(A22="","",SUM('Asset Allocation'!D22)/'Broad Asset Allocation'!B22),0)</f>
        <v/>
      </c>
      <c r="E22" s="6" t="str">
        <f>IFERROR(IF(A22="","",SUM('Asset Allocation'!G22)/'Broad Asset Allocation'!B22),0)</f>
        <v/>
      </c>
      <c r="F22" s="6" t="str">
        <f>IFERROR(IF(A22="","",SUM('Asset Allocation'!F22)/'Broad Asset Allocation'!B22),0)</f>
        <v/>
      </c>
      <c r="G22" s="6" t="str">
        <f>IFERROR(IF(A22="","",SUM('Asset Allocation'!K22,'Asset Allocation'!O22)/'Broad Asset Allocation'!B22),0)</f>
        <v/>
      </c>
      <c r="H22" s="6" t="str">
        <f>IFERROR(IF(A22="","",SUM('Asset Allocation'!L22)/'Broad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Allocation'!C23)/'Broad Asset Allocation'!B23),0)</f>
        <v/>
      </c>
      <c r="C23" s="6" t="str">
        <f>IFERROR(IF(A23="","",SUM('Asset Allocation'!I23)/'Broad Asset Allocation'!B23),0)</f>
        <v/>
      </c>
      <c r="D23" s="6" t="str">
        <f>IFERROR(IF(A23="","",SUM('Asset Allocation'!D23)/'Broad Asset Allocation'!B23),0)</f>
        <v/>
      </c>
      <c r="E23" s="6" t="str">
        <f>IFERROR(IF(A23="","",SUM('Asset Allocation'!G23)/'Broad Asset Allocation'!B23),0)</f>
        <v/>
      </c>
      <c r="F23" s="6" t="str">
        <f>IFERROR(IF(A23="","",SUM('Asset Allocation'!F23)/'Broad Asset Allocation'!B23),0)</f>
        <v/>
      </c>
      <c r="G23" s="6" t="str">
        <f>IFERROR(IF(A23="","",SUM('Asset Allocation'!K23,'Asset Allocation'!O23)/'Broad Asset Allocation'!B23),0)</f>
        <v/>
      </c>
      <c r="H23" s="6" t="str">
        <f>IFERROR(IF(A23="","",SUM('Asset Allocation'!L23)/'Broad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Allocation'!C24)/'Broad Asset Allocation'!B24),0)</f>
        <v/>
      </c>
      <c r="C24" s="6" t="str">
        <f>IFERROR(IF(A24="","",SUM('Asset Allocation'!I24)/'Broad Asset Allocation'!B24),0)</f>
        <v/>
      </c>
      <c r="D24" s="6" t="str">
        <f>IFERROR(IF(A24="","",SUM('Asset Allocation'!D24)/'Broad Asset Allocation'!B24),0)</f>
        <v/>
      </c>
      <c r="E24" s="6" t="str">
        <f>IFERROR(IF(A24="","",SUM('Asset Allocation'!G24)/'Broad Asset Allocation'!B24),0)</f>
        <v/>
      </c>
      <c r="F24" s="6" t="str">
        <f>IFERROR(IF(A24="","",SUM('Asset Allocation'!F24)/'Broad Asset Allocation'!B24),0)</f>
        <v/>
      </c>
      <c r="G24" s="6" t="str">
        <f>IFERROR(IF(A24="","",SUM('Asset Allocation'!K24,'Asset Allocation'!O24)/'Broad Asset Allocation'!B24),0)</f>
        <v/>
      </c>
      <c r="H24" s="6" t="str">
        <f>IFERROR(IF(A24="","",SUM('Asset Allocation'!L24)/'Broad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Allocation'!C25)/'Broad Asset Allocation'!B25),0)</f>
        <v/>
      </c>
      <c r="C25" s="6" t="str">
        <f>IFERROR(IF(A25="","",SUM('Asset Allocation'!I25)/'Broad Asset Allocation'!B25),0)</f>
        <v/>
      </c>
      <c r="D25" s="6" t="str">
        <f>IFERROR(IF(A25="","",SUM('Asset Allocation'!D25)/'Broad Asset Allocation'!B25),0)</f>
        <v/>
      </c>
      <c r="E25" s="6" t="str">
        <f>IFERROR(IF(A25="","",SUM('Asset Allocation'!G25)/'Broad Asset Allocation'!B25),0)</f>
        <v/>
      </c>
      <c r="F25" s="6" t="str">
        <f>IFERROR(IF(A25="","",SUM('Asset Allocation'!F25)/'Broad Asset Allocation'!B25),0)</f>
        <v/>
      </c>
      <c r="G25" s="6" t="str">
        <f>IFERROR(IF(A25="","",SUM('Asset Allocation'!K25,'Asset Allocation'!O25)/'Broad Asset Allocation'!B25),0)</f>
        <v/>
      </c>
      <c r="H25" s="6" t="str">
        <f>IFERROR(IF(A25="","",SUM('Asset Allocation'!L25)/'Broad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Allocation'!C26)/'Broad Asset Allocation'!B26),0)</f>
        <v/>
      </c>
      <c r="C26" s="6" t="str">
        <f>IFERROR(IF(A26="","",SUM('Asset Allocation'!I26)/'Broad Asset Allocation'!B26),0)</f>
        <v/>
      </c>
      <c r="D26" s="6" t="str">
        <f>IFERROR(IF(A26="","",SUM('Asset Allocation'!D26)/'Broad Asset Allocation'!B26),0)</f>
        <v/>
      </c>
      <c r="E26" s="6" t="str">
        <f>IFERROR(IF(A26="","",SUM('Asset Allocation'!G26)/'Broad Asset Allocation'!B26),0)</f>
        <v/>
      </c>
      <c r="F26" s="6" t="str">
        <f>IFERROR(IF(A26="","",SUM('Asset Allocation'!F26)/'Broad Asset Allocation'!B26),0)</f>
        <v/>
      </c>
      <c r="G26" s="6" t="str">
        <f>IFERROR(IF(A26="","",SUM('Asset Allocation'!K26,'Asset Allocation'!O26)/'Broad Asset Allocation'!B26),0)</f>
        <v/>
      </c>
      <c r="H26" s="6" t="str">
        <f>IFERROR(IF(A26="","",SUM('Asset Allocation'!L26)/'Broad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Allocation'!C27)/'Broad Asset Allocation'!B27),0)</f>
        <v/>
      </c>
      <c r="C27" s="6" t="str">
        <f>IFERROR(IF(A27="","",SUM('Asset Allocation'!I27)/'Broad Asset Allocation'!B27),0)</f>
        <v/>
      </c>
      <c r="D27" s="6" t="str">
        <f>IFERROR(IF(A27="","",SUM('Asset Allocation'!D27)/'Broad Asset Allocation'!B27),0)</f>
        <v/>
      </c>
      <c r="E27" s="6" t="str">
        <f>IFERROR(IF(A27="","",SUM('Asset Allocation'!G27)/'Broad Asset Allocation'!B27),0)</f>
        <v/>
      </c>
      <c r="F27" s="6" t="str">
        <f>IFERROR(IF(A27="","",SUM('Asset Allocation'!F27)/'Broad Asset Allocation'!B27),0)</f>
        <v/>
      </c>
      <c r="G27" s="6" t="str">
        <f>IFERROR(IF(A27="","",SUM('Asset Allocation'!K27,'Asset Allocation'!O27)/'Broad Asset Allocation'!B27),0)</f>
        <v/>
      </c>
      <c r="H27" s="6" t="str">
        <f>IFERROR(IF(A27="","",SUM('Asset Allocation'!L27)/'Broad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Allocation'!C28)/'Broad Asset Allocation'!B28),0)</f>
        <v/>
      </c>
      <c r="C28" s="6" t="str">
        <f>IFERROR(IF(A28="","",SUM('Asset Allocation'!I28)/'Broad Asset Allocation'!B28),0)</f>
        <v/>
      </c>
      <c r="D28" s="6" t="str">
        <f>IFERROR(IF(A28="","",SUM('Asset Allocation'!D28)/'Broad Asset Allocation'!B28),0)</f>
        <v/>
      </c>
      <c r="E28" s="6" t="str">
        <f>IFERROR(IF(A28="","",SUM('Asset Allocation'!G28)/'Broad Asset Allocation'!B28),0)</f>
        <v/>
      </c>
      <c r="F28" s="6" t="str">
        <f>IFERROR(IF(A28="","",SUM('Asset Allocation'!F28)/'Broad Asset Allocation'!B28),0)</f>
        <v/>
      </c>
      <c r="G28" s="6" t="str">
        <f>IFERROR(IF(A28="","",SUM('Asset Allocation'!K28,'Asset Allocation'!O28)/'Broad Asset Allocation'!B28),0)</f>
        <v/>
      </c>
      <c r="H28" s="6" t="str">
        <f>IFERROR(IF(A28="","",SUM('Asset Allocation'!L28)/'Broad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Allocation'!C29)/'Broad Asset Allocation'!B29),0)</f>
        <v/>
      </c>
      <c r="C29" s="6" t="str">
        <f>IFERROR(IF(A29="","",SUM('Asset Allocation'!I29)/'Broad Asset Allocation'!B29),0)</f>
        <v/>
      </c>
      <c r="D29" s="6" t="str">
        <f>IFERROR(IF(A29="","",SUM('Asset Allocation'!D29)/'Broad Asset Allocation'!B29),0)</f>
        <v/>
      </c>
      <c r="E29" s="6" t="str">
        <f>IFERROR(IF(A29="","",SUM('Asset Allocation'!G29)/'Broad Asset Allocation'!B29),0)</f>
        <v/>
      </c>
      <c r="F29" s="6" t="str">
        <f>IFERROR(IF(A29="","",SUM('Asset Allocation'!F29)/'Broad Asset Allocation'!B29),0)</f>
        <v/>
      </c>
      <c r="G29" s="6" t="str">
        <f>IFERROR(IF(A29="","",SUM('Asset Allocation'!K29,'Asset Allocation'!O29)/'Broad Asset Allocation'!B29),0)</f>
        <v/>
      </c>
      <c r="H29" s="6" t="str">
        <f>IFERROR(IF(A29="","",SUM('Asset Allocation'!L29)/'Broad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Allocation'!C30)/'Broad Asset Allocation'!B30),0)</f>
        <v/>
      </c>
      <c r="C30" s="6" t="str">
        <f>IFERROR(IF(A30="","",SUM('Asset Allocation'!I30)/'Broad Asset Allocation'!B30),0)</f>
        <v/>
      </c>
      <c r="D30" s="6" t="str">
        <f>IFERROR(IF(A30="","",SUM('Asset Allocation'!D30)/'Broad Asset Allocation'!B30),0)</f>
        <v/>
      </c>
      <c r="E30" s="6" t="str">
        <f>IFERROR(IF(A30="","",SUM('Asset Allocation'!G30)/'Broad Asset Allocation'!B30),0)</f>
        <v/>
      </c>
      <c r="F30" s="6" t="str">
        <f>IFERROR(IF(A30="","",SUM('Asset Allocation'!F30)/'Broad Asset Allocation'!B30),0)</f>
        <v/>
      </c>
      <c r="G30" s="6" t="str">
        <f>IFERROR(IF(A30="","",SUM('Asset Allocation'!K30,'Asset Allocation'!O30)/'Broad Asset Allocation'!B30),0)</f>
        <v/>
      </c>
      <c r="H30" s="6" t="str">
        <f>IFERROR(IF(A30="","",SUM('Asset Allocation'!L30)/'Broad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Allocation'!C31)/'Broad Asset Allocation'!B31),0)</f>
        <v/>
      </c>
      <c r="C31" s="6" t="str">
        <f>IFERROR(IF(A31="","",SUM('Asset Allocation'!I31)/'Broad Asset Allocation'!B31),0)</f>
        <v/>
      </c>
      <c r="D31" s="6" t="str">
        <f>IFERROR(IF(A31="","",SUM('Asset Allocation'!D31)/'Broad Asset Allocation'!B31),0)</f>
        <v/>
      </c>
      <c r="E31" s="6" t="str">
        <f>IFERROR(IF(A31="","",SUM('Asset Allocation'!G31)/'Broad Asset Allocation'!B31),0)</f>
        <v/>
      </c>
      <c r="F31" s="6" t="str">
        <f>IFERROR(IF(A31="","",SUM('Asset Allocation'!F31)/'Broad Asset Allocation'!B31),0)</f>
        <v/>
      </c>
      <c r="G31" s="6" t="str">
        <f>IFERROR(IF(A31="","",SUM('Asset Allocation'!K31,'Asset Allocation'!O31)/'Broad Asset Allocation'!B31),0)</f>
        <v/>
      </c>
      <c r="H31" s="6" t="str">
        <f>IFERROR(IF(A31="","",SUM('Asset Allocation'!L31)/'Broad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Allocation'!C32)/'Broad Asset Allocation'!B32),0)</f>
        <v/>
      </c>
      <c r="C32" s="6" t="str">
        <f>IFERROR(IF(A32="","",SUM('Asset Allocation'!I32)/'Broad Asset Allocation'!B32),0)</f>
        <v/>
      </c>
      <c r="D32" s="6" t="str">
        <f>IFERROR(IF(A32="","",SUM('Asset Allocation'!D32)/'Broad Asset Allocation'!B32),0)</f>
        <v/>
      </c>
      <c r="E32" s="6" t="str">
        <f>IFERROR(IF(A32="","",SUM('Asset Allocation'!G32)/'Broad Asset Allocation'!B32),0)</f>
        <v/>
      </c>
      <c r="F32" s="6" t="str">
        <f>IFERROR(IF(A32="","",SUM('Asset Allocation'!F32)/'Broad Asset Allocation'!B32),0)</f>
        <v/>
      </c>
      <c r="G32" s="6" t="str">
        <f>IFERROR(IF(A32="","",SUM('Asset Allocation'!K32,'Asset Allocation'!O32)/'Broad Asset Allocation'!B32),0)</f>
        <v/>
      </c>
      <c r="H32" s="6" t="str">
        <f>IFERROR(IF(A32="","",SUM('Asset Allocation'!L32)/'Broad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Allocation'!C33)/'Broad Asset Allocation'!B33),0)</f>
        <v/>
      </c>
      <c r="C33" s="6" t="str">
        <f>IFERROR(IF(A33="","",SUM('Asset Allocation'!I33)/'Broad Asset Allocation'!B33),0)</f>
        <v/>
      </c>
      <c r="D33" s="6" t="str">
        <f>IFERROR(IF(A33="","",SUM('Asset Allocation'!D33)/'Broad Asset Allocation'!B33),0)</f>
        <v/>
      </c>
      <c r="E33" s="6" t="str">
        <f>IFERROR(IF(A33="","",SUM('Asset Allocation'!G33)/'Broad Asset Allocation'!B33),0)</f>
        <v/>
      </c>
      <c r="F33" s="6" t="str">
        <f>IFERROR(IF(A33="","",SUM('Asset Allocation'!F33)/'Broad Asset Allocation'!B33),0)</f>
        <v/>
      </c>
      <c r="G33" s="6" t="str">
        <f>IFERROR(IF(A33="","",SUM('Asset Allocation'!K33,'Asset Allocation'!O33)/'Broad Asset Allocation'!B33),0)</f>
        <v/>
      </c>
      <c r="H33" s="6" t="str">
        <f>IFERROR(IF(A33="","",SUM('Asset Allocation'!L33)/'Broad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Allocation'!I34)/'Broad Asset Allocation'!B34),0)</f>
        <v/>
      </c>
      <c r="D34" s="6" t="str">
        <f>IFERROR(IF(A34="","",SUM('Asset Allocation'!D34)/'Broad Asset Allocation'!B34),0)</f>
        <v/>
      </c>
      <c r="E34" s="6" t="str">
        <f>IFERROR(IF(A34="","",SUM('Asset Allocation'!G34)/'Broad Asset Allocation'!B34),0)</f>
        <v/>
      </c>
      <c r="F34" s="6" t="str">
        <f>IFERROR(IF(A34="","",SUM('Asset Allocation'!F34)/'Broad Asset Allocation'!B34),0)</f>
        <v/>
      </c>
      <c r="G34" s="6" t="str">
        <f>IFERROR(IF(A34="","",SUM('Asset Allocation'!K34,'Asset Allocation'!O34)/'Broad Asset Allocation'!B34),0)</f>
        <v/>
      </c>
      <c r="H34" s="6" t="str">
        <f>IFERROR(IF(A34="","",SUM('Asset Allocation'!L34)/'Broad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Allocation'!I35)/'Broad Asset Allocation'!B35),0)</f>
        <v/>
      </c>
      <c r="D35" s="6" t="str">
        <f>IFERROR(IF(A35="","",SUM('Asset Allocation'!D35)/'Broad Asset Allocation'!B35),0)</f>
        <v/>
      </c>
      <c r="E35" s="6" t="str">
        <f>IFERROR(IF(A35="","",SUM('Asset Allocation'!G35)/'Broad Asset Allocation'!B35),0)</f>
        <v/>
      </c>
      <c r="F35" s="6" t="str">
        <f>IFERROR(IF(A35="","",SUM('Asset Allocation'!F35)/'Broad Asset Allocation'!B35),0)</f>
        <v/>
      </c>
      <c r="G35" s="6" t="str">
        <f>IFERROR(IF(A35="","",SUM('Asset Allocation'!K35,'Asset Allocation'!O35)/'Broad Asset Allocation'!B35),0)</f>
        <v/>
      </c>
      <c r="H35" s="6" t="str">
        <f>IFERROR(IF(A35="","",SUM('Asset Allocation'!L35)/'Broad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Allocation'!I36)/'Broad Asset Allocation'!B36),0)</f>
        <v/>
      </c>
      <c r="D36" s="6" t="str">
        <f>IFERROR(IF(A36="","",SUM('Asset Allocation'!D36)/'Broad Asset Allocation'!B36),0)</f>
        <v/>
      </c>
      <c r="E36" s="6" t="str">
        <f>IFERROR(IF(A36="","",SUM('Asset Allocation'!G36)/'Broad Asset Allocation'!B36),0)</f>
        <v/>
      </c>
      <c r="F36" s="6" t="str">
        <f>IFERROR(IF(A36="","",SUM('Asset Allocation'!F36)/'Broad Asset Allocation'!B36),0)</f>
        <v/>
      </c>
      <c r="G36" s="6" t="str">
        <f>IFERROR(IF(A36="","",SUM('Asset Allocation'!K36,'Asset Allocation'!O36)/'Broad Asset Allocation'!B36),0)</f>
        <v/>
      </c>
      <c r="H36" s="6" t="str">
        <f>IFERROR(IF(A36="","",SUM('Asset Allocation'!L36)/'Broad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Allocation'!I37)/'Broad Asset Allocation'!B37),0)</f>
        <v/>
      </c>
      <c r="D37" s="6" t="str">
        <f>IFERROR(IF(A37="","",SUM('Asset Allocation'!D37)/'Broad Asset Allocation'!B37),0)</f>
        <v/>
      </c>
      <c r="E37" s="6" t="str">
        <f>IFERROR(IF(A37="","",SUM('Asset Allocation'!G37)/'Broad Asset Allocation'!B37),0)</f>
        <v/>
      </c>
      <c r="F37" s="6" t="str">
        <f>IFERROR(IF(A37="","",SUM('Asset Allocation'!F37)/'Broad Asset Allocation'!B37),0)</f>
        <v/>
      </c>
      <c r="G37" s="6" t="str">
        <f>IFERROR(IF(A37="","",SUM('Asset Allocation'!K37,'Asset Allocation'!O37)/'Broad Asset Allocation'!B37),0)</f>
        <v/>
      </c>
      <c r="H37" s="6" t="str">
        <f>IFERROR(IF(A37="","",SUM('Asset Allocation'!L37)/'Broad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Allocation'!I38)/'Broad Asset Allocation'!B38),0)</f>
        <v/>
      </c>
      <c r="D38" s="6" t="str">
        <f>IFERROR(IF(A38="","",SUM('Asset Allocation'!D38)/'Broad Asset Allocation'!B38),0)</f>
        <v/>
      </c>
      <c r="E38" s="6" t="str">
        <f>IFERROR(IF(A38="","",SUM('Asset Allocation'!G38)/'Broad Asset Allocation'!B38),0)</f>
        <v/>
      </c>
      <c r="F38" s="6" t="str">
        <f>IFERROR(IF(A38="","",SUM('Asset Allocation'!F38)/'Broad Asset Allocation'!B38),0)</f>
        <v/>
      </c>
      <c r="G38" s="6" t="str">
        <f>IFERROR(IF(A38="","",SUM('Asset Allocation'!K38,'Asset Allocation'!O38)/'Broad Asset Allocation'!B38),0)</f>
        <v/>
      </c>
      <c r="H38" s="6" t="str">
        <f>IFERROR(IF(A38="","",SUM('Asset Allocation'!L38)/'Broad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Allocation'!I39)/'Broad Asset Allocation'!B39),0)</f>
        <v/>
      </c>
      <c r="D39" s="6" t="str">
        <f>IFERROR(IF(A39="","",SUM('Asset Allocation'!D39)/'Broad Asset Allocation'!B39),0)</f>
        <v/>
      </c>
      <c r="E39" s="6" t="str">
        <f>IFERROR(IF(A39="","",SUM('Asset Allocation'!G39)/'Broad Asset Allocation'!B39),0)</f>
        <v/>
      </c>
      <c r="F39" s="6" t="str">
        <f>IFERROR(IF(A39="","",SUM('Asset Allocation'!F39)/'Broad Asset Allocation'!B39),0)</f>
        <v/>
      </c>
      <c r="G39" s="6" t="str">
        <f>IFERROR(IF(A39="","",SUM('Asset Allocation'!K39,'Asset Allocation'!O39)/'Broad Asset Allocation'!B39),0)</f>
        <v/>
      </c>
      <c r="H39" s="6" t="str">
        <f>IFERROR(IF(A39="","",SUM('Asset Allocation'!L39)/'Broad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Allocation'!I40)/'Broad Asset Allocation'!B40),0)</f>
        <v/>
      </c>
      <c r="D40" s="6" t="str">
        <f>IFERROR(IF(A40="","",SUM('Asset Allocation'!D40)/'Broad Asset Allocation'!B40),0)</f>
        <v/>
      </c>
      <c r="E40" s="6" t="str">
        <f>IFERROR(IF(A40="","",SUM('Asset Allocation'!G40)/'Broad Asset Allocation'!B40),0)</f>
        <v/>
      </c>
      <c r="F40" s="6" t="str">
        <f>IFERROR(IF(A40="","",SUM('Asset Allocation'!F40)/'Broad Asset Allocation'!B40),0)</f>
        <v/>
      </c>
      <c r="G40" s="6" t="str">
        <f>IFERROR(IF(A40="","",SUM('Asset Allocation'!K40,'Asset Allocation'!O40)/'Broad Asset Allocation'!B40),0)</f>
        <v/>
      </c>
      <c r="H40" s="6" t="str">
        <f>IFERROR(IF(A40="","",SUM('Asset Allocation'!L40)/'Broad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Allocation'!I41)/'Broad Asset Allocation'!B41),0)</f>
        <v/>
      </c>
      <c r="D41" s="6" t="str">
        <f>IFERROR(IF(A41="","",SUM('Asset Allocation'!D41)/'Broad Asset Allocation'!B41),0)</f>
        <v/>
      </c>
      <c r="E41" s="6" t="str">
        <f>IFERROR(IF(A41="","",SUM('Asset Allocation'!G41)/'Broad Asset Allocation'!B41),0)</f>
        <v/>
      </c>
      <c r="F41" s="6" t="str">
        <f>IFERROR(IF(A41="","",SUM('Asset Allocation'!F41)/'Broad Asset Allocation'!B41),0)</f>
        <v/>
      </c>
      <c r="G41" s="6" t="str">
        <f>IFERROR(IF(A41="","",SUM('Asset Allocation'!K41,'Asset Allocation'!O41)/'Broad Asset Allocation'!B41),0)</f>
        <v/>
      </c>
      <c r="H41" s="6" t="str">
        <f>IFERROR(IF(A41="","",SUM('Asset Allocation'!L41)/'Broad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Allocation'!I42)/'Broad Asset Allocation'!B42),0)</f>
        <v/>
      </c>
      <c r="D42" s="6" t="str">
        <f>IFERROR(IF(A42="","",SUM('Asset Allocation'!D42)/'Broad Asset Allocation'!B42),0)</f>
        <v/>
      </c>
      <c r="E42" s="6" t="str">
        <f>IFERROR(IF(A42="","",SUM('Asset Allocation'!G42)/'Broad Asset Allocation'!B42),0)</f>
        <v/>
      </c>
      <c r="F42" s="6" t="str">
        <f>IFERROR(IF(A42="","",SUM('Asset Allocation'!F42)/'Broad Asset Allocation'!B42),0)</f>
        <v/>
      </c>
      <c r="G42" s="6" t="str">
        <f>IFERROR(IF(A42="","",SUM('Asset Allocation'!K42,'Asset Allocation'!O42)/'Broad Asset Allocation'!B42),0)</f>
        <v/>
      </c>
      <c r="H42" s="6" t="str">
        <f>IFERROR(IF(A42="","",SUM('Asset Allocation'!L42)/'Broad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Allocation'!I43)/'Broad Asset Allocation'!B43),0)</f>
        <v/>
      </c>
      <c r="D43" s="6" t="str">
        <f>IFERROR(IF(A43="","",SUM('Asset Allocation'!D43)/'Broad Asset Allocation'!B43),0)</f>
        <v/>
      </c>
      <c r="E43" s="6" t="str">
        <f>IFERROR(IF(A43="","",SUM('Asset Allocation'!G43)/'Broad Asset Allocation'!B43),0)</f>
        <v/>
      </c>
      <c r="F43" s="6" t="str">
        <f>IFERROR(IF(A43="","",SUM('Asset Allocation'!F43)/'Broad Asset Allocation'!B43),0)</f>
        <v/>
      </c>
      <c r="G43" s="6" t="str">
        <f>IFERROR(IF(A43="","",SUM('Asset Allocation'!K43,'Asset Allocation'!O43)/'Broad Asset Allocation'!B43),0)</f>
        <v/>
      </c>
      <c r="H43" s="6" t="str">
        <f>IFERROR(IF(A43="","",SUM('Asset Allocation'!L43)/'Broad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Allocation'!I44)/'Broad Asset Allocation'!B44),0)</f>
        <v/>
      </c>
      <c r="D44" s="6" t="str">
        <f>IFERROR(IF(A44="","",SUM('Asset Allocation'!D44)/'Broad Asset Allocation'!B44),0)</f>
        <v/>
      </c>
      <c r="E44" s="6" t="str">
        <f>IFERROR(IF(A44="","",SUM('Asset Allocation'!G44)/'Broad Asset Allocation'!B44),0)</f>
        <v/>
      </c>
      <c r="F44" s="6" t="str">
        <f>IFERROR(IF(A44="","",SUM('Asset Allocation'!F44)/'Broad Asset Allocation'!B44),0)</f>
        <v/>
      </c>
      <c r="G44" s="6" t="str">
        <f>IFERROR(IF(A44="","",SUM('Asset Allocation'!K44,'Asset Allocation'!O44)/'Broad Asset Allocation'!B44),0)</f>
        <v/>
      </c>
      <c r="H44" s="6" t="str">
        <f>IFERROR(IF(A44="","",SUM('Asset Allocation'!L44)/'Broad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Allocation'!I45)/'Broad Asset Allocation'!B45),0)</f>
        <v/>
      </c>
      <c r="D45" s="6" t="str">
        <f>IFERROR(IF(A45="","",SUM('Asset Allocation'!D45)/'Broad Asset Allocation'!B45),0)</f>
        <v/>
      </c>
      <c r="E45" s="6" t="str">
        <f>IFERROR(IF(A45="","",SUM('Asset Allocation'!G45)/'Broad Asset Allocation'!B45),0)</f>
        <v/>
      </c>
      <c r="F45" s="6" t="str">
        <f>IFERROR(IF(A45="","",SUM('Asset Allocation'!F45)/'Broad Asset Allocation'!B45),0)</f>
        <v/>
      </c>
      <c r="G45" s="6" t="str">
        <f>IFERROR(IF(A45="","",SUM('Asset Allocation'!K45,'Asset Allocation'!O45)/'Broad Asset Allocation'!B45),0)</f>
        <v/>
      </c>
      <c r="H45" s="6" t="str">
        <f>IFERROR(IF(A45="","",SUM('Asset Allocation'!L45)/'Broad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Allocation'!I46)/'Broad Asset Allocation'!B46),0)</f>
        <v/>
      </c>
      <c r="D46" s="6" t="str">
        <f>IFERROR(IF(A46="","",SUM('Asset Allocation'!D46)/'Broad Asset Allocation'!B46),0)</f>
        <v/>
      </c>
      <c r="E46" s="6" t="str">
        <f>IFERROR(IF(A46="","",SUM('Asset Allocation'!G46)/'Broad Asset Allocation'!B46),0)</f>
        <v/>
      </c>
      <c r="F46" s="6" t="str">
        <f>IFERROR(IF(A46="","",SUM('Asset Allocation'!F46)/'Broad Asset Allocation'!B46),0)</f>
        <v/>
      </c>
      <c r="G46" s="6" t="str">
        <f>IFERROR(IF(A46="","",SUM('Asset Allocation'!K46,'Asset Allocation'!O46)/'Broad Asset Allocation'!B46),0)</f>
        <v/>
      </c>
      <c r="H46" s="6" t="str">
        <f>IFERROR(IF(A46="","",SUM('Asset Allocation'!L46)/'Broad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Allocation'!I47)/'Broad Asset Allocation'!B47),0)</f>
        <v/>
      </c>
      <c r="D47" s="6" t="str">
        <f>IFERROR(IF(A47="","",SUM('Asset Allocation'!D47)/'Broad Asset Allocation'!B47),0)</f>
        <v/>
      </c>
      <c r="E47" s="6" t="str">
        <f>IFERROR(IF(A47="","",SUM('Asset Allocation'!G47)/'Broad Asset Allocation'!B47),0)</f>
        <v/>
      </c>
      <c r="F47" s="6" t="str">
        <f>IFERROR(IF(A47="","",SUM('Asset Allocation'!F47)/'Broad Asset Allocation'!B47),0)</f>
        <v/>
      </c>
      <c r="G47" s="6" t="str">
        <f>IFERROR(IF(A47="","",SUM('Asset Allocation'!K47,'Asset Allocation'!O47)/'Broad Asset Allocation'!B47),0)</f>
        <v/>
      </c>
      <c r="H47" s="6" t="str">
        <f>IFERROR(IF(A47="","",SUM('Asset Allocation'!L47)/'Broad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Allocation'!I48)/'Broad Asset Allocation'!B48),0)</f>
        <v/>
      </c>
      <c r="D48" s="6" t="str">
        <f>IFERROR(IF(A48="","",SUM('Asset Allocation'!D48)/'Broad Asset Allocation'!B48),0)</f>
        <v/>
      </c>
      <c r="E48" s="6" t="str">
        <f>IFERROR(IF(A48="","",SUM('Asset Allocation'!G48)/'Broad Asset Allocation'!B48),0)</f>
        <v/>
      </c>
      <c r="F48" s="6" t="str">
        <f>IFERROR(IF(A48="","",SUM('Asset Allocation'!F48)/'Broad Asset Allocation'!B48),0)</f>
        <v/>
      </c>
      <c r="G48" s="6" t="str">
        <f>IFERROR(IF(A48="","",SUM('Asset Allocation'!K48,'Asset Allocation'!O48)/'Broad Asset Allocation'!B48),0)</f>
        <v/>
      </c>
      <c r="H48" s="6" t="str">
        <f>IFERROR(IF(A48="","",SUM('Asset Allocation'!L48)/'Broad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Allocation'!I49)/'Broad Asset Allocation'!B49),0)</f>
        <v/>
      </c>
      <c r="D49" s="6" t="str">
        <f>IFERROR(IF(A49="","",SUM('Asset Allocation'!D49)/'Broad Asset Allocation'!B49),0)</f>
        <v/>
      </c>
      <c r="E49" s="6" t="str">
        <f>IFERROR(IF(A49="","",SUM('Asset Allocation'!G49)/'Broad Asset Allocation'!B49),0)</f>
        <v/>
      </c>
      <c r="F49" s="6" t="str">
        <f>IFERROR(IF(A49="","",SUM('Asset Allocation'!F49)/'Broad Asset Allocation'!B49),0)</f>
        <v/>
      </c>
      <c r="G49" s="6" t="str">
        <f>IFERROR(IF(A49="","",SUM('Asset Allocation'!K49,'Asset Allocation'!O49)/'Broad Asset Allocation'!B49),0)</f>
        <v/>
      </c>
      <c r="H49" s="6" t="str">
        <f>IFERROR(IF(A49="","",SUM('Asset Allocation'!L49)/'Broad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Allocation'!I50)/'Broad Asset Allocation'!B50),0)</f>
        <v/>
      </c>
      <c r="D50" s="6" t="str">
        <f>IFERROR(IF(A50="","",SUM('Asset Allocation'!D50)/'Broad Asset Allocation'!B50),0)</f>
        <v/>
      </c>
      <c r="E50" s="6" t="str">
        <f>IFERROR(IF(A50="","",SUM('Asset Allocation'!G50)/'Broad Asset Allocation'!B50),0)</f>
        <v/>
      </c>
      <c r="F50" s="6" t="str">
        <f>IFERROR(IF(A50="","",SUM('Asset Allocation'!F50)/'Broad Asset Allocation'!B50),0)</f>
        <v/>
      </c>
      <c r="G50" s="6" t="str">
        <f>IFERROR(IF(A50="","",SUM('Asset Allocation'!K50,'Asset Allocation'!O50)/'Broad Asset Allocation'!B50),0)</f>
        <v/>
      </c>
      <c r="H50" s="6" t="str">
        <f>IFERROR(IF(A50="","",SUM('Asset Allocation'!L50)/'Broad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Risk Level 2</v>
      </c>
      <c r="H2">
        <f>IFERROR(IF(A2="","",SUM('Broad Asset Allocation'!C2)/'Broad Asset Allocation'!C2),0)</f>
        <v>0</v>
      </c>
    </row>
    <row r="3" spans="1:8" x14ac:dyDescent="0.25">
      <c r="A3" t="str">
        <f>IF(Input!A4="","",Input!A4)</f>
        <v>Passive Risk Level 2</v>
      </c>
      <c r="H3">
        <f>IFERROR(IF(A3="","",SUM('Broad Asset Allocation'!C3)/'Broad Asset Allocation'!C3),0)</f>
        <v>0</v>
      </c>
    </row>
    <row r="4" spans="1:8" x14ac:dyDescent="0.25">
      <c r="A4" t="str">
        <f>IF(Input!A5="","",Input!A5)</f>
        <v>Risk Level 3</v>
      </c>
      <c r="H4">
        <f>IFERROR(IF(A4="","",SUM('Broad Asset Allocation'!C4)/'Broad Asset Allocation'!C4),0)</f>
        <v>0</v>
      </c>
    </row>
    <row r="5" spans="1:8" x14ac:dyDescent="0.25">
      <c r="A5" t="str">
        <f>IF(Input!A6="","",Input!A6)</f>
        <v>Passive Risk Level 3</v>
      </c>
      <c r="H5">
        <f>IFERROR(IF(A5="","",SUM('Broad Asset Allocation'!C5)/'Broad Asset Allocation'!C5),0)</f>
        <v>0</v>
      </c>
    </row>
    <row r="6" spans="1:8" x14ac:dyDescent="0.25">
      <c r="A6" t="str">
        <f>IF(Input!A7="","",Input!A7)</f>
        <v>Risk Level 4</v>
      </c>
      <c r="H6">
        <f>IFERROR(IF(A6="","",SUM('Broad Asset Allocation'!C6)/'Broad Asset Allocation'!C6),0)</f>
        <v>0</v>
      </c>
    </row>
    <row r="7" spans="1:8" x14ac:dyDescent="0.25">
      <c r="A7" t="str">
        <f>IF(Input!A8="","",Input!A8)</f>
        <v>Passive Risk Level 4</v>
      </c>
      <c r="H7">
        <f>IFERROR(IF(A7="","",SUM('Broad Asset Allocation'!C7)/'Broad Asset Allocation'!C7),0)</f>
        <v>0</v>
      </c>
    </row>
    <row r="8" spans="1:8" x14ac:dyDescent="0.25">
      <c r="A8" t="str">
        <f>IF(Input!A9="","",Input!A9)</f>
        <v>Risk Level 5</v>
      </c>
      <c r="H8">
        <f>IFERROR(IF(A8="","",SUM('Broad Asset Allocation'!C8)/'Broad Asset Allocation'!C8),0)</f>
        <v>0</v>
      </c>
    </row>
    <row r="9" spans="1:8" x14ac:dyDescent="0.25">
      <c r="A9" t="str">
        <f>IF(Input!A10="","",Input!A10)</f>
        <v>Passive Risk Level 5</v>
      </c>
      <c r="H9">
        <f>IFERROR(IF(A9="","",SUM('Broad Asset Allocation'!C9)/'Broad Asset Allocation'!C9),0)</f>
        <v>0</v>
      </c>
    </row>
    <row r="10" spans="1:8" x14ac:dyDescent="0.25">
      <c r="A10" t="str">
        <f>IF(Input!A11="","",Input!A11)</f>
        <v>Risk Level 6</v>
      </c>
      <c r="H10">
        <f>IFERROR(IF(A10="","",SUM('Broad Asset Allocation'!C10)/'Broad Asset Allocation'!C10),0)</f>
        <v>0</v>
      </c>
    </row>
    <row r="11" spans="1:8" x14ac:dyDescent="0.25">
      <c r="A11" t="str">
        <f>IF(Input!A12="","",Input!A12)</f>
        <v>Passive Risk Level 6</v>
      </c>
      <c r="H11">
        <f>IFERROR(IF(A11="","",SUM('Broad Asset Allocation'!C11)/'Broad Asset Allocation'!C11),0)</f>
        <v>0</v>
      </c>
    </row>
    <row r="12" spans="1:8" x14ac:dyDescent="0.25">
      <c r="A12" t="str">
        <f>IF(Input!A13="","",Input!A13)</f>
        <v>Risk Level 7</v>
      </c>
      <c r="H12">
        <f>IFERROR(IF(A12="","",SUM('Broad Asset Allocation'!C12)/'Broad Asset Allocation'!C12),0)</f>
        <v>0</v>
      </c>
    </row>
    <row r="13" spans="1:8" x14ac:dyDescent="0.25">
      <c r="A13" t="str">
        <f>IF(Input!A14="","",Input!A14)</f>
        <v>Passive Risk Level 7</v>
      </c>
      <c r="H13">
        <f>IFERROR(IF(A13="","",SUM('Broad Asset Allocation'!C13)/'Broad Asset Allocation'!C13),0)</f>
        <v>0</v>
      </c>
    </row>
    <row r="14" spans="1:8" x14ac:dyDescent="0.25">
      <c r="A14" t="str">
        <f>IF(Input!A15="","",Input!A15)</f>
        <v>Risk Level 8</v>
      </c>
      <c r="H14">
        <f>IFERROR(IF(A14="","",SUM('Broad Asset Allocation'!C14)/'Broad Asset Allocation'!C14),0)</f>
        <v>0</v>
      </c>
    </row>
    <row r="15" spans="1:8" x14ac:dyDescent="0.25">
      <c r="A15" t="str">
        <f>IF(Input!A16="","",Input!A16)</f>
        <v>Passive Risk Level 8</v>
      </c>
      <c r="H15">
        <f>IFERROR(IF(A15="","",SUM('Broad Asset Allocation'!C15)/'Broad Asset Allocation'!C15),0)</f>
        <v>0</v>
      </c>
    </row>
    <row r="16" spans="1:8" x14ac:dyDescent="0.25">
      <c r="A16" t="str">
        <f>IF(Input!A17="","",Input!A17)</f>
        <v>Risk Level 9</v>
      </c>
      <c r="H16">
        <f>IFERROR(IF(A16="","",SUM('Broad Asset Allocation'!C16)/'Broad Asset Allocation'!C16),0)</f>
        <v>0</v>
      </c>
    </row>
    <row r="17" spans="1:8" x14ac:dyDescent="0.25">
      <c r="A17" t="str">
        <f>IF(Input!A18="","",Input!A18)</f>
        <v>Passive Risk Level 9</v>
      </c>
      <c r="H17">
        <f>IFERROR(IF(A17="","",SUM('Broad Asset Allocation'!C17)/'Broad Asset Allocation'!C17),0)</f>
        <v>0</v>
      </c>
    </row>
    <row r="18" spans="1:8" x14ac:dyDescent="0.25">
      <c r="A18" t="str">
        <f>IF(Input!A19="","",Input!A19)</f>
        <v>Risk Level 10</v>
      </c>
      <c r="H18">
        <f>IFERROR(IF(A18="","",SUM('Broad Asset Allocation'!C18)/'Broad Asset Allocation'!C18),0)</f>
        <v>0</v>
      </c>
    </row>
    <row r="19" spans="1:8" x14ac:dyDescent="0.25">
      <c r="A19" t="str">
        <f>IF(Input!A20="","",Input!A20)</f>
        <v>Passive Risk Level 10</v>
      </c>
      <c r="H19">
        <f>IFERROR(IF(A19="","",SUM('Broad Asset Allocation'!C19)/'Broad Asset Allocation'!C19),0)</f>
        <v>0</v>
      </c>
    </row>
    <row r="20" spans="1:8" x14ac:dyDescent="0.25">
      <c r="A20" t="str">
        <f>IF(Input!A21="","",Input!A21)</f>
        <v/>
      </c>
      <c r="H20" t="str">
        <f>IFERROR(IF(A20="","",SUM('Broad 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IFERROR(IF(A21="","",SUM('Broad 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IFERROR(IF(A22="","",SUM('Broad 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IFERROR(IF(A23="","",SUM('Broad 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IFERROR(IF(A24="","",SUM('Broad 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IFERROR(IF(A25="","",SUM('Broad 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IFERROR(IF(A26="","",SUM('Broad 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IFERROR(IF(A27="","",SUM('Broad 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IFERROR(IF(A28="","",SUM('Broad 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IFERROR(IF(A29="","",SUM('Broad 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IFERROR(IF(A30="","",SUM('Broad 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IFERROR(IF(A31="","",SUM('Broad 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IFERROR(IF(A32="","",SUM('Broad 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IFERROR(IF(A33="","",SUM('Broad 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IFERROR(IF(A34="","",SUM('Broad 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IFERROR(IF(A35="","",SUM('Broad 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IFERROR(IF(A36="","",SUM('Broad 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IFERROR(IF(A37="","",SUM('Broad 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IFERROR(IF(A38="","",SUM('Broad 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IFERROR(IF(A39="","",SUM('Broad 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IFERROR(IF(A40="","",SUM('Broad 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IFERROR(IF(A41="","",SUM('Broad 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IFERROR(IF(A42="","",SUM('Broad 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IFERROR(IF(A43="","",SUM('Broad 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IFERROR(IF(A44="","",SUM('Broad 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IFERROR(IF(A45="","",SUM('Broad 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IFERROR(IF(A46="","",SUM('Broad 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IFERROR(IF(A47="","",SUM('Broad 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IFERROR(IF(A48="","",SUM('Broad 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IFERROR(IF(A49="","",SUM('Broad 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IFERROR(IF(A50="","",SUM('Broad 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Risk Level 2</v>
      </c>
      <c r="C1" s="1" t="str">
        <v>Passive Risk Level 2</v>
      </c>
      <c r="D1" t="str">
        <v>Risk Level 3</v>
      </c>
      <c r="E1" t="str">
        <v>Passive Risk Level 3</v>
      </c>
      <c r="F1" t="str">
        <v>Risk Level 4</v>
      </c>
      <c r="G1" t="str">
        <v>Passive Risk Level 4</v>
      </c>
      <c r="H1" t="str">
        <v>Risk Level 5</v>
      </c>
      <c r="I1" t="str">
        <v>Passive Risk Level 5</v>
      </c>
      <c r="J1" t="str">
        <v>Risk Level 6</v>
      </c>
      <c r="K1" t="str">
        <v>Passive Risk Level 6</v>
      </c>
      <c r="L1" t="str">
        <v>Risk Level 7</v>
      </c>
      <c r="M1" t="str">
        <v>Passive Risk Level 7</v>
      </c>
      <c r="N1" t="str">
        <v>Risk Level 8</v>
      </c>
      <c r="O1" t="str">
        <v>Passive Risk Level 8</v>
      </c>
      <c r="P1" t="str">
        <v>Risk Level 9</v>
      </c>
      <c r="Q1" t="str">
        <v>Passive Risk Level 9</v>
      </c>
      <c r="R1" t="str">
        <v>Risk Level 10</v>
      </c>
      <c r="S1" t="str">
        <v>Passive Risk Level 10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2023-10-18T07:56:32Z</dcterms:modified>
</cp:coreProperties>
</file>