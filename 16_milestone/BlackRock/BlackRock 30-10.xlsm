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<sst xmlns="http://schemas.openxmlformats.org/spreadsheetml/2006/main" count="109" uniqueCount="101">
  <si>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</si>
  <si>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</si>
  <si>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</si>
  <si>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</si>
  <si>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</si>
  <si>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</si>
  <si>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</si>
  <si>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</si>
  <si>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</si>
  <si>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</si>
  <si>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</si>
  <si>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</si>
  <si>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</si>
  <si>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</si>
  <si>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</si>
  <si>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</si>
  <si>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</si>
  <si>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</si>
  <si>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</si>
  <si>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</si>
  <si>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</si>
  <si>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</si>
  <si>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</si>
  <si>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</si>
  <si>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</si>
  <si>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</si>
  <si>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</si>
  <si>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</si>
  <si>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</si>
  <si>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</si>
  <si>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</si>
  <si>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</si>
  <si>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</si>
  <si>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</si>
  <si>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</si>
  <si>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</si>
  <si>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</si>
  <si>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</si>
  <si>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</si>
  <si>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</si>
  <si>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</si>
  <si>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</si>
  <si>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</si>
  <si>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</si>
  <si>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</si>
  <si>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</si>
  <si>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</si>
  <si>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</si>
  <si>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</si>
  <si>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</si>
  <si>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</si>
  <si>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</si>
  <si>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</si>
  <si>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</si>
  <si>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</si>
  <si>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</si>
  <si>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</si>
  <si>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</si>
  <si>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</si>
  <si>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</si>
  <si>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</si>
  <si>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</si>
  <si>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</si>
  <si>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</si>
  <si>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</si>
  <si>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</si>
  <si>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</si>
  <si>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</si>
  <si>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</si>
  <si>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</si>
  <si>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</si>
  <si>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</si>
  <si>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</si>
  <si>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</si>
  <si>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</si>
  <si>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</si>
  <si>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</si>
  <si>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</si>
  <si>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</si>
  <si>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</si>
  <si>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</si>
  <si>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</si>
  <si>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</si>
  <si>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</si>
  <si>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</si>
  <si>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</si>
  <si>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</si>
  <si>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</si>
  <si>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</si>
  <si>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</si>
  <si>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</si>
  <si>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</si>
  <si>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</si>
  <si>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</si>
  <si>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</si>
  <si>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</si>
  <si>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</si>
  <si>
    <t>3yr</t>
  </si>
  <si>
    <t>5yr</t>
  </si>
  <si>
    <t>Implied Cash (Lookthrough)</t>
  </si>
  <si>
    <t>Derivatives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</si>
</sst>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topLeftCell="A4" workbookViewId="0">
      <selection activeCell="C38" sqref="C38:C39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F18" sqref="F1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  <c r="G1" t="s">
        <v>97</v>
      </c>
      <c r="H1" t="s">
        <v>98</v>
      </c>
    </row>
    <row r="2" spans="1:8" x14ac:dyDescent="0.25">
      <c r="A2" t="str">
        <f>IF(Input!A3="","",Input!A3)</f>
        <v>BlackRock Consensus 85 Fund</v>
      </c>
      <c r="B2" s="1">
        <v>45230</v>
      </c>
      <c r="C2" s="5">
        <v>2.2000000000000001E-3</v>
      </c>
      <c r="D2" s="5">
        <v>0</v>
      </c>
      <c r="E2" s="5">
        <v>-2.3599999999999999E-2</v>
      </c>
      <c r="F2" s="5">
        <v>4.6699999999999998E-2</v>
      </c>
      <c r="G2" s="5">
        <v>0.17850000000000002</v>
      </c>
      <c r="H2" s="5">
        <v>0.24640000000000001</v>
      </c>
    </row>
    <row r="3" spans="1:8" x14ac:dyDescent="0.25">
      <c r="A3" t="str">
        <f>IF(Input!A4="","",Input!A4)</f>
        <v>BlackRock Consensus 100</v>
      </c>
      <c r="B3" s="1">
        <v>45230</v>
      </c>
      <c r="C3" s="5">
        <v>2.2000000000000001E-3</v>
      </c>
      <c r="D3" s="5">
        <v>0</v>
      </c>
      <c r="E3" s="5">
        <v>-2.86E-2</v>
      </c>
      <c r="F3" s="5">
        <v>5.5E-2</v>
      </c>
      <c r="G3" s="5">
        <v>0.32919999999999999</v>
      </c>
      <c r="H3" s="5">
        <v>0.48899999999999999</v>
      </c>
    </row>
    <row r="4" spans="1:8" x14ac:dyDescent="0.25">
      <c r="A4" t="str">
        <f>IF(Input!A5="","",Input!A5)</f>
        <v>BlackRock Consensus 35</v>
      </c>
      <c r="B4" s="1">
        <v>45230</v>
      </c>
      <c r="C4" s="5">
        <v>6.1999999999999998E-3</v>
      </c>
      <c r="D4" s="5">
        <v>0</v>
      </c>
      <c r="E4" s="5">
        <v>-1.0800000000000001E-2</v>
      </c>
      <c r="F4" s="5">
        <v>9.7999999999999997E-3</v>
      </c>
      <c r="G4" s="5">
        <v>7.1599999999999997E-2</v>
      </c>
      <c r="H4" s="5">
        <v>1.6899999999999998E-2</v>
      </c>
    </row>
    <row r="5" spans="1:8" x14ac:dyDescent="0.25">
      <c r="A5" t="str">
        <f>IF(Input!A6="","",Input!A6)</f>
        <v>BlackRock Consensus 60</v>
      </c>
      <c r="B5" s="1">
        <v>45230</v>
      </c>
      <c r="C5" s="5">
        <v>6.1999999999999998E-3</v>
      </c>
      <c r="D5" s="5">
        <v>0</v>
      </c>
      <c r="E5" s="5">
        <v>-1.6799999999999999E-2</v>
      </c>
      <c r="F5" s="5">
        <v>2.6699999999999998E-2</v>
      </c>
      <c r="G5" s="5">
        <v>3.44E-2</v>
      </c>
      <c r="H5" s="5">
        <v>9.1799999999999993E-2</v>
      </c>
    </row>
    <row r="6" spans="1:8" x14ac:dyDescent="0.25">
      <c r="A6" t="str">
        <f>IF(Input!A7="","",Input!A7)</f>
        <v>BlackRock Consensus 70</v>
      </c>
      <c r="B6" s="1">
        <v>45230</v>
      </c>
      <c r="C6" s="5">
        <v>6.1999999999999998E-3</v>
      </c>
      <c r="D6" s="5">
        <v>0</v>
      </c>
      <c r="E6" s="5">
        <v>-1.9699999999999999E-2</v>
      </c>
      <c r="F6" s="5">
        <v>3.27E-2</v>
      </c>
      <c r="G6" s="5">
        <v>8.5800000000000001E-2</v>
      </c>
      <c r="H6" s="5">
        <v>0.14529999999999998</v>
      </c>
    </row>
    <row r="7" spans="1:8" x14ac:dyDescent="0.25">
      <c r="A7" t="str">
        <f>IF(Input!A8="","",Input!A8)</f>
        <v>BlackRock Consensus 100</v>
      </c>
      <c r="B7" s="1">
        <v>45230</v>
      </c>
      <c r="C7" s="5">
        <v>2.2000000000000001E-3</v>
      </c>
      <c r="D7" s="5">
        <v>0</v>
      </c>
      <c r="E7" s="5">
        <v>-2.86E-2</v>
      </c>
      <c r="F7" s="5">
        <v>5.5E-2</v>
      </c>
      <c r="G7" s="5">
        <v>0.32919999999999999</v>
      </c>
      <c r="H7" s="5">
        <v>0.48899999999999999</v>
      </c>
    </row>
    <row r="8" spans="1:8" x14ac:dyDescent="0.25">
      <c r="A8" t="str">
        <f>IF(Input!A9="","",Input!A9)</f>
        <v>BlackRock Pension Growth Fund</v>
      </c>
      <c r="B8" s="1">
        <v>45230</v>
      </c>
      <c r="C8" s="5">
        <v>2.0000000000000001E-4</v>
      </c>
      <c r="D8" s="5">
        <v>0</v>
      </c>
      <c r="E8" s="5">
        <v>-2.3900000000000001E-2</v>
      </c>
      <c r="F8" s="5">
        <v>5.0499999999999996E-2</v>
      </c>
      <c r="G8" s="5">
        <v>0.13639999999999999</v>
      </c>
      <c r="H8" s="5">
        <v>0.28570000000000001</v>
      </c>
    </row>
    <row r="9" spans="1:8" x14ac:dyDescent="0.25">
      <c r="A9" s="11" t="str">
        <f>IF(Input!A10="","",Input!A10)</f>
        <v>MyMap 3</v>
      </c>
      <c r="B9" s="12">
        <v>45230</v>
      </c>
      <c r="C9" s="13">
        <v>1.7000000000000001E-3</v>
      </c>
      <c r="D9" s="13">
        <v>1.1999999999999999E-3</v>
      </c>
      <c r="E9" s="13">
        <v>-1.06E-2</v>
      </c>
      <c r="F9" s="13">
        <v>1.1000000000000001E-2</v>
      </c>
      <c r="G9" s="5">
        <v>5.3200000000000004E-2</v>
      </c>
    </row>
    <row r="10" spans="1:8" x14ac:dyDescent="0.25">
      <c r="A10" s="11" t="str">
        <f>IF(Input!A11="","",Input!A11)</f>
        <v>MyMap 4</v>
      </c>
      <c r="B10" s="12">
        <v>45230</v>
      </c>
      <c r="C10" s="13">
        <v>1.7000000000000001E-3</v>
      </c>
      <c r="D10" s="13">
        <v>1.1999999999999999E-3</v>
      </c>
      <c r="E10" s="13">
        <v>-1.9299999999999998E-2</v>
      </c>
      <c r="F10" s="13">
        <v>2.12E-2</v>
      </c>
      <c r="G10" s="5">
        <v>1.5800000000000002E-2</v>
      </c>
    </row>
    <row r="11" spans="1:8" x14ac:dyDescent="0.25">
      <c r="A11" s="11" t="str">
        <f>IF(Input!A12="","",Input!A12)</f>
        <v>MyMap 5</v>
      </c>
      <c r="B11" s="12">
        <v>45230</v>
      </c>
      <c r="C11" s="13">
        <v>1.7000000000000001E-3</v>
      </c>
      <c r="D11" s="13">
        <v>1.1999999999999999E-3</v>
      </c>
      <c r="E11" s="13">
        <v>-2.46E-2</v>
      </c>
      <c r="F11" s="13">
        <v>2.8500000000000001E-2</v>
      </c>
      <c r="G11" s="5">
        <v>8.7599999999999997E-2</v>
      </c>
    </row>
    <row r="12" spans="1:8" x14ac:dyDescent="0.25">
      <c r="A12" s="11" t="str">
        <f>IF(Input!A13="","",Input!A13)</f>
        <v>MyMap 6</v>
      </c>
      <c r="B12" s="12">
        <v>45230</v>
      </c>
      <c r="C12" s="13">
        <v>1.7000000000000001E-3</v>
      </c>
      <c r="D12" s="13">
        <v>1.1999999999999999E-3</v>
      </c>
      <c r="E12" s="13">
        <v>-3.1099999999999999E-2</v>
      </c>
      <c r="F12" s="13">
        <v>3.1800000000000002E-2</v>
      </c>
      <c r="G12" s="5">
        <v>0.14429999999999998</v>
      </c>
    </row>
    <row r="13" spans="1:8" x14ac:dyDescent="0.25">
      <c r="A13" s="11" t="str">
        <f>IF(Input!A14="","",Input!A14)</f>
        <v>MyMap 3 Select ESG Fund</v>
      </c>
      <c r="B13" s="12">
        <v>45230</v>
      </c>
      <c r="C13" s="13">
        <v>1.7000000000000001E-3</v>
      </c>
      <c r="D13" s="13">
        <v>1.1999999999999999E-3</v>
      </c>
      <c r="E13" s="13">
        <v>-1.2199999999999999E-2</v>
      </c>
      <c r="F13" s="13">
        <v>5.5000000000000005E-3</v>
      </c>
    </row>
    <row r="14" spans="1:8" x14ac:dyDescent="0.25">
      <c r="A14" s="11" t="str">
        <f>IF(Input!A15="","",Input!A15)</f>
        <v>MyMap 5 Select ESG Fund</v>
      </c>
      <c r="B14" s="12">
        <v>45230</v>
      </c>
      <c r="C14" s="13">
        <v>1.7000000000000001E-3</v>
      </c>
      <c r="D14" s="13">
        <v>1.1999999999999999E-3</v>
      </c>
      <c r="E14" s="13">
        <v>-2.7799999999999998E-2</v>
      </c>
      <c r="F14" s="13">
        <v>2.5899999999999999E-2</v>
      </c>
      <c r="G14" s="5">
        <v>8.1600000000000006E-2</v>
      </c>
    </row>
    <row r="15" spans="1:8" x14ac:dyDescent="0.25">
      <c r="A15" s="11" t="str">
        <f>IF(Input!A16="","",Input!A16)</f>
        <v>MyMap 7 Select ESG Fund</v>
      </c>
      <c r="B15" s="12">
        <v>45230</v>
      </c>
      <c r="C15" s="13">
        <v>1.7000000000000001E-3</v>
      </c>
      <c r="D15" s="13">
        <v>1.1999999999999999E-3</v>
      </c>
      <c r="E15" s="13">
        <v>-3.6699999999999997E-2</v>
      </c>
      <c r="F15" s="13">
        <v>4.1399999999999999E-2</v>
      </c>
    </row>
    <row r="16" spans="1:8" x14ac:dyDescent="0.25">
      <c r="A16" s="11" t="str">
        <f>IF(Input!A17="","",Input!A17)</f>
        <v>MyMap 4 Select Income Fund</v>
      </c>
      <c r="B16" s="12">
        <v>45230</v>
      </c>
      <c r="C16" s="13">
        <v>2.8000000000000004E-3</v>
      </c>
      <c r="D16" s="13">
        <v>2.3E-3</v>
      </c>
      <c r="E16" s="13">
        <v>-1.3899999999999999E-2</v>
      </c>
      <c r="F16" s="13">
        <v>4.1599999999999998E-2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zoomScaleNormal="100" workbookViewId="0">
      <selection activeCell="E13" sqref="E13"/>
    </sheetView>
  </sheetViews>
  <sheetFormatPr defaultRowHeight="15" x14ac:dyDescent="0.25"/>
  <cols>
    <col min="1" max="1" width="29.85546875" bestFit="1" customWidth="1"/>
    <col min="2" max="2" width="16.42578125" bestFit="1" customWidth="1"/>
    <col min="3" max="3" width="10.85546875" bestFit="1" customWidth="1"/>
    <col min="4" max="4" width="11.85546875" bestFit="1" customWidth="1"/>
    <col min="5" max="5" width="11.85546875" customWidth="1"/>
    <col min="6" max="6" width="22.42578125" bestFit="1" customWidth="1"/>
    <col min="7" max="7" width="14" bestFit="1" customWidth="1"/>
    <col min="8" max="8" width="7.28515625" bestFit="1" customWidth="1"/>
    <col min="9" max="9" width="10.85546875" bestFit="1" customWidth="1"/>
    <col min="10" max="10" width="13.140625" bestFit="1" customWidth="1"/>
    <col min="11" max="11" width="6.42578125" bestFit="1" customWidth="1"/>
    <col min="12" max="12" width="6.140625" bestFit="1" customWidth="1"/>
    <col min="13" max="13" width="13.7109375" style="14" bestFit="1" customWidth="1"/>
    <col min="14" max="14" width="12.85546875" bestFit="1" customWidth="1"/>
    <col min="15" max="15" width="15.42578125" bestFit="1" customWidth="1"/>
    <col min="16" max="17" width="6.140625" bestFit="1" customWidth="1"/>
    <col min="18" max="18" width="9" bestFit="1" customWidth="1"/>
    <col min="19" max="19" width="6.85546875" bestFit="1" customWidth="1"/>
    <col min="20" max="20" width="7.42578125" bestFit="1" customWidth="1"/>
    <col min="21" max="21" width="11.42578125" bestFit="1" customWidth="1"/>
    <col min="22" max="22" width="8.85546875" bestFit="1" customWidth="1"/>
    <col min="23" max="23" width="13.42578125" bestFit="1" customWidth="1"/>
    <col min="24" max="24" width="14.85546875" bestFit="1" customWidth="1"/>
    <col min="25" max="25" width="6.140625" bestFit="1" customWidth="1"/>
    <col min="26" max="26" width="15" bestFit="1" customWidth="1"/>
    <col min="27" max="27" width="12" bestFit="1" customWidth="1"/>
    <col min="28" max="28" width="6.140625" bestFit="1" customWidth="1"/>
    <col min="29" max="30" width="7.28515625" bestFit="1" customWidth="1"/>
    <col min="31" max="31" width="6.140625" bestFit="1" customWidth="1"/>
    <col min="32" max="32" width="9" bestFit="1" customWidth="1"/>
    <col min="33" max="33" width="15.28515625" bestFit="1" customWidth="1"/>
    <col min="34" max="34" width="10.42578125" bestFit="1" customWidth="1"/>
    <col min="35" max="35" width="17" bestFit="1" customWidth="1"/>
    <col min="36" max="36" width="20.140625" bestFit="1" customWidth="1"/>
    <col min="37" max="37" width="14" bestFit="1" customWidth="1"/>
  </cols>
  <sheetData>
    <row r="1" spans="1:38" x14ac:dyDescent="0.2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4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  <c r="AK1" t="s">
        <v>99</v>
      </c>
      <c r="AL1" t="s">
        <v>100</v>
      </c>
    </row>
    <row r="2" spans="1:38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8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8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8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8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8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8" x14ac:dyDescent="0.25">
      <c r="A8" t="str">
        <f>IF(Input!A9="","",Input!A9)</f>
        <v>BlackRock Pension Growth Fund</v>
      </c>
      <c r="B8" s="5">
        <v>0.28350000000000003</v>
      </c>
      <c r="C8" s="5">
        <v>0.71409999999999996</v>
      </c>
      <c r="D8" s="5">
        <v>5.9999999999999995E-4</v>
      </c>
      <c r="E8" s="5">
        <v>1.5E-3</v>
      </c>
      <c r="F8" s="5"/>
      <c r="G8" s="5">
        <v>0.49959999999999999</v>
      </c>
      <c r="H8" s="5">
        <v>0.1477</v>
      </c>
      <c r="I8" s="5"/>
      <c r="J8" s="5"/>
      <c r="K8" s="5">
        <v>1E-4</v>
      </c>
      <c r="L8" s="5"/>
      <c r="M8" s="15">
        <v>1E-4</v>
      </c>
      <c r="N8" s="5"/>
      <c r="O8" s="5">
        <v>0.2303</v>
      </c>
      <c r="P8" s="5">
        <v>7.0199999999999999E-2</v>
      </c>
      <c r="Q8" s="5"/>
      <c r="R8" s="5"/>
      <c r="S8" s="5"/>
      <c r="T8" s="5"/>
      <c r="U8" s="5"/>
      <c r="V8" s="5"/>
      <c r="W8" s="5"/>
      <c r="X8" s="5"/>
      <c r="Y8" s="5">
        <v>8.0000000000000002E-3</v>
      </c>
      <c r="Z8" s="5"/>
      <c r="AG8" s="5"/>
      <c r="AI8" s="5">
        <v>3.2599999999999997E-2</v>
      </c>
      <c r="AJ8" s="5">
        <v>1.1399999999999999E-2</v>
      </c>
      <c r="AK8" s="5">
        <v>0</v>
      </c>
    </row>
    <row r="9" spans="1:38" x14ac:dyDescent="0.25">
      <c r="A9" t="str">
        <f>IF(Input!A10="","",Input!A10)</f>
        <v>MyMap 3</v>
      </c>
      <c r="B9" s="5">
        <v>0.7611</v>
      </c>
      <c r="C9" s="5">
        <v>0.2109</v>
      </c>
      <c r="D9" s="5">
        <v>3.0099999999999998E-2</v>
      </c>
      <c r="E9" s="5"/>
      <c r="F9" s="5">
        <v>-2E-3</v>
      </c>
      <c r="G9" s="5">
        <v>0.53439999999999999</v>
      </c>
      <c r="H9" s="5">
        <v>0.3387</v>
      </c>
      <c r="I9" s="5">
        <v>7.7199999999999991E-2</v>
      </c>
      <c r="J9" s="5">
        <v>1.2199999999999999E-2</v>
      </c>
      <c r="K9" s="5">
        <v>3.3099999999999997E-2</v>
      </c>
      <c r="L9" s="5">
        <v>4.1999999999999997E-3</v>
      </c>
      <c r="M9" s="15">
        <v>1E-4</v>
      </c>
      <c r="N9" s="5">
        <v>0.48109999999999997</v>
      </c>
      <c r="O9" s="5">
        <v>0.24359999999999998</v>
      </c>
      <c r="P9" s="5">
        <v>2.1000000000000001E-2</v>
      </c>
      <c r="Q9" s="5">
        <v>2.8399999999999998E-2</v>
      </c>
      <c r="R9" s="5">
        <v>2.81E-2</v>
      </c>
      <c r="S9" s="5">
        <v>1.1399999999999999E-2</v>
      </c>
      <c r="T9" s="5">
        <v>3.5200000000000002E-2</v>
      </c>
      <c r="U9" s="5"/>
      <c r="V9" s="5">
        <v>1.1699999999999999E-2</v>
      </c>
      <c r="W9" s="5">
        <v>2.7999999999999997E-2</v>
      </c>
      <c r="X9" s="5">
        <v>-1.06E-2</v>
      </c>
      <c r="Y9" s="5">
        <v>3.2400000000000005E-2</v>
      </c>
      <c r="Z9" s="5">
        <v>8.3299999999999999E-2</v>
      </c>
      <c r="AG9" s="5">
        <v>-5.45E-2</v>
      </c>
      <c r="AK9" s="5"/>
      <c r="AL9" s="5">
        <v>-4.5999999999999999E-3</v>
      </c>
    </row>
    <row r="10" spans="1:38" x14ac:dyDescent="0.25">
      <c r="A10" t="str">
        <f>IF(Input!A11="","",Input!A11)</f>
        <v>MyMap 4</v>
      </c>
      <c r="B10" s="5">
        <v>0.49659999999999999</v>
      </c>
      <c r="C10" s="5">
        <v>0.47590000000000005</v>
      </c>
      <c r="D10" s="5">
        <v>2.9600000000000001E-2</v>
      </c>
      <c r="E10" s="5"/>
      <c r="F10" s="5">
        <v>-2E-3</v>
      </c>
      <c r="G10" s="5">
        <v>0.53290000000000004</v>
      </c>
      <c r="H10" s="5">
        <v>0.3246</v>
      </c>
      <c r="I10" s="5">
        <v>9.8400000000000001E-2</v>
      </c>
      <c r="J10" s="5">
        <v>2.06E-2</v>
      </c>
      <c r="K10" s="5">
        <v>1.55E-2</v>
      </c>
      <c r="L10" s="5">
        <v>7.8000000000000005E-3</v>
      </c>
      <c r="M10" s="15">
        <v>2.0000000000000001E-4</v>
      </c>
      <c r="N10" s="5">
        <v>0.499</v>
      </c>
      <c r="O10" s="5">
        <v>0.22089999999999999</v>
      </c>
      <c r="P10" s="5">
        <v>3.9399999999999998E-2</v>
      </c>
      <c r="Q10" s="5">
        <v>2.6000000000000002E-2</v>
      </c>
      <c r="R10" s="5">
        <v>1.5800000000000002E-2</v>
      </c>
      <c r="S10" s="5">
        <v>1.44E-2</v>
      </c>
      <c r="T10" s="5">
        <v>1.4499999999999999E-2</v>
      </c>
      <c r="U10" s="5">
        <v>1.4499999999999999E-2</v>
      </c>
      <c r="V10" s="5">
        <v>1.3600000000000001E-2</v>
      </c>
      <c r="W10" s="5">
        <v>1.18E-2</v>
      </c>
      <c r="X10" s="5">
        <v>-1.7100000000000001E-2</v>
      </c>
      <c r="Y10" s="5">
        <v>3.4799999999999998E-2</v>
      </c>
      <c r="Z10" s="5">
        <v>0.114</v>
      </c>
      <c r="AG10" s="5">
        <v>-5.1900000000000002E-2</v>
      </c>
      <c r="AK10" s="5"/>
      <c r="AL10" s="5">
        <v>-6.9999999999999993E-3</v>
      </c>
    </row>
    <row r="11" spans="1:38" x14ac:dyDescent="0.25">
      <c r="A11" t="str">
        <f>IF(Input!A12="","",Input!A12)</f>
        <v>MyMap 5</v>
      </c>
      <c r="B11" s="5">
        <v>0.30519999999999997</v>
      </c>
      <c r="C11" s="5">
        <v>0.66449999999999998</v>
      </c>
      <c r="D11" s="5">
        <v>3.15E-2</v>
      </c>
      <c r="E11" s="5"/>
      <c r="F11" s="5">
        <v>-1.1000000000000001E-3</v>
      </c>
      <c r="G11" s="5">
        <v>0.56509999999999994</v>
      </c>
      <c r="H11" s="5">
        <v>0.28210000000000002</v>
      </c>
      <c r="I11" s="5">
        <v>0.1192</v>
      </c>
      <c r="J11" s="5">
        <v>1.66E-2</v>
      </c>
      <c r="K11" s="5">
        <v>0.01</v>
      </c>
      <c r="L11" s="5">
        <v>6.8000000000000005E-3</v>
      </c>
      <c r="M11" s="15">
        <v>1E-4</v>
      </c>
      <c r="N11" s="5">
        <v>0.53439999999999999</v>
      </c>
      <c r="O11" s="5">
        <v>0.16260000000000002</v>
      </c>
      <c r="P11" s="5">
        <v>4.9500000000000002E-2</v>
      </c>
      <c r="Q11" s="5">
        <v>2.0400000000000001E-2</v>
      </c>
      <c r="R11" s="5">
        <v>1.8600000000000002E-2</v>
      </c>
      <c r="S11" s="5">
        <v>2.4399999999999998E-2</v>
      </c>
      <c r="T11" s="5">
        <v>1.6200000000000003E-2</v>
      </c>
      <c r="U11" s="5">
        <v>1.1899999999999999E-2</v>
      </c>
      <c r="V11" s="5">
        <v>1.5100000000000001E-2</v>
      </c>
      <c r="W11" s="5"/>
      <c r="X11" s="5">
        <v>-1.9E-2</v>
      </c>
      <c r="Y11" s="5">
        <v>3.8100000000000002E-2</v>
      </c>
      <c r="Z11" s="5">
        <v>0.12119999999999999</v>
      </c>
      <c r="AA11" s="5">
        <v>1.0700000000000001E-2</v>
      </c>
      <c r="AB11" s="5">
        <v>1.06E-2</v>
      </c>
      <c r="AG11" s="5">
        <v>-6.9500000000000006E-2</v>
      </c>
      <c r="AK11" s="5"/>
      <c r="AL11" s="5">
        <v>-7.1999999999999998E-3</v>
      </c>
    </row>
    <row r="12" spans="1:38" x14ac:dyDescent="0.25">
      <c r="A12" t="str">
        <f>IF(Input!A13="","",Input!A13)</f>
        <v>MyMap 6</v>
      </c>
      <c r="B12" s="5">
        <v>7.8100000000000003E-2</v>
      </c>
      <c r="C12" s="5">
        <v>0.87840000000000007</v>
      </c>
      <c r="D12" s="5">
        <v>4.4400000000000002E-2</v>
      </c>
      <c r="E12" s="5"/>
      <c r="F12" s="5">
        <v>-1E-3</v>
      </c>
      <c r="G12" s="5">
        <v>0.5696</v>
      </c>
      <c r="H12" s="5">
        <v>0.2722</v>
      </c>
      <c r="I12" s="5">
        <v>0.14199999999999999</v>
      </c>
      <c r="J12" s="5">
        <v>8.199999999999999E-3</v>
      </c>
      <c r="K12" s="5">
        <v>4.0999999999999995E-3</v>
      </c>
      <c r="L12" s="5">
        <v>3.9000000000000003E-3</v>
      </c>
      <c r="M12" s="15">
        <v>0</v>
      </c>
      <c r="N12" s="5">
        <v>0.53420000000000001</v>
      </c>
      <c r="O12" s="5">
        <v>0.13189999999999999</v>
      </c>
      <c r="P12" s="5">
        <v>6.3399999999999998E-2</v>
      </c>
      <c r="Q12" s="5">
        <v>2.46E-2</v>
      </c>
      <c r="R12" s="5">
        <v>2.0799999999999999E-2</v>
      </c>
      <c r="S12" s="5">
        <v>2.9700000000000001E-2</v>
      </c>
      <c r="T12" s="5">
        <v>1.43E-2</v>
      </c>
      <c r="U12" s="5">
        <v>1.4800000000000001E-2</v>
      </c>
      <c r="V12" s="5">
        <v>1.8200000000000001E-2</v>
      </c>
      <c r="W12" s="5"/>
      <c r="X12" s="5">
        <v>-2.4700000000000003E-2</v>
      </c>
      <c r="Y12" s="5">
        <v>5.2400000000000002E-2</v>
      </c>
      <c r="Z12" s="5">
        <v>8.4900000000000003E-2</v>
      </c>
      <c r="AA12" s="5">
        <v>1.2699999999999999E-2</v>
      </c>
      <c r="AB12" s="5">
        <v>1.0500000000000001E-2</v>
      </c>
      <c r="AC12" s="5"/>
      <c r="AD12" s="5">
        <v>1.0200000000000001E-2</v>
      </c>
      <c r="AE12" s="5">
        <v>1.0800000000000001E-2</v>
      </c>
      <c r="AG12" s="5">
        <v>-5.5E-2</v>
      </c>
      <c r="AK12" s="5"/>
      <c r="AL12" s="5">
        <v>-8.3999999999999995E-3</v>
      </c>
    </row>
    <row r="13" spans="1:38" x14ac:dyDescent="0.25">
      <c r="A13" t="str">
        <f>IF(Input!A14="","",Input!A14)</f>
        <v>MyMap 3 Select ESG Fund</v>
      </c>
      <c r="B13" s="5">
        <v>0.75620000000000009</v>
      </c>
      <c r="C13" s="5">
        <v>0.24539999999999998</v>
      </c>
      <c r="D13" s="5"/>
      <c r="E13" s="5"/>
      <c r="F13" s="5">
        <v>-1.6000000000000001E-3</v>
      </c>
      <c r="G13" s="5">
        <v>0.53880000000000006</v>
      </c>
      <c r="H13" s="5">
        <v>0.33700000000000002</v>
      </c>
      <c r="I13" s="5">
        <v>7.7800000000000008E-2</v>
      </c>
      <c r="J13" s="5">
        <v>1.0200000000000001E-2</v>
      </c>
      <c r="K13" s="5">
        <v>3.2899999999999999E-2</v>
      </c>
      <c r="L13" s="5">
        <v>3.2000000000000002E-3</v>
      </c>
      <c r="M13" s="15">
        <v>1E-4</v>
      </c>
      <c r="N13" s="5">
        <v>0.50109999999999999</v>
      </c>
      <c r="O13" s="5">
        <v>0.25440000000000002</v>
      </c>
      <c r="P13" s="5">
        <v>1.9099999999999999E-2</v>
      </c>
      <c r="Q13" s="5">
        <v>2.9500000000000002E-2</v>
      </c>
      <c r="R13" s="5">
        <v>2.8799999999999999E-2</v>
      </c>
      <c r="S13" s="5">
        <v>1.0800000000000001E-2</v>
      </c>
      <c r="T13" s="5">
        <v>3.6000000000000004E-2</v>
      </c>
      <c r="U13" s="5"/>
      <c r="V13" s="5">
        <v>1.15E-2</v>
      </c>
      <c r="W13" s="5">
        <v>2.8999999999999998E-2</v>
      </c>
      <c r="X13" s="5">
        <v>-2.2000000000000001E-3</v>
      </c>
      <c r="Y13" s="5">
        <v>1.04E-2</v>
      </c>
      <c r="Z13" s="5">
        <v>8.4600000000000009E-2</v>
      </c>
      <c r="AG13" s="5">
        <v>-5.2499999999999998E-2</v>
      </c>
      <c r="AK13" s="5"/>
      <c r="AL13" s="5">
        <v>-5.0000000000000001E-3</v>
      </c>
    </row>
    <row r="14" spans="1:38" x14ac:dyDescent="0.25">
      <c r="A14" t="str">
        <f>IF(Input!A15="","",Input!A15)</f>
        <v>MyMap 5 Select ESG Fund</v>
      </c>
      <c r="B14" s="5">
        <v>0.3</v>
      </c>
      <c r="C14" s="5">
        <v>0.70150000000000001</v>
      </c>
      <c r="D14" s="5"/>
      <c r="E14" s="5"/>
      <c r="F14" s="5">
        <v>-1.5E-3</v>
      </c>
      <c r="G14" s="5">
        <v>0.56259999999999999</v>
      </c>
      <c r="H14" s="5">
        <v>0.28149999999999997</v>
      </c>
      <c r="I14" s="5">
        <v>0.12210000000000001</v>
      </c>
      <c r="J14" s="5">
        <v>1.6500000000000001E-2</v>
      </c>
      <c r="K14" s="5">
        <v>1.1899999999999999E-2</v>
      </c>
      <c r="L14" s="5">
        <v>5.3E-3</v>
      </c>
      <c r="M14" s="15">
        <v>1E-4</v>
      </c>
      <c r="N14" s="5">
        <v>0.55590000000000006</v>
      </c>
      <c r="O14" s="5">
        <v>0.1714</v>
      </c>
      <c r="P14" s="5">
        <v>5.16E-2</v>
      </c>
      <c r="Q14" s="5">
        <v>0.02</v>
      </c>
      <c r="R14" s="5">
        <v>1.5900000000000001E-2</v>
      </c>
      <c r="S14" s="5">
        <v>1.8799999999999997E-2</v>
      </c>
      <c r="T14" s="5">
        <v>1.18E-2</v>
      </c>
      <c r="U14" s="5">
        <v>1.8000000000000002E-2</v>
      </c>
      <c r="V14" s="5">
        <v>1.49E-2</v>
      </c>
      <c r="W14" s="5"/>
      <c r="X14" s="5">
        <v>-4.7999999999999996E-3</v>
      </c>
      <c r="Y14" s="5"/>
      <c r="Z14" s="5">
        <v>0.14029999999999998</v>
      </c>
      <c r="AA14" s="5">
        <v>1.06E-2</v>
      </c>
      <c r="AG14" s="5">
        <v>-4.4000000000000004E-2</v>
      </c>
      <c r="AK14" s="5"/>
      <c r="AL14" s="5">
        <v>-7.0999999999999995E-3</v>
      </c>
    </row>
    <row r="15" spans="1:38" x14ac:dyDescent="0.25">
      <c r="A15" t="str">
        <f>IF(Input!A16="","",Input!A16)</f>
        <v>MyMap 7 Select ESG Fund</v>
      </c>
      <c r="B15" s="5"/>
      <c r="C15" s="5">
        <v>1.0007999999999999</v>
      </c>
      <c r="D15" s="5"/>
      <c r="E15" s="5"/>
      <c r="F15" s="5">
        <v>-8.0000000000000004E-4</v>
      </c>
      <c r="G15" s="5">
        <v>0.5534</v>
      </c>
      <c r="H15" s="5">
        <v>0.26989999999999997</v>
      </c>
      <c r="I15" s="5">
        <v>0.16020000000000001</v>
      </c>
      <c r="J15" s="5">
        <v>8.6999999999999994E-3</v>
      </c>
      <c r="K15" s="5">
        <v>3.7000000000000002E-3</v>
      </c>
      <c r="L15" s="5">
        <v>4.0000000000000001E-3</v>
      </c>
      <c r="M15" s="15">
        <v>0</v>
      </c>
      <c r="N15" s="5">
        <v>0.56140000000000001</v>
      </c>
      <c r="O15" s="5">
        <v>0.1235</v>
      </c>
      <c r="P15" s="5">
        <v>7.1900000000000006E-2</v>
      </c>
      <c r="Q15" s="5">
        <v>2.76E-2</v>
      </c>
      <c r="R15" s="5">
        <v>1.7299999999999999E-2</v>
      </c>
      <c r="S15" s="5">
        <v>2.63E-2</v>
      </c>
      <c r="T15" s="5"/>
      <c r="U15" s="5">
        <v>2.4900000000000002E-2</v>
      </c>
      <c r="V15" s="5">
        <v>1.8600000000000002E-2</v>
      </c>
      <c r="W15" s="5"/>
      <c r="X15" s="5">
        <v>-6.3E-3</v>
      </c>
      <c r="Y15" s="5"/>
      <c r="Z15" s="5">
        <v>9.1400000000000009E-2</v>
      </c>
      <c r="AA15" s="5">
        <v>1.15E-2</v>
      </c>
      <c r="AD15" s="5">
        <v>1.18E-2</v>
      </c>
      <c r="AE15" s="5">
        <v>1.18E-2</v>
      </c>
      <c r="AF15" s="5">
        <v>1.09E-2</v>
      </c>
      <c r="AG15" s="5">
        <v>-5.9400000000000001E-2</v>
      </c>
      <c r="AK15" s="5"/>
      <c r="AL15" s="5">
        <v>-8.8999999999999999E-3</v>
      </c>
    </row>
    <row r="16" spans="1:38" x14ac:dyDescent="0.25">
      <c r="A16" t="str">
        <f>IF(Input!A17="","",Input!A17)</f>
        <v>MyMap 4 Select Income Fund</v>
      </c>
      <c r="B16" s="5">
        <v>0.64019999999999999</v>
      </c>
      <c r="C16" s="5">
        <v>0.35700000000000004</v>
      </c>
      <c r="D16" s="5"/>
      <c r="E16" s="5"/>
      <c r="F16" s="5">
        <v>2.8000000000000004E-3</v>
      </c>
      <c r="G16" s="5">
        <v>0.40880000000000005</v>
      </c>
      <c r="H16" s="5">
        <v>0.43229999999999996</v>
      </c>
      <c r="I16" s="5">
        <v>6.5599999999999992E-2</v>
      </c>
      <c r="J16" s="5">
        <v>3.7699999999999997E-2</v>
      </c>
      <c r="K16" s="5">
        <v>3.9100000000000003E-2</v>
      </c>
      <c r="L16" s="5">
        <v>1.6E-2</v>
      </c>
      <c r="M16" s="15">
        <v>5.0000000000000001E-4</v>
      </c>
      <c r="N16" s="15">
        <v>0.36329999999999996</v>
      </c>
      <c r="O16" s="15">
        <v>0.22089999999999999</v>
      </c>
      <c r="P16" s="15">
        <v>1.7399999999999999E-2</v>
      </c>
      <c r="Q16" s="15"/>
      <c r="R16" s="15">
        <v>3.56E-2</v>
      </c>
      <c r="S16" s="15">
        <v>2.3599999999999999E-2</v>
      </c>
      <c r="T16" s="15">
        <v>4.1599999999999998E-2</v>
      </c>
      <c r="U16" s="15">
        <v>1.5800000000000002E-2</v>
      </c>
      <c r="V16" s="15">
        <v>1.6799999999999999E-2</v>
      </c>
      <c r="W16" s="15">
        <v>2.3799999999999998E-2</v>
      </c>
      <c r="X16" s="15">
        <v>-2.3999999999999998E-3</v>
      </c>
      <c r="Y16" s="15">
        <v>1.26E-2</v>
      </c>
      <c r="Z16" s="15">
        <v>0.17350000000000002</v>
      </c>
      <c r="AA16" s="15">
        <v>1.1399999999999999E-2</v>
      </c>
      <c r="AB16" s="14"/>
      <c r="AC16" s="15">
        <v>0.06</v>
      </c>
      <c r="AG16" s="5">
        <v>-1.43E-2</v>
      </c>
      <c r="AH16" s="5">
        <v>1.3999999999999999E-2</v>
      </c>
      <c r="AK16" s="5"/>
      <c r="AL16" s="5">
        <v>-4.5000000000000005E-3</v>
      </c>
    </row>
    <row r="17" spans="1:30" x14ac:dyDescent="0.2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5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2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5"/>
      <c r="N18" s="5"/>
      <c r="O18" s="5"/>
      <c r="P18" s="5"/>
      <c r="R18" s="5"/>
      <c r="S18" s="5"/>
      <c r="U18" s="5"/>
      <c r="V18" s="5"/>
      <c r="AA18" s="5"/>
    </row>
    <row r="19" spans="1:30" x14ac:dyDescent="0.2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5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25">
      <c r="A20" t="str">
        <f>IF(Input!A21="","",Input!A21)</f>
        <v/>
      </c>
      <c r="B20" s="5"/>
      <c r="F20" s="5"/>
      <c r="I20" s="5"/>
      <c r="J20" s="5"/>
      <c r="K20" s="5"/>
      <c r="L20" s="5"/>
      <c r="M20" s="15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2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5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2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5"/>
      <c r="N22" s="5"/>
      <c r="O22" s="5"/>
      <c r="P22" s="5"/>
      <c r="R22" s="5"/>
      <c r="S22" s="5"/>
      <c r="U22" s="5"/>
      <c r="V22" s="5"/>
      <c r="AA22" s="5"/>
    </row>
    <row r="23" spans="1:30" x14ac:dyDescent="0.2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5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2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5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25">
      <c r="A25" t="str">
        <f>IF(Input!A26="","",Input!A26)</f>
        <v/>
      </c>
      <c r="F25" s="5"/>
      <c r="I25" s="5"/>
      <c r="L25" s="5"/>
      <c r="M25" s="15"/>
      <c r="O25" s="5"/>
      <c r="P25" s="5"/>
      <c r="Q25" s="5"/>
      <c r="S25" s="5"/>
      <c r="V25" s="5"/>
      <c r="X25" s="5"/>
      <c r="AC25" s="5"/>
    </row>
    <row r="26" spans="1:30" x14ac:dyDescent="0.25">
      <c r="A26" t="str">
        <f>IF(Input!A27="","",Input!A27)</f>
        <v/>
      </c>
      <c r="F26" s="5"/>
      <c r="I26" s="5"/>
      <c r="L26" s="5"/>
      <c r="M26" s="15"/>
      <c r="O26" s="5"/>
      <c r="P26" s="5"/>
      <c r="Q26" s="5"/>
      <c r="S26" s="5"/>
      <c r="V26" s="5"/>
      <c r="X26" s="5"/>
      <c r="AC26" s="5"/>
    </row>
    <row r="27" spans="1:30" x14ac:dyDescent="0.25">
      <c r="A27" t="str">
        <f>IF(Input!A28="","",Input!A28)</f>
        <v/>
      </c>
      <c r="B27" s="5"/>
      <c r="F27" s="5"/>
      <c r="I27" s="5"/>
      <c r="L27" s="5"/>
      <c r="M27" s="15"/>
      <c r="O27" s="5"/>
      <c r="Q27" s="5"/>
      <c r="S27" s="5"/>
      <c r="V27" s="5"/>
      <c r="X27" s="5"/>
      <c r="AC27" s="5"/>
    </row>
    <row r="28" spans="1:30" x14ac:dyDescent="0.25">
      <c r="A28" t="str">
        <f>IF(Input!A29="","",Input!A29)</f>
        <v/>
      </c>
      <c r="B28" s="5"/>
      <c r="F28" s="5"/>
      <c r="I28" s="5"/>
      <c r="M28" s="15"/>
      <c r="O28" s="5"/>
      <c r="Q28" s="5"/>
      <c r="S28" s="5"/>
      <c r="V28" s="5"/>
      <c r="X28" s="5"/>
      <c r="AC28" s="5"/>
      <c r="AD28" s="5"/>
    </row>
    <row r="29" spans="1:30" x14ac:dyDescent="0.25">
      <c r="A29" t="str">
        <f>IF(Input!A30="","",Input!A30)</f>
        <v/>
      </c>
      <c r="C29" s="5"/>
      <c r="H29" s="5"/>
      <c r="J29" s="5"/>
      <c r="K29" s="5"/>
      <c r="L29" s="5"/>
      <c r="M29" s="15"/>
      <c r="O29" s="5"/>
      <c r="P29" s="5"/>
      <c r="Q29" s="5"/>
      <c r="T29" s="5"/>
      <c r="U29" s="5"/>
    </row>
    <row r="30" spans="1:30" x14ac:dyDescent="0.25">
      <c r="A30" t="str">
        <f>IF(Input!A31="","",Input!A31)</f>
        <v/>
      </c>
      <c r="F30" s="5"/>
      <c r="H30" s="5"/>
      <c r="J30" s="5"/>
      <c r="K30" s="5"/>
      <c r="M30" s="15"/>
      <c r="O30" s="5"/>
      <c r="P30" s="5"/>
      <c r="Q30" s="5"/>
      <c r="S30" s="5"/>
      <c r="T30" s="5"/>
      <c r="U30" s="5"/>
    </row>
    <row r="31" spans="1:30" x14ac:dyDescent="0.25">
      <c r="A31" t="str">
        <f>IF(Input!A32="","",Input!A32)</f>
        <v/>
      </c>
      <c r="F31" s="5"/>
      <c r="H31" s="5"/>
      <c r="I31" s="5"/>
      <c r="J31" s="5"/>
      <c r="M31" s="15"/>
      <c r="O31" s="5"/>
      <c r="P31" s="5"/>
      <c r="Q31" s="5"/>
      <c r="R31" s="5"/>
      <c r="T31" s="5"/>
      <c r="U31" s="5"/>
    </row>
    <row r="32" spans="1:30" x14ac:dyDescent="0.25">
      <c r="A32" t="str">
        <f>IF(Input!A33="","",Input!A33)</f>
        <v/>
      </c>
      <c r="F32" s="5"/>
      <c r="H32" s="5"/>
      <c r="I32" s="5"/>
      <c r="M32" s="15"/>
      <c r="O32" s="5"/>
      <c r="P32" s="5"/>
      <c r="Q32" s="5"/>
      <c r="R32" s="5"/>
      <c r="S32" s="5"/>
      <c r="T32" s="5"/>
      <c r="U32" s="5"/>
    </row>
    <row r="33" spans="1:28" x14ac:dyDescent="0.25">
      <c r="A33" t="str">
        <f>IF(Input!A34="","",Input!A34)</f>
        <v/>
      </c>
      <c r="F33" s="5"/>
      <c r="H33" s="5"/>
      <c r="I33" s="5"/>
      <c r="M33" s="15"/>
      <c r="O33" s="5"/>
      <c r="P33" s="5"/>
      <c r="Q33" s="5"/>
      <c r="R33" s="5"/>
      <c r="S33" s="5"/>
      <c r="T33" s="5"/>
      <c r="U33" s="5"/>
    </row>
    <row r="34" spans="1:28" x14ac:dyDescent="0.2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25">
      <c r="A35" t="str">
        <f>IF(Input!A36="","",Input!A36)</f>
        <v/>
      </c>
    </row>
    <row r="36" spans="1:28" x14ac:dyDescent="0.25">
      <c r="A36" t="str">
        <f>IF(Input!A37="","",Input!A37)</f>
        <v/>
      </c>
    </row>
    <row r="37" spans="1:28" x14ac:dyDescent="0.25">
      <c r="A37" t="str">
        <f>IF(Input!A38="","",Input!A38)</f>
        <v/>
      </c>
    </row>
    <row r="38" spans="1:28" x14ac:dyDescent="0.25">
      <c r="A38" t="str">
        <f>IF(Input!A39="","",Input!A39)</f>
        <v/>
      </c>
    </row>
    <row r="39" spans="1:28" x14ac:dyDescent="0.25">
      <c r="A39" t="str">
        <f>IF(Input!A40="","",Input!A40)</f>
        <v/>
      </c>
    </row>
    <row r="40" spans="1:28" x14ac:dyDescent="0.25">
      <c r="A40" t="str">
        <f>IF(Input!A41="","",Input!A41)</f>
        <v/>
      </c>
    </row>
    <row r="41" spans="1:28" x14ac:dyDescent="0.25">
      <c r="A41" t="str">
        <f>IF(Input!A42="","",Input!A42)</f>
        <v/>
      </c>
    </row>
    <row r="42" spans="1:28" x14ac:dyDescent="0.25">
      <c r="A42" t="str">
        <f>IF(Input!A43="","",Input!A43)</f>
        <v/>
      </c>
    </row>
    <row r="43" spans="1:28" x14ac:dyDescent="0.25">
      <c r="A43" t="str">
        <f>IF(Input!A44="","",Input!A44)</f>
        <v/>
      </c>
    </row>
    <row r="44" spans="1:28" x14ac:dyDescent="0.25">
      <c r="A44" t="str">
        <f>IF(Input!A45="","",Input!A45)</f>
        <v/>
      </c>
    </row>
    <row r="45" spans="1:28" x14ac:dyDescent="0.25">
      <c r="A45" t="str">
        <f>IF(Input!A46="","",Input!A46)</f>
        <v/>
      </c>
    </row>
    <row r="46" spans="1:28" x14ac:dyDescent="0.25">
      <c r="A46" t="str">
        <f>IF(Input!A47="","",Input!A47)</f>
        <v/>
      </c>
    </row>
    <row r="47" spans="1:28" x14ac:dyDescent="0.25">
      <c r="A47" t="str">
        <f>IF(Input!A48="","",Input!A48)</f>
        <v/>
      </c>
    </row>
    <row r="48" spans="1:2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2" sqref="B2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45230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45230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45230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45230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45230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45230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45230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45230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45230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45230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45230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45230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45230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45230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45230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0.28350000000000003</v>
      </c>
      <c r="C8">
        <f>IF(A8="","",SUM('Asset Allocation'!C8))</f>
        <v>0.71409999999999996</v>
      </c>
      <c r="G8">
        <f>IF(A8="","",SUM('Asset Allocation'!D8))</f>
        <v>5.9999999999999995E-4</v>
      </c>
      <c r="H8">
        <f t="shared" si="0"/>
        <v>1.7999999999999128E-3</v>
      </c>
    </row>
    <row r="9" spans="1:8" x14ac:dyDescent="0.25">
      <c r="A9" t="str">
        <f>IF(Input!A10="","",Input!A10)</f>
        <v>MyMap 3</v>
      </c>
      <c r="B9">
        <f>IF(A9="","",SUM('Asset Allocation'!B9))</f>
        <v>0.7611</v>
      </c>
      <c r="C9">
        <f>IF(A9="","",SUM('Asset Allocation'!C9))</f>
        <v>0.2109</v>
      </c>
      <c r="G9">
        <f>IF(A9="","",SUM('Asset Allocation'!D9))</f>
        <v>3.0099999999999998E-2</v>
      </c>
      <c r="H9">
        <f t="shared" si="0"/>
        <v>-2.0999999999999908E-3</v>
      </c>
    </row>
    <row r="10" spans="1:8" x14ac:dyDescent="0.25">
      <c r="A10" t="str">
        <f>IF(Input!A11="","",Input!A11)</f>
        <v>MyMap 4</v>
      </c>
      <c r="B10">
        <f>IF(A10="","",SUM('Asset Allocation'!B10))</f>
        <v>0.49659999999999999</v>
      </c>
      <c r="C10">
        <f>IF(A10="","",SUM('Asset Allocation'!C10))</f>
        <v>0.47590000000000005</v>
      </c>
      <c r="G10">
        <f>IF(A10="","",SUM('Asset Allocation'!D10))</f>
        <v>2.9600000000000001E-2</v>
      </c>
      <c r="H10">
        <f t="shared" si="0"/>
        <v>-2.0999999999999908E-3</v>
      </c>
    </row>
    <row r="11" spans="1:8" x14ac:dyDescent="0.25">
      <c r="A11" t="str">
        <f>IF(Input!A12="","",Input!A12)</f>
        <v>MyMap 5</v>
      </c>
      <c r="B11">
        <f>IF(A11="","",SUM('Asset Allocation'!B11))</f>
        <v>0.30519999999999997</v>
      </c>
      <c r="C11">
        <f>IF(A11="","",SUM('Asset Allocation'!C11))</f>
        <v>0.66449999999999998</v>
      </c>
      <c r="G11">
        <f>IF(A11="","",SUM('Asset Allocation'!D11))</f>
        <v>3.15E-2</v>
      </c>
      <c r="H11">
        <f t="shared" si="0"/>
        <v>-1.2000000000000899E-3</v>
      </c>
    </row>
    <row r="12" spans="1:8" x14ac:dyDescent="0.25">
      <c r="A12" t="str">
        <f>IF(Input!A13="","",Input!A13)</f>
        <v>MyMap 6</v>
      </c>
      <c r="B12">
        <f>IF(A12="","",SUM('Asset Allocation'!B12))</f>
        <v>7.8100000000000003E-2</v>
      </c>
      <c r="C12">
        <f>IF(A12="","",SUM('Asset Allocation'!C12))</f>
        <v>0.87840000000000007</v>
      </c>
      <c r="G12">
        <f>IF(A12="","",SUM('Asset Allocation'!D12))</f>
        <v>4.4400000000000002E-2</v>
      </c>
      <c r="H12">
        <f t="shared" si="0"/>
        <v>-9.0000000000012292E-4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0.75620000000000009</v>
      </c>
      <c r="C13">
        <f>IF(A13="","",SUM('Asset Allocation'!C13))</f>
        <v>0.24539999999999998</v>
      </c>
      <c r="G13">
        <f>IF(A13="","",SUM('Asset Allocation'!D13))</f>
        <v>0</v>
      </c>
      <c r="H13">
        <f t="shared" si="0"/>
        <v>-1.6000000000000458E-3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</v>
      </c>
      <c r="C14">
        <f>IF(A14="","",SUM('Asset Allocation'!C14))</f>
        <v>0.70150000000000001</v>
      </c>
      <c r="G14">
        <f>IF(A14="","",SUM('Asset Allocation'!D14))</f>
        <v>0</v>
      </c>
      <c r="H14">
        <f t="shared" si="0"/>
        <v>-1.5000000000000568E-3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1.0007999999999999</v>
      </c>
      <c r="G15">
        <f>IF(A15="","",SUM('Asset Allocation'!D15))</f>
        <v>0</v>
      </c>
      <c r="H15">
        <f t="shared" si="0"/>
        <v>-7.9999999999991189E-4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0.64019999999999999</v>
      </c>
      <c r="C16">
        <f>IF(A16="","",SUM('Asset Allocation'!C16))</f>
        <v>0.35700000000000004</v>
      </c>
      <c r="G16">
        <f>IF(A16="","",SUM('Asset Allocation'!D16))</f>
        <v>0</v>
      </c>
      <c r="H16">
        <f t="shared" si="0"/>
        <v>2.7999999999999137E-3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7.0199999999999999E-2</v>
      </c>
      <c r="D8" s="6">
        <f>IFERROR(IF(A8="","",SUM('Asset Allocation'!O8,'Asset Allocation'!L8)),0)</f>
        <v>0.2303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0.14779999999999999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Allocation'!R9,'Asset Allocation'!I9)),0)</f>
        <v>0.10529999999999999</v>
      </c>
      <c r="C9" s="6">
        <f>IFERROR(IF(A9="","",SUM('Asset Allocation'!P9)),0)</f>
        <v>2.1000000000000001E-2</v>
      </c>
      <c r="D9" s="6">
        <f>IFERROR(IF(A9="","",SUM('Asset Allocation'!O9,'Asset Allocation'!L9)),0)</f>
        <v>0.24779999999999999</v>
      </c>
      <c r="E9" s="6">
        <f>IFERROR(IF(A9="","",SUM('Asset Allocation'!Q9)),0)</f>
        <v>2.8399999999999998E-2</v>
      </c>
      <c r="F9" s="6">
        <f>IFERROR(IF(A9="","",SUM('Asset Allocation'!N9,'Asset Allocation'!K9)),0)</f>
        <v>0.51419999999999999</v>
      </c>
      <c r="G9" s="6">
        <f>IFERROR(IF(A9="","",SUM('Asset Allocation'!M9,'Asset Allocation'!J9,'Asset Allocation'!H9,'Asset Allocation'!S9)),0)</f>
        <v>0.3624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Allocation'!R10,'Asset Allocation'!I10)),0)</f>
        <v>0.1142</v>
      </c>
      <c r="C10" s="6">
        <f>IFERROR(IF(A10="","",SUM('Asset Allocation'!P10)),0)</f>
        <v>3.9399999999999998E-2</v>
      </c>
      <c r="D10" s="6">
        <f>IFERROR(IF(A10="","",SUM('Asset Allocation'!O10,'Asset Allocation'!L10)),0)</f>
        <v>0.22869999999999999</v>
      </c>
      <c r="E10" s="6">
        <f>IFERROR(IF(A10="","",SUM('Asset Allocation'!Q10)),0)</f>
        <v>2.6000000000000002E-2</v>
      </c>
      <c r="F10" s="6">
        <f>IFERROR(IF(A10="","",SUM('Asset Allocation'!N10,'Asset Allocation'!K10)),0)</f>
        <v>0.51449999999999996</v>
      </c>
      <c r="G10" s="6">
        <f>IFERROR(IF(A10="","",SUM('Asset Allocation'!M10,'Asset Allocation'!J10,'Asset Allocation'!H10,'Asset Allocation'!S10)),0)</f>
        <v>0.35980000000000001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Allocation'!R11,'Asset Allocation'!I11)),0)</f>
        <v>0.13780000000000001</v>
      </c>
      <c r="C11" s="6">
        <f>IFERROR(IF(A11="","",SUM('Asset Allocation'!P11)),0)</f>
        <v>4.9500000000000002E-2</v>
      </c>
      <c r="D11" s="6">
        <f>IFERROR(IF(A11="","",SUM('Asset Allocation'!O11,'Asset Allocation'!L11)),0)</f>
        <v>0.16940000000000002</v>
      </c>
      <c r="E11" s="6">
        <f>IFERROR(IF(A11="","",SUM('Asset Allocation'!Q11)),0)</f>
        <v>2.0400000000000001E-2</v>
      </c>
      <c r="F11" s="6">
        <f>IFERROR(IF(A11="","",SUM('Asset Allocation'!N11,'Asset Allocation'!K11)),0)</f>
        <v>0.5444</v>
      </c>
      <c r="G11" s="6">
        <f>IFERROR(IF(A11="","",SUM('Asset Allocation'!M11,'Asset Allocation'!J11,'Asset Allocation'!H11,'Asset Allocation'!S11)),0)</f>
        <v>0.32319999999999999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Allocation'!R12,'Asset Allocation'!I12)),0)</f>
        <v>0.1628</v>
      </c>
      <c r="C12" s="6">
        <f>IFERROR(IF(A12="","",SUM('Asset Allocation'!P12)),0)</f>
        <v>6.3399999999999998E-2</v>
      </c>
      <c r="D12" s="6">
        <f>IFERROR(IF(A12="","",SUM('Asset Allocation'!O12,'Asset Allocation'!L12)),0)</f>
        <v>0.13579999999999998</v>
      </c>
      <c r="E12" s="6">
        <f>IFERROR(IF(A12="","",SUM('Asset Allocation'!Q12)),0)</f>
        <v>2.46E-2</v>
      </c>
      <c r="F12" s="6">
        <f>IFERROR(IF(A12="","",SUM('Asset Allocation'!N12,'Asset Allocation'!K12)),0)</f>
        <v>0.5383</v>
      </c>
      <c r="G12" s="6">
        <f>IFERROR(IF(A12="","",SUM('Asset Allocation'!M12,'Asset Allocation'!J12,'Asset Allocation'!H12,'Asset Allocation'!S12)),0)</f>
        <v>0.31009999999999999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Allocation'!R13,'Asset Allocation'!I13)),0)</f>
        <v>0.1066</v>
      </c>
      <c r="C13" s="6">
        <f>IFERROR(IF(A13="","",SUM('Asset Allocation'!P13)),0)</f>
        <v>1.9099999999999999E-2</v>
      </c>
      <c r="D13" s="6">
        <f>IFERROR(IF(A13="","",SUM('Asset Allocation'!O13,'Asset Allocation'!L13)),0)</f>
        <v>0.2576</v>
      </c>
      <c r="E13" s="6">
        <f>IFERROR(IF(A13="","",SUM('Asset Allocation'!Q13)),0)</f>
        <v>2.9500000000000002E-2</v>
      </c>
      <c r="F13" s="6">
        <f>IFERROR(IF(A13="","",SUM('Asset Allocation'!N13,'Asset Allocation'!K13)),0)</f>
        <v>0.53400000000000003</v>
      </c>
      <c r="G13" s="6">
        <f>IFERROR(IF(A13="","",SUM('Asset Allocation'!M13,'Asset Allocation'!J13,'Asset Allocation'!H13,'Asset Allocation'!S13)),0)</f>
        <v>0.35809999999999997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Allocation'!R14,'Asset Allocation'!I14)),0)</f>
        <v>0.13800000000000001</v>
      </c>
      <c r="C14" s="6">
        <f>IFERROR(IF(A14="","",SUM('Asset Allocation'!P14)),0)</f>
        <v>5.16E-2</v>
      </c>
      <c r="D14" s="6">
        <f>IFERROR(IF(A14="","",SUM('Asset Allocation'!O14,'Asset Allocation'!L14)),0)</f>
        <v>0.1767</v>
      </c>
      <c r="E14" s="6">
        <f>IFERROR(IF(A14="","",SUM('Asset Allocation'!Q14)),0)</f>
        <v>0.02</v>
      </c>
      <c r="F14" s="6">
        <f>IFERROR(IF(A14="","",SUM('Asset Allocation'!N14,'Asset Allocation'!K14)),0)</f>
        <v>0.56780000000000008</v>
      </c>
      <c r="G14" s="6">
        <f>IFERROR(IF(A14="","",SUM('Asset Allocation'!M14,'Asset Allocation'!J14,'Asset Allocation'!H14,'Asset Allocation'!S14)),0)</f>
        <v>0.31689999999999996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Allocation'!R15,'Asset Allocation'!I15)),0)</f>
        <v>0.17750000000000002</v>
      </c>
      <c r="C15" s="6">
        <f>IFERROR(IF(A15="","",SUM('Asset Allocation'!P15)),0)</f>
        <v>7.1900000000000006E-2</v>
      </c>
      <c r="D15" s="6">
        <f>IFERROR(IF(A15="","",SUM('Asset Allocation'!O15,'Asset Allocation'!L15)),0)</f>
        <v>0.1275</v>
      </c>
      <c r="E15" s="6">
        <f>IFERROR(IF(A15="","",SUM('Asset Allocation'!Q15)),0)</f>
        <v>2.76E-2</v>
      </c>
      <c r="F15" s="6">
        <f>IFERROR(IF(A15="","",SUM('Asset Allocation'!N15,'Asset Allocation'!K15)),0)</f>
        <v>0.56510000000000005</v>
      </c>
      <c r="G15" s="6">
        <f>IFERROR(IF(A15="","",SUM('Asset Allocation'!M15,'Asset Allocation'!J15,'Asset Allocation'!H15,'Asset Allocation'!S15)),0)</f>
        <v>0.30489999999999995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Allocation'!R16,'Asset Allocation'!I16)),0)</f>
        <v>0.10119999999999998</v>
      </c>
      <c r="C16" s="6">
        <f>IFERROR(IF(A16="","",SUM('Asset Allocation'!P16)),0)</f>
        <v>1.7399999999999999E-2</v>
      </c>
      <c r="D16" s="6">
        <f>IFERROR(IF(A16="","",SUM('Asset Allocation'!O16,'Asset Allocation'!L16)),0)</f>
        <v>0.2369</v>
      </c>
      <c r="E16" s="6">
        <f>IFERROR(IF(A16="","",SUM('Asset Allocation'!Q16)),0)</f>
        <v>0</v>
      </c>
      <c r="F16" s="6">
        <f>IFERROR(IF(A16="","",SUM('Asset Allocation'!N16,'Asset Allocation'!K16)),0)</f>
        <v>0.40239999999999998</v>
      </c>
      <c r="G16" s="6">
        <f>IFERROR(IF(A16="","",SUM('Asset Allocation'!M16,'Asset Allocation'!J16,'Asset Allocation'!H16,'Asset Allocation'!S16)),0)</f>
        <v>0.49409999999999998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2023-11-08T17:23:14Z</dcterms:modified>
</cp:coreProperties>
</file>