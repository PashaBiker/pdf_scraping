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BlackRock\"/>
    </mc:Choice>
  </mc:AlternateContent>
  <bookViews>
    <workbookView xWindow="-105" yWindow="-105" windowWidth="19425" windowHeight="1102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<sst xmlns="http://schemas.openxmlformats.org/spreadsheetml/2006/main" count="107" uniqueCount="99">
  <si>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</si>
  <si>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</si>
  <si>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</si>
  <si>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</si>
  <si>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</si>
  <si>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</si>
  <si>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</si>
  <si>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</si>
  <si>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</si>
  <si>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</si>
  <si>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</si>
  <si>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</si>
  <si>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</si>
  <si>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</si>
  <si>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</si>
  <si>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</si>
  <si>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</si>
  <si>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</si>
  <si>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</si>
  <si>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</si>
  <si>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</si>
  <si>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</si>
  <si>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</si>
  <si>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</si>
  <si>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</si>
  <si>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</si>
  <si>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</si>
  <si>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</si>
  <si>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</si>
  <si>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</si>
  <si>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</si>
  <si>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</si>
  <si>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</si>
  <si>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</si>
  <si>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</si>
  <si>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</si>
  <si>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</si>
  <si>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</si>
  <si>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</si>
  <si>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</si>
  <si>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</si>
  <si>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</si>
  <si>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</si>
  <si>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</si>
  <si>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</si>
  <si>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</si>
  <si>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</si>
  <si>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</si>
  <si>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</si>
  <si>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</si>
  <si>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</si>
  <si>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</si>
  <si>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</si>
  <si>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</si>
  <si>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</si>
  <si>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</si>
  <si>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</si>
  <si>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</si>
  <si>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</si>
  <si>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</si>
  <si>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</si>
  <si>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</si>
  <si>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</si>
  <si>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</si>
  <si>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</si>
  <si>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</si>
  <si>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</si>
  <si>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</si>
  <si>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</si>
  <si>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</si>
  <si>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</si>
  <si>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</si>
  <si>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</si>
  <si>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</si>
  <si>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Latin America</t>
  </si>
  <si>
    <t>World</t>
  </si>
  <si>
    <t>Africa</t>
  </si>
  <si>
    <t>China</t>
  </si>
  <si>
    <t>Germany</t>
  </si>
  <si>
    <t>France</t>
  </si>
  <si>
    <t>Canada</t>
  </si>
  <si>
    <t>Switzerland</t>
  </si>
  <si>
    <t>Australia</t>
  </si>
  <si>
    <t>Supranational</t>
  </si>
  <si>
    <t>Net Derivatives</t>
  </si>
  <si>
    <t>Netherlands</t>
  </si>
  <si>
    <t>Spain</t>
  </si>
  <si>
    <t>Ireland</t>
  </si>
  <si>
    <t>Taiwan</t>
  </si>
  <si>
    <t>India</t>
  </si>
  <si>
    <t>Denmark</t>
  </si>
  <si>
    <t>European Union</t>
  </si>
  <si>
    <t>Hong Kong</t>
  </si>
  <si>
    <t>Pacific Basin ex Japan</t>
  </si>
  <si>
    <t>Other Regions</t>
  </si>
  <si>
    <t>Other Countries</t>
  </si>
  <si>
    <t>Other Assets</t>
  </si>
  <si>
    <t>3yr</t>
  </si>
  <si>
    <t>5yr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</si>
</sst>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14" fontId="2" fillId="2" borderId="0" xfId="0" applyNumberFormat="1" applyFont="1" applyFill="1"/>
    <xf numFmtId="0" fontId="2" fillId="0" borderId="0" xfId="0" applyFont="1"/>
    <xf numFmtId="0" fontId="3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6" fillId="0" borderId="0" xfId="0" applyFont="1"/>
    <xf numFmtId="0" fontId="1" fillId="0" borderId="0" xfId="0" applyFont="1"/>
    <xf numFmtId="0" fontId="0" fillId="3" borderId="0" xfId="0" applyFill="1"/>
    <xf numFmtId="14" fontId="0" fillId="3" borderId="0" xfId="0" applyNumberFormat="1" applyFill="1"/>
    <xf numFmtId="10" fontId="0" fillId="3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T17" sqref="T17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A3" s="9" t="s">
        <v>62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7"/>
  <sheetViews>
    <sheetView workbookViewId="0">
      <selection activeCell="B11" sqref="B11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30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25">
      <c r="A4" t="s">
        <v>31</v>
      </c>
      <c r="B4" t="str">
        <f>'PDF Scraping'!B3</f>
        <v>https://www.blackrock.com/uk/individual/products/230295/blackrock-consensus-100-fund-a-acc-fund</v>
      </c>
      <c r="J4" s="4"/>
    </row>
    <row r="5" spans="1:10" x14ac:dyDescent="0.25">
      <c r="A5" t="s">
        <v>32</v>
      </c>
      <c r="B5" t="str">
        <f>'PDF Scraping'!B4</f>
        <v>https://www.blackrock.com/uk/individual/products/230297/blackrock-consensus-35-fund-a-acc-fund</v>
      </c>
    </row>
    <row r="6" spans="1:10" x14ac:dyDescent="0.25">
      <c r="A6" t="s">
        <v>33</v>
      </c>
      <c r="B6" t="str">
        <f>'PDF Scraping'!B5</f>
        <v>https://www.blackrock.com/uk/individual/products/230299/</v>
      </c>
    </row>
    <row r="7" spans="1:10" x14ac:dyDescent="0.25">
      <c r="A7" t="s">
        <v>34</v>
      </c>
      <c r="B7" t="str">
        <f>'PDF Scraping'!B6</f>
        <v>https://www.blackrock.com/uk/individual/products/230301/blackrock-consensus-70-fund-a-acc-fund</v>
      </c>
    </row>
    <row r="8" spans="1:10" x14ac:dyDescent="0.25">
      <c r="A8" t="s">
        <v>31</v>
      </c>
      <c r="B8" t="str">
        <f>'PDF Scraping'!B7</f>
        <v>https://www.blackrock.com/uk/individual/products/260985/blackrock-consensus-100-fund-i-accum-class-fund</v>
      </c>
    </row>
    <row r="9" spans="1:10" x14ac:dyDescent="0.25">
      <c r="A9" t="s">
        <v>35</v>
      </c>
      <c r="B9" t="str">
        <f>'PDF Scraping'!B8</f>
        <v>https://www.blackrock.com/uk/individual/products/295873/blackrock-pension-growth-fund</v>
      </c>
    </row>
    <row r="10" spans="1:10" x14ac:dyDescent="0.25">
      <c r="A10" t="s">
        <v>46</v>
      </c>
      <c r="B10" t="str">
        <f>'PDF Scraping'!B9</f>
        <v>https://www.blackrock.com/uk/individual/products/308786/mymap-3</v>
      </c>
    </row>
    <row r="11" spans="1:10" x14ac:dyDescent="0.25">
      <c r="A11" t="s">
        <v>47</v>
      </c>
      <c r="B11" t="str">
        <f>'PDF Scraping'!B10</f>
        <v>https://www.blackrock.com/uk/individual/products/308803/mymap-4</v>
      </c>
    </row>
    <row r="12" spans="1:10" x14ac:dyDescent="0.25">
      <c r="A12" t="s">
        <v>48</v>
      </c>
      <c r="B12" t="str">
        <f>'PDF Scraping'!B11</f>
        <v>https://www.blackrock.com/uk/individual/products/308808/mymap-5</v>
      </c>
    </row>
    <row r="13" spans="1:10" x14ac:dyDescent="0.25">
      <c r="A13" t="s">
        <v>49</v>
      </c>
      <c r="B13" t="str">
        <f>'PDF Scraping'!B12</f>
        <v>https://www.blackrock.com/uk/individual/products/308823/mymap-6</v>
      </c>
    </row>
    <row r="14" spans="1:10" x14ac:dyDescent="0.25">
      <c r="A14" t="s">
        <v>50</v>
      </c>
      <c r="B14" t="str">
        <f>'PDF Scraping'!B13</f>
        <v>https://www.blackrock.com/uk/individual/products/326258/mymap-3-select-esg-fund</v>
      </c>
    </row>
    <row r="15" spans="1:10" x14ac:dyDescent="0.25">
      <c r="A15" t="s">
        <v>52</v>
      </c>
      <c r="B15" t="str">
        <f>'PDF Scraping'!B14</f>
        <v>https://www.blackrock.com/uk/individual/products/308822/mymap-5-select-esg-fund</v>
      </c>
    </row>
    <row r="16" spans="1:10" x14ac:dyDescent="0.25">
      <c r="A16" t="s">
        <v>53</v>
      </c>
      <c r="B16" t="str">
        <f>'PDF Scraping'!B15</f>
        <v>https://www.blackrock.com/uk/individual/products/326256/</v>
      </c>
    </row>
    <row r="17" spans="1:2" x14ac:dyDescent="0.25">
      <c r="A17" t="s">
        <v>51</v>
      </c>
      <c r="B17" t="str">
        <f>'PDF Scraping'!B16</f>
        <v>https://www.blackrock.com/uk/individual/products/319696/mymap-4-select-income-fund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E2" sqref="E2:H16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8" x14ac:dyDescent="0.25">
      <c r="B1" t="s">
        <v>24</v>
      </c>
      <c r="C1" t="s">
        <v>63</v>
      </c>
      <c r="D1" t="s">
        <v>64</v>
      </c>
      <c r="E1" t="s">
        <v>65</v>
      </c>
      <c r="F1" t="s">
        <v>66</v>
      </c>
      <c r="G1" t="s">
        <v>97</v>
      </c>
      <c r="H1" t="s">
        <v>98</v>
      </c>
    </row>
    <row r="2" spans="1:8" x14ac:dyDescent="0.25">
      <c r="A2" t="str">
        <f>IF(Input!A3="","",Input!A3)</f>
        <v>BlackRock Consensus 85 Fund</v>
      </c>
      <c r="B2" s="1">
        <v>45230</v>
      </c>
      <c r="C2" s="5">
        <v>2.2000000000000001E-3</v>
      </c>
      <c r="D2" s="5">
        <v>0</v>
      </c>
      <c r="E2" s="5">
        <v>-2.3599999999999999E-2</v>
      </c>
      <c r="F2" s="5">
        <v>4.6699999999999998E-2</v>
      </c>
      <c r="G2" s="5">
        <v>0.17850000000000002</v>
      </c>
      <c r="H2" s="5">
        <v>0.24640000000000001</v>
      </c>
    </row>
    <row r="3" spans="1:8" x14ac:dyDescent="0.25">
      <c r="A3" t="str">
        <f>IF(Input!A4="","",Input!A4)</f>
        <v>BlackRock Consensus 100</v>
      </c>
      <c r="B3" s="1">
        <v>45230</v>
      </c>
      <c r="C3" s="5">
        <v>2.2000000000000001E-3</v>
      </c>
      <c r="D3" s="5">
        <v>0</v>
      </c>
      <c r="E3" s="5">
        <v>-2.86E-2</v>
      </c>
      <c r="F3" s="5">
        <v>5.5E-2</v>
      </c>
      <c r="G3" s="5">
        <v>0.32919999999999999</v>
      </c>
      <c r="H3" s="5">
        <v>0.48899999999999999</v>
      </c>
    </row>
    <row r="4" spans="1:8" x14ac:dyDescent="0.25">
      <c r="A4" t="str">
        <f>IF(Input!A5="","",Input!A5)</f>
        <v>BlackRock Consensus 35</v>
      </c>
      <c r="B4" s="1">
        <v>45230</v>
      </c>
      <c r="C4" s="5">
        <v>6.1999999999999998E-3</v>
      </c>
      <c r="D4" s="5">
        <v>0</v>
      </c>
      <c r="E4" s="5">
        <v>-1.0800000000000001E-2</v>
      </c>
      <c r="F4" s="5">
        <v>9.7999999999999997E-3</v>
      </c>
      <c r="G4" s="5">
        <v>7.1599999999999997E-2</v>
      </c>
      <c r="H4" s="5">
        <v>1.6899999999999998E-2</v>
      </c>
    </row>
    <row r="5" spans="1:8" x14ac:dyDescent="0.25">
      <c r="A5" t="str">
        <f>IF(Input!A6="","",Input!A6)</f>
        <v>BlackRock Consensus 60</v>
      </c>
      <c r="B5" s="1">
        <v>45230</v>
      </c>
      <c r="C5" s="5">
        <v>6.1999999999999998E-3</v>
      </c>
      <c r="D5" s="5">
        <v>0</v>
      </c>
      <c r="E5" s="5">
        <v>-1.6799999999999999E-2</v>
      </c>
      <c r="F5" s="5">
        <v>2.6699999999999998E-2</v>
      </c>
      <c r="G5" s="5">
        <v>3.44E-2</v>
      </c>
      <c r="H5" s="5">
        <v>9.1799999999999993E-2</v>
      </c>
    </row>
    <row r="6" spans="1:8" x14ac:dyDescent="0.25">
      <c r="A6" t="str">
        <f>IF(Input!A7="","",Input!A7)</f>
        <v>BlackRock Consensus 70</v>
      </c>
      <c r="B6" s="1">
        <v>45230</v>
      </c>
      <c r="C6" s="5">
        <v>6.1999999999999998E-3</v>
      </c>
      <c r="D6" s="5">
        <v>0</v>
      </c>
      <c r="E6" s="5">
        <v>-1.9699999999999999E-2</v>
      </c>
      <c r="F6" s="5">
        <v>3.27E-2</v>
      </c>
      <c r="G6" s="5">
        <v>8.5800000000000001E-2</v>
      </c>
      <c r="H6" s="5">
        <v>0.14529999999999998</v>
      </c>
    </row>
    <row r="7" spans="1:8" x14ac:dyDescent="0.25">
      <c r="A7" t="str">
        <f>IF(Input!A8="","",Input!A8)</f>
        <v>BlackRock Consensus 100</v>
      </c>
      <c r="B7" s="1">
        <v>45230</v>
      </c>
      <c r="C7" s="5">
        <v>2.2000000000000001E-3</v>
      </c>
      <c r="D7" s="5">
        <v>0</v>
      </c>
      <c r="E7" s="5">
        <v>-2.86E-2</v>
      </c>
      <c r="F7" s="5">
        <v>5.5E-2</v>
      </c>
      <c r="G7" s="5">
        <v>0.32919999999999999</v>
      </c>
      <c r="H7" s="5">
        <v>0.48899999999999999</v>
      </c>
    </row>
    <row r="8" spans="1:8" x14ac:dyDescent="0.25">
      <c r="A8" t="str">
        <f>IF(Input!A9="","",Input!A9)</f>
        <v>BlackRock Pension Growth Fund</v>
      </c>
      <c r="B8" s="1">
        <v>45230</v>
      </c>
      <c r="C8" s="5">
        <v>2.0000000000000001E-4</v>
      </c>
      <c r="D8" s="5">
        <v>0</v>
      </c>
      <c r="E8" s="5">
        <v>-2.3900000000000001E-2</v>
      </c>
      <c r="F8" s="5">
        <v>5.0499999999999996E-2</v>
      </c>
      <c r="G8" s="5">
        <v>0.13639999999999999</v>
      </c>
      <c r="H8" s="5">
        <v>0.28570000000000001</v>
      </c>
    </row>
    <row r="9" spans="1:8" x14ac:dyDescent="0.25">
      <c r="A9" s="11" t="str">
        <f>IF(Input!A10="","",Input!A10)</f>
        <v>MyMap 3</v>
      </c>
      <c r="B9" s="12">
        <v>45199</v>
      </c>
      <c r="C9" s="13">
        <v>1.7000000000000001E-3</v>
      </c>
      <c r="D9" s="13">
        <v>1.1999999999999999E-3</v>
      </c>
      <c r="E9" s="13">
        <v>-1.26E-2</v>
      </c>
      <c r="F9" s="13">
        <v>2.29E-2</v>
      </c>
      <c r="G9" s="5">
        <v>5.1799999999999999E-2</v>
      </c>
    </row>
    <row r="10" spans="1:8" x14ac:dyDescent="0.25">
      <c r="A10" s="11" t="str">
        <f>IF(Input!A11="","",Input!A11)</f>
        <v>MyMap 4</v>
      </c>
      <c r="B10" s="12">
        <v>45199</v>
      </c>
      <c r="C10" s="13">
        <v>1.7000000000000001E-3</v>
      </c>
      <c r="D10" s="13">
        <v>1.1999999999999999E-3</v>
      </c>
      <c r="E10" s="13">
        <v>-1.4800000000000001E-2</v>
      </c>
      <c r="F10" s="13">
        <v>4.9299999999999997E-2</v>
      </c>
      <c r="G10" s="5">
        <v>1.9199999999999998E-2</v>
      </c>
    </row>
    <row r="11" spans="1:8" x14ac:dyDescent="0.25">
      <c r="A11" s="11" t="str">
        <f>IF(Input!A12="","",Input!A12)</f>
        <v>MyMap 5</v>
      </c>
      <c r="B11" s="12">
        <v>45199</v>
      </c>
      <c r="C11" s="13">
        <v>1.7000000000000001E-3</v>
      </c>
      <c r="D11" s="13">
        <v>1.1999999999999999E-3</v>
      </c>
      <c r="E11" s="13">
        <v>-1.55E-2</v>
      </c>
      <c r="F11" s="13">
        <v>6.6600000000000006E-2</v>
      </c>
      <c r="G11" s="5">
        <v>9.2300000000000007E-2</v>
      </c>
    </row>
    <row r="12" spans="1:8" x14ac:dyDescent="0.25">
      <c r="A12" s="11" t="str">
        <f>IF(Input!A13="","",Input!A13)</f>
        <v>MyMap 6</v>
      </c>
      <c r="B12" s="12">
        <v>45199</v>
      </c>
      <c r="C12" s="13">
        <v>1.7000000000000001E-3</v>
      </c>
      <c r="D12" s="13">
        <v>1.1999999999999999E-3</v>
      </c>
      <c r="E12" s="13">
        <v>-1.5600000000000001E-2</v>
      </c>
      <c r="F12" s="13">
        <v>7.9100000000000004E-2</v>
      </c>
      <c r="G12" s="5">
        <v>0.156</v>
      </c>
    </row>
    <row r="13" spans="1:8" x14ac:dyDescent="0.25">
      <c r="A13" s="11" t="str">
        <f>IF(Input!A14="","",Input!A14)</f>
        <v>MyMap 3 Select ESG Fund</v>
      </c>
      <c r="B13" s="12">
        <v>45199</v>
      </c>
      <c r="C13" s="13">
        <v>1.7000000000000001E-3</v>
      </c>
      <c r="D13" s="13">
        <v>1.1999999999999999E-3</v>
      </c>
      <c r="E13" s="13">
        <v>-1.3500000000000002E-2</v>
      </c>
      <c r="F13" s="13">
        <v>2.07E-2</v>
      </c>
    </row>
    <row r="14" spans="1:8" x14ac:dyDescent="0.25">
      <c r="A14" s="11" t="str">
        <f>IF(Input!A15="","",Input!A15)</f>
        <v>MyMap 5 Select ESG Fund</v>
      </c>
      <c r="B14" s="12">
        <v>45199</v>
      </c>
      <c r="C14" s="13">
        <v>1.7000000000000001E-3</v>
      </c>
      <c r="D14" s="13">
        <v>1.1999999999999999E-3</v>
      </c>
      <c r="E14" s="13">
        <v>-1.5100000000000001E-2</v>
      </c>
      <c r="F14" s="13">
        <v>6.480000000000001E-2</v>
      </c>
      <c r="G14" s="5">
        <v>9.1799999999999993E-2</v>
      </c>
    </row>
    <row r="15" spans="1:8" x14ac:dyDescent="0.25">
      <c r="A15" s="11" t="str">
        <f>IF(Input!A16="","",Input!A16)</f>
        <v>MyMap 7 Select ESG Fund</v>
      </c>
      <c r="B15" s="12">
        <v>45199</v>
      </c>
      <c r="C15" s="13">
        <v>1.7000000000000001E-3</v>
      </c>
      <c r="D15" s="13">
        <v>1.1999999999999999E-3</v>
      </c>
      <c r="E15" s="13">
        <v>-1.4800000000000001E-2</v>
      </c>
      <c r="F15" s="13">
        <v>0.10099999999999999</v>
      </c>
    </row>
    <row r="16" spans="1:8" x14ac:dyDescent="0.25">
      <c r="A16" s="11" t="str">
        <f>IF(Input!A17="","",Input!A17)</f>
        <v>MyMap 4 Select Income Fund</v>
      </c>
      <c r="B16" s="12">
        <v>45199</v>
      </c>
      <c r="C16" s="13">
        <v>2.8000000000000004E-3</v>
      </c>
      <c r="D16" s="13">
        <v>2.3E-3</v>
      </c>
      <c r="E16" s="13">
        <v>-4.7999999999999996E-3</v>
      </c>
      <c r="F16" s="13">
        <v>7.400000000000001E-2</v>
      </c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K50"/>
  <sheetViews>
    <sheetView zoomScaleNormal="100" workbookViewId="0">
      <selection activeCell="E13" sqref="E13"/>
    </sheetView>
  </sheetViews>
  <sheetFormatPr defaultRowHeight="15" x14ac:dyDescent="0.25"/>
  <cols>
    <col min="1" max="1" width="29.85546875" bestFit="1" customWidth="1"/>
    <col min="2" max="2" width="16.42578125" bestFit="1" customWidth="1"/>
    <col min="3" max="3" width="10.85546875" bestFit="1" customWidth="1"/>
    <col min="4" max="4" width="11.85546875" bestFit="1" customWidth="1"/>
    <col min="5" max="5" width="11.85546875" customWidth="1"/>
    <col min="6" max="6" width="22.42578125" bestFit="1" customWidth="1"/>
    <col min="7" max="7" width="14" bestFit="1" customWidth="1"/>
    <col min="8" max="8" width="7.28515625" bestFit="1" customWidth="1"/>
    <col min="9" max="9" width="10.85546875" bestFit="1" customWidth="1"/>
    <col min="10" max="10" width="13.140625" bestFit="1" customWidth="1"/>
    <col min="11" max="11" width="6.42578125" bestFit="1" customWidth="1"/>
    <col min="12" max="12" width="6.140625" bestFit="1" customWidth="1"/>
    <col min="13" max="13" width="13.7109375" style="14" bestFit="1" customWidth="1"/>
    <col min="14" max="14" width="12.85546875" bestFit="1" customWidth="1"/>
    <col min="15" max="15" width="15.42578125" bestFit="1" customWidth="1"/>
    <col min="16" max="17" width="6.140625" bestFit="1" customWidth="1"/>
    <col min="18" max="18" width="9" bestFit="1" customWidth="1"/>
    <col min="19" max="19" width="6.85546875" bestFit="1" customWidth="1"/>
    <col min="20" max="20" width="7.42578125" bestFit="1" customWidth="1"/>
    <col min="21" max="21" width="11.42578125" bestFit="1" customWidth="1"/>
    <col min="22" max="22" width="8.85546875" bestFit="1" customWidth="1"/>
    <col min="23" max="23" width="13.42578125" bestFit="1" customWidth="1"/>
    <col min="24" max="24" width="14.85546875" bestFit="1" customWidth="1"/>
    <col min="25" max="25" width="6.140625" bestFit="1" customWidth="1"/>
    <col min="26" max="26" width="15" bestFit="1" customWidth="1"/>
    <col min="27" max="27" width="12" bestFit="1" customWidth="1"/>
    <col min="28" max="28" width="6.140625" bestFit="1" customWidth="1"/>
    <col min="29" max="30" width="7.28515625" bestFit="1" customWidth="1"/>
    <col min="31" max="31" width="6.140625" bestFit="1" customWidth="1"/>
    <col min="32" max="32" width="9" bestFit="1" customWidth="1"/>
    <col min="33" max="33" width="15.28515625" bestFit="1" customWidth="1"/>
    <col min="34" max="34" width="10.42578125" bestFit="1" customWidth="1"/>
    <col min="35" max="35" width="17" bestFit="1" customWidth="1"/>
    <col min="36" max="36" width="20.140625" bestFit="1" customWidth="1"/>
    <col min="37" max="37" width="14" bestFit="1" customWidth="1"/>
  </cols>
  <sheetData>
    <row r="1" spans="1:37" x14ac:dyDescent="0.25">
      <c r="B1" t="s">
        <v>67</v>
      </c>
      <c r="C1" t="s">
        <v>68</v>
      </c>
      <c r="D1" t="s">
        <v>69</v>
      </c>
      <c r="E1" t="s">
        <v>96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s="14" t="s">
        <v>94</v>
      </c>
      <c r="N1" t="s">
        <v>7</v>
      </c>
      <c r="O1" t="s">
        <v>8</v>
      </c>
      <c r="P1" t="s">
        <v>5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4</v>
      </c>
      <c r="Z1" t="s">
        <v>95</v>
      </c>
      <c r="AA1" t="s">
        <v>85</v>
      </c>
      <c r="AB1" t="s">
        <v>86</v>
      </c>
      <c r="AC1" t="s">
        <v>87</v>
      </c>
      <c r="AD1" t="s">
        <v>88</v>
      </c>
      <c r="AE1" t="s">
        <v>89</v>
      </c>
      <c r="AF1" t="s">
        <v>90</v>
      </c>
      <c r="AG1" t="s">
        <v>91</v>
      </c>
      <c r="AH1" t="s">
        <v>92</v>
      </c>
      <c r="AI1" t="s">
        <v>9</v>
      </c>
      <c r="AJ1" t="s">
        <v>93</v>
      </c>
    </row>
    <row r="2" spans="1:37" x14ac:dyDescent="0.2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1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G2" s="5"/>
    </row>
    <row r="3" spans="1:37" x14ac:dyDescent="0.2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1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G3" s="5"/>
    </row>
    <row r="4" spans="1:37" x14ac:dyDescent="0.2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1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G4" s="5"/>
    </row>
    <row r="5" spans="1:37" x14ac:dyDescent="0.2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1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G5" s="5"/>
    </row>
    <row r="6" spans="1:37" x14ac:dyDescent="0.2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1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G6" s="5"/>
    </row>
    <row r="7" spans="1:37" x14ac:dyDescent="0.2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E7" s="5"/>
      <c r="AG7" s="5"/>
    </row>
    <row r="8" spans="1:37" x14ac:dyDescent="0.25">
      <c r="A8" t="str">
        <f>IF(Input!A9="","",Input!A9)</f>
        <v>BlackRock Pension Growth Fund</v>
      </c>
      <c r="B8" s="5">
        <v>0.27729999999999999</v>
      </c>
      <c r="C8" s="5">
        <v>0.70900000000000007</v>
      </c>
      <c r="D8" s="5">
        <v>5.9999999999999995E-4</v>
      </c>
      <c r="E8" s="5">
        <v>2E-3</v>
      </c>
      <c r="F8" s="5"/>
      <c r="G8" s="5">
        <v>0.49540000000000001</v>
      </c>
      <c r="H8" s="5">
        <v>0.1462</v>
      </c>
      <c r="I8" s="5"/>
      <c r="J8" s="5"/>
      <c r="K8" s="5">
        <v>1E-4</v>
      </c>
      <c r="L8" s="5"/>
      <c r="M8" s="15">
        <v>1E-4</v>
      </c>
      <c r="N8" s="5"/>
      <c r="O8" s="5">
        <v>0.23399999999999999</v>
      </c>
      <c r="P8" s="5">
        <v>7.0000000000000007E-2</v>
      </c>
      <c r="Q8" s="5"/>
      <c r="R8" s="5"/>
      <c r="S8" s="5"/>
      <c r="T8" s="5"/>
      <c r="U8" s="5"/>
      <c r="V8" s="5"/>
      <c r="W8" s="5"/>
      <c r="X8" s="5"/>
      <c r="Y8" s="5">
        <v>1.11E-2</v>
      </c>
      <c r="Z8" s="5"/>
      <c r="AG8" s="5"/>
      <c r="AI8" s="5">
        <v>3.1800000000000002E-2</v>
      </c>
      <c r="AJ8" s="5">
        <v>1.1200000000000002E-2</v>
      </c>
      <c r="AK8" s="5"/>
    </row>
    <row r="9" spans="1:37" x14ac:dyDescent="0.25">
      <c r="A9" t="str">
        <f>IF(Input!A10="","",Input!A10)</f>
        <v>MyMap 3</v>
      </c>
      <c r="B9" s="5">
        <v>0.7853</v>
      </c>
      <c r="C9" s="5">
        <v>0.20190000000000002</v>
      </c>
      <c r="D9" s="5">
        <v>3.0200000000000001E-2</v>
      </c>
      <c r="E9" s="5"/>
      <c r="F9" s="5">
        <v>-1.7399999999999999E-2</v>
      </c>
      <c r="G9" s="5">
        <v>0.44900000000000001</v>
      </c>
      <c r="H9" s="5">
        <v>0.40920000000000001</v>
      </c>
      <c r="I9" s="5">
        <v>8.5299999999999987E-2</v>
      </c>
      <c r="J9" s="5">
        <v>1.6899999999999998E-2</v>
      </c>
      <c r="K9" s="5">
        <v>3.3500000000000002E-2</v>
      </c>
      <c r="L9" s="5">
        <v>5.8999999999999999E-3</v>
      </c>
      <c r="M9" s="15">
        <v>1E-4</v>
      </c>
      <c r="N9" s="5">
        <v>-5.91E-2</v>
      </c>
      <c r="O9" s="5">
        <v>0.8095</v>
      </c>
      <c r="P9" s="5">
        <v>1.6399999999999998E-2</v>
      </c>
      <c r="Q9" s="5">
        <v>3.1099999999999999E-2</v>
      </c>
      <c r="R9" s="5">
        <v>3.61E-2</v>
      </c>
      <c r="S9" s="5">
        <v>2.0499999999999997E-2</v>
      </c>
      <c r="T9" s="5">
        <v>3.6400000000000002E-2</v>
      </c>
      <c r="U9" s="5"/>
      <c r="V9" s="5">
        <v>1.5600000000000001E-2</v>
      </c>
      <c r="W9" s="5">
        <v>2.86E-2</v>
      </c>
      <c r="X9" s="5">
        <v>-1.06E-2</v>
      </c>
      <c r="Y9" s="5">
        <v>1.7299999999999999E-2</v>
      </c>
      <c r="Z9" s="5">
        <v>0.1116</v>
      </c>
      <c r="AG9" s="5">
        <v>-5.45E-2</v>
      </c>
      <c r="AK9" s="5"/>
    </row>
    <row r="10" spans="1:37" x14ac:dyDescent="0.25">
      <c r="A10" t="str">
        <f>IF(Input!A11="","",Input!A11)</f>
        <v>MyMap 4</v>
      </c>
      <c r="B10" s="5">
        <v>0.51139999999999997</v>
      </c>
      <c r="C10" s="5">
        <v>0.47350000000000003</v>
      </c>
      <c r="D10" s="5">
        <v>3.04E-2</v>
      </c>
      <c r="E10" s="5"/>
      <c r="F10" s="5">
        <v>-1.5300000000000001E-2</v>
      </c>
      <c r="G10" s="5">
        <v>0.38090000000000002</v>
      </c>
      <c r="H10" s="5">
        <v>0.4632</v>
      </c>
      <c r="I10" s="5">
        <v>0.10150000000000001</v>
      </c>
      <c r="J10" s="5">
        <v>2.5600000000000001E-2</v>
      </c>
      <c r="K10" s="5">
        <v>1.9099999999999999E-2</v>
      </c>
      <c r="L10" s="5">
        <v>9.5999999999999992E-3</v>
      </c>
      <c r="M10" s="15">
        <v>2.0000000000000001E-4</v>
      </c>
      <c r="N10" s="5">
        <v>-7.1199999999999999E-2</v>
      </c>
      <c r="O10" s="5">
        <v>0.81730000000000003</v>
      </c>
      <c r="P10" s="5">
        <v>3.4700000000000002E-2</v>
      </c>
      <c r="Q10" s="5">
        <v>2.7200000000000002E-2</v>
      </c>
      <c r="R10" s="5">
        <v>2.46E-2</v>
      </c>
      <c r="S10" s="5">
        <v>2.1899999999999999E-2</v>
      </c>
      <c r="T10" s="5">
        <v>1.8200000000000001E-2</v>
      </c>
      <c r="U10" s="5">
        <v>1.5600000000000001E-2</v>
      </c>
      <c r="V10" s="5">
        <v>1.52E-2</v>
      </c>
      <c r="W10" s="5">
        <v>1.18E-2</v>
      </c>
      <c r="X10" s="5">
        <v>-1.7100000000000001E-2</v>
      </c>
      <c r="Y10" s="5">
        <v>2.1499999999999998E-2</v>
      </c>
      <c r="Z10" s="5">
        <v>0.1321</v>
      </c>
      <c r="AG10" s="5">
        <v>-5.1900000000000002E-2</v>
      </c>
      <c r="AK10" s="5"/>
    </row>
    <row r="11" spans="1:37" x14ac:dyDescent="0.25">
      <c r="A11" t="str">
        <f>IF(Input!A12="","",Input!A12)</f>
        <v>MyMap 5</v>
      </c>
      <c r="B11" s="5">
        <v>0.31240000000000001</v>
      </c>
      <c r="C11" s="5">
        <v>0.67019999999999991</v>
      </c>
      <c r="D11" s="5">
        <v>3.0299999999999997E-2</v>
      </c>
      <c r="E11" s="5"/>
      <c r="F11" s="5">
        <v>-1.29E-2</v>
      </c>
      <c r="G11" s="5">
        <v>0.45810000000000001</v>
      </c>
      <c r="H11" s="5">
        <v>0.37729999999999997</v>
      </c>
      <c r="I11" s="5">
        <v>0.124</v>
      </c>
      <c r="J11" s="5">
        <v>1.8600000000000002E-2</v>
      </c>
      <c r="K11" s="5">
        <v>1.43E-2</v>
      </c>
      <c r="L11" s="5">
        <v>7.7000000000000002E-3</v>
      </c>
      <c r="M11" s="15">
        <v>1E-4</v>
      </c>
      <c r="N11" s="5">
        <v>8.5800000000000001E-2</v>
      </c>
      <c r="O11" s="5">
        <v>0.65680000000000005</v>
      </c>
      <c r="P11" s="5">
        <v>4.8300000000000003E-2</v>
      </c>
      <c r="Q11" s="5">
        <v>2.06E-2</v>
      </c>
      <c r="R11" s="5">
        <v>2.86E-2</v>
      </c>
      <c r="S11" s="5">
        <v>3.2300000000000002E-2</v>
      </c>
      <c r="T11" s="5">
        <v>1.6200000000000003E-2</v>
      </c>
      <c r="U11" s="5">
        <v>1.32E-2</v>
      </c>
      <c r="V11" s="5">
        <v>1.8100000000000002E-2</v>
      </c>
      <c r="W11" s="5"/>
      <c r="X11" s="5">
        <v>-1.9E-2</v>
      </c>
      <c r="Y11" s="5">
        <v>2.2599999999999999E-2</v>
      </c>
      <c r="Z11" s="5">
        <v>0.12210000000000001</v>
      </c>
      <c r="AA11" s="5">
        <v>1.2699999999999999E-2</v>
      </c>
      <c r="AB11" s="5">
        <v>1.06E-2</v>
      </c>
      <c r="AG11" s="5">
        <v>-6.9500000000000006E-2</v>
      </c>
      <c r="AK11" s="5"/>
    </row>
    <row r="12" spans="1:37" x14ac:dyDescent="0.25">
      <c r="A12" t="str">
        <f>IF(Input!A13="","",Input!A13)</f>
        <v>MyMap 6</v>
      </c>
      <c r="B12" s="5">
        <v>0.1206</v>
      </c>
      <c r="C12" s="5">
        <v>0.85950000000000004</v>
      </c>
      <c r="D12" s="5">
        <v>3.04E-2</v>
      </c>
      <c r="E12" s="5"/>
      <c r="F12" s="5">
        <v>-1.04E-2</v>
      </c>
      <c r="G12" s="5">
        <v>0.376</v>
      </c>
      <c r="H12" s="5">
        <v>0.44520000000000004</v>
      </c>
      <c r="I12" s="5">
        <v>0.14710000000000001</v>
      </c>
      <c r="J12" s="5">
        <v>1.3899999999999999E-2</v>
      </c>
      <c r="K12" s="5">
        <v>1.1599999999999999E-2</v>
      </c>
      <c r="L12" s="5">
        <v>6.1999999999999998E-3</v>
      </c>
      <c r="M12" s="15">
        <v>1E-4</v>
      </c>
      <c r="N12" s="5">
        <v>7.7300000000000008E-2</v>
      </c>
      <c r="O12" s="5">
        <v>0.63670000000000004</v>
      </c>
      <c r="P12" s="5">
        <v>6.1500000000000006E-2</v>
      </c>
      <c r="Q12" s="5">
        <v>2.5000000000000001E-2</v>
      </c>
      <c r="R12" s="5">
        <v>2.7400000000000001E-2</v>
      </c>
      <c r="S12" s="5">
        <v>3.2799999999999996E-2</v>
      </c>
      <c r="T12" s="5">
        <v>1.43E-2</v>
      </c>
      <c r="U12" s="5">
        <v>1.5900000000000001E-2</v>
      </c>
      <c r="V12" s="5">
        <v>2.1000000000000001E-2</v>
      </c>
      <c r="W12" s="5"/>
      <c r="X12" s="5">
        <v>-2.4700000000000003E-2</v>
      </c>
      <c r="Y12" s="5">
        <v>2.7200000000000002E-2</v>
      </c>
      <c r="Z12" s="5">
        <v>0.1162</v>
      </c>
      <c r="AA12" s="5">
        <v>1.3500000000000002E-2</v>
      </c>
      <c r="AB12" s="5">
        <v>1.0500000000000001E-2</v>
      </c>
      <c r="AC12" s="5"/>
      <c r="AG12" s="5">
        <v>-5.5E-2</v>
      </c>
      <c r="AK12" s="5"/>
    </row>
    <row r="13" spans="1:37" x14ac:dyDescent="0.25">
      <c r="A13" t="str">
        <f>IF(Input!A14="","",Input!A14)</f>
        <v>MyMap 3 Select ESG Fund</v>
      </c>
      <c r="B13" s="5">
        <v>0.81510000000000005</v>
      </c>
      <c r="C13" s="5">
        <v>0.20199999999999999</v>
      </c>
      <c r="D13" s="5"/>
      <c r="E13" s="5"/>
      <c r="F13" s="5">
        <v>-1.7100000000000001E-2</v>
      </c>
      <c r="G13" s="5">
        <v>0.54079999999999995</v>
      </c>
      <c r="H13" s="5">
        <v>0.30829999999999996</v>
      </c>
      <c r="I13" s="5">
        <v>8.7799999999999989E-2</v>
      </c>
      <c r="J13" s="5">
        <v>1.7500000000000002E-2</v>
      </c>
      <c r="K13" s="5">
        <v>4.0099999999999997E-2</v>
      </c>
      <c r="L13" s="5">
        <v>5.3E-3</v>
      </c>
      <c r="M13" s="15">
        <v>1E-4</v>
      </c>
      <c r="N13" s="5">
        <v>1.7500000000000002E-2</v>
      </c>
      <c r="O13" s="5">
        <v>0.7097</v>
      </c>
      <c r="P13" s="5">
        <v>1.6899999999999998E-2</v>
      </c>
      <c r="Q13" s="5">
        <v>3.1300000000000001E-2</v>
      </c>
      <c r="R13" s="5">
        <v>4.1200000000000001E-2</v>
      </c>
      <c r="S13" s="5">
        <v>1.83E-2</v>
      </c>
      <c r="T13" s="5">
        <v>4.0999999999999995E-2</v>
      </c>
      <c r="U13" s="5"/>
      <c r="V13" s="5">
        <v>1.61E-2</v>
      </c>
      <c r="W13" s="5">
        <v>3.5000000000000003E-2</v>
      </c>
      <c r="X13" s="5">
        <v>-2.2000000000000001E-3</v>
      </c>
      <c r="Y13" s="5">
        <v>1.04E-2</v>
      </c>
      <c r="Z13" s="5">
        <v>0.1168</v>
      </c>
      <c r="AG13" s="5">
        <v>-5.2499999999999998E-2</v>
      </c>
      <c r="AK13" s="5"/>
    </row>
    <row r="14" spans="1:37" x14ac:dyDescent="0.25">
      <c r="A14" t="str">
        <f>IF(Input!A15="","",Input!A15)</f>
        <v>MyMap 5 Select ESG Fund</v>
      </c>
      <c r="B14" s="5">
        <v>0.34340000000000004</v>
      </c>
      <c r="C14" s="5">
        <v>0.67079999999999995</v>
      </c>
      <c r="D14" s="5"/>
      <c r="E14" s="5"/>
      <c r="F14" s="5">
        <v>-1.4199999999999999E-2</v>
      </c>
      <c r="G14" s="5">
        <v>0.57640000000000002</v>
      </c>
      <c r="H14" s="5">
        <v>0.26090000000000002</v>
      </c>
      <c r="I14" s="5">
        <v>0.12039999999999999</v>
      </c>
      <c r="J14" s="5">
        <v>1.89E-2</v>
      </c>
      <c r="K14" s="5">
        <v>1.7100000000000001E-2</v>
      </c>
      <c r="L14" s="5">
        <v>6.0999999999999995E-3</v>
      </c>
      <c r="M14" s="15">
        <v>1E-4</v>
      </c>
      <c r="N14" s="5">
        <v>0.16870000000000002</v>
      </c>
      <c r="O14" s="5">
        <v>0.56969999999999998</v>
      </c>
      <c r="P14" s="5">
        <v>4.6900000000000004E-2</v>
      </c>
      <c r="Q14" s="5">
        <v>1.95E-2</v>
      </c>
      <c r="R14" s="5">
        <v>2.2700000000000001E-2</v>
      </c>
      <c r="S14" s="5">
        <v>2.1499999999999998E-2</v>
      </c>
      <c r="T14" s="5">
        <v>1.18E-2</v>
      </c>
      <c r="U14" s="5">
        <v>1.8200000000000001E-2</v>
      </c>
      <c r="V14" s="5">
        <v>1.6399999999999998E-2</v>
      </c>
      <c r="W14" s="5"/>
      <c r="X14" s="5">
        <v>-4.7999999999999996E-3</v>
      </c>
      <c r="Y14" s="5"/>
      <c r="Z14" s="5">
        <v>0.1424</v>
      </c>
      <c r="AA14" s="5">
        <v>1.06E-2</v>
      </c>
      <c r="AG14" s="5">
        <v>-4.4000000000000004E-2</v>
      </c>
      <c r="AK14" s="5"/>
    </row>
    <row r="15" spans="1:37" x14ac:dyDescent="0.25">
      <c r="A15" t="str">
        <f>IF(Input!A16="","",Input!A16)</f>
        <v>MyMap 7 Select ESG Fund</v>
      </c>
      <c r="B15" s="5"/>
      <c r="C15" s="5">
        <v>1.0094000000000001</v>
      </c>
      <c r="D15" s="5"/>
      <c r="E15" s="5"/>
      <c r="F15" s="5">
        <v>-9.3999999999999986E-3</v>
      </c>
      <c r="G15" s="5">
        <v>0.42869999999999997</v>
      </c>
      <c r="H15" s="5">
        <v>0.39159999999999995</v>
      </c>
      <c r="I15" s="5">
        <v>0.1628</v>
      </c>
      <c r="J15" s="5">
        <v>8.8000000000000005E-3</v>
      </c>
      <c r="K15" s="5">
        <v>4.0000000000000001E-3</v>
      </c>
      <c r="L15" s="5">
        <v>4.1999999999999997E-3</v>
      </c>
      <c r="M15" s="15">
        <v>0</v>
      </c>
      <c r="N15" s="5">
        <v>0.15970000000000001</v>
      </c>
      <c r="O15" s="5">
        <v>0.57590000000000008</v>
      </c>
      <c r="P15" s="5">
        <v>7.0499999999999993E-2</v>
      </c>
      <c r="Q15" s="5">
        <v>2.7900000000000001E-2</v>
      </c>
      <c r="R15" s="5">
        <v>1.8000000000000002E-2</v>
      </c>
      <c r="S15" s="5">
        <v>2.7200000000000002E-2</v>
      </c>
      <c r="T15" s="5"/>
      <c r="U15" s="5">
        <v>2.6000000000000002E-2</v>
      </c>
      <c r="V15" s="5">
        <v>2.1099999999999997E-2</v>
      </c>
      <c r="W15" s="5"/>
      <c r="X15" s="5">
        <v>-6.3E-3</v>
      </c>
      <c r="Y15" s="5"/>
      <c r="Z15" s="5">
        <v>9.4200000000000006E-2</v>
      </c>
      <c r="AA15" s="5">
        <v>1.1599999999999999E-2</v>
      </c>
      <c r="AD15" s="5">
        <v>1.21E-2</v>
      </c>
      <c r="AE15" s="5">
        <v>1.1399999999999999E-2</v>
      </c>
      <c r="AF15" s="5">
        <v>1.0200000000000001E-2</v>
      </c>
      <c r="AG15" s="5">
        <v>-5.9400000000000001E-2</v>
      </c>
      <c r="AK15" s="5"/>
    </row>
    <row r="16" spans="1:37" x14ac:dyDescent="0.25">
      <c r="A16" t="str">
        <f>IF(Input!A17="","",Input!A17)</f>
        <v>MyMap 4 Select Income Fund</v>
      </c>
      <c r="B16" s="5">
        <v>0.64159999999999995</v>
      </c>
      <c r="C16" s="5">
        <v>0.36770000000000003</v>
      </c>
      <c r="D16" s="5"/>
      <c r="E16" s="5"/>
      <c r="F16" s="5">
        <v>-9.300000000000001E-3</v>
      </c>
      <c r="G16" s="5">
        <v>0.3574</v>
      </c>
      <c r="H16" s="5">
        <v>0.42959999999999998</v>
      </c>
      <c r="I16" s="5">
        <v>0.1206</v>
      </c>
      <c r="J16" s="5">
        <v>3.7200000000000004E-2</v>
      </c>
      <c r="K16" s="5">
        <v>3.9100000000000003E-2</v>
      </c>
      <c r="L16" s="5">
        <v>1.5700000000000002E-2</v>
      </c>
      <c r="M16" s="15">
        <v>4.0000000000000002E-4</v>
      </c>
      <c r="N16" s="15">
        <v>-6.4100000000000004E-2</v>
      </c>
      <c r="O16" s="15">
        <v>0.65709999999999991</v>
      </c>
      <c r="P16" s="15">
        <v>3.3700000000000001E-2</v>
      </c>
      <c r="Q16" s="15"/>
      <c r="R16" s="15">
        <v>3.6499999999999998E-2</v>
      </c>
      <c r="S16" s="15">
        <v>2.3300000000000001E-2</v>
      </c>
      <c r="T16" s="15">
        <v>3.9800000000000002E-2</v>
      </c>
      <c r="U16" s="15">
        <v>1.61E-2</v>
      </c>
      <c r="V16" s="15">
        <v>3.7699999999999997E-2</v>
      </c>
      <c r="W16" s="15">
        <v>2.4E-2</v>
      </c>
      <c r="X16" s="15">
        <v>-2.3999999999999998E-3</v>
      </c>
      <c r="Y16" s="15">
        <v>1.26E-2</v>
      </c>
      <c r="Z16" s="15">
        <v>0.17370000000000002</v>
      </c>
      <c r="AA16" s="15">
        <v>1.1599999999999999E-2</v>
      </c>
      <c r="AB16" s="14"/>
      <c r="AC16" s="15"/>
      <c r="AG16" s="5">
        <v>-1.43E-2</v>
      </c>
      <c r="AH16" s="5">
        <v>1.3999999999999999E-2</v>
      </c>
      <c r="AK16" s="5"/>
    </row>
    <row r="17" spans="1:30" x14ac:dyDescent="0.25">
      <c r="A17" t="str">
        <f>IF(Input!A18="","",Input!A18)</f>
        <v/>
      </c>
      <c r="B17" s="5"/>
      <c r="C17" s="5"/>
      <c r="D17" s="5"/>
      <c r="E17" s="5"/>
      <c r="I17" s="5"/>
      <c r="J17" s="5"/>
      <c r="K17" s="5"/>
      <c r="L17" s="5"/>
      <c r="M17" s="15"/>
      <c r="N17" s="5"/>
      <c r="O17" s="5"/>
      <c r="P17" s="5"/>
      <c r="Q17" s="5"/>
      <c r="R17" s="5"/>
      <c r="S17" s="5"/>
      <c r="U17" s="5"/>
      <c r="X17" s="5"/>
      <c r="Z17" s="5"/>
      <c r="AA17" s="5"/>
      <c r="AC17" s="5"/>
    </row>
    <row r="18" spans="1:30" x14ac:dyDescent="0.25">
      <c r="A18" t="str">
        <f>IF(Input!A19="","",Input!A19)</f>
        <v/>
      </c>
      <c r="B18" s="5"/>
      <c r="C18" s="5"/>
      <c r="D18" s="5"/>
      <c r="E18" s="5"/>
      <c r="I18" s="5"/>
      <c r="J18" s="5"/>
      <c r="K18" s="5"/>
      <c r="L18" s="5"/>
      <c r="M18" s="15"/>
      <c r="N18" s="5"/>
      <c r="O18" s="5"/>
      <c r="P18" s="5"/>
      <c r="R18" s="5"/>
      <c r="S18" s="5"/>
      <c r="U18" s="5"/>
      <c r="V18" s="5"/>
      <c r="AA18" s="5"/>
    </row>
    <row r="19" spans="1:30" x14ac:dyDescent="0.25">
      <c r="A19" t="str">
        <f>IF(Input!A20="","",Input!A20)</f>
        <v/>
      </c>
      <c r="B19" s="5"/>
      <c r="D19" s="5"/>
      <c r="E19" s="5"/>
      <c r="F19" s="5"/>
      <c r="I19" s="5"/>
      <c r="J19" s="5"/>
      <c r="K19" s="5"/>
      <c r="L19" s="5"/>
      <c r="M19" s="15"/>
      <c r="N19" s="5"/>
      <c r="O19" s="5"/>
      <c r="P19" s="5"/>
      <c r="Q19" s="5"/>
      <c r="R19" s="5"/>
      <c r="S19" s="5"/>
      <c r="U19" s="5"/>
      <c r="V19" s="5"/>
      <c r="X19" s="5"/>
      <c r="Y19" s="5"/>
      <c r="Z19" s="5"/>
    </row>
    <row r="20" spans="1:30" x14ac:dyDescent="0.25">
      <c r="A20" t="str">
        <f>IF(Input!A21="","",Input!A21)</f>
        <v/>
      </c>
      <c r="B20" s="5"/>
      <c r="F20" s="5"/>
      <c r="I20" s="5"/>
      <c r="J20" s="5"/>
      <c r="K20" s="5"/>
      <c r="L20" s="5"/>
      <c r="M20" s="15"/>
      <c r="N20" s="5"/>
      <c r="O20" s="5"/>
      <c r="P20" s="5"/>
      <c r="Q20" s="5"/>
      <c r="R20" s="5"/>
      <c r="S20" s="5"/>
      <c r="U20" s="5"/>
      <c r="X20" s="5"/>
      <c r="Y20" s="5"/>
      <c r="Z20" s="5"/>
      <c r="AC20" s="5"/>
    </row>
    <row r="21" spans="1:30" x14ac:dyDescent="0.25">
      <c r="A21" t="str">
        <f>IF(Input!A22="","",Input!A22)</f>
        <v/>
      </c>
      <c r="B21" s="5"/>
      <c r="C21" s="5"/>
      <c r="D21" s="5"/>
      <c r="E21" s="5"/>
      <c r="F21" s="5"/>
      <c r="I21" s="5"/>
      <c r="K21" s="5"/>
      <c r="L21" s="5"/>
      <c r="M21" s="15"/>
      <c r="N21" s="5"/>
      <c r="O21" s="5"/>
      <c r="P21" s="5"/>
      <c r="Q21" s="5"/>
      <c r="R21" s="5"/>
      <c r="S21" s="5"/>
      <c r="U21" s="5"/>
      <c r="V21" s="5"/>
      <c r="X21" s="5"/>
      <c r="Y21" s="5"/>
      <c r="Z21" s="5"/>
    </row>
    <row r="22" spans="1:30" x14ac:dyDescent="0.25">
      <c r="A22" t="str">
        <f>IF(Input!A23="","",Input!A23)</f>
        <v/>
      </c>
      <c r="B22" s="5"/>
      <c r="C22" s="5"/>
      <c r="D22" s="5"/>
      <c r="E22" s="5"/>
      <c r="I22" s="5"/>
      <c r="J22" s="5"/>
      <c r="K22" s="5"/>
      <c r="L22" s="5"/>
      <c r="M22" s="15"/>
      <c r="N22" s="5"/>
      <c r="O22" s="5"/>
      <c r="P22" s="5"/>
      <c r="R22" s="5"/>
      <c r="S22" s="5"/>
      <c r="U22" s="5"/>
      <c r="V22" s="5"/>
      <c r="AA22" s="5"/>
    </row>
    <row r="23" spans="1:30" x14ac:dyDescent="0.25">
      <c r="A23" t="str">
        <f>IF(Input!A24="","",Input!A24)</f>
        <v/>
      </c>
      <c r="B23" s="5"/>
      <c r="C23" s="5"/>
      <c r="D23" s="5"/>
      <c r="E23" s="5"/>
      <c r="I23" s="5"/>
      <c r="J23" s="5"/>
      <c r="K23" s="5"/>
      <c r="L23" s="5"/>
      <c r="M23" s="15"/>
      <c r="N23" s="5"/>
      <c r="O23" s="5"/>
      <c r="P23" s="5"/>
      <c r="Q23" s="5"/>
      <c r="R23" s="5"/>
      <c r="S23" s="5"/>
      <c r="U23" s="5"/>
      <c r="V23" s="5"/>
      <c r="Z23" s="5"/>
      <c r="AC23" s="5"/>
    </row>
    <row r="24" spans="1:30" x14ac:dyDescent="0.25">
      <c r="A24" t="str">
        <f>IF(Input!A25="","",Input!A25)</f>
        <v/>
      </c>
      <c r="B24" s="5"/>
      <c r="C24" s="5"/>
      <c r="D24" s="5"/>
      <c r="E24" s="5"/>
      <c r="F24" s="5"/>
      <c r="I24" s="5"/>
      <c r="J24" s="5"/>
      <c r="K24" s="5"/>
      <c r="L24" s="5"/>
      <c r="M24" s="15"/>
      <c r="N24" s="5"/>
      <c r="O24" s="5"/>
      <c r="P24" s="5"/>
      <c r="Q24" s="5"/>
      <c r="R24" s="5"/>
      <c r="S24" s="5"/>
      <c r="U24" s="5"/>
      <c r="V24" s="5"/>
      <c r="Z24" s="5"/>
    </row>
    <row r="25" spans="1:30" x14ac:dyDescent="0.25">
      <c r="A25" t="str">
        <f>IF(Input!A26="","",Input!A26)</f>
        <v/>
      </c>
      <c r="F25" s="5"/>
      <c r="I25" s="5"/>
      <c r="L25" s="5"/>
      <c r="M25" s="15"/>
      <c r="O25" s="5"/>
      <c r="P25" s="5"/>
      <c r="Q25" s="5"/>
      <c r="S25" s="5"/>
      <c r="V25" s="5"/>
      <c r="X25" s="5"/>
      <c r="AC25" s="5"/>
    </row>
    <row r="26" spans="1:30" x14ac:dyDescent="0.25">
      <c r="A26" t="str">
        <f>IF(Input!A27="","",Input!A27)</f>
        <v/>
      </c>
      <c r="F26" s="5"/>
      <c r="I26" s="5"/>
      <c r="L26" s="5"/>
      <c r="M26" s="15"/>
      <c r="O26" s="5"/>
      <c r="P26" s="5"/>
      <c r="Q26" s="5"/>
      <c r="S26" s="5"/>
      <c r="V26" s="5"/>
      <c r="X26" s="5"/>
      <c r="AC26" s="5"/>
    </row>
    <row r="27" spans="1:30" x14ac:dyDescent="0.25">
      <c r="A27" t="str">
        <f>IF(Input!A28="","",Input!A28)</f>
        <v/>
      </c>
      <c r="B27" s="5"/>
      <c r="F27" s="5"/>
      <c r="I27" s="5"/>
      <c r="L27" s="5"/>
      <c r="M27" s="15"/>
      <c r="O27" s="5"/>
      <c r="Q27" s="5"/>
      <c r="S27" s="5"/>
      <c r="V27" s="5"/>
      <c r="X27" s="5"/>
      <c r="AC27" s="5"/>
    </row>
    <row r="28" spans="1:30" x14ac:dyDescent="0.25">
      <c r="A28" t="str">
        <f>IF(Input!A29="","",Input!A29)</f>
        <v/>
      </c>
      <c r="B28" s="5"/>
      <c r="F28" s="5"/>
      <c r="I28" s="5"/>
      <c r="M28" s="15"/>
      <c r="O28" s="5"/>
      <c r="Q28" s="5"/>
      <c r="S28" s="5"/>
      <c r="V28" s="5"/>
      <c r="X28" s="5"/>
      <c r="AC28" s="5"/>
      <c r="AD28" s="5"/>
    </row>
    <row r="29" spans="1:30" x14ac:dyDescent="0.25">
      <c r="A29" t="str">
        <f>IF(Input!A30="","",Input!A30)</f>
        <v/>
      </c>
      <c r="C29" s="5"/>
      <c r="H29" s="5"/>
      <c r="J29" s="5"/>
      <c r="K29" s="5"/>
      <c r="L29" s="5"/>
      <c r="M29" s="15"/>
      <c r="O29" s="5"/>
      <c r="P29" s="5"/>
      <c r="Q29" s="5"/>
      <c r="T29" s="5"/>
      <c r="U29" s="5"/>
    </row>
    <row r="30" spans="1:30" x14ac:dyDescent="0.25">
      <c r="A30" t="str">
        <f>IF(Input!A31="","",Input!A31)</f>
        <v/>
      </c>
      <c r="F30" s="5"/>
      <c r="H30" s="5"/>
      <c r="J30" s="5"/>
      <c r="K30" s="5"/>
      <c r="M30" s="15"/>
      <c r="O30" s="5"/>
      <c r="P30" s="5"/>
      <c r="Q30" s="5"/>
      <c r="S30" s="5"/>
      <c r="T30" s="5"/>
      <c r="U30" s="5"/>
    </row>
    <row r="31" spans="1:30" x14ac:dyDescent="0.25">
      <c r="A31" t="str">
        <f>IF(Input!A32="","",Input!A32)</f>
        <v/>
      </c>
      <c r="F31" s="5"/>
      <c r="H31" s="5"/>
      <c r="I31" s="5"/>
      <c r="J31" s="5"/>
      <c r="M31" s="15"/>
      <c r="O31" s="5"/>
      <c r="P31" s="5"/>
      <c r="Q31" s="5"/>
      <c r="R31" s="5"/>
      <c r="T31" s="5"/>
      <c r="U31" s="5"/>
    </row>
    <row r="32" spans="1:30" x14ac:dyDescent="0.25">
      <c r="A32" t="str">
        <f>IF(Input!A33="","",Input!A33)</f>
        <v/>
      </c>
      <c r="F32" s="5"/>
      <c r="H32" s="5"/>
      <c r="I32" s="5"/>
      <c r="M32" s="15"/>
      <c r="O32" s="5"/>
      <c r="P32" s="5"/>
      <c r="Q32" s="5"/>
      <c r="R32" s="5"/>
      <c r="S32" s="5"/>
      <c r="T32" s="5"/>
      <c r="U32" s="5"/>
    </row>
    <row r="33" spans="1:28" x14ac:dyDescent="0.25">
      <c r="A33" t="str">
        <f>IF(Input!A34="","",Input!A34)</f>
        <v/>
      </c>
      <c r="F33" s="5"/>
      <c r="H33" s="5"/>
      <c r="I33" s="5"/>
      <c r="M33" s="15"/>
      <c r="O33" s="5"/>
      <c r="P33" s="5"/>
      <c r="Q33" s="5"/>
      <c r="R33" s="5"/>
      <c r="S33" s="5"/>
      <c r="T33" s="5"/>
      <c r="U33" s="5"/>
    </row>
    <row r="34" spans="1:28" x14ac:dyDescent="0.25">
      <c r="A34" t="str">
        <f>IF(Input!A35="","",Input!A35)</f>
        <v/>
      </c>
      <c r="B34" s="5"/>
      <c r="D34" s="5"/>
      <c r="E34" s="5"/>
      <c r="F34" s="5"/>
      <c r="H34" s="5"/>
      <c r="I34" s="5"/>
      <c r="O34" s="5"/>
      <c r="Q34" s="5"/>
      <c r="R34" s="5"/>
      <c r="S34" s="5"/>
      <c r="T34" s="5"/>
      <c r="AB34" s="5"/>
    </row>
    <row r="35" spans="1:28" x14ac:dyDescent="0.25">
      <c r="A35" t="str">
        <f>IF(Input!A36="","",Input!A36)</f>
        <v/>
      </c>
    </row>
    <row r="36" spans="1:28" x14ac:dyDescent="0.25">
      <c r="A36" t="str">
        <f>IF(Input!A37="","",Input!A37)</f>
        <v/>
      </c>
    </row>
    <row r="37" spans="1:28" x14ac:dyDescent="0.25">
      <c r="A37" t="str">
        <f>IF(Input!A38="","",Input!A38)</f>
        <v/>
      </c>
    </row>
    <row r="38" spans="1:28" x14ac:dyDescent="0.25">
      <c r="A38" t="str">
        <f>IF(Input!A39="","",Input!A39)</f>
        <v/>
      </c>
    </row>
    <row r="39" spans="1:28" x14ac:dyDescent="0.25">
      <c r="A39" t="str">
        <f>IF(Input!A40="","",Input!A40)</f>
        <v/>
      </c>
    </row>
    <row r="40" spans="1:28" x14ac:dyDescent="0.25">
      <c r="A40" t="str">
        <f>IF(Input!A41="","",Input!A41)</f>
        <v/>
      </c>
    </row>
    <row r="41" spans="1:28" x14ac:dyDescent="0.25">
      <c r="A41" t="str">
        <f>IF(Input!A42="","",Input!A42)</f>
        <v/>
      </c>
    </row>
    <row r="42" spans="1:28" x14ac:dyDescent="0.25">
      <c r="A42" t="str">
        <f>IF(Input!A43="","",Input!A43)</f>
        <v/>
      </c>
    </row>
    <row r="43" spans="1:28" x14ac:dyDescent="0.25">
      <c r="A43" t="str">
        <f>IF(Input!A44="","",Input!A44)</f>
        <v/>
      </c>
    </row>
    <row r="44" spans="1:28" x14ac:dyDescent="0.25">
      <c r="A44" t="str">
        <f>IF(Input!A45="","",Input!A45)</f>
        <v/>
      </c>
    </row>
    <row r="45" spans="1:28" x14ac:dyDescent="0.25">
      <c r="A45" t="str">
        <f>IF(Input!A46="","",Input!A46)</f>
        <v/>
      </c>
    </row>
    <row r="46" spans="1:28" x14ac:dyDescent="0.25">
      <c r="A46" t="str">
        <f>IF(Input!A47="","",Input!A47)</f>
        <v/>
      </c>
    </row>
    <row r="47" spans="1:28" x14ac:dyDescent="0.25">
      <c r="A47" t="str">
        <f>IF(Input!A48="","",Input!A48)</f>
        <v/>
      </c>
    </row>
    <row r="48" spans="1:28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A37" sqref="A37"/>
    </sheetView>
  </sheetViews>
  <sheetFormatPr defaultRowHeight="15" x14ac:dyDescent="0.25"/>
  <cols>
    <col min="1" max="1" width="41.85546875" bestFit="1" customWidth="1"/>
    <col min="2" max="2" width="101.85546875" bestFit="1" customWidth="1"/>
    <col min="3" max="3" width="15.42578125" bestFit="1" customWidth="1"/>
    <col min="4" max="4" width="8.7109375" style="8"/>
  </cols>
  <sheetData>
    <row r="1" spans="1:5" x14ac:dyDescent="0.25">
      <c r="A1" t="s">
        <v>0</v>
      </c>
      <c r="B1" t="s">
        <v>37</v>
      </c>
      <c r="C1" t="s">
        <v>36</v>
      </c>
      <c r="D1" s="8" t="s">
        <v>25</v>
      </c>
      <c r="E1" s="3" t="s">
        <v>38</v>
      </c>
    </row>
    <row r="2" spans="1:5" x14ac:dyDescent="0.25">
      <c r="A2" t="str">
        <f>IF(Input!A3="","",Input!A3)</f>
        <v>BlackRock Consensus 85 Fund</v>
      </c>
      <c r="B2" t="s">
        <v>39</v>
      </c>
    </row>
    <row r="3" spans="1:5" x14ac:dyDescent="0.25">
      <c r="A3" t="str">
        <f>IF(Input!A4="","",Input!A4)</f>
        <v>BlackRock Consensus 100</v>
      </c>
      <c r="B3" t="s">
        <v>40</v>
      </c>
    </row>
    <row r="4" spans="1:5" x14ac:dyDescent="0.25">
      <c r="A4" t="str">
        <f>IF(Input!A5="","",Input!A5)</f>
        <v>BlackRock Consensus 35</v>
      </c>
      <c r="B4" t="s">
        <v>41</v>
      </c>
    </row>
    <row r="5" spans="1:5" x14ac:dyDescent="0.25">
      <c r="A5" t="str">
        <f>IF(Input!A6="","",Input!A6)</f>
        <v>BlackRock Consensus 60</v>
      </c>
      <c r="B5" t="s">
        <v>42</v>
      </c>
    </row>
    <row r="6" spans="1:5" x14ac:dyDescent="0.25">
      <c r="A6" t="str">
        <f>IF(Input!A7="","",Input!A7)</f>
        <v>BlackRock Consensus 70</v>
      </c>
      <c r="B6" t="s">
        <v>43</v>
      </c>
    </row>
    <row r="7" spans="1:5" x14ac:dyDescent="0.25">
      <c r="A7" t="str">
        <f>IF(Input!A8="","",Input!A8)</f>
        <v>BlackRock Consensus 100</v>
      </c>
      <c r="B7" t="s">
        <v>44</v>
      </c>
    </row>
    <row r="8" spans="1:5" x14ac:dyDescent="0.25">
      <c r="A8" t="str">
        <f>IF(Input!A9="","",Input!A9)</f>
        <v>BlackRock Pension Growth Fund</v>
      </c>
      <c r="B8" t="s">
        <v>45</v>
      </c>
    </row>
    <row r="9" spans="1:5" x14ac:dyDescent="0.25">
      <c r="A9" t="str">
        <f>IF(Input!A10="","",Input!A10)</f>
        <v>MyMap 3</v>
      </c>
      <c r="B9" t="s">
        <v>54</v>
      </c>
    </row>
    <row r="10" spans="1:5" x14ac:dyDescent="0.25">
      <c r="A10" t="str">
        <f>IF(Input!A11="","",Input!A11)</f>
        <v>MyMap 4</v>
      </c>
      <c r="B10" t="s">
        <v>55</v>
      </c>
    </row>
    <row r="11" spans="1:5" x14ac:dyDescent="0.25">
      <c r="A11" t="str">
        <f>IF(Input!A12="","",Input!A12)</f>
        <v>MyMap 5</v>
      </c>
      <c r="B11" t="s">
        <v>56</v>
      </c>
    </row>
    <row r="12" spans="1:5" x14ac:dyDescent="0.25">
      <c r="A12" t="str">
        <f>IF(Input!A13="","",Input!A13)</f>
        <v>MyMap 6</v>
      </c>
      <c r="B12" t="s">
        <v>57</v>
      </c>
    </row>
    <row r="13" spans="1:5" x14ac:dyDescent="0.25">
      <c r="A13" t="str">
        <f>IF(Input!A14="","",Input!A14)</f>
        <v>MyMap 3 Select ESG Fund</v>
      </c>
      <c r="B13" t="s">
        <v>58</v>
      </c>
    </row>
    <row r="14" spans="1:5" x14ac:dyDescent="0.25">
      <c r="A14" t="str">
        <f>IF(Input!A15="","",Input!A15)</f>
        <v>MyMap 5 Select ESG Fund</v>
      </c>
      <c r="B14" t="s">
        <v>59</v>
      </c>
    </row>
    <row r="15" spans="1:5" x14ac:dyDescent="0.25">
      <c r="A15" t="str">
        <f>IF(Input!A16="","",Input!A16)</f>
        <v>MyMap 7 Select ESG Fund</v>
      </c>
      <c r="B15" t="s">
        <v>60</v>
      </c>
    </row>
    <row r="16" spans="1:5" x14ac:dyDescent="0.25">
      <c r="A16" t="str">
        <f>IF(Input!A17="","",Input!A17)</f>
        <v>MyMap 4 Select Income Fund</v>
      </c>
      <c r="B16" s="10" t="s">
        <v>61</v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45230</v>
      </c>
    </row>
    <row r="3" spans="1:2" x14ac:dyDescent="0.2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45230</v>
      </c>
    </row>
    <row r="4" spans="1:2" x14ac:dyDescent="0.2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45230</v>
      </c>
    </row>
    <row r="5" spans="1:2" x14ac:dyDescent="0.2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45230</v>
      </c>
    </row>
    <row r="6" spans="1:2" x14ac:dyDescent="0.2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45230</v>
      </c>
    </row>
    <row r="7" spans="1:2" x14ac:dyDescent="0.2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45230</v>
      </c>
    </row>
    <row r="8" spans="1:2" x14ac:dyDescent="0.2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45230</v>
      </c>
    </row>
    <row r="9" spans="1:2" x14ac:dyDescent="0.2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45199</v>
      </c>
    </row>
    <row r="10" spans="1:2" x14ac:dyDescent="0.2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45199</v>
      </c>
    </row>
    <row r="11" spans="1:2" x14ac:dyDescent="0.2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45199</v>
      </c>
    </row>
    <row r="12" spans="1:2" x14ac:dyDescent="0.2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45199</v>
      </c>
    </row>
    <row r="13" spans="1:2" x14ac:dyDescent="0.2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45199</v>
      </c>
    </row>
    <row r="14" spans="1:2" x14ac:dyDescent="0.2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45199</v>
      </c>
    </row>
    <row r="15" spans="1:2" x14ac:dyDescent="0.2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45199</v>
      </c>
    </row>
    <row r="16" spans="1:2" x14ac:dyDescent="0.2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45199</v>
      </c>
    </row>
    <row r="17" spans="1:2" x14ac:dyDescent="0.2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27</v>
      </c>
    </row>
    <row r="2" spans="1:5" x14ac:dyDescent="0.25">
      <c r="A2" t="str">
        <f>IF(Input!A3="","",Input!A3)</f>
        <v>BlackRock Consensus 85 Fund</v>
      </c>
      <c r="D2" s="5">
        <f>IF(A2="","",SUM('Additional Information'!C2))</f>
        <v>2.2000000000000001E-3</v>
      </c>
    </row>
    <row r="3" spans="1:5" x14ac:dyDescent="0.25">
      <c r="A3" t="str">
        <f>IF(Input!A4="","",Input!A4)</f>
        <v>BlackRock Consensus 100</v>
      </c>
      <c r="D3" s="5">
        <f>IF(A3="","",SUM('Additional Information'!C3))</f>
        <v>2.2000000000000001E-3</v>
      </c>
    </row>
    <row r="4" spans="1:5" x14ac:dyDescent="0.25">
      <c r="A4" t="str">
        <f>IF(Input!A5="","",Input!A5)</f>
        <v>BlackRock Consensus 35</v>
      </c>
      <c r="D4" s="5">
        <f>IF(A4="","",SUM('Additional Information'!C4))</f>
        <v>6.1999999999999998E-3</v>
      </c>
    </row>
    <row r="5" spans="1:5" x14ac:dyDescent="0.25">
      <c r="A5" t="str">
        <f>IF(Input!A6="","",Input!A6)</f>
        <v>BlackRock Consensus 60</v>
      </c>
      <c r="D5" s="5">
        <f>IF(A5="","",SUM('Additional Information'!C5))</f>
        <v>6.1999999999999998E-3</v>
      </c>
    </row>
    <row r="6" spans="1:5" x14ac:dyDescent="0.25">
      <c r="A6" t="str">
        <f>IF(Input!A7="","",Input!A7)</f>
        <v>BlackRock Consensus 70</v>
      </c>
      <c r="D6" s="5">
        <f>IF(A6="","",SUM('Additional Information'!C6))</f>
        <v>6.1999999999999998E-3</v>
      </c>
    </row>
    <row r="7" spans="1:5" x14ac:dyDescent="0.25">
      <c r="A7" t="str">
        <f>IF(Input!A8="","",Input!A8)</f>
        <v>BlackRock Consensus 100</v>
      </c>
      <c r="D7" s="5">
        <f>IF(A7="","",SUM('Additional Information'!C7))</f>
        <v>2.2000000000000001E-3</v>
      </c>
    </row>
    <row r="8" spans="1:5" x14ac:dyDescent="0.25">
      <c r="A8" t="str">
        <f>IF(Input!A9="","",Input!A9)</f>
        <v>BlackRock Pension Growth Fund</v>
      </c>
      <c r="D8" s="5">
        <f>IF(A8="","",SUM('Additional Information'!C8))</f>
        <v>2.0000000000000001E-4</v>
      </c>
    </row>
    <row r="9" spans="1:5" x14ac:dyDescent="0.25">
      <c r="A9" t="str">
        <f>IF(Input!A10="","",Input!A10)</f>
        <v>MyMap 3</v>
      </c>
      <c r="D9" s="5">
        <f>IF(A9="","",SUM('Additional Information'!C9))</f>
        <v>1.7000000000000001E-3</v>
      </c>
    </row>
    <row r="10" spans="1:5" x14ac:dyDescent="0.25">
      <c r="A10" t="str">
        <f>IF(Input!A11="","",Input!A11)</f>
        <v>MyMap 4</v>
      </c>
      <c r="D10" s="5">
        <f>IF(A10="","",SUM('Additional Information'!C10))</f>
        <v>1.7000000000000001E-3</v>
      </c>
    </row>
    <row r="11" spans="1:5" x14ac:dyDescent="0.25">
      <c r="A11" t="str">
        <f>IF(Input!A12="","",Input!A12)</f>
        <v>MyMap 5</v>
      </c>
      <c r="D11" s="5">
        <f>IF(A11="","",SUM('Additional Information'!C11))</f>
        <v>1.7000000000000001E-3</v>
      </c>
    </row>
    <row r="12" spans="1:5" x14ac:dyDescent="0.25">
      <c r="A12" t="str">
        <f>IF(Input!A13="","",Input!A13)</f>
        <v>MyMap 6</v>
      </c>
      <c r="D12" s="5">
        <f>IF(A12="","",SUM('Additional Information'!C12))</f>
        <v>1.7000000000000001E-3</v>
      </c>
    </row>
    <row r="13" spans="1:5" x14ac:dyDescent="0.25">
      <c r="A13" t="str">
        <f>IF(Input!A14="","",Input!A14)</f>
        <v>MyMap 3 Select ESG Fund</v>
      </c>
      <c r="D13" s="5">
        <f>IF(A13="","",SUM('Additional Information'!C13))</f>
        <v>1.7000000000000001E-3</v>
      </c>
    </row>
    <row r="14" spans="1:5" x14ac:dyDescent="0.25">
      <c r="A14" t="str">
        <f>IF(Input!A15="","",Input!A15)</f>
        <v>MyMap 5 Select ESG Fund</v>
      </c>
      <c r="D14" s="5">
        <f>IF(A14="","",SUM('Additional Information'!C14))</f>
        <v>1.7000000000000001E-3</v>
      </c>
    </row>
    <row r="15" spans="1:5" x14ac:dyDescent="0.25">
      <c r="A15" t="str">
        <f>IF(Input!A16="","",Input!A16)</f>
        <v>MyMap 7 Select ESG Fund</v>
      </c>
      <c r="D15" s="5">
        <f>IF(A15="","",SUM('Additional Information'!C15))</f>
        <v>1.7000000000000001E-3</v>
      </c>
    </row>
    <row r="16" spans="1:5" x14ac:dyDescent="0.25">
      <c r="A16" t="str">
        <f>IF(Input!A17="","",Input!A17)</f>
        <v>MyMap 4 Select Income Fund</v>
      </c>
      <c r="D16" s="5">
        <f>IF(A16="","",SUM('Additional Information'!C16))</f>
        <v>2.8000000000000004E-3</v>
      </c>
    </row>
    <row r="17" spans="1:4" x14ac:dyDescent="0.25">
      <c r="A17" t="str">
        <f>IF(Input!A18="","",Input!A18)</f>
        <v/>
      </c>
      <c r="D17" s="5" t="str">
        <f>IF(A17="","",SUM('Additional Information'!C17))</f>
        <v/>
      </c>
    </row>
    <row r="18" spans="1:4" x14ac:dyDescent="0.25">
      <c r="A18" t="str">
        <f>IF(Input!A19="","",Input!A19)</f>
        <v/>
      </c>
      <c r="D18" s="5" t="str">
        <f>IF(A18="","",SUM('Additional Information'!C18))</f>
        <v/>
      </c>
    </row>
    <row r="19" spans="1:4" x14ac:dyDescent="0.25">
      <c r="A19" t="str">
        <f>IF(Input!A20="","",Input!A20)</f>
        <v/>
      </c>
      <c r="D19" s="5" t="str">
        <f>IF(A19="","",SUM('Additional Information'!C19))</f>
        <v/>
      </c>
    </row>
    <row r="20" spans="1:4" x14ac:dyDescent="0.25">
      <c r="A20" t="str">
        <f>IF(Input!A21="","",Input!A21)</f>
        <v/>
      </c>
      <c r="D20" s="5" t="str">
        <f>IF(A20="","",SUM('Additional Information'!C20))</f>
        <v/>
      </c>
    </row>
    <row r="21" spans="1:4" x14ac:dyDescent="0.25">
      <c r="A21" t="str">
        <f>IF(Input!A22="","",Input!A22)</f>
        <v/>
      </c>
      <c r="D21" s="5" t="str">
        <f>IF(A21="","",SUM('Additional Information'!C21))</f>
        <v/>
      </c>
    </row>
    <row r="22" spans="1:4" x14ac:dyDescent="0.25">
      <c r="A22" t="str">
        <f>IF(Input!A23="","",Input!A23)</f>
        <v/>
      </c>
      <c r="D22" s="5" t="str">
        <f>IF(A22="","",SUM('Additional Information'!C22))</f>
        <v/>
      </c>
    </row>
    <row r="23" spans="1:4" x14ac:dyDescent="0.25">
      <c r="A23" t="str">
        <f>IF(Input!A24="","",Input!A24)</f>
        <v/>
      </c>
      <c r="D23" s="5" t="str">
        <f>IF(A23="","",SUM('Additional Information'!C23))</f>
        <v/>
      </c>
    </row>
    <row r="24" spans="1:4" x14ac:dyDescent="0.25">
      <c r="A24" t="str">
        <f>IF(Input!A25="","",Input!A25)</f>
        <v/>
      </c>
      <c r="D24" s="5" t="str">
        <f>IF(A24="","",SUM('Additional Information'!C24))</f>
        <v/>
      </c>
    </row>
    <row r="25" spans="1:4" x14ac:dyDescent="0.25">
      <c r="A25" t="str">
        <f>IF(Input!A26="","",Input!A26)</f>
        <v/>
      </c>
      <c r="D25" s="5" t="str">
        <f>IF(A25="","",SUM('Additional Information'!C25))</f>
        <v/>
      </c>
    </row>
    <row r="26" spans="1:4" x14ac:dyDescent="0.25">
      <c r="A26" t="str">
        <f>IF(Input!A27="","",Input!A27)</f>
        <v/>
      </c>
      <c r="D26" s="5" t="str">
        <f>IF(A26="","",SUM('Additional Information'!C26))</f>
        <v/>
      </c>
    </row>
    <row r="27" spans="1:4" x14ac:dyDescent="0.25">
      <c r="A27" t="str">
        <f>IF(Input!A28="","",Input!A28)</f>
        <v/>
      </c>
      <c r="D27" s="5" t="str">
        <f>IF(A27="","",SUM('Additional Information'!C27))</f>
        <v/>
      </c>
    </row>
    <row r="28" spans="1:4" x14ac:dyDescent="0.25">
      <c r="A28" t="str">
        <f>IF(Input!A29="","",Input!A29)</f>
        <v/>
      </c>
      <c r="D28" s="5" t="str">
        <f>IF(A28="","",SUM('Additional Information'!C28))</f>
        <v/>
      </c>
    </row>
    <row r="29" spans="1:4" x14ac:dyDescent="0.25">
      <c r="A29" t="str">
        <f>IF(Input!A30="","",Input!A30)</f>
        <v/>
      </c>
      <c r="D29" s="5" t="str">
        <f>IF(A29="","",SUM('Additional Information'!C29))</f>
        <v/>
      </c>
    </row>
    <row r="30" spans="1:4" x14ac:dyDescent="0.25">
      <c r="A30" t="str">
        <f>IF(Input!A31="","",Input!A31)</f>
        <v/>
      </c>
      <c r="D30" s="5" t="str">
        <f>IF(A30="","",SUM('Additional Information'!C30))</f>
        <v/>
      </c>
    </row>
    <row r="31" spans="1:4" x14ac:dyDescent="0.25">
      <c r="A31" t="str">
        <f>IF(Input!A32="","",Input!A32)</f>
        <v/>
      </c>
      <c r="D31" s="5" t="str">
        <f>IF(A31="","",SUM('Additional Information'!C31))</f>
        <v/>
      </c>
    </row>
    <row r="32" spans="1:4" x14ac:dyDescent="0.25">
      <c r="A32" t="str">
        <f>IF(Input!A33="","",Input!A33)</f>
        <v/>
      </c>
      <c r="D32" s="5" t="str">
        <f>IF(A32="","",SUM('Additional Information'!C32))</f>
        <v/>
      </c>
    </row>
    <row r="33" spans="1:4" x14ac:dyDescent="0.25">
      <c r="A33" t="str">
        <f>IF(Input!A34="","",Input!A34)</f>
        <v/>
      </c>
      <c r="D33" s="5" t="str">
        <f>IF(A33="","",SUM('Additional Information'!C33))</f>
        <v/>
      </c>
    </row>
    <row r="34" spans="1:4" x14ac:dyDescent="0.25">
      <c r="A34" t="str">
        <f>IF(Input!A35="","",Input!A35)</f>
        <v/>
      </c>
      <c r="D34" s="5" t="str">
        <f>IF(A34="","",SUM('Additional Information'!C34))</f>
        <v/>
      </c>
    </row>
    <row r="35" spans="1:4" x14ac:dyDescent="0.25">
      <c r="A35" t="str">
        <f>IF(Input!A36="","",Input!A36)</f>
        <v/>
      </c>
      <c r="D35" s="5" t="str">
        <f>IF(A35="","",SUM('Additional Information'!C35))</f>
        <v/>
      </c>
    </row>
    <row r="36" spans="1:4" x14ac:dyDescent="0.25">
      <c r="A36" t="str">
        <f>IF(Input!A37="","",Input!A37)</f>
        <v/>
      </c>
      <c r="D36" s="5" t="str">
        <f>IF(A36="","",SUM('Additional Information'!C36))</f>
        <v/>
      </c>
    </row>
    <row r="37" spans="1:4" x14ac:dyDescent="0.25">
      <c r="A37" t="str">
        <f>IF(Input!A38="","",Input!A38)</f>
        <v/>
      </c>
      <c r="D37" s="5" t="str">
        <f>IF(A37="","",SUM('Additional Information'!C37))</f>
        <v/>
      </c>
    </row>
    <row r="38" spans="1:4" x14ac:dyDescent="0.25">
      <c r="A38" t="str">
        <f>IF(Input!A39="","",Input!A39)</f>
        <v/>
      </c>
      <c r="D38" s="5" t="str">
        <f>IF(A38="","",SUM('Additional Information'!C38))</f>
        <v/>
      </c>
    </row>
    <row r="39" spans="1:4" x14ac:dyDescent="0.25">
      <c r="A39" t="str">
        <f>IF(Input!A40="","",Input!A40)</f>
        <v/>
      </c>
      <c r="D39" s="5" t="str">
        <f>IF(A39="","",SUM('Additional Information'!C39))</f>
        <v/>
      </c>
    </row>
    <row r="40" spans="1:4" x14ac:dyDescent="0.25">
      <c r="A40" t="str">
        <f>IF(Input!A41="","",Input!A41)</f>
        <v/>
      </c>
      <c r="D40" s="5" t="str">
        <f>IF(A40="","",SUM('Additional Information'!C40))</f>
        <v/>
      </c>
    </row>
    <row r="41" spans="1:4" x14ac:dyDescent="0.25">
      <c r="A41" t="str">
        <f>IF(Input!A42="","",Input!A42)</f>
        <v/>
      </c>
      <c r="D41" s="5" t="str">
        <f>IF(A41="","",SUM('Additional Information'!C41))</f>
        <v/>
      </c>
    </row>
    <row r="42" spans="1:4" x14ac:dyDescent="0.25">
      <c r="A42" t="str">
        <f>IF(Input!A43="","",Input!A43)</f>
        <v/>
      </c>
      <c r="D42" s="5" t="str">
        <f>IF(A42="","",SUM('Additional Information'!C42))</f>
        <v/>
      </c>
    </row>
    <row r="43" spans="1:4" x14ac:dyDescent="0.25">
      <c r="A43" t="str">
        <f>IF(Input!A44="","",Input!A44)</f>
        <v/>
      </c>
      <c r="D43" s="5" t="str">
        <f>IF(A43="","",SUM('Additional Information'!C43))</f>
        <v/>
      </c>
    </row>
    <row r="44" spans="1:4" x14ac:dyDescent="0.25">
      <c r="A44" t="str">
        <f>IF(Input!A45="","",Input!A45)</f>
        <v/>
      </c>
      <c r="D44" s="5" t="str">
        <f>IF(A44="","",SUM('Additional Information'!C44))</f>
        <v/>
      </c>
    </row>
    <row r="45" spans="1:4" x14ac:dyDescent="0.25">
      <c r="A45" t="str">
        <f>IF(Input!A46="","",Input!A46)</f>
        <v/>
      </c>
      <c r="D45" s="5" t="str">
        <f>IF(A45="","",SUM('Additional Information'!C45))</f>
        <v/>
      </c>
    </row>
    <row r="46" spans="1:4" x14ac:dyDescent="0.25">
      <c r="A46" t="str">
        <f>IF(Input!A47="","",Input!A47)</f>
        <v/>
      </c>
      <c r="D46" s="5" t="str">
        <f>IF(A46="","",SUM('Additional Information'!C46))</f>
        <v/>
      </c>
    </row>
    <row r="47" spans="1:4" x14ac:dyDescent="0.25">
      <c r="A47" t="str">
        <f>IF(Input!A48="","",Input!A48)</f>
        <v/>
      </c>
      <c r="D47" s="5" t="str">
        <f>IF(A47="","",SUM('Additional Information'!C47))</f>
        <v/>
      </c>
    </row>
    <row r="48" spans="1:4" x14ac:dyDescent="0.25">
      <c r="A48" t="str">
        <f>IF(Input!A49="","",Input!A49)</f>
        <v/>
      </c>
      <c r="D48" s="5" t="str">
        <f>IF(A48="","",SUM('Additional Information'!C48))</f>
        <v/>
      </c>
    </row>
    <row r="49" spans="1:4" x14ac:dyDescent="0.25">
      <c r="A49" t="str">
        <f>IF(Input!A50="","",Input!A50)</f>
        <v/>
      </c>
      <c r="D49" s="5" t="str">
        <f>IF(A49="","",SUM('Additional Information'!C49))</f>
        <v/>
      </c>
    </row>
    <row r="50" spans="1:4" x14ac:dyDescent="0.2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BlackRock Pension Growth Fund</v>
      </c>
      <c r="B8">
        <f>IF(A8="","",SUM('Asset Allocation'!B8))</f>
        <v>0.27729999999999999</v>
      </c>
      <c r="C8">
        <f>IF(A8="","",SUM('Asset Allocation'!C8))</f>
        <v>0.70900000000000007</v>
      </c>
      <c r="G8">
        <f>IF(A8="","",SUM('Asset Allocation'!D8))</f>
        <v>5.9999999999999995E-4</v>
      </c>
      <c r="H8">
        <f t="shared" si="0"/>
        <v>1.309999999999989E-2</v>
      </c>
    </row>
    <row r="9" spans="1:8" x14ac:dyDescent="0.25">
      <c r="A9" t="str">
        <f>IF(Input!A10="","",Input!A10)</f>
        <v>MyMap 3</v>
      </c>
      <c r="B9">
        <f>IF(A9="","",SUM('Asset Allocation'!B9))</f>
        <v>0.7853</v>
      </c>
      <c r="C9">
        <f>IF(A9="","",SUM('Asset Allocation'!C9))</f>
        <v>0.20190000000000002</v>
      </c>
      <c r="G9">
        <f>IF(A9="","",SUM('Asset Allocation'!D9))</f>
        <v>3.0200000000000001E-2</v>
      </c>
      <c r="H9">
        <f t="shared" si="0"/>
        <v>-1.7400000000000082E-2</v>
      </c>
    </row>
    <row r="10" spans="1:8" x14ac:dyDescent="0.25">
      <c r="A10" t="str">
        <f>IF(Input!A11="","",Input!A11)</f>
        <v>MyMap 4</v>
      </c>
      <c r="B10">
        <f>IF(A10="","",SUM('Asset Allocation'!B10))</f>
        <v>0.51139999999999997</v>
      </c>
      <c r="C10">
        <f>IF(A10="","",SUM('Asset Allocation'!C10))</f>
        <v>0.47350000000000003</v>
      </c>
      <c r="G10">
        <f>IF(A10="","",SUM('Asset Allocation'!D10))</f>
        <v>3.04E-2</v>
      </c>
      <c r="H10">
        <f t="shared" si="0"/>
        <v>-1.5300000000000091E-2</v>
      </c>
    </row>
    <row r="11" spans="1:8" x14ac:dyDescent="0.25">
      <c r="A11" t="str">
        <f>IF(Input!A12="","",Input!A12)</f>
        <v>MyMap 5</v>
      </c>
      <c r="B11">
        <f>IF(A11="","",SUM('Asset Allocation'!B11))</f>
        <v>0.31240000000000001</v>
      </c>
      <c r="C11">
        <f>IF(A11="","",SUM('Asset Allocation'!C11))</f>
        <v>0.67019999999999991</v>
      </c>
      <c r="G11">
        <f>IF(A11="","",SUM('Asset Allocation'!D11))</f>
        <v>3.0299999999999997E-2</v>
      </c>
      <c r="H11">
        <f t="shared" si="0"/>
        <v>-1.2899999999999912E-2</v>
      </c>
    </row>
    <row r="12" spans="1:8" x14ac:dyDescent="0.25">
      <c r="A12" t="str">
        <f>IF(Input!A13="","",Input!A13)</f>
        <v>MyMap 6</v>
      </c>
      <c r="B12">
        <f>IF(A12="","",SUM('Asset Allocation'!B12))</f>
        <v>0.1206</v>
      </c>
      <c r="C12">
        <f>IF(A12="","",SUM('Asset Allocation'!C12))</f>
        <v>0.85950000000000004</v>
      </c>
      <c r="G12">
        <f>IF(A12="","",SUM('Asset Allocation'!D12))</f>
        <v>3.04E-2</v>
      </c>
      <c r="H12">
        <f t="shared" si="0"/>
        <v>-1.0500000000000176E-2</v>
      </c>
    </row>
    <row r="13" spans="1:8" x14ac:dyDescent="0.25">
      <c r="A13" t="str">
        <f>IF(Input!A14="","",Input!A14)</f>
        <v>MyMap 3 Select ESG Fund</v>
      </c>
      <c r="B13">
        <f>IF(A13="","",SUM('Asset Allocation'!B13))</f>
        <v>0.81510000000000005</v>
      </c>
      <c r="C13">
        <f>IF(A13="","",SUM('Asset Allocation'!C13))</f>
        <v>0.20199999999999999</v>
      </c>
      <c r="G13">
        <f>IF(A13="","",SUM('Asset Allocation'!D13))</f>
        <v>0</v>
      </c>
      <c r="H13">
        <f t="shared" si="0"/>
        <v>-1.7100000000000115E-2</v>
      </c>
    </row>
    <row r="14" spans="1:8" x14ac:dyDescent="0.25">
      <c r="A14" t="str">
        <f>IF(Input!A15="","",Input!A15)</f>
        <v>MyMap 5 Select ESG Fund</v>
      </c>
      <c r="B14">
        <f>IF(A14="","",SUM('Asset Allocation'!B14))</f>
        <v>0.34340000000000004</v>
      </c>
      <c r="C14">
        <f>IF(A14="","",SUM('Asset Allocation'!C14))</f>
        <v>0.67079999999999995</v>
      </c>
      <c r="G14">
        <f>IF(A14="","",SUM('Asset Allocation'!D14))</f>
        <v>0</v>
      </c>
      <c r="H14">
        <f t="shared" si="0"/>
        <v>-1.419999999999999E-2</v>
      </c>
    </row>
    <row r="15" spans="1:8" x14ac:dyDescent="0.2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1.0094000000000001</v>
      </c>
      <c r="G15">
        <f>IF(A15="","",SUM('Asset Allocation'!D15))</f>
        <v>0</v>
      </c>
      <c r="H15">
        <f t="shared" si="0"/>
        <v>-9.400000000000075E-3</v>
      </c>
    </row>
    <row r="16" spans="1:8" x14ac:dyDescent="0.25">
      <c r="A16" t="str">
        <f>IF(Input!A17="","",Input!A17)</f>
        <v>MyMap 4 Select Income Fund</v>
      </c>
      <c r="B16">
        <f>IF(A16="","",SUM('Asset Allocation'!B16))</f>
        <v>0.64159999999999995</v>
      </c>
      <c r="C16">
        <f>IF(A16="","",SUM('Asset Allocation'!C16))</f>
        <v>0.36770000000000003</v>
      </c>
      <c r="G16">
        <f>IF(A16="","",SUM('Asset Allocation'!D16))</f>
        <v>0</v>
      </c>
      <c r="H16">
        <f t="shared" si="0"/>
        <v>-9.300000000000086E-3</v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BlackRock Consensus 85 Fund</v>
      </c>
      <c r="B2" s="6">
        <f>IFERROR(IF(A2="","",SUM('Asset Allocation'!R2,'Asset Allocation'!I2)),0)</f>
        <v>0</v>
      </c>
      <c r="C2" s="6">
        <f>IFERROR(IF(A2="","",SUM('Asset Allocation'!P2)),0)</f>
        <v>0</v>
      </c>
      <c r="D2" s="6">
        <f>IFERROR(IF(A2="","",SUM('Asset Allocation'!O2,'Asset Allocation'!L2)),0)</f>
        <v>0</v>
      </c>
      <c r="E2" s="6">
        <f>IFERROR(IF(A2="","",SUM('Asset Allocation'!Q2)),0)</f>
        <v>0</v>
      </c>
      <c r="F2" s="6">
        <f>IFERROR(IF(A2="","",SUM('Asset Allocation'!N2,'Asset Allocation'!K2)),0)</f>
        <v>0</v>
      </c>
      <c r="G2" s="6">
        <f>IFERROR(IF(A2="","",SUM('Asset Allocation'!M2,'Asset Allocation'!J2,'Asset Allocation'!H2,'Asset Allocation'!S2)),0)</f>
        <v>0</v>
      </c>
      <c r="H2" s="6"/>
    </row>
    <row r="3" spans="1:8" x14ac:dyDescent="0.25">
      <c r="A3" t="str">
        <f>IF(Input!A4="","",Input!A4)</f>
        <v>BlackRock Consensus 100</v>
      </c>
      <c r="B3" s="6">
        <f>IFERROR(IF(A3="","",SUM('Asset Allocation'!R3,'Asset Allocation'!I3)),0)</f>
        <v>0</v>
      </c>
      <c r="C3" s="6">
        <f>IFERROR(IF(A3="","",SUM('Asset Allocation'!P3)),0)</f>
        <v>0</v>
      </c>
      <c r="D3" s="6">
        <f>IFERROR(IF(A3="","",SUM('Asset Allocation'!O3,'Asset Allocation'!L3)),0)</f>
        <v>0</v>
      </c>
      <c r="E3" s="6">
        <f>IFERROR(IF(A3="","",SUM('Asset Allocation'!Q3)),0)</f>
        <v>0</v>
      </c>
      <c r="F3" s="6">
        <f>IFERROR(IF(A3="","",SUM('Asset Allocation'!N3,'Asset Allocation'!K3)),0)</f>
        <v>0</v>
      </c>
      <c r="G3" s="6">
        <f>IFERROR(IF(A3="","",SUM('Asset Allocation'!M3,'Asset Allocation'!J3,'Asset Allocation'!H3,'Asset Allocation'!S3)),0)</f>
        <v>0</v>
      </c>
      <c r="H3" s="6"/>
    </row>
    <row r="4" spans="1:8" x14ac:dyDescent="0.25">
      <c r="A4" t="str">
        <f>IF(Input!A5="","",Input!A5)</f>
        <v>BlackRock Consensus 35</v>
      </c>
      <c r="B4" s="6">
        <f>IFERROR(IF(A4="","",SUM('Asset Allocation'!R4,'Asset Allocation'!I4)),0)</f>
        <v>0</v>
      </c>
      <c r="C4" s="6">
        <f>IFERROR(IF(A4="","",SUM('Asset Allocation'!P4)),0)</f>
        <v>0</v>
      </c>
      <c r="D4" s="6">
        <f>IFERROR(IF(A4="","",SUM('Asset Allocation'!O4,'Asset Allocation'!L4)),0)</f>
        <v>0</v>
      </c>
      <c r="E4" s="6">
        <f>IFERROR(IF(A4="","",SUM('Asset Allocation'!Q4)),0)</f>
        <v>0</v>
      </c>
      <c r="F4" s="6">
        <f>IFERROR(IF(A4="","",SUM('Asset Allocation'!N4,'Asset Allocation'!K4)),0)</f>
        <v>0</v>
      </c>
      <c r="G4" s="6">
        <f>IFERROR(IF(A4="","",SUM('Asset Allocation'!M4,'Asset Allocation'!J4,'Asset Allocation'!H4,'Asset Allocation'!S4)),0)</f>
        <v>0</v>
      </c>
      <c r="H4" s="6"/>
    </row>
    <row r="5" spans="1:8" x14ac:dyDescent="0.25">
      <c r="A5" t="str">
        <f>IF(Input!A6="","",Input!A6)</f>
        <v>BlackRock Consensus 60</v>
      </c>
      <c r="B5" s="6">
        <f>IFERROR(IF(A5="","",SUM('Asset Allocation'!R5,'Asset Allocation'!I5)),0)</f>
        <v>0</v>
      </c>
      <c r="C5" s="6">
        <f>IFERROR(IF(A5="","",SUM('Asset Allocation'!P5)),0)</f>
        <v>0</v>
      </c>
      <c r="D5" s="6">
        <f>IFERROR(IF(A5="","",SUM('Asset Allocation'!O5,'Asset Allocation'!L5)),0)</f>
        <v>0</v>
      </c>
      <c r="E5" s="6">
        <f>IFERROR(IF(A5="","",SUM('Asset Allocation'!Q5)),0)</f>
        <v>0</v>
      </c>
      <c r="F5" s="6">
        <f>IFERROR(IF(A5="","",SUM('Asset Allocation'!N5,'Asset Allocation'!K5)),0)</f>
        <v>0</v>
      </c>
      <c r="G5" s="6">
        <f>IFERROR(IF(A5="","",SUM('Asset Allocation'!M5,'Asset Allocation'!J5,'Asset Allocation'!H5,'Asset Allocation'!S5)),0)</f>
        <v>0</v>
      </c>
      <c r="H5" s="6"/>
    </row>
    <row r="6" spans="1:8" x14ac:dyDescent="0.25">
      <c r="A6" t="str">
        <f>IF(Input!A7="","",Input!A7)</f>
        <v>BlackRock Consensus 70</v>
      </c>
      <c r="B6" s="6">
        <f>IFERROR(IF(A6="","",SUM('Asset Allocation'!R6,'Asset Allocation'!I6)),0)</f>
        <v>0</v>
      </c>
      <c r="C6" s="6">
        <f>IFERROR(IF(A6="","",SUM('Asset Allocation'!P6)),0)</f>
        <v>0</v>
      </c>
      <c r="D6" s="6">
        <f>IFERROR(IF(A6="","",SUM('Asset Allocation'!O6,'Asset Allocation'!L6)),0)</f>
        <v>0</v>
      </c>
      <c r="E6" s="6">
        <f>IFERROR(IF(A6="","",SUM('Asset Allocation'!Q6)),0)</f>
        <v>0</v>
      </c>
      <c r="F6" s="6">
        <f>IFERROR(IF(A6="","",SUM('Asset Allocation'!N6,'Asset Allocation'!K6)),0)</f>
        <v>0</v>
      </c>
      <c r="G6" s="6">
        <f>IFERROR(IF(A6="","",SUM('Asset Allocation'!M6,'Asset Allocation'!J6,'Asset Allocation'!H6,'Asset Allocation'!S6)),0)</f>
        <v>0</v>
      </c>
      <c r="H6" s="6"/>
    </row>
    <row r="7" spans="1:8" x14ac:dyDescent="0.25">
      <c r="A7" t="str">
        <f>IF(Input!A8="","",Input!A8)</f>
        <v>BlackRock Consensus 100</v>
      </c>
      <c r="B7" s="6">
        <f>IFERROR(IF(A7="","",SUM('Asset Allocation'!R7,'Asset Allocation'!I7)),0)</f>
        <v>0</v>
      </c>
      <c r="C7" s="6">
        <f>IFERROR(IF(A7="","",SUM('Asset Allocation'!P7)),0)</f>
        <v>0</v>
      </c>
      <c r="D7" s="6">
        <f>IFERROR(IF(A7="","",SUM('Asset Allocation'!O7,'Asset Allocation'!L7)),0)</f>
        <v>0</v>
      </c>
      <c r="E7" s="6">
        <f>IFERROR(IF(A7="","",SUM('Asset Allocation'!Q7)),0)</f>
        <v>0</v>
      </c>
      <c r="F7" s="6">
        <f>IFERROR(IF(A7="","",SUM('Asset Allocation'!N7,'Asset Allocation'!K7)),0)</f>
        <v>0</v>
      </c>
      <c r="G7" s="6">
        <f>IFERROR(IF(A7="","",SUM('Asset Allocation'!M7,'Asset Allocation'!J7,'Asset Allocation'!H7,'Asset Allocation'!S7)),0)</f>
        <v>0</v>
      </c>
      <c r="H7" s="6"/>
    </row>
    <row r="8" spans="1:8" x14ac:dyDescent="0.25">
      <c r="A8" t="str">
        <f>IF(Input!A9="","",Input!A9)</f>
        <v>BlackRock Pension Growth Fund</v>
      </c>
      <c r="B8" s="6">
        <f>IFERROR(IF(A8="","",SUM('Asset Allocation'!R8,'Asset Allocation'!I8)),0)</f>
        <v>0</v>
      </c>
      <c r="C8" s="6">
        <f>IFERROR(IF(A8="","",SUM('Asset Allocation'!P8)),0)</f>
        <v>7.0000000000000007E-2</v>
      </c>
      <c r="D8" s="6">
        <f>IFERROR(IF(A8="","",SUM('Asset Allocation'!O8,'Asset Allocation'!L8)),0)</f>
        <v>0.23399999999999999</v>
      </c>
      <c r="E8" s="6">
        <f>IFERROR(IF(A8="","",SUM('Asset Allocation'!Q8)),0)</f>
        <v>0</v>
      </c>
      <c r="F8" s="6">
        <f>IFERROR(IF(A8="","",SUM('Asset Allocation'!N8,'Asset Allocation'!K8)),0)</f>
        <v>1E-4</v>
      </c>
      <c r="G8" s="6">
        <f>IFERROR(IF(A8="","",SUM('Asset Allocation'!M8,'Asset Allocation'!J8,'Asset Allocation'!H8,'Asset Allocation'!S8)),0)</f>
        <v>0.14629999999999999</v>
      </c>
      <c r="H8" s="6"/>
    </row>
    <row r="9" spans="1:8" x14ac:dyDescent="0.25">
      <c r="A9" t="str">
        <f>IF(Input!A10="","",Input!A10)</f>
        <v>MyMap 3</v>
      </c>
      <c r="B9" s="6">
        <f>IFERROR(IF(A9="","",SUM('Asset Allocation'!R9,'Asset Allocation'!I9)),0)</f>
        <v>0.12139999999999998</v>
      </c>
      <c r="C9" s="6">
        <f>IFERROR(IF(A9="","",SUM('Asset Allocation'!P9)),0)</f>
        <v>1.6399999999999998E-2</v>
      </c>
      <c r="D9" s="6">
        <f>IFERROR(IF(A9="","",SUM('Asset Allocation'!O9,'Asset Allocation'!L9)),0)</f>
        <v>0.81540000000000001</v>
      </c>
      <c r="E9" s="6">
        <f>IFERROR(IF(A9="","",SUM('Asset Allocation'!Q9)),0)</f>
        <v>3.1099999999999999E-2</v>
      </c>
      <c r="F9" s="6">
        <f>IFERROR(IF(A9="","",SUM('Asset Allocation'!N9,'Asset Allocation'!K9)),0)</f>
        <v>-2.5599999999999998E-2</v>
      </c>
      <c r="G9" s="6">
        <f>IFERROR(IF(A9="","",SUM('Asset Allocation'!M9,'Asset Allocation'!J9,'Asset Allocation'!H9,'Asset Allocation'!S9)),0)</f>
        <v>0.44670000000000004</v>
      </c>
      <c r="H9" s="6"/>
    </row>
    <row r="10" spans="1:8" x14ac:dyDescent="0.25">
      <c r="A10" t="str">
        <f>IF(Input!A11="","",Input!A11)</f>
        <v>MyMap 4</v>
      </c>
      <c r="B10" s="6">
        <f>IFERROR(IF(A10="","",SUM('Asset Allocation'!R10,'Asset Allocation'!I10)),0)</f>
        <v>0.12610000000000002</v>
      </c>
      <c r="C10" s="6">
        <f>IFERROR(IF(A10="","",SUM('Asset Allocation'!P10)),0)</f>
        <v>3.4700000000000002E-2</v>
      </c>
      <c r="D10" s="6">
        <f>IFERROR(IF(A10="","",SUM('Asset Allocation'!O10,'Asset Allocation'!L10)),0)</f>
        <v>0.82690000000000008</v>
      </c>
      <c r="E10" s="6">
        <f>IFERROR(IF(A10="","",SUM('Asset Allocation'!Q10)),0)</f>
        <v>2.7200000000000002E-2</v>
      </c>
      <c r="F10" s="6">
        <f>IFERROR(IF(A10="","",SUM('Asset Allocation'!N10,'Asset Allocation'!K10)),0)</f>
        <v>-5.21E-2</v>
      </c>
      <c r="G10" s="6">
        <f>IFERROR(IF(A10="","",SUM('Asset Allocation'!M10,'Asset Allocation'!J10,'Asset Allocation'!H10,'Asset Allocation'!S10)),0)</f>
        <v>0.51090000000000002</v>
      </c>
      <c r="H10" s="6"/>
    </row>
    <row r="11" spans="1:8" x14ac:dyDescent="0.25">
      <c r="A11" t="str">
        <f>IF(Input!A12="","",Input!A12)</f>
        <v>MyMap 5</v>
      </c>
      <c r="B11" s="6">
        <f>IFERROR(IF(A11="","",SUM('Asset Allocation'!R11,'Asset Allocation'!I11)),0)</f>
        <v>0.15260000000000001</v>
      </c>
      <c r="C11" s="6">
        <f>IFERROR(IF(A11="","",SUM('Asset Allocation'!P11)),0)</f>
        <v>4.8300000000000003E-2</v>
      </c>
      <c r="D11" s="6">
        <f>IFERROR(IF(A11="","",SUM('Asset Allocation'!O11,'Asset Allocation'!L11)),0)</f>
        <v>0.66450000000000009</v>
      </c>
      <c r="E11" s="6">
        <f>IFERROR(IF(A11="","",SUM('Asset Allocation'!Q11)),0)</f>
        <v>2.06E-2</v>
      </c>
      <c r="F11" s="6">
        <f>IFERROR(IF(A11="","",SUM('Asset Allocation'!N11,'Asset Allocation'!K11)),0)</f>
        <v>0.10009999999999999</v>
      </c>
      <c r="G11" s="6">
        <f>IFERROR(IF(A11="","",SUM('Asset Allocation'!M11,'Asset Allocation'!J11,'Asset Allocation'!H11,'Asset Allocation'!S11)),0)</f>
        <v>0.42829999999999996</v>
      </c>
      <c r="H11" s="6"/>
    </row>
    <row r="12" spans="1:8" x14ac:dyDescent="0.25">
      <c r="A12" t="str">
        <f>IF(Input!A13="","",Input!A13)</f>
        <v>MyMap 6</v>
      </c>
      <c r="B12" s="6">
        <f>IFERROR(IF(A12="","",SUM('Asset Allocation'!R12,'Asset Allocation'!I12)),0)</f>
        <v>0.17450000000000002</v>
      </c>
      <c r="C12" s="6">
        <f>IFERROR(IF(A12="","",SUM('Asset Allocation'!P12)),0)</f>
        <v>6.1500000000000006E-2</v>
      </c>
      <c r="D12" s="6">
        <f>IFERROR(IF(A12="","",SUM('Asset Allocation'!O12,'Asset Allocation'!L12)),0)</f>
        <v>0.64290000000000003</v>
      </c>
      <c r="E12" s="6">
        <f>IFERROR(IF(A12="","",SUM('Asset Allocation'!Q12)),0)</f>
        <v>2.5000000000000001E-2</v>
      </c>
      <c r="F12" s="6">
        <f>IFERROR(IF(A12="","",SUM('Asset Allocation'!N12,'Asset Allocation'!K12)),0)</f>
        <v>8.8900000000000007E-2</v>
      </c>
      <c r="G12" s="6">
        <f>IFERROR(IF(A12="","",SUM('Asset Allocation'!M12,'Asset Allocation'!J12,'Asset Allocation'!H12,'Asset Allocation'!S12)),0)</f>
        <v>0.49200000000000005</v>
      </c>
      <c r="H12" s="6"/>
    </row>
    <row r="13" spans="1:8" x14ac:dyDescent="0.25">
      <c r="A13" t="str">
        <f>IF(Input!A14="","",Input!A14)</f>
        <v>MyMap 3 Select ESG Fund</v>
      </c>
      <c r="B13" s="6">
        <f>IFERROR(IF(A13="","",SUM('Asset Allocation'!R13,'Asset Allocation'!I13)),0)</f>
        <v>0.129</v>
      </c>
      <c r="C13" s="6">
        <f>IFERROR(IF(A13="","",SUM('Asset Allocation'!P13)),0)</f>
        <v>1.6899999999999998E-2</v>
      </c>
      <c r="D13" s="6">
        <f>IFERROR(IF(A13="","",SUM('Asset Allocation'!O13,'Asset Allocation'!L13)),0)</f>
        <v>0.71499999999999997</v>
      </c>
      <c r="E13" s="6">
        <f>IFERROR(IF(A13="","",SUM('Asset Allocation'!Q13)),0)</f>
        <v>3.1300000000000001E-2</v>
      </c>
      <c r="F13" s="6">
        <f>IFERROR(IF(A13="","",SUM('Asset Allocation'!N13,'Asset Allocation'!K13)),0)</f>
        <v>5.7599999999999998E-2</v>
      </c>
      <c r="G13" s="6">
        <f>IFERROR(IF(A13="","",SUM('Asset Allocation'!M13,'Asset Allocation'!J13,'Asset Allocation'!H13,'Asset Allocation'!S13)),0)</f>
        <v>0.34419999999999995</v>
      </c>
      <c r="H13" s="6"/>
    </row>
    <row r="14" spans="1:8" x14ac:dyDescent="0.25">
      <c r="A14" t="str">
        <f>IF(Input!A15="","",Input!A15)</f>
        <v>MyMap 5 Select ESG Fund</v>
      </c>
      <c r="B14" s="6">
        <f>IFERROR(IF(A14="","",SUM('Asset Allocation'!R14,'Asset Allocation'!I14)),0)</f>
        <v>0.1431</v>
      </c>
      <c r="C14" s="6">
        <f>IFERROR(IF(A14="","",SUM('Asset Allocation'!P14)),0)</f>
        <v>4.6900000000000004E-2</v>
      </c>
      <c r="D14" s="6">
        <f>IFERROR(IF(A14="","",SUM('Asset Allocation'!O14,'Asset Allocation'!L14)),0)</f>
        <v>0.57579999999999998</v>
      </c>
      <c r="E14" s="6">
        <f>IFERROR(IF(A14="","",SUM('Asset Allocation'!Q14)),0)</f>
        <v>1.95E-2</v>
      </c>
      <c r="F14" s="6">
        <f>IFERROR(IF(A14="","",SUM('Asset Allocation'!N14,'Asset Allocation'!K14)),0)</f>
        <v>0.18580000000000002</v>
      </c>
      <c r="G14" s="6">
        <f>IFERROR(IF(A14="","",SUM('Asset Allocation'!M14,'Asset Allocation'!J14,'Asset Allocation'!H14,'Asset Allocation'!S14)),0)</f>
        <v>0.30140000000000006</v>
      </c>
      <c r="H14" s="6"/>
    </row>
    <row r="15" spans="1:8" x14ac:dyDescent="0.25">
      <c r="A15" t="str">
        <f>IF(Input!A16="","",Input!A16)</f>
        <v>MyMap 7 Select ESG Fund</v>
      </c>
      <c r="B15" s="6">
        <f>IFERROR(IF(A15="","",SUM('Asset Allocation'!R15,'Asset Allocation'!I15)),0)</f>
        <v>0.18080000000000002</v>
      </c>
      <c r="C15" s="6">
        <f>IFERROR(IF(A15="","",SUM('Asset Allocation'!P15)),0)</f>
        <v>7.0499999999999993E-2</v>
      </c>
      <c r="D15" s="6">
        <f>IFERROR(IF(A15="","",SUM('Asset Allocation'!O15,'Asset Allocation'!L15)),0)</f>
        <v>0.58010000000000006</v>
      </c>
      <c r="E15" s="6">
        <f>IFERROR(IF(A15="","",SUM('Asset Allocation'!Q15)),0)</f>
        <v>2.7900000000000001E-2</v>
      </c>
      <c r="F15" s="6">
        <f>IFERROR(IF(A15="","",SUM('Asset Allocation'!N15,'Asset Allocation'!K15)),0)</f>
        <v>0.16370000000000001</v>
      </c>
      <c r="G15" s="6">
        <f>IFERROR(IF(A15="","",SUM('Asset Allocation'!M15,'Asset Allocation'!J15,'Asset Allocation'!H15,'Asset Allocation'!S15)),0)</f>
        <v>0.42759999999999992</v>
      </c>
      <c r="H15" s="6"/>
    </row>
    <row r="16" spans="1:8" x14ac:dyDescent="0.25">
      <c r="A16" t="str">
        <f>IF(Input!A17="","",Input!A17)</f>
        <v>MyMap 4 Select Income Fund</v>
      </c>
      <c r="B16" s="6">
        <f>IFERROR(IF(A16="","",SUM('Asset Allocation'!R16,'Asset Allocation'!I16)),0)</f>
        <v>0.15709999999999999</v>
      </c>
      <c r="C16" s="6">
        <f>IFERROR(IF(A16="","",SUM('Asset Allocation'!P16)),0)</f>
        <v>3.3700000000000001E-2</v>
      </c>
      <c r="D16" s="6">
        <f>IFERROR(IF(A16="","",SUM('Asset Allocation'!O16,'Asset Allocation'!L16)),0)</f>
        <v>0.67279999999999995</v>
      </c>
      <c r="E16" s="6">
        <f>IFERROR(IF(A16="","",SUM('Asset Allocation'!Q16)),0)</f>
        <v>0</v>
      </c>
      <c r="F16" s="6">
        <f>IFERROR(IF(A16="","",SUM('Asset Allocation'!N16,'Asset Allocation'!K16)),0)</f>
        <v>-2.5000000000000001E-2</v>
      </c>
      <c r="G16" s="6">
        <f>IFERROR(IF(A16="","",SUM('Asset Allocation'!M16,'Asset Allocation'!J16,'Asset Allocation'!H16,'Asset Allocation'!S16)),0)</f>
        <v>0.49049999999999999</v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Allocation'!R17,'Asset Allocation'!I17)),0)</f>
        <v/>
      </c>
      <c r="C17" s="6" t="str">
        <f>IFERROR(IF(A17="","",SUM('Asset Allocation'!P17)),0)</f>
        <v/>
      </c>
      <c r="D17" s="6" t="str">
        <f>IFERROR(IF(A17="","",SUM('Asset Allocation'!O17,'Asset Allocation'!L17)),0)</f>
        <v/>
      </c>
      <c r="E17" s="6" t="str">
        <f>IFERROR(IF(A17="","",SUM('Asset Allocation'!Q17)),0)</f>
        <v/>
      </c>
      <c r="F17" s="6" t="str">
        <f>IFERROR(IF(A17="","",SUM('Asset Allocation'!N17,'Asset Allocation'!K17)),0)</f>
        <v/>
      </c>
      <c r="G17" s="6" t="str">
        <f>IFERROR(IF(A17="","",SUM('Asset Allocation'!M17,'Asset Allocation'!J17,'Asset Allocation'!H17,'Asset Allocation'!S17)),0)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Allocation'!R18,'Asset Allocation'!I18)),0)</f>
        <v/>
      </c>
      <c r="C18" s="6" t="str">
        <f>IFERROR(IF(A18="","",SUM('Asset Allocation'!P18)),0)</f>
        <v/>
      </c>
      <c r="D18" s="6" t="str">
        <f>IFERROR(IF(A18="","",SUM('Asset Allocation'!O18,'Asset Allocation'!L18)),0)</f>
        <v/>
      </c>
      <c r="E18" s="6" t="str">
        <f>IFERROR(IF(A18="","",SUM('Asset Allocation'!Q18)),0)</f>
        <v/>
      </c>
      <c r="F18" s="6" t="str">
        <f>IFERROR(IF(A18="","",SUM('Asset Allocation'!N18,'Asset Allocation'!K18)),0)</f>
        <v/>
      </c>
      <c r="G18" s="6" t="str">
        <f>IFERROR(IF(A18="","",SUM('Asset Allocation'!M18,'Asset Allocation'!J18,'Asset Allocation'!H18,'Asset Allocation'!S18)),0)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Allocation'!R19,'Asset Allocation'!I19)),0)</f>
        <v/>
      </c>
      <c r="C19" s="6" t="str">
        <f>IFERROR(IF(A19="","",SUM('Asset Allocation'!P19)),0)</f>
        <v/>
      </c>
      <c r="D19" s="6" t="str">
        <f>IFERROR(IF(A19="","",SUM('Asset Allocation'!O19,'Asset Allocation'!L19)),0)</f>
        <v/>
      </c>
      <c r="E19" s="6" t="str">
        <f>IFERROR(IF(A19="","",SUM('Asset Allocation'!Q19)),0)</f>
        <v/>
      </c>
      <c r="F19" s="6" t="str">
        <f>IFERROR(IF(A19="","",SUM('Asset Allocation'!N19,'Asset Allocation'!K19)),0)</f>
        <v/>
      </c>
      <c r="G19" s="6" t="str">
        <f>IFERROR(IF(A19="","",SUM('Asset Allocation'!M19,'Asset Allocation'!J19,'Asset Allocation'!H19,'Asset Allocation'!S19)),0)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Allocation'!R20,'Asset Allocation'!I20)),0)</f>
        <v/>
      </c>
      <c r="C20" s="6" t="str">
        <f>IFERROR(IF(A20="","",SUM('Asset Allocation'!P20)),0)</f>
        <v/>
      </c>
      <c r="D20" s="6" t="str">
        <f>IFERROR(IF(A20="","",SUM('Asset Allocation'!O20,'Asset Allocation'!L20)),0)</f>
        <v/>
      </c>
      <c r="E20" s="6" t="str">
        <f>IFERROR(IF(A20="","",SUM('Asset Allocation'!Q20)),0)</f>
        <v/>
      </c>
      <c r="F20" s="6" t="str">
        <f>IFERROR(IF(A20="","",SUM('Asset Allocation'!N20,'Asset Allocation'!K20)),0)</f>
        <v/>
      </c>
      <c r="G20" s="6" t="str">
        <f>IFERROR(IF(A20="","",SUM('Asset Allocation'!M20,'Asset Allocation'!J20,'Asset Allocation'!H20,'Asset Allocation'!S20)),0)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Allocation'!R21,'Asset Allocation'!I21)),0)</f>
        <v/>
      </c>
      <c r="C21" s="6" t="str">
        <f>IFERROR(IF(A21="","",SUM('Asset Allocation'!P21)),0)</f>
        <v/>
      </c>
      <c r="D21" s="6" t="str">
        <f>IFERROR(IF(A21="","",SUM('Asset Allocation'!O21,'Asset Allocation'!L21)),0)</f>
        <v/>
      </c>
      <c r="E21" s="6" t="str">
        <f>IFERROR(IF(A21="","",SUM('Asset Allocation'!Q21)),0)</f>
        <v/>
      </c>
      <c r="F21" s="6" t="str">
        <f>IFERROR(IF(A21="","",SUM('Asset Allocation'!N21,'Asset Allocation'!K21)),0)</f>
        <v/>
      </c>
      <c r="G21" s="6" t="str">
        <f>IFERROR(IF(A21="","",SUM('Asset Allocation'!M21,'Asset Allocation'!J21,'Asset Allocation'!H21,'Asset Allocation'!S21)),0)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Allocation'!R22,'Asset Allocation'!I22)),0)</f>
        <v/>
      </c>
      <c r="C22" s="6" t="str">
        <f>IFERROR(IF(A22="","",SUM('Asset Allocation'!P22)),0)</f>
        <v/>
      </c>
      <c r="D22" s="6" t="str">
        <f>IFERROR(IF(A22="","",SUM('Asset Allocation'!O22,'Asset Allocation'!L22)),0)</f>
        <v/>
      </c>
      <c r="E22" s="6" t="str">
        <f>IFERROR(IF(A22="","",SUM('Asset Allocation'!Q22)),0)</f>
        <v/>
      </c>
      <c r="F22" s="6" t="str">
        <f>IFERROR(IF(A22="","",SUM('Asset Allocation'!N22,'Asset Allocation'!K22)),0)</f>
        <v/>
      </c>
      <c r="G22" s="6" t="str">
        <f>IFERROR(IF(A22="","",SUM('Asset Allocation'!M22,'Asset Allocation'!J22,'Asset Allocation'!H22,'Asset Allocation'!S22)),0)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Allocation'!R23,'Asset Allocation'!I23)),0)</f>
        <v/>
      </c>
      <c r="C23" s="6" t="str">
        <f>IFERROR(IF(A23="","",SUM('Asset Allocation'!P23)),0)</f>
        <v/>
      </c>
      <c r="D23" s="6" t="str">
        <f>IFERROR(IF(A23="","",SUM('Asset Allocation'!O23,'Asset Allocation'!L23)),0)</f>
        <v/>
      </c>
      <c r="E23" s="6" t="str">
        <f>IFERROR(IF(A23="","",SUM('Asset Allocation'!Q23)),0)</f>
        <v/>
      </c>
      <c r="F23" s="6" t="str">
        <f>IFERROR(IF(A23="","",SUM('Asset Allocation'!N23,'Asset Allocation'!K23)),0)</f>
        <v/>
      </c>
      <c r="G23" s="6" t="str">
        <f>IFERROR(IF(A23="","",SUM('Asset Allocation'!M23,'Asset Allocation'!J23,'Asset Allocation'!H23,'Asset Allocation'!S23)),0)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Allocation'!R24,'Asset Allocation'!I24)),0)</f>
        <v/>
      </c>
      <c r="C24" s="6" t="str">
        <f>IFERROR(IF(A24="","",SUM('Asset Allocation'!P24)),0)</f>
        <v/>
      </c>
      <c r="D24" s="6" t="str">
        <f>IFERROR(IF(A24="","",SUM('Asset Allocation'!O24,'Asset Allocation'!L24)),0)</f>
        <v/>
      </c>
      <c r="E24" s="6" t="str">
        <f>IFERROR(IF(A24="","",SUM('Asset Allocation'!Q24)),0)</f>
        <v/>
      </c>
      <c r="F24" s="6" t="str">
        <f>IFERROR(IF(A24="","",SUM('Asset Allocation'!N24,'Asset Allocation'!K24)),0)</f>
        <v/>
      </c>
      <c r="G24" s="6" t="str">
        <f>IFERROR(IF(A24="","",SUM('Asset Allocation'!M24,'Asset Allocation'!J24,'Asset Allocation'!H24,'Asset Allocation'!S24)),0)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Allocation'!R25,'Asset Allocation'!I25)),0)</f>
        <v/>
      </c>
      <c r="C25" s="6" t="str">
        <f>IFERROR(IF(A25="","",SUM('Asset Allocation'!P25)),0)</f>
        <v/>
      </c>
      <c r="D25" s="6" t="str">
        <f>IFERROR(IF(A25="","",SUM('Asset Allocation'!O25,'Asset Allocation'!L25)),0)</f>
        <v/>
      </c>
      <c r="E25" s="6" t="str">
        <f>IFERROR(IF(A25="","",SUM('Asset Allocation'!Q25)),0)</f>
        <v/>
      </c>
      <c r="F25" s="6" t="str">
        <f>IFERROR(IF(A25="","",SUM('Asset Allocation'!N25,'Asset Allocation'!K25)),0)</f>
        <v/>
      </c>
      <c r="G25" s="6" t="str">
        <f>IFERROR(IF(A25="","",SUM('Asset Allocation'!M25,'Asset Allocation'!J25,'Asset Allocation'!H25,'Asset Allocation'!S25)),0)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Allocation'!R26,'Asset Allocation'!I26)),0)</f>
        <v/>
      </c>
      <c r="C26" s="6" t="str">
        <f>IFERROR(IF(A26="","",SUM('Asset Allocation'!P26)),0)</f>
        <v/>
      </c>
      <c r="D26" s="6" t="str">
        <f>IFERROR(IF(A26="","",SUM('Asset Allocation'!O26,'Asset Allocation'!L26)),0)</f>
        <v/>
      </c>
      <c r="E26" s="6" t="str">
        <f>IFERROR(IF(A26="","",SUM('Asset Allocation'!Q26)),0)</f>
        <v/>
      </c>
      <c r="F26" s="6" t="str">
        <f>IFERROR(IF(A26="","",SUM('Asset Allocation'!N26,'Asset Allocation'!K26)),0)</f>
        <v/>
      </c>
      <c r="G26" s="6" t="str">
        <f>IFERROR(IF(A26="","",SUM('Asset Allocation'!M26,'Asset Allocation'!J26,'Asset Allocation'!H26,'Asset Allocation'!S26)),0)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Allocation'!R27,'Asset Allocation'!I27)),0)</f>
        <v/>
      </c>
      <c r="C27" s="6" t="str">
        <f>IFERROR(IF(A27="","",SUM('Asset Allocation'!P27)),0)</f>
        <v/>
      </c>
      <c r="D27" s="6" t="str">
        <f>IFERROR(IF(A27="","",SUM('Asset Allocation'!O27,'Asset Allocation'!L27)),0)</f>
        <v/>
      </c>
      <c r="E27" s="6" t="str">
        <f>IFERROR(IF(A27="","",SUM('Asset Allocation'!Q27)),0)</f>
        <v/>
      </c>
      <c r="F27" s="6" t="str">
        <f>IFERROR(IF(A27="","",SUM('Asset Allocation'!N27,'Asset Allocation'!K27)),0)</f>
        <v/>
      </c>
      <c r="G27" s="6" t="str">
        <f>IFERROR(IF(A27="","",SUM('Asset Allocation'!M27,'Asset Allocation'!J27,'Asset Allocation'!H27,'Asset Allocation'!S27)),0)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Allocation'!R28,'Asset Allocation'!I28)),0)</f>
        <v/>
      </c>
      <c r="C28" s="6" t="str">
        <f>IFERROR(IF(A28="","",SUM('Asset Allocation'!P28)),0)</f>
        <v/>
      </c>
      <c r="D28" s="6" t="str">
        <f>IFERROR(IF(A28="","",SUM('Asset Allocation'!O28,'Asset Allocation'!L28)),0)</f>
        <v/>
      </c>
      <c r="E28" s="6" t="str">
        <f>IFERROR(IF(A28="","",SUM('Asset Allocation'!Q28)),0)</f>
        <v/>
      </c>
      <c r="F28" s="6" t="str">
        <f>IFERROR(IF(A28="","",SUM('Asset Allocation'!N28,'Asset Allocation'!K28)),0)</f>
        <v/>
      </c>
      <c r="G28" s="6" t="str">
        <f>IFERROR(IF(A28="","",SUM('Asset Allocation'!M28,'Asset Allocation'!J28,'Asset Allocation'!H28,'Asset Allocation'!S28)),0)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Allocation'!R29,'Asset Allocation'!I29)),0)</f>
        <v/>
      </c>
      <c r="C29" s="6" t="str">
        <f>IFERROR(IF(A29="","",SUM('Asset Allocation'!P29)),0)</f>
        <v/>
      </c>
      <c r="D29" s="6" t="str">
        <f>IFERROR(IF(A29="","",SUM('Asset Allocation'!O29,'Asset Allocation'!L29)),0)</f>
        <v/>
      </c>
      <c r="E29" s="6" t="str">
        <f>IFERROR(IF(A29="","",SUM('Asset Allocation'!Q29)),0)</f>
        <v/>
      </c>
      <c r="F29" s="6" t="str">
        <f>IFERROR(IF(A29="","",SUM('Asset Allocation'!N29,'Asset Allocation'!K29)),0)</f>
        <v/>
      </c>
      <c r="G29" s="6" t="str">
        <f>IFERROR(IF(A29="","",SUM('Asset Allocation'!M29,'Asset Allocation'!J29,'Asset Allocation'!H29,'Asset Allocation'!S29)),0)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Allocation'!R30,'Asset Allocation'!I30)),0)</f>
        <v/>
      </c>
      <c r="C30" s="6" t="str">
        <f>IFERROR(IF(A30="","",SUM('Asset Allocation'!P30)),0)</f>
        <v/>
      </c>
      <c r="D30" s="6" t="str">
        <f>IFERROR(IF(A30="","",SUM('Asset Allocation'!O30,'Asset Allocation'!L30)),0)</f>
        <v/>
      </c>
      <c r="E30" s="6" t="str">
        <f>IFERROR(IF(A30="","",SUM('Asset Allocation'!Q30)),0)</f>
        <v/>
      </c>
      <c r="F30" s="6" t="str">
        <f>IFERROR(IF(A30="","",SUM('Asset Allocation'!N30,'Asset Allocation'!K30)),0)</f>
        <v/>
      </c>
      <c r="G30" s="6" t="str">
        <f>IFERROR(IF(A30="","",SUM('Asset Allocation'!M30,'Asset Allocation'!J30,'Asset Allocation'!H30,'Asset Allocation'!S30)),0)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Allocation'!R31,'Asset Allocation'!I31)),0)</f>
        <v/>
      </c>
      <c r="C31" s="6" t="str">
        <f>IFERROR(IF(A31="","",SUM('Asset Allocation'!P31)),0)</f>
        <v/>
      </c>
      <c r="D31" s="6" t="str">
        <f>IFERROR(IF(A31="","",SUM('Asset Allocation'!O31,'Asset Allocation'!L31)),0)</f>
        <v/>
      </c>
      <c r="E31" s="6" t="str">
        <f>IFERROR(IF(A31="","",SUM('Asset Allocation'!Q31)),0)</f>
        <v/>
      </c>
      <c r="F31" s="6" t="str">
        <f>IFERROR(IF(A31="","",SUM('Asset Allocation'!N31,'Asset Allocation'!K31)),0)</f>
        <v/>
      </c>
      <c r="G31" s="6" t="str">
        <f>IFERROR(IF(A31="","",SUM('Asset Allocation'!M31,'Asset Allocation'!J31,'Asset Allocation'!H31,'Asset Allocation'!S31)),0)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Allocation'!R32,'Asset Allocation'!I32)),0)</f>
        <v/>
      </c>
      <c r="C32" s="6" t="str">
        <f>IFERROR(IF(A32="","",SUM('Asset Allocation'!P32)),0)</f>
        <v/>
      </c>
      <c r="D32" s="6" t="str">
        <f>IFERROR(IF(A32="","",SUM('Asset Allocation'!O32,'Asset Allocation'!L32)),0)</f>
        <v/>
      </c>
      <c r="E32" s="6" t="str">
        <f>IFERROR(IF(A32="","",SUM('Asset Allocation'!Q32)),0)</f>
        <v/>
      </c>
      <c r="F32" s="6" t="str">
        <f>IFERROR(IF(A32="","",SUM('Asset Allocation'!N32,'Asset Allocation'!K32)),0)</f>
        <v/>
      </c>
      <c r="G32" s="6" t="str">
        <f>IFERROR(IF(A32="","",SUM('Asset Allocation'!M32,'Asset Allocation'!J32,'Asset Allocation'!H32,'Asset Allocation'!S32)),0)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Allocation'!R33,'Asset Allocation'!I33)),0)</f>
        <v/>
      </c>
      <c r="C33" s="6" t="str">
        <f>IFERROR(IF(A33="","",SUM('Asset Allocation'!P33)),0)</f>
        <v/>
      </c>
      <c r="D33" s="6" t="str">
        <f>IFERROR(IF(A33="","",SUM('Asset Allocation'!O33,'Asset Allocation'!L33)),0)</f>
        <v/>
      </c>
      <c r="E33" s="6" t="str">
        <f>IFERROR(IF(A33="","",SUM('Asset Allocation'!Q33)),0)</f>
        <v/>
      </c>
      <c r="F33" s="6" t="str">
        <f>IFERROR(IF(A33="","",SUM('Asset Allocation'!N33,'Asset Allocation'!K33)),0)</f>
        <v/>
      </c>
      <c r="G33" s="6" t="str">
        <f>IFERROR(IF(A33="","",SUM('Asset Allocation'!M33,'Asset Allocation'!J33,'Asset Allocation'!H33,'Asset Allocation'!S33)),0)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Allocation'!R34,'Asset Allocation'!I34)),0)</f>
        <v/>
      </c>
      <c r="C34" s="6" t="str">
        <f>IFERROR(IF(A34="","",SUM('Asset Allocation'!P34)),0)</f>
        <v/>
      </c>
      <c r="D34" s="6" t="str">
        <f>IFERROR(IF(A34="","",SUM('Asset Allocation'!O34,'Asset Allocation'!L34)),0)</f>
        <v/>
      </c>
      <c r="E34" s="6" t="str">
        <f>IFERROR(IF(A34="","",SUM('Asset Allocation'!Q34)),0)</f>
        <v/>
      </c>
      <c r="F34" s="6" t="str">
        <f>IFERROR(IF(A34="","",SUM('Asset Allocation'!N34,'Asset Allocation'!K34)),0)</f>
        <v/>
      </c>
      <c r="G34" s="6" t="str">
        <f>IFERROR(IF(A34="","",SUM('Asset Allocation'!M34,'Asset Allocation'!J34,'Asset Allocation'!H34,'Asset Allocation'!S34)),0)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Allocation'!R35,'Asset Allocation'!I35)),0)</f>
        <v/>
      </c>
      <c r="C35" s="6" t="str">
        <f>IFERROR(IF(A35="","",SUM('Asset Allocation'!P35)),0)</f>
        <v/>
      </c>
      <c r="D35" s="6" t="str">
        <f>IFERROR(IF(A35="","",SUM('Asset Allocation'!O35,'Asset Allocation'!L35)),0)</f>
        <v/>
      </c>
      <c r="E35" s="6" t="str">
        <f>IFERROR(IF(A35="","",SUM('Asset Allocation'!Q35)),0)</f>
        <v/>
      </c>
      <c r="F35" s="6" t="str">
        <f>IFERROR(IF(A35="","",SUM('Asset Allocation'!N35,'Asset Allocation'!K35)),0)</f>
        <v/>
      </c>
      <c r="G35" s="6" t="str">
        <f>IFERROR(IF(A35="","",SUM('Asset Allocation'!M35,'Asset Allocation'!J35,'Asset Allocation'!H35,'Asset Allocation'!S35)),0)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Allocation'!R36,'Asset Allocation'!I36)),0)</f>
        <v/>
      </c>
      <c r="C36" s="6" t="str">
        <f>IFERROR(IF(A36="","",SUM('Asset Allocation'!P36)),0)</f>
        <v/>
      </c>
      <c r="D36" s="6" t="str">
        <f>IFERROR(IF(A36="","",SUM('Asset Allocation'!O36,'Asset Allocation'!L36)),0)</f>
        <v/>
      </c>
      <c r="E36" s="6" t="str">
        <f>IFERROR(IF(A36="","",SUM('Asset Allocation'!Q36)),0)</f>
        <v/>
      </c>
      <c r="F36" s="6" t="str">
        <f>IFERROR(IF(A36="","",SUM('Asset Allocation'!N36,'Asset Allocation'!K36)),0)</f>
        <v/>
      </c>
      <c r="G36" s="6" t="str">
        <f>IFERROR(IF(A36="","",SUM('Asset Allocation'!M36,'Asset Allocation'!J36,'Asset Allocation'!H36,'Asset Allocation'!S36)),0)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Allocation'!R37,'Asset Allocation'!I37)),0)</f>
        <v/>
      </c>
      <c r="C37" s="6" t="str">
        <f>IFERROR(IF(A37="","",SUM('Asset Allocation'!P37)),0)</f>
        <v/>
      </c>
      <c r="D37" s="6" t="str">
        <f>IFERROR(IF(A37="","",SUM('Asset Allocation'!O37,'Asset Allocation'!L37)),0)</f>
        <v/>
      </c>
      <c r="E37" s="6" t="str">
        <f>IFERROR(IF(A37="","",SUM('Asset Allocation'!Q37)),0)</f>
        <v/>
      </c>
      <c r="F37" s="6" t="str">
        <f>IFERROR(IF(A37="","",SUM('Asset Allocation'!N37,'Asset Allocation'!K37)),0)</f>
        <v/>
      </c>
      <c r="G37" s="6" t="str">
        <f>IFERROR(IF(A37="","",SUM('Asset Allocation'!M37,'Asset Allocation'!J37,'Asset Allocation'!H37,'Asset Allocation'!S37)),0)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Allocation'!R38,'Asset Allocation'!I38)),0)</f>
        <v/>
      </c>
      <c r="C38" s="6" t="str">
        <f>IFERROR(IF(A38="","",SUM('Asset Allocation'!P38)),0)</f>
        <v/>
      </c>
      <c r="D38" s="6" t="str">
        <f>IFERROR(IF(A38="","",SUM('Asset Allocation'!O38,'Asset Allocation'!L38)),0)</f>
        <v/>
      </c>
      <c r="E38" s="6" t="str">
        <f>IFERROR(IF(A38="","",SUM('Asset Allocation'!Q38)),0)</f>
        <v/>
      </c>
      <c r="F38" s="6" t="str">
        <f>IFERROR(IF(A38="","",SUM('Asset Allocation'!N38,'Asset Allocation'!K38)),0)</f>
        <v/>
      </c>
      <c r="G38" s="6" t="str">
        <f>IFERROR(IF(A38="","",SUM('Asset Allocation'!M38,'Asset Allocation'!J38,'Asset Allocation'!H38,'Asset Allocation'!S38)),0)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Allocation'!R39,'Asset Allocation'!I39)),0)</f>
        <v/>
      </c>
      <c r="C39" s="6" t="str">
        <f>IFERROR(IF(A39="","",SUM('Asset Allocation'!P39)),0)</f>
        <v/>
      </c>
      <c r="D39" s="6" t="str">
        <f>IFERROR(IF(A39="","",SUM('Asset Allocation'!O39,'Asset Allocation'!L39)),0)</f>
        <v/>
      </c>
      <c r="E39" s="6" t="str">
        <f>IFERROR(IF(A39="","",SUM('Asset Allocation'!Q39)),0)</f>
        <v/>
      </c>
      <c r="F39" s="6" t="str">
        <f>IFERROR(IF(A39="","",SUM('Asset Allocation'!N39,'Asset Allocation'!K39)),0)</f>
        <v/>
      </c>
      <c r="G39" s="6" t="str">
        <f>IFERROR(IF(A39="","",SUM('Asset Allocation'!M39,'Asset Allocation'!J39,'Asset Allocation'!H39,'Asset Allocation'!S39)),0)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Allocation'!R40,'Asset Allocation'!I40)),0)</f>
        <v/>
      </c>
      <c r="C40" s="6" t="str">
        <f>IFERROR(IF(A40="","",SUM('Asset Allocation'!P40)),0)</f>
        <v/>
      </c>
      <c r="D40" s="6" t="str">
        <f>IFERROR(IF(A40="","",SUM('Asset Allocation'!O40,'Asset Allocation'!L40)),0)</f>
        <v/>
      </c>
      <c r="E40" s="6" t="str">
        <f>IFERROR(IF(A40="","",SUM('Asset Allocation'!Q40)),0)</f>
        <v/>
      </c>
      <c r="F40" s="6" t="str">
        <f>IFERROR(IF(A40="","",SUM('Asset Allocation'!N40,'Asset Allocation'!K40)),0)</f>
        <v/>
      </c>
      <c r="G40" s="6" t="str">
        <f>IFERROR(IF(A40="","",SUM('Asset Allocation'!M40,'Asset Allocation'!J40,'Asset Allocation'!H40,'Asset Allocation'!S40)),0)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Allocation'!R41,'Asset Allocation'!I41)),0)</f>
        <v/>
      </c>
      <c r="C41" s="6" t="str">
        <f>IFERROR(IF(A41="","",SUM('Asset Allocation'!P41)),0)</f>
        <v/>
      </c>
      <c r="D41" s="6" t="str">
        <f>IFERROR(IF(A41="","",SUM('Asset Allocation'!O41,'Asset Allocation'!L41)),0)</f>
        <v/>
      </c>
      <c r="E41" s="6" t="str">
        <f>IFERROR(IF(A41="","",SUM('Asset Allocation'!Q41)),0)</f>
        <v/>
      </c>
      <c r="F41" s="6" t="str">
        <f>IFERROR(IF(A41="","",SUM('Asset Allocation'!N41,'Asset Allocation'!K41)),0)</f>
        <v/>
      </c>
      <c r="G41" s="6" t="str">
        <f>IFERROR(IF(A41="","",SUM('Asset Allocation'!M41,'Asset Allocation'!J41,'Asset Allocation'!H41,'Asset Allocation'!S41)),0)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Allocation'!R42,'Asset Allocation'!I42)),0)</f>
        <v/>
      </c>
      <c r="C42" s="6" t="str">
        <f>IFERROR(IF(A42="","",SUM('Asset Allocation'!P42)),0)</f>
        <v/>
      </c>
      <c r="D42" s="6" t="str">
        <f>IFERROR(IF(A42="","",SUM('Asset Allocation'!O42,'Asset Allocation'!L42)),0)</f>
        <v/>
      </c>
      <c r="E42" s="6" t="str">
        <f>IFERROR(IF(A42="","",SUM('Asset Allocation'!Q42)),0)</f>
        <v/>
      </c>
      <c r="F42" s="6" t="str">
        <f>IFERROR(IF(A42="","",SUM('Asset Allocation'!N42,'Asset Allocation'!K42)),0)</f>
        <v/>
      </c>
      <c r="G42" s="6" t="str">
        <f>IFERROR(IF(A42="","",SUM('Asset Allocation'!M42,'Asset Allocation'!J42,'Asset Allocation'!H42,'Asset Allocation'!S42)),0)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Allocation'!R43,'Asset Allocation'!I43)),0)</f>
        <v/>
      </c>
      <c r="C43" s="6" t="str">
        <f>IFERROR(IF(A43="","",SUM('Asset Allocation'!P43)),0)</f>
        <v/>
      </c>
      <c r="D43" s="6" t="str">
        <f>IFERROR(IF(A43="","",SUM('Asset Allocation'!O43,'Asset Allocation'!L43)),0)</f>
        <v/>
      </c>
      <c r="E43" s="6" t="str">
        <f>IFERROR(IF(A43="","",SUM('Asset Allocation'!Q43)),0)</f>
        <v/>
      </c>
      <c r="F43" s="6" t="str">
        <f>IFERROR(IF(A43="","",SUM('Asset Allocation'!N43,'Asset Allocation'!K43)),0)</f>
        <v/>
      </c>
      <c r="G43" s="6" t="str">
        <f>IFERROR(IF(A43="","",SUM('Asset Allocation'!M43,'Asset Allocation'!J43,'Asset Allocation'!H43,'Asset Allocation'!S43)),0)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Allocation'!R44,'Asset Allocation'!I44)),0)</f>
        <v/>
      </c>
      <c r="C44" s="6" t="str">
        <f>IFERROR(IF(A44="","",SUM('Asset Allocation'!P44)),0)</f>
        <v/>
      </c>
      <c r="D44" s="6" t="str">
        <f>IFERROR(IF(A44="","",SUM('Asset Allocation'!O44,'Asset Allocation'!L44)),0)</f>
        <v/>
      </c>
      <c r="E44" s="6" t="str">
        <f>IFERROR(IF(A44="","",SUM('Asset Allocation'!Q44)),0)</f>
        <v/>
      </c>
      <c r="F44" s="6" t="str">
        <f>IFERROR(IF(A44="","",SUM('Asset Allocation'!N44,'Asset Allocation'!K44)),0)</f>
        <v/>
      </c>
      <c r="G44" s="6" t="str">
        <f>IFERROR(IF(A44="","",SUM('Asset Allocation'!M44,'Asset Allocation'!J44,'Asset Allocation'!H44,'Asset Allocation'!S44)),0)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Allocation'!R45,'Asset Allocation'!I45)),0)</f>
        <v/>
      </c>
      <c r="C45" s="6" t="str">
        <f>IFERROR(IF(A45="","",SUM('Asset Allocation'!P45)),0)</f>
        <v/>
      </c>
      <c r="D45" s="6" t="str">
        <f>IFERROR(IF(A45="","",SUM('Asset Allocation'!O45,'Asset Allocation'!L45)),0)</f>
        <v/>
      </c>
      <c r="E45" s="6" t="str">
        <f>IFERROR(IF(A45="","",SUM('Asset Allocation'!Q45)),0)</f>
        <v/>
      </c>
      <c r="F45" s="6" t="str">
        <f>IFERROR(IF(A45="","",SUM('Asset Allocation'!N45,'Asset Allocation'!K45)),0)</f>
        <v/>
      </c>
      <c r="G45" s="6" t="str">
        <f>IFERROR(IF(A45="","",SUM('Asset Allocation'!M45,'Asset Allocation'!J45,'Asset Allocation'!H45,'Asset Allocation'!S45)),0)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Allocation'!R46,'Asset Allocation'!I46)),0)</f>
        <v/>
      </c>
      <c r="C46" s="6" t="str">
        <f>IFERROR(IF(A46="","",SUM('Asset Allocation'!P46)),0)</f>
        <v/>
      </c>
      <c r="D46" s="6" t="str">
        <f>IFERROR(IF(A46="","",SUM('Asset Allocation'!O46,'Asset Allocation'!L46)),0)</f>
        <v/>
      </c>
      <c r="E46" s="6" t="str">
        <f>IFERROR(IF(A46="","",SUM('Asset Allocation'!Q46)),0)</f>
        <v/>
      </c>
      <c r="F46" s="6" t="str">
        <f>IFERROR(IF(A46="","",SUM('Asset Allocation'!N46,'Asset Allocation'!K46)),0)</f>
        <v/>
      </c>
      <c r="G46" s="6" t="str">
        <f>IFERROR(IF(A46="","",SUM('Asset Allocation'!M46,'Asset Allocation'!J46,'Asset Allocation'!H46,'Asset Allocation'!S46)),0)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Allocation'!R47,'Asset Allocation'!I47)),0)</f>
        <v/>
      </c>
      <c r="C47" s="6" t="str">
        <f>IFERROR(IF(A47="","",SUM('Asset Allocation'!P47)),0)</f>
        <v/>
      </c>
      <c r="D47" s="6" t="str">
        <f>IFERROR(IF(A47="","",SUM('Asset Allocation'!O47,'Asset Allocation'!L47)),0)</f>
        <v/>
      </c>
      <c r="E47" s="6" t="str">
        <f>IFERROR(IF(A47="","",SUM('Asset Allocation'!Q47)),0)</f>
        <v/>
      </c>
      <c r="F47" s="6" t="str">
        <f>IFERROR(IF(A47="","",SUM('Asset Allocation'!N47,'Asset Allocation'!K47)),0)</f>
        <v/>
      </c>
      <c r="G47" s="6" t="str">
        <f>IFERROR(IF(A47="","",SUM('Asset Allocation'!M47,'Asset Allocation'!J47,'Asset Allocation'!H47,'Asset Allocation'!S47)),0)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Allocation'!R48,'Asset Allocation'!I48)),0)</f>
        <v/>
      </c>
      <c r="C48" s="6" t="str">
        <f>IFERROR(IF(A48="","",SUM('Asset Allocation'!P48)),0)</f>
        <v/>
      </c>
      <c r="D48" s="6" t="str">
        <f>IFERROR(IF(A48="","",SUM('Asset Allocation'!O48,'Asset Allocation'!L48)),0)</f>
        <v/>
      </c>
      <c r="E48" s="6" t="str">
        <f>IFERROR(IF(A48="","",SUM('Asset Allocation'!Q48)),0)</f>
        <v/>
      </c>
      <c r="F48" s="6" t="str">
        <f>IFERROR(IF(A48="","",SUM('Asset Allocation'!N48,'Asset Allocation'!K48)),0)</f>
        <v/>
      </c>
      <c r="G48" s="6" t="str">
        <f>IFERROR(IF(A48="","",SUM('Asset Allocation'!M48,'Asset Allocation'!J48,'Asset Allocation'!H48,'Asset Allocation'!S48)),0)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Allocation'!R49,'Asset Allocation'!I49)),0)</f>
        <v/>
      </c>
      <c r="C49" s="6" t="str">
        <f>IFERROR(IF(A49="","",SUM('Asset Allocation'!P49)),0)</f>
        <v/>
      </c>
      <c r="D49" s="6" t="str">
        <f>IFERROR(IF(A49="","",SUM('Asset Allocation'!O49,'Asset Allocation'!L49)),0)</f>
        <v/>
      </c>
      <c r="E49" s="6" t="str">
        <f>IFERROR(IF(A49="","",SUM('Asset Allocation'!Q49)),0)</f>
        <v/>
      </c>
      <c r="F49" s="6" t="str">
        <f>IFERROR(IF(A49="","",SUM('Asset Allocation'!N49,'Asset Allocation'!K49)),0)</f>
        <v/>
      </c>
      <c r="G49" s="6" t="str">
        <f>IFERROR(IF(A49="","",SUM('Asset Allocation'!M49,'Asset Allocation'!J49,'Asset Allocation'!H49,'Asset Allocation'!S49)),0)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Allocation'!R50,'Asset Allocation'!I50)),0)</f>
        <v/>
      </c>
      <c r="C50" s="6" t="str">
        <f>IFERROR(IF(A50="","",SUM('Asset Allocation'!P50)),0)</f>
        <v/>
      </c>
      <c r="D50" s="6" t="str">
        <f>IFERROR(IF(A50="","",SUM('Asset Allocation'!O50,'Asset Allocation'!L50)),0)</f>
        <v/>
      </c>
      <c r="E50" s="6" t="str">
        <f>IFERROR(IF(A50="","",SUM('Asset Allocation'!Q50)),0)</f>
        <v/>
      </c>
      <c r="F50" s="6" t="str">
        <f>IFERROR(IF(A50="","",SUM('Asset Allocation'!N50,'Asset Allocation'!K50)),0)</f>
        <v/>
      </c>
      <c r="G50" s="6" t="str">
        <f>IFERROR(IF(A50="","",SUM('Asset Allocation'!M50,'Asset Allocation'!J50,'Asset Allocation'!H50,'Asset Allocation'!S50)),0)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2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BlackRock Pension Growth Fund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MyMap 3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MyMap 4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MyMap 5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MyMap 6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MyMap 3 Select ESG Fund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MyMap 5 Select ESG Fund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MyMap 7 Select ESG Fund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MyMap 4 Select Income Fund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2023-11-03T16:58:24Z</dcterms:modified>
</cp:coreProperties>
</file>