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<sst xmlns="http://schemas.openxmlformats.org/spreadsheetml/2006/main" count="100" uniqueCount="92">
  <si>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</si>
  <si>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</si>
  <si>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</si>
  <si>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</si>
  <si>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</si>
  <si>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</si>
  <si>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</si>
  <si>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</si>
  <si>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</si>
  <si>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</si>
  <si>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</si>
  <si>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</si>
  <si>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</si>
  <si>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</si>
  <si>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</si>
  <si>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</si>
  <si>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</si>
  <si>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</si>
  <si>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</si>
  <si>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</si>
  <si>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</si>
  <si>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</si>
  <si>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</si>
  <si>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</si>
  <si>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</si>
  <si>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</si>
  <si>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</si>
  <si>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</si>
  <si>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</si>
  <si>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</si>
  <si>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</si>
  <si>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</si>
  <si>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</si>
  <si>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</si>
  <si>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</si>
  <si>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</si>
  <si>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</si>
  <si>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</si>
  <si>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</si>
  <si>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</si>
  <si>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</si>
  <si>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</si>
  <si>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</si>
  <si>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</si>
  <si>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</si>
  <si>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</si>
  <si>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</si>
  <si>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</si>
  <si>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</si>
  <si>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</si>
  <si>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</si>
  <si>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</si>
  <si>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</si>
  <si>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</si>
  <si>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</si>
  <si>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</si>
  <si>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</si>
  <si>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</si>
  <si>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</si>
  <si>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</si>
  <si>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</si>
  <si>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</si>
  <si>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</si>
  <si>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</si>
  <si>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</si>
  <si>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</si>
  <si>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</si>
  <si>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</si>
  <si>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</si>
  <si>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</si>
  <si>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</si>
  <si>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</si>
  <si>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</si>
  <si>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</si>
  <si>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</si>
  <si>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</si>
  <si>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</si>
  <si>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Other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</si>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</sst>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1" sqref="B11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33</v>
      </c>
      <c r="B6" t="str">
        <f>'PDF Scraping'!B5</f>
        <v>https://www.blackrock.com/uk/individual/products/230299/</v>
      </c>
    </row>
    <row r="7" spans="1:10" x14ac:dyDescent="0.2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46</v>
      </c>
      <c r="B10" t="str">
        <f>'PDF Scraping'!B9</f>
        <v>https://www.blackrock.com/uk/individual/products/308786/mymap-3</v>
      </c>
    </row>
    <row r="11" spans="1:10" x14ac:dyDescent="0.25">
      <c r="A11" t="s">
        <v>47</v>
      </c>
      <c r="B11" t="str">
        <f>'PDF Scraping'!B10</f>
        <v>https://www.blackrock.com/uk/individual/products/308803/mymap-4</v>
      </c>
    </row>
    <row r="12" spans="1:10" x14ac:dyDescent="0.25">
      <c r="A12" t="s">
        <v>48</v>
      </c>
      <c r="B12" t="str">
        <f>'PDF Scraping'!B11</f>
        <v>https://www.blackrock.com/uk/individual/products/308808/mymap-5</v>
      </c>
    </row>
    <row r="13" spans="1:10" x14ac:dyDescent="0.25">
      <c r="A13" t="s">
        <v>49</v>
      </c>
      <c r="B13" t="str">
        <f>'PDF Scraping'!B12</f>
        <v>https://www.blackrock.com/uk/individual/products/308823/mymap-6</v>
      </c>
    </row>
    <row r="14" spans="1:10" x14ac:dyDescent="0.2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53</v>
      </c>
      <c r="B16" t="str">
        <f>'PDF Scraping'!B15</f>
        <v>https://www.blackrock.com/uk/individual/products/326256/</v>
      </c>
    </row>
    <row r="17" spans="1:2" x14ac:dyDescent="0.2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G22" sqref="B2:G2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24</v>
      </c>
      <c r="C1" t="s">
        <v>63</v>
      </c>
      <c r="D1" t="s">
        <v>64</v>
      </c>
      <c r="E1" t="s">
        <v>65</v>
      </c>
      <c r="F1" t="s">
        <v>66</v>
      </c>
    </row>
    <row r="2" spans="1:6" x14ac:dyDescent="0.25">
      <c r="A2" t="str">
        <f>IF(Input!A3="","",Input!A3)</f>
        <v>BlackRock Consensus 85 Fund</v>
      </c>
      <c r="B2" s="1">
        <v>45169</v>
      </c>
      <c r="C2" s="5">
        <v>2.2000000000000001E-3</v>
      </c>
      <c r="D2" s="5">
        <v>0</v>
      </c>
      <c r="E2" s="5">
        <v>-0.01</v>
      </c>
      <c r="F2" s="5">
        <v>4.0599999999999997E-2</v>
      </c>
    </row>
    <row r="3" spans="1:6" x14ac:dyDescent="0.25">
      <c r="A3" t="str">
        <f>IF(Input!A4="","",Input!A4)</f>
        <v>BlackRock Consensus 100</v>
      </c>
      <c r="B3" s="1">
        <v>45169</v>
      </c>
      <c r="C3" s="5">
        <v>2.2000000000000001E-3</v>
      </c>
      <c r="D3" s="5">
        <v>0</v>
      </c>
      <c r="E3" s="5">
        <v>-1.0200000000000001E-2</v>
      </c>
      <c r="F3" s="5">
        <v>6.5599999999999992E-2</v>
      </c>
    </row>
    <row r="4" spans="1:6" x14ac:dyDescent="0.25">
      <c r="A4" t="str">
        <f>IF(Input!A5="","",Input!A5)</f>
        <v>BlackRock Consensus 35</v>
      </c>
      <c r="B4" s="1">
        <v>45169</v>
      </c>
      <c r="C4" s="5">
        <v>6.1999999999999998E-3</v>
      </c>
      <c r="D4" s="5">
        <v>0</v>
      </c>
      <c r="E4" s="5">
        <v>-5.1000000000000004E-3</v>
      </c>
      <c r="F4" s="5">
        <v>-8.3999999999999995E-3</v>
      </c>
    </row>
    <row r="5" spans="1:6" x14ac:dyDescent="0.25">
      <c r="A5" t="str">
        <f>IF(Input!A6="","",Input!A6)</f>
        <v>BlackRock Consensus 60</v>
      </c>
      <c r="B5" s="1">
        <v>45169</v>
      </c>
      <c r="C5" s="5">
        <v>6.1999999999999998E-3</v>
      </c>
      <c r="D5" s="5">
        <v>0</v>
      </c>
      <c r="E5" s="5">
        <v>-8.0000000000000002E-3</v>
      </c>
      <c r="F5" s="5">
        <v>1.2199999999999999E-2</v>
      </c>
    </row>
    <row r="6" spans="1:6" x14ac:dyDescent="0.25">
      <c r="A6" t="str">
        <f>IF(Input!A7="","",Input!A7)</f>
        <v>BlackRock Consensus 70</v>
      </c>
      <c r="B6" s="1">
        <v>45169</v>
      </c>
      <c r="C6" s="5">
        <v>6.1999999999999998E-3</v>
      </c>
      <c r="D6" s="5">
        <v>0</v>
      </c>
      <c r="E6" s="5">
        <v>-8.8000000000000005E-3</v>
      </c>
      <c r="F6" s="5">
        <v>2.29E-2</v>
      </c>
    </row>
    <row r="7" spans="1:6" x14ac:dyDescent="0.25">
      <c r="A7" t="str">
        <f>IF(Input!A8="","",Input!A8)</f>
        <v>BlackRock Consensus 100</v>
      </c>
      <c r="B7" s="1">
        <v>45169</v>
      </c>
      <c r="C7" s="5">
        <v>2.2000000000000001E-3</v>
      </c>
      <c r="D7" s="5">
        <v>0</v>
      </c>
      <c r="E7" s="5">
        <v>-1.0200000000000001E-2</v>
      </c>
      <c r="F7" s="5">
        <v>6.5599999999999992E-2</v>
      </c>
    </row>
    <row r="8" spans="1:6" x14ac:dyDescent="0.25">
      <c r="A8" t="str">
        <f>IF(Input!A9="","",Input!A9)</f>
        <v>BlackRock Pension Growth Fund</v>
      </c>
      <c r="B8" s="1">
        <v>45169</v>
      </c>
      <c r="C8" s="5">
        <v>2.0000000000000001E-4</v>
      </c>
      <c r="D8" s="5"/>
      <c r="E8" s="5"/>
      <c r="F8" s="5"/>
    </row>
    <row r="9" spans="1:6" x14ac:dyDescent="0.25">
      <c r="A9" t="str">
        <f>IF(Input!A10="","",Input!A10)</f>
        <v>MyMap 3</v>
      </c>
      <c r="B9" s="1">
        <v>45169</v>
      </c>
      <c r="C9" s="5">
        <v>1.7000000000000001E-3</v>
      </c>
      <c r="D9" s="5">
        <v>1.1999999999999999E-3</v>
      </c>
      <c r="E9" s="5">
        <v>-4.5999999999999999E-3</v>
      </c>
      <c r="F9" s="5">
        <v>-8.8999999999999999E-3</v>
      </c>
    </row>
    <row r="10" spans="1:6" x14ac:dyDescent="0.25">
      <c r="A10" t="str">
        <f>IF(Input!A11="","",Input!A11)</f>
        <v>MyMap 4</v>
      </c>
      <c r="B10" s="1">
        <v>45169</v>
      </c>
      <c r="C10" s="5">
        <v>1.7000000000000001E-3</v>
      </c>
      <c r="D10" s="5">
        <v>1.1999999999999999E-3</v>
      </c>
      <c r="E10" s="5">
        <v>-9.0000000000000011E-3</v>
      </c>
      <c r="F10" s="5">
        <v>0.01</v>
      </c>
    </row>
    <row r="11" spans="1:6" x14ac:dyDescent="0.25">
      <c r="A11" t="str">
        <f>IF(Input!A12="","",Input!A12)</f>
        <v>MyMap 5</v>
      </c>
      <c r="B11" s="1">
        <v>45169</v>
      </c>
      <c r="C11" s="5">
        <v>1.7000000000000001E-3</v>
      </c>
      <c r="D11" s="5">
        <v>1.1999999999999999E-3</v>
      </c>
      <c r="E11" s="5">
        <v>-1.2E-2</v>
      </c>
      <c r="F11" s="5">
        <v>2.4199999999999999E-2</v>
      </c>
    </row>
    <row r="12" spans="1:6" x14ac:dyDescent="0.25">
      <c r="A12" t="str">
        <f>IF(Input!A13="","",Input!A13)</f>
        <v>MyMap 6</v>
      </c>
      <c r="B12" s="1">
        <v>45169</v>
      </c>
      <c r="C12" s="5">
        <v>1.7000000000000001E-3</v>
      </c>
      <c r="D12" s="5">
        <v>1.1999999999999999E-3</v>
      </c>
      <c r="E12" s="5">
        <v>-1.6E-2</v>
      </c>
      <c r="F12" s="5">
        <v>3.3000000000000002E-2</v>
      </c>
    </row>
    <row r="13" spans="1:6" x14ac:dyDescent="0.25">
      <c r="A13" t="str">
        <f>IF(Input!A14="","",Input!A14)</f>
        <v>MyMap 3 Select ESG Fund</v>
      </c>
      <c r="B13" s="1">
        <v>45169</v>
      </c>
      <c r="C13" s="5">
        <v>1.7000000000000001E-3</v>
      </c>
      <c r="D13" s="5">
        <v>1.1999999999999999E-3</v>
      </c>
      <c r="E13" s="5">
        <v>-5.1000000000000004E-3</v>
      </c>
      <c r="F13" s="5">
        <v>-1.2800000000000001E-2</v>
      </c>
    </row>
    <row r="14" spans="1:6" x14ac:dyDescent="0.25">
      <c r="A14" t="str">
        <f>IF(Input!A15="","",Input!A15)</f>
        <v>MyMap 5 Select ESG Fund</v>
      </c>
      <c r="B14" s="1">
        <v>45169</v>
      </c>
      <c r="C14" s="5">
        <v>1.7000000000000001E-3</v>
      </c>
      <c r="D14" s="5">
        <v>1.1999999999999999E-3</v>
      </c>
      <c r="E14" s="5">
        <v>-1.2199999999999999E-2</v>
      </c>
      <c r="F14" s="5">
        <v>2.1499999999999998E-2</v>
      </c>
    </row>
    <row r="15" spans="1:6" x14ac:dyDescent="0.25">
      <c r="A15" t="str">
        <f>IF(Input!A16="","",Input!A16)</f>
        <v>MyMap 7 Select ESG Fund</v>
      </c>
      <c r="B15" s="1">
        <v>45169</v>
      </c>
      <c r="C15" s="5">
        <v>1.7000000000000001E-3</v>
      </c>
      <c r="D15" s="5">
        <v>1.1999999999999999E-3</v>
      </c>
      <c r="E15" s="5">
        <v>-1.77E-2</v>
      </c>
      <c r="F15" s="5">
        <v>4.7300000000000002E-2</v>
      </c>
    </row>
    <row r="16" spans="1:6" x14ac:dyDescent="0.25">
      <c r="A16" t="str">
        <f>IF(Input!A17="","",Input!A17)</f>
        <v>MyMap 4 Select Income Fund</v>
      </c>
      <c r="B16" s="1">
        <v>45169</v>
      </c>
      <c r="C16" s="5">
        <v>2.8000000000000004E-3</v>
      </c>
      <c r="D16" s="5">
        <v>2.3E-3</v>
      </c>
      <c r="E16" s="5">
        <v>-6.8999999999999999E-3</v>
      </c>
      <c r="F16" s="5">
        <v>2.86E-2</v>
      </c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zoomScale="70" zoomScaleNormal="70" workbookViewId="0">
      <selection activeCell="B5" sqref="B5:AF17"/>
    </sheetView>
  </sheetViews>
  <sheetFormatPr defaultRowHeight="15" x14ac:dyDescent="0.25"/>
  <cols>
    <col min="1" max="1" width="27.7109375" bestFit="1" customWidth="1"/>
    <col min="2" max="2" width="15.140625" bestFit="1" customWidth="1"/>
    <col min="3" max="3" width="10.140625" bestFit="1" customWidth="1"/>
    <col min="4" max="4" width="10.7109375" bestFit="1" customWidth="1"/>
    <col min="5" max="5" width="20.85546875" bestFit="1" customWidth="1"/>
    <col min="6" max="6" width="13" bestFit="1" customWidth="1"/>
    <col min="7" max="7" width="7.140625" bestFit="1" customWidth="1"/>
    <col min="8" max="8" width="9.85546875" bestFit="1" customWidth="1"/>
    <col min="9" max="9" width="12.140625" bestFit="1" customWidth="1"/>
    <col min="10" max="10" width="6.42578125" bestFit="1" customWidth="1"/>
    <col min="11" max="11" width="6.140625" bestFit="1" customWidth="1"/>
    <col min="12" max="12" width="7.42578125" bestFit="1" customWidth="1"/>
    <col min="13" max="13" width="12.85546875" bestFit="1" customWidth="1"/>
    <col min="14" max="14" width="15.42578125" bestFit="1" customWidth="1"/>
    <col min="15" max="16" width="6.140625" bestFit="1" customWidth="1"/>
    <col min="17" max="17" width="9" bestFit="1" customWidth="1"/>
    <col min="18" max="18" width="6.85546875" bestFit="1" customWidth="1"/>
    <col min="19" max="19" width="7.42578125" bestFit="1" customWidth="1"/>
    <col min="20" max="20" width="11.42578125" bestFit="1" customWidth="1"/>
    <col min="21" max="21" width="8.85546875" bestFit="1" customWidth="1"/>
    <col min="22" max="22" width="13.42578125" bestFit="1" customWidth="1"/>
    <col min="23" max="23" width="14.85546875" bestFit="1" customWidth="1"/>
    <col min="24" max="24" width="6.85546875" bestFit="1" customWidth="1"/>
    <col min="25" max="25" width="6.140625" bestFit="1" customWidth="1"/>
    <col min="26" max="26" width="12" bestFit="1" customWidth="1"/>
    <col min="27" max="27" width="6.140625" bestFit="1" customWidth="1"/>
    <col min="28" max="29" width="7.28515625" bestFit="1" customWidth="1"/>
    <col min="30" max="30" width="6.140625" bestFit="1" customWidth="1"/>
  </cols>
  <sheetData>
    <row r="1" spans="1:32" x14ac:dyDescent="0.2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</v>
      </c>
      <c r="N1" t="s">
        <v>8</v>
      </c>
      <c r="O1" t="s">
        <v>5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4</v>
      </c>
      <c r="Y1" t="s">
        <v>77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</row>
    <row r="2" spans="1:32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AF2" s="5"/>
    </row>
    <row r="3" spans="1:32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AF3" s="5"/>
    </row>
    <row r="4" spans="1:32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AF4" s="5"/>
    </row>
    <row r="5" spans="1:32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AF5" s="5"/>
    </row>
    <row r="6" spans="1:32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AF6" s="5"/>
    </row>
    <row r="7" spans="1:32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AD7" s="5"/>
      <c r="AF7" s="5"/>
    </row>
    <row r="8" spans="1:32" x14ac:dyDescent="0.25">
      <c r="A8" t="str">
        <f>IF(Input!A9="","",Input!A9)</f>
        <v>BlackRock Pension Growth Fund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AF8" s="5"/>
    </row>
    <row r="9" spans="1:32" x14ac:dyDescent="0.25">
      <c r="A9" t="str">
        <f>IF(Input!A10="","",Input!A10)</f>
        <v>MyMap 3</v>
      </c>
      <c r="B9" s="5">
        <v>0.77319999999999989</v>
      </c>
      <c r="C9" s="5">
        <v>0.2024</v>
      </c>
      <c r="D9" s="5">
        <v>3.04E-2</v>
      </c>
      <c r="E9" s="5">
        <v>-6.0000000000000001E-3</v>
      </c>
      <c r="F9" s="5">
        <v>0.55289999999999995</v>
      </c>
      <c r="G9" s="5">
        <v>0.30609999999999998</v>
      </c>
      <c r="H9" s="5">
        <v>8.4399999999999989E-2</v>
      </c>
      <c r="I9" s="5">
        <v>1.67E-2</v>
      </c>
      <c r="J9" s="5">
        <v>3.44E-2</v>
      </c>
      <c r="K9" s="5">
        <v>5.6000000000000008E-3</v>
      </c>
      <c r="L9" s="5">
        <v>0.12119999999999999</v>
      </c>
      <c r="M9" s="5">
        <v>0.51739999999999997</v>
      </c>
      <c r="N9" s="5">
        <v>0.18710000000000002</v>
      </c>
      <c r="O9" s="5">
        <v>1.6799999999999999E-2</v>
      </c>
      <c r="P9" s="5">
        <v>3.0099999999999998E-2</v>
      </c>
      <c r="Q9" s="5">
        <v>4.0099999999999997E-2</v>
      </c>
      <c r="R9" s="5">
        <v>2.0400000000000001E-2</v>
      </c>
      <c r="S9" s="5">
        <v>3.32E-2</v>
      </c>
      <c r="T9" s="5"/>
      <c r="U9" s="5">
        <v>1.5300000000000001E-2</v>
      </c>
      <c r="V9" s="5">
        <v>2.9500000000000002E-2</v>
      </c>
      <c r="W9" s="5">
        <v>-1.1699999999999999E-2</v>
      </c>
      <c r="AF9" s="5"/>
    </row>
    <row r="10" spans="1:32" x14ac:dyDescent="0.25">
      <c r="A10" t="str">
        <f>IF(Input!A11="","",Input!A11)</f>
        <v>MyMap 4</v>
      </c>
      <c r="B10" s="5">
        <v>0.49969999999999998</v>
      </c>
      <c r="C10" s="5">
        <v>0.47539999999999999</v>
      </c>
      <c r="D10" s="5">
        <v>3.0099999999999998E-2</v>
      </c>
      <c r="E10" s="5">
        <v>-5.1999999999999998E-3</v>
      </c>
      <c r="F10" s="5">
        <v>0.55830000000000002</v>
      </c>
      <c r="G10" s="5">
        <v>0.2621</v>
      </c>
      <c r="H10" s="5">
        <v>0.1198</v>
      </c>
      <c r="I10" s="5">
        <v>2.7999999999999997E-2</v>
      </c>
      <c r="J10" s="5">
        <v>2.1400000000000002E-2</v>
      </c>
      <c r="K10" s="5">
        <v>1.0200000000000001E-2</v>
      </c>
      <c r="L10" s="5">
        <v>0.14960000000000001</v>
      </c>
      <c r="M10" s="5">
        <v>0.53990000000000005</v>
      </c>
      <c r="N10" s="5">
        <v>0.13750000000000001</v>
      </c>
      <c r="O10" s="5">
        <v>3.4599999999999999E-2</v>
      </c>
      <c r="P10" s="5">
        <v>3.44E-2</v>
      </c>
      <c r="Q10" s="5">
        <v>2.5899999999999999E-2</v>
      </c>
      <c r="R10" s="5">
        <v>2.1499999999999998E-2</v>
      </c>
      <c r="S10" s="5">
        <v>1.7000000000000001E-2</v>
      </c>
      <c r="T10" s="5">
        <v>1.55E-2</v>
      </c>
      <c r="U10" s="5">
        <v>1.52E-2</v>
      </c>
      <c r="V10" s="5">
        <v>1.21E-2</v>
      </c>
      <c r="W10" s="5">
        <v>-1.9E-2</v>
      </c>
      <c r="X10" s="5">
        <v>1.55E-2</v>
      </c>
      <c r="AF10" s="5"/>
    </row>
    <row r="11" spans="1:32" x14ac:dyDescent="0.25">
      <c r="A11" t="str">
        <f>IF(Input!A12="","",Input!A12)</f>
        <v>MyMap 5</v>
      </c>
      <c r="B11" s="5">
        <v>0.3085</v>
      </c>
      <c r="C11" s="5">
        <v>0.66489999999999994</v>
      </c>
      <c r="D11" s="5">
        <v>2.98E-2</v>
      </c>
      <c r="E11" s="5">
        <v>-3.2000000000000002E-3</v>
      </c>
      <c r="F11" s="5">
        <v>0.56669999999999998</v>
      </c>
      <c r="G11" s="5">
        <v>0.27010000000000001</v>
      </c>
      <c r="H11" s="5">
        <v>0.1225</v>
      </c>
      <c r="I11" s="5">
        <v>1.8500000000000003E-2</v>
      </c>
      <c r="J11" s="5">
        <v>1.46E-2</v>
      </c>
      <c r="K11" s="5">
        <v>7.4999999999999997E-3</v>
      </c>
      <c r="L11" s="5">
        <v>0.12380000000000001</v>
      </c>
      <c r="M11" s="5">
        <v>0.5494</v>
      </c>
      <c r="N11" s="5">
        <v>0.12909999999999999</v>
      </c>
      <c r="O11" s="5">
        <v>4.7300000000000002E-2</v>
      </c>
      <c r="P11" s="5">
        <v>2.0299999999999999E-2</v>
      </c>
      <c r="Q11" s="5">
        <v>2.9700000000000001E-2</v>
      </c>
      <c r="R11" s="5">
        <v>3.1899999999999998E-2</v>
      </c>
      <c r="S11" s="5">
        <v>1.54E-2</v>
      </c>
      <c r="T11" s="5">
        <v>1.3000000000000001E-2</v>
      </c>
      <c r="U11" s="5">
        <v>1.7899999999999999E-2</v>
      </c>
      <c r="W11" s="5">
        <v>-1.9699999999999999E-2</v>
      </c>
      <c r="X11" s="5">
        <v>1.78E-2</v>
      </c>
      <c r="Z11" s="5">
        <v>1.3000000000000001E-2</v>
      </c>
      <c r="AA11" s="5">
        <v>1.0700000000000001E-2</v>
      </c>
      <c r="AF11" s="5"/>
    </row>
    <row r="12" spans="1:32" x14ac:dyDescent="0.25">
      <c r="A12" t="str">
        <f>IF(Input!A13="","",Input!A13)</f>
        <v>MyMap 6</v>
      </c>
      <c r="B12" s="5">
        <v>0.1193</v>
      </c>
      <c r="C12" s="5">
        <v>0.85370000000000001</v>
      </c>
      <c r="D12" s="5">
        <v>3.0099999999999998E-2</v>
      </c>
      <c r="E12" s="5">
        <v>-3.2000000000000002E-3</v>
      </c>
      <c r="F12" s="5">
        <v>0.55610000000000004</v>
      </c>
      <c r="G12" s="5">
        <v>0.2656</v>
      </c>
      <c r="H12" s="5">
        <v>0.14660000000000001</v>
      </c>
      <c r="I12" s="5">
        <v>1.38E-2</v>
      </c>
      <c r="J12" s="5">
        <v>1.18E-2</v>
      </c>
      <c r="K12" s="5">
        <v>6.0000000000000001E-3</v>
      </c>
      <c r="L12" s="5">
        <v>0.1081</v>
      </c>
      <c r="M12" s="5">
        <v>0.54179999999999995</v>
      </c>
      <c r="N12" s="5">
        <v>0.1222</v>
      </c>
      <c r="O12" s="5">
        <v>6.13E-2</v>
      </c>
      <c r="P12" s="5">
        <v>2.4399999999999998E-2</v>
      </c>
      <c r="Q12" s="5">
        <v>2.7799999999999998E-2</v>
      </c>
      <c r="R12" s="5">
        <v>3.1899999999999998E-2</v>
      </c>
      <c r="S12" s="5">
        <v>1.38E-2</v>
      </c>
      <c r="T12" s="5">
        <v>1.5600000000000001E-2</v>
      </c>
      <c r="U12" s="5">
        <v>2.0899999999999998E-2</v>
      </c>
      <c r="W12" s="5">
        <v>-2.6499999999999999E-2</v>
      </c>
      <c r="X12" s="5">
        <v>2.4199999999999999E-2</v>
      </c>
      <c r="Z12" s="5">
        <v>1.37E-2</v>
      </c>
      <c r="AA12" s="5">
        <v>1.0200000000000001E-2</v>
      </c>
      <c r="AB12" s="5">
        <v>1.03E-2</v>
      </c>
      <c r="AF12" s="5"/>
    </row>
    <row r="13" spans="1:32" x14ac:dyDescent="0.25">
      <c r="A13" t="str">
        <f>IF(Input!A14="","",Input!A14)</f>
        <v>MyMap 3 Select ESG Fund</v>
      </c>
      <c r="B13" s="5">
        <v>0.80330000000000001</v>
      </c>
      <c r="C13" s="5">
        <v>0.20280000000000001</v>
      </c>
      <c r="D13" s="5"/>
      <c r="E13" s="5">
        <v>-6.0000000000000001E-3</v>
      </c>
      <c r="F13" s="5">
        <v>0.53120000000000001</v>
      </c>
      <c r="G13" s="5">
        <v>0.31829999999999997</v>
      </c>
      <c r="H13" s="5">
        <v>8.6899999999999991E-2</v>
      </c>
      <c r="I13" s="5">
        <v>1.72E-2</v>
      </c>
      <c r="J13" s="5">
        <v>4.1200000000000001E-2</v>
      </c>
      <c r="K13" s="5">
        <v>5.1000000000000004E-3</v>
      </c>
      <c r="L13" s="5">
        <v>0.1164</v>
      </c>
      <c r="M13" s="5">
        <v>0.4874</v>
      </c>
      <c r="N13" s="5">
        <v>0.19589999999999999</v>
      </c>
      <c r="O13" s="5">
        <v>1.6799999999999999E-2</v>
      </c>
      <c r="P13" s="5">
        <v>3.0699999999999998E-2</v>
      </c>
      <c r="Q13" s="5">
        <v>4.6199999999999998E-2</v>
      </c>
      <c r="R13" s="5">
        <v>1.8200000000000001E-2</v>
      </c>
      <c r="S13" s="5">
        <v>3.73E-2</v>
      </c>
      <c r="T13" s="5"/>
      <c r="U13" s="5">
        <v>1.5900000000000001E-2</v>
      </c>
      <c r="V13" s="5">
        <v>3.6299999999999999E-2</v>
      </c>
      <c r="W13" s="5">
        <v>-1.4000000000000002E-3</v>
      </c>
      <c r="X13" s="5">
        <v>-5.0000000000000001E-4</v>
      </c>
      <c r="AF13" s="5"/>
    </row>
    <row r="14" spans="1:32" x14ac:dyDescent="0.25">
      <c r="A14" t="str">
        <f>IF(Input!A15="","",Input!A15)</f>
        <v>MyMap 5 Select ESG Fund</v>
      </c>
      <c r="B14" s="5">
        <v>0.33939999999999998</v>
      </c>
      <c r="C14" s="5">
        <v>0.66579999999999995</v>
      </c>
      <c r="D14" s="5"/>
      <c r="E14" s="5">
        <v>-5.1999999999999998E-3</v>
      </c>
      <c r="F14" s="5">
        <v>0.57619999999999993</v>
      </c>
      <c r="G14" s="5">
        <v>0.26069999999999999</v>
      </c>
      <c r="H14" s="5">
        <v>0.12119999999999999</v>
      </c>
      <c r="I14" s="5">
        <v>1.8500000000000003E-2</v>
      </c>
      <c r="J14" s="5">
        <v>1.7299999999999999E-2</v>
      </c>
      <c r="K14" s="5">
        <v>6.0000000000000001E-3</v>
      </c>
      <c r="L14" s="5">
        <v>0.1343</v>
      </c>
      <c r="M14" s="5">
        <v>0.55610000000000004</v>
      </c>
      <c r="N14" s="5">
        <v>0.14679999999999999</v>
      </c>
      <c r="O14" s="5">
        <v>4.7500000000000001E-2</v>
      </c>
      <c r="P14" s="5">
        <v>1.9400000000000001E-2</v>
      </c>
      <c r="Q14" s="5">
        <v>2.41E-2</v>
      </c>
      <c r="R14" s="5">
        <v>2.0299999999999999E-2</v>
      </c>
      <c r="S14" s="5">
        <v>1.09E-2</v>
      </c>
      <c r="T14" s="5">
        <v>1.83E-2</v>
      </c>
      <c r="U14" s="5">
        <v>1.6399999999999998E-2</v>
      </c>
      <c r="W14" s="5">
        <v>-4.7999999999999996E-3</v>
      </c>
      <c r="Z14" s="5">
        <v>1.0500000000000001E-2</v>
      </c>
      <c r="AF14" s="5"/>
    </row>
    <row r="15" spans="1:32" x14ac:dyDescent="0.25">
      <c r="A15" t="str">
        <f>IF(Input!A16="","",Input!A16)</f>
        <v>MyMap 7 Select ESG Fund</v>
      </c>
      <c r="B15" s="5"/>
      <c r="C15" s="5">
        <v>1.0029000000000001</v>
      </c>
      <c r="D15" s="5"/>
      <c r="E15" s="5">
        <v>-2.8999999999999998E-3</v>
      </c>
      <c r="F15" s="5">
        <v>0.56189999999999996</v>
      </c>
      <c r="G15" s="5">
        <v>0.2576</v>
      </c>
      <c r="H15" s="5">
        <v>0.16329999999999997</v>
      </c>
      <c r="I15" s="5">
        <v>8.8999999999999999E-3</v>
      </c>
      <c r="J15" s="5">
        <v>4.0000000000000001E-3</v>
      </c>
      <c r="K15" s="5">
        <v>4.3E-3</v>
      </c>
      <c r="L15" s="5">
        <v>9.1400000000000009E-2</v>
      </c>
      <c r="M15" s="5">
        <v>0.5534</v>
      </c>
      <c r="N15" s="5">
        <v>0.128</v>
      </c>
      <c r="O15" s="5">
        <v>7.1599999999999997E-2</v>
      </c>
      <c r="P15" s="5">
        <v>2.69E-2</v>
      </c>
      <c r="Q15" s="5">
        <v>1.7899999999999999E-2</v>
      </c>
      <c r="R15" s="5">
        <v>2.6600000000000002E-2</v>
      </c>
      <c r="S15" s="5"/>
      <c r="T15" s="5">
        <v>2.58E-2</v>
      </c>
      <c r="U15" s="5">
        <v>2.0899999999999998E-2</v>
      </c>
      <c r="W15" s="5">
        <v>-7.3000000000000001E-3</v>
      </c>
      <c r="Z15" s="5">
        <v>1.1899999999999999E-2</v>
      </c>
      <c r="AC15" s="5">
        <v>1.18E-2</v>
      </c>
      <c r="AD15" s="5">
        <v>1.06E-2</v>
      </c>
      <c r="AE15" s="5">
        <v>1.01E-2</v>
      </c>
      <c r="AF15" s="5"/>
    </row>
    <row r="16" spans="1:32" x14ac:dyDescent="0.25">
      <c r="A16" t="str">
        <f>IF(Input!A17="","",Input!A17)</f>
        <v>MyMap 4 Select Income Fund</v>
      </c>
      <c r="B16" s="5">
        <v>0.63829999999999998</v>
      </c>
      <c r="C16" s="5">
        <v>0.36560000000000004</v>
      </c>
      <c r="D16" s="5"/>
      <c r="E16" s="5">
        <v>-3.9000000000000003E-3</v>
      </c>
      <c r="F16" s="5">
        <v>0.41119999999999995</v>
      </c>
      <c r="G16" s="5">
        <v>0.41600000000000004</v>
      </c>
      <c r="H16" s="5">
        <v>7.51E-2</v>
      </c>
      <c r="I16" s="5">
        <v>3.9300000000000002E-2</v>
      </c>
      <c r="J16" s="5">
        <v>4.2099999999999999E-2</v>
      </c>
      <c r="K16" s="5">
        <v>1.5800000000000002E-2</v>
      </c>
      <c r="L16" s="5">
        <v>0.16750000000000001</v>
      </c>
      <c r="M16" s="11">
        <v>0.36810000000000004</v>
      </c>
      <c r="N16" s="11">
        <v>0.20199999999999999</v>
      </c>
      <c r="O16" s="11">
        <v>1.7299999999999999E-2</v>
      </c>
      <c r="P16" s="5">
        <v>1.34E-2</v>
      </c>
      <c r="Q16" s="11">
        <v>4.1200000000000001E-2</v>
      </c>
      <c r="R16" s="11">
        <v>2.3199999999999998E-2</v>
      </c>
      <c r="S16" s="11">
        <v>3.73E-2</v>
      </c>
      <c r="T16" s="11">
        <v>1.6200000000000003E-2</v>
      </c>
      <c r="U16" s="11">
        <v>1.5800000000000002E-2</v>
      </c>
      <c r="V16" s="11">
        <v>2.5399999999999999E-2</v>
      </c>
      <c r="W16" s="5">
        <v>-3.2000000000000002E-3</v>
      </c>
      <c r="Z16" s="5">
        <v>1.18E-2</v>
      </c>
      <c r="AB16" s="11">
        <v>6.3099999999999989E-2</v>
      </c>
      <c r="AF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36" sqref="A36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25">
      <c r="A2" t="str">
        <f>IF(Input!A3="","",Input!A3)</f>
        <v>BlackRock Consensus 85 Fund</v>
      </c>
      <c r="B2" t="s">
        <v>39</v>
      </c>
    </row>
    <row r="3" spans="1:5" x14ac:dyDescent="0.25">
      <c r="A3" t="str">
        <f>IF(Input!A4="","",Input!A4)</f>
        <v>BlackRock Consensus 100</v>
      </c>
      <c r="B3" t="s">
        <v>40</v>
      </c>
    </row>
    <row r="4" spans="1:5" x14ac:dyDescent="0.25">
      <c r="A4" t="str">
        <f>IF(Input!A5="","",Input!A5)</f>
        <v>BlackRock Consensus 35</v>
      </c>
      <c r="B4" t="s">
        <v>41</v>
      </c>
    </row>
    <row r="5" spans="1:5" x14ac:dyDescent="0.25">
      <c r="A5" t="str">
        <f>IF(Input!A6="","",Input!A6)</f>
        <v>BlackRock Consensus 60</v>
      </c>
      <c r="B5" t="s">
        <v>42</v>
      </c>
    </row>
    <row r="6" spans="1:5" x14ac:dyDescent="0.25">
      <c r="A6" t="str">
        <f>IF(Input!A7="","",Input!A7)</f>
        <v>BlackRock Consensus 70</v>
      </c>
      <c r="B6" t="s">
        <v>43</v>
      </c>
    </row>
    <row r="7" spans="1:5" x14ac:dyDescent="0.25">
      <c r="A7" t="str">
        <f>IF(Input!A8="","",Input!A8)</f>
        <v>BlackRock Consensus 100</v>
      </c>
      <c r="B7" t="s">
        <v>44</v>
      </c>
    </row>
    <row r="8" spans="1:5" x14ac:dyDescent="0.25">
      <c r="A8" t="str">
        <f>IF(Input!A9="","",Input!A9)</f>
        <v>BlackRock Pension Growth Fund</v>
      </c>
      <c r="B8" t="s">
        <v>45</v>
      </c>
    </row>
    <row r="9" spans="1:5" x14ac:dyDescent="0.25">
      <c r="A9" t="str">
        <f>IF(Input!A10="","",Input!A10)</f>
        <v>MyMap 3</v>
      </c>
      <c r="B9" t="s">
        <v>54</v>
      </c>
    </row>
    <row r="10" spans="1:5" x14ac:dyDescent="0.25">
      <c r="A10" t="str">
        <f>IF(Input!A11="","",Input!A11)</f>
        <v>MyMap 4</v>
      </c>
      <c r="B10" t="s">
        <v>55</v>
      </c>
    </row>
    <row r="11" spans="1:5" x14ac:dyDescent="0.25">
      <c r="A11" t="str">
        <f>IF(Input!A12="","",Input!A12)</f>
        <v>MyMap 5</v>
      </c>
      <c r="B11" t="s">
        <v>56</v>
      </c>
    </row>
    <row r="12" spans="1:5" x14ac:dyDescent="0.25">
      <c r="A12" t="str">
        <f>IF(Input!A13="","",Input!A13)</f>
        <v>MyMap 6</v>
      </c>
      <c r="B12" t="s">
        <v>57</v>
      </c>
    </row>
    <row r="13" spans="1:5" x14ac:dyDescent="0.25">
      <c r="A13" t="str">
        <f>IF(Input!A14="","",Input!A14)</f>
        <v>MyMap 3 Select ESG Fund</v>
      </c>
      <c r="B13" t="s">
        <v>58</v>
      </c>
    </row>
    <row r="14" spans="1:5" x14ac:dyDescent="0.25">
      <c r="A14" t="str">
        <f>IF(Input!A15="","",Input!A15)</f>
        <v>MyMap 5 Select ESG Fund</v>
      </c>
      <c r="B14" t="s">
        <v>59</v>
      </c>
    </row>
    <row r="15" spans="1:5" x14ac:dyDescent="0.25">
      <c r="A15" t="str">
        <f>IF(Input!A16="","",Input!A16)</f>
        <v>MyMap 7 Select ESG Fund</v>
      </c>
      <c r="B15" t="s">
        <v>60</v>
      </c>
    </row>
    <row r="16" spans="1:5" x14ac:dyDescent="0.25">
      <c r="A16" t="str">
        <f>IF(Input!A17="","",Input!A17)</f>
        <v>MyMap 4 Select Income Fund</v>
      </c>
      <c r="B16" s="10" t="s">
        <v>61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45169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45169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45169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45169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45169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45169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45169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45169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45169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45169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45169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45169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45169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45169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45169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2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</v>
      </c>
      <c r="C8">
        <f>IF(A8="","",SUM('Asset Allocation'!C8))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MyMap 3</v>
      </c>
      <c r="B9">
        <f>IF(A9="","",SUM('Asset Allocation'!B9))</f>
        <v>0.77319999999999989</v>
      </c>
      <c r="C9">
        <f>IF(A9="","",SUM('Asset Allocation'!C9))</f>
        <v>0.2024</v>
      </c>
      <c r="G9">
        <f>IF(A9="","",SUM('Asset Allocation'!D9))</f>
        <v>3.04E-2</v>
      </c>
      <c r="H9">
        <f t="shared" si="0"/>
        <v>-6.0000000000000053E-3</v>
      </c>
    </row>
    <row r="10" spans="1:8" x14ac:dyDescent="0.25">
      <c r="A10" t="str">
        <f>IF(Input!A11="","",Input!A11)</f>
        <v>MyMap 4</v>
      </c>
      <c r="B10">
        <f>IF(A10="","",SUM('Asset Allocation'!B10))</f>
        <v>0.49969999999999998</v>
      </c>
      <c r="C10">
        <f>IF(A10="","",SUM('Asset Allocation'!C10))</f>
        <v>0.47539999999999999</v>
      </c>
      <c r="G10">
        <f>IF(A10="","",SUM('Asset Allocation'!D10))</f>
        <v>3.0099999999999998E-2</v>
      </c>
      <c r="H10">
        <f t="shared" si="0"/>
        <v>-5.1999999999998714E-3</v>
      </c>
    </row>
    <row r="11" spans="1:8" x14ac:dyDescent="0.25">
      <c r="A11" t="str">
        <f>IF(Input!A12="","",Input!A12)</f>
        <v>MyMap 5</v>
      </c>
      <c r="B11">
        <f>IF(A11="","",SUM('Asset Allocation'!B11))</f>
        <v>0.3085</v>
      </c>
      <c r="C11">
        <f>IF(A11="","",SUM('Asset Allocation'!C11))</f>
        <v>0.66489999999999994</v>
      </c>
      <c r="G11">
        <f>IF(A11="","",SUM('Asset Allocation'!D11))</f>
        <v>2.98E-2</v>
      </c>
      <c r="H11">
        <f t="shared" si="0"/>
        <v>-3.1999999999998696E-3</v>
      </c>
    </row>
    <row r="12" spans="1:8" x14ac:dyDescent="0.25">
      <c r="A12" t="str">
        <f>IF(Input!A13="","",Input!A13)</f>
        <v>MyMap 6</v>
      </c>
      <c r="B12">
        <f>IF(A12="","",SUM('Asset Allocation'!B12))</f>
        <v>0.1193</v>
      </c>
      <c r="C12">
        <f>IF(A12="","",SUM('Asset Allocation'!C12))</f>
        <v>0.85370000000000001</v>
      </c>
      <c r="G12">
        <f>IF(A12="","",SUM('Asset Allocation'!D12))</f>
        <v>3.0099999999999998E-2</v>
      </c>
      <c r="H12">
        <f t="shared" si="0"/>
        <v>-3.0999999999998806E-3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0.80330000000000001</v>
      </c>
      <c r="C13">
        <f>IF(A13="","",SUM('Asset Allocation'!C13))</f>
        <v>0.20280000000000001</v>
      </c>
      <c r="G13">
        <f>IF(A13="","",SUM('Asset Allocation'!D13))</f>
        <v>0</v>
      </c>
      <c r="H13">
        <f t="shared" si="0"/>
        <v>-6.0999999999999943E-3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0.33939999999999998</v>
      </c>
      <c r="C14">
        <f>IF(A14="","",SUM('Asset Allocation'!C14))</f>
        <v>0.66579999999999995</v>
      </c>
      <c r="G14">
        <f>IF(A14="","",SUM('Asset Allocation'!D14))</f>
        <v>0</v>
      </c>
      <c r="H14">
        <f t="shared" si="0"/>
        <v>-5.1999999999998714E-3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1.0029000000000001</v>
      </c>
      <c r="G15">
        <f>IF(A15="","",SUM('Asset Allocation'!D15))</f>
        <v>0</v>
      </c>
      <c r="H15">
        <f t="shared" si="0"/>
        <v>-2.9000000000001247E-3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0.63829999999999998</v>
      </c>
      <c r="C16">
        <f>IF(A16="","",SUM('Asset Allocation'!C16))</f>
        <v>0.36560000000000004</v>
      </c>
      <c r="G16">
        <f>IF(A16="","",SUM('Asset Allocation'!D16))</f>
        <v>0</v>
      </c>
      <c r="H16">
        <f t="shared" si="0"/>
        <v>-3.9000000000000146E-3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Allocation'!Q2,'Asset Allocation'!H2)),0)</f>
        <v>0</v>
      </c>
      <c r="C2" s="6">
        <f>IFERROR(IF(A2="","",SUM('Asset Allocation'!O2)),0)</f>
        <v>0</v>
      </c>
      <c r="D2" s="6">
        <f>IFERROR(IF(A2="","",SUM('Asset Allocation'!N2,'Asset Allocation'!K2)),0)</f>
        <v>0</v>
      </c>
      <c r="E2" s="6">
        <f>IFERROR(IF(A2="","",SUM('Asset Allocation'!P2)),0)</f>
        <v>0</v>
      </c>
      <c r="F2" s="6">
        <f>IFERROR(IF(A2="","",SUM('Asset Allocation'!M2,'Asset Allocation'!J2)),0)</f>
        <v>0</v>
      </c>
      <c r="G2" s="6">
        <f>IFERROR(IF(A2="","",SUM('Asset Allocation'!L2,'Asset Allocation'!I2,'Asset Allocation'!G2,'Asset Allocation'!R2)),0)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Allocation'!Q3,'Asset Allocation'!H3)),0)</f>
        <v>0</v>
      </c>
      <c r="C3" s="6">
        <f>IFERROR(IF(A3="","",SUM('Asset Allocation'!O3)),0)</f>
        <v>0</v>
      </c>
      <c r="D3" s="6">
        <f>IFERROR(IF(A3="","",SUM('Asset Allocation'!N3,'Asset Allocation'!K3)),0)</f>
        <v>0</v>
      </c>
      <c r="E3" s="6">
        <f>IFERROR(IF(A3="","",SUM('Asset Allocation'!P3)),0)</f>
        <v>0</v>
      </c>
      <c r="F3" s="6">
        <f>IFERROR(IF(A3="","",SUM('Asset Allocation'!M3,'Asset Allocation'!J3)),0)</f>
        <v>0</v>
      </c>
      <c r="G3" s="6">
        <f>IFERROR(IF(A3="","",SUM('Asset Allocation'!L3,'Asset Allocation'!I3,'Asset Allocation'!G3,'Asset Allocation'!R3)),0)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Allocation'!Q4,'Asset Allocation'!H4)),0)</f>
        <v>0</v>
      </c>
      <c r="C4" s="6">
        <f>IFERROR(IF(A4="","",SUM('Asset Allocation'!O4)),0)</f>
        <v>0</v>
      </c>
      <c r="D4" s="6">
        <f>IFERROR(IF(A4="","",SUM('Asset Allocation'!N4,'Asset Allocation'!K4)),0)</f>
        <v>0</v>
      </c>
      <c r="E4" s="6">
        <f>IFERROR(IF(A4="","",SUM('Asset Allocation'!P4)),0)</f>
        <v>0</v>
      </c>
      <c r="F4" s="6">
        <f>IFERROR(IF(A4="","",SUM('Asset Allocation'!M4,'Asset Allocation'!J4)),0)</f>
        <v>0</v>
      </c>
      <c r="G4" s="6">
        <f>IFERROR(IF(A4="","",SUM('Asset Allocation'!L4,'Asset Allocation'!I4,'Asset Allocation'!G4,'Asset Allocation'!R4)),0)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Allocation'!Q5,'Asset Allocation'!H5)),0)</f>
        <v>0</v>
      </c>
      <c r="C5" s="6">
        <f>IFERROR(IF(A5="","",SUM('Asset Allocation'!O5)),0)</f>
        <v>0</v>
      </c>
      <c r="D5" s="6">
        <f>IFERROR(IF(A5="","",SUM('Asset Allocation'!N5,'Asset Allocation'!K5)),0)</f>
        <v>0</v>
      </c>
      <c r="E5" s="6">
        <f>IFERROR(IF(A5="","",SUM('Asset Allocation'!P5)),0)</f>
        <v>0</v>
      </c>
      <c r="F5" s="6">
        <f>IFERROR(IF(A5="","",SUM('Asset Allocation'!M5,'Asset Allocation'!J5)),0)</f>
        <v>0</v>
      </c>
      <c r="G5" s="6">
        <f>IFERROR(IF(A5="","",SUM('Asset Allocation'!L5,'Asset Allocation'!I5,'Asset Allocation'!G5,'Asset Allocation'!R5)),0)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Allocation'!Q6,'Asset Allocation'!H6)),0)</f>
        <v>0</v>
      </c>
      <c r="C6" s="6">
        <f>IFERROR(IF(A6="","",SUM('Asset Allocation'!O6)),0)</f>
        <v>0</v>
      </c>
      <c r="D6" s="6">
        <f>IFERROR(IF(A6="","",SUM('Asset Allocation'!N6,'Asset Allocation'!K6)),0)</f>
        <v>0</v>
      </c>
      <c r="E6" s="6">
        <f>IFERROR(IF(A6="","",SUM('Asset Allocation'!P6)),0)</f>
        <v>0</v>
      </c>
      <c r="F6" s="6">
        <f>IFERROR(IF(A6="","",SUM('Asset Allocation'!M6,'Asset Allocation'!J6)),0)</f>
        <v>0</v>
      </c>
      <c r="G6" s="6">
        <f>IFERROR(IF(A6="","",SUM('Asset Allocation'!L6,'Asset Allocation'!I6,'Asset Allocation'!G6,'Asset Allocation'!R6)),0)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Allocation'!Q7,'Asset Allocation'!H7)),0)</f>
        <v>0</v>
      </c>
      <c r="C7" s="6">
        <f>IFERROR(IF(A7="","",SUM('Asset Allocation'!O7)),0)</f>
        <v>0</v>
      </c>
      <c r="D7" s="6">
        <f>IFERROR(IF(A7="","",SUM('Asset Allocation'!N7,'Asset Allocation'!K7)),0)</f>
        <v>0</v>
      </c>
      <c r="E7" s="6">
        <f>IFERROR(IF(A7="","",SUM('Asset Allocation'!P7)),0)</f>
        <v>0</v>
      </c>
      <c r="F7" s="6">
        <f>IFERROR(IF(A7="","",SUM('Asset Allocation'!M7,'Asset Allocation'!J7)),0)</f>
        <v>0</v>
      </c>
      <c r="G7" s="6">
        <f>IFERROR(IF(A7="","",SUM('Asset Allocation'!L7,'Asset Allocation'!I7,'Asset Allocation'!G7,'Asset Allocation'!R7)),0)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Allocation'!Q8,'Asset Allocation'!H8)),0)</f>
        <v>0</v>
      </c>
      <c r="C8" s="6">
        <f>IFERROR(IF(A8="","",SUM('Asset Allocation'!O8)),0)</f>
        <v>0</v>
      </c>
      <c r="D8" s="6">
        <f>IFERROR(IF(A8="","",SUM('Asset Allocation'!N8,'Asset Allocation'!K8)),0)</f>
        <v>0</v>
      </c>
      <c r="E8" s="6">
        <f>IFERROR(IF(A8="","",SUM('Asset Allocation'!P8)),0)</f>
        <v>0</v>
      </c>
      <c r="F8" s="6">
        <f>IFERROR(IF(A8="","",SUM('Asset Allocation'!M8,'Asset Allocation'!J8)),0)</f>
        <v>0</v>
      </c>
      <c r="G8" s="6">
        <f>IFERROR(IF(A8="","",SUM('Asset Allocation'!L8,'Asset Allocation'!I8,'Asset Allocation'!G8,'Asset Allocation'!R8)),0)</f>
        <v>0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Allocation'!Q9,'Asset Allocation'!H9)),0)</f>
        <v>0.12449999999999999</v>
      </c>
      <c r="C9" s="6">
        <f>IFERROR(IF(A9="","",SUM('Asset Allocation'!O9)),0)</f>
        <v>1.6799999999999999E-2</v>
      </c>
      <c r="D9" s="6">
        <f>IFERROR(IF(A9="","",SUM('Asset Allocation'!N9,'Asset Allocation'!K9)),0)</f>
        <v>0.19270000000000001</v>
      </c>
      <c r="E9" s="6">
        <f>IFERROR(IF(A9="","",SUM('Asset Allocation'!P9)),0)</f>
        <v>3.0099999999999998E-2</v>
      </c>
      <c r="F9" s="6">
        <f>IFERROR(IF(A9="","",SUM('Asset Allocation'!M9,'Asset Allocation'!J9)),0)</f>
        <v>0.55179999999999996</v>
      </c>
      <c r="G9" s="6">
        <f>IFERROR(IF(A9="","",SUM('Asset Allocation'!L9,'Asset Allocation'!I9,'Asset Allocation'!G9,'Asset Allocation'!R9)),0)</f>
        <v>0.46439999999999992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Allocation'!Q10,'Asset Allocation'!H10)),0)</f>
        <v>0.1457</v>
      </c>
      <c r="C10" s="6">
        <f>IFERROR(IF(A10="","",SUM('Asset Allocation'!O10)),0)</f>
        <v>3.4599999999999999E-2</v>
      </c>
      <c r="D10" s="6">
        <f>IFERROR(IF(A10="","",SUM('Asset Allocation'!N10,'Asset Allocation'!K10)),0)</f>
        <v>0.1477</v>
      </c>
      <c r="E10" s="6">
        <f>IFERROR(IF(A10="","",SUM('Asset Allocation'!P10)),0)</f>
        <v>3.44E-2</v>
      </c>
      <c r="F10" s="6">
        <f>IFERROR(IF(A10="","",SUM('Asset Allocation'!M10,'Asset Allocation'!J10)),0)</f>
        <v>0.56130000000000002</v>
      </c>
      <c r="G10" s="6">
        <f>IFERROR(IF(A10="","",SUM('Asset Allocation'!L10,'Asset Allocation'!I10,'Asset Allocation'!G10,'Asset Allocation'!R10)),0)</f>
        <v>0.4612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Allocation'!Q11,'Asset Allocation'!H11)),0)</f>
        <v>0.1522</v>
      </c>
      <c r="C11" s="6">
        <f>IFERROR(IF(A11="","",SUM('Asset Allocation'!O11)),0)</f>
        <v>4.7300000000000002E-2</v>
      </c>
      <c r="D11" s="6">
        <f>IFERROR(IF(A11="","",SUM('Asset Allocation'!N11,'Asset Allocation'!K11)),0)</f>
        <v>0.1366</v>
      </c>
      <c r="E11" s="6">
        <f>IFERROR(IF(A11="","",SUM('Asset Allocation'!P11)),0)</f>
        <v>2.0299999999999999E-2</v>
      </c>
      <c r="F11" s="6">
        <f>IFERROR(IF(A11="","",SUM('Asset Allocation'!M11,'Asset Allocation'!J11)),0)</f>
        <v>0.56399999999999995</v>
      </c>
      <c r="G11" s="6">
        <f>IFERROR(IF(A11="","",SUM('Asset Allocation'!L11,'Asset Allocation'!I11,'Asset Allocation'!G11,'Asset Allocation'!R11)),0)</f>
        <v>0.44429999999999997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Allocation'!Q12,'Asset Allocation'!H12)),0)</f>
        <v>0.1744</v>
      </c>
      <c r="C12" s="6">
        <f>IFERROR(IF(A12="","",SUM('Asset Allocation'!O12)),0)</f>
        <v>6.13E-2</v>
      </c>
      <c r="D12" s="6">
        <f>IFERROR(IF(A12="","",SUM('Asset Allocation'!N12,'Asset Allocation'!K12)),0)</f>
        <v>0.12820000000000001</v>
      </c>
      <c r="E12" s="6">
        <f>IFERROR(IF(A12="","",SUM('Asset Allocation'!P12)),0)</f>
        <v>2.4399999999999998E-2</v>
      </c>
      <c r="F12" s="6">
        <f>IFERROR(IF(A12="","",SUM('Asset Allocation'!M12,'Asset Allocation'!J12)),0)</f>
        <v>0.55359999999999998</v>
      </c>
      <c r="G12" s="6">
        <f>IFERROR(IF(A12="","",SUM('Asset Allocation'!L12,'Asset Allocation'!I12,'Asset Allocation'!G12,'Asset Allocation'!R12)),0)</f>
        <v>0.4194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Allocation'!Q13,'Asset Allocation'!H13)),0)</f>
        <v>0.1331</v>
      </c>
      <c r="C13" s="6">
        <f>IFERROR(IF(A13="","",SUM('Asset Allocation'!O13)),0)</f>
        <v>1.6799999999999999E-2</v>
      </c>
      <c r="D13" s="6">
        <f>IFERROR(IF(A13="","",SUM('Asset Allocation'!N13,'Asset Allocation'!K13)),0)</f>
        <v>0.20099999999999998</v>
      </c>
      <c r="E13" s="6">
        <f>IFERROR(IF(A13="","",SUM('Asset Allocation'!P13)),0)</f>
        <v>3.0699999999999998E-2</v>
      </c>
      <c r="F13" s="6">
        <f>IFERROR(IF(A13="","",SUM('Asset Allocation'!M13,'Asset Allocation'!J13)),0)</f>
        <v>0.52859999999999996</v>
      </c>
      <c r="G13" s="6">
        <f>IFERROR(IF(A13="","",SUM('Asset Allocation'!L13,'Asset Allocation'!I13,'Asset Allocation'!G13,'Asset Allocation'!R13)),0)</f>
        <v>0.47009999999999996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Allocation'!Q14,'Asset Allocation'!H14)),0)</f>
        <v>0.14529999999999998</v>
      </c>
      <c r="C14" s="6">
        <f>IFERROR(IF(A14="","",SUM('Asset Allocation'!O14)),0)</f>
        <v>4.7500000000000001E-2</v>
      </c>
      <c r="D14" s="6">
        <f>IFERROR(IF(A14="","",SUM('Asset Allocation'!N14,'Asset Allocation'!K14)),0)</f>
        <v>0.15279999999999999</v>
      </c>
      <c r="E14" s="6">
        <f>IFERROR(IF(A14="","",SUM('Asset Allocation'!P14)),0)</f>
        <v>1.9400000000000001E-2</v>
      </c>
      <c r="F14" s="6">
        <f>IFERROR(IF(A14="","",SUM('Asset Allocation'!M14,'Asset Allocation'!J14)),0)</f>
        <v>0.57340000000000002</v>
      </c>
      <c r="G14" s="6">
        <f>IFERROR(IF(A14="","",SUM('Asset Allocation'!L14,'Asset Allocation'!I14,'Asset Allocation'!G14,'Asset Allocation'!R14)),0)</f>
        <v>0.43379999999999996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Allocation'!Q15,'Asset Allocation'!H15)),0)</f>
        <v>0.18119999999999997</v>
      </c>
      <c r="C15" s="6">
        <f>IFERROR(IF(A15="","",SUM('Asset Allocation'!O15)),0)</f>
        <v>7.1599999999999997E-2</v>
      </c>
      <c r="D15" s="6">
        <f>IFERROR(IF(A15="","",SUM('Asset Allocation'!N15,'Asset Allocation'!K15)),0)</f>
        <v>0.1323</v>
      </c>
      <c r="E15" s="6">
        <f>IFERROR(IF(A15="","",SUM('Asset Allocation'!P15)),0)</f>
        <v>2.69E-2</v>
      </c>
      <c r="F15" s="6">
        <f>IFERROR(IF(A15="","",SUM('Asset Allocation'!M15,'Asset Allocation'!J15)),0)</f>
        <v>0.55740000000000001</v>
      </c>
      <c r="G15" s="6">
        <f>IFERROR(IF(A15="","",SUM('Asset Allocation'!L15,'Asset Allocation'!I15,'Asset Allocation'!G15,'Asset Allocation'!R15)),0)</f>
        <v>0.38450000000000001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Allocation'!Q16,'Asset Allocation'!H16)),0)</f>
        <v>0.1163</v>
      </c>
      <c r="C16" s="6">
        <f>IFERROR(IF(A16="","",SUM('Asset Allocation'!O16)),0)</f>
        <v>1.7299999999999999E-2</v>
      </c>
      <c r="D16" s="6">
        <f>IFERROR(IF(A16="","",SUM('Asset Allocation'!N16,'Asset Allocation'!K16)),0)</f>
        <v>0.21779999999999999</v>
      </c>
      <c r="E16" s="6">
        <f>IFERROR(IF(A16="","",SUM('Asset Allocation'!P16)),0)</f>
        <v>1.34E-2</v>
      </c>
      <c r="F16" s="6">
        <f>IFERROR(IF(A16="","",SUM('Asset Allocation'!M16,'Asset Allocation'!J16)),0)</f>
        <v>0.41020000000000001</v>
      </c>
      <c r="G16" s="6">
        <f>IFERROR(IF(A16="","",SUM('Asset Allocation'!L16,'Asset Allocation'!I16,'Asset Allocation'!G16,'Asset Allocation'!R16)),0)</f>
        <v>0.64600000000000002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Allocation'!Q17,'Asset Allocation'!H17)),0)</f>
        <v/>
      </c>
      <c r="C17" s="6" t="str">
        <f>IFERROR(IF(A17="","",SUM('Asset Allocation'!O17)),0)</f>
        <v/>
      </c>
      <c r="D17" s="6" t="str">
        <f>IFERROR(IF(A17="","",SUM('Asset Allocation'!N17,'Asset Allocation'!K17)),0)</f>
        <v/>
      </c>
      <c r="E17" s="6" t="str">
        <f>IFERROR(IF(A17="","",SUM('Asset Allocation'!P17)),0)</f>
        <v/>
      </c>
      <c r="F17" s="6" t="str">
        <f>IFERROR(IF(A17="","",SUM('Asset Allocation'!M17,'Asset Allocation'!J17)),0)</f>
        <v/>
      </c>
      <c r="G17" s="6" t="str">
        <f>IFERROR(IF(A17="","",SUM('Asset Allocation'!L17,'Asset Allocation'!I17,'Asset Allocation'!G17,'Asset Allocation'!R17)),0)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Allocation'!Q18,'Asset Allocation'!H18)),0)</f>
        <v/>
      </c>
      <c r="C18" s="6" t="str">
        <f>IFERROR(IF(A18="","",SUM('Asset Allocation'!O18)),0)</f>
        <v/>
      </c>
      <c r="D18" s="6" t="str">
        <f>IFERROR(IF(A18="","",SUM('Asset Allocation'!N18,'Asset Allocation'!K18)),0)</f>
        <v/>
      </c>
      <c r="E18" s="6" t="str">
        <f>IFERROR(IF(A18="","",SUM('Asset Allocation'!P18)),0)</f>
        <v/>
      </c>
      <c r="F18" s="6" t="str">
        <f>IFERROR(IF(A18="","",SUM('Asset Allocation'!M18,'Asset Allocation'!J18)),0)</f>
        <v/>
      </c>
      <c r="G18" s="6" t="str">
        <f>IFERROR(IF(A18="","",SUM('Asset Allocation'!L18,'Asset Allocation'!I18,'Asset Allocation'!G18,'Asset Allocation'!R18)),0)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Allocation'!Q19,'Asset Allocation'!H19)),0)</f>
        <v/>
      </c>
      <c r="C19" s="6" t="str">
        <f>IFERROR(IF(A19="","",SUM('Asset Allocation'!O19)),0)</f>
        <v/>
      </c>
      <c r="D19" s="6" t="str">
        <f>IFERROR(IF(A19="","",SUM('Asset Allocation'!N19,'Asset Allocation'!K19)),0)</f>
        <v/>
      </c>
      <c r="E19" s="6" t="str">
        <f>IFERROR(IF(A19="","",SUM('Asset Allocation'!P19)),0)</f>
        <v/>
      </c>
      <c r="F19" s="6" t="str">
        <f>IFERROR(IF(A19="","",SUM('Asset Allocation'!M19,'Asset Allocation'!J19)),0)</f>
        <v/>
      </c>
      <c r="G19" s="6" t="str">
        <f>IFERROR(IF(A19="","",SUM('Asset Allocation'!L19,'Asset Allocation'!I19,'Asset Allocation'!G19,'Asset Allocation'!R19)),0)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Allocation'!Q20,'Asset Allocation'!H20)),0)</f>
        <v/>
      </c>
      <c r="C20" s="6" t="str">
        <f>IFERROR(IF(A20="","",SUM('Asset Allocation'!O20)),0)</f>
        <v/>
      </c>
      <c r="D20" s="6" t="str">
        <f>IFERROR(IF(A20="","",SUM('Asset Allocation'!N20,'Asset Allocation'!K20)),0)</f>
        <v/>
      </c>
      <c r="E20" s="6" t="str">
        <f>IFERROR(IF(A20="","",SUM('Asset Allocation'!P20)),0)</f>
        <v/>
      </c>
      <c r="F20" s="6" t="str">
        <f>IFERROR(IF(A20="","",SUM('Asset Allocation'!M20,'Asset Allocation'!J20)),0)</f>
        <v/>
      </c>
      <c r="G20" s="6" t="str">
        <f>IFERROR(IF(A20="","",SUM('Asset Allocation'!L20,'Asset Allocation'!I20,'Asset Allocation'!G20,'Asset Allocation'!R20)),0)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Allocation'!Q21,'Asset Allocation'!H21)),0)</f>
        <v/>
      </c>
      <c r="C21" s="6" t="str">
        <f>IFERROR(IF(A21="","",SUM('Asset Allocation'!O21)),0)</f>
        <v/>
      </c>
      <c r="D21" s="6" t="str">
        <f>IFERROR(IF(A21="","",SUM('Asset Allocation'!N21,'Asset Allocation'!K21)),0)</f>
        <v/>
      </c>
      <c r="E21" s="6" t="str">
        <f>IFERROR(IF(A21="","",SUM('Asset Allocation'!P21)),0)</f>
        <v/>
      </c>
      <c r="F21" s="6" t="str">
        <f>IFERROR(IF(A21="","",SUM('Asset Allocation'!M21,'Asset Allocation'!J21)),0)</f>
        <v/>
      </c>
      <c r="G21" s="6" t="str">
        <f>IFERROR(IF(A21="","",SUM('Asset Allocation'!L21,'Asset Allocation'!I21,'Asset Allocation'!G21,'Asset Allocation'!R21)),0)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Allocation'!Q22,'Asset Allocation'!H22)),0)</f>
        <v/>
      </c>
      <c r="C22" s="6" t="str">
        <f>IFERROR(IF(A22="","",SUM('Asset Allocation'!O22)),0)</f>
        <v/>
      </c>
      <c r="D22" s="6" t="str">
        <f>IFERROR(IF(A22="","",SUM('Asset Allocation'!N22,'Asset Allocation'!K22)),0)</f>
        <v/>
      </c>
      <c r="E22" s="6" t="str">
        <f>IFERROR(IF(A22="","",SUM('Asset Allocation'!P22)),0)</f>
        <v/>
      </c>
      <c r="F22" s="6" t="str">
        <f>IFERROR(IF(A22="","",SUM('Asset Allocation'!M22,'Asset Allocation'!J22)),0)</f>
        <v/>
      </c>
      <c r="G22" s="6" t="str">
        <f>IFERROR(IF(A22="","",SUM('Asset Allocation'!L22,'Asset Allocation'!I22,'Asset Allocation'!G22,'Asset Allocation'!R22)),0)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Allocation'!Q23,'Asset Allocation'!H23)),0)</f>
        <v/>
      </c>
      <c r="C23" s="6" t="str">
        <f>IFERROR(IF(A23="","",SUM('Asset Allocation'!O23)),0)</f>
        <v/>
      </c>
      <c r="D23" s="6" t="str">
        <f>IFERROR(IF(A23="","",SUM('Asset Allocation'!N23,'Asset Allocation'!K23)),0)</f>
        <v/>
      </c>
      <c r="E23" s="6" t="str">
        <f>IFERROR(IF(A23="","",SUM('Asset Allocation'!P23)),0)</f>
        <v/>
      </c>
      <c r="F23" s="6" t="str">
        <f>IFERROR(IF(A23="","",SUM('Asset Allocation'!M23,'Asset Allocation'!J23)),0)</f>
        <v/>
      </c>
      <c r="G23" s="6" t="str">
        <f>IFERROR(IF(A23="","",SUM('Asset Allocation'!L23,'Asset Allocation'!I23,'Asset Allocation'!G23,'Asset Allocation'!R23)),0)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Allocation'!Q24,'Asset Allocation'!H24)),0)</f>
        <v/>
      </c>
      <c r="C24" s="6" t="str">
        <f>IFERROR(IF(A24="","",SUM('Asset Allocation'!O24)),0)</f>
        <v/>
      </c>
      <c r="D24" s="6" t="str">
        <f>IFERROR(IF(A24="","",SUM('Asset Allocation'!N24,'Asset Allocation'!K24)),0)</f>
        <v/>
      </c>
      <c r="E24" s="6" t="str">
        <f>IFERROR(IF(A24="","",SUM('Asset Allocation'!P24)),0)</f>
        <v/>
      </c>
      <c r="F24" s="6" t="str">
        <f>IFERROR(IF(A24="","",SUM('Asset Allocation'!M24,'Asset Allocation'!J24)),0)</f>
        <v/>
      </c>
      <c r="G24" s="6" t="str">
        <f>IFERROR(IF(A24="","",SUM('Asset Allocation'!L24,'Asset Allocation'!I24,'Asset Allocation'!G24,'Asset Allocation'!R24)),0)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Allocation'!Q25,'Asset Allocation'!H25)),0)</f>
        <v/>
      </c>
      <c r="C25" s="6" t="str">
        <f>IFERROR(IF(A25="","",SUM('Asset Allocation'!O25)),0)</f>
        <v/>
      </c>
      <c r="D25" s="6" t="str">
        <f>IFERROR(IF(A25="","",SUM('Asset Allocation'!N25,'Asset Allocation'!K25)),0)</f>
        <v/>
      </c>
      <c r="E25" s="6" t="str">
        <f>IFERROR(IF(A25="","",SUM('Asset Allocation'!P25)),0)</f>
        <v/>
      </c>
      <c r="F25" s="6" t="str">
        <f>IFERROR(IF(A25="","",SUM('Asset Allocation'!M25,'Asset Allocation'!J25)),0)</f>
        <v/>
      </c>
      <c r="G25" s="6" t="str">
        <f>IFERROR(IF(A25="","",SUM('Asset Allocation'!L25,'Asset Allocation'!I25,'Asset Allocation'!G25,'Asset Allocation'!R25)),0)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Allocation'!Q26,'Asset Allocation'!H26)),0)</f>
        <v/>
      </c>
      <c r="C26" s="6" t="str">
        <f>IFERROR(IF(A26="","",SUM('Asset Allocation'!O26)),0)</f>
        <v/>
      </c>
      <c r="D26" s="6" t="str">
        <f>IFERROR(IF(A26="","",SUM('Asset Allocation'!N26,'Asset Allocation'!K26)),0)</f>
        <v/>
      </c>
      <c r="E26" s="6" t="str">
        <f>IFERROR(IF(A26="","",SUM('Asset Allocation'!P26)),0)</f>
        <v/>
      </c>
      <c r="F26" s="6" t="str">
        <f>IFERROR(IF(A26="","",SUM('Asset Allocation'!M26,'Asset Allocation'!J26)),0)</f>
        <v/>
      </c>
      <c r="G26" s="6" t="str">
        <f>IFERROR(IF(A26="","",SUM('Asset Allocation'!L26,'Asset Allocation'!I26,'Asset Allocation'!G26,'Asset Allocation'!R26)),0)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Allocation'!Q27,'Asset Allocation'!H27)),0)</f>
        <v/>
      </c>
      <c r="C27" s="6" t="str">
        <f>IFERROR(IF(A27="","",SUM('Asset Allocation'!O27)),0)</f>
        <v/>
      </c>
      <c r="D27" s="6" t="str">
        <f>IFERROR(IF(A27="","",SUM('Asset Allocation'!N27,'Asset Allocation'!K27)),0)</f>
        <v/>
      </c>
      <c r="E27" s="6" t="str">
        <f>IFERROR(IF(A27="","",SUM('Asset Allocation'!P27)),0)</f>
        <v/>
      </c>
      <c r="F27" s="6" t="str">
        <f>IFERROR(IF(A27="","",SUM('Asset Allocation'!M27,'Asset Allocation'!J27)),0)</f>
        <v/>
      </c>
      <c r="G27" s="6" t="str">
        <f>IFERROR(IF(A27="","",SUM('Asset Allocation'!L27,'Asset Allocation'!I27,'Asset Allocation'!G27,'Asset Allocation'!R27)),0)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Allocation'!Q28,'Asset Allocation'!H28)),0)</f>
        <v/>
      </c>
      <c r="C28" s="6" t="str">
        <f>IFERROR(IF(A28="","",SUM('Asset Allocation'!O28)),0)</f>
        <v/>
      </c>
      <c r="D28" s="6" t="str">
        <f>IFERROR(IF(A28="","",SUM('Asset Allocation'!N28,'Asset Allocation'!K28)),0)</f>
        <v/>
      </c>
      <c r="E28" s="6" t="str">
        <f>IFERROR(IF(A28="","",SUM('Asset Allocation'!P28)),0)</f>
        <v/>
      </c>
      <c r="F28" s="6" t="str">
        <f>IFERROR(IF(A28="","",SUM('Asset Allocation'!M28,'Asset Allocation'!J28)),0)</f>
        <v/>
      </c>
      <c r="G28" s="6" t="str">
        <f>IFERROR(IF(A28="","",SUM('Asset Allocation'!L28,'Asset Allocation'!I28,'Asset Allocation'!G28,'Asset Allocation'!R28)),0)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Allocation'!Q29,'Asset Allocation'!H29)),0)</f>
        <v/>
      </c>
      <c r="C29" s="6" t="str">
        <f>IFERROR(IF(A29="","",SUM('Asset Allocation'!O29)),0)</f>
        <v/>
      </c>
      <c r="D29" s="6" t="str">
        <f>IFERROR(IF(A29="","",SUM('Asset Allocation'!N29,'Asset Allocation'!K29)),0)</f>
        <v/>
      </c>
      <c r="E29" s="6" t="str">
        <f>IFERROR(IF(A29="","",SUM('Asset Allocation'!P29)),0)</f>
        <v/>
      </c>
      <c r="F29" s="6" t="str">
        <f>IFERROR(IF(A29="","",SUM('Asset Allocation'!M29,'Asset Allocation'!J29)),0)</f>
        <v/>
      </c>
      <c r="G29" s="6" t="str">
        <f>IFERROR(IF(A29="","",SUM('Asset Allocation'!L29,'Asset Allocation'!I29,'Asset Allocation'!G29,'Asset Allocation'!R29)),0)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Allocation'!Q30,'Asset Allocation'!H30)),0)</f>
        <v/>
      </c>
      <c r="C30" s="6" t="str">
        <f>IFERROR(IF(A30="","",SUM('Asset Allocation'!O30)),0)</f>
        <v/>
      </c>
      <c r="D30" s="6" t="str">
        <f>IFERROR(IF(A30="","",SUM('Asset Allocation'!N30,'Asset Allocation'!K30)),0)</f>
        <v/>
      </c>
      <c r="E30" s="6" t="str">
        <f>IFERROR(IF(A30="","",SUM('Asset Allocation'!P30)),0)</f>
        <v/>
      </c>
      <c r="F30" s="6" t="str">
        <f>IFERROR(IF(A30="","",SUM('Asset Allocation'!M30,'Asset Allocation'!J30)),0)</f>
        <v/>
      </c>
      <c r="G30" s="6" t="str">
        <f>IFERROR(IF(A30="","",SUM('Asset Allocation'!L30,'Asset Allocation'!I30,'Asset Allocation'!G30,'Asset Allocation'!R30)),0)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Allocation'!Q31,'Asset Allocation'!H31)),0)</f>
        <v/>
      </c>
      <c r="C31" s="6" t="str">
        <f>IFERROR(IF(A31="","",SUM('Asset Allocation'!O31)),0)</f>
        <v/>
      </c>
      <c r="D31" s="6" t="str">
        <f>IFERROR(IF(A31="","",SUM('Asset Allocation'!N31,'Asset Allocation'!K31)),0)</f>
        <v/>
      </c>
      <c r="E31" s="6" t="str">
        <f>IFERROR(IF(A31="","",SUM('Asset Allocation'!P31)),0)</f>
        <v/>
      </c>
      <c r="F31" s="6" t="str">
        <f>IFERROR(IF(A31="","",SUM('Asset Allocation'!M31,'Asset Allocation'!J31)),0)</f>
        <v/>
      </c>
      <c r="G31" s="6" t="str">
        <f>IFERROR(IF(A31="","",SUM('Asset Allocation'!L31,'Asset Allocation'!I31,'Asset Allocation'!G31,'Asset Allocation'!R31)),0)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Allocation'!Q32,'Asset Allocation'!H32)),0)</f>
        <v/>
      </c>
      <c r="C32" s="6" t="str">
        <f>IFERROR(IF(A32="","",SUM('Asset Allocation'!O32)),0)</f>
        <v/>
      </c>
      <c r="D32" s="6" t="str">
        <f>IFERROR(IF(A32="","",SUM('Asset Allocation'!N32,'Asset Allocation'!K32)),0)</f>
        <v/>
      </c>
      <c r="E32" s="6" t="str">
        <f>IFERROR(IF(A32="","",SUM('Asset Allocation'!P32)),0)</f>
        <v/>
      </c>
      <c r="F32" s="6" t="str">
        <f>IFERROR(IF(A32="","",SUM('Asset Allocation'!M32,'Asset Allocation'!J32)),0)</f>
        <v/>
      </c>
      <c r="G32" s="6" t="str">
        <f>IFERROR(IF(A32="","",SUM('Asset Allocation'!L32,'Asset Allocation'!I32,'Asset Allocation'!G32,'Asset Allocation'!R32)),0)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Allocation'!Q33,'Asset Allocation'!H33)),0)</f>
        <v/>
      </c>
      <c r="C33" s="6" t="str">
        <f>IFERROR(IF(A33="","",SUM('Asset Allocation'!O33)),0)</f>
        <v/>
      </c>
      <c r="D33" s="6" t="str">
        <f>IFERROR(IF(A33="","",SUM('Asset Allocation'!N33,'Asset Allocation'!K33)),0)</f>
        <v/>
      </c>
      <c r="E33" s="6" t="str">
        <f>IFERROR(IF(A33="","",SUM('Asset Allocation'!P33)),0)</f>
        <v/>
      </c>
      <c r="F33" s="6" t="str">
        <f>IFERROR(IF(A33="","",SUM('Asset Allocation'!M33,'Asset Allocation'!J33)),0)</f>
        <v/>
      </c>
      <c r="G33" s="6" t="str">
        <f>IFERROR(IF(A33="","",SUM('Asset Allocation'!L33,'Asset Allocation'!I33,'Asset Allocation'!G33,'Asset Allocation'!R33)),0)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Allocation'!Q34,'Asset Allocation'!H34)),0)</f>
        <v/>
      </c>
      <c r="C34" s="6" t="str">
        <f>IFERROR(IF(A34="","",SUM('Asset Allocation'!O34)),0)</f>
        <v/>
      </c>
      <c r="D34" s="6" t="str">
        <f>IFERROR(IF(A34="","",SUM('Asset Allocation'!N34,'Asset Allocation'!K34)),0)</f>
        <v/>
      </c>
      <c r="E34" s="6" t="str">
        <f>IFERROR(IF(A34="","",SUM('Asset Allocation'!P34)),0)</f>
        <v/>
      </c>
      <c r="F34" s="6" t="str">
        <f>IFERROR(IF(A34="","",SUM('Asset Allocation'!M34,'Asset Allocation'!J34)),0)</f>
        <v/>
      </c>
      <c r="G34" s="6" t="str">
        <f>IFERROR(IF(A34="","",SUM('Asset Allocation'!L34,'Asset Allocation'!I34,'Asset Allocation'!G34,'Asset Allocation'!R34)),0)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Allocation'!Q35,'Asset Allocation'!H35)),0)</f>
        <v/>
      </c>
      <c r="C35" s="6" t="str">
        <f>IFERROR(IF(A35="","",SUM('Asset Allocation'!O35)),0)</f>
        <v/>
      </c>
      <c r="D35" s="6" t="str">
        <f>IFERROR(IF(A35="","",SUM('Asset Allocation'!N35,'Asset Allocation'!K35)),0)</f>
        <v/>
      </c>
      <c r="E35" s="6" t="str">
        <f>IFERROR(IF(A35="","",SUM('Asset Allocation'!P35)),0)</f>
        <v/>
      </c>
      <c r="F35" s="6" t="str">
        <f>IFERROR(IF(A35="","",SUM('Asset Allocation'!M35,'Asset Allocation'!J35)),0)</f>
        <v/>
      </c>
      <c r="G35" s="6" t="str">
        <f>IFERROR(IF(A35="","",SUM('Asset Allocation'!L35,'Asset Allocation'!I35,'Asset Allocation'!G35,'Asset Allocation'!R35)),0)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Allocation'!Q36,'Asset Allocation'!H36)),0)</f>
        <v/>
      </c>
      <c r="C36" s="6" t="str">
        <f>IFERROR(IF(A36="","",SUM('Asset Allocation'!O36)),0)</f>
        <v/>
      </c>
      <c r="D36" s="6" t="str">
        <f>IFERROR(IF(A36="","",SUM('Asset Allocation'!N36,'Asset Allocation'!K36)),0)</f>
        <v/>
      </c>
      <c r="E36" s="6" t="str">
        <f>IFERROR(IF(A36="","",SUM('Asset Allocation'!P36)),0)</f>
        <v/>
      </c>
      <c r="F36" s="6" t="str">
        <f>IFERROR(IF(A36="","",SUM('Asset Allocation'!M36,'Asset Allocation'!J36)),0)</f>
        <v/>
      </c>
      <c r="G36" s="6" t="str">
        <f>IFERROR(IF(A36="","",SUM('Asset Allocation'!L36,'Asset Allocation'!I36,'Asset Allocation'!G36,'Asset Allocation'!R36)),0)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Allocation'!Q37,'Asset Allocation'!H37)),0)</f>
        <v/>
      </c>
      <c r="C37" s="6" t="str">
        <f>IFERROR(IF(A37="","",SUM('Asset Allocation'!O37)),0)</f>
        <v/>
      </c>
      <c r="D37" s="6" t="str">
        <f>IFERROR(IF(A37="","",SUM('Asset Allocation'!N37,'Asset Allocation'!K37)),0)</f>
        <v/>
      </c>
      <c r="E37" s="6" t="str">
        <f>IFERROR(IF(A37="","",SUM('Asset Allocation'!P37)),0)</f>
        <v/>
      </c>
      <c r="F37" s="6" t="str">
        <f>IFERROR(IF(A37="","",SUM('Asset Allocation'!M37,'Asset Allocation'!J37)),0)</f>
        <v/>
      </c>
      <c r="G37" s="6" t="str">
        <f>IFERROR(IF(A37="","",SUM('Asset Allocation'!L37,'Asset Allocation'!I37,'Asset Allocation'!G37,'Asset Allocation'!R37)),0)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Allocation'!Q38,'Asset Allocation'!H38)),0)</f>
        <v/>
      </c>
      <c r="C38" s="6" t="str">
        <f>IFERROR(IF(A38="","",SUM('Asset Allocation'!O38)),0)</f>
        <v/>
      </c>
      <c r="D38" s="6" t="str">
        <f>IFERROR(IF(A38="","",SUM('Asset Allocation'!N38,'Asset Allocation'!K38)),0)</f>
        <v/>
      </c>
      <c r="E38" s="6" t="str">
        <f>IFERROR(IF(A38="","",SUM('Asset Allocation'!P38)),0)</f>
        <v/>
      </c>
      <c r="F38" s="6" t="str">
        <f>IFERROR(IF(A38="","",SUM('Asset Allocation'!M38,'Asset Allocation'!J38)),0)</f>
        <v/>
      </c>
      <c r="G38" s="6" t="str">
        <f>IFERROR(IF(A38="","",SUM('Asset Allocation'!L38,'Asset Allocation'!I38,'Asset Allocation'!G38,'Asset Allocation'!R38)),0)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Allocation'!Q39,'Asset Allocation'!H39)),0)</f>
        <v/>
      </c>
      <c r="C39" s="6" t="str">
        <f>IFERROR(IF(A39="","",SUM('Asset Allocation'!O39)),0)</f>
        <v/>
      </c>
      <c r="D39" s="6" t="str">
        <f>IFERROR(IF(A39="","",SUM('Asset Allocation'!N39,'Asset Allocation'!K39)),0)</f>
        <v/>
      </c>
      <c r="E39" s="6" t="str">
        <f>IFERROR(IF(A39="","",SUM('Asset Allocation'!P39)),0)</f>
        <v/>
      </c>
      <c r="F39" s="6" t="str">
        <f>IFERROR(IF(A39="","",SUM('Asset Allocation'!M39,'Asset Allocation'!J39)),0)</f>
        <v/>
      </c>
      <c r="G39" s="6" t="str">
        <f>IFERROR(IF(A39="","",SUM('Asset Allocation'!L39,'Asset Allocation'!I39,'Asset Allocation'!G39,'Asset Allocation'!R39)),0)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Allocation'!Q40,'Asset Allocation'!H40)),0)</f>
        <v/>
      </c>
      <c r="C40" s="6" t="str">
        <f>IFERROR(IF(A40="","",SUM('Asset Allocation'!O40)),0)</f>
        <v/>
      </c>
      <c r="D40" s="6" t="str">
        <f>IFERROR(IF(A40="","",SUM('Asset Allocation'!N40,'Asset Allocation'!K40)),0)</f>
        <v/>
      </c>
      <c r="E40" s="6" t="str">
        <f>IFERROR(IF(A40="","",SUM('Asset Allocation'!P40)),0)</f>
        <v/>
      </c>
      <c r="F40" s="6" t="str">
        <f>IFERROR(IF(A40="","",SUM('Asset Allocation'!M40,'Asset Allocation'!J40)),0)</f>
        <v/>
      </c>
      <c r="G40" s="6" t="str">
        <f>IFERROR(IF(A40="","",SUM('Asset Allocation'!L40,'Asset Allocation'!I40,'Asset Allocation'!G40,'Asset Allocation'!R40)),0)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Allocation'!Q41,'Asset Allocation'!H41)),0)</f>
        <v/>
      </c>
      <c r="C41" s="6" t="str">
        <f>IFERROR(IF(A41="","",SUM('Asset Allocation'!O41)),0)</f>
        <v/>
      </c>
      <c r="D41" s="6" t="str">
        <f>IFERROR(IF(A41="","",SUM('Asset Allocation'!N41,'Asset Allocation'!K41)),0)</f>
        <v/>
      </c>
      <c r="E41" s="6" t="str">
        <f>IFERROR(IF(A41="","",SUM('Asset Allocation'!P41)),0)</f>
        <v/>
      </c>
      <c r="F41" s="6" t="str">
        <f>IFERROR(IF(A41="","",SUM('Asset Allocation'!M41,'Asset Allocation'!J41)),0)</f>
        <v/>
      </c>
      <c r="G41" s="6" t="str">
        <f>IFERROR(IF(A41="","",SUM('Asset Allocation'!L41,'Asset Allocation'!I41,'Asset Allocation'!G41,'Asset Allocation'!R41)),0)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Allocation'!Q42,'Asset Allocation'!H42)),0)</f>
        <v/>
      </c>
      <c r="C42" s="6" t="str">
        <f>IFERROR(IF(A42="","",SUM('Asset Allocation'!O42)),0)</f>
        <v/>
      </c>
      <c r="D42" s="6" t="str">
        <f>IFERROR(IF(A42="","",SUM('Asset Allocation'!N42,'Asset Allocation'!K42)),0)</f>
        <v/>
      </c>
      <c r="E42" s="6" t="str">
        <f>IFERROR(IF(A42="","",SUM('Asset Allocation'!P42)),0)</f>
        <v/>
      </c>
      <c r="F42" s="6" t="str">
        <f>IFERROR(IF(A42="","",SUM('Asset Allocation'!M42,'Asset Allocation'!J42)),0)</f>
        <v/>
      </c>
      <c r="G42" s="6" t="str">
        <f>IFERROR(IF(A42="","",SUM('Asset Allocation'!L42,'Asset Allocation'!I42,'Asset Allocation'!G42,'Asset Allocation'!R42)),0)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Allocation'!Q43,'Asset Allocation'!H43)),0)</f>
        <v/>
      </c>
      <c r="C43" s="6" t="str">
        <f>IFERROR(IF(A43="","",SUM('Asset Allocation'!O43)),0)</f>
        <v/>
      </c>
      <c r="D43" s="6" t="str">
        <f>IFERROR(IF(A43="","",SUM('Asset Allocation'!N43,'Asset Allocation'!K43)),0)</f>
        <v/>
      </c>
      <c r="E43" s="6" t="str">
        <f>IFERROR(IF(A43="","",SUM('Asset Allocation'!P43)),0)</f>
        <v/>
      </c>
      <c r="F43" s="6" t="str">
        <f>IFERROR(IF(A43="","",SUM('Asset Allocation'!M43,'Asset Allocation'!J43)),0)</f>
        <v/>
      </c>
      <c r="G43" s="6" t="str">
        <f>IFERROR(IF(A43="","",SUM('Asset Allocation'!L43,'Asset Allocation'!I43,'Asset Allocation'!G43,'Asset Allocation'!R43)),0)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Allocation'!Q44,'Asset Allocation'!H44)),0)</f>
        <v/>
      </c>
      <c r="C44" s="6" t="str">
        <f>IFERROR(IF(A44="","",SUM('Asset Allocation'!O44)),0)</f>
        <v/>
      </c>
      <c r="D44" s="6" t="str">
        <f>IFERROR(IF(A44="","",SUM('Asset Allocation'!N44,'Asset Allocation'!K44)),0)</f>
        <v/>
      </c>
      <c r="E44" s="6" t="str">
        <f>IFERROR(IF(A44="","",SUM('Asset Allocation'!P44)),0)</f>
        <v/>
      </c>
      <c r="F44" s="6" t="str">
        <f>IFERROR(IF(A44="","",SUM('Asset Allocation'!M44,'Asset Allocation'!J44)),0)</f>
        <v/>
      </c>
      <c r="G44" s="6" t="str">
        <f>IFERROR(IF(A44="","",SUM('Asset Allocation'!L44,'Asset Allocation'!I44,'Asset Allocation'!G44,'Asset Allocation'!R44)),0)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Allocation'!Q45,'Asset Allocation'!H45)),0)</f>
        <v/>
      </c>
      <c r="C45" s="6" t="str">
        <f>IFERROR(IF(A45="","",SUM('Asset Allocation'!O45)),0)</f>
        <v/>
      </c>
      <c r="D45" s="6" t="str">
        <f>IFERROR(IF(A45="","",SUM('Asset Allocation'!N45,'Asset Allocation'!K45)),0)</f>
        <v/>
      </c>
      <c r="E45" s="6" t="str">
        <f>IFERROR(IF(A45="","",SUM('Asset Allocation'!P45)),0)</f>
        <v/>
      </c>
      <c r="F45" s="6" t="str">
        <f>IFERROR(IF(A45="","",SUM('Asset Allocation'!M45,'Asset Allocation'!J45)),0)</f>
        <v/>
      </c>
      <c r="G45" s="6" t="str">
        <f>IFERROR(IF(A45="","",SUM('Asset Allocation'!L45,'Asset Allocation'!I45,'Asset Allocation'!G45,'Asset Allocation'!R45)),0)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Allocation'!Q46,'Asset Allocation'!H46)),0)</f>
        <v/>
      </c>
      <c r="C46" s="6" t="str">
        <f>IFERROR(IF(A46="","",SUM('Asset Allocation'!O46)),0)</f>
        <v/>
      </c>
      <c r="D46" s="6" t="str">
        <f>IFERROR(IF(A46="","",SUM('Asset Allocation'!N46,'Asset Allocation'!K46)),0)</f>
        <v/>
      </c>
      <c r="E46" s="6" t="str">
        <f>IFERROR(IF(A46="","",SUM('Asset Allocation'!P46)),0)</f>
        <v/>
      </c>
      <c r="F46" s="6" t="str">
        <f>IFERROR(IF(A46="","",SUM('Asset Allocation'!M46,'Asset Allocation'!J46)),0)</f>
        <v/>
      </c>
      <c r="G46" s="6" t="str">
        <f>IFERROR(IF(A46="","",SUM('Asset Allocation'!L46,'Asset Allocation'!I46,'Asset Allocation'!G46,'Asset Allocation'!R46)),0)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Allocation'!Q47,'Asset Allocation'!H47)),0)</f>
        <v/>
      </c>
      <c r="C47" s="6" t="str">
        <f>IFERROR(IF(A47="","",SUM('Asset Allocation'!O47)),0)</f>
        <v/>
      </c>
      <c r="D47" s="6" t="str">
        <f>IFERROR(IF(A47="","",SUM('Asset Allocation'!N47,'Asset Allocation'!K47)),0)</f>
        <v/>
      </c>
      <c r="E47" s="6" t="str">
        <f>IFERROR(IF(A47="","",SUM('Asset Allocation'!P47)),0)</f>
        <v/>
      </c>
      <c r="F47" s="6" t="str">
        <f>IFERROR(IF(A47="","",SUM('Asset Allocation'!M47,'Asset Allocation'!J47)),0)</f>
        <v/>
      </c>
      <c r="G47" s="6" t="str">
        <f>IFERROR(IF(A47="","",SUM('Asset Allocation'!L47,'Asset Allocation'!I47,'Asset Allocation'!G47,'Asset Allocation'!R47)),0)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Allocation'!Q48,'Asset Allocation'!H48)),0)</f>
        <v/>
      </c>
      <c r="C48" s="6" t="str">
        <f>IFERROR(IF(A48="","",SUM('Asset Allocation'!O48)),0)</f>
        <v/>
      </c>
      <c r="D48" s="6" t="str">
        <f>IFERROR(IF(A48="","",SUM('Asset Allocation'!N48,'Asset Allocation'!K48)),0)</f>
        <v/>
      </c>
      <c r="E48" s="6" t="str">
        <f>IFERROR(IF(A48="","",SUM('Asset Allocation'!P48)),0)</f>
        <v/>
      </c>
      <c r="F48" s="6" t="str">
        <f>IFERROR(IF(A48="","",SUM('Asset Allocation'!M48,'Asset Allocation'!J48)),0)</f>
        <v/>
      </c>
      <c r="G48" s="6" t="str">
        <f>IFERROR(IF(A48="","",SUM('Asset Allocation'!L48,'Asset Allocation'!I48,'Asset Allocation'!G48,'Asset Allocation'!R48)),0)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Allocation'!Q49,'Asset Allocation'!H49)),0)</f>
        <v/>
      </c>
      <c r="C49" s="6" t="str">
        <f>IFERROR(IF(A49="","",SUM('Asset Allocation'!O49)),0)</f>
        <v/>
      </c>
      <c r="D49" s="6" t="str">
        <f>IFERROR(IF(A49="","",SUM('Asset Allocation'!N49,'Asset Allocation'!K49)),0)</f>
        <v/>
      </c>
      <c r="E49" s="6" t="str">
        <f>IFERROR(IF(A49="","",SUM('Asset Allocation'!P49)),0)</f>
        <v/>
      </c>
      <c r="F49" s="6" t="str">
        <f>IFERROR(IF(A49="","",SUM('Asset Allocation'!M49,'Asset Allocation'!J49)),0)</f>
        <v/>
      </c>
      <c r="G49" s="6" t="str">
        <f>IFERROR(IF(A49="","",SUM('Asset Allocation'!L49,'Asset Allocation'!I49,'Asset Allocation'!G49,'Asset Allocation'!R49)),0)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Allocation'!Q50,'Asset Allocation'!H50)),0)</f>
        <v/>
      </c>
      <c r="C50" s="6" t="str">
        <f>IFERROR(IF(A50="","",SUM('Asset Allocation'!O50)),0)</f>
        <v/>
      </c>
      <c r="D50" s="6" t="str">
        <f>IFERROR(IF(A50="","",SUM('Asset Allocation'!N50,'Asset Allocation'!K50)),0)</f>
        <v/>
      </c>
      <c r="E50" s="6" t="str">
        <f>IFERROR(IF(A50="","",SUM('Asset Allocation'!P50)),0)</f>
        <v/>
      </c>
      <c r="F50" s="6" t="str">
        <f>IFERROR(IF(A50="","",SUM('Asset Allocation'!M50,'Asset Allocation'!J50)),0)</f>
        <v/>
      </c>
      <c r="G50" s="6" t="str">
        <f>IFERROR(IF(A50="","",SUM('Asset Allocation'!L50,'Asset Allocation'!I50,'Asset Allocation'!G50,'Asset Allocation'!R50)),0)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2023-09-11T21:20:08Z</dcterms:modified>
</cp:coreProperties>
</file>