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Git\pdf_scraping\16_milestone\BlackRock\"/>
    </mc:Choice>
  </mc:AlternateContent>
  <xr:revisionPtr revIDLastSave="0" documentId="13_ncr:1_{3F67B203-F0C4-48EC-B797-EDDA0D3D2770}" xr6:coauthVersionLast="47" xr6:coauthVersionMax="47" xr10:uidLastSave="{00000000-0000-0000-0000-000000000000}"/>
  <bookViews>
    <workbookView xWindow="-110" yWindow="-110" windowWidth="19420" windowHeight="11020" activeTab="2" xr2:uid="{00000000-000D-0000-FFFF-FFFF00000000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3" i="1"/>
  <c r="A6" i="35" l="1"/>
  <c r="A2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5" i="35"/>
  <c r="A4" i="35"/>
  <c r="A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G50" i="7" s="1"/>
  <c r="A49" i="7"/>
  <c r="G49" i="7" s="1"/>
  <c r="A48" i="7"/>
  <c r="G48" i="7" s="1"/>
  <c r="A47" i="7"/>
  <c r="G47" i="7" s="1"/>
  <c r="A46" i="7"/>
  <c r="G46" i="7" s="1"/>
  <c r="A45" i="7"/>
  <c r="G45" i="7" s="1"/>
  <c r="A44" i="7"/>
  <c r="G44" i="7" s="1"/>
  <c r="A43" i="7"/>
  <c r="G43" i="7" s="1"/>
  <c r="A42" i="7"/>
  <c r="G42" i="7" s="1"/>
  <c r="A41" i="7"/>
  <c r="G41" i="7" s="1"/>
  <c r="A40" i="7"/>
  <c r="G40" i="7" s="1"/>
  <c r="A39" i="7"/>
  <c r="G39" i="7" s="1"/>
  <c r="A38" i="7"/>
  <c r="G38" i="7" s="1"/>
  <c r="A37" i="7"/>
  <c r="G37" i="7" s="1"/>
  <c r="A36" i="7"/>
  <c r="G36" i="7" s="1"/>
  <c r="A35" i="7"/>
  <c r="G35" i="7" s="1"/>
  <c r="A34" i="7"/>
  <c r="G34" i="7" s="1"/>
  <c r="A33" i="7"/>
  <c r="G33" i="7" s="1"/>
  <c r="A32" i="7"/>
  <c r="G32" i="7" s="1"/>
  <c r="A31" i="7"/>
  <c r="G31" i="7" s="1"/>
  <c r="A30" i="7"/>
  <c r="G30" i="7" s="1"/>
  <c r="A29" i="7"/>
  <c r="G29" i="7" s="1"/>
  <c r="A28" i="7"/>
  <c r="G28" i="7" s="1"/>
  <c r="A27" i="7"/>
  <c r="G27" i="7" s="1"/>
  <c r="A26" i="7"/>
  <c r="G26" i="7" s="1"/>
  <c r="A25" i="7"/>
  <c r="G25" i="7" s="1"/>
  <c r="A24" i="7"/>
  <c r="G24" i="7" s="1"/>
  <c r="A23" i="7"/>
  <c r="G23" i="7" s="1"/>
  <c r="A22" i="7"/>
  <c r="G22" i="7" s="1"/>
  <c r="A21" i="7"/>
  <c r="G21" i="7" s="1"/>
  <c r="A20" i="7"/>
  <c r="G20" i="7" s="1"/>
  <c r="A19" i="7"/>
  <c r="G19" i="7" s="1"/>
  <c r="A18" i="7"/>
  <c r="G18" i="7" s="1"/>
  <c r="A17" i="7"/>
  <c r="G17" i="7" s="1"/>
  <c r="A16" i="7"/>
  <c r="G16" i="7" s="1"/>
  <c r="A15" i="7"/>
  <c r="G15" i="7" s="1"/>
  <c r="A14" i="7"/>
  <c r="G14" i="7" s="1"/>
  <c r="A13" i="7"/>
  <c r="G13" i="7" s="1"/>
  <c r="A12" i="7"/>
  <c r="G12" i="7" s="1"/>
  <c r="A11" i="7"/>
  <c r="G11" i="7" s="1"/>
  <c r="A10" i="7"/>
  <c r="G10" i="7" s="1"/>
  <c r="A9" i="7"/>
  <c r="G9" i="7" s="1"/>
  <c r="A8" i="7"/>
  <c r="G8" i="7" s="1"/>
  <c r="A7" i="7"/>
  <c r="G7" i="7" s="1"/>
  <c r="A6" i="7"/>
  <c r="G6" i="7" s="1"/>
  <c r="A5" i="7"/>
  <c r="G5" i="7" s="1"/>
  <c r="A4" i="7"/>
  <c r="G4" i="7" s="1"/>
  <c r="A3" i="7"/>
  <c r="G3" i="7" s="1"/>
  <c r="A2" i="7"/>
  <c r="G2" i="7" s="1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D18" i="31" s="1"/>
  <c r="A17" i="31"/>
  <c r="D17" i="31" s="1"/>
  <c r="A16" i="31"/>
  <c r="D16" i="31" s="1"/>
  <c r="A15" i="31"/>
  <c r="D15" i="31" s="1"/>
  <c r="A14" i="31"/>
  <c r="D14" i="31" s="1"/>
  <c r="A13" i="31"/>
  <c r="D13" i="31" s="1"/>
  <c r="A12" i="31"/>
  <c r="D12" i="31" s="1"/>
  <c r="A11" i="31"/>
  <c r="D11" i="31" s="1"/>
  <c r="A10" i="31"/>
  <c r="D10" i="31" s="1"/>
  <c r="A9" i="31"/>
  <c r="D9" i="31" s="1"/>
  <c r="A8" i="31"/>
  <c r="D8" i="31" s="1"/>
  <c r="A7" i="31"/>
  <c r="D7" i="31" s="1"/>
  <c r="A6" i="31"/>
  <c r="D6" i="31" s="1"/>
  <c r="A5" i="31"/>
  <c r="D5" i="31" s="1"/>
  <c r="A4" i="31"/>
  <c r="D4" i="31" s="1"/>
  <c r="A3" i="31"/>
  <c r="D3" i="31" s="1"/>
  <c r="A2" i="31"/>
  <c r="D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5" i="7" l="1"/>
  <c r="C5" i="7"/>
  <c r="D5" i="7"/>
  <c r="E5" i="7"/>
  <c r="F5" i="7"/>
  <c r="B13" i="7"/>
  <c r="C13" i="7"/>
  <c r="D13" i="7"/>
  <c r="E13" i="7"/>
  <c r="F13" i="7"/>
  <c r="B21" i="7"/>
  <c r="C21" i="7"/>
  <c r="E21" i="7"/>
  <c r="F21" i="7"/>
  <c r="D21" i="7"/>
  <c r="B29" i="7"/>
  <c r="C29" i="7"/>
  <c r="E29" i="7"/>
  <c r="F29" i="7"/>
  <c r="D29" i="7"/>
  <c r="B37" i="7"/>
  <c r="C37" i="7"/>
  <c r="E37" i="7"/>
  <c r="F37" i="7"/>
  <c r="D37" i="7"/>
  <c r="B45" i="7"/>
  <c r="C45" i="7"/>
  <c r="E45" i="7"/>
  <c r="F45" i="7"/>
  <c r="D45" i="7"/>
  <c r="D14" i="7"/>
  <c r="E14" i="7"/>
  <c r="F14" i="7"/>
  <c r="B14" i="7"/>
  <c r="C14" i="7"/>
  <c r="D22" i="7"/>
  <c r="E22" i="7"/>
  <c r="B22" i="7"/>
  <c r="C22" i="7"/>
  <c r="F22" i="7"/>
  <c r="D30" i="7"/>
  <c r="E30" i="7"/>
  <c r="F30" i="7"/>
  <c r="C30" i="7"/>
  <c r="B30" i="7"/>
  <c r="D38" i="7"/>
  <c r="E38" i="7"/>
  <c r="F38" i="7"/>
  <c r="B38" i="7"/>
  <c r="C38" i="7"/>
  <c r="D46" i="7"/>
  <c r="E46" i="7"/>
  <c r="B46" i="7"/>
  <c r="C46" i="7"/>
  <c r="F46" i="7"/>
  <c r="F7" i="7"/>
  <c r="B7" i="7"/>
  <c r="C7" i="7"/>
  <c r="D7" i="7"/>
  <c r="E7" i="7"/>
  <c r="F15" i="7"/>
  <c r="B15" i="7"/>
  <c r="C15" i="7"/>
  <c r="D15" i="7"/>
  <c r="E15" i="7"/>
  <c r="F23" i="7"/>
  <c r="B23" i="7"/>
  <c r="C23" i="7"/>
  <c r="D23" i="7"/>
  <c r="E23" i="7"/>
  <c r="F31" i="7"/>
  <c r="B31" i="7"/>
  <c r="C31" i="7"/>
  <c r="E31" i="7"/>
  <c r="D31" i="7"/>
  <c r="F39" i="7"/>
  <c r="B39" i="7"/>
  <c r="C39" i="7"/>
  <c r="D39" i="7"/>
  <c r="E39" i="7"/>
  <c r="F47" i="7"/>
  <c r="B47" i="7"/>
  <c r="C47" i="7"/>
  <c r="E47" i="7"/>
  <c r="D47" i="7"/>
  <c r="B8" i="7"/>
  <c r="C8" i="7"/>
  <c r="D8" i="7"/>
  <c r="E8" i="7"/>
  <c r="F8" i="7"/>
  <c r="B16" i="7"/>
  <c r="C16" i="7"/>
  <c r="D16" i="7"/>
  <c r="E16" i="7"/>
  <c r="F16" i="7"/>
  <c r="C24" i="7"/>
  <c r="D24" i="7"/>
  <c r="E24" i="7"/>
  <c r="F24" i="7"/>
  <c r="B24" i="7"/>
  <c r="C32" i="7"/>
  <c r="D32" i="7"/>
  <c r="E32" i="7"/>
  <c r="B32" i="7"/>
  <c r="F32" i="7"/>
  <c r="C40" i="7"/>
  <c r="D40" i="7"/>
  <c r="E40" i="7"/>
  <c r="B40" i="7"/>
  <c r="F40" i="7"/>
  <c r="C48" i="7"/>
  <c r="D48" i="7"/>
  <c r="E48" i="7"/>
  <c r="B48" i="7"/>
  <c r="F48" i="7"/>
  <c r="D6" i="7"/>
  <c r="E6" i="7"/>
  <c r="F6" i="7"/>
  <c r="B6" i="7"/>
  <c r="C6" i="7"/>
  <c r="B9" i="7"/>
  <c r="C9" i="7"/>
  <c r="D9" i="7"/>
  <c r="E9" i="7"/>
  <c r="F9" i="7"/>
  <c r="B17" i="7"/>
  <c r="C17" i="7"/>
  <c r="D17" i="7"/>
  <c r="E17" i="7"/>
  <c r="F17" i="7"/>
  <c r="B25" i="7"/>
  <c r="C25" i="7"/>
  <c r="E25" i="7"/>
  <c r="F25" i="7"/>
  <c r="D25" i="7"/>
  <c r="B33" i="7"/>
  <c r="C33" i="7"/>
  <c r="E33" i="7"/>
  <c r="F33" i="7"/>
  <c r="D33" i="7"/>
  <c r="B41" i="7"/>
  <c r="C41" i="7"/>
  <c r="E41" i="7"/>
  <c r="F41" i="7"/>
  <c r="D41" i="7"/>
  <c r="B49" i="7"/>
  <c r="C49" i="7"/>
  <c r="E49" i="7"/>
  <c r="F49" i="7"/>
  <c r="D49" i="7"/>
  <c r="D2" i="7"/>
  <c r="C2" i="7"/>
  <c r="B2" i="7"/>
  <c r="F2" i="7"/>
  <c r="E2" i="7"/>
  <c r="D10" i="7"/>
  <c r="E10" i="7"/>
  <c r="F10" i="7"/>
  <c r="B10" i="7"/>
  <c r="C10" i="7"/>
  <c r="D18" i="7"/>
  <c r="E18" i="7"/>
  <c r="B18" i="7"/>
  <c r="F18" i="7"/>
  <c r="C18" i="7"/>
  <c r="D26" i="7"/>
  <c r="E26" i="7"/>
  <c r="B26" i="7"/>
  <c r="F26" i="7"/>
  <c r="C26" i="7"/>
  <c r="D34" i="7"/>
  <c r="E34" i="7"/>
  <c r="F34" i="7"/>
  <c r="B34" i="7"/>
  <c r="C34" i="7"/>
  <c r="D42" i="7"/>
  <c r="E42" i="7"/>
  <c r="C42" i="7"/>
  <c r="F42" i="7"/>
  <c r="B42" i="7"/>
  <c r="D50" i="7"/>
  <c r="E50" i="7"/>
  <c r="B50" i="7"/>
  <c r="C50" i="7"/>
  <c r="F50" i="7"/>
  <c r="F3" i="7"/>
  <c r="B3" i="7"/>
  <c r="C3" i="7"/>
  <c r="D3" i="7"/>
  <c r="E3" i="7"/>
  <c r="F11" i="7"/>
  <c r="B11" i="7"/>
  <c r="C11" i="7"/>
  <c r="D11" i="7"/>
  <c r="E11" i="7"/>
  <c r="F19" i="7"/>
  <c r="B19" i="7"/>
  <c r="C19" i="7"/>
  <c r="D19" i="7"/>
  <c r="E19" i="7"/>
  <c r="F27" i="7"/>
  <c r="B27" i="7"/>
  <c r="C27" i="7"/>
  <c r="D27" i="7"/>
  <c r="E27" i="7"/>
  <c r="F35" i="7"/>
  <c r="B35" i="7"/>
  <c r="C35" i="7"/>
  <c r="D35" i="7"/>
  <c r="E35" i="7"/>
  <c r="F43" i="7"/>
  <c r="B43" i="7"/>
  <c r="C43" i="7"/>
  <c r="E43" i="7"/>
  <c r="D43" i="7"/>
  <c r="B4" i="7"/>
  <c r="C4" i="7"/>
  <c r="D4" i="7"/>
  <c r="E4" i="7"/>
  <c r="F4" i="7"/>
  <c r="B12" i="7"/>
  <c r="C12" i="7"/>
  <c r="D12" i="7"/>
  <c r="E12" i="7"/>
  <c r="F12" i="7"/>
  <c r="C20" i="7"/>
  <c r="D20" i="7"/>
  <c r="E20" i="7"/>
  <c r="B20" i="7"/>
  <c r="F20" i="7"/>
  <c r="C28" i="7"/>
  <c r="D28" i="7"/>
  <c r="E28" i="7"/>
  <c r="B28" i="7"/>
  <c r="F28" i="7"/>
  <c r="C36" i="7"/>
  <c r="D36" i="7"/>
  <c r="E36" i="7"/>
  <c r="B36" i="7"/>
  <c r="F36" i="7"/>
  <c r="C44" i="7"/>
  <c r="D44" i="7"/>
  <c r="E44" i="7"/>
  <c r="B44" i="7"/>
  <c r="F44" i="7"/>
  <c r="B7" i="4"/>
  <c r="C7" i="4"/>
  <c r="H7" i="8" s="1"/>
  <c r="G7" i="4"/>
  <c r="B6" i="4"/>
  <c r="C6" i="4"/>
  <c r="H6" i="8" s="1"/>
  <c r="G6" i="4"/>
  <c r="B14" i="4"/>
  <c r="C14" i="4"/>
  <c r="H14" i="8" s="1"/>
  <c r="G14" i="4"/>
  <c r="B22" i="4"/>
  <c r="C22" i="4"/>
  <c r="G22" i="4"/>
  <c r="C30" i="4"/>
  <c r="B30" i="4"/>
  <c r="G30" i="4"/>
  <c r="C38" i="4"/>
  <c r="B38" i="4"/>
  <c r="G38" i="4"/>
  <c r="C46" i="4"/>
  <c r="B46" i="4"/>
  <c r="G46" i="4"/>
  <c r="C23" i="4"/>
  <c r="G23" i="4"/>
  <c r="B23" i="4"/>
  <c r="C8" i="4"/>
  <c r="H8" i="8" s="1"/>
  <c r="B8" i="4"/>
  <c r="G8" i="4"/>
  <c r="B16" i="4"/>
  <c r="C16" i="4"/>
  <c r="H16" i="8" s="1"/>
  <c r="G16" i="4"/>
  <c r="B24" i="4"/>
  <c r="C24" i="4"/>
  <c r="G24" i="4"/>
  <c r="B32" i="4"/>
  <c r="C32" i="4"/>
  <c r="G32" i="4"/>
  <c r="C40" i="4"/>
  <c r="B40" i="4"/>
  <c r="G40" i="4"/>
  <c r="B48" i="4"/>
  <c r="C48" i="4"/>
  <c r="G48" i="4"/>
  <c r="C47" i="4"/>
  <c r="G47" i="4"/>
  <c r="B47" i="4"/>
  <c r="B49" i="4"/>
  <c r="G49" i="4"/>
  <c r="C49" i="4"/>
  <c r="G2" i="4"/>
  <c r="C2" i="4"/>
  <c r="H2" i="8" s="1"/>
  <c r="B2" i="4"/>
  <c r="B26" i="4"/>
  <c r="C26" i="4"/>
  <c r="G26" i="4"/>
  <c r="B42" i="4"/>
  <c r="C42" i="4"/>
  <c r="G42" i="4"/>
  <c r="B50" i="4"/>
  <c r="C50" i="4"/>
  <c r="G50" i="4"/>
  <c r="C39" i="4"/>
  <c r="G39" i="4"/>
  <c r="B39" i="4"/>
  <c r="B25" i="4"/>
  <c r="C25" i="4"/>
  <c r="G25" i="4"/>
  <c r="G41" i="4"/>
  <c r="B41" i="4"/>
  <c r="C41" i="4"/>
  <c r="B18" i="4"/>
  <c r="C18" i="4"/>
  <c r="G18" i="4"/>
  <c r="B34" i="4"/>
  <c r="C34" i="4"/>
  <c r="G34" i="4"/>
  <c r="B11" i="4"/>
  <c r="C11" i="4"/>
  <c r="H11" i="8" s="1"/>
  <c r="G11" i="4"/>
  <c r="B27" i="4"/>
  <c r="C27" i="4"/>
  <c r="G27" i="4"/>
  <c r="B35" i="4"/>
  <c r="C35" i="4"/>
  <c r="G35" i="4"/>
  <c r="B43" i="4"/>
  <c r="C43" i="4"/>
  <c r="G43" i="4"/>
  <c r="C31" i="4"/>
  <c r="G31" i="4"/>
  <c r="B31" i="4"/>
  <c r="B17" i="4"/>
  <c r="C17" i="4"/>
  <c r="G17" i="4"/>
  <c r="B3" i="4"/>
  <c r="C3" i="4"/>
  <c r="H3" i="8" s="1"/>
  <c r="G3" i="4"/>
  <c r="G19" i="4"/>
  <c r="B19" i="4"/>
  <c r="C19" i="4"/>
  <c r="G12" i="4"/>
  <c r="B12" i="4"/>
  <c r="C12" i="4"/>
  <c r="H12" i="8" s="1"/>
  <c r="G20" i="4"/>
  <c r="B20" i="4"/>
  <c r="C20" i="4"/>
  <c r="G28" i="4"/>
  <c r="B28" i="4"/>
  <c r="C28" i="4"/>
  <c r="G36" i="4"/>
  <c r="C36" i="4"/>
  <c r="B36" i="4"/>
  <c r="G44" i="4"/>
  <c r="C44" i="4"/>
  <c r="B44" i="4"/>
  <c r="C15" i="4"/>
  <c r="H15" i="8" s="1"/>
  <c r="G15" i="4"/>
  <c r="B15" i="4"/>
  <c r="B9" i="4"/>
  <c r="C9" i="4"/>
  <c r="H9" i="8" s="1"/>
  <c r="G9" i="4"/>
  <c r="B33" i="4"/>
  <c r="G33" i="4"/>
  <c r="C33" i="4"/>
  <c r="B10" i="4"/>
  <c r="C10" i="4"/>
  <c r="H10" i="8" s="1"/>
  <c r="G10" i="4"/>
  <c r="G4" i="4"/>
  <c r="B4" i="4"/>
  <c r="C4" i="4"/>
  <c r="H4" i="8" s="1"/>
  <c r="B5" i="4"/>
  <c r="C5" i="4"/>
  <c r="H5" i="8" s="1"/>
  <c r="G5" i="4"/>
  <c r="B13" i="4"/>
  <c r="C13" i="4"/>
  <c r="H13" i="8" s="1"/>
  <c r="G13" i="4"/>
  <c r="B21" i="4"/>
  <c r="C21" i="4"/>
  <c r="G21" i="4"/>
  <c r="B29" i="4"/>
  <c r="C29" i="4"/>
  <c r="G29" i="4"/>
  <c r="C37" i="4"/>
  <c r="B37" i="4"/>
  <c r="G37" i="4"/>
  <c r="B45" i="4"/>
  <c r="C45" i="4"/>
  <c r="G45" i="4"/>
  <c r="B1" i="37" a="1"/>
  <c r="B1" i="37" s="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<sst xmlns="http://schemas.openxmlformats.org/spreadsheetml/2006/main" count="100" uniqueCount="92">
  <si>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</si>
  <si>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</si>
  <si>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</si>
  <si>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</si>
  <si>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</si>
  <si>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</si>
  <si>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</si>
  <si>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</si>
  <si>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</si>
  <si>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</si>
  <si>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</si>
  <si>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</si>
  <si>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</si>
  <si>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</si>
  <si>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</si>
  <si>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</si>
  <si>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</si>
  <si>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</si>
  <si>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</si>
  <si>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</si>
  <si>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</si>
  <si>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</si>
  <si>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</si>
  <si>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</si>
  <si>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</si>
  <si>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PDF Link</t>
  </si>
  <si>
    <t>No Data</t>
  </si>
  <si>
    <t>Annual Management Charge</t>
  </si>
  <si>
    <t>Emerging Market Debt</t>
  </si>
  <si>
    <t>Unclassified</t>
  </si>
  <si>
    <t>BlackRock Consensus 85 Fund</t>
  </si>
  <si>
    <t>BlackRock Consensus 100</t>
  </si>
  <si>
    <t>BlackRock Consensus 35</t>
  </si>
  <si>
    <t>BlackRock Consensus 60</t>
  </si>
  <si>
    <t>BlackRock Consensus 70</t>
  </si>
  <si>
    <t>BlackRock Pension Growth Fund</t>
  </si>
  <si>
    <t>PDF Name Match</t>
  </si>
  <si>
    <t>Website</t>
  </si>
  <si>
    <t>Dropdown</t>
  </si>
  <si>
    <t>https://www.blackrock.com/uk/individual/products/230044/blackrock-consensus-85-fund-i-accum-class-fund</t>
  </si>
  <si>
    <t>https://www.blackrock.com/uk/individual/products/230295/blackrock-consensus-100-fund-a-acc-fund</t>
  </si>
  <si>
    <t>https://www.blackrock.com/uk/individual/products/230297/blackrock-consensus-35-fund-a-acc-fund</t>
  </si>
  <si>
    <t>https://www.blackrock.com/uk/individual/products/230299/</t>
  </si>
  <si>
    <t>https://www.blackrock.com/uk/individual/products/230301/blackrock-consensus-70-fund-a-acc-fund</t>
  </si>
  <si>
    <t>https://www.blackrock.com/uk/individual/products/260985/blackrock-consensus-100-fund-i-accum-class-fund</t>
  </si>
  <si>
    <t>https://www.blackrock.com/uk/individual/products/295873/blackrock-pension-growth-fund</t>
  </si>
  <si>
    <t>MyMap 3</t>
  </si>
  <si>
    <t>MyMap 4</t>
  </si>
  <si>
    <t>MyMap 5</t>
  </si>
  <si>
    <t>MyMap 6</t>
  </si>
  <si>
    <t>MyMap 3 Select ESG Fund</t>
  </si>
  <si>
    <t>MyMap 4 Select Income Fund</t>
  </si>
  <si>
    <t>MyMap 5 Select ESG Fund</t>
  </si>
  <si>
    <t>MyMap 7 Select ESG Fund</t>
  </si>
  <si>
    <t>https://www.blackrock.com/uk/individual/products/308786/mymap-3</t>
  </si>
  <si>
    <t>https://www.blackrock.com/uk/individual/products/308803/mymap-4</t>
  </si>
  <si>
    <t>https://www.blackrock.com/uk/individual/products/308808/mymap-5</t>
  </si>
  <si>
    <t>https://www.blackrock.com/uk/individual/products/308823/mymap-6</t>
  </si>
  <si>
    <t>https://www.blackrock.com/uk/individual/products/326258/mymap-3-select-esg-fund</t>
  </si>
  <si>
    <t>https://www.blackrock.com/uk/individual/products/308822/mymap-5-select-esg-fund</t>
  </si>
  <si>
    <t>https://www.blackrock.com/uk/individual/products/326256/</t>
  </si>
  <si>
    <t>https://www.blackrock.com/uk/individual/products/319696/mymap-4-select-income-fund</t>
  </si>
  <si>
    <t>Download the factsheet and save in file for records</t>
  </si>
  <si>
    <t>Ongoing Charges Figures</t>
  </si>
  <si>
    <t>Annual Management Fee</t>
  </si>
  <si>
    <t>1m</t>
  </si>
  <si>
    <t>1y</t>
  </si>
  <si>
    <t>Fixed Income (FI)</t>
  </si>
  <si>
    <t>Equity (EQ)</t>
  </si>
  <si>
    <t>Alternatives</t>
  </si>
  <si>
    <t>Cash and/or Derivatives</t>
  </si>
  <si>
    <t>North America</t>
  </si>
  <si>
    <t>Europe</t>
  </si>
  <si>
    <t>Asia Pacific</t>
  </si>
  <si>
    <t>Latin America</t>
  </si>
  <si>
    <t>World</t>
  </si>
  <si>
    <t>Africa</t>
  </si>
  <si>
    <t>Other</t>
  </si>
  <si>
    <t>China</t>
  </si>
  <si>
    <t>Germany</t>
  </si>
  <si>
    <t>France</t>
  </si>
  <si>
    <t>Canada</t>
  </si>
  <si>
    <t>Switzerland</t>
  </si>
  <si>
    <t>Australia</t>
  </si>
  <si>
    <t>Supranational</t>
  </si>
  <si>
    <t>Net Derivatives</t>
  </si>
  <si>
    <t>Netherlands</t>
  </si>
  <si>
    <t>Spain</t>
  </si>
  <si>
    <t>Ireland</t>
  </si>
  <si>
    <t>Taiwan</t>
  </si>
  <si>
    <t>India</t>
  </si>
  <si>
    <t>Denmark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</si>
</sst>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2" fillId="2" borderId="0" xfId="0" applyNumberFormat="1" applyFont="1" applyFill="1"/>
    <xf numFmtId="0" fontId="2" fillId="0" borderId="0" xfId="0" applyFont="1"/>
    <xf numFmtId="0" fontId="3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6" fillId="0" borderId="0" xfId="0" applyFont="1"/>
    <xf numFmtId="0" fontId="1" fillId="0" borderId="0" xfId="0" applyFont="1"/>
    <xf numFmtId="10" fontId="0" fillId="2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44450</xdr:rowOff>
    </xdr:from>
    <xdr:to>
      <xdr:col>7</xdr:col>
      <xdr:colOff>127435</xdr:colOff>
      <xdr:row>14</xdr:row>
      <xdr:rowOff>6579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A3FA81-92CE-A17B-DE3F-EC09A677B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596900"/>
          <a:ext cx="4394634" cy="19877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152400</xdr:rowOff>
    </xdr:from>
    <xdr:to>
      <xdr:col>7</xdr:col>
      <xdr:colOff>22870</xdr:colOff>
      <xdr:row>31</xdr:row>
      <xdr:rowOff>31903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7DA372-C9FE-6E89-2BAA-965D9095B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14650"/>
          <a:ext cx="4290070" cy="2825903"/>
        </a:xfrm>
        <a:prstGeom prst="rect">
          <a:avLst/>
        </a:prstGeom>
      </xdr:spPr>
    </xdr:pic>
    <xdr:clientData/>
  </xdr:twoCellAnchor>
  <xdr:twoCellAnchor editAs="oneCell">
    <xdr:from>
      <xdr:col>7</xdr:col>
      <xdr:colOff>170188</xdr:colOff>
      <xdr:row>1</xdr:row>
      <xdr:rowOff>63500</xdr:rowOff>
    </xdr:from>
    <xdr:to>
      <xdr:col>11</xdr:col>
      <xdr:colOff>412970</xdr:colOff>
      <xdr:row>12</xdr:row>
      <xdr:rowOff>82550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AC9CC1-3041-D80E-61F6-94C678C74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7388" y="247650"/>
          <a:ext cx="2681182" cy="2044700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12</xdr:row>
      <xdr:rowOff>171450</xdr:rowOff>
    </xdr:from>
    <xdr:to>
      <xdr:col>12</xdr:col>
      <xdr:colOff>464528</xdr:colOff>
      <xdr:row>35</xdr:row>
      <xdr:rowOff>76432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2F4299-2C42-2DD1-242D-8E6852D16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9750" y="2381250"/>
          <a:ext cx="3429978" cy="4140432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2</xdr:row>
      <xdr:rowOff>29897</xdr:rowOff>
    </xdr:from>
    <xdr:to>
      <xdr:col>18</xdr:col>
      <xdr:colOff>89239</xdr:colOff>
      <xdr:row>12</xdr:row>
      <xdr:rowOff>89075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7233859-437F-5A45-D79E-4B9BDB68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91400" y="398197"/>
          <a:ext cx="3670639" cy="1900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Q4"/>
  <sheetViews>
    <sheetView workbookViewId="0">
      <selection activeCell="T17" sqref="T17"/>
    </sheetView>
  </sheetViews>
  <sheetFormatPr defaultRowHeight="14.5" x14ac:dyDescent="0.35"/>
  <sheetData>
    <row r="1" spans="1:17" x14ac:dyDescent="0.35">
      <c r="A1" s="3" t="s">
        <v>23</v>
      </c>
      <c r="H1" s="3" t="s">
        <v>21</v>
      </c>
    </row>
    <row r="3" spans="1:17" x14ac:dyDescent="0.35">
      <c r="A3" s="9" t="s">
        <v>62</v>
      </c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J17"/>
  <sheetViews>
    <sheetView workbookViewId="0">
      <selection activeCell="B11" sqref="B11"/>
    </sheetView>
  </sheetViews>
  <sheetFormatPr defaultRowHeight="14.5" x14ac:dyDescent="0.35"/>
  <cols>
    <col min="1" max="1" width="19.17968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30</v>
      </c>
      <c r="B3" t="str">
        <f>'PDF Scraping'!B2</f>
        <v>https://www.blackrock.com/uk/individual/products/230044/blackrock-consensus-85-fund-i-accum-class-fund</v>
      </c>
      <c r="J3" s="4"/>
    </row>
    <row r="4" spans="1:10" x14ac:dyDescent="0.35">
      <c r="A4" t="s">
        <v>31</v>
      </c>
      <c r="B4" t="str">
        <f>'PDF Scraping'!B3</f>
        <v>https://www.blackrock.com/uk/individual/products/230295/blackrock-consensus-100-fund-a-acc-fund</v>
      </c>
      <c r="J4" s="4"/>
    </row>
    <row r="5" spans="1:10" x14ac:dyDescent="0.35">
      <c r="A5" t="s">
        <v>32</v>
      </c>
      <c r="B5" t="str">
        <f>'PDF Scraping'!B4</f>
        <v>https://www.blackrock.com/uk/individual/products/230297/blackrock-consensus-35-fund-a-acc-fund</v>
      </c>
    </row>
    <row r="6" spans="1:10" x14ac:dyDescent="0.35">
      <c r="A6" t="s">
        <v>33</v>
      </c>
      <c r="B6" t="str">
        <f>'PDF Scraping'!B5</f>
        <v>https://www.blackrock.com/uk/individual/products/230299/</v>
      </c>
    </row>
    <row r="7" spans="1:10" x14ac:dyDescent="0.35">
      <c r="A7" t="s">
        <v>34</v>
      </c>
      <c r="B7" t="str">
        <f>'PDF Scraping'!B6</f>
        <v>https://www.blackrock.com/uk/individual/products/230301/blackrock-consensus-70-fund-a-acc-fund</v>
      </c>
    </row>
    <row r="8" spans="1:10" x14ac:dyDescent="0.35">
      <c r="A8" t="s">
        <v>31</v>
      </c>
      <c r="B8" t="str">
        <f>'PDF Scraping'!B7</f>
        <v>https://www.blackrock.com/uk/individual/products/260985/blackrock-consensus-100-fund-i-accum-class-fund</v>
      </c>
    </row>
    <row r="9" spans="1:10" x14ac:dyDescent="0.35">
      <c r="A9" t="s">
        <v>35</v>
      </c>
      <c r="B9" t="str">
        <f>'PDF Scraping'!B8</f>
        <v>https://www.blackrock.com/uk/individual/products/295873/blackrock-pension-growth-fund</v>
      </c>
    </row>
    <row r="10" spans="1:10" x14ac:dyDescent="0.35">
      <c r="A10" t="s">
        <v>46</v>
      </c>
      <c r="B10" t="str">
        <f>'PDF Scraping'!B9</f>
        <v>https://www.blackrock.com/uk/individual/products/308786/mymap-3</v>
      </c>
    </row>
    <row r="11" spans="1:10" x14ac:dyDescent="0.35">
      <c r="A11" t="s">
        <v>47</v>
      </c>
      <c r="B11" t="str">
        <f>'PDF Scraping'!B10</f>
        <v>https://www.blackrock.com/uk/individual/products/308803/mymap-4</v>
      </c>
    </row>
    <row r="12" spans="1:10" x14ac:dyDescent="0.35">
      <c r="A12" t="s">
        <v>48</v>
      </c>
      <c r="B12" t="str">
        <f>'PDF Scraping'!B11</f>
        <v>https://www.blackrock.com/uk/individual/products/308808/mymap-5</v>
      </c>
    </row>
    <row r="13" spans="1:10" x14ac:dyDescent="0.35">
      <c r="A13" t="s">
        <v>49</v>
      </c>
      <c r="B13" t="str">
        <f>'PDF Scraping'!B12</f>
        <v>https://www.blackrock.com/uk/individual/products/308823/mymap-6</v>
      </c>
    </row>
    <row r="14" spans="1:10" x14ac:dyDescent="0.35">
      <c r="A14" t="s">
        <v>50</v>
      </c>
      <c r="B14" t="str">
        <f>'PDF Scraping'!B13</f>
        <v>https://www.blackrock.com/uk/individual/products/326258/mymap-3-select-esg-fund</v>
      </c>
    </row>
    <row r="15" spans="1:10" x14ac:dyDescent="0.35">
      <c r="A15" t="s">
        <v>52</v>
      </c>
      <c r="B15" t="str">
        <f>'PDF Scraping'!B14</f>
        <v>https://www.blackrock.com/uk/individual/products/308822/mymap-5-select-esg-fund</v>
      </c>
    </row>
    <row r="16" spans="1:10" x14ac:dyDescent="0.35">
      <c r="A16" t="s">
        <v>53</v>
      </c>
      <c r="B16" t="str">
        <f>'PDF Scraping'!B15</f>
        <v>https://www.blackrock.com/uk/individual/products/326256/</v>
      </c>
    </row>
    <row r="17" spans="1:2" x14ac:dyDescent="0.35">
      <c r="A17" t="s">
        <v>51</v>
      </c>
      <c r="B17" t="str">
        <f>'PDF Scraping'!B16</f>
        <v>https://www.blackrock.com/uk/individual/products/319696/mymap-4-select-income-fund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F50"/>
  <sheetViews>
    <sheetView tabSelected="1" workbookViewId="0">
      <selection activeCell="G22" sqref="B2:G22"/>
    </sheetView>
  </sheetViews>
  <sheetFormatPr defaultRowHeight="14.5" x14ac:dyDescent="0.35"/>
  <cols>
    <col min="1" max="1" width="26.1796875" bestFit="1" customWidth="1"/>
    <col min="2" max="2" width="19.17968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6" x14ac:dyDescent="0.35">
      <c r="B1" t="s">
        <v>24</v>
      </c>
      <c r="C1" t="s">
        <v>63</v>
      </c>
      <c r="D1" t="s">
        <v>64</v>
      </c>
      <c r="E1" t="s">
        <v>65</v>
      </c>
      <c r="F1" t="s">
        <v>66</v>
      </c>
    </row>
    <row r="2" spans="1:6" x14ac:dyDescent="0.35">
      <c r="A2" t="str">
        <f>IF(Input!A3="","",Input!A3)</f>
        <v>BlackRock Consensus 85 Fund</v>
      </c>
      <c r="B2" s="1"/>
      <c r="C2" s="5"/>
      <c r="D2" s="5"/>
      <c r="E2" s="5"/>
      <c r="F2" s="5"/>
    </row>
    <row r="3" spans="1:6" x14ac:dyDescent="0.35">
      <c r="A3" t="str">
        <f>IF(Input!A4="","",Input!A4)</f>
        <v>BlackRock Consensus 100</v>
      </c>
      <c r="B3" s="1"/>
      <c r="C3" s="5"/>
      <c r="D3" s="5"/>
      <c r="E3" s="5"/>
      <c r="F3" s="5"/>
    </row>
    <row r="4" spans="1:6" x14ac:dyDescent="0.35">
      <c r="A4" t="str">
        <f>IF(Input!A5="","",Input!A5)</f>
        <v>BlackRock Consensus 35</v>
      </c>
      <c r="B4" s="1"/>
      <c r="C4" s="5"/>
      <c r="D4" s="5"/>
      <c r="E4" s="5"/>
      <c r="F4" s="5"/>
    </row>
    <row r="5" spans="1:6" x14ac:dyDescent="0.35">
      <c r="A5" t="str">
        <f>IF(Input!A6="","",Input!A6)</f>
        <v>BlackRock Consensus 60</v>
      </c>
      <c r="B5" s="1"/>
      <c r="C5" s="5"/>
      <c r="D5" s="5"/>
      <c r="E5" s="5"/>
      <c r="F5" s="5"/>
    </row>
    <row r="6" spans="1:6" x14ac:dyDescent="0.35">
      <c r="A6" t="str">
        <f>IF(Input!A7="","",Input!A7)</f>
        <v>BlackRock Consensus 70</v>
      </c>
      <c r="B6" s="1"/>
      <c r="C6" s="5"/>
      <c r="D6" s="5"/>
      <c r="E6" s="5"/>
      <c r="F6" s="5"/>
    </row>
    <row r="7" spans="1:6" x14ac:dyDescent="0.35">
      <c r="A7" t="str">
        <f>IF(Input!A8="","",Input!A8)</f>
        <v>BlackRock Consensus 100</v>
      </c>
      <c r="B7" s="1"/>
      <c r="C7" s="5"/>
      <c r="D7" s="5"/>
      <c r="E7" s="5"/>
      <c r="F7" s="5"/>
    </row>
    <row r="8" spans="1:6" x14ac:dyDescent="0.35">
      <c r="A8" t="str">
        <f>IF(Input!A9="","",Input!A9)</f>
        <v>BlackRock Pension Growth Fund</v>
      </c>
      <c r="B8" s="1"/>
      <c r="C8" s="5"/>
      <c r="D8" s="5"/>
      <c r="E8" s="5"/>
      <c r="F8" s="5"/>
    </row>
    <row r="9" spans="1:6" x14ac:dyDescent="0.35">
      <c r="A9" t="str">
        <f>IF(Input!A10="","",Input!A10)</f>
        <v>MyMap 3</v>
      </c>
      <c r="B9" s="1"/>
      <c r="C9" s="5"/>
      <c r="D9" s="5"/>
      <c r="E9" s="5"/>
      <c r="F9" s="5"/>
    </row>
    <row r="10" spans="1:6" x14ac:dyDescent="0.35">
      <c r="A10" t="str">
        <f>IF(Input!A11="","",Input!A11)</f>
        <v>MyMap 4</v>
      </c>
      <c r="B10" s="1"/>
      <c r="C10" s="5"/>
      <c r="D10" s="5"/>
      <c r="E10" s="5"/>
      <c r="F10" s="5"/>
    </row>
    <row r="11" spans="1:6" x14ac:dyDescent="0.35">
      <c r="A11" t="str">
        <f>IF(Input!A12="","",Input!A12)</f>
        <v>MyMap 5</v>
      </c>
      <c r="B11" s="1"/>
      <c r="C11" s="5"/>
      <c r="D11" s="5"/>
      <c r="E11" s="5"/>
      <c r="F11" s="5"/>
    </row>
    <row r="12" spans="1:6" x14ac:dyDescent="0.35">
      <c r="A12" t="str">
        <f>IF(Input!A13="","",Input!A13)</f>
        <v>MyMap 6</v>
      </c>
      <c r="B12" s="1"/>
      <c r="C12" s="5"/>
      <c r="D12" s="5"/>
      <c r="E12" s="5"/>
      <c r="F12" s="5"/>
    </row>
    <row r="13" spans="1:6" x14ac:dyDescent="0.35">
      <c r="A13" t="str">
        <f>IF(Input!A14="","",Input!A14)</f>
        <v>MyMap 3 Select ESG Fund</v>
      </c>
      <c r="B13" s="1"/>
      <c r="C13" s="5"/>
      <c r="D13" s="5"/>
      <c r="E13" s="5"/>
      <c r="F13" s="5"/>
    </row>
    <row r="14" spans="1:6" x14ac:dyDescent="0.35">
      <c r="A14" t="str">
        <f>IF(Input!A15="","",Input!A15)</f>
        <v>MyMap 5 Select ESG Fund</v>
      </c>
      <c r="B14" s="1"/>
      <c r="C14" s="5"/>
      <c r="D14" s="5"/>
      <c r="E14" s="5"/>
      <c r="F14" s="5"/>
    </row>
    <row r="15" spans="1:6" x14ac:dyDescent="0.35">
      <c r="A15" t="str">
        <f>IF(Input!A16="","",Input!A16)</f>
        <v>MyMap 7 Select ESG Fund</v>
      </c>
      <c r="B15" s="1"/>
      <c r="C15" s="5"/>
      <c r="D15" s="5"/>
      <c r="E15" s="5"/>
      <c r="F15" s="5"/>
    </row>
    <row r="16" spans="1:6" x14ac:dyDescent="0.35">
      <c r="A16" t="str">
        <f>IF(Input!A17="","",Input!A17)</f>
        <v>MyMap 4 Select Income Fund</v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/>
      </c>
      <c r="B25" s="7"/>
      <c r="C25" s="5"/>
    </row>
    <row r="26" spans="1:6" x14ac:dyDescent="0.35">
      <c r="A26" t="str">
        <f>IF(Input!A27="","",Input!A27)</f>
        <v/>
      </c>
      <c r="B26" s="7"/>
      <c r="C26" s="5"/>
    </row>
    <row r="27" spans="1:6" x14ac:dyDescent="0.35">
      <c r="A27" t="str">
        <f>IF(Input!A28="","",Input!A28)</f>
        <v/>
      </c>
      <c r="B27" s="7"/>
      <c r="C27" s="5"/>
    </row>
    <row r="28" spans="1:6" x14ac:dyDescent="0.35">
      <c r="A28" t="str">
        <f>IF(Input!A29="","",Input!A29)</f>
        <v/>
      </c>
      <c r="B28" s="7"/>
      <c r="C28" s="5"/>
    </row>
    <row r="29" spans="1:6" x14ac:dyDescent="0.35">
      <c r="A29" t="str">
        <f>IF(Input!A30="","",Input!A30)</f>
        <v/>
      </c>
      <c r="B29" s="7"/>
      <c r="C29" s="5"/>
    </row>
    <row r="30" spans="1:6" x14ac:dyDescent="0.35">
      <c r="A30" t="str">
        <f>IF(Input!A31="","",Input!A31)</f>
        <v/>
      </c>
      <c r="B30" s="7"/>
      <c r="C30" s="5"/>
    </row>
    <row r="31" spans="1:6" x14ac:dyDescent="0.35">
      <c r="A31" t="str">
        <f>IF(Input!A32="","",Input!A32)</f>
        <v/>
      </c>
      <c r="B31" s="7"/>
      <c r="C31" s="5"/>
    </row>
    <row r="32" spans="1:6" x14ac:dyDescent="0.35">
      <c r="A32" t="str">
        <f>IF(Input!A33="","",Input!A33)</f>
        <v/>
      </c>
      <c r="B32" s="7"/>
      <c r="C32" s="5"/>
    </row>
    <row r="33" spans="1:3" x14ac:dyDescent="0.35">
      <c r="A33" t="str">
        <f>IF(Input!A34="","",Input!A34)</f>
        <v/>
      </c>
      <c r="B33" s="7"/>
      <c r="C33" s="5"/>
    </row>
    <row r="34" spans="1:3" x14ac:dyDescent="0.35">
      <c r="A34" t="str">
        <f>IF(Input!A35="","",Input!A35)</f>
        <v/>
      </c>
      <c r="B34" s="7"/>
      <c r="C34" s="5"/>
    </row>
    <row r="35" spans="1:3" x14ac:dyDescent="0.35">
      <c r="A35" t="str">
        <f>IF(Input!A36="","",Input!A36)</f>
        <v/>
      </c>
    </row>
    <row r="36" spans="1:3" x14ac:dyDescent="0.35">
      <c r="A36" t="str">
        <f>IF(Input!A37="","",Input!A37)</f>
        <v/>
      </c>
    </row>
    <row r="37" spans="1:3" x14ac:dyDescent="0.35">
      <c r="A37" t="str">
        <f>IF(Input!A38="","",Input!A38)</f>
        <v/>
      </c>
    </row>
    <row r="38" spans="1:3" x14ac:dyDescent="0.35">
      <c r="A38" t="str">
        <f>IF(Input!A39="","",Input!A39)</f>
        <v/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AF50"/>
  <sheetViews>
    <sheetView zoomScale="70" zoomScaleNormal="70" workbookViewId="0">
      <selection activeCell="B5" sqref="B5:AF17"/>
    </sheetView>
  </sheetViews>
  <sheetFormatPr defaultRowHeight="14.5" x14ac:dyDescent="0.35"/>
  <cols>
    <col min="1" max="1" width="27.7265625" bestFit="1" customWidth="1"/>
    <col min="2" max="2" width="15.1796875" bestFit="1" customWidth="1"/>
    <col min="3" max="3" width="10.1796875" bestFit="1" customWidth="1"/>
    <col min="4" max="4" width="10.7265625" bestFit="1" customWidth="1"/>
    <col min="5" max="5" width="20.81640625" bestFit="1" customWidth="1"/>
    <col min="6" max="6" width="13" bestFit="1" customWidth="1"/>
    <col min="7" max="7" width="7.1796875" bestFit="1" customWidth="1"/>
    <col min="8" max="8" width="9.81640625" bestFit="1" customWidth="1"/>
    <col min="9" max="9" width="12.1796875" bestFit="1" customWidth="1"/>
    <col min="10" max="10" width="6.453125" bestFit="1" customWidth="1"/>
    <col min="11" max="11" width="6.1796875" bestFit="1" customWidth="1"/>
    <col min="12" max="12" width="7.453125" bestFit="1" customWidth="1"/>
    <col min="13" max="13" width="12.81640625" bestFit="1" customWidth="1"/>
    <col min="14" max="14" width="15.453125" bestFit="1" customWidth="1"/>
    <col min="15" max="16" width="6.1796875" bestFit="1" customWidth="1"/>
    <col min="17" max="17" width="9" bestFit="1" customWidth="1"/>
    <col min="18" max="18" width="6.81640625" bestFit="1" customWidth="1"/>
    <col min="19" max="19" width="7.453125" bestFit="1" customWidth="1"/>
    <col min="20" max="20" width="11.453125" bestFit="1" customWidth="1"/>
    <col min="21" max="21" width="8.81640625" bestFit="1" customWidth="1"/>
    <col min="22" max="22" width="13.453125" bestFit="1" customWidth="1"/>
    <col min="23" max="23" width="14.81640625" bestFit="1" customWidth="1"/>
    <col min="24" max="24" width="6.81640625" bestFit="1" customWidth="1"/>
    <col min="25" max="25" width="6.1796875" bestFit="1" customWidth="1"/>
    <col min="26" max="26" width="12" bestFit="1" customWidth="1"/>
    <col min="27" max="27" width="6.1796875" bestFit="1" customWidth="1"/>
    <col min="28" max="29" width="7.26953125" bestFit="1" customWidth="1"/>
    <col min="30" max="30" width="6.1796875" bestFit="1" customWidth="1"/>
  </cols>
  <sheetData>
    <row r="1" spans="1:32" x14ac:dyDescent="0.35"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</v>
      </c>
      <c r="N1" t="s">
        <v>8</v>
      </c>
      <c r="O1" t="s">
        <v>5</v>
      </c>
      <c r="P1" t="s">
        <v>78</v>
      </c>
      <c r="Q1" t="s">
        <v>79</v>
      </c>
      <c r="R1" t="s">
        <v>80</v>
      </c>
      <c r="S1" t="s">
        <v>81</v>
      </c>
      <c r="T1" t="s">
        <v>82</v>
      </c>
      <c r="U1" t="s">
        <v>83</v>
      </c>
      <c r="V1" t="s">
        <v>84</v>
      </c>
      <c r="W1" t="s">
        <v>85</v>
      </c>
      <c r="X1" t="s">
        <v>4</v>
      </c>
      <c r="Y1" t="s">
        <v>77</v>
      </c>
      <c r="Z1" t="s">
        <v>86</v>
      </c>
      <c r="AA1" t="s">
        <v>87</v>
      </c>
      <c r="AB1" t="s">
        <v>88</v>
      </c>
      <c r="AC1" t="s">
        <v>89</v>
      </c>
      <c r="AD1" t="s">
        <v>90</v>
      </c>
      <c r="AE1" t="s">
        <v>91</v>
      </c>
    </row>
    <row r="2" spans="1:32" x14ac:dyDescent="0.35">
      <c r="A2" t="str">
        <f>IF(Input!A3="","",Input!A3)</f>
        <v>BlackRock Consensus 85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AF2" s="5"/>
    </row>
    <row r="3" spans="1:32" x14ac:dyDescent="0.35">
      <c r="A3" t="str">
        <f>IF(Input!A4="","",Input!A4)</f>
        <v>BlackRock Consensus 100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AF3" s="5"/>
    </row>
    <row r="4" spans="1:32" x14ac:dyDescent="0.35">
      <c r="A4" t="str">
        <f>IF(Input!A5="","",Input!A5)</f>
        <v>BlackRock Consensus 35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AF4" s="5"/>
    </row>
    <row r="5" spans="1:32" x14ac:dyDescent="0.35">
      <c r="A5" t="str">
        <f>IF(Input!A6="","",Input!A6)</f>
        <v>BlackRock Consensus 60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AF5" s="5"/>
    </row>
    <row r="6" spans="1:32" x14ac:dyDescent="0.35">
      <c r="A6" t="str">
        <f>IF(Input!A7="","",Input!A7)</f>
        <v>BlackRock Consensus 70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AF6" s="5"/>
    </row>
    <row r="7" spans="1:32" x14ac:dyDescent="0.35">
      <c r="A7" t="str">
        <f>IF(Input!A8="","",Input!A8)</f>
        <v>BlackRock Consensus 100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AD7" s="5"/>
      <c r="AF7" s="5"/>
    </row>
    <row r="8" spans="1:32" x14ac:dyDescent="0.35">
      <c r="A8" t="str">
        <f>IF(Input!A9="","",Input!A9)</f>
        <v>BlackRock Pension Growth Fund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AF8" s="5"/>
    </row>
    <row r="9" spans="1:32" x14ac:dyDescent="0.35">
      <c r="A9" t="str">
        <f>IF(Input!A10="","",Input!A10)</f>
        <v>MyMap 3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AF9" s="5"/>
    </row>
    <row r="10" spans="1:32" x14ac:dyDescent="0.35">
      <c r="A10" t="str">
        <f>IF(Input!A11="","",Input!A11)</f>
        <v>MyMap 4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AF10" s="5"/>
    </row>
    <row r="11" spans="1:32" x14ac:dyDescent="0.35">
      <c r="A11" t="str">
        <f>IF(Input!A12="","",Input!A12)</f>
        <v>MyMap 5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W11" s="5"/>
      <c r="X11" s="5"/>
      <c r="Z11" s="5"/>
      <c r="AA11" s="5"/>
      <c r="AF11" s="5"/>
    </row>
    <row r="12" spans="1:32" x14ac:dyDescent="0.35">
      <c r="A12" t="str">
        <f>IF(Input!A13="","",Input!A13)</f>
        <v>MyMap 6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W12" s="5"/>
      <c r="X12" s="5"/>
      <c r="Z12" s="5"/>
      <c r="AA12" s="5"/>
      <c r="AB12" s="5"/>
      <c r="AF12" s="5"/>
    </row>
    <row r="13" spans="1:32" x14ac:dyDescent="0.35">
      <c r="A13" t="str">
        <f>IF(Input!A14="","",Input!A14)</f>
        <v>MyMap 3 Select ESG Fund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AF13" s="5"/>
    </row>
    <row r="14" spans="1:32" x14ac:dyDescent="0.35">
      <c r="A14" t="str">
        <f>IF(Input!A15="","",Input!A15)</f>
        <v>MyMap 5 Select ESG Fund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W14" s="5"/>
      <c r="Z14" s="5"/>
      <c r="AF14" s="5"/>
    </row>
    <row r="15" spans="1:32" x14ac:dyDescent="0.35">
      <c r="A15" t="str">
        <f>IF(Input!A16="","",Input!A16)</f>
        <v>MyMap 7 Select ESG Fund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W15" s="5"/>
      <c r="Z15" s="5"/>
      <c r="AC15" s="5"/>
      <c r="AD15" s="5"/>
      <c r="AE15" s="5"/>
      <c r="AF15" s="5"/>
    </row>
    <row r="16" spans="1:32" x14ac:dyDescent="0.35">
      <c r="A16" t="str">
        <f>IF(Input!A17="","",Input!A17)</f>
        <v>MyMap 4 Select Income Fund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11"/>
      <c r="N16" s="11"/>
      <c r="O16" s="11"/>
      <c r="P16" s="5"/>
      <c r="Q16" s="11"/>
      <c r="R16" s="11"/>
      <c r="S16" s="11"/>
      <c r="T16" s="11"/>
      <c r="U16" s="11"/>
      <c r="V16" s="11"/>
      <c r="W16" s="5"/>
      <c r="Z16" s="5"/>
      <c r="AB16" s="11"/>
      <c r="AF16" s="5"/>
    </row>
    <row r="17" spans="1:29" x14ac:dyDescent="0.3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4">
    <tabColor theme="5" tint="0.79998168889431442"/>
  </sheetPr>
  <dimension ref="A1:E50"/>
  <sheetViews>
    <sheetView workbookViewId="0">
      <selection activeCell="A36" sqref="A36"/>
    </sheetView>
  </sheetViews>
  <sheetFormatPr defaultRowHeight="14.5" x14ac:dyDescent="0.35"/>
  <cols>
    <col min="1" max="1" width="41.81640625" bestFit="1" customWidth="1"/>
    <col min="2" max="2" width="101.81640625" bestFit="1" customWidth="1"/>
    <col min="3" max="3" width="15.453125" bestFit="1" customWidth="1"/>
    <col min="4" max="4" width="8.7265625" style="8"/>
  </cols>
  <sheetData>
    <row r="1" spans="1:5" x14ac:dyDescent="0.35">
      <c r="A1" t="s">
        <v>0</v>
      </c>
      <c r="B1" t="s">
        <v>37</v>
      </c>
      <c r="C1" t="s">
        <v>36</v>
      </c>
      <c r="D1" s="8" t="s">
        <v>25</v>
      </c>
      <c r="E1" s="3" t="s">
        <v>38</v>
      </c>
    </row>
    <row r="2" spans="1:5" x14ac:dyDescent="0.35">
      <c r="A2" t="str">
        <f>IF(Input!A3="","",Input!A3)</f>
        <v>BlackRock Consensus 85 Fund</v>
      </c>
      <c r="B2" t="s">
        <v>39</v>
      </c>
    </row>
    <row r="3" spans="1:5" x14ac:dyDescent="0.35">
      <c r="A3" t="str">
        <f>IF(Input!A4="","",Input!A4)</f>
        <v>BlackRock Consensus 100</v>
      </c>
      <c r="B3" t="s">
        <v>40</v>
      </c>
    </row>
    <row r="4" spans="1:5" x14ac:dyDescent="0.35">
      <c r="A4" t="str">
        <f>IF(Input!A5="","",Input!A5)</f>
        <v>BlackRock Consensus 35</v>
      </c>
      <c r="B4" t="s">
        <v>41</v>
      </c>
    </row>
    <row r="5" spans="1:5" x14ac:dyDescent="0.35">
      <c r="A5" t="str">
        <f>IF(Input!A6="","",Input!A6)</f>
        <v>BlackRock Consensus 60</v>
      </c>
      <c r="B5" t="s">
        <v>42</v>
      </c>
    </row>
    <row r="6" spans="1:5" x14ac:dyDescent="0.35">
      <c r="A6" t="str">
        <f>IF(Input!A7="","",Input!A7)</f>
        <v>BlackRock Consensus 70</v>
      </c>
      <c r="B6" t="s">
        <v>43</v>
      </c>
    </row>
    <row r="7" spans="1:5" x14ac:dyDescent="0.35">
      <c r="A7" t="str">
        <f>IF(Input!A8="","",Input!A8)</f>
        <v>BlackRock Consensus 100</v>
      </c>
      <c r="B7" t="s">
        <v>44</v>
      </c>
    </row>
    <row r="8" spans="1:5" x14ac:dyDescent="0.35">
      <c r="A8" t="str">
        <f>IF(Input!A9="","",Input!A9)</f>
        <v>BlackRock Pension Growth Fund</v>
      </c>
      <c r="B8" t="s">
        <v>45</v>
      </c>
    </row>
    <row r="9" spans="1:5" x14ac:dyDescent="0.35">
      <c r="A9" t="str">
        <f>IF(Input!A10="","",Input!A10)</f>
        <v>MyMap 3</v>
      </c>
      <c r="B9" t="s">
        <v>54</v>
      </c>
    </row>
    <row r="10" spans="1:5" x14ac:dyDescent="0.35">
      <c r="A10" t="str">
        <f>IF(Input!A11="","",Input!A11)</f>
        <v>MyMap 4</v>
      </c>
      <c r="B10" t="s">
        <v>55</v>
      </c>
    </row>
    <row r="11" spans="1:5" x14ac:dyDescent="0.35">
      <c r="A11" t="str">
        <f>IF(Input!A12="","",Input!A12)</f>
        <v>MyMap 5</v>
      </c>
      <c r="B11" t="s">
        <v>56</v>
      </c>
    </row>
    <row r="12" spans="1:5" x14ac:dyDescent="0.35">
      <c r="A12" t="str">
        <f>IF(Input!A13="","",Input!A13)</f>
        <v>MyMap 6</v>
      </c>
      <c r="B12" t="s">
        <v>57</v>
      </c>
    </row>
    <row r="13" spans="1:5" x14ac:dyDescent="0.35">
      <c r="A13" t="str">
        <f>IF(Input!A14="","",Input!A14)</f>
        <v>MyMap 3 Select ESG Fund</v>
      </c>
      <c r="B13" t="s">
        <v>58</v>
      </c>
    </row>
    <row r="14" spans="1:5" x14ac:dyDescent="0.35">
      <c r="A14" t="str">
        <f>IF(Input!A15="","",Input!A15)</f>
        <v>MyMap 5 Select ESG Fund</v>
      </c>
      <c r="B14" t="s">
        <v>59</v>
      </c>
    </row>
    <row r="15" spans="1:5" x14ac:dyDescent="0.35">
      <c r="A15" t="str">
        <f>IF(Input!A16="","",Input!A16)</f>
        <v>MyMap 7 Select ESG Fund</v>
      </c>
      <c r="B15" t="s">
        <v>60</v>
      </c>
    </row>
    <row r="16" spans="1:5" x14ac:dyDescent="0.35">
      <c r="A16" t="str">
        <f>IF(Input!A17="","",Input!A17)</f>
        <v>MyMap 4 Select Income Fund</v>
      </c>
      <c r="B16" s="10" t="s">
        <v>61</v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BlackRock Consensus 85 Fund</v>
      </c>
      <c r="B2" s="1">
        <f>IF(A2="","",DATE(YEAR(IF(A2="","",'Additional Information'!B2)),MONTH(IF(A2="","",'Additional Information'!B2)),DAY(IF(A2="","",'Additional Information'!B2))))</f>
        <v>0</v>
      </c>
    </row>
    <row r="3" spans="1:2" x14ac:dyDescent="0.35">
      <c r="A3" t="str">
        <f>IF(Input!A4="","",Input!A4)</f>
        <v>BlackRock Consensus 100</v>
      </c>
      <c r="B3" s="1">
        <f>IF(A3="","",DATE(YEAR(IF(A3="","",'Additional Information'!B3)),MONTH(IF(A3="","",'Additional Information'!B3)),DAY(IF(A3="","",'Additional Information'!B3))))</f>
        <v>0</v>
      </c>
    </row>
    <row r="4" spans="1:2" x14ac:dyDescent="0.35">
      <c r="A4" t="str">
        <f>IF(Input!A5="","",Input!A5)</f>
        <v>BlackRock Consensus 35</v>
      </c>
      <c r="B4" s="1">
        <f>IF(A4="","",DATE(YEAR(IF(A4="","",'Additional Information'!B4)),MONTH(IF(A4="","",'Additional Information'!B4)),DAY(IF(A4="","",'Additional Information'!B4))))</f>
        <v>0</v>
      </c>
    </row>
    <row r="5" spans="1:2" x14ac:dyDescent="0.35">
      <c r="A5" t="str">
        <f>IF(Input!A6="","",Input!A6)</f>
        <v>BlackRock Consensus 60</v>
      </c>
      <c r="B5" s="1">
        <f>IF(A5="","",DATE(YEAR(IF(A5="","",'Additional Information'!B5)),MONTH(IF(A5="","",'Additional Information'!B5)),DAY(IF(A5="","",'Additional Information'!B5))))</f>
        <v>0</v>
      </c>
    </row>
    <row r="6" spans="1:2" x14ac:dyDescent="0.35">
      <c r="A6" t="str">
        <f>IF(Input!A7="","",Input!A7)</f>
        <v>BlackRock Consensus 70</v>
      </c>
      <c r="B6" s="1">
        <f>IF(A6="","",DATE(YEAR(IF(A6="","",'Additional Information'!B6)),MONTH(IF(A6="","",'Additional Information'!B6)),DAY(IF(A6="","",'Additional Information'!B6))))</f>
        <v>0</v>
      </c>
    </row>
    <row r="7" spans="1:2" x14ac:dyDescent="0.35">
      <c r="A7" t="str">
        <f>IF(Input!A8="","",Input!A8)</f>
        <v>BlackRock Consensus 100</v>
      </c>
      <c r="B7" s="1">
        <f>IF(A7="","",DATE(YEAR(IF(A7="","",'Additional Information'!B7)),MONTH(IF(A7="","",'Additional Information'!B7)),DAY(IF(A7="","",'Additional Information'!B7))))</f>
        <v>0</v>
      </c>
    </row>
    <row r="8" spans="1:2" x14ac:dyDescent="0.35">
      <c r="A8" t="str">
        <f>IF(Input!A9="","",Input!A9)</f>
        <v>BlackRock Pension Growth Fund</v>
      </c>
      <c r="B8" s="1">
        <f>IF(A8="","",DATE(YEAR(IF(A8="","",'Additional Information'!B8)),MONTH(IF(A8="","",'Additional Information'!B8)),DAY(IF(A8="","",'Additional Information'!B8))))</f>
        <v>0</v>
      </c>
    </row>
    <row r="9" spans="1:2" x14ac:dyDescent="0.35">
      <c r="A9" t="str">
        <f>IF(Input!A10="","",Input!A10)</f>
        <v>MyMap 3</v>
      </c>
      <c r="B9" s="1">
        <f>IF(A9="","",DATE(YEAR(IF(A9="","",'Additional Information'!B9)),MONTH(IF(A9="","",'Additional Information'!B9)),DAY(IF(A9="","",'Additional Information'!B9))))</f>
        <v>0</v>
      </c>
    </row>
    <row r="10" spans="1:2" x14ac:dyDescent="0.35">
      <c r="A10" t="str">
        <f>IF(Input!A11="","",Input!A11)</f>
        <v>MyMap 4</v>
      </c>
      <c r="B10" s="1">
        <f>IF(A10="","",DATE(YEAR(IF(A10="","",'Additional Information'!B10)),MONTH(IF(A10="","",'Additional Information'!B10)),DAY(IF(A10="","",'Additional Information'!B10))))</f>
        <v>0</v>
      </c>
    </row>
    <row r="11" spans="1:2" x14ac:dyDescent="0.35">
      <c r="A11" t="str">
        <f>IF(Input!A12="","",Input!A12)</f>
        <v>MyMap 5</v>
      </c>
      <c r="B11" s="1">
        <f>IF(A11="","",DATE(YEAR(IF(A11="","",'Additional Information'!B11)),MONTH(IF(A11="","",'Additional Information'!B11)),DAY(IF(A11="","",'Additional Information'!B11))))</f>
        <v>0</v>
      </c>
    </row>
    <row r="12" spans="1:2" x14ac:dyDescent="0.35">
      <c r="A12" t="str">
        <f>IF(Input!A13="","",Input!A13)</f>
        <v>MyMap 6</v>
      </c>
      <c r="B12" s="1">
        <f>IF(A12="","",DATE(YEAR(IF(A12="","",'Additional Information'!B12)),MONTH(IF(A12="","",'Additional Information'!B12)),DAY(IF(A12="","",'Additional Information'!B12))))</f>
        <v>0</v>
      </c>
    </row>
    <row r="13" spans="1:2" x14ac:dyDescent="0.35">
      <c r="A13" t="str">
        <f>IF(Input!A14="","",Input!A14)</f>
        <v>MyMap 3 Select ESG Fund</v>
      </c>
      <c r="B13" s="1">
        <f>IF(A13="","",DATE(YEAR(IF(A13="","",'Additional Information'!B13)),MONTH(IF(A13="","",'Additional Information'!B13)),DAY(IF(A13="","",'Additional Information'!B13))))</f>
        <v>0</v>
      </c>
    </row>
    <row r="14" spans="1:2" x14ac:dyDescent="0.35">
      <c r="A14" t="str">
        <f>IF(Input!A15="","",Input!A15)</f>
        <v>MyMap 5 Select ESG Fund</v>
      </c>
      <c r="B14" s="1">
        <f>IF(A14="","",DATE(YEAR(IF(A14="","",'Additional Information'!B14)),MONTH(IF(A14="","",'Additional Information'!B14)),DAY(IF(A14="","",'Additional Information'!B14))))</f>
        <v>0</v>
      </c>
    </row>
    <row r="15" spans="1:2" x14ac:dyDescent="0.35">
      <c r="A15" t="str">
        <f>IF(Input!A16="","",Input!A16)</f>
        <v>MyMap 7 Select ESG Fund</v>
      </c>
      <c r="B15" s="1">
        <f>IF(A15="","",DATE(YEAR(IF(A15="","",'Additional Information'!B15)),MONTH(IF(A15="","",'Additional Information'!B15)),DAY(IF(A15="","",'Additional Information'!B15))))</f>
        <v>0</v>
      </c>
    </row>
    <row r="16" spans="1:2" x14ac:dyDescent="0.35">
      <c r="A16" t="str">
        <f>IF(Input!A17="","",Input!A17)</f>
        <v>MyMap 4 Select Income Fund</v>
      </c>
      <c r="B16" s="1">
        <f>IF(A16="","",DATE(YEAR(IF(A16="","",'Additional Information'!B16)),MONTH(IF(A16="","",'Additional Information'!B16)),DAY(IF(A16="","",'Additional Information'!B16))))</f>
        <v>0</v>
      </c>
    </row>
    <row r="17" spans="1:2" x14ac:dyDescent="0.35">
      <c r="A17" t="str">
        <f>IF(Input!A18="","",Input!A18)</f>
        <v/>
      </c>
      <c r="B17" s="1" t="str">
        <f>IF(A17="","",DATE(YEAR(IF(A17="","",'Additional Information'!B17)),MONTH(IF(A17="","",'Additional Information'!B17)),DAY(IF(A17="","",'Additional Information'!B17))))</f>
        <v/>
      </c>
    </row>
    <row r="18" spans="1:2" x14ac:dyDescent="0.3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3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3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3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3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3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3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3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3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3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3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3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3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3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3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3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3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3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3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3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3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3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3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3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3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3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3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3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3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3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3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3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3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22</v>
      </c>
      <c r="C1" t="s">
        <v>19</v>
      </c>
      <c r="D1" t="s">
        <v>20</v>
      </c>
      <c r="E1" t="s">
        <v>27</v>
      </c>
    </row>
    <row r="2" spans="1:5" x14ac:dyDescent="0.35">
      <c r="A2" t="str">
        <f>IF(Input!A3="","",Input!A3)</f>
        <v>BlackRock Consensus 85 Fund</v>
      </c>
      <c r="D2" s="5">
        <f>IF(A2="","",SUM('Additional Information'!C2))</f>
        <v>0</v>
      </c>
    </row>
    <row r="3" spans="1:5" x14ac:dyDescent="0.35">
      <c r="A3" t="str">
        <f>IF(Input!A4="","",Input!A4)</f>
        <v>BlackRock Consensus 100</v>
      </c>
      <c r="D3" s="5">
        <f>IF(A3="","",SUM('Additional Information'!C3))</f>
        <v>0</v>
      </c>
    </row>
    <row r="4" spans="1:5" x14ac:dyDescent="0.35">
      <c r="A4" t="str">
        <f>IF(Input!A5="","",Input!A5)</f>
        <v>BlackRock Consensus 35</v>
      </c>
      <c r="D4" s="5">
        <f>IF(A4="","",SUM('Additional Information'!C4))</f>
        <v>0</v>
      </c>
    </row>
    <row r="5" spans="1:5" x14ac:dyDescent="0.35">
      <c r="A5" t="str">
        <f>IF(Input!A6="","",Input!A6)</f>
        <v>BlackRock Consensus 60</v>
      </c>
      <c r="D5" s="5">
        <f>IF(A5="","",SUM('Additional Information'!C5))</f>
        <v>0</v>
      </c>
    </row>
    <row r="6" spans="1:5" x14ac:dyDescent="0.35">
      <c r="A6" t="str">
        <f>IF(Input!A7="","",Input!A7)</f>
        <v>BlackRock Consensus 70</v>
      </c>
      <c r="D6" s="5">
        <f>IF(A6="","",SUM('Additional Information'!C6))</f>
        <v>0</v>
      </c>
    </row>
    <row r="7" spans="1:5" x14ac:dyDescent="0.35">
      <c r="A7" t="str">
        <f>IF(Input!A8="","",Input!A8)</f>
        <v>BlackRock Consensus 100</v>
      </c>
      <c r="D7" s="5">
        <f>IF(A7="","",SUM('Additional Information'!C7))</f>
        <v>0</v>
      </c>
    </row>
    <row r="8" spans="1:5" x14ac:dyDescent="0.35">
      <c r="A8" t="str">
        <f>IF(Input!A9="","",Input!A9)</f>
        <v>BlackRock Pension Growth Fund</v>
      </c>
      <c r="D8" s="5">
        <f>IF(A8="","",SUM('Additional Information'!C8))</f>
        <v>0</v>
      </c>
    </row>
    <row r="9" spans="1:5" x14ac:dyDescent="0.35">
      <c r="A9" t="str">
        <f>IF(Input!A10="","",Input!A10)</f>
        <v>MyMap 3</v>
      </c>
      <c r="D9" s="5">
        <f>IF(A9="","",SUM('Additional Information'!C9))</f>
        <v>0</v>
      </c>
    </row>
    <row r="10" spans="1:5" x14ac:dyDescent="0.35">
      <c r="A10" t="str">
        <f>IF(Input!A11="","",Input!A11)</f>
        <v>MyMap 4</v>
      </c>
      <c r="D10" s="5">
        <f>IF(A10="","",SUM('Additional Information'!C10))</f>
        <v>0</v>
      </c>
    </row>
    <row r="11" spans="1:5" x14ac:dyDescent="0.35">
      <c r="A11" t="str">
        <f>IF(Input!A12="","",Input!A12)</f>
        <v>MyMap 5</v>
      </c>
      <c r="D11" s="5">
        <f>IF(A11="","",SUM('Additional Information'!C11))</f>
        <v>0</v>
      </c>
    </row>
    <row r="12" spans="1:5" x14ac:dyDescent="0.35">
      <c r="A12" t="str">
        <f>IF(Input!A13="","",Input!A13)</f>
        <v>MyMap 6</v>
      </c>
      <c r="D12" s="5">
        <f>IF(A12="","",SUM('Additional Information'!C12))</f>
        <v>0</v>
      </c>
    </row>
    <row r="13" spans="1:5" x14ac:dyDescent="0.35">
      <c r="A13" t="str">
        <f>IF(Input!A14="","",Input!A14)</f>
        <v>MyMap 3 Select ESG Fund</v>
      </c>
      <c r="D13" s="5">
        <f>IF(A13="","",SUM('Additional Information'!C13))</f>
        <v>0</v>
      </c>
    </row>
    <row r="14" spans="1:5" x14ac:dyDescent="0.35">
      <c r="A14" t="str">
        <f>IF(Input!A15="","",Input!A15)</f>
        <v>MyMap 5 Select ESG Fund</v>
      </c>
      <c r="D14" s="5">
        <f>IF(A14="","",SUM('Additional Information'!C14))</f>
        <v>0</v>
      </c>
    </row>
    <row r="15" spans="1:5" x14ac:dyDescent="0.35">
      <c r="A15" t="str">
        <f>IF(Input!A16="","",Input!A16)</f>
        <v>MyMap 7 Select ESG Fund</v>
      </c>
      <c r="D15" s="5">
        <f>IF(A15="","",SUM('Additional Information'!C15))</f>
        <v>0</v>
      </c>
    </row>
    <row r="16" spans="1:5" x14ac:dyDescent="0.35">
      <c r="A16" t="str">
        <f>IF(Input!A17="","",Input!A17)</f>
        <v>MyMap 4 Select Income Fund</v>
      </c>
      <c r="D16" s="5">
        <f>IF(A16="","",SUM('Additional Information'!C16))</f>
        <v>0</v>
      </c>
    </row>
    <row r="17" spans="1:4" x14ac:dyDescent="0.35">
      <c r="A17" t="str">
        <f>IF(Input!A18="","",Input!A18)</f>
        <v/>
      </c>
      <c r="D17" s="5" t="str">
        <f>IF(A17="","",SUM('Additional Information'!C17))</f>
        <v/>
      </c>
    </row>
    <row r="18" spans="1:4" x14ac:dyDescent="0.35">
      <c r="A18" t="str">
        <f>IF(Input!A19="","",Input!A19)</f>
        <v/>
      </c>
      <c r="D18" s="5" t="str">
        <f>IF(A18="","",SUM('Additional Information'!C18))</f>
        <v/>
      </c>
    </row>
    <row r="19" spans="1:4" x14ac:dyDescent="0.35">
      <c r="A19" t="str">
        <f>IF(Input!A20="","",Input!A20)</f>
        <v/>
      </c>
      <c r="D19" s="5" t="str">
        <f>IF(A19="","",SUM('Additional Information'!C19))</f>
        <v/>
      </c>
    </row>
    <row r="20" spans="1:4" x14ac:dyDescent="0.35">
      <c r="A20" t="str">
        <f>IF(Input!A21="","",Input!A21)</f>
        <v/>
      </c>
      <c r="D20" s="5" t="str">
        <f>IF(A20="","",SUM('Additional Information'!C20))</f>
        <v/>
      </c>
    </row>
    <row r="21" spans="1:4" x14ac:dyDescent="0.35">
      <c r="A21" t="str">
        <f>IF(Input!A22="","",Input!A22)</f>
        <v/>
      </c>
      <c r="D21" s="5" t="str">
        <f>IF(A21="","",SUM('Additional Information'!C21))</f>
        <v/>
      </c>
    </row>
    <row r="22" spans="1:4" x14ac:dyDescent="0.35">
      <c r="A22" t="str">
        <f>IF(Input!A23="","",Input!A23)</f>
        <v/>
      </c>
      <c r="D22" s="5" t="str">
        <f>IF(A22="","",SUM('Additional Information'!C22))</f>
        <v/>
      </c>
    </row>
    <row r="23" spans="1:4" x14ac:dyDescent="0.35">
      <c r="A23" t="str">
        <f>IF(Input!A24="","",Input!A24)</f>
        <v/>
      </c>
      <c r="D23" s="5" t="str">
        <f>IF(A23="","",SUM('Additional Information'!C23))</f>
        <v/>
      </c>
    </row>
    <row r="24" spans="1:4" x14ac:dyDescent="0.35">
      <c r="A24" t="str">
        <f>IF(Input!A25="","",Input!A25)</f>
        <v/>
      </c>
      <c r="D24" s="5" t="str">
        <f>IF(A24="","",SUM('Additional Information'!C24))</f>
        <v/>
      </c>
    </row>
    <row r="25" spans="1:4" x14ac:dyDescent="0.35">
      <c r="A25" t="str">
        <f>IF(Input!A26="","",Input!A26)</f>
        <v/>
      </c>
      <c r="D25" s="5" t="str">
        <f>IF(A25="","",SUM('Additional Information'!C25))</f>
        <v/>
      </c>
    </row>
    <row r="26" spans="1:4" x14ac:dyDescent="0.35">
      <c r="A26" t="str">
        <f>IF(Input!A27="","",Input!A27)</f>
        <v/>
      </c>
      <c r="D26" s="5" t="str">
        <f>IF(A26="","",SUM('Additional Information'!C26))</f>
        <v/>
      </c>
    </row>
    <row r="27" spans="1:4" x14ac:dyDescent="0.35">
      <c r="A27" t="str">
        <f>IF(Input!A28="","",Input!A28)</f>
        <v/>
      </c>
      <c r="D27" s="5" t="str">
        <f>IF(A27="","",SUM('Additional Information'!C27))</f>
        <v/>
      </c>
    </row>
    <row r="28" spans="1:4" x14ac:dyDescent="0.35">
      <c r="A28" t="str">
        <f>IF(Input!A29="","",Input!A29)</f>
        <v/>
      </c>
      <c r="D28" s="5" t="str">
        <f>IF(A28="","",SUM('Additional Information'!C28))</f>
        <v/>
      </c>
    </row>
    <row r="29" spans="1:4" x14ac:dyDescent="0.35">
      <c r="A29" t="str">
        <f>IF(Input!A30="","",Input!A30)</f>
        <v/>
      </c>
      <c r="D29" s="5" t="str">
        <f>IF(A29="","",SUM('Additional Information'!C29))</f>
        <v/>
      </c>
    </row>
    <row r="30" spans="1:4" x14ac:dyDescent="0.35">
      <c r="A30" t="str">
        <f>IF(Input!A31="","",Input!A31)</f>
        <v/>
      </c>
      <c r="D30" s="5" t="str">
        <f>IF(A30="","",SUM('Additional Information'!C30))</f>
        <v/>
      </c>
    </row>
    <row r="31" spans="1:4" x14ac:dyDescent="0.35">
      <c r="A31" t="str">
        <f>IF(Input!A32="","",Input!A32)</f>
        <v/>
      </c>
      <c r="D31" s="5" t="str">
        <f>IF(A31="","",SUM('Additional Information'!C31))</f>
        <v/>
      </c>
    </row>
    <row r="32" spans="1:4" x14ac:dyDescent="0.35">
      <c r="A32" t="str">
        <f>IF(Input!A33="","",Input!A33)</f>
        <v/>
      </c>
      <c r="D32" s="5" t="str">
        <f>IF(A32="","",SUM('Additional Information'!C32))</f>
        <v/>
      </c>
    </row>
    <row r="33" spans="1:4" x14ac:dyDescent="0.35">
      <c r="A33" t="str">
        <f>IF(Input!A34="","",Input!A34)</f>
        <v/>
      </c>
      <c r="D33" s="5" t="str">
        <f>IF(A33="","",SUM('Additional Information'!C33))</f>
        <v/>
      </c>
    </row>
    <row r="34" spans="1:4" x14ac:dyDescent="0.35">
      <c r="A34" t="str">
        <f>IF(Input!A35="","",Input!A35)</f>
        <v/>
      </c>
      <c r="D34" s="5" t="str">
        <f>IF(A34="","",SUM('Additional Information'!C34))</f>
        <v/>
      </c>
    </row>
    <row r="35" spans="1:4" x14ac:dyDescent="0.35">
      <c r="A35" t="str">
        <f>IF(Input!A36="","",Input!A36)</f>
        <v/>
      </c>
      <c r="D35" s="5" t="str">
        <f>IF(A35="","",SUM('Additional Information'!C35))</f>
        <v/>
      </c>
    </row>
    <row r="36" spans="1:4" x14ac:dyDescent="0.35">
      <c r="A36" t="str">
        <f>IF(Input!A37="","",Input!A37)</f>
        <v/>
      </c>
      <c r="D36" s="5" t="str">
        <f>IF(A36="","",SUM('Additional Information'!C36))</f>
        <v/>
      </c>
    </row>
    <row r="37" spans="1:4" x14ac:dyDescent="0.35">
      <c r="A37" t="str">
        <f>IF(Input!A38="","",Input!A38)</f>
        <v/>
      </c>
      <c r="D37" s="5" t="str">
        <f>IF(A37="","",SUM('Additional Information'!C37))</f>
        <v/>
      </c>
    </row>
    <row r="38" spans="1:4" x14ac:dyDescent="0.35">
      <c r="A38" t="str">
        <f>IF(Input!A39="","",Input!A39)</f>
        <v/>
      </c>
      <c r="D38" s="5" t="str">
        <f>IF(A38="","",SUM('Additional Information'!C38))</f>
        <v/>
      </c>
    </row>
    <row r="39" spans="1:4" x14ac:dyDescent="0.35">
      <c r="A39" t="str">
        <f>IF(Input!A40="","",Input!A40)</f>
        <v/>
      </c>
      <c r="D39" s="5" t="str">
        <f>IF(A39="","",SUM('Additional Information'!C39))</f>
        <v/>
      </c>
    </row>
    <row r="40" spans="1:4" x14ac:dyDescent="0.35">
      <c r="A40" t="str">
        <f>IF(Input!A41="","",Input!A41)</f>
        <v/>
      </c>
      <c r="D40" s="5" t="str">
        <f>IF(A40="","",SUM('Additional Information'!C40))</f>
        <v/>
      </c>
    </row>
    <row r="41" spans="1:4" x14ac:dyDescent="0.35">
      <c r="A41" t="str">
        <f>IF(Input!A42="","",Input!A42)</f>
        <v/>
      </c>
      <c r="D41" s="5" t="str">
        <f>IF(A41="","",SUM('Additional Information'!C41))</f>
        <v/>
      </c>
    </row>
    <row r="42" spans="1:4" x14ac:dyDescent="0.35">
      <c r="A42" t="str">
        <f>IF(Input!A43="","",Input!A43)</f>
        <v/>
      </c>
      <c r="D42" s="5" t="str">
        <f>IF(A42="","",SUM('Additional Information'!C42))</f>
        <v/>
      </c>
    </row>
    <row r="43" spans="1:4" x14ac:dyDescent="0.35">
      <c r="A43" t="str">
        <f>IF(Input!A44="","",Input!A44)</f>
        <v/>
      </c>
      <c r="D43" s="5" t="str">
        <f>IF(A43="","",SUM('Additional Information'!C43))</f>
        <v/>
      </c>
    </row>
    <row r="44" spans="1:4" x14ac:dyDescent="0.35">
      <c r="A44" t="str">
        <f>IF(Input!A45="","",Input!A45)</f>
        <v/>
      </c>
      <c r="D44" s="5" t="str">
        <f>IF(A44="","",SUM('Additional Information'!C44))</f>
        <v/>
      </c>
    </row>
    <row r="45" spans="1:4" x14ac:dyDescent="0.35">
      <c r="A45" t="str">
        <f>IF(Input!A46="","",Input!A46)</f>
        <v/>
      </c>
      <c r="D45" s="5" t="str">
        <f>IF(A45="","",SUM('Additional Information'!C45))</f>
        <v/>
      </c>
    </row>
    <row r="46" spans="1:4" x14ac:dyDescent="0.35">
      <c r="A46" t="str">
        <f>IF(Input!A47="","",Input!A47)</f>
        <v/>
      </c>
      <c r="D46" s="5" t="str">
        <f>IF(A46="","",SUM('Additional Information'!C46))</f>
        <v/>
      </c>
    </row>
    <row r="47" spans="1:4" x14ac:dyDescent="0.35">
      <c r="A47" t="str">
        <f>IF(Input!A48="","",Input!A48)</f>
        <v/>
      </c>
      <c r="D47" s="5" t="str">
        <f>IF(A47="","",SUM('Additional Information'!C47))</f>
        <v/>
      </c>
    </row>
    <row r="48" spans="1:4" x14ac:dyDescent="0.35">
      <c r="A48" t="str">
        <f>IF(Input!A49="","",Input!A49)</f>
        <v/>
      </c>
      <c r="D48" s="5" t="str">
        <f>IF(A48="","",SUM('Additional Information'!C48))</f>
        <v/>
      </c>
    </row>
    <row r="49" spans="1:4" x14ac:dyDescent="0.35">
      <c r="A49" t="str">
        <f>IF(Input!A50="","",Input!A50)</f>
        <v/>
      </c>
      <c r="D49" s="5" t="str">
        <f>IF(A49="","",SUM('Additional Information'!C49))</f>
        <v/>
      </c>
    </row>
    <row r="50" spans="1:4" x14ac:dyDescent="0.35">
      <c r="A50" t="str">
        <f>IF(Input!A51="","",Input!A51)</f>
        <v/>
      </c>
      <c r="D50" s="5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453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26</v>
      </c>
    </row>
    <row r="2" spans="1:8" x14ac:dyDescent="0.35">
      <c r="A2" t="str">
        <f>IF(Input!A3="","",Input!A3)</f>
        <v>BlackRock Consensus 85 Fund</v>
      </c>
      <c r="B2">
        <f>IF(A2="","",SUM('Asset Allocation'!B2))</f>
        <v>0</v>
      </c>
      <c r="C2">
        <f>IF(A2="","",SUM('Asset Allocation'!C2))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BlackRock Consensus 100</v>
      </c>
      <c r="B3">
        <f>IF(A3="","",SUM('Asset Allocation'!B3))</f>
        <v>0</v>
      </c>
      <c r="C3">
        <f>IF(A3="","",SUM('Asset Allocation'!C3))</f>
        <v>0</v>
      </c>
      <c r="G3">
        <f>IF(A3="","",SUM('Asset Allocation'!D3))</f>
        <v>0</v>
      </c>
      <c r="H3">
        <f t="shared" si="0"/>
        <v>1</v>
      </c>
    </row>
    <row r="4" spans="1:8" x14ac:dyDescent="0.35">
      <c r="A4" t="str">
        <f>IF(Input!A5="","",Input!A5)</f>
        <v>BlackRock Consensus 35</v>
      </c>
      <c r="B4">
        <f>IF(A4="","",SUM('Asset Allocation'!B4))</f>
        <v>0</v>
      </c>
      <c r="C4">
        <f>IF(A4="","",SUM('Asset Allocation'!C4))</f>
        <v>0</v>
      </c>
      <c r="G4">
        <f>IF(A4="","",SUM('Asset Allocation'!D4))</f>
        <v>0</v>
      </c>
      <c r="H4">
        <f t="shared" si="0"/>
        <v>1</v>
      </c>
    </row>
    <row r="5" spans="1:8" x14ac:dyDescent="0.35">
      <c r="A5" t="str">
        <f>IF(Input!A6="","",Input!A6)</f>
        <v>BlackRock Consensus 60</v>
      </c>
      <c r="B5">
        <f>IF(A5="","",SUM('Asset Allocation'!B5))</f>
        <v>0</v>
      </c>
      <c r="C5">
        <f>IF(A5="","",SUM('Asset Allocation'!C5))</f>
        <v>0</v>
      </c>
      <c r="G5">
        <f>IF(A5="","",SUM('Asset Allocation'!D5))</f>
        <v>0</v>
      </c>
      <c r="H5">
        <f t="shared" si="0"/>
        <v>1</v>
      </c>
    </row>
    <row r="6" spans="1:8" x14ac:dyDescent="0.35">
      <c r="A6" t="str">
        <f>IF(Input!A7="","",Input!A7)</f>
        <v>BlackRock Consensus 70</v>
      </c>
      <c r="B6">
        <f>IF(A6="","",SUM('Asset Allocation'!B6))</f>
        <v>0</v>
      </c>
      <c r="C6">
        <f>IF(A6="","",SUM('Asset Allocation'!C6))</f>
        <v>0</v>
      </c>
      <c r="G6">
        <f>IF(A6="","",SUM('Asset Allocation'!D6))</f>
        <v>0</v>
      </c>
      <c r="H6">
        <f t="shared" si="0"/>
        <v>1</v>
      </c>
    </row>
    <row r="7" spans="1:8" x14ac:dyDescent="0.35">
      <c r="A7" t="str">
        <f>IF(Input!A8="","",Input!A8)</f>
        <v>BlackRock Consensus 100</v>
      </c>
      <c r="B7">
        <f>IF(A7="","",SUM('Asset Allocation'!B7))</f>
        <v>0</v>
      </c>
      <c r="C7">
        <f>IF(A7="","",SUM('Asset Allocation'!C7))</f>
        <v>0</v>
      </c>
      <c r="G7">
        <f>IF(A7="","",SUM('Asset Allocation'!D7))</f>
        <v>0</v>
      </c>
      <c r="H7">
        <f t="shared" si="0"/>
        <v>1</v>
      </c>
    </row>
    <row r="8" spans="1:8" x14ac:dyDescent="0.35">
      <c r="A8" t="str">
        <f>IF(Input!A9="","",Input!A9)</f>
        <v>BlackRock Pension Growth Fund</v>
      </c>
      <c r="B8">
        <f>IF(A8="","",SUM('Asset Allocation'!B8))</f>
        <v>0</v>
      </c>
      <c r="C8">
        <f>IF(A8="","",SUM('Asset Allocation'!C8))</f>
        <v>0</v>
      </c>
      <c r="G8">
        <f>IF(A8="","",SUM('Asset Allocation'!D8))</f>
        <v>0</v>
      </c>
      <c r="H8">
        <f t="shared" si="0"/>
        <v>1</v>
      </c>
    </row>
    <row r="9" spans="1:8" x14ac:dyDescent="0.35">
      <c r="A9" t="str">
        <f>IF(Input!A10="","",Input!A10)</f>
        <v>MyMap 3</v>
      </c>
      <c r="B9">
        <f>IF(A9="","",SUM('Asset Allocation'!B9))</f>
        <v>0</v>
      </c>
      <c r="C9">
        <f>IF(A9="","",SUM('Asset Allocation'!C9))</f>
        <v>0</v>
      </c>
      <c r="G9">
        <f>IF(A9="","",SUM('Asset Allocation'!D9))</f>
        <v>0</v>
      </c>
      <c r="H9">
        <f t="shared" si="0"/>
        <v>1</v>
      </c>
    </row>
    <row r="10" spans="1:8" x14ac:dyDescent="0.35">
      <c r="A10" t="str">
        <f>IF(Input!A11="","",Input!A11)</f>
        <v>MyMap 4</v>
      </c>
      <c r="B10">
        <f>IF(A10="","",SUM('Asset Allocation'!B10))</f>
        <v>0</v>
      </c>
      <c r="C10">
        <f>IF(A10="","",SUM('Asset Allocation'!C10))</f>
        <v>0</v>
      </c>
      <c r="G10">
        <f>IF(A10="","",SUM('Asset Allocation'!D10))</f>
        <v>0</v>
      </c>
      <c r="H10">
        <f t="shared" si="0"/>
        <v>1</v>
      </c>
    </row>
    <row r="11" spans="1:8" x14ac:dyDescent="0.35">
      <c r="A11" t="str">
        <f>IF(Input!A12="","",Input!A12)</f>
        <v>MyMap 5</v>
      </c>
      <c r="B11">
        <f>IF(A11="","",SUM('Asset Allocation'!B11))</f>
        <v>0</v>
      </c>
      <c r="C11">
        <f>IF(A11="","",SUM('Asset Allocation'!C11))</f>
        <v>0</v>
      </c>
      <c r="G11">
        <f>IF(A11="","",SUM('Asset Allocation'!D11))</f>
        <v>0</v>
      </c>
      <c r="H11">
        <f t="shared" si="0"/>
        <v>1</v>
      </c>
    </row>
    <row r="12" spans="1:8" x14ac:dyDescent="0.35">
      <c r="A12" t="str">
        <f>IF(Input!A13="","",Input!A13)</f>
        <v>MyMap 6</v>
      </c>
      <c r="B12">
        <f>IF(A12="","",SUM('Asset Allocation'!B12))</f>
        <v>0</v>
      </c>
      <c r="C12">
        <f>IF(A12="","",SUM('Asset Allocation'!C12))</f>
        <v>0</v>
      </c>
      <c r="G12">
        <f>IF(A12="","",SUM('Asset Allocation'!D12))</f>
        <v>0</v>
      </c>
      <c r="H12">
        <f t="shared" si="0"/>
        <v>1</v>
      </c>
    </row>
    <row r="13" spans="1:8" x14ac:dyDescent="0.35">
      <c r="A13" t="str">
        <f>IF(Input!A14="","",Input!A14)</f>
        <v>MyMap 3 Select ESG Fund</v>
      </c>
      <c r="B13">
        <f>IF(A13="","",SUM('Asset Allocation'!B13))</f>
        <v>0</v>
      </c>
      <c r="C13">
        <f>IF(A13="","",SUM('Asset Allocation'!C13))</f>
        <v>0</v>
      </c>
      <c r="G13">
        <f>IF(A13="","",SUM('Asset Allocation'!D13))</f>
        <v>0</v>
      </c>
      <c r="H13">
        <f t="shared" si="0"/>
        <v>1</v>
      </c>
    </row>
    <row r="14" spans="1:8" x14ac:dyDescent="0.35">
      <c r="A14" t="str">
        <f>IF(Input!A15="","",Input!A15)</f>
        <v>MyMap 5 Select ESG Fund</v>
      </c>
      <c r="B14">
        <f>IF(A14="","",SUM('Asset Allocation'!B14))</f>
        <v>0</v>
      </c>
      <c r="C14">
        <f>IF(A14="","",SUM('Asset Allocation'!C14))</f>
        <v>0</v>
      </c>
      <c r="G14">
        <f>IF(A14="","",SUM('Asset Allocation'!D14))</f>
        <v>0</v>
      </c>
      <c r="H14">
        <f t="shared" si="0"/>
        <v>1</v>
      </c>
    </row>
    <row r="15" spans="1:8" x14ac:dyDescent="0.35">
      <c r="A15" t="str">
        <f>IF(Input!A16="","",Input!A16)</f>
        <v>MyMap 7 Select ESG Fund</v>
      </c>
      <c r="B15">
        <f>IF(A15="","",SUM('Asset Allocation'!B15))</f>
        <v>0</v>
      </c>
      <c r="C15">
        <f>IF(A15="","",SUM('Asset Allocation'!C15))</f>
        <v>0</v>
      </c>
      <c r="G15">
        <f>IF(A15="","",SUM('Asset Allocation'!D15))</f>
        <v>0</v>
      </c>
      <c r="H15">
        <f t="shared" si="0"/>
        <v>1</v>
      </c>
    </row>
    <row r="16" spans="1:8" x14ac:dyDescent="0.35">
      <c r="A16" t="str">
        <f>IF(Input!A17="","",Input!A17)</f>
        <v>MyMap 4 Select Income Fund</v>
      </c>
      <c r="B16">
        <f>IF(A16="","",SUM('Asset Allocation'!B16))</f>
        <v>0</v>
      </c>
      <c r="C16">
        <f>IF(A16="","",SUM('Asset Allocation'!C16))</f>
        <v>0</v>
      </c>
      <c r="G16">
        <f>IF(A16="","",SUM('Asset Allocation'!D16))</f>
        <v>0</v>
      </c>
      <c r="H16">
        <f t="shared" si="0"/>
        <v>1</v>
      </c>
    </row>
    <row r="17" spans="1:8" x14ac:dyDescent="0.3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G17" t="str">
        <f>IF(A17="","",SUM('Asset Allocation'!D17))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G18" t="str">
        <f>IF(A18="","",SUM('Asset Allocation'!D18))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G19" t="str">
        <f>IF(A19="","",SUM('Asset Allocation'!D19))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G20" t="str">
        <f>IF(A20="","",SUM('Asset Allocation'!D20))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G21" t="str">
        <f>IF(A21="","",SUM('Asset Allocation'!D21))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G22" t="str">
        <f>IF(A22="","",SUM('Asset Allocation'!D22))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G23" t="str">
        <f>IF(A23="","",SUM('Asset Allocation'!D23))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G24" t="str">
        <f>IF(A24="","",SUM('Asset Allocation'!D24))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G25" t="str">
        <f>IF(A25="","",SUM('Asset Allocation'!D25))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G26" t="str">
        <f>IF(A26="","",SUM('Asset Allocation'!D26))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G27" t="str">
        <f>IF(A27="","",SUM('Asset Allocation'!D27))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G28" t="str">
        <f>IF(A28="","",SUM('Asset Allocation'!D28))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G29" t="str">
        <f>IF(A29="","",SUM('Asset Allocation'!D29))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G30" t="str">
        <f>IF(A30="","",SUM('Asset Allocation'!D30))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G31" t="str">
        <f>IF(A31="","",SUM('Asset Allocation'!D31))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G32" t="str">
        <f>IF(A32="","",SUM('Asset Allocation'!D32))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G33" t="str">
        <f>IF(A33="","",SUM('Asset Allocation'!D33))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G34" t="str">
        <f>IF(A34="","",SUM('Asset Allocation'!D34))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G35" t="str">
        <f>IF(A35="","",SUM('Asset Allocation'!D35))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G36" t="str">
        <f>IF(A36="","",SUM('Asset Allocation'!D36))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G37" t="str">
        <f>IF(A37="","",SUM('Asset Allocation'!D37))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G38" t="str">
        <f>IF(A38="","",SUM('Asset Allocation'!D38))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G39" t="str">
        <f>IF(A39="","",SUM('Asset Allocation'!D39))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G40" t="str">
        <f>IF(A40="","",SUM('Asset Allocation'!D40))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G41" t="str">
        <f>IF(A41="","",SUM('Asset Allocation'!D41))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G42" t="str">
        <f>IF(A42="","",SUM('Asset Allocation'!D42))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G43" t="str">
        <f>IF(A43="","",SUM('Asset Allocation'!D43))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G44" t="str">
        <f>IF(A44="","",SUM('Asset Allocation'!D44))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G45" t="str">
        <f>IF(A45="","",SUM('Asset Allocation'!D45))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G46" t="str">
        <f>IF(A46="","",SUM('Asset Allocation'!D46))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G47" t="str">
        <f>IF(A47="","",SUM('Asset Allocation'!D47))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G48" t="str">
        <f>IF(A48="","",SUM('Asset Allocation'!D48))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G49" t="str">
        <f>IF(A49="","",SUM('Asset Allocation'!D49))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17968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BlackRock Consensus 85 Fund</v>
      </c>
      <c r="B2" s="6">
        <f>IFERROR(IF(A2="","",SUM('Asset Allocation'!Q2,'Asset Allocation'!H2)),0)</f>
        <v>0</v>
      </c>
      <c r="C2" s="6">
        <f>IFERROR(IF(A2="","",SUM('Asset Allocation'!O2)),0)</f>
        <v>0</v>
      </c>
      <c r="D2" s="6">
        <f>IFERROR(IF(A2="","",SUM('Asset Allocation'!N2,'Asset Allocation'!K2)),0)</f>
        <v>0</v>
      </c>
      <c r="E2" s="6">
        <f>IFERROR(IF(A2="","",SUM('Asset Allocation'!P2)),0)</f>
        <v>0</v>
      </c>
      <c r="F2" s="6">
        <f>IFERROR(IF(A2="","",SUM('Asset Allocation'!M2,'Asset Allocation'!J2)),0)</f>
        <v>0</v>
      </c>
      <c r="G2" s="6">
        <f>IFERROR(IF(A2="","",SUM('Asset Allocation'!L2,'Asset Allocation'!I2,'Asset Allocation'!G2,'Asset Allocation'!R2)),0)</f>
        <v>0</v>
      </c>
      <c r="H2" s="6"/>
    </row>
    <row r="3" spans="1:8" x14ac:dyDescent="0.35">
      <c r="A3" t="str">
        <f>IF(Input!A4="","",Input!A4)</f>
        <v>BlackRock Consensus 100</v>
      </c>
      <c r="B3" s="6">
        <f>IFERROR(IF(A3="","",SUM('Asset Allocation'!Q3,'Asset Allocation'!H3)),0)</f>
        <v>0</v>
      </c>
      <c r="C3" s="6">
        <f>IFERROR(IF(A3="","",SUM('Asset Allocation'!O3)),0)</f>
        <v>0</v>
      </c>
      <c r="D3" s="6">
        <f>IFERROR(IF(A3="","",SUM('Asset Allocation'!N3,'Asset Allocation'!K3)),0)</f>
        <v>0</v>
      </c>
      <c r="E3" s="6">
        <f>IFERROR(IF(A3="","",SUM('Asset Allocation'!P3)),0)</f>
        <v>0</v>
      </c>
      <c r="F3" s="6">
        <f>IFERROR(IF(A3="","",SUM('Asset Allocation'!M3,'Asset Allocation'!J3)),0)</f>
        <v>0</v>
      </c>
      <c r="G3" s="6">
        <f>IFERROR(IF(A3="","",SUM('Asset Allocation'!L3,'Asset Allocation'!I3,'Asset Allocation'!G3,'Asset Allocation'!R3)),0)</f>
        <v>0</v>
      </c>
      <c r="H3" s="6"/>
    </row>
    <row r="4" spans="1:8" x14ac:dyDescent="0.35">
      <c r="A4" t="str">
        <f>IF(Input!A5="","",Input!A5)</f>
        <v>BlackRock Consensus 35</v>
      </c>
      <c r="B4" s="6">
        <f>IFERROR(IF(A4="","",SUM('Asset Allocation'!Q4,'Asset Allocation'!H4)),0)</f>
        <v>0</v>
      </c>
      <c r="C4" s="6">
        <f>IFERROR(IF(A4="","",SUM('Asset Allocation'!O4)),0)</f>
        <v>0</v>
      </c>
      <c r="D4" s="6">
        <f>IFERROR(IF(A4="","",SUM('Asset Allocation'!N4,'Asset Allocation'!K4)),0)</f>
        <v>0</v>
      </c>
      <c r="E4" s="6">
        <f>IFERROR(IF(A4="","",SUM('Asset Allocation'!P4)),0)</f>
        <v>0</v>
      </c>
      <c r="F4" s="6">
        <f>IFERROR(IF(A4="","",SUM('Asset Allocation'!M4,'Asset Allocation'!J4)),0)</f>
        <v>0</v>
      </c>
      <c r="G4" s="6">
        <f>IFERROR(IF(A4="","",SUM('Asset Allocation'!L4,'Asset Allocation'!I4,'Asset Allocation'!G4,'Asset Allocation'!R4)),0)</f>
        <v>0</v>
      </c>
      <c r="H4" s="6"/>
    </row>
    <row r="5" spans="1:8" x14ac:dyDescent="0.35">
      <c r="A5" t="str">
        <f>IF(Input!A6="","",Input!A6)</f>
        <v>BlackRock Consensus 60</v>
      </c>
      <c r="B5" s="6">
        <f>IFERROR(IF(A5="","",SUM('Asset Allocation'!Q5,'Asset Allocation'!H5)),0)</f>
        <v>0</v>
      </c>
      <c r="C5" s="6">
        <f>IFERROR(IF(A5="","",SUM('Asset Allocation'!O5)),0)</f>
        <v>0</v>
      </c>
      <c r="D5" s="6">
        <f>IFERROR(IF(A5="","",SUM('Asset Allocation'!N5,'Asset Allocation'!K5)),0)</f>
        <v>0</v>
      </c>
      <c r="E5" s="6">
        <f>IFERROR(IF(A5="","",SUM('Asset Allocation'!P5)),0)</f>
        <v>0</v>
      </c>
      <c r="F5" s="6">
        <f>IFERROR(IF(A5="","",SUM('Asset Allocation'!M5,'Asset Allocation'!J5)),0)</f>
        <v>0</v>
      </c>
      <c r="G5" s="6">
        <f>IFERROR(IF(A5="","",SUM('Asset Allocation'!L5,'Asset Allocation'!I5,'Asset Allocation'!G5,'Asset Allocation'!R5)),0)</f>
        <v>0</v>
      </c>
      <c r="H5" s="6"/>
    </row>
    <row r="6" spans="1:8" x14ac:dyDescent="0.35">
      <c r="A6" t="str">
        <f>IF(Input!A7="","",Input!A7)</f>
        <v>BlackRock Consensus 70</v>
      </c>
      <c r="B6" s="6">
        <f>IFERROR(IF(A6="","",SUM('Asset Allocation'!Q6,'Asset Allocation'!H6)),0)</f>
        <v>0</v>
      </c>
      <c r="C6" s="6">
        <f>IFERROR(IF(A6="","",SUM('Asset Allocation'!O6)),0)</f>
        <v>0</v>
      </c>
      <c r="D6" s="6">
        <f>IFERROR(IF(A6="","",SUM('Asset Allocation'!N6,'Asset Allocation'!K6)),0)</f>
        <v>0</v>
      </c>
      <c r="E6" s="6">
        <f>IFERROR(IF(A6="","",SUM('Asset Allocation'!P6)),0)</f>
        <v>0</v>
      </c>
      <c r="F6" s="6">
        <f>IFERROR(IF(A6="","",SUM('Asset Allocation'!M6,'Asset Allocation'!J6)),0)</f>
        <v>0</v>
      </c>
      <c r="G6" s="6">
        <f>IFERROR(IF(A6="","",SUM('Asset Allocation'!L6,'Asset Allocation'!I6,'Asset Allocation'!G6,'Asset Allocation'!R6)),0)</f>
        <v>0</v>
      </c>
      <c r="H6" s="6"/>
    </row>
    <row r="7" spans="1:8" x14ac:dyDescent="0.35">
      <c r="A7" t="str">
        <f>IF(Input!A8="","",Input!A8)</f>
        <v>BlackRock Consensus 100</v>
      </c>
      <c r="B7" s="6">
        <f>IFERROR(IF(A7="","",SUM('Asset Allocation'!Q7,'Asset Allocation'!H7)),0)</f>
        <v>0</v>
      </c>
      <c r="C7" s="6">
        <f>IFERROR(IF(A7="","",SUM('Asset Allocation'!O7)),0)</f>
        <v>0</v>
      </c>
      <c r="D7" s="6">
        <f>IFERROR(IF(A7="","",SUM('Asset Allocation'!N7,'Asset Allocation'!K7)),0)</f>
        <v>0</v>
      </c>
      <c r="E7" s="6">
        <f>IFERROR(IF(A7="","",SUM('Asset Allocation'!P7)),0)</f>
        <v>0</v>
      </c>
      <c r="F7" s="6">
        <f>IFERROR(IF(A7="","",SUM('Asset Allocation'!M7,'Asset Allocation'!J7)),0)</f>
        <v>0</v>
      </c>
      <c r="G7" s="6">
        <f>IFERROR(IF(A7="","",SUM('Asset Allocation'!L7,'Asset Allocation'!I7,'Asset Allocation'!G7,'Asset Allocation'!R7)),0)</f>
        <v>0</v>
      </c>
      <c r="H7" s="6"/>
    </row>
    <row r="8" spans="1:8" x14ac:dyDescent="0.35">
      <c r="A8" t="str">
        <f>IF(Input!A9="","",Input!A9)</f>
        <v>BlackRock Pension Growth Fund</v>
      </c>
      <c r="B8" s="6">
        <f>IFERROR(IF(A8="","",SUM('Asset Allocation'!Q8,'Asset Allocation'!H8)),0)</f>
        <v>0</v>
      </c>
      <c r="C8" s="6">
        <f>IFERROR(IF(A8="","",SUM('Asset Allocation'!O8)),0)</f>
        <v>0</v>
      </c>
      <c r="D8" s="6">
        <f>IFERROR(IF(A8="","",SUM('Asset Allocation'!N8,'Asset Allocation'!K8)),0)</f>
        <v>0</v>
      </c>
      <c r="E8" s="6">
        <f>IFERROR(IF(A8="","",SUM('Asset Allocation'!P8)),0)</f>
        <v>0</v>
      </c>
      <c r="F8" s="6">
        <f>IFERROR(IF(A8="","",SUM('Asset Allocation'!M8,'Asset Allocation'!J8)),0)</f>
        <v>0</v>
      </c>
      <c r="G8" s="6">
        <f>IFERROR(IF(A8="","",SUM('Asset Allocation'!L8,'Asset Allocation'!I8,'Asset Allocation'!G8,'Asset Allocation'!R8)),0)</f>
        <v>0</v>
      </c>
      <c r="H8" s="6"/>
    </row>
    <row r="9" spans="1:8" x14ac:dyDescent="0.35">
      <c r="A9" t="str">
        <f>IF(Input!A10="","",Input!A10)</f>
        <v>MyMap 3</v>
      </c>
      <c r="B9" s="6">
        <f>IFERROR(IF(A9="","",SUM('Asset Allocation'!Q9,'Asset Allocation'!H9)),0)</f>
        <v>0</v>
      </c>
      <c r="C9" s="6">
        <f>IFERROR(IF(A9="","",SUM('Asset Allocation'!O9)),0)</f>
        <v>0</v>
      </c>
      <c r="D9" s="6">
        <f>IFERROR(IF(A9="","",SUM('Asset Allocation'!N9,'Asset Allocation'!K9)),0)</f>
        <v>0</v>
      </c>
      <c r="E9" s="6">
        <f>IFERROR(IF(A9="","",SUM('Asset Allocation'!P9)),0)</f>
        <v>0</v>
      </c>
      <c r="F9" s="6">
        <f>IFERROR(IF(A9="","",SUM('Asset Allocation'!M9,'Asset Allocation'!J9)),0)</f>
        <v>0</v>
      </c>
      <c r="G9" s="6">
        <f>IFERROR(IF(A9="","",SUM('Asset Allocation'!L9,'Asset Allocation'!I9,'Asset Allocation'!G9,'Asset Allocation'!R9)),0)</f>
        <v>0</v>
      </c>
      <c r="H9" s="6"/>
    </row>
    <row r="10" spans="1:8" x14ac:dyDescent="0.35">
      <c r="A10" t="str">
        <f>IF(Input!A11="","",Input!A11)</f>
        <v>MyMap 4</v>
      </c>
      <c r="B10" s="6">
        <f>IFERROR(IF(A10="","",SUM('Asset Allocation'!Q10,'Asset Allocation'!H10)),0)</f>
        <v>0</v>
      </c>
      <c r="C10" s="6">
        <f>IFERROR(IF(A10="","",SUM('Asset Allocation'!O10)),0)</f>
        <v>0</v>
      </c>
      <c r="D10" s="6">
        <f>IFERROR(IF(A10="","",SUM('Asset Allocation'!N10,'Asset Allocation'!K10)),0)</f>
        <v>0</v>
      </c>
      <c r="E10" s="6">
        <f>IFERROR(IF(A10="","",SUM('Asset Allocation'!P10)),0)</f>
        <v>0</v>
      </c>
      <c r="F10" s="6">
        <f>IFERROR(IF(A10="","",SUM('Asset Allocation'!M10,'Asset Allocation'!J10)),0)</f>
        <v>0</v>
      </c>
      <c r="G10" s="6">
        <f>IFERROR(IF(A10="","",SUM('Asset Allocation'!L10,'Asset Allocation'!I10,'Asset Allocation'!G10,'Asset Allocation'!R10)),0)</f>
        <v>0</v>
      </c>
      <c r="H10" s="6"/>
    </row>
    <row r="11" spans="1:8" x14ac:dyDescent="0.35">
      <c r="A11" t="str">
        <f>IF(Input!A12="","",Input!A12)</f>
        <v>MyMap 5</v>
      </c>
      <c r="B11" s="6">
        <f>IFERROR(IF(A11="","",SUM('Asset Allocation'!Q11,'Asset Allocation'!H11)),0)</f>
        <v>0</v>
      </c>
      <c r="C11" s="6">
        <f>IFERROR(IF(A11="","",SUM('Asset Allocation'!O11)),0)</f>
        <v>0</v>
      </c>
      <c r="D11" s="6">
        <f>IFERROR(IF(A11="","",SUM('Asset Allocation'!N11,'Asset Allocation'!K11)),0)</f>
        <v>0</v>
      </c>
      <c r="E11" s="6">
        <f>IFERROR(IF(A11="","",SUM('Asset Allocation'!P11)),0)</f>
        <v>0</v>
      </c>
      <c r="F11" s="6">
        <f>IFERROR(IF(A11="","",SUM('Asset Allocation'!M11,'Asset Allocation'!J11)),0)</f>
        <v>0</v>
      </c>
      <c r="G11" s="6">
        <f>IFERROR(IF(A11="","",SUM('Asset Allocation'!L11,'Asset Allocation'!I11,'Asset Allocation'!G11,'Asset Allocation'!R11)),0)</f>
        <v>0</v>
      </c>
      <c r="H11" s="6"/>
    </row>
    <row r="12" spans="1:8" x14ac:dyDescent="0.35">
      <c r="A12" t="str">
        <f>IF(Input!A13="","",Input!A13)</f>
        <v>MyMap 6</v>
      </c>
      <c r="B12" s="6">
        <f>IFERROR(IF(A12="","",SUM('Asset Allocation'!Q12,'Asset Allocation'!H12)),0)</f>
        <v>0</v>
      </c>
      <c r="C12" s="6">
        <f>IFERROR(IF(A12="","",SUM('Asset Allocation'!O12)),0)</f>
        <v>0</v>
      </c>
      <c r="D12" s="6">
        <f>IFERROR(IF(A12="","",SUM('Asset Allocation'!N12,'Asset Allocation'!K12)),0)</f>
        <v>0</v>
      </c>
      <c r="E12" s="6">
        <f>IFERROR(IF(A12="","",SUM('Asset Allocation'!P12)),0)</f>
        <v>0</v>
      </c>
      <c r="F12" s="6">
        <f>IFERROR(IF(A12="","",SUM('Asset Allocation'!M12,'Asset Allocation'!J12)),0)</f>
        <v>0</v>
      </c>
      <c r="G12" s="6">
        <f>IFERROR(IF(A12="","",SUM('Asset Allocation'!L12,'Asset Allocation'!I12,'Asset Allocation'!G12,'Asset Allocation'!R12)),0)</f>
        <v>0</v>
      </c>
      <c r="H12" s="6"/>
    </row>
    <row r="13" spans="1:8" x14ac:dyDescent="0.35">
      <c r="A13" t="str">
        <f>IF(Input!A14="","",Input!A14)</f>
        <v>MyMap 3 Select ESG Fund</v>
      </c>
      <c r="B13" s="6">
        <f>IFERROR(IF(A13="","",SUM('Asset Allocation'!Q13,'Asset Allocation'!H13)),0)</f>
        <v>0</v>
      </c>
      <c r="C13" s="6">
        <f>IFERROR(IF(A13="","",SUM('Asset Allocation'!O13)),0)</f>
        <v>0</v>
      </c>
      <c r="D13" s="6">
        <f>IFERROR(IF(A13="","",SUM('Asset Allocation'!N13,'Asset Allocation'!K13)),0)</f>
        <v>0</v>
      </c>
      <c r="E13" s="6">
        <f>IFERROR(IF(A13="","",SUM('Asset Allocation'!P13)),0)</f>
        <v>0</v>
      </c>
      <c r="F13" s="6">
        <f>IFERROR(IF(A13="","",SUM('Asset Allocation'!M13,'Asset Allocation'!J13)),0)</f>
        <v>0</v>
      </c>
      <c r="G13" s="6">
        <f>IFERROR(IF(A13="","",SUM('Asset Allocation'!L13,'Asset Allocation'!I13,'Asset Allocation'!G13,'Asset Allocation'!R13)),0)</f>
        <v>0</v>
      </c>
      <c r="H13" s="6"/>
    </row>
    <row r="14" spans="1:8" x14ac:dyDescent="0.35">
      <c r="A14" t="str">
        <f>IF(Input!A15="","",Input!A15)</f>
        <v>MyMap 5 Select ESG Fund</v>
      </c>
      <c r="B14" s="6">
        <f>IFERROR(IF(A14="","",SUM('Asset Allocation'!Q14,'Asset Allocation'!H14)),0)</f>
        <v>0</v>
      </c>
      <c r="C14" s="6">
        <f>IFERROR(IF(A14="","",SUM('Asset Allocation'!O14)),0)</f>
        <v>0</v>
      </c>
      <c r="D14" s="6">
        <f>IFERROR(IF(A14="","",SUM('Asset Allocation'!N14,'Asset Allocation'!K14)),0)</f>
        <v>0</v>
      </c>
      <c r="E14" s="6">
        <f>IFERROR(IF(A14="","",SUM('Asset Allocation'!P14)),0)</f>
        <v>0</v>
      </c>
      <c r="F14" s="6">
        <f>IFERROR(IF(A14="","",SUM('Asset Allocation'!M14,'Asset Allocation'!J14)),0)</f>
        <v>0</v>
      </c>
      <c r="G14" s="6">
        <f>IFERROR(IF(A14="","",SUM('Asset Allocation'!L14,'Asset Allocation'!I14,'Asset Allocation'!G14,'Asset Allocation'!R14)),0)</f>
        <v>0</v>
      </c>
      <c r="H14" s="6"/>
    </row>
    <row r="15" spans="1:8" x14ac:dyDescent="0.35">
      <c r="A15" t="str">
        <f>IF(Input!A16="","",Input!A16)</f>
        <v>MyMap 7 Select ESG Fund</v>
      </c>
      <c r="B15" s="6">
        <f>IFERROR(IF(A15="","",SUM('Asset Allocation'!Q15,'Asset Allocation'!H15)),0)</f>
        <v>0</v>
      </c>
      <c r="C15" s="6">
        <f>IFERROR(IF(A15="","",SUM('Asset Allocation'!O15)),0)</f>
        <v>0</v>
      </c>
      <c r="D15" s="6">
        <f>IFERROR(IF(A15="","",SUM('Asset Allocation'!N15,'Asset Allocation'!K15)),0)</f>
        <v>0</v>
      </c>
      <c r="E15" s="6">
        <f>IFERROR(IF(A15="","",SUM('Asset Allocation'!P15)),0)</f>
        <v>0</v>
      </c>
      <c r="F15" s="6">
        <f>IFERROR(IF(A15="","",SUM('Asset Allocation'!M15,'Asset Allocation'!J15)),0)</f>
        <v>0</v>
      </c>
      <c r="G15" s="6">
        <f>IFERROR(IF(A15="","",SUM('Asset Allocation'!L15,'Asset Allocation'!I15,'Asset Allocation'!G15,'Asset Allocation'!R15)),0)</f>
        <v>0</v>
      </c>
      <c r="H15" s="6"/>
    </row>
    <row r="16" spans="1:8" x14ac:dyDescent="0.35">
      <c r="A16" t="str">
        <f>IF(Input!A17="","",Input!A17)</f>
        <v>MyMap 4 Select Income Fund</v>
      </c>
      <c r="B16" s="6">
        <f>IFERROR(IF(A16="","",SUM('Asset Allocation'!Q16,'Asset Allocation'!H16)),0)</f>
        <v>0</v>
      </c>
      <c r="C16" s="6">
        <f>IFERROR(IF(A16="","",SUM('Asset Allocation'!O16)),0)</f>
        <v>0</v>
      </c>
      <c r="D16" s="6">
        <f>IFERROR(IF(A16="","",SUM('Asset Allocation'!N16,'Asset Allocation'!K16)),0)</f>
        <v>0</v>
      </c>
      <c r="E16" s="6">
        <f>IFERROR(IF(A16="","",SUM('Asset Allocation'!P16)),0)</f>
        <v>0</v>
      </c>
      <c r="F16" s="6">
        <f>IFERROR(IF(A16="","",SUM('Asset Allocation'!M16,'Asset Allocation'!J16)),0)</f>
        <v>0</v>
      </c>
      <c r="G16" s="6">
        <f>IFERROR(IF(A16="","",SUM('Asset Allocation'!L16,'Asset Allocation'!I16,'Asset Allocation'!G16,'Asset Allocation'!R16)),0)</f>
        <v>0</v>
      </c>
      <c r="H16" s="6"/>
    </row>
    <row r="17" spans="1:8" x14ac:dyDescent="0.35">
      <c r="A17" t="str">
        <f>IF(Input!A18="","",Input!A18)</f>
        <v/>
      </c>
      <c r="B17" s="6" t="str">
        <f>IFERROR(IF(A17="","",SUM('Asset Allocation'!Q17,'Asset Allocation'!H17)),0)</f>
        <v/>
      </c>
      <c r="C17" s="6" t="str">
        <f>IFERROR(IF(A17="","",SUM('Asset Allocation'!O17)),0)</f>
        <v/>
      </c>
      <c r="D17" s="6" t="str">
        <f>IFERROR(IF(A17="","",SUM('Asset Allocation'!N17,'Asset Allocation'!K17)),0)</f>
        <v/>
      </c>
      <c r="E17" s="6" t="str">
        <f>IFERROR(IF(A17="","",SUM('Asset Allocation'!P17)),0)</f>
        <v/>
      </c>
      <c r="F17" s="6" t="str">
        <f>IFERROR(IF(A17="","",SUM('Asset Allocation'!M17,'Asset Allocation'!J17)),0)</f>
        <v/>
      </c>
      <c r="G17" s="6" t="str">
        <f>IFERROR(IF(A17="","",SUM('Asset Allocation'!L17,'Asset Allocation'!I17,'Asset Allocation'!G17,'Asset Allocation'!R17)),0)</f>
        <v/>
      </c>
      <c r="H17" s="6"/>
    </row>
    <row r="18" spans="1:8" x14ac:dyDescent="0.35">
      <c r="A18" t="str">
        <f>IF(Input!A19="","",Input!A19)</f>
        <v/>
      </c>
      <c r="B18" s="6" t="str">
        <f>IFERROR(IF(A18="","",SUM('Asset Allocation'!Q18,'Asset Allocation'!H18)),0)</f>
        <v/>
      </c>
      <c r="C18" s="6" t="str">
        <f>IFERROR(IF(A18="","",SUM('Asset Allocation'!O18)),0)</f>
        <v/>
      </c>
      <c r="D18" s="6" t="str">
        <f>IFERROR(IF(A18="","",SUM('Asset Allocation'!N18,'Asset Allocation'!K18)),0)</f>
        <v/>
      </c>
      <c r="E18" s="6" t="str">
        <f>IFERROR(IF(A18="","",SUM('Asset Allocation'!P18)),0)</f>
        <v/>
      </c>
      <c r="F18" s="6" t="str">
        <f>IFERROR(IF(A18="","",SUM('Asset Allocation'!M18,'Asset Allocation'!J18)),0)</f>
        <v/>
      </c>
      <c r="G18" s="6" t="str">
        <f>IFERROR(IF(A18="","",SUM('Asset Allocation'!L18,'Asset Allocation'!I18,'Asset Allocation'!G18,'Asset Allocation'!R18)),0)</f>
        <v/>
      </c>
      <c r="H18" s="6"/>
    </row>
    <row r="19" spans="1:8" x14ac:dyDescent="0.35">
      <c r="A19" t="str">
        <f>IF(Input!A20="","",Input!A20)</f>
        <v/>
      </c>
      <c r="B19" s="6" t="str">
        <f>IFERROR(IF(A19="","",SUM('Asset Allocation'!Q19,'Asset Allocation'!H19)),0)</f>
        <v/>
      </c>
      <c r="C19" s="6" t="str">
        <f>IFERROR(IF(A19="","",SUM('Asset Allocation'!O19)),0)</f>
        <v/>
      </c>
      <c r="D19" s="6" t="str">
        <f>IFERROR(IF(A19="","",SUM('Asset Allocation'!N19,'Asset Allocation'!K19)),0)</f>
        <v/>
      </c>
      <c r="E19" s="6" t="str">
        <f>IFERROR(IF(A19="","",SUM('Asset Allocation'!P19)),0)</f>
        <v/>
      </c>
      <c r="F19" s="6" t="str">
        <f>IFERROR(IF(A19="","",SUM('Asset Allocation'!M19,'Asset Allocation'!J19)),0)</f>
        <v/>
      </c>
      <c r="G19" s="6" t="str">
        <f>IFERROR(IF(A19="","",SUM('Asset Allocation'!L19,'Asset Allocation'!I19,'Asset Allocation'!G19,'Asset Allocation'!R19)),0)</f>
        <v/>
      </c>
      <c r="H19" s="6"/>
    </row>
    <row r="20" spans="1:8" x14ac:dyDescent="0.35">
      <c r="A20" t="str">
        <f>IF(Input!A21="","",Input!A21)</f>
        <v/>
      </c>
      <c r="B20" s="6" t="str">
        <f>IFERROR(IF(A20="","",SUM('Asset Allocation'!Q20,'Asset Allocation'!H20)),0)</f>
        <v/>
      </c>
      <c r="C20" s="6" t="str">
        <f>IFERROR(IF(A20="","",SUM('Asset Allocation'!O20)),0)</f>
        <v/>
      </c>
      <c r="D20" s="6" t="str">
        <f>IFERROR(IF(A20="","",SUM('Asset Allocation'!N20,'Asset Allocation'!K20)),0)</f>
        <v/>
      </c>
      <c r="E20" s="6" t="str">
        <f>IFERROR(IF(A20="","",SUM('Asset Allocation'!P20)),0)</f>
        <v/>
      </c>
      <c r="F20" s="6" t="str">
        <f>IFERROR(IF(A20="","",SUM('Asset Allocation'!M20,'Asset Allocation'!J20)),0)</f>
        <v/>
      </c>
      <c r="G20" s="6" t="str">
        <f>IFERROR(IF(A20="","",SUM('Asset Allocation'!L20,'Asset Allocation'!I20,'Asset Allocation'!G20,'Asset Allocation'!R20)),0)</f>
        <v/>
      </c>
      <c r="H20" s="6"/>
    </row>
    <row r="21" spans="1:8" x14ac:dyDescent="0.35">
      <c r="A21" t="str">
        <f>IF(Input!A22="","",Input!A22)</f>
        <v/>
      </c>
      <c r="B21" s="6" t="str">
        <f>IFERROR(IF(A21="","",SUM('Asset Allocation'!Q21,'Asset Allocation'!H21)),0)</f>
        <v/>
      </c>
      <c r="C21" s="6" t="str">
        <f>IFERROR(IF(A21="","",SUM('Asset Allocation'!O21)),0)</f>
        <v/>
      </c>
      <c r="D21" s="6" t="str">
        <f>IFERROR(IF(A21="","",SUM('Asset Allocation'!N21,'Asset Allocation'!K21)),0)</f>
        <v/>
      </c>
      <c r="E21" s="6" t="str">
        <f>IFERROR(IF(A21="","",SUM('Asset Allocation'!P21)),0)</f>
        <v/>
      </c>
      <c r="F21" s="6" t="str">
        <f>IFERROR(IF(A21="","",SUM('Asset Allocation'!M21,'Asset Allocation'!J21)),0)</f>
        <v/>
      </c>
      <c r="G21" s="6" t="str">
        <f>IFERROR(IF(A21="","",SUM('Asset Allocation'!L21,'Asset Allocation'!I21,'Asset Allocation'!G21,'Asset Allocation'!R21)),0)</f>
        <v/>
      </c>
      <c r="H21" s="6"/>
    </row>
    <row r="22" spans="1:8" x14ac:dyDescent="0.35">
      <c r="A22" t="str">
        <f>IF(Input!A23="","",Input!A23)</f>
        <v/>
      </c>
      <c r="B22" s="6" t="str">
        <f>IFERROR(IF(A22="","",SUM('Asset Allocation'!Q22,'Asset Allocation'!H22)),0)</f>
        <v/>
      </c>
      <c r="C22" s="6" t="str">
        <f>IFERROR(IF(A22="","",SUM('Asset Allocation'!O22)),0)</f>
        <v/>
      </c>
      <c r="D22" s="6" t="str">
        <f>IFERROR(IF(A22="","",SUM('Asset Allocation'!N22,'Asset Allocation'!K22)),0)</f>
        <v/>
      </c>
      <c r="E22" s="6" t="str">
        <f>IFERROR(IF(A22="","",SUM('Asset Allocation'!P22)),0)</f>
        <v/>
      </c>
      <c r="F22" s="6" t="str">
        <f>IFERROR(IF(A22="","",SUM('Asset Allocation'!M22,'Asset Allocation'!J22)),0)</f>
        <v/>
      </c>
      <c r="G22" s="6" t="str">
        <f>IFERROR(IF(A22="","",SUM('Asset Allocation'!L22,'Asset Allocation'!I22,'Asset Allocation'!G22,'Asset Allocation'!R22)),0)</f>
        <v/>
      </c>
      <c r="H22" s="6"/>
    </row>
    <row r="23" spans="1:8" x14ac:dyDescent="0.35">
      <c r="A23" t="str">
        <f>IF(Input!A24="","",Input!A24)</f>
        <v/>
      </c>
      <c r="B23" s="6" t="str">
        <f>IFERROR(IF(A23="","",SUM('Asset Allocation'!Q23,'Asset Allocation'!H23)),0)</f>
        <v/>
      </c>
      <c r="C23" s="6" t="str">
        <f>IFERROR(IF(A23="","",SUM('Asset Allocation'!O23)),0)</f>
        <v/>
      </c>
      <c r="D23" s="6" t="str">
        <f>IFERROR(IF(A23="","",SUM('Asset Allocation'!N23,'Asset Allocation'!K23)),0)</f>
        <v/>
      </c>
      <c r="E23" s="6" t="str">
        <f>IFERROR(IF(A23="","",SUM('Asset Allocation'!P23)),0)</f>
        <v/>
      </c>
      <c r="F23" s="6" t="str">
        <f>IFERROR(IF(A23="","",SUM('Asset Allocation'!M23,'Asset Allocation'!J23)),0)</f>
        <v/>
      </c>
      <c r="G23" s="6" t="str">
        <f>IFERROR(IF(A23="","",SUM('Asset Allocation'!L23,'Asset Allocation'!I23,'Asset Allocation'!G23,'Asset Allocation'!R23)),0)</f>
        <v/>
      </c>
      <c r="H23" s="6"/>
    </row>
    <row r="24" spans="1:8" x14ac:dyDescent="0.35">
      <c r="A24" t="str">
        <f>IF(Input!A25="","",Input!A25)</f>
        <v/>
      </c>
      <c r="B24" s="6" t="str">
        <f>IFERROR(IF(A24="","",SUM('Asset Allocation'!Q24,'Asset Allocation'!H24)),0)</f>
        <v/>
      </c>
      <c r="C24" s="6" t="str">
        <f>IFERROR(IF(A24="","",SUM('Asset Allocation'!O24)),0)</f>
        <v/>
      </c>
      <c r="D24" s="6" t="str">
        <f>IFERROR(IF(A24="","",SUM('Asset Allocation'!N24,'Asset Allocation'!K24)),0)</f>
        <v/>
      </c>
      <c r="E24" s="6" t="str">
        <f>IFERROR(IF(A24="","",SUM('Asset Allocation'!P24)),0)</f>
        <v/>
      </c>
      <c r="F24" s="6" t="str">
        <f>IFERROR(IF(A24="","",SUM('Asset Allocation'!M24,'Asset Allocation'!J24)),0)</f>
        <v/>
      </c>
      <c r="G24" s="6" t="str">
        <f>IFERROR(IF(A24="","",SUM('Asset Allocation'!L24,'Asset Allocation'!I24,'Asset Allocation'!G24,'Asset Allocation'!R24)),0)</f>
        <v/>
      </c>
      <c r="H24" s="6"/>
    </row>
    <row r="25" spans="1:8" x14ac:dyDescent="0.35">
      <c r="A25" t="str">
        <f>IF(Input!A26="","",Input!A26)</f>
        <v/>
      </c>
      <c r="B25" s="6" t="str">
        <f>IFERROR(IF(A25="","",SUM('Asset Allocation'!Q25,'Asset Allocation'!H25)),0)</f>
        <v/>
      </c>
      <c r="C25" s="6" t="str">
        <f>IFERROR(IF(A25="","",SUM('Asset Allocation'!O25)),0)</f>
        <v/>
      </c>
      <c r="D25" s="6" t="str">
        <f>IFERROR(IF(A25="","",SUM('Asset Allocation'!N25,'Asset Allocation'!K25)),0)</f>
        <v/>
      </c>
      <c r="E25" s="6" t="str">
        <f>IFERROR(IF(A25="","",SUM('Asset Allocation'!P25)),0)</f>
        <v/>
      </c>
      <c r="F25" s="6" t="str">
        <f>IFERROR(IF(A25="","",SUM('Asset Allocation'!M25,'Asset Allocation'!J25)),0)</f>
        <v/>
      </c>
      <c r="G25" s="6" t="str">
        <f>IFERROR(IF(A25="","",SUM('Asset Allocation'!L25,'Asset Allocation'!I25,'Asset Allocation'!G25,'Asset Allocation'!R25)),0)</f>
        <v/>
      </c>
      <c r="H25" s="6"/>
    </row>
    <row r="26" spans="1:8" x14ac:dyDescent="0.35">
      <c r="A26" t="str">
        <f>IF(Input!A27="","",Input!A27)</f>
        <v/>
      </c>
      <c r="B26" s="6" t="str">
        <f>IFERROR(IF(A26="","",SUM('Asset Allocation'!Q26,'Asset Allocation'!H26)),0)</f>
        <v/>
      </c>
      <c r="C26" s="6" t="str">
        <f>IFERROR(IF(A26="","",SUM('Asset Allocation'!O26)),0)</f>
        <v/>
      </c>
      <c r="D26" s="6" t="str">
        <f>IFERROR(IF(A26="","",SUM('Asset Allocation'!N26,'Asset Allocation'!K26)),0)</f>
        <v/>
      </c>
      <c r="E26" s="6" t="str">
        <f>IFERROR(IF(A26="","",SUM('Asset Allocation'!P26)),0)</f>
        <v/>
      </c>
      <c r="F26" s="6" t="str">
        <f>IFERROR(IF(A26="","",SUM('Asset Allocation'!M26,'Asset Allocation'!J26)),0)</f>
        <v/>
      </c>
      <c r="G26" s="6" t="str">
        <f>IFERROR(IF(A26="","",SUM('Asset Allocation'!L26,'Asset Allocation'!I26,'Asset Allocation'!G26,'Asset Allocation'!R26)),0)</f>
        <v/>
      </c>
      <c r="H26" s="6"/>
    </row>
    <row r="27" spans="1:8" x14ac:dyDescent="0.35">
      <c r="A27" t="str">
        <f>IF(Input!A28="","",Input!A28)</f>
        <v/>
      </c>
      <c r="B27" s="6" t="str">
        <f>IFERROR(IF(A27="","",SUM('Asset Allocation'!Q27,'Asset Allocation'!H27)),0)</f>
        <v/>
      </c>
      <c r="C27" s="6" t="str">
        <f>IFERROR(IF(A27="","",SUM('Asset Allocation'!O27)),0)</f>
        <v/>
      </c>
      <c r="D27" s="6" t="str">
        <f>IFERROR(IF(A27="","",SUM('Asset Allocation'!N27,'Asset Allocation'!K27)),0)</f>
        <v/>
      </c>
      <c r="E27" s="6" t="str">
        <f>IFERROR(IF(A27="","",SUM('Asset Allocation'!P27)),0)</f>
        <v/>
      </c>
      <c r="F27" s="6" t="str">
        <f>IFERROR(IF(A27="","",SUM('Asset Allocation'!M27,'Asset Allocation'!J27)),0)</f>
        <v/>
      </c>
      <c r="G27" s="6" t="str">
        <f>IFERROR(IF(A27="","",SUM('Asset Allocation'!L27,'Asset Allocation'!I27,'Asset Allocation'!G27,'Asset Allocation'!R27)),0)</f>
        <v/>
      </c>
      <c r="H27" s="6"/>
    </row>
    <row r="28" spans="1:8" x14ac:dyDescent="0.35">
      <c r="A28" t="str">
        <f>IF(Input!A29="","",Input!A29)</f>
        <v/>
      </c>
      <c r="B28" s="6" t="str">
        <f>IFERROR(IF(A28="","",SUM('Asset Allocation'!Q28,'Asset Allocation'!H28)),0)</f>
        <v/>
      </c>
      <c r="C28" s="6" t="str">
        <f>IFERROR(IF(A28="","",SUM('Asset Allocation'!O28)),0)</f>
        <v/>
      </c>
      <c r="D28" s="6" t="str">
        <f>IFERROR(IF(A28="","",SUM('Asset Allocation'!N28,'Asset Allocation'!K28)),0)</f>
        <v/>
      </c>
      <c r="E28" s="6" t="str">
        <f>IFERROR(IF(A28="","",SUM('Asset Allocation'!P28)),0)</f>
        <v/>
      </c>
      <c r="F28" s="6" t="str">
        <f>IFERROR(IF(A28="","",SUM('Asset Allocation'!M28,'Asset Allocation'!J28)),0)</f>
        <v/>
      </c>
      <c r="G28" s="6" t="str">
        <f>IFERROR(IF(A28="","",SUM('Asset Allocation'!L28,'Asset Allocation'!I28,'Asset Allocation'!G28,'Asset Allocation'!R28)),0)</f>
        <v/>
      </c>
      <c r="H28" s="6"/>
    </row>
    <row r="29" spans="1:8" x14ac:dyDescent="0.35">
      <c r="A29" t="str">
        <f>IF(Input!A30="","",Input!A30)</f>
        <v/>
      </c>
      <c r="B29" s="6" t="str">
        <f>IFERROR(IF(A29="","",SUM('Asset Allocation'!Q29,'Asset Allocation'!H29)),0)</f>
        <v/>
      </c>
      <c r="C29" s="6" t="str">
        <f>IFERROR(IF(A29="","",SUM('Asset Allocation'!O29)),0)</f>
        <v/>
      </c>
      <c r="D29" s="6" t="str">
        <f>IFERROR(IF(A29="","",SUM('Asset Allocation'!N29,'Asset Allocation'!K29)),0)</f>
        <v/>
      </c>
      <c r="E29" s="6" t="str">
        <f>IFERROR(IF(A29="","",SUM('Asset Allocation'!P29)),0)</f>
        <v/>
      </c>
      <c r="F29" s="6" t="str">
        <f>IFERROR(IF(A29="","",SUM('Asset Allocation'!M29,'Asset Allocation'!J29)),0)</f>
        <v/>
      </c>
      <c r="G29" s="6" t="str">
        <f>IFERROR(IF(A29="","",SUM('Asset Allocation'!L29,'Asset Allocation'!I29,'Asset Allocation'!G29,'Asset Allocation'!R29)),0)</f>
        <v/>
      </c>
      <c r="H29" s="6"/>
    </row>
    <row r="30" spans="1:8" x14ac:dyDescent="0.35">
      <c r="A30" t="str">
        <f>IF(Input!A31="","",Input!A31)</f>
        <v/>
      </c>
      <c r="B30" s="6" t="str">
        <f>IFERROR(IF(A30="","",SUM('Asset Allocation'!Q30,'Asset Allocation'!H30)),0)</f>
        <v/>
      </c>
      <c r="C30" s="6" t="str">
        <f>IFERROR(IF(A30="","",SUM('Asset Allocation'!O30)),0)</f>
        <v/>
      </c>
      <c r="D30" s="6" t="str">
        <f>IFERROR(IF(A30="","",SUM('Asset Allocation'!N30,'Asset Allocation'!K30)),0)</f>
        <v/>
      </c>
      <c r="E30" s="6" t="str">
        <f>IFERROR(IF(A30="","",SUM('Asset Allocation'!P30)),0)</f>
        <v/>
      </c>
      <c r="F30" s="6" t="str">
        <f>IFERROR(IF(A30="","",SUM('Asset Allocation'!M30,'Asset Allocation'!J30)),0)</f>
        <v/>
      </c>
      <c r="G30" s="6" t="str">
        <f>IFERROR(IF(A30="","",SUM('Asset Allocation'!L30,'Asset Allocation'!I30,'Asset Allocation'!G30,'Asset Allocation'!R30)),0)</f>
        <v/>
      </c>
      <c r="H30" s="6"/>
    </row>
    <row r="31" spans="1:8" x14ac:dyDescent="0.35">
      <c r="A31" t="str">
        <f>IF(Input!A32="","",Input!A32)</f>
        <v/>
      </c>
      <c r="B31" s="6" t="str">
        <f>IFERROR(IF(A31="","",SUM('Asset Allocation'!Q31,'Asset Allocation'!H31)),0)</f>
        <v/>
      </c>
      <c r="C31" s="6" t="str">
        <f>IFERROR(IF(A31="","",SUM('Asset Allocation'!O31)),0)</f>
        <v/>
      </c>
      <c r="D31" s="6" t="str">
        <f>IFERROR(IF(A31="","",SUM('Asset Allocation'!N31,'Asset Allocation'!K31)),0)</f>
        <v/>
      </c>
      <c r="E31" s="6" t="str">
        <f>IFERROR(IF(A31="","",SUM('Asset Allocation'!P31)),0)</f>
        <v/>
      </c>
      <c r="F31" s="6" t="str">
        <f>IFERROR(IF(A31="","",SUM('Asset Allocation'!M31,'Asset Allocation'!J31)),0)</f>
        <v/>
      </c>
      <c r="G31" s="6" t="str">
        <f>IFERROR(IF(A31="","",SUM('Asset Allocation'!L31,'Asset Allocation'!I31,'Asset Allocation'!G31,'Asset Allocation'!R31)),0)</f>
        <v/>
      </c>
      <c r="H31" s="6"/>
    </row>
    <row r="32" spans="1:8" x14ac:dyDescent="0.35">
      <c r="A32" t="str">
        <f>IF(Input!A33="","",Input!A33)</f>
        <v/>
      </c>
      <c r="B32" s="6" t="str">
        <f>IFERROR(IF(A32="","",SUM('Asset Allocation'!Q32,'Asset Allocation'!H32)),0)</f>
        <v/>
      </c>
      <c r="C32" s="6" t="str">
        <f>IFERROR(IF(A32="","",SUM('Asset Allocation'!O32)),0)</f>
        <v/>
      </c>
      <c r="D32" s="6" t="str">
        <f>IFERROR(IF(A32="","",SUM('Asset Allocation'!N32,'Asset Allocation'!K32)),0)</f>
        <v/>
      </c>
      <c r="E32" s="6" t="str">
        <f>IFERROR(IF(A32="","",SUM('Asset Allocation'!P32)),0)</f>
        <v/>
      </c>
      <c r="F32" s="6" t="str">
        <f>IFERROR(IF(A32="","",SUM('Asset Allocation'!M32,'Asset Allocation'!J32)),0)</f>
        <v/>
      </c>
      <c r="G32" s="6" t="str">
        <f>IFERROR(IF(A32="","",SUM('Asset Allocation'!L32,'Asset Allocation'!I32,'Asset Allocation'!G32,'Asset Allocation'!R32)),0)</f>
        <v/>
      </c>
      <c r="H32" s="6"/>
    </row>
    <row r="33" spans="1:8" x14ac:dyDescent="0.35">
      <c r="A33" t="str">
        <f>IF(Input!A34="","",Input!A34)</f>
        <v/>
      </c>
      <c r="B33" s="6" t="str">
        <f>IFERROR(IF(A33="","",SUM('Asset Allocation'!Q33,'Asset Allocation'!H33)),0)</f>
        <v/>
      </c>
      <c r="C33" s="6" t="str">
        <f>IFERROR(IF(A33="","",SUM('Asset Allocation'!O33)),0)</f>
        <v/>
      </c>
      <c r="D33" s="6" t="str">
        <f>IFERROR(IF(A33="","",SUM('Asset Allocation'!N33,'Asset Allocation'!K33)),0)</f>
        <v/>
      </c>
      <c r="E33" s="6" t="str">
        <f>IFERROR(IF(A33="","",SUM('Asset Allocation'!P33)),0)</f>
        <v/>
      </c>
      <c r="F33" s="6" t="str">
        <f>IFERROR(IF(A33="","",SUM('Asset Allocation'!M33,'Asset Allocation'!J33)),0)</f>
        <v/>
      </c>
      <c r="G33" s="6" t="str">
        <f>IFERROR(IF(A33="","",SUM('Asset Allocation'!L33,'Asset Allocation'!I33,'Asset Allocation'!G33,'Asset Allocation'!R33)),0)</f>
        <v/>
      </c>
      <c r="H33" s="6"/>
    </row>
    <row r="34" spans="1:8" x14ac:dyDescent="0.35">
      <c r="A34" t="str">
        <f>IF(Input!A35="","",Input!A35)</f>
        <v/>
      </c>
      <c r="B34" s="6" t="str">
        <f>IFERROR(IF(A34="","",SUM('Asset Allocation'!Q34,'Asset Allocation'!H34)),0)</f>
        <v/>
      </c>
      <c r="C34" s="6" t="str">
        <f>IFERROR(IF(A34="","",SUM('Asset Allocation'!O34)),0)</f>
        <v/>
      </c>
      <c r="D34" s="6" t="str">
        <f>IFERROR(IF(A34="","",SUM('Asset Allocation'!N34,'Asset Allocation'!K34)),0)</f>
        <v/>
      </c>
      <c r="E34" s="6" t="str">
        <f>IFERROR(IF(A34="","",SUM('Asset Allocation'!P34)),0)</f>
        <v/>
      </c>
      <c r="F34" s="6" t="str">
        <f>IFERROR(IF(A34="","",SUM('Asset Allocation'!M34,'Asset Allocation'!J34)),0)</f>
        <v/>
      </c>
      <c r="G34" s="6" t="str">
        <f>IFERROR(IF(A34="","",SUM('Asset Allocation'!L34,'Asset Allocation'!I34,'Asset Allocation'!G34,'Asset Allocation'!R34)),0)</f>
        <v/>
      </c>
      <c r="H34" s="6"/>
    </row>
    <row r="35" spans="1:8" x14ac:dyDescent="0.35">
      <c r="A35" t="str">
        <f>IF(Input!A36="","",Input!A36)</f>
        <v/>
      </c>
      <c r="B35" s="6" t="str">
        <f>IFERROR(IF(A35="","",SUM('Asset Allocation'!Q35,'Asset Allocation'!H35)),0)</f>
        <v/>
      </c>
      <c r="C35" s="6" t="str">
        <f>IFERROR(IF(A35="","",SUM('Asset Allocation'!O35)),0)</f>
        <v/>
      </c>
      <c r="D35" s="6" t="str">
        <f>IFERROR(IF(A35="","",SUM('Asset Allocation'!N35,'Asset Allocation'!K35)),0)</f>
        <v/>
      </c>
      <c r="E35" s="6" t="str">
        <f>IFERROR(IF(A35="","",SUM('Asset Allocation'!P35)),0)</f>
        <v/>
      </c>
      <c r="F35" s="6" t="str">
        <f>IFERROR(IF(A35="","",SUM('Asset Allocation'!M35,'Asset Allocation'!J35)),0)</f>
        <v/>
      </c>
      <c r="G35" s="6" t="str">
        <f>IFERROR(IF(A35="","",SUM('Asset Allocation'!L35,'Asset Allocation'!I35,'Asset Allocation'!G35,'Asset Allocation'!R35)),0)</f>
        <v/>
      </c>
      <c r="H35" s="6"/>
    </row>
    <row r="36" spans="1:8" x14ac:dyDescent="0.35">
      <c r="A36" t="str">
        <f>IF(Input!A37="","",Input!A37)</f>
        <v/>
      </c>
      <c r="B36" s="6" t="str">
        <f>IFERROR(IF(A36="","",SUM('Asset Allocation'!Q36,'Asset Allocation'!H36)),0)</f>
        <v/>
      </c>
      <c r="C36" s="6" t="str">
        <f>IFERROR(IF(A36="","",SUM('Asset Allocation'!O36)),0)</f>
        <v/>
      </c>
      <c r="D36" s="6" t="str">
        <f>IFERROR(IF(A36="","",SUM('Asset Allocation'!N36,'Asset Allocation'!K36)),0)</f>
        <v/>
      </c>
      <c r="E36" s="6" t="str">
        <f>IFERROR(IF(A36="","",SUM('Asset Allocation'!P36)),0)</f>
        <v/>
      </c>
      <c r="F36" s="6" t="str">
        <f>IFERROR(IF(A36="","",SUM('Asset Allocation'!M36,'Asset Allocation'!J36)),0)</f>
        <v/>
      </c>
      <c r="G36" s="6" t="str">
        <f>IFERROR(IF(A36="","",SUM('Asset Allocation'!L36,'Asset Allocation'!I36,'Asset Allocation'!G36,'Asset Allocation'!R36)),0)</f>
        <v/>
      </c>
      <c r="H36" s="6"/>
    </row>
    <row r="37" spans="1:8" x14ac:dyDescent="0.35">
      <c r="A37" t="str">
        <f>IF(Input!A38="","",Input!A38)</f>
        <v/>
      </c>
      <c r="B37" s="6" t="str">
        <f>IFERROR(IF(A37="","",SUM('Asset Allocation'!Q37,'Asset Allocation'!H37)),0)</f>
        <v/>
      </c>
      <c r="C37" s="6" t="str">
        <f>IFERROR(IF(A37="","",SUM('Asset Allocation'!O37)),0)</f>
        <v/>
      </c>
      <c r="D37" s="6" t="str">
        <f>IFERROR(IF(A37="","",SUM('Asset Allocation'!N37,'Asset Allocation'!K37)),0)</f>
        <v/>
      </c>
      <c r="E37" s="6" t="str">
        <f>IFERROR(IF(A37="","",SUM('Asset Allocation'!P37)),0)</f>
        <v/>
      </c>
      <c r="F37" s="6" t="str">
        <f>IFERROR(IF(A37="","",SUM('Asset Allocation'!M37,'Asset Allocation'!J37)),0)</f>
        <v/>
      </c>
      <c r="G37" s="6" t="str">
        <f>IFERROR(IF(A37="","",SUM('Asset Allocation'!L37,'Asset Allocation'!I37,'Asset Allocation'!G37,'Asset Allocation'!R37)),0)</f>
        <v/>
      </c>
      <c r="H37" s="6"/>
    </row>
    <row r="38" spans="1:8" x14ac:dyDescent="0.35">
      <c r="A38" t="str">
        <f>IF(Input!A39="","",Input!A39)</f>
        <v/>
      </c>
      <c r="B38" s="6" t="str">
        <f>IFERROR(IF(A38="","",SUM('Asset Allocation'!Q38,'Asset Allocation'!H38)),0)</f>
        <v/>
      </c>
      <c r="C38" s="6" t="str">
        <f>IFERROR(IF(A38="","",SUM('Asset Allocation'!O38)),0)</f>
        <v/>
      </c>
      <c r="D38" s="6" t="str">
        <f>IFERROR(IF(A38="","",SUM('Asset Allocation'!N38,'Asset Allocation'!K38)),0)</f>
        <v/>
      </c>
      <c r="E38" s="6" t="str">
        <f>IFERROR(IF(A38="","",SUM('Asset Allocation'!P38)),0)</f>
        <v/>
      </c>
      <c r="F38" s="6" t="str">
        <f>IFERROR(IF(A38="","",SUM('Asset Allocation'!M38,'Asset Allocation'!J38)),0)</f>
        <v/>
      </c>
      <c r="G38" s="6" t="str">
        <f>IFERROR(IF(A38="","",SUM('Asset Allocation'!L38,'Asset Allocation'!I38,'Asset Allocation'!G38,'Asset Allocation'!R38)),0)</f>
        <v/>
      </c>
      <c r="H38" s="6"/>
    </row>
    <row r="39" spans="1:8" x14ac:dyDescent="0.35">
      <c r="A39" t="str">
        <f>IF(Input!A40="","",Input!A40)</f>
        <v/>
      </c>
      <c r="B39" s="6" t="str">
        <f>IFERROR(IF(A39="","",SUM('Asset Allocation'!Q39,'Asset Allocation'!H39)),0)</f>
        <v/>
      </c>
      <c r="C39" s="6" t="str">
        <f>IFERROR(IF(A39="","",SUM('Asset Allocation'!O39)),0)</f>
        <v/>
      </c>
      <c r="D39" s="6" t="str">
        <f>IFERROR(IF(A39="","",SUM('Asset Allocation'!N39,'Asset Allocation'!K39)),0)</f>
        <v/>
      </c>
      <c r="E39" s="6" t="str">
        <f>IFERROR(IF(A39="","",SUM('Asset Allocation'!P39)),0)</f>
        <v/>
      </c>
      <c r="F39" s="6" t="str">
        <f>IFERROR(IF(A39="","",SUM('Asset Allocation'!M39,'Asset Allocation'!J39)),0)</f>
        <v/>
      </c>
      <c r="G39" s="6" t="str">
        <f>IFERROR(IF(A39="","",SUM('Asset Allocation'!L39,'Asset Allocation'!I39,'Asset Allocation'!G39,'Asset Allocation'!R39)),0)</f>
        <v/>
      </c>
      <c r="H39" s="6"/>
    </row>
    <row r="40" spans="1:8" x14ac:dyDescent="0.35">
      <c r="A40" t="str">
        <f>IF(Input!A41="","",Input!A41)</f>
        <v/>
      </c>
      <c r="B40" s="6" t="str">
        <f>IFERROR(IF(A40="","",SUM('Asset Allocation'!Q40,'Asset Allocation'!H40)),0)</f>
        <v/>
      </c>
      <c r="C40" s="6" t="str">
        <f>IFERROR(IF(A40="","",SUM('Asset Allocation'!O40)),0)</f>
        <v/>
      </c>
      <c r="D40" s="6" t="str">
        <f>IFERROR(IF(A40="","",SUM('Asset Allocation'!N40,'Asset Allocation'!K40)),0)</f>
        <v/>
      </c>
      <c r="E40" s="6" t="str">
        <f>IFERROR(IF(A40="","",SUM('Asset Allocation'!P40)),0)</f>
        <v/>
      </c>
      <c r="F40" s="6" t="str">
        <f>IFERROR(IF(A40="","",SUM('Asset Allocation'!M40,'Asset Allocation'!J40)),0)</f>
        <v/>
      </c>
      <c r="G40" s="6" t="str">
        <f>IFERROR(IF(A40="","",SUM('Asset Allocation'!L40,'Asset Allocation'!I40,'Asset Allocation'!G40,'Asset Allocation'!R40)),0)</f>
        <v/>
      </c>
      <c r="H40" s="6"/>
    </row>
    <row r="41" spans="1:8" x14ac:dyDescent="0.35">
      <c r="A41" t="str">
        <f>IF(Input!A42="","",Input!A42)</f>
        <v/>
      </c>
      <c r="B41" s="6" t="str">
        <f>IFERROR(IF(A41="","",SUM('Asset Allocation'!Q41,'Asset Allocation'!H41)),0)</f>
        <v/>
      </c>
      <c r="C41" s="6" t="str">
        <f>IFERROR(IF(A41="","",SUM('Asset Allocation'!O41)),0)</f>
        <v/>
      </c>
      <c r="D41" s="6" t="str">
        <f>IFERROR(IF(A41="","",SUM('Asset Allocation'!N41,'Asset Allocation'!K41)),0)</f>
        <v/>
      </c>
      <c r="E41" s="6" t="str">
        <f>IFERROR(IF(A41="","",SUM('Asset Allocation'!P41)),0)</f>
        <v/>
      </c>
      <c r="F41" s="6" t="str">
        <f>IFERROR(IF(A41="","",SUM('Asset Allocation'!M41,'Asset Allocation'!J41)),0)</f>
        <v/>
      </c>
      <c r="G41" s="6" t="str">
        <f>IFERROR(IF(A41="","",SUM('Asset Allocation'!L41,'Asset Allocation'!I41,'Asset Allocation'!G41,'Asset Allocation'!R41)),0)</f>
        <v/>
      </c>
      <c r="H41" s="6"/>
    </row>
    <row r="42" spans="1:8" x14ac:dyDescent="0.35">
      <c r="A42" t="str">
        <f>IF(Input!A43="","",Input!A43)</f>
        <v/>
      </c>
      <c r="B42" s="6" t="str">
        <f>IFERROR(IF(A42="","",SUM('Asset Allocation'!Q42,'Asset Allocation'!H42)),0)</f>
        <v/>
      </c>
      <c r="C42" s="6" t="str">
        <f>IFERROR(IF(A42="","",SUM('Asset Allocation'!O42)),0)</f>
        <v/>
      </c>
      <c r="D42" s="6" t="str">
        <f>IFERROR(IF(A42="","",SUM('Asset Allocation'!N42,'Asset Allocation'!K42)),0)</f>
        <v/>
      </c>
      <c r="E42" s="6" t="str">
        <f>IFERROR(IF(A42="","",SUM('Asset Allocation'!P42)),0)</f>
        <v/>
      </c>
      <c r="F42" s="6" t="str">
        <f>IFERROR(IF(A42="","",SUM('Asset Allocation'!M42,'Asset Allocation'!J42)),0)</f>
        <v/>
      </c>
      <c r="G42" s="6" t="str">
        <f>IFERROR(IF(A42="","",SUM('Asset Allocation'!L42,'Asset Allocation'!I42,'Asset Allocation'!G42,'Asset Allocation'!R42)),0)</f>
        <v/>
      </c>
      <c r="H42" s="6"/>
    </row>
    <row r="43" spans="1:8" x14ac:dyDescent="0.35">
      <c r="A43" t="str">
        <f>IF(Input!A44="","",Input!A44)</f>
        <v/>
      </c>
      <c r="B43" s="6" t="str">
        <f>IFERROR(IF(A43="","",SUM('Asset Allocation'!Q43,'Asset Allocation'!H43)),0)</f>
        <v/>
      </c>
      <c r="C43" s="6" t="str">
        <f>IFERROR(IF(A43="","",SUM('Asset Allocation'!O43)),0)</f>
        <v/>
      </c>
      <c r="D43" s="6" t="str">
        <f>IFERROR(IF(A43="","",SUM('Asset Allocation'!N43,'Asset Allocation'!K43)),0)</f>
        <v/>
      </c>
      <c r="E43" s="6" t="str">
        <f>IFERROR(IF(A43="","",SUM('Asset Allocation'!P43)),0)</f>
        <v/>
      </c>
      <c r="F43" s="6" t="str">
        <f>IFERROR(IF(A43="","",SUM('Asset Allocation'!M43,'Asset Allocation'!J43)),0)</f>
        <v/>
      </c>
      <c r="G43" s="6" t="str">
        <f>IFERROR(IF(A43="","",SUM('Asset Allocation'!L43,'Asset Allocation'!I43,'Asset Allocation'!G43,'Asset Allocation'!R43)),0)</f>
        <v/>
      </c>
      <c r="H43" s="6"/>
    </row>
    <row r="44" spans="1:8" x14ac:dyDescent="0.35">
      <c r="A44" t="str">
        <f>IF(Input!A45="","",Input!A45)</f>
        <v/>
      </c>
      <c r="B44" s="6" t="str">
        <f>IFERROR(IF(A44="","",SUM('Asset Allocation'!Q44,'Asset Allocation'!H44)),0)</f>
        <v/>
      </c>
      <c r="C44" s="6" t="str">
        <f>IFERROR(IF(A44="","",SUM('Asset Allocation'!O44)),0)</f>
        <v/>
      </c>
      <c r="D44" s="6" t="str">
        <f>IFERROR(IF(A44="","",SUM('Asset Allocation'!N44,'Asset Allocation'!K44)),0)</f>
        <v/>
      </c>
      <c r="E44" s="6" t="str">
        <f>IFERROR(IF(A44="","",SUM('Asset Allocation'!P44)),0)</f>
        <v/>
      </c>
      <c r="F44" s="6" t="str">
        <f>IFERROR(IF(A44="","",SUM('Asset Allocation'!M44,'Asset Allocation'!J44)),0)</f>
        <v/>
      </c>
      <c r="G44" s="6" t="str">
        <f>IFERROR(IF(A44="","",SUM('Asset Allocation'!L44,'Asset Allocation'!I44,'Asset Allocation'!G44,'Asset Allocation'!R44)),0)</f>
        <v/>
      </c>
      <c r="H44" s="6"/>
    </row>
    <row r="45" spans="1:8" x14ac:dyDescent="0.35">
      <c r="A45" t="str">
        <f>IF(Input!A46="","",Input!A46)</f>
        <v/>
      </c>
      <c r="B45" s="6" t="str">
        <f>IFERROR(IF(A45="","",SUM('Asset Allocation'!Q45,'Asset Allocation'!H45)),0)</f>
        <v/>
      </c>
      <c r="C45" s="6" t="str">
        <f>IFERROR(IF(A45="","",SUM('Asset Allocation'!O45)),0)</f>
        <v/>
      </c>
      <c r="D45" s="6" t="str">
        <f>IFERROR(IF(A45="","",SUM('Asset Allocation'!N45,'Asset Allocation'!K45)),0)</f>
        <v/>
      </c>
      <c r="E45" s="6" t="str">
        <f>IFERROR(IF(A45="","",SUM('Asset Allocation'!P45)),0)</f>
        <v/>
      </c>
      <c r="F45" s="6" t="str">
        <f>IFERROR(IF(A45="","",SUM('Asset Allocation'!M45,'Asset Allocation'!J45)),0)</f>
        <v/>
      </c>
      <c r="G45" s="6" t="str">
        <f>IFERROR(IF(A45="","",SUM('Asset Allocation'!L45,'Asset Allocation'!I45,'Asset Allocation'!G45,'Asset Allocation'!R45)),0)</f>
        <v/>
      </c>
      <c r="H45" s="6"/>
    </row>
    <row r="46" spans="1:8" x14ac:dyDescent="0.35">
      <c r="A46" t="str">
        <f>IF(Input!A47="","",Input!A47)</f>
        <v/>
      </c>
      <c r="B46" s="6" t="str">
        <f>IFERROR(IF(A46="","",SUM('Asset Allocation'!Q46,'Asset Allocation'!H46)),0)</f>
        <v/>
      </c>
      <c r="C46" s="6" t="str">
        <f>IFERROR(IF(A46="","",SUM('Asset Allocation'!O46)),0)</f>
        <v/>
      </c>
      <c r="D46" s="6" t="str">
        <f>IFERROR(IF(A46="","",SUM('Asset Allocation'!N46,'Asset Allocation'!K46)),0)</f>
        <v/>
      </c>
      <c r="E46" s="6" t="str">
        <f>IFERROR(IF(A46="","",SUM('Asset Allocation'!P46)),0)</f>
        <v/>
      </c>
      <c r="F46" s="6" t="str">
        <f>IFERROR(IF(A46="","",SUM('Asset Allocation'!M46,'Asset Allocation'!J46)),0)</f>
        <v/>
      </c>
      <c r="G46" s="6" t="str">
        <f>IFERROR(IF(A46="","",SUM('Asset Allocation'!L46,'Asset Allocation'!I46,'Asset Allocation'!G46,'Asset Allocation'!R46)),0)</f>
        <v/>
      </c>
      <c r="H46" s="6"/>
    </row>
    <row r="47" spans="1:8" x14ac:dyDescent="0.35">
      <c r="A47" t="str">
        <f>IF(Input!A48="","",Input!A48)</f>
        <v/>
      </c>
      <c r="B47" s="6" t="str">
        <f>IFERROR(IF(A47="","",SUM('Asset Allocation'!Q47,'Asset Allocation'!H47)),0)</f>
        <v/>
      </c>
      <c r="C47" s="6" t="str">
        <f>IFERROR(IF(A47="","",SUM('Asset Allocation'!O47)),0)</f>
        <v/>
      </c>
      <c r="D47" s="6" t="str">
        <f>IFERROR(IF(A47="","",SUM('Asset Allocation'!N47,'Asset Allocation'!K47)),0)</f>
        <v/>
      </c>
      <c r="E47" s="6" t="str">
        <f>IFERROR(IF(A47="","",SUM('Asset Allocation'!P47)),0)</f>
        <v/>
      </c>
      <c r="F47" s="6" t="str">
        <f>IFERROR(IF(A47="","",SUM('Asset Allocation'!M47,'Asset Allocation'!J47)),0)</f>
        <v/>
      </c>
      <c r="G47" s="6" t="str">
        <f>IFERROR(IF(A47="","",SUM('Asset Allocation'!L47,'Asset Allocation'!I47,'Asset Allocation'!G47,'Asset Allocation'!R47)),0)</f>
        <v/>
      </c>
      <c r="H47" s="6"/>
    </row>
    <row r="48" spans="1:8" x14ac:dyDescent="0.35">
      <c r="A48" t="str">
        <f>IF(Input!A49="","",Input!A49)</f>
        <v/>
      </c>
      <c r="B48" s="6" t="str">
        <f>IFERROR(IF(A48="","",SUM('Asset Allocation'!Q48,'Asset Allocation'!H48)),0)</f>
        <v/>
      </c>
      <c r="C48" s="6" t="str">
        <f>IFERROR(IF(A48="","",SUM('Asset Allocation'!O48)),0)</f>
        <v/>
      </c>
      <c r="D48" s="6" t="str">
        <f>IFERROR(IF(A48="","",SUM('Asset Allocation'!N48,'Asset Allocation'!K48)),0)</f>
        <v/>
      </c>
      <c r="E48" s="6" t="str">
        <f>IFERROR(IF(A48="","",SUM('Asset Allocation'!P48)),0)</f>
        <v/>
      </c>
      <c r="F48" s="6" t="str">
        <f>IFERROR(IF(A48="","",SUM('Asset Allocation'!M48,'Asset Allocation'!J48)),0)</f>
        <v/>
      </c>
      <c r="G48" s="6" t="str">
        <f>IFERROR(IF(A48="","",SUM('Asset Allocation'!L48,'Asset Allocation'!I48,'Asset Allocation'!G48,'Asset Allocation'!R48)),0)</f>
        <v/>
      </c>
      <c r="H48" s="6"/>
    </row>
    <row r="49" spans="1:8" x14ac:dyDescent="0.35">
      <c r="A49" t="str">
        <f>IF(Input!A50="","",Input!A50)</f>
        <v/>
      </c>
      <c r="B49" s="6" t="str">
        <f>IFERROR(IF(A49="","",SUM('Asset Allocation'!Q49,'Asset Allocation'!H49)),0)</f>
        <v/>
      </c>
      <c r="C49" s="6" t="str">
        <f>IFERROR(IF(A49="","",SUM('Asset Allocation'!O49)),0)</f>
        <v/>
      </c>
      <c r="D49" s="6" t="str">
        <f>IFERROR(IF(A49="","",SUM('Asset Allocation'!N49,'Asset Allocation'!K49)),0)</f>
        <v/>
      </c>
      <c r="E49" s="6" t="str">
        <f>IFERROR(IF(A49="","",SUM('Asset Allocation'!P49)),0)</f>
        <v/>
      </c>
      <c r="F49" s="6" t="str">
        <f>IFERROR(IF(A49="","",SUM('Asset Allocation'!M49,'Asset Allocation'!J49)),0)</f>
        <v/>
      </c>
      <c r="G49" s="6" t="str">
        <f>IFERROR(IF(A49="","",SUM('Asset Allocation'!L49,'Asset Allocation'!I49,'Asset Allocation'!G49,'Asset Allocation'!R49)),0)</f>
        <v/>
      </c>
      <c r="H49" s="6"/>
    </row>
    <row r="50" spans="1:8" x14ac:dyDescent="0.35">
      <c r="A50" t="str">
        <f>IF(Input!A51="","",Input!A51)</f>
        <v/>
      </c>
      <c r="B50" s="6" t="str">
        <f>IFERROR(IF(A50="","",SUM('Asset Allocation'!Q50,'Asset Allocation'!H50)),0)</f>
        <v/>
      </c>
      <c r="C50" s="6" t="str">
        <f>IFERROR(IF(A50="","",SUM('Asset Allocation'!O50)),0)</f>
        <v/>
      </c>
      <c r="D50" s="6" t="str">
        <f>IFERROR(IF(A50="","",SUM('Asset Allocation'!N50,'Asset Allocation'!K50)),0)</f>
        <v/>
      </c>
      <c r="E50" s="6" t="str">
        <f>IFERROR(IF(A50="","",SUM('Asset Allocation'!P50)),0)</f>
        <v/>
      </c>
      <c r="F50" s="6" t="str">
        <f>IFERROR(IF(A50="","",SUM('Asset Allocation'!M50,'Asset Allocation'!J50)),0)</f>
        <v/>
      </c>
      <c r="G50" s="6" t="str">
        <f>IFERROR(IF(A50="","",SUM('Asset Allocation'!L50,'Asset Allocation'!I50,'Asset Allocation'!G50,'Asset Allocation'!R50)),0)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28</v>
      </c>
      <c r="G1" t="s">
        <v>17</v>
      </c>
      <c r="H1" t="s">
        <v>29</v>
      </c>
    </row>
    <row r="2" spans="1:8" x14ac:dyDescent="0.35">
      <c r="A2" t="str">
        <f>IF(Input!A3="","",Input!A3)</f>
        <v>BlackRock Consensus 85 Fund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BlackRock Consensus 100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BlackRock Consensus 35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BlackRock Consensus 60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BlackRock Consensus 70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BlackRock Consensus 100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>BlackRock Pension Growth Fund</v>
      </c>
      <c r="H8">
        <f>IFERROR(IF(A8="","",SUM('Asset Allocation'!C8)/'Broad Asset Allocation'!C8),0)</f>
        <v>0</v>
      </c>
    </row>
    <row r="9" spans="1:8" x14ac:dyDescent="0.35">
      <c r="A9" t="str">
        <f>IF(Input!A10="","",Input!A10)</f>
        <v>MyMap 3</v>
      </c>
      <c r="H9">
        <f>IFERROR(IF(A9="","",SUM('Asset Allocation'!C9)/'Broad Asset Allocation'!C9),0)</f>
        <v>0</v>
      </c>
    </row>
    <row r="10" spans="1:8" x14ac:dyDescent="0.35">
      <c r="A10" t="str">
        <f>IF(Input!A11="","",Input!A11)</f>
        <v>MyMap 4</v>
      </c>
      <c r="H10">
        <f>IFERROR(IF(A10="","",SUM('Asset Allocation'!C10)/'Broad Asset Allocation'!C10),0)</f>
        <v>0</v>
      </c>
    </row>
    <row r="11" spans="1:8" x14ac:dyDescent="0.35">
      <c r="A11" t="str">
        <f>IF(Input!A12="","",Input!A12)</f>
        <v>MyMap 5</v>
      </c>
      <c r="H11">
        <f>IFERROR(IF(A11="","",SUM('Asset Allocation'!C11)/'Broad Asset Allocation'!C11),0)</f>
        <v>0</v>
      </c>
    </row>
    <row r="12" spans="1:8" x14ac:dyDescent="0.35">
      <c r="A12" t="str">
        <f>IF(Input!A13="","",Input!A13)</f>
        <v>MyMap 6</v>
      </c>
      <c r="H12">
        <f>IFERROR(IF(A12="","",SUM('Asset Allocation'!C12)/'Broad Asset Allocation'!C12),0)</f>
        <v>0</v>
      </c>
    </row>
    <row r="13" spans="1:8" x14ac:dyDescent="0.35">
      <c r="A13" t="str">
        <f>IF(Input!A14="","",Input!A14)</f>
        <v>MyMap 3 Select ESG Fund</v>
      </c>
      <c r="H13">
        <f>IFERROR(IF(A13="","",SUM('Asset Allocation'!C13)/'Broad Asset Allocation'!C13),0)</f>
        <v>0</v>
      </c>
    </row>
    <row r="14" spans="1:8" x14ac:dyDescent="0.35">
      <c r="A14" t="str">
        <f>IF(Input!A15="","",Input!A15)</f>
        <v>MyMap 5 Select ESG Fund</v>
      </c>
      <c r="H14">
        <f>IFERROR(IF(A14="","",SUM('Asset Allocation'!C14)/'Broad Asset Allocation'!C14),0)</f>
        <v>0</v>
      </c>
    </row>
    <row r="15" spans="1:8" x14ac:dyDescent="0.35">
      <c r="A15" t="str">
        <f>IF(Input!A16="","",Input!A16)</f>
        <v>MyMap 7 Select ESG Fund</v>
      </c>
      <c r="H15">
        <f>IFERROR(IF(A15="","",SUM('Asset Allocation'!C15)/'Broad Asset Allocation'!C15),0)</f>
        <v>0</v>
      </c>
    </row>
    <row r="16" spans="1:8" x14ac:dyDescent="0.35">
      <c r="A16" t="str">
        <f>IF(Input!A17="","",Input!A17)</f>
        <v>MyMap 4 Select Income Fund</v>
      </c>
      <c r="H16">
        <f>IFERROR(IF(A16="","",SUM('Asset Allocation'!C16)/'Broad Asset Allocation'!C16),0)</f>
        <v>0</v>
      </c>
    </row>
    <row r="17" spans="1:8" x14ac:dyDescent="0.3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3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3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2023-09-14T08:37:00Z</dcterms:modified>
</cp:coreProperties>
</file>