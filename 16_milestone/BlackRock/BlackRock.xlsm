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6_milestone\BlackRock\"/>
    </mc:Choice>
  </mc:AlternateContent>
  <bookViews>
    <workbookView xWindow="-105" yWindow="-105" windowWidth="19425" windowHeight="10305" firstSheet="1" activeTab="2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3" i="1"/>
  <c r="A6" i="35" l="1"/>
  <c r="A2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5" i="35"/>
  <c r="A4" i="35"/>
  <c r="A3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H33" i="8" s="1"/>
  <c r="A32" i="8"/>
  <c r="H32" i="8" s="1"/>
  <c r="A31" i="8"/>
  <c r="H31" i="8" s="1"/>
  <c r="A30" i="8"/>
  <c r="H30" i="8" s="1"/>
  <c r="A29" i="8"/>
  <c r="H29" i="8" s="1"/>
  <c r="A28" i="8"/>
  <c r="H28" i="8" s="1"/>
  <c r="A27" i="8"/>
  <c r="H27" i="8" s="1"/>
  <c r="A26" i="8"/>
  <c r="H26" i="8" s="1"/>
  <c r="A25" i="8"/>
  <c r="H25" i="8" s="1"/>
  <c r="A24" i="8"/>
  <c r="H24" i="8" s="1"/>
  <c r="A23" i="8"/>
  <c r="H23" i="8" s="1"/>
  <c r="A22" i="8"/>
  <c r="H22" i="8" s="1"/>
  <c r="A21" i="8"/>
  <c r="H21" i="8" s="1"/>
  <c r="A20" i="8"/>
  <c r="H20" i="8" s="1"/>
  <c r="A19" i="8"/>
  <c r="H19" i="8" s="1"/>
  <c r="A18" i="8"/>
  <c r="H18" i="8" s="1"/>
  <c r="A17" i="8"/>
  <c r="H17" i="8" s="1"/>
  <c r="A16" i="8"/>
  <c r="H16" i="8" s="1"/>
  <c r="A15" i="8"/>
  <c r="A14" i="8"/>
  <c r="H14" i="8" s="1"/>
  <c r="A13" i="8"/>
  <c r="A12" i="8"/>
  <c r="A11" i="8"/>
  <c r="A10" i="8"/>
  <c r="A9" i="8"/>
  <c r="A8" i="8"/>
  <c r="A7" i="8"/>
  <c r="A6" i="8"/>
  <c r="H6" i="8" s="1"/>
  <c r="A5" i="8"/>
  <c r="H5" i="8" s="1"/>
  <c r="A4" i="8"/>
  <c r="H4" i="8" s="1"/>
  <c r="A3" i="8"/>
  <c r="H3" i="8" s="1"/>
  <c r="A2" i="8"/>
  <c r="H2" i="8" s="1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H13" i="7" l="1"/>
  <c r="B13" i="7"/>
  <c r="C13" i="7"/>
  <c r="G13" i="7"/>
  <c r="F13" i="7"/>
  <c r="E13" i="7"/>
  <c r="D13" i="7"/>
  <c r="H45" i="7"/>
  <c r="B45" i="7"/>
  <c r="C45" i="7"/>
  <c r="F45" i="7"/>
  <c r="G45" i="7"/>
  <c r="D45" i="7"/>
  <c r="E45" i="7"/>
  <c r="C30" i="7"/>
  <c r="F30" i="7"/>
  <c r="B30" i="7"/>
  <c r="D30" i="7"/>
  <c r="E30" i="7"/>
  <c r="H30" i="7"/>
  <c r="G30" i="7"/>
  <c r="G40" i="7"/>
  <c r="C40" i="7"/>
  <c r="D40" i="7"/>
  <c r="F40" i="7"/>
  <c r="E40" i="7"/>
  <c r="B40" i="7"/>
  <c r="H40" i="7"/>
  <c r="G9" i="7"/>
  <c r="C9" i="7"/>
  <c r="D9" i="7"/>
  <c r="H9" i="7"/>
  <c r="E9" i="7"/>
  <c r="B9" i="7"/>
  <c r="F9" i="7"/>
  <c r="G17" i="7"/>
  <c r="C17" i="7"/>
  <c r="E17" i="7"/>
  <c r="F17" i="7"/>
  <c r="D17" i="7"/>
  <c r="B17" i="7"/>
  <c r="H17" i="7"/>
  <c r="C25" i="7"/>
  <c r="G25" i="7"/>
  <c r="D25" i="7"/>
  <c r="F25" i="7"/>
  <c r="H25" i="7"/>
  <c r="E25" i="7"/>
  <c r="B25" i="7"/>
  <c r="C33" i="7"/>
  <c r="G33" i="7"/>
  <c r="F33" i="7"/>
  <c r="D33" i="7"/>
  <c r="E33" i="7"/>
  <c r="H33" i="7"/>
  <c r="B33" i="7"/>
  <c r="G41" i="7"/>
  <c r="C41" i="7"/>
  <c r="B41" i="7"/>
  <c r="D41" i="7"/>
  <c r="E41" i="7"/>
  <c r="F41" i="7"/>
  <c r="H41" i="7"/>
  <c r="C49" i="7"/>
  <c r="G49" i="7"/>
  <c r="H49" i="7"/>
  <c r="F49" i="7"/>
  <c r="B49" i="7"/>
  <c r="D49" i="7"/>
  <c r="E49" i="7"/>
  <c r="C21" i="7"/>
  <c r="H21" i="7"/>
  <c r="B21" i="7"/>
  <c r="G21" i="7"/>
  <c r="D21" i="7"/>
  <c r="E21" i="7"/>
  <c r="F21" i="7"/>
  <c r="C14" i="7"/>
  <c r="D14" i="7"/>
  <c r="B14" i="7"/>
  <c r="E14" i="7"/>
  <c r="H14" i="7"/>
  <c r="F14" i="7"/>
  <c r="G14" i="7"/>
  <c r="C38" i="7"/>
  <c r="D38" i="7"/>
  <c r="E38" i="7"/>
  <c r="H38" i="7"/>
  <c r="F38" i="7"/>
  <c r="B38" i="7"/>
  <c r="G38" i="7"/>
  <c r="G16" i="7"/>
  <c r="C16" i="7"/>
  <c r="D16" i="7"/>
  <c r="F16" i="7"/>
  <c r="E16" i="7"/>
  <c r="B16" i="7"/>
  <c r="H16" i="7"/>
  <c r="G48" i="7"/>
  <c r="C48" i="7"/>
  <c r="D48" i="7"/>
  <c r="E48" i="7"/>
  <c r="F48" i="7"/>
  <c r="B48" i="7"/>
  <c r="H48" i="7"/>
  <c r="H2" i="7"/>
  <c r="B2" i="7"/>
  <c r="G2" i="7"/>
  <c r="F2" i="7"/>
  <c r="D2" i="7"/>
  <c r="C2" i="7"/>
  <c r="E2" i="7"/>
  <c r="B10" i="7"/>
  <c r="C10" i="7"/>
  <c r="F10" i="7"/>
  <c r="D10" i="7"/>
  <c r="G10" i="7"/>
  <c r="E10" i="7"/>
  <c r="H10" i="7"/>
  <c r="B18" i="7"/>
  <c r="C18" i="7"/>
  <c r="F18" i="7"/>
  <c r="D18" i="7"/>
  <c r="G18" i="7"/>
  <c r="E18" i="7"/>
  <c r="H18" i="7"/>
  <c r="B26" i="7"/>
  <c r="C26" i="7"/>
  <c r="D26" i="7"/>
  <c r="F26" i="7"/>
  <c r="G26" i="7"/>
  <c r="E26" i="7"/>
  <c r="H26" i="7"/>
  <c r="B34" i="7"/>
  <c r="C34" i="7"/>
  <c r="D34" i="7"/>
  <c r="G34" i="7"/>
  <c r="E34" i="7"/>
  <c r="F34" i="7"/>
  <c r="H34" i="7"/>
  <c r="B42" i="7"/>
  <c r="C42" i="7"/>
  <c r="D42" i="7"/>
  <c r="F42" i="7"/>
  <c r="G42" i="7"/>
  <c r="E42" i="7"/>
  <c r="H42" i="7"/>
  <c r="B50" i="7"/>
  <c r="C50" i="7"/>
  <c r="D50" i="7"/>
  <c r="F50" i="7"/>
  <c r="G50" i="7"/>
  <c r="E50" i="7"/>
  <c r="H50" i="7"/>
  <c r="C37" i="7"/>
  <c r="H37" i="7"/>
  <c r="B37" i="7"/>
  <c r="D37" i="7"/>
  <c r="E37" i="7"/>
  <c r="G37" i="7"/>
  <c r="F37" i="7"/>
  <c r="C22" i="7"/>
  <c r="D22" i="7"/>
  <c r="F22" i="7"/>
  <c r="B22" i="7"/>
  <c r="E22" i="7"/>
  <c r="H22" i="7"/>
  <c r="G22" i="7"/>
  <c r="H7" i="7"/>
  <c r="C7" i="7"/>
  <c r="E7" i="7"/>
  <c r="G7" i="7"/>
  <c r="F7" i="7"/>
  <c r="B7" i="7"/>
  <c r="D7" i="7"/>
  <c r="H31" i="7"/>
  <c r="C31" i="7"/>
  <c r="G31" i="7"/>
  <c r="D31" i="7"/>
  <c r="E31" i="7"/>
  <c r="F31" i="7"/>
  <c r="B31" i="7"/>
  <c r="H47" i="7"/>
  <c r="D47" i="7"/>
  <c r="F47" i="7"/>
  <c r="B47" i="7"/>
  <c r="C47" i="7"/>
  <c r="E47" i="7"/>
  <c r="G47" i="7"/>
  <c r="G32" i="7"/>
  <c r="C32" i="7"/>
  <c r="D32" i="7"/>
  <c r="F32" i="7"/>
  <c r="E32" i="7"/>
  <c r="B32" i="7"/>
  <c r="H32" i="7"/>
  <c r="H3" i="7"/>
  <c r="C3" i="7"/>
  <c r="B3" i="7"/>
  <c r="G3" i="7"/>
  <c r="E3" i="7"/>
  <c r="F3" i="7"/>
  <c r="D3" i="7"/>
  <c r="H11" i="7"/>
  <c r="C11" i="7"/>
  <c r="B11" i="7"/>
  <c r="G11" i="7"/>
  <c r="E11" i="7"/>
  <c r="F11" i="7"/>
  <c r="D11" i="7"/>
  <c r="H19" i="7"/>
  <c r="B19" i="7"/>
  <c r="G19" i="7"/>
  <c r="C19" i="7"/>
  <c r="E19" i="7"/>
  <c r="D19" i="7"/>
  <c r="F19" i="7"/>
  <c r="H27" i="7"/>
  <c r="B27" i="7"/>
  <c r="C27" i="7"/>
  <c r="G27" i="7"/>
  <c r="E27" i="7"/>
  <c r="F27" i="7"/>
  <c r="D27" i="7"/>
  <c r="H35" i="7"/>
  <c r="B35" i="7"/>
  <c r="G35" i="7"/>
  <c r="C35" i="7"/>
  <c r="E35" i="7"/>
  <c r="F35" i="7"/>
  <c r="D35" i="7"/>
  <c r="H43" i="7"/>
  <c r="G43" i="7"/>
  <c r="C43" i="7"/>
  <c r="B43" i="7"/>
  <c r="F43" i="7"/>
  <c r="D43" i="7"/>
  <c r="E43" i="7"/>
  <c r="H5" i="7"/>
  <c r="B5" i="7"/>
  <c r="C5" i="7"/>
  <c r="D5" i="7"/>
  <c r="E5" i="7"/>
  <c r="F5" i="7"/>
  <c r="G5" i="7"/>
  <c r="C29" i="7"/>
  <c r="H29" i="7"/>
  <c r="B29" i="7"/>
  <c r="F29" i="7"/>
  <c r="G29" i="7"/>
  <c r="E29" i="7"/>
  <c r="D29" i="7"/>
  <c r="C6" i="7"/>
  <c r="D6" i="7"/>
  <c r="E6" i="7"/>
  <c r="H6" i="7"/>
  <c r="F6" i="7"/>
  <c r="B6" i="7"/>
  <c r="G6" i="7"/>
  <c r="C46" i="7"/>
  <c r="D46" i="7"/>
  <c r="B46" i="7"/>
  <c r="E46" i="7"/>
  <c r="H46" i="7"/>
  <c r="F46" i="7"/>
  <c r="G46" i="7"/>
  <c r="C15" i="7"/>
  <c r="H15" i="7"/>
  <c r="E15" i="7"/>
  <c r="F15" i="7"/>
  <c r="B15" i="7"/>
  <c r="D15" i="7"/>
  <c r="G15" i="7"/>
  <c r="H23" i="7"/>
  <c r="C23" i="7"/>
  <c r="B23" i="7"/>
  <c r="G23" i="7"/>
  <c r="E23" i="7"/>
  <c r="D23" i="7"/>
  <c r="F23" i="7"/>
  <c r="H39" i="7"/>
  <c r="C39" i="7"/>
  <c r="E39" i="7"/>
  <c r="G39" i="7"/>
  <c r="B39" i="7"/>
  <c r="D39" i="7"/>
  <c r="F39" i="7"/>
  <c r="G8" i="7"/>
  <c r="C8" i="7"/>
  <c r="D8" i="7"/>
  <c r="E8" i="7"/>
  <c r="F8" i="7"/>
  <c r="H8" i="7"/>
  <c r="B8" i="7"/>
  <c r="G24" i="7"/>
  <c r="C24" i="7"/>
  <c r="D24" i="7"/>
  <c r="F24" i="7"/>
  <c r="E24" i="7"/>
  <c r="B24" i="7"/>
  <c r="H24" i="7"/>
  <c r="C4" i="7"/>
  <c r="D4" i="7"/>
  <c r="H4" i="7"/>
  <c r="F4" i="7"/>
  <c r="G4" i="7"/>
  <c r="B4" i="7"/>
  <c r="E4" i="7"/>
  <c r="C12" i="7"/>
  <c r="D12" i="7"/>
  <c r="F12" i="7"/>
  <c r="H12" i="7"/>
  <c r="B12" i="7"/>
  <c r="E12" i="7"/>
  <c r="G12" i="7"/>
  <c r="C20" i="7"/>
  <c r="D20" i="7"/>
  <c r="G20" i="7"/>
  <c r="H20" i="7"/>
  <c r="B20" i="7"/>
  <c r="E20" i="7"/>
  <c r="F20" i="7"/>
  <c r="C28" i="7"/>
  <c r="D28" i="7"/>
  <c r="H28" i="7"/>
  <c r="B28" i="7"/>
  <c r="E28" i="7"/>
  <c r="F28" i="7"/>
  <c r="G28" i="7"/>
  <c r="C36" i="7"/>
  <c r="F36" i="7"/>
  <c r="H36" i="7"/>
  <c r="D36" i="7"/>
  <c r="G36" i="7"/>
  <c r="B36" i="7"/>
  <c r="E36" i="7"/>
  <c r="C44" i="7"/>
  <c r="F44" i="7"/>
  <c r="H44" i="7"/>
  <c r="D44" i="7"/>
  <c r="B44" i="7"/>
  <c r="E44" i="7"/>
  <c r="G44" i="7"/>
  <c r="F22" i="4"/>
  <c r="G22" i="4"/>
  <c r="B22" i="4"/>
  <c r="C22" i="4"/>
  <c r="B7" i="4"/>
  <c r="F7" i="4"/>
  <c r="C7" i="4"/>
  <c r="H7" i="8" s="1"/>
  <c r="G7" i="4"/>
  <c r="F39" i="4"/>
  <c r="B39" i="4"/>
  <c r="C39" i="4"/>
  <c r="G39" i="4"/>
  <c r="F8" i="4"/>
  <c r="G8" i="4"/>
  <c r="C8" i="4"/>
  <c r="H8" i="8" s="1"/>
  <c r="B8" i="4"/>
  <c r="F16" i="4"/>
  <c r="G16" i="4"/>
  <c r="B16" i="4"/>
  <c r="C16" i="4"/>
  <c r="F24" i="4"/>
  <c r="G24" i="4"/>
  <c r="B24" i="4"/>
  <c r="C24" i="4"/>
  <c r="F32" i="4"/>
  <c r="G32" i="4"/>
  <c r="B32" i="4"/>
  <c r="C32" i="4"/>
  <c r="F40" i="4"/>
  <c r="G40" i="4"/>
  <c r="B40" i="4"/>
  <c r="C40" i="4"/>
  <c r="F48" i="4"/>
  <c r="G48" i="4"/>
  <c r="B48" i="4"/>
  <c r="C48" i="4"/>
  <c r="F14" i="4"/>
  <c r="G14" i="4"/>
  <c r="B14" i="4"/>
  <c r="C14" i="4"/>
  <c r="F15" i="4"/>
  <c r="B15" i="4"/>
  <c r="C15" i="4"/>
  <c r="H15" i="8" s="1"/>
  <c r="G15" i="4"/>
  <c r="B47" i="4"/>
  <c r="F47" i="4"/>
  <c r="C47" i="4"/>
  <c r="G47" i="4"/>
  <c r="B9" i="4"/>
  <c r="F9" i="4"/>
  <c r="C9" i="4"/>
  <c r="H9" i="8" s="1"/>
  <c r="G9" i="4"/>
  <c r="B17" i="4"/>
  <c r="G17" i="4"/>
  <c r="F17" i="4"/>
  <c r="C17" i="4"/>
  <c r="B25" i="4"/>
  <c r="F25" i="4"/>
  <c r="G25" i="4"/>
  <c r="C25" i="4"/>
  <c r="B33" i="4"/>
  <c r="C33" i="4"/>
  <c r="F33" i="4"/>
  <c r="G33" i="4"/>
  <c r="B41" i="4"/>
  <c r="C41" i="4"/>
  <c r="F41" i="4"/>
  <c r="G41" i="4"/>
  <c r="B49" i="4"/>
  <c r="G49" i="4"/>
  <c r="C49" i="4"/>
  <c r="F49" i="4"/>
  <c r="C2" i="4"/>
  <c r="G2" i="4"/>
  <c r="F2" i="4"/>
  <c r="B2" i="4"/>
  <c r="F26" i="4"/>
  <c r="G26" i="4"/>
  <c r="B26" i="4"/>
  <c r="C26" i="4"/>
  <c r="F50" i="4"/>
  <c r="G50" i="4"/>
  <c r="B50" i="4"/>
  <c r="C50" i="4"/>
  <c r="F6" i="4"/>
  <c r="C6" i="4"/>
  <c r="G6" i="4"/>
  <c r="B6" i="4"/>
  <c r="F46" i="4"/>
  <c r="G46" i="4"/>
  <c r="B46" i="4"/>
  <c r="C46" i="4"/>
  <c r="B23" i="4"/>
  <c r="C23" i="4"/>
  <c r="F23" i="4"/>
  <c r="G23" i="4"/>
  <c r="F18" i="4"/>
  <c r="G18" i="4"/>
  <c r="B18" i="4"/>
  <c r="C18" i="4"/>
  <c r="F42" i="4"/>
  <c r="G42" i="4"/>
  <c r="B42" i="4"/>
  <c r="C42" i="4"/>
  <c r="B3" i="4"/>
  <c r="G3" i="4"/>
  <c r="C3" i="4"/>
  <c r="F3" i="4"/>
  <c r="B11" i="4"/>
  <c r="F11" i="4"/>
  <c r="C11" i="4"/>
  <c r="H11" i="8" s="1"/>
  <c r="G11" i="4"/>
  <c r="B19" i="4"/>
  <c r="C19" i="4"/>
  <c r="F19" i="4"/>
  <c r="G19" i="4"/>
  <c r="B27" i="4"/>
  <c r="F27" i="4"/>
  <c r="G27" i="4"/>
  <c r="C27" i="4"/>
  <c r="B35" i="4"/>
  <c r="F35" i="4"/>
  <c r="G35" i="4"/>
  <c r="C35" i="4"/>
  <c r="G43" i="4"/>
  <c r="B43" i="4"/>
  <c r="C43" i="4"/>
  <c r="F43" i="4"/>
  <c r="F38" i="4"/>
  <c r="G38" i="4"/>
  <c r="B38" i="4"/>
  <c r="C38" i="4"/>
  <c r="B31" i="4"/>
  <c r="G31" i="4"/>
  <c r="C31" i="4"/>
  <c r="F31" i="4"/>
  <c r="F10" i="4"/>
  <c r="G10" i="4"/>
  <c r="B10" i="4"/>
  <c r="C10" i="4"/>
  <c r="H10" i="8" s="1"/>
  <c r="F34" i="4"/>
  <c r="G34" i="4"/>
  <c r="B34" i="4"/>
  <c r="C34" i="4"/>
  <c r="F4" i="4"/>
  <c r="B4" i="4"/>
  <c r="G4" i="4"/>
  <c r="C4" i="4"/>
  <c r="F12" i="4"/>
  <c r="G12" i="4"/>
  <c r="C12" i="4"/>
  <c r="H12" i="8" s="1"/>
  <c r="B12" i="4"/>
  <c r="F20" i="4"/>
  <c r="G20" i="4"/>
  <c r="B20" i="4"/>
  <c r="C20" i="4"/>
  <c r="F28" i="4"/>
  <c r="B28" i="4"/>
  <c r="G28" i="4"/>
  <c r="C28" i="4"/>
  <c r="F36" i="4"/>
  <c r="B36" i="4"/>
  <c r="G36" i="4"/>
  <c r="C36" i="4"/>
  <c r="F44" i="4"/>
  <c r="B44" i="4"/>
  <c r="G44" i="4"/>
  <c r="C44" i="4"/>
  <c r="F30" i="4"/>
  <c r="G30" i="4"/>
  <c r="B30" i="4"/>
  <c r="C30" i="4"/>
  <c r="F5" i="4"/>
  <c r="G5" i="4"/>
  <c r="B5" i="4"/>
  <c r="C5" i="4"/>
  <c r="B13" i="4"/>
  <c r="G13" i="4"/>
  <c r="C13" i="4"/>
  <c r="H13" i="8" s="1"/>
  <c r="F13" i="4"/>
  <c r="B21" i="4"/>
  <c r="F21" i="4"/>
  <c r="G21" i="4"/>
  <c r="C21" i="4"/>
  <c r="F29" i="4"/>
  <c r="B29" i="4"/>
  <c r="C29" i="4"/>
  <c r="G29" i="4"/>
  <c r="B37" i="4"/>
  <c r="G37" i="4"/>
  <c r="F37" i="4"/>
  <c r="C37" i="4"/>
  <c r="B45" i="4"/>
  <c r="F45" i="4"/>
  <c r="G45" i="4"/>
  <c r="C45" i="4"/>
  <c r="C7" i="31"/>
  <c r="D7" i="31"/>
  <c r="E7" i="31"/>
  <c r="G7" i="31"/>
  <c r="B7" i="31"/>
  <c r="F7" i="31"/>
  <c r="C23" i="31"/>
  <c r="D23" i="31"/>
  <c r="F23" i="31"/>
  <c r="G23" i="31"/>
  <c r="B23" i="31"/>
  <c r="E23" i="31"/>
  <c r="C47" i="31"/>
  <c r="D47" i="31"/>
  <c r="B47" i="31"/>
  <c r="E47" i="31"/>
  <c r="F47" i="31"/>
  <c r="G47" i="31"/>
  <c r="E24" i="31"/>
  <c r="F24" i="31"/>
  <c r="B24" i="31"/>
  <c r="C24" i="31"/>
  <c r="D24" i="31"/>
  <c r="G24" i="31"/>
  <c r="E48" i="31"/>
  <c r="F48" i="31"/>
  <c r="D48" i="31"/>
  <c r="G48" i="31"/>
  <c r="B48" i="31"/>
  <c r="C48" i="31"/>
  <c r="G25" i="31"/>
  <c r="D25" i="31"/>
  <c r="E25" i="31"/>
  <c r="F25" i="31"/>
  <c r="B25" i="31"/>
  <c r="C25" i="31"/>
  <c r="G49" i="31"/>
  <c r="B49" i="31"/>
  <c r="C49" i="31"/>
  <c r="D49" i="31"/>
  <c r="E49" i="31"/>
  <c r="F49" i="31"/>
  <c r="D2" i="31"/>
  <c r="G2" i="31"/>
  <c r="E2" i="31"/>
  <c r="F2" i="31"/>
  <c r="C2" i="31"/>
  <c r="B2" i="31"/>
  <c r="B26" i="31"/>
  <c r="C26" i="31"/>
  <c r="D26" i="31"/>
  <c r="E26" i="31"/>
  <c r="F26" i="31"/>
  <c r="G26" i="31"/>
  <c r="B34" i="31"/>
  <c r="D34" i="31"/>
  <c r="E34" i="31"/>
  <c r="F34" i="31"/>
  <c r="G34" i="31"/>
  <c r="C34" i="31"/>
  <c r="B42" i="31"/>
  <c r="C42" i="31"/>
  <c r="D42" i="31"/>
  <c r="E42" i="31"/>
  <c r="F42" i="31"/>
  <c r="G42" i="31"/>
  <c r="B50" i="31"/>
  <c r="D50" i="31"/>
  <c r="E50" i="31"/>
  <c r="F50" i="31"/>
  <c r="G50" i="31"/>
  <c r="C50" i="31"/>
  <c r="C3" i="31"/>
  <c r="D3" i="31"/>
  <c r="E3" i="31"/>
  <c r="F3" i="31"/>
  <c r="G3" i="31"/>
  <c r="B3" i="31"/>
  <c r="C11" i="31"/>
  <c r="D11" i="31"/>
  <c r="E11" i="31"/>
  <c r="B11" i="31"/>
  <c r="F11" i="31"/>
  <c r="G11" i="31"/>
  <c r="C19" i="31"/>
  <c r="D19" i="31"/>
  <c r="B19" i="31"/>
  <c r="E19" i="31"/>
  <c r="F19" i="31"/>
  <c r="G19" i="31"/>
  <c r="C27" i="31"/>
  <c r="D27" i="31"/>
  <c r="B27" i="31"/>
  <c r="E27" i="31"/>
  <c r="F27" i="31"/>
  <c r="G27" i="31"/>
  <c r="C35" i="31"/>
  <c r="D35" i="31"/>
  <c r="B35" i="31"/>
  <c r="E35" i="31"/>
  <c r="F35" i="31"/>
  <c r="G35" i="31"/>
  <c r="C43" i="31"/>
  <c r="D43" i="31"/>
  <c r="B43" i="31"/>
  <c r="E43" i="31"/>
  <c r="F43" i="31"/>
  <c r="G43" i="31"/>
  <c r="E12" i="31"/>
  <c r="F12" i="31"/>
  <c r="G12" i="31"/>
  <c r="B12" i="31"/>
  <c r="C12" i="31"/>
  <c r="D12" i="31"/>
  <c r="C15" i="31"/>
  <c r="D15" i="31"/>
  <c r="E15" i="31"/>
  <c r="B15" i="31"/>
  <c r="F15" i="31"/>
  <c r="G15" i="31"/>
  <c r="C39" i="31"/>
  <c r="D39" i="31"/>
  <c r="F39" i="31"/>
  <c r="G39" i="31"/>
  <c r="E39" i="31"/>
  <c r="B39" i="31"/>
  <c r="E8" i="31"/>
  <c r="F8" i="31"/>
  <c r="G8" i="31"/>
  <c r="B8" i="31"/>
  <c r="C8" i="31"/>
  <c r="D8" i="31"/>
  <c r="E32" i="31"/>
  <c r="F32" i="31"/>
  <c r="D32" i="31"/>
  <c r="G32" i="31"/>
  <c r="B32" i="31"/>
  <c r="C32" i="31"/>
  <c r="E40" i="31"/>
  <c r="F40" i="31"/>
  <c r="B40" i="31"/>
  <c r="C40" i="31"/>
  <c r="D40" i="31"/>
  <c r="G40" i="31"/>
  <c r="G17" i="31"/>
  <c r="B17" i="31"/>
  <c r="C17" i="31"/>
  <c r="D17" i="31"/>
  <c r="E17" i="31"/>
  <c r="F17" i="31"/>
  <c r="G33" i="31"/>
  <c r="B33" i="31"/>
  <c r="C33" i="31"/>
  <c r="D33" i="31"/>
  <c r="E33" i="31"/>
  <c r="F33" i="31"/>
  <c r="B10" i="31"/>
  <c r="C10" i="31"/>
  <c r="D10" i="31"/>
  <c r="E10" i="31"/>
  <c r="F10" i="31"/>
  <c r="G10" i="31"/>
  <c r="E4" i="31"/>
  <c r="F4" i="31"/>
  <c r="G4" i="31"/>
  <c r="B4" i="31"/>
  <c r="C4" i="31"/>
  <c r="D4" i="31"/>
  <c r="E28" i="31"/>
  <c r="F28" i="31"/>
  <c r="B28" i="31"/>
  <c r="C28" i="31"/>
  <c r="D28" i="31"/>
  <c r="G28" i="31"/>
  <c r="E44" i="31"/>
  <c r="F44" i="31"/>
  <c r="B44" i="31"/>
  <c r="C44" i="31"/>
  <c r="D44" i="31"/>
  <c r="G44" i="31"/>
  <c r="G5" i="31"/>
  <c r="E5" i="31"/>
  <c r="F5" i="31"/>
  <c r="C5" i="31"/>
  <c r="B5" i="31"/>
  <c r="D5" i="31"/>
  <c r="G13" i="31"/>
  <c r="B13" i="31"/>
  <c r="C13" i="31"/>
  <c r="D13" i="31"/>
  <c r="E13" i="31"/>
  <c r="F13" i="31"/>
  <c r="G21" i="31"/>
  <c r="F21" i="31"/>
  <c r="B21" i="31"/>
  <c r="C21" i="31"/>
  <c r="D21" i="31"/>
  <c r="E21" i="31"/>
  <c r="G29" i="31"/>
  <c r="B29" i="31"/>
  <c r="C29" i="31"/>
  <c r="D29" i="31"/>
  <c r="E29" i="31"/>
  <c r="F29" i="31"/>
  <c r="G37" i="31"/>
  <c r="F37" i="31"/>
  <c r="B37" i="31"/>
  <c r="C37" i="31"/>
  <c r="D37" i="31"/>
  <c r="E37" i="31"/>
  <c r="G45" i="31"/>
  <c r="B45" i="31"/>
  <c r="C45" i="31"/>
  <c r="D45" i="31"/>
  <c r="E45" i="31"/>
  <c r="F45" i="31"/>
  <c r="C31" i="31"/>
  <c r="D31" i="31"/>
  <c r="B31" i="31"/>
  <c r="E31" i="31"/>
  <c r="F31" i="31"/>
  <c r="G31" i="31"/>
  <c r="E16" i="31"/>
  <c r="F16" i="31"/>
  <c r="G16" i="31"/>
  <c r="C16" i="31"/>
  <c r="D16" i="31"/>
  <c r="B16" i="31"/>
  <c r="G9" i="31"/>
  <c r="F9" i="31"/>
  <c r="B9" i="31"/>
  <c r="C9" i="31"/>
  <c r="D9" i="31"/>
  <c r="E9" i="31"/>
  <c r="G41" i="31"/>
  <c r="D41" i="31"/>
  <c r="E41" i="31"/>
  <c r="F41" i="31"/>
  <c r="B41" i="31"/>
  <c r="C41" i="31"/>
  <c r="B18" i="31"/>
  <c r="D18" i="31"/>
  <c r="E18" i="31"/>
  <c r="F18" i="31"/>
  <c r="G18" i="31"/>
  <c r="C18" i="31"/>
  <c r="E20" i="31"/>
  <c r="F20" i="31"/>
  <c r="B20" i="31"/>
  <c r="C20" i="31"/>
  <c r="D20" i="31"/>
  <c r="G20" i="31"/>
  <c r="E36" i="31"/>
  <c r="F36" i="31"/>
  <c r="B36" i="31"/>
  <c r="C36" i="31"/>
  <c r="D36" i="31"/>
  <c r="G36" i="31"/>
  <c r="B6" i="31"/>
  <c r="C6" i="31"/>
  <c r="D6" i="31"/>
  <c r="E6" i="31"/>
  <c r="F6" i="31"/>
  <c r="G6" i="31"/>
  <c r="B14" i="31"/>
  <c r="C14" i="31"/>
  <c r="D14" i="31"/>
  <c r="E14" i="31"/>
  <c r="F14" i="31"/>
  <c r="G14" i="31"/>
  <c r="B22" i="31"/>
  <c r="C22" i="31"/>
  <c r="D22" i="31"/>
  <c r="E22" i="31"/>
  <c r="F22" i="31"/>
  <c r="G22" i="31"/>
  <c r="B30" i="31"/>
  <c r="F30" i="31"/>
  <c r="G30" i="31"/>
  <c r="C30" i="31"/>
  <c r="D30" i="31"/>
  <c r="E30" i="31"/>
  <c r="B38" i="31"/>
  <c r="C38" i="31"/>
  <c r="D38" i="31"/>
  <c r="E38" i="31"/>
  <c r="F38" i="31"/>
  <c r="G38" i="31"/>
  <c r="B46" i="31"/>
  <c r="F46" i="31"/>
  <c r="G46" i="31"/>
  <c r="C46" i="31"/>
  <c r="D46" i="31"/>
  <c r="E46" i="31"/>
  <c r="B1" i="39" a="1"/>
  <c r="B1" i="39" s="1"/>
  <c r="B1" i="38" a="1"/>
  <c r="B1" i="38" s="1"/>
  <c r="B1" i="37" a="1"/>
  <c r="B1" i="37" s="1"/>
  <c r="H38" i="4"/>
  <c r="B1" i="36" a="1"/>
  <c r="B1" i="36" s="1"/>
  <c r="H37" i="4"/>
  <c r="H46" i="4"/>
  <c r="H45" i="4"/>
  <c r="H40" i="4"/>
  <c r="H48" i="4"/>
  <c r="H33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22" i="4" l="1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<sst xmlns="http://schemas.openxmlformats.org/spreadsheetml/2006/main" count="120" uniqueCount="105">
  <si>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</si>
  <si>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</si>
  <si>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</si>
  <si>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</si>
  <si>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</si>
  <si>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</si>
  <si>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</si>
  <si>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</si>
  <si>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</si>
  <si>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</si>
  <si>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</si>
  <si>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</si>
  <si>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</si>
  <si>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</si>
  <si>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</si>
  <si>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</si>
  <si>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</si>
  <si>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</si>
  <si>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</si>
  <si>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</si>
  <si>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</si>
  <si>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</si>
  <si>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</si>
  <si>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PDF Link</t>
  </si>
  <si>
    <t>No Data</t>
  </si>
  <si>
    <t>Annual Management Charge</t>
  </si>
  <si>
    <t>Emerging Market Debt</t>
  </si>
  <si>
    <t>Unclassified</t>
  </si>
  <si>
    <t>Canada</t>
  </si>
  <si>
    <t>Latin America</t>
  </si>
  <si>
    <t>Africa</t>
  </si>
  <si>
    <t>BlackRock Consensus 85 Fund</t>
  </si>
  <si>
    <t>BlackRock Consensus 100</t>
  </si>
  <si>
    <t>BlackRock Consensus 35</t>
  </si>
  <si>
    <t>BlackRock Consensus 60</t>
  </si>
  <si>
    <t>BlackRock Consensus 70</t>
  </si>
  <si>
    <t>BlackRock Pension Growth Fund</t>
  </si>
  <si>
    <t>PDF Name Match</t>
  </si>
  <si>
    <t>Website</t>
  </si>
  <si>
    <t>Dropdown</t>
  </si>
  <si>
    <t>https://www.blackrock.com/uk/individual/products/230044/blackrock-consensus-85-fund-i-accum-class-fund</t>
  </si>
  <si>
    <t>https://www.blackrock.com/uk/individual/products/230295/blackrock-consensus-100-fund-a-acc-fund</t>
  </si>
  <si>
    <t>https://www.blackrock.com/uk/individual/products/230297/blackrock-consensus-35-fund-a-acc-fund</t>
  </si>
  <si>
    <t>https://www.blackrock.com/uk/individual/products/230299/</t>
  </si>
  <si>
    <t>https://www.blackrock.com/uk/individual/products/230301/blackrock-consensus-70-fund-a-acc-fund</t>
  </si>
  <si>
    <t>https://www.blackrock.com/uk/individual/products/295873/blackrock-pension-growth-fund</t>
  </si>
  <si>
    <t>MyMap 3</t>
  </si>
  <si>
    <t>MyMap 4</t>
  </si>
  <si>
    <t>MyMap 5</t>
  </si>
  <si>
    <t>MyMap 6</t>
  </si>
  <si>
    <t>MyMap 3 Select ESG Fund</t>
  </si>
  <si>
    <t>MyMap 4 Select Income Fund</t>
  </si>
  <si>
    <t>MyMap 5 Select ESG Fund</t>
  </si>
  <si>
    <t>MyMap 7 Select ESG Fund</t>
  </si>
  <si>
    <t>https://www.blackrock.com/uk/individual/products/308786/mymap-3</t>
  </si>
  <si>
    <t>https://www.blackrock.com/uk/individual/products/308803/mymap-4</t>
  </si>
  <si>
    <t>https://www.blackrock.com/uk/individual/products/308808/mymap-5</t>
  </si>
  <si>
    <t>https://www.blackrock.com/uk/individual/products/308823/mymap-6</t>
  </si>
  <si>
    <t>https://www.blackrock.com/uk/individual/products/326258/mymap-3-select-esg-fund</t>
  </si>
  <si>
    <t>https://www.blackrock.com/uk/individual/products/308822/mymap-5-select-esg-fund</t>
  </si>
  <si>
    <t>https://www.blackrock.com/uk/individual/products/326256/</t>
  </si>
  <si>
    <t>https://www.blackrock.com/uk/individual/products/319696/mymap-4-select-income-fund</t>
  </si>
  <si>
    <t>Download the factsheet and save in file for records</t>
  </si>
  <si>
    <t>Ongoing Charges Figures</t>
  </si>
  <si>
    <t>Annual Management Fee</t>
  </si>
  <si>
    <t>1m</t>
  </si>
  <si>
    <t>1y</t>
  </si>
  <si>
    <t>Fixed Income (FI)</t>
  </si>
  <si>
    <t>Equity (EQ)</t>
  </si>
  <si>
    <t>Alternatives</t>
  </si>
  <si>
    <t>Cash and/or Derivatives</t>
  </si>
  <si>
    <t>North America</t>
  </si>
  <si>
    <t>Europe</t>
  </si>
  <si>
    <t>Asia Pacific</t>
  </si>
  <si>
    <t>World</t>
  </si>
  <si>
    <t>China</t>
  </si>
  <si>
    <t>Germany</t>
  </si>
  <si>
    <t>France</t>
  </si>
  <si>
    <t>Switzerland</t>
  </si>
  <si>
    <t>Australia</t>
  </si>
  <si>
    <t>Supranational</t>
  </si>
  <si>
    <t>Net Derivatives</t>
  </si>
  <si>
    <t>1 Year Performance</t>
  </si>
  <si>
    <t>3 Year Performance</t>
  </si>
  <si>
    <t>5 Year Performance</t>
  </si>
  <si>
    <t>High Yield</t>
  </si>
  <si>
    <t>3yr</t>
  </si>
  <si>
    <t>5yr</t>
  </si>
  <si>
    <t>Other Assets</t>
  </si>
  <si>
    <t>Other Regions</t>
  </si>
  <si>
    <t>Other Countries</t>
  </si>
  <si>
    <t>Netherlands</t>
  </si>
  <si>
    <t>Spain</t>
  </si>
  <si>
    <t>Ireland</t>
  </si>
  <si>
    <t>Taiwan</t>
  </si>
  <si>
    <t>India</t>
  </si>
  <si>
    <t>Denmark</t>
  </si>
  <si>
    <t>European Union</t>
  </si>
  <si>
    <t>Hong Kong</t>
  </si>
  <si>
    <t>Pacific Basin ex Japan</t>
  </si>
  <si>
    <t>Implied Cash (Lookthrough)</t>
  </si>
  <si>
    <t>Derivatives</t>
  </si>
  <si>
    <t>Luxembourg</t>
  </si>
  <si>
    <t>Hungary</t>
  </si>
  <si>
    <t>as of 31 Dec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</si>
</sst>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5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3</xdr:row>
      <xdr:rowOff>44450</xdr:rowOff>
    </xdr:from>
    <xdr:to>
      <xdr:col>7</xdr:col>
      <xdr:colOff>127435</xdr:colOff>
      <xdr:row>14</xdr:row>
      <xdr:rowOff>6579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CA3FA81-92CE-A17B-DE3F-EC09A677B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596900"/>
          <a:ext cx="4394634" cy="19877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152400</xdr:rowOff>
    </xdr:from>
    <xdr:to>
      <xdr:col>7</xdr:col>
      <xdr:colOff>22870</xdr:colOff>
      <xdr:row>31</xdr:row>
      <xdr:rowOff>31903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F7DA372-C9FE-6E89-2BAA-965D9095B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914650"/>
          <a:ext cx="4290070" cy="2825903"/>
        </a:xfrm>
        <a:prstGeom prst="rect">
          <a:avLst/>
        </a:prstGeom>
      </xdr:spPr>
    </xdr:pic>
    <xdr:clientData/>
  </xdr:twoCellAnchor>
  <xdr:twoCellAnchor editAs="oneCell">
    <xdr:from>
      <xdr:col>7</xdr:col>
      <xdr:colOff>170188</xdr:colOff>
      <xdr:row>1</xdr:row>
      <xdr:rowOff>63500</xdr:rowOff>
    </xdr:from>
    <xdr:to>
      <xdr:col>11</xdr:col>
      <xdr:colOff>412970</xdr:colOff>
      <xdr:row>12</xdr:row>
      <xdr:rowOff>82550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CAC9CC1-3041-D80E-61F6-94C678C745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437388" y="247650"/>
          <a:ext cx="2681182" cy="2044700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12</xdr:row>
      <xdr:rowOff>171450</xdr:rowOff>
    </xdr:from>
    <xdr:to>
      <xdr:col>12</xdr:col>
      <xdr:colOff>464528</xdr:colOff>
      <xdr:row>35</xdr:row>
      <xdr:rowOff>76432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2F4299-2C42-2DD1-242D-8E6852D16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9750" y="2381250"/>
          <a:ext cx="3429978" cy="4140432"/>
        </a:xfrm>
        <a:prstGeom prst="rect">
          <a:avLst/>
        </a:prstGeom>
      </xdr:spPr>
    </xdr:pic>
    <xdr:clientData/>
  </xdr:twoCellAnchor>
  <xdr:twoCellAnchor editAs="oneCell">
    <xdr:from>
      <xdr:col>12</xdr:col>
      <xdr:colOff>76200</xdr:colOff>
      <xdr:row>2</xdr:row>
      <xdr:rowOff>29897</xdr:rowOff>
    </xdr:from>
    <xdr:to>
      <xdr:col>18</xdr:col>
      <xdr:colOff>89239</xdr:colOff>
      <xdr:row>12</xdr:row>
      <xdr:rowOff>89075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7233859-437F-5A45-D79E-4B9BDB689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391400" y="398197"/>
          <a:ext cx="3670639" cy="190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topLeftCell="A4" workbookViewId="0">
      <selection activeCell="P16" sqref="P16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A3" s="9" t="s">
        <v>62</v>
      </c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16"/>
  <sheetViews>
    <sheetView workbookViewId="0">
      <selection activeCell="B17" sqref="B17"/>
    </sheetView>
  </sheetViews>
  <sheetFormatPr defaultRowHeight="15" x14ac:dyDescent="0.25"/>
  <cols>
    <col min="1" max="1" width="27.710937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45291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31</v>
      </c>
      <c r="B3" t="str">
        <f>'PDF Scraping'!B2</f>
        <v>https://www.blackrock.com/uk/individual/products/230044/blackrock-consensus-85-fund-i-accum-class-fund</v>
      </c>
      <c r="J3" s="4"/>
    </row>
    <row r="4" spans="1:10" x14ac:dyDescent="0.25">
      <c r="A4" t="s">
        <v>32</v>
      </c>
      <c r="B4" t="str">
        <f>'PDF Scraping'!B3</f>
        <v>https://www.blackrock.com/uk/individual/products/230295/blackrock-consensus-100-fund-a-acc-fund</v>
      </c>
      <c r="J4" s="4"/>
    </row>
    <row r="5" spans="1:10" x14ac:dyDescent="0.25">
      <c r="A5" t="s">
        <v>33</v>
      </c>
      <c r="B5" t="str">
        <f>'PDF Scraping'!B4</f>
        <v>https://www.blackrock.com/uk/individual/products/230297/blackrock-consensus-35-fund-a-acc-fund</v>
      </c>
    </row>
    <row r="6" spans="1:10" x14ac:dyDescent="0.25">
      <c r="A6" t="s">
        <v>34</v>
      </c>
      <c r="B6" t="str">
        <f>'PDF Scraping'!B5</f>
        <v>https://www.blackrock.com/uk/individual/products/230299/</v>
      </c>
    </row>
    <row r="7" spans="1:10" x14ac:dyDescent="0.25">
      <c r="A7" t="s">
        <v>35</v>
      </c>
      <c r="B7" t="str">
        <f>'PDF Scraping'!B6</f>
        <v>https://www.blackrock.com/uk/individual/products/230301/blackrock-consensus-70-fund-a-acc-fund</v>
      </c>
    </row>
    <row r="8" spans="1:10" x14ac:dyDescent="0.25">
      <c r="A8" t="s">
        <v>36</v>
      </c>
      <c r="B8" t="str">
        <f>'PDF Scraping'!B7</f>
        <v>https://www.blackrock.com/uk/individual/products/295873/blackrock-pension-growth-fund</v>
      </c>
    </row>
    <row r="9" spans="1:10" x14ac:dyDescent="0.25">
      <c r="A9" t="s">
        <v>46</v>
      </c>
      <c r="B9" t="str">
        <f>'PDF Scraping'!B8</f>
        <v>https://www.blackrock.com/uk/individual/products/308786/mymap-3</v>
      </c>
    </row>
    <row r="10" spans="1:10" x14ac:dyDescent="0.25">
      <c r="A10" t="s">
        <v>47</v>
      </c>
      <c r="B10" t="str">
        <f>'PDF Scraping'!B9</f>
        <v>https://www.blackrock.com/uk/individual/products/308803/mymap-4</v>
      </c>
    </row>
    <row r="11" spans="1:10" x14ac:dyDescent="0.25">
      <c r="A11" t="s">
        <v>48</v>
      </c>
      <c r="B11" t="str">
        <f>'PDF Scraping'!B10</f>
        <v>https://www.blackrock.com/uk/individual/products/308808/mymap-5</v>
      </c>
    </row>
    <row r="12" spans="1:10" x14ac:dyDescent="0.25">
      <c r="A12" t="s">
        <v>49</v>
      </c>
      <c r="B12" t="str">
        <f>'PDF Scraping'!B11</f>
        <v>https://www.blackrock.com/uk/individual/products/308823/mymap-6</v>
      </c>
    </row>
    <row r="13" spans="1:10" x14ac:dyDescent="0.25">
      <c r="A13" t="s">
        <v>50</v>
      </c>
      <c r="B13" t="str">
        <f>'PDF Scraping'!B12</f>
        <v>https://www.blackrock.com/uk/individual/products/326258/mymap-3-select-esg-fund</v>
      </c>
    </row>
    <row r="14" spans="1:10" x14ac:dyDescent="0.25">
      <c r="A14" t="s">
        <v>52</v>
      </c>
      <c r="B14" t="str">
        <f>'PDF Scraping'!B13</f>
        <v>https://www.blackrock.com/uk/individual/products/308822/mymap-5-select-esg-fund</v>
      </c>
    </row>
    <row r="15" spans="1:10" x14ac:dyDescent="0.25">
      <c r="A15" t="s">
        <v>53</v>
      </c>
      <c r="B15" t="str">
        <f>'PDF Scraping'!B14</f>
        <v>https://www.blackrock.com/uk/individual/products/326256/</v>
      </c>
    </row>
    <row r="16" spans="1:10" x14ac:dyDescent="0.25">
      <c r="A16" t="s">
        <v>51</v>
      </c>
      <c r="B16" t="str">
        <f>'PDF Scraping'!B15</f>
        <v>https://www.blackrock.com/uk/individual/products/319696/mymap-4-select-income-fund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H50"/>
  <sheetViews>
    <sheetView tabSelected="1" workbookViewId="0">
      <selection activeCell="I9" sqref="I9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8" x14ac:dyDescent="0.25">
      <c r="B1" t="s">
        <v>22</v>
      </c>
      <c r="C1" t="s">
        <v>63</v>
      </c>
      <c r="D1" t="s">
        <v>64</v>
      </c>
      <c r="E1" t="s">
        <v>65</v>
      </c>
      <c r="F1" t="s">
        <v>66</v>
      </c>
      <c r="G1" t="s">
        <v>86</v>
      </c>
      <c r="H1" t="s">
        <v>87</v>
      </c>
    </row>
    <row r="2" spans="1:8" x14ac:dyDescent="0.25">
      <c r="A2" t="str">
        <f>IF(Input!A3="","",Input!A3)</f>
        <v>BlackRock Consensus 85 Fund</v>
      </c>
      <c r="B2" s="1">
        <v>45291</v>
      </c>
      <c r="C2" s="5">
        <v>2.2000000000000001E-3</v>
      </c>
      <c r="D2" s="5">
        <v>0</v>
      </c>
      <c r="E2" s="5">
        <v>4.0300000000000002E-2</v>
      </c>
      <c r="F2" s="5">
        <v>0.10920000000000001</v>
      </c>
      <c r="G2" s="5">
        <v>0.15670000000000001</v>
      </c>
      <c r="H2" s="5">
        <v>0.40100000000000002</v>
      </c>
    </row>
    <row r="3" spans="1:8" x14ac:dyDescent="0.25">
      <c r="A3" t="str">
        <f>IF(Input!A4="","",Input!A4)</f>
        <v>BlackRock Consensus 100</v>
      </c>
      <c r="B3" s="1">
        <v>45291</v>
      </c>
      <c r="C3" s="5">
        <v>6.1999999999999998E-3</v>
      </c>
      <c r="D3" s="5">
        <v>0</v>
      </c>
      <c r="E3" s="5">
        <v>4.3499999999999997E-2</v>
      </c>
      <c r="F3" s="5">
        <v>0.14829999999999999</v>
      </c>
      <c r="G3" s="5">
        <v>0.27699999999999997</v>
      </c>
      <c r="H3" s="5">
        <v>0.69510000000000005</v>
      </c>
    </row>
    <row r="4" spans="1:8" x14ac:dyDescent="0.25">
      <c r="A4" t="str">
        <f>IF(Input!A5="","",Input!A5)</f>
        <v>BlackRock Consensus 35</v>
      </c>
      <c r="B4" s="1">
        <v>45291</v>
      </c>
      <c r="C4" s="5">
        <v>6.1999999999999998E-3</v>
      </c>
      <c r="D4" s="5">
        <v>0</v>
      </c>
      <c r="E4" s="5">
        <v>3.6000000000000004E-2</v>
      </c>
      <c r="F4" s="5">
        <v>6.8000000000000005E-2</v>
      </c>
      <c r="G4" s="5">
        <v>4.53E-2</v>
      </c>
      <c r="H4" s="5">
        <v>9.6099999999999991E-2</v>
      </c>
    </row>
    <row r="5" spans="1:8" x14ac:dyDescent="0.25">
      <c r="A5" t="str">
        <f>IF(Input!A6="","",Input!A6)</f>
        <v>BlackRock Consensus 60</v>
      </c>
      <c r="B5" s="1">
        <v>45291</v>
      </c>
      <c r="C5" s="5">
        <v>6.1999999999999998E-3</v>
      </c>
      <c r="D5" s="5">
        <v>0</v>
      </c>
      <c r="E5" s="5">
        <v>3.8300000000000001E-2</v>
      </c>
      <c r="F5" s="5">
        <v>8.0199999999999994E-2</v>
      </c>
      <c r="G5" s="5">
        <v>3.56E-2</v>
      </c>
      <c r="H5" s="5">
        <v>0.19949999999999998</v>
      </c>
    </row>
    <row r="6" spans="1:8" x14ac:dyDescent="0.25">
      <c r="A6" t="str">
        <f>IF(Input!A7="","",Input!A7)</f>
        <v>BlackRock Consensus 70</v>
      </c>
      <c r="B6" s="1">
        <v>45291</v>
      </c>
      <c r="C6" s="5">
        <v>6.1999999999999998E-3</v>
      </c>
      <c r="D6" s="5">
        <v>0</v>
      </c>
      <c r="E6" s="5">
        <v>3.9E-2</v>
      </c>
      <c r="F6" s="5">
        <v>8.9700000000000002E-2</v>
      </c>
      <c r="G6" s="5">
        <v>7.8399999999999997E-2</v>
      </c>
      <c r="H6" s="5">
        <v>0.2697</v>
      </c>
    </row>
    <row r="7" spans="1:8" x14ac:dyDescent="0.25">
      <c r="A7" t="str">
        <f>IF(Input!A8="","",Input!A8)</f>
        <v>BlackRock Pension Growth Fund</v>
      </c>
      <c r="B7" s="1" t="s">
        <v>104</v>
      </c>
      <c r="C7" s="5">
        <v>2.0000000000000001E-4</v>
      </c>
      <c r="D7" s="5">
        <v>0</v>
      </c>
      <c r="E7" s="5">
        <v>4.1399999999999999E-2</v>
      </c>
      <c r="F7" s="5">
        <v>0.12380000000000001</v>
      </c>
      <c r="G7" s="5">
        <v>0.12939999999999999</v>
      </c>
      <c r="H7" s="5">
        <v>0.4642</v>
      </c>
    </row>
    <row r="8" spans="1:8" x14ac:dyDescent="0.25">
      <c r="A8" t="str">
        <f>IF(Input!A9="","",Input!A9)</f>
        <v>MyMap 3</v>
      </c>
      <c r="B8" s="1" t="s">
        <v>104</v>
      </c>
      <c r="C8" s="5">
        <v>1.7000000000000001E-3</v>
      </c>
      <c r="D8" s="5">
        <v>1.1999999999999999E-3</v>
      </c>
      <c r="E8" s="5">
        <v>2.9900000000000003E-2</v>
      </c>
      <c r="F8" s="5">
        <v>6.3899999999999998E-2</v>
      </c>
      <c r="G8" s="5">
        <v>1.95E-2</v>
      </c>
    </row>
    <row r="9" spans="1:8" x14ac:dyDescent="0.25">
      <c r="A9" t="str">
        <f>IF(Input!A10="","",Input!A10)</f>
        <v>MyMap 4</v>
      </c>
      <c r="B9" s="1" t="s">
        <v>104</v>
      </c>
      <c r="C9" s="5">
        <v>1.7000000000000001E-3</v>
      </c>
      <c r="D9" s="5">
        <v>1.1999999999999999E-3</v>
      </c>
      <c r="E9" s="5">
        <v>3.6900000000000002E-2</v>
      </c>
      <c r="F9" s="5">
        <v>9.2399999999999996E-2</v>
      </c>
      <c r="G9" s="5">
        <v>3.8399999999999997E-2</v>
      </c>
    </row>
    <row r="10" spans="1:8" x14ac:dyDescent="0.25">
      <c r="A10" t="str">
        <f>IF(Input!A11="","",Input!A11)</f>
        <v>MyMap 5</v>
      </c>
      <c r="B10" s="1" t="s">
        <v>104</v>
      </c>
      <c r="C10" s="5">
        <v>1.7000000000000001E-3</v>
      </c>
      <c r="D10" s="5">
        <v>1.1999999999999999E-3</v>
      </c>
      <c r="E10" s="5">
        <v>4.0899999999999999E-2</v>
      </c>
      <c r="F10" s="5">
        <v>0.1134</v>
      </c>
      <c r="G10" s="5">
        <v>9.5199999999999993E-2</v>
      </c>
    </row>
    <row r="11" spans="1:8" x14ac:dyDescent="0.25">
      <c r="A11" t="str">
        <f>IF(Input!A12="","",Input!A12)</f>
        <v>MyMap 6</v>
      </c>
      <c r="B11" s="1" t="s">
        <v>104</v>
      </c>
      <c r="C11" s="5">
        <v>1.7000000000000001E-3</v>
      </c>
      <c r="D11" s="5">
        <v>1.1999999999999999E-3</v>
      </c>
      <c r="E11" s="5">
        <v>4.3799999999999999E-2</v>
      </c>
      <c r="F11" s="5">
        <v>0.1263</v>
      </c>
      <c r="G11" s="5">
        <v>0.1371</v>
      </c>
    </row>
    <row r="12" spans="1:8" x14ac:dyDescent="0.25">
      <c r="A12" t="str">
        <f>IF(Input!A13="","",Input!A13)</f>
        <v>MyMap 3 Select ESG Fund</v>
      </c>
      <c r="B12" s="1" t="s">
        <v>104</v>
      </c>
      <c r="C12" s="5">
        <v>1.7000000000000001E-3</v>
      </c>
      <c r="D12" s="5">
        <v>1.1999999999999999E-3</v>
      </c>
      <c r="E12" s="5">
        <v>3.2000000000000001E-2</v>
      </c>
      <c r="F12" s="5">
        <v>6.5500000000000003E-2</v>
      </c>
    </row>
    <row r="13" spans="1:8" x14ac:dyDescent="0.25">
      <c r="A13" t="str">
        <f>IF(Input!A14="","",Input!A14)</f>
        <v>MyMap 5 Select ESG Fund</v>
      </c>
      <c r="B13" s="1" t="s">
        <v>104</v>
      </c>
      <c r="C13" s="5">
        <v>1.7000000000000001E-3</v>
      </c>
      <c r="D13" s="5">
        <v>1.1999999999999999E-3</v>
      </c>
      <c r="E13" s="5">
        <v>4.4699999999999997E-2</v>
      </c>
      <c r="F13" s="5">
        <v>0.12330000000000001</v>
      </c>
      <c r="G13" s="5">
        <v>0.10060000000000001</v>
      </c>
    </row>
    <row r="14" spans="1:8" x14ac:dyDescent="0.25">
      <c r="A14" t="str">
        <f>IF(Input!A15="","",Input!A15)</f>
        <v>MyMap 7 Select ESG Fund</v>
      </c>
      <c r="B14" s="1" t="s">
        <v>104</v>
      </c>
      <c r="C14" s="5">
        <v>1.7000000000000001E-3</v>
      </c>
      <c r="D14" s="5">
        <v>1.1999999999999999E-3</v>
      </c>
      <c r="E14" s="5">
        <v>4.9599999999999998E-2</v>
      </c>
      <c r="F14" s="5">
        <v>0.15609999999999999</v>
      </c>
    </row>
    <row r="15" spans="1:8" x14ac:dyDescent="0.25">
      <c r="A15" t="str">
        <f>IF(Input!A16="","",Input!A16)</f>
        <v>MyMap 4 Select Income Fund</v>
      </c>
      <c r="B15" s="1" t="s">
        <v>104</v>
      </c>
      <c r="C15" s="5">
        <v>2.8000000000000004E-3</v>
      </c>
      <c r="D15" s="5">
        <v>2.3E-3</v>
      </c>
      <c r="E15" s="5">
        <v>3.5000000000000003E-2</v>
      </c>
      <c r="F15" s="5">
        <v>8.72E-2</v>
      </c>
    </row>
    <row r="16" spans="1:8" x14ac:dyDescent="0.25">
      <c r="A16" t="str">
        <f>IF(Input!A17="","",Input!A17)</f>
        <v/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/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/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/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/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/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/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/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/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/>
      </c>
      <c r="B25" s="7"/>
      <c r="C25" s="5"/>
    </row>
    <row r="26" spans="1:6" x14ac:dyDescent="0.25">
      <c r="A26" t="str">
        <f>IF(Input!A27="","",Input!A27)</f>
        <v/>
      </c>
      <c r="B26" s="7"/>
      <c r="C26" s="5"/>
    </row>
    <row r="27" spans="1:6" x14ac:dyDescent="0.25">
      <c r="A27" t="str">
        <f>IF(Input!A28="","",Input!A28)</f>
        <v/>
      </c>
      <c r="B27" s="7"/>
      <c r="C27" s="5"/>
    </row>
    <row r="28" spans="1:6" x14ac:dyDescent="0.25">
      <c r="A28" t="str">
        <f>IF(Input!A29="","",Input!A29)</f>
        <v/>
      </c>
      <c r="B28" s="7"/>
      <c r="C28" s="5"/>
    </row>
    <row r="29" spans="1:6" x14ac:dyDescent="0.25">
      <c r="A29" t="str">
        <f>IF(Input!A30="","",Input!A30)</f>
        <v/>
      </c>
      <c r="B29" s="7"/>
      <c r="C29" s="5"/>
    </row>
    <row r="30" spans="1:6" x14ac:dyDescent="0.25">
      <c r="A30" t="str">
        <f>IF(Input!A31="","",Input!A31)</f>
        <v/>
      </c>
      <c r="B30" s="7"/>
      <c r="C30" s="5"/>
    </row>
    <row r="31" spans="1:6" x14ac:dyDescent="0.25">
      <c r="A31" t="str">
        <f>IF(Input!A32="","",Input!A32)</f>
        <v/>
      </c>
      <c r="B31" s="7"/>
      <c r="C31" s="5"/>
    </row>
    <row r="32" spans="1:6" x14ac:dyDescent="0.25">
      <c r="A32" t="str">
        <f>IF(Input!A33="","",Input!A33)</f>
        <v/>
      </c>
      <c r="B32" s="7"/>
      <c r="C32" s="5"/>
    </row>
    <row r="33" spans="1:3" x14ac:dyDescent="0.25">
      <c r="A33" t="str">
        <f>IF(Input!A34="","",Input!A34)</f>
        <v/>
      </c>
      <c r="B33" s="7"/>
      <c r="C33" s="5"/>
    </row>
    <row r="34" spans="1:3" x14ac:dyDescent="0.25">
      <c r="A34" t="str">
        <f>IF(Input!A35="","",Input!A35)</f>
        <v/>
      </c>
      <c r="B34" s="7"/>
      <c r="C34" s="5"/>
    </row>
    <row r="35" spans="1:3" x14ac:dyDescent="0.25">
      <c r="A35" t="str">
        <f>IF(Input!A36="","",Input!A36)</f>
        <v/>
      </c>
    </row>
    <row r="36" spans="1:3" x14ac:dyDescent="0.25">
      <c r="A36" t="str">
        <f>IF(Input!A37="","",Input!A37)</f>
        <v/>
      </c>
    </row>
    <row r="37" spans="1:3" x14ac:dyDescent="0.25">
      <c r="A37" t="str">
        <f>IF(Input!A38="","",Input!A38)</f>
        <v/>
      </c>
    </row>
    <row r="38" spans="1:3" x14ac:dyDescent="0.25">
      <c r="A38" t="str">
        <f>IF(Input!A39="","",Input!A39)</f>
        <v/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N50"/>
  <sheetViews>
    <sheetView topLeftCell="M1" workbookViewId="0">
      <selection activeCell="Y8" sqref="Y8"/>
    </sheetView>
  </sheetViews>
  <sheetFormatPr defaultRowHeight="15" x14ac:dyDescent="0.25"/>
  <cols>
    <col min="1" max="1" width="27.7109375" bestFit="1" customWidth="1"/>
    <col min="2" max="2" width="15.140625" bestFit="1" customWidth="1"/>
    <col min="3" max="3" width="10.140625" bestFit="1" customWidth="1"/>
    <col min="4" max="4" width="10.7109375" bestFit="1" customWidth="1"/>
    <col min="5" max="5" width="11.42578125" bestFit="1" customWidth="1"/>
    <col min="6" max="6" width="20.85546875" bestFit="1" customWidth="1"/>
    <col min="7" max="7" width="13" bestFit="1" customWidth="1"/>
    <col min="8" max="8" width="7.140625" bestFit="1" customWidth="1"/>
    <col min="9" max="9" width="9.85546875" bestFit="1" customWidth="1"/>
    <col min="10" max="10" width="12.140625" bestFit="1" customWidth="1"/>
    <col min="11" max="11" width="6" bestFit="1" customWidth="1"/>
    <col min="12" max="12" width="6.140625" bestFit="1" customWidth="1"/>
    <col min="13" max="13" width="12.5703125" bestFit="1" customWidth="1"/>
    <col min="14" max="14" width="11.85546875" bestFit="1" customWidth="1"/>
    <col min="15" max="15" width="14.140625" bestFit="1" customWidth="1"/>
    <col min="16" max="17" width="6.140625" bestFit="1" customWidth="1"/>
    <col min="18" max="18" width="8.42578125" bestFit="1" customWidth="1"/>
    <col min="19" max="19" width="6.42578125" bestFit="1" customWidth="1"/>
    <col min="20" max="20" width="7.140625" bestFit="1" customWidth="1"/>
    <col min="21" max="21" width="10.42578125" bestFit="1" customWidth="1"/>
    <col min="22" max="22" width="8.140625" bestFit="1" customWidth="1"/>
    <col min="23" max="23" width="12.42578125" bestFit="1" customWidth="1"/>
    <col min="24" max="24" width="13.42578125" bestFit="1" customWidth="1"/>
    <col min="25" max="25" width="6.140625" bestFit="1" customWidth="1"/>
    <col min="26" max="26" width="14.140625" bestFit="1" customWidth="1"/>
    <col min="27" max="27" width="11" bestFit="1" customWidth="1"/>
    <col min="28" max="28" width="5.42578125" bestFit="1" customWidth="1"/>
    <col min="29" max="29" width="7.140625" bestFit="1" customWidth="1"/>
    <col min="30" max="30" width="6.85546875" bestFit="1" customWidth="1"/>
    <col min="31" max="31" width="6.140625" bestFit="1" customWidth="1"/>
    <col min="32" max="32" width="8.42578125" bestFit="1" customWidth="1"/>
    <col min="33" max="33" width="14.42578125" bestFit="1" customWidth="1"/>
    <col min="34" max="34" width="9.7109375" bestFit="1" customWidth="1"/>
    <col min="35" max="35" width="15.85546875" bestFit="1" customWidth="1"/>
    <col min="36" max="36" width="18.7109375" bestFit="1" customWidth="1"/>
    <col min="37" max="37" width="24.140625" bestFit="1" customWidth="1"/>
    <col min="38" max="38" width="10" bestFit="1" customWidth="1"/>
  </cols>
  <sheetData>
    <row r="1" spans="1:40" x14ac:dyDescent="0.25">
      <c r="B1" t="s">
        <v>67</v>
      </c>
      <c r="C1" t="s">
        <v>68</v>
      </c>
      <c r="D1" t="s">
        <v>69</v>
      </c>
      <c r="E1" t="s">
        <v>88</v>
      </c>
      <c r="F1" t="s">
        <v>70</v>
      </c>
      <c r="G1" t="s">
        <v>71</v>
      </c>
      <c r="H1" t="s">
        <v>72</v>
      </c>
      <c r="I1" t="s">
        <v>73</v>
      </c>
      <c r="J1" t="s">
        <v>29</v>
      </c>
      <c r="K1" t="s">
        <v>74</v>
      </c>
      <c r="L1" t="s">
        <v>30</v>
      </c>
      <c r="M1" t="s">
        <v>89</v>
      </c>
      <c r="N1" t="s">
        <v>7</v>
      </c>
      <c r="O1" t="s">
        <v>8</v>
      </c>
      <c r="P1" t="s">
        <v>5</v>
      </c>
      <c r="Q1" s="8" t="s">
        <v>75</v>
      </c>
      <c r="R1" t="s">
        <v>76</v>
      </c>
      <c r="S1" t="s">
        <v>77</v>
      </c>
      <c r="T1" t="s">
        <v>28</v>
      </c>
      <c r="U1" t="s">
        <v>78</v>
      </c>
      <c r="V1" t="s">
        <v>79</v>
      </c>
      <c r="W1" t="s">
        <v>80</v>
      </c>
      <c r="X1" t="s">
        <v>81</v>
      </c>
      <c r="Y1" t="s">
        <v>4</v>
      </c>
      <c r="Z1" t="s">
        <v>90</v>
      </c>
      <c r="AA1" t="s">
        <v>91</v>
      </c>
      <c r="AB1" t="s">
        <v>92</v>
      </c>
      <c r="AC1" t="s">
        <v>93</v>
      </c>
      <c r="AD1" t="s">
        <v>94</v>
      </c>
      <c r="AE1" t="s">
        <v>95</v>
      </c>
      <c r="AF1" t="s">
        <v>96</v>
      </c>
      <c r="AG1" t="s">
        <v>97</v>
      </c>
      <c r="AH1" t="s">
        <v>98</v>
      </c>
      <c r="AI1" t="s">
        <v>9</v>
      </c>
      <c r="AJ1" t="s">
        <v>99</v>
      </c>
      <c r="AK1" t="s">
        <v>100</v>
      </c>
      <c r="AL1" t="s">
        <v>101</v>
      </c>
      <c r="AM1" t="s">
        <v>102</v>
      </c>
      <c r="AN1" t="s">
        <v>103</v>
      </c>
    </row>
    <row r="2" spans="1:40" x14ac:dyDescent="0.25">
      <c r="A2" t="str">
        <f>IF(Input!A3="","",Input!A3)</f>
        <v>BlackRock Consensus 85 Fund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40" x14ac:dyDescent="0.25">
      <c r="A3" t="str">
        <f>IF(Input!A4="","",Input!A4)</f>
        <v>BlackRock Consensus 100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40" x14ac:dyDescent="0.25">
      <c r="A4" t="str">
        <f>IF(Input!A5="","",Input!A5)</f>
        <v>BlackRock Consensus 35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40" x14ac:dyDescent="0.25">
      <c r="A5" t="str">
        <f>IF(Input!A6="","",Input!A6)</f>
        <v>BlackRock Consensus 60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40" x14ac:dyDescent="0.25">
      <c r="A6" t="str">
        <f>IF(Input!A7="","",Input!A7)</f>
        <v>BlackRock Consensus 70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40" x14ac:dyDescent="0.25">
      <c r="A7" t="str">
        <f>IF(Input!A8="","",Input!A8)</f>
        <v>BlackRock Pension Growth Fund</v>
      </c>
      <c r="B7" s="5">
        <v>0.33909999999999996</v>
      </c>
      <c r="C7" s="5">
        <v>0.64139999999999997</v>
      </c>
      <c r="D7" s="5">
        <v>5.9999999999999995E-4</v>
      </c>
      <c r="E7" s="5">
        <v>1.6000000000000001E-3</v>
      </c>
      <c r="F7" s="5"/>
      <c r="G7" s="5">
        <v>0.39740000000000003</v>
      </c>
      <c r="H7" s="5">
        <v>0.13019999999999998</v>
      </c>
      <c r="I7" s="5"/>
      <c r="J7" s="5"/>
      <c r="K7" s="5">
        <v>1E-4</v>
      </c>
      <c r="L7" s="5"/>
      <c r="M7" s="5">
        <v>1E-4</v>
      </c>
      <c r="N7" s="5"/>
      <c r="O7" s="5">
        <v>0.28989999999999999</v>
      </c>
      <c r="P7" s="5">
        <v>6.6600000000000006E-2</v>
      </c>
      <c r="Q7" s="5"/>
      <c r="R7" s="5"/>
      <c r="S7" s="5"/>
      <c r="T7" s="5"/>
      <c r="Y7" s="5">
        <v>1.7399999999999999E-2</v>
      </c>
      <c r="AD7" s="5"/>
      <c r="AI7" s="5">
        <v>8.8699999999999987E-2</v>
      </c>
      <c r="AJ7" s="5">
        <v>9.7000000000000003E-3</v>
      </c>
      <c r="AK7" s="5">
        <v>0</v>
      </c>
    </row>
    <row r="8" spans="1:40" x14ac:dyDescent="0.25">
      <c r="A8" t="str">
        <f>IF(Input!A9="","",Input!A9)</f>
        <v>MyMap 3</v>
      </c>
      <c r="B8" s="5">
        <v>0.73840000000000006</v>
      </c>
      <c r="C8" s="5">
        <v>0.21329999999999999</v>
      </c>
      <c r="D8" s="5">
        <v>2.76E-2</v>
      </c>
      <c r="E8" s="5"/>
      <c r="F8" s="5">
        <v>2.07E-2</v>
      </c>
      <c r="G8" s="5">
        <v>0.4894</v>
      </c>
      <c r="H8" s="5">
        <v>0.3947</v>
      </c>
      <c r="I8" s="5">
        <v>7.2400000000000006E-2</v>
      </c>
      <c r="J8" s="5">
        <v>1.0700000000000001E-2</v>
      </c>
      <c r="K8" s="5">
        <v>2.86E-2</v>
      </c>
      <c r="L8" s="5">
        <v>4.0999999999999995E-3</v>
      </c>
      <c r="M8" s="5">
        <v>1E-4</v>
      </c>
      <c r="N8" s="5">
        <v>3.1899999999999998E-2</v>
      </c>
      <c r="O8" s="5">
        <v>0.72959999999999992</v>
      </c>
      <c r="P8" s="5">
        <v>2.1000000000000001E-2</v>
      </c>
      <c r="Q8" s="5">
        <v>2.7200000000000002E-2</v>
      </c>
      <c r="R8" s="5">
        <v>2.81E-2</v>
      </c>
      <c r="S8" s="5">
        <v>1.1299999999999999E-2</v>
      </c>
      <c r="T8" s="5">
        <v>3.3599999999999998E-2</v>
      </c>
      <c r="V8" s="5">
        <v>1.21E-2</v>
      </c>
      <c r="W8" s="5">
        <v>2.6800000000000001E-2</v>
      </c>
      <c r="X8" s="5">
        <v>-2.9500000000000002E-2</v>
      </c>
      <c r="Y8" s="5">
        <v>3.2300000000000002E-2</v>
      </c>
      <c r="Z8" s="5">
        <v>8.48E-2</v>
      </c>
      <c r="AG8" s="5">
        <v>-9.8999999999999991E-3</v>
      </c>
      <c r="AL8" s="5"/>
    </row>
    <row r="9" spans="1:40" x14ac:dyDescent="0.25">
      <c r="A9" t="str">
        <f>IF(Input!A10="","",Input!A10)</f>
        <v>MyMap 4</v>
      </c>
      <c r="B9" s="5">
        <v>0.48</v>
      </c>
      <c r="C9" s="5">
        <v>0.4718</v>
      </c>
      <c r="D9" s="5">
        <v>2.9300000000000003E-2</v>
      </c>
      <c r="E9" s="5"/>
      <c r="F9" s="5">
        <v>1.89E-2</v>
      </c>
      <c r="G9" s="5">
        <v>0.52780000000000005</v>
      </c>
      <c r="H9" s="5">
        <v>0.30969999999999998</v>
      </c>
      <c r="I9" s="5">
        <v>0.11470000000000001</v>
      </c>
      <c r="J9" s="5">
        <v>2.2799999999999997E-2</v>
      </c>
      <c r="K9" s="5">
        <v>1.66E-2</v>
      </c>
      <c r="L9" s="5">
        <v>8.199999999999999E-3</v>
      </c>
      <c r="M9" s="5">
        <v>2.0000000000000001E-4</v>
      </c>
      <c r="N9" s="5">
        <v>-0.26500000000000001</v>
      </c>
      <c r="O9" s="5">
        <v>0.96829999999999994</v>
      </c>
      <c r="P9" s="5">
        <v>3.7499999999999999E-2</v>
      </c>
      <c r="Q9" s="5"/>
      <c r="R9" s="5"/>
      <c r="S9" s="5"/>
      <c r="T9" s="5"/>
      <c r="U9" s="5"/>
      <c r="V9" s="5"/>
      <c r="Y9" s="5"/>
      <c r="Z9" s="5">
        <v>1.2999999999999999E-3</v>
      </c>
      <c r="AC9" s="5">
        <v>0.25230000000000002</v>
      </c>
      <c r="AG9" s="5">
        <v>-2.63E-2</v>
      </c>
      <c r="AL9" s="5"/>
      <c r="AM9" s="5">
        <v>3.1899999999999998E-2</v>
      </c>
    </row>
    <row r="10" spans="1:40" x14ac:dyDescent="0.25">
      <c r="A10" t="str">
        <f>IF(Input!A11="","",Input!A11)</f>
        <v>MyMap 5</v>
      </c>
      <c r="B10" s="5">
        <v>0.29399999999999998</v>
      </c>
      <c r="C10" s="5">
        <v>0.66</v>
      </c>
      <c r="D10" s="5">
        <v>2.9300000000000003E-2</v>
      </c>
      <c r="E10" s="5"/>
      <c r="F10" s="5">
        <v>1.67E-2</v>
      </c>
      <c r="G10" s="5">
        <v>0.45619999999999999</v>
      </c>
      <c r="H10" s="5">
        <v>0.39</v>
      </c>
      <c r="I10" s="5">
        <v>0.12119999999999999</v>
      </c>
      <c r="J10" s="5">
        <v>1.6299999999999999E-2</v>
      </c>
      <c r="K10" s="5">
        <v>9.5999999999999992E-3</v>
      </c>
      <c r="L10" s="5">
        <v>6.6E-3</v>
      </c>
      <c r="M10" s="5">
        <v>1E-4</v>
      </c>
      <c r="N10" s="5">
        <v>-0.254</v>
      </c>
      <c r="O10" s="5">
        <v>0.87</v>
      </c>
      <c r="P10" s="5"/>
      <c r="Q10" s="5"/>
      <c r="R10" s="5"/>
      <c r="S10" s="5"/>
      <c r="T10" s="5"/>
      <c r="U10" s="5"/>
      <c r="V10" s="5"/>
      <c r="Y10" s="5"/>
      <c r="Z10" s="5">
        <v>3.4000000000000002E-3</v>
      </c>
      <c r="AA10" s="5"/>
      <c r="AC10" s="5">
        <v>0.39979999999999999</v>
      </c>
      <c r="AG10" s="5">
        <v>-3.6299999999999999E-2</v>
      </c>
      <c r="AK10" s="5">
        <v>0</v>
      </c>
      <c r="AL10" s="5"/>
      <c r="AM10" s="5">
        <v>1.7000000000000001E-2</v>
      </c>
    </row>
    <row r="11" spans="1:40" x14ac:dyDescent="0.25">
      <c r="A11" t="str">
        <f>IF(Input!A12="","",Input!A12)</f>
        <v>MyMap 6</v>
      </c>
      <c r="B11" s="5">
        <v>7.6700000000000004E-2</v>
      </c>
      <c r="C11" s="5">
        <v>0.86819999999999997</v>
      </c>
      <c r="D11" s="5">
        <v>4.2000000000000003E-2</v>
      </c>
      <c r="E11" s="5"/>
      <c r="F11" s="5">
        <v>1.3100000000000001E-2</v>
      </c>
      <c r="G11" s="5">
        <v>0.4294</v>
      </c>
      <c r="H11" s="5">
        <v>0.4118</v>
      </c>
      <c r="I11" s="5">
        <v>0.14269999999999999</v>
      </c>
      <c r="J11" s="5">
        <v>8.199999999999999E-3</v>
      </c>
      <c r="K11" s="5">
        <v>4.0000000000000001E-3</v>
      </c>
      <c r="L11" s="5">
        <v>3.8E-3</v>
      </c>
      <c r="M11" s="5">
        <v>0</v>
      </c>
      <c r="N11" s="5">
        <v>0.16200000000000001</v>
      </c>
      <c r="O11" s="5">
        <v>0.60319999999999996</v>
      </c>
      <c r="P11" s="5">
        <v>5.9200000000000003E-2</v>
      </c>
      <c r="Q11" s="5">
        <v>2.2499999999999999E-2</v>
      </c>
      <c r="R11" s="5">
        <v>2.1000000000000001E-2</v>
      </c>
      <c r="S11" s="5">
        <v>2.8500000000000001E-2</v>
      </c>
      <c r="T11" s="5"/>
      <c r="U11" s="5">
        <v>1.41E-2</v>
      </c>
      <c r="V11" s="5">
        <v>1.8200000000000001E-2</v>
      </c>
      <c r="X11" s="5">
        <v>-4.7800000000000002E-2</v>
      </c>
      <c r="Y11" s="5">
        <v>4.9000000000000002E-2</v>
      </c>
      <c r="Z11" s="5">
        <v>7.8799999999999995E-2</v>
      </c>
      <c r="AA11" s="5">
        <v>1.2800000000000001E-2</v>
      </c>
      <c r="AD11" s="5">
        <v>1.09E-2</v>
      </c>
      <c r="AE11" s="5">
        <v>1.04E-2</v>
      </c>
      <c r="AG11" s="5">
        <v>-4.2699999999999995E-2</v>
      </c>
      <c r="AL11" s="5"/>
    </row>
    <row r="12" spans="1:40" x14ac:dyDescent="0.25">
      <c r="A12" t="str">
        <f>IF(Input!A13="","",Input!A13)</f>
        <v>MyMap 3 Select ESG Fund</v>
      </c>
      <c r="B12" s="5">
        <v>0.73919999999999997</v>
      </c>
      <c r="C12" s="5">
        <v>0.2407</v>
      </c>
      <c r="D12" s="5"/>
      <c r="E12" s="5"/>
      <c r="F12" s="5">
        <v>2.0099999999999996E-2</v>
      </c>
      <c r="G12" s="5">
        <v>0.49880000000000002</v>
      </c>
      <c r="H12" s="5">
        <v>0.38819999999999999</v>
      </c>
      <c r="I12" s="5">
        <v>7.2999999999999995E-2</v>
      </c>
      <c r="J12" s="5">
        <v>8.6E-3</v>
      </c>
      <c r="K12" s="5">
        <v>2.8199999999999999E-2</v>
      </c>
      <c r="L12" s="5">
        <v>3.0000000000000001E-3</v>
      </c>
      <c r="M12" s="5">
        <v>0</v>
      </c>
      <c r="N12" s="5">
        <v>2.5600000000000001E-2</v>
      </c>
      <c r="O12" s="5">
        <v>0.73809999999999998</v>
      </c>
      <c r="P12" s="5">
        <v>1.8799999999999997E-2</v>
      </c>
      <c r="Q12" s="5">
        <v>2.8500000000000001E-2</v>
      </c>
      <c r="R12" s="5">
        <v>2.87E-2</v>
      </c>
      <c r="S12" s="5">
        <v>1.04E-2</v>
      </c>
      <c r="T12" s="5">
        <v>3.4200000000000001E-2</v>
      </c>
      <c r="V12" s="5">
        <v>1.2E-2</v>
      </c>
      <c r="W12" s="5">
        <v>2.75E-2</v>
      </c>
      <c r="X12" s="5">
        <v>-2.3E-3</v>
      </c>
      <c r="Z12" s="5">
        <v>8.6999999999999994E-2</v>
      </c>
      <c r="AG12" s="5">
        <v>-8.8000000000000005E-3</v>
      </c>
      <c r="AL12" s="5"/>
    </row>
    <row r="13" spans="1:40" x14ac:dyDescent="0.25">
      <c r="A13" t="str">
        <f>IF(Input!A14="","",Input!A14)</f>
        <v>MyMap 5 Select ESG Fund</v>
      </c>
      <c r="B13" s="5">
        <v>0.29449999999999998</v>
      </c>
      <c r="C13" s="5">
        <v>0.68889999999999996</v>
      </c>
      <c r="D13" s="5"/>
      <c r="E13" s="5"/>
      <c r="F13" s="5">
        <v>1.66E-2</v>
      </c>
      <c r="G13" s="5">
        <v>0.53820000000000001</v>
      </c>
      <c r="H13" s="5">
        <v>0.31159999999999999</v>
      </c>
      <c r="I13" s="5">
        <v>0.11900000000000001</v>
      </c>
      <c r="J13" s="5">
        <v>1.6E-2</v>
      </c>
      <c r="K13" s="5">
        <v>0.01</v>
      </c>
      <c r="L13" s="5">
        <v>5.1000000000000004E-3</v>
      </c>
      <c r="M13" s="5">
        <v>1E-4</v>
      </c>
      <c r="N13" s="5">
        <v>0.16519999999999999</v>
      </c>
      <c r="O13" s="5">
        <v>0.59630000000000005</v>
      </c>
      <c r="P13" s="5">
        <v>5.1200000000000002E-2</v>
      </c>
      <c r="Q13" s="5">
        <v>1.8700000000000001E-2</v>
      </c>
      <c r="R13" s="5">
        <v>1.61E-2</v>
      </c>
      <c r="S13" s="5">
        <v>1.8200000000000001E-2</v>
      </c>
      <c r="T13" s="5"/>
      <c r="U13" s="5">
        <v>1.7000000000000001E-2</v>
      </c>
      <c r="V13" s="5">
        <v>1.52E-2</v>
      </c>
      <c r="X13" s="5">
        <v>-5.1000000000000004E-3</v>
      </c>
      <c r="Z13" s="5">
        <v>0.1416</v>
      </c>
      <c r="AG13" s="5">
        <v>-3.4599999999999999E-2</v>
      </c>
      <c r="AL13" s="5"/>
    </row>
    <row r="14" spans="1:40" x14ac:dyDescent="0.25">
      <c r="A14" t="str">
        <f>IF(Input!A15="","",Input!A15)</f>
        <v>MyMap 7 Select ESG Fund</v>
      </c>
      <c r="B14" s="5"/>
      <c r="C14" s="5">
        <v>0.98849999999999993</v>
      </c>
      <c r="D14" s="5"/>
      <c r="E14" s="5"/>
      <c r="F14" s="5">
        <v>1.15E-2</v>
      </c>
      <c r="G14" s="5">
        <v>0.55359999999999998</v>
      </c>
      <c r="H14" s="5">
        <v>0.26929999999999998</v>
      </c>
      <c r="I14" s="5">
        <v>0.16020000000000001</v>
      </c>
      <c r="J14" s="5">
        <v>9.1000000000000004E-3</v>
      </c>
      <c r="K14" s="5">
        <v>3.7000000000000002E-3</v>
      </c>
      <c r="L14" s="5">
        <v>4.0999999999999995E-3</v>
      </c>
      <c r="M14" s="5">
        <v>0</v>
      </c>
      <c r="N14" s="5">
        <v>0.28859999999999997</v>
      </c>
      <c r="O14" s="5">
        <v>0.45200000000000001</v>
      </c>
      <c r="P14" s="5">
        <v>7.1500000000000008E-2</v>
      </c>
      <c r="Q14" s="5">
        <v>2.5399999999999999E-2</v>
      </c>
      <c r="R14" s="5">
        <v>1.8000000000000002E-2</v>
      </c>
      <c r="S14" s="5">
        <v>2.5899999999999999E-2</v>
      </c>
      <c r="T14" s="5"/>
      <c r="U14" s="5">
        <v>2.3900000000000001E-2</v>
      </c>
      <c r="V14" s="5">
        <v>1.9299999999999998E-2</v>
      </c>
      <c r="X14" s="5">
        <v>-6.8000000000000005E-3</v>
      </c>
      <c r="Z14" s="5">
        <v>9.01E-2</v>
      </c>
      <c r="AA14" s="5">
        <v>1.21E-2</v>
      </c>
      <c r="AD14" s="5">
        <v>1.3100000000000001E-2</v>
      </c>
      <c r="AE14" s="5">
        <v>1.1299999999999999E-2</v>
      </c>
      <c r="AF14" s="5">
        <v>1.06E-2</v>
      </c>
      <c r="AG14" s="5">
        <v>-5.4900000000000004E-2</v>
      </c>
      <c r="AL14" s="5"/>
      <c r="AN14" s="5">
        <v>-1E-4</v>
      </c>
    </row>
    <row r="15" spans="1:40" x14ac:dyDescent="0.25">
      <c r="A15" t="str">
        <f>IF(Input!A16="","",Input!A16)</f>
        <v>MyMap 4 Select Income Fund</v>
      </c>
      <c r="B15" s="5">
        <v>0.624</v>
      </c>
      <c r="C15" s="5">
        <v>0.35969999999999996</v>
      </c>
      <c r="D15" s="5"/>
      <c r="E15" s="5"/>
      <c r="F15" s="5">
        <v>1.6299999999999999E-2</v>
      </c>
      <c r="G15" s="5">
        <v>0.37170000000000003</v>
      </c>
      <c r="H15" s="5">
        <v>0.41320000000000001</v>
      </c>
      <c r="I15" s="5">
        <v>0.12590000000000001</v>
      </c>
      <c r="J15" s="5">
        <v>3.7200000000000004E-2</v>
      </c>
      <c r="K15" s="5">
        <v>3.56E-2</v>
      </c>
      <c r="L15" s="5">
        <v>1.6E-2</v>
      </c>
      <c r="M15" s="5">
        <v>5.0000000000000001E-4</v>
      </c>
      <c r="N15" s="5">
        <v>-4.07E-2</v>
      </c>
      <c r="O15" s="5">
        <v>0.5988</v>
      </c>
      <c r="P15" s="5">
        <v>3.15E-2</v>
      </c>
      <c r="Q15" s="5">
        <v>1.26E-2</v>
      </c>
      <c r="R15" s="5">
        <v>3.49E-2</v>
      </c>
      <c r="S15" s="5">
        <v>2.3099999999999999E-2</v>
      </c>
      <c r="T15" s="5">
        <v>3.7499999999999999E-2</v>
      </c>
      <c r="U15" s="5">
        <v>1.54E-2</v>
      </c>
      <c r="V15" s="5">
        <v>3.8199999999999998E-2</v>
      </c>
      <c r="W15" s="5">
        <v>2.0499999999999997E-2</v>
      </c>
      <c r="X15" s="5">
        <v>-3.5999999999999999E-3</v>
      </c>
      <c r="Z15" s="5">
        <v>0.17170000000000002</v>
      </c>
      <c r="AA15" s="5">
        <v>1.03E-2</v>
      </c>
      <c r="AC15" s="5">
        <v>5.0300000000000004E-2</v>
      </c>
      <c r="AG15" s="5">
        <v>-1.41E-2</v>
      </c>
      <c r="AH15" s="5">
        <v>1.26E-2</v>
      </c>
      <c r="AL15" s="5"/>
    </row>
    <row r="16" spans="1:40" x14ac:dyDescent="0.25">
      <c r="A16" t="str">
        <f>IF(Input!A17="","",Input!A17)</f>
        <v/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/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/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/>
      </c>
      <c r="B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B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B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B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C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B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B12" sqref="B12"/>
    </sheetView>
  </sheetViews>
  <sheetFormatPr defaultRowHeight="15" x14ac:dyDescent="0.25"/>
  <cols>
    <col min="1" max="1" width="41.85546875" bestFit="1" customWidth="1"/>
    <col min="2" max="2" width="20" customWidth="1"/>
    <col min="3" max="3" width="15.42578125" bestFit="1" customWidth="1"/>
    <col min="4" max="4" width="8.7109375" style="8"/>
  </cols>
  <sheetData>
    <row r="1" spans="1:5" x14ac:dyDescent="0.25">
      <c r="A1" t="s">
        <v>0</v>
      </c>
      <c r="B1" t="s">
        <v>38</v>
      </c>
      <c r="C1" t="s">
        <v>37</v>
      </c>
      <c r="D1" s="8" t="s">
        <v>23</v>
      </c>
      <c r="E1" s="3" t="s">
        <v>39</v>
      </c>
    </row>
    <row r="2" spans="1:5" x14ac:dyDescent="0.25">
      <c r="A2" t="str">
        <f>IF(Input!A3="","",Input!A3)</f>
        <v>BlackRock Consensus 85 Fund</v>
      </c>
      <c r="B2" t="s">
        <v>40</v>
      </c>
    </row>
    <row r="3" spans="1:5" x14ac:dyDescent="0.25">
      <c r="A3" t="str">
        <f>IF(Input!A4="","",Input!A4)</f>
        <v>BlackRock Consensus 100</v>
      </c>
      <c r="B3" t="s">
        <v>41</v>
      </c>
    </row>
    <row r="4" spans="1:5" x14ac:dyDescent="0.25">
      <c r="A4" t="str">
        <f>IF(Input!A5="","",Input!A5)</f>
        <v>BlackRock Consensus 35</v>
      </c>
      <c r="B4" t="s">
        <v>42</v>
      </c>
    </row>
    <row r="5" spans="1:5" x14ac:dyDescent="0.25">
      <c r="A5" t="str">
        <f>IF(Input!A6="","",Input!A6)</f>
        <v>BlackRock Consensus 60</v>
      </c>
      <c r="B5" t="s">
        <v>43</v>
      </c>
    </row>
    <row r="6" spans="1:5" x14ac:dyDescent="0.25">
      <c r="A6" t="str">
        <f>IF(Input!A7="","",Input!A7)</f>
        <v>BlackRock Consensus 70</v>
      </c>
      <c r="B6" t="s">
        <v>44</v>
      </c>
    </row>
    <row r="7" spans="1:5" x14ac:dyDescent="0.25">
      <c r="A7" t="str">
        <f>IF(Input!A8="","",Input!A8)</f>
        <v>BlackRock Pension Growth Fund</v>
      </c>
      <c r="B7" t="s">
        <v>45</v>
      </c>
    </row>
    <row r="8" spans="1:5" x14ac:dyDescent="0.25">
      <c r="A8" t="str">
        <f>IF(Input!A9="","",Input!A9)</f>
        <v>MyMap 3</v>
      </c>
      <c r="B8" t="s">
        <v>54</v>
      </c>
    </row>
    <row r="9" spans="1:5" x14ac:dyDescent="0.25">
      <c r="A9" t="str">
        <f>IF(Input!A10="","",Input!A10)</f>
        <v>MyMap 4</v>
      </c>
      <c r="B9" t="s">
        <v>55</v>
      </c>
    </row>
    <row r="10" spans="1:5" x14ac:dyDescent="0.25">
      <c r="A10" t="str">
        <f>IF(Input!A11="","",Input!A11)</f>
        <v>MyMap 5</v>
      </c>
      <c r="B10" t="s">
        <v>56</v>
      </c>
    </row>
    <row r="11" spans="1:5" x14ac:dyDescent="0.25">
      <c r="A11" t="str">
        <f>IF(Input!A12="","",Input!A12)</f>
        <v>MyMap 6</v>
      </c>
      <c r="B11" t="s">
        <v>57</v>
      </c>
    </row>
    <row r="12" spans="1:5" x14ac:dyDescent="0.25">
      <c r="A12" t="str">
        <f>IF(Input!A13="","",Input!A13)</f>
        <v>MyMap 3 Select ESG Fund</v>
      </c>
      <c r="B12" t="s">
        <v>58</v>
      </c>
    </row>
    <row r="13" spans="1:5" x14ac:dyDescent="0.25">
      <c r="A13" t="str">
        <f>IF(Input!A14="","",Input!A14)</f>
        <v>MyMap 5 Select ESG Fund</v>
      </c>
      <c r="B13" t="s">
        <v>59</v>
      </c>
    </row>
    <row r="14" spans="1:5" x14ac:dyDescent="0.25">
      <c r="A14" t="str">
        <f>IF(Input!A15="","",Input!A15)</f>
        <v>MyMap 7 Select ESG Fund</v>
      </c>
      <c r="B14" t="s">
        <v>60</v>
      </c>
    </row>
    <row r="15" spans="1:5" x14ac:dyDescent="0.25">
      <c r="A15" t="str">
        <f>IF(Input!A16="","",Input!A16)</f>
        <v>MyMap 4 Select Income Fund</v>
      </c>
      <c r="B15" t="s">
        <v>61</v>
      </c>
    </row>
    <row r="16" spans="1:5" x14ac:dyDescent="0.25">
      <c r="A16" t="str">
        <f>IF(Input!A17="","",Input!A17)</f>
        <v/>
      </c>
    </row>
    <row r="17" spans="1:1" x14ac:dyDescent="0.25">
      <c r="A17" t="str">
        <f>IF(Input!A18="","",Input!A18)</f>
        <v/>
      </c>
    </row>
    <row r="18" spans="1:1" x14ac:dyDescent="0.25">
      <c r="A18" t="str">
        <f>IF(Input!A19="","",Input!A19)</f>
        <v/>
      </c>
    </row>
    <row r="19" spans="1:1" x14ac:dyDescent="0.25">
      <c r="A19" t="str">
        <f>IF(Input!A20="","",Input!A20)</f>
        <v/>
      </c>
    </row>
    <row r="20" spans="1:1" x14ac:dyDescent="0.25">
      <c r="A20" t="str">
        <f>IF(Input!A21="","",Input!A21)</f>
        <v/>
      </c>
    </row>
    <row r="21" spans="1:1" x14ac:dyDescent="0.25">
      <c r="A21" t="str">
        <f>IF(Input!A22="","",Input!A22)</f>
        <v/>
      </c>
    </row>
    <row r="22" spans="1:1" x14ac:dyDescent="0.25">
      <c r="A22" t="str">
        <f>IF(Input!A23="","",Input!A23)</f>
        <v/>
      </c>
    </row>
    <row r="23" spans="1:1" x14ac:dyDescent="0.25">
      <c r="A23" t="str">
        <f>IF(Input!A24="","",Input!A24)</f>
        <v/>
      </c>
    </row>
    <row r="24" spans="1:1" x14ac:dyDescent="0.25">
      <c r="A24" t="str">
        <f>IF(Input!A25="","",Input!A25)</f>
        <v/>
      </c>
    </row>
    <row r="25" spans="1:1" x14ac:dyDescent="0.25">
      <c r="A25" t="str">
        <f>IF(Input!A26="","",Input!A26)</f>
        <v/>
      </c>
    </row>
    <row r="26" spans="1:1" x14ac:dyDescent="0.25">
      <c r="A26" t="str">
        <f>IF(Input!A27="","",Input!A27)</f>
        <v/>
      </c>
    </row>
    <row r="27" spans="1:1" x14ac:dyDescent="0.25">
      <c r="A27" t="str">
        <f>IF(Input!A28="","",Input!A28)</f>
        <v/>
      </c>
    </row>
    <row r="28" spans="1:1" x14ac:dyDescent="0.25">
      <c r="A28" t="str">
        <f>IF(Input!A29="","",Input!A29)</f>
        <v/>
      </c>
    </row>
    <row r="29" spans="1:1" x14ac:dyDescent="0.25">
      <c r="A29" t="str">
        <f>IF(Input!A30="","",Input!A30)</f>
        <v/>
      </c>
    </row>
    <row r="30" spans="1:1" x14ac:dyDescent="0.25">
      <c r="A30" t="str">
        <f>IF(Input!A31="","",Input!A31)</f>
        <v/>
      </c>
    </row>
    <row r="31" spans="1:1" x14ac:dyDescent="0.25">
      <c r="A31" t="str">
        <f>IF(Input!A32="","",Input!A32)</f>
        <v/>
      </c>
    </row>
    <row r="32" spans="1:1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BlackRock Consensus 85 Fund</v>
      </c>
      <c r="B2" s="1">
        <f>IF(A2="","",DATE(YEAR(IF(A2="","",'Additional Information'!B2)),MONTH(IF(A2="","",'Additional Information'!B2)),DAY(IF(A2="","",'Additional Information'!B2))))</f>
        <v>45291</v>
      </c>
    </row>
    <row r="3" spans="1:2" x14ac:dyDescent="0.25">
      <c r="A3" t="str">
        <f>IF(Input!A4="","",Input!A4)</f>
        <v>BlackRock Consensus 100</v>
      </c>
      <c r="B3" s="1">
        <f>IF(A3="","",DATE(YEAR(IF(A3="","",'Additional Information'!B3)),MONTH(IF(A3="","",'Additional Information'!B3)),DAY(IF(A3="","",'Additional Information'!B3))))</f>
        <v>45291</v>
      </c>
    </row>
    <row r="4" spans="1:2" x14ac:dyDescent="0.25">
      <c r="A4" t="str">
        <f>IF(Input!A5="","",Input!A5)</f>
        <v>BlackRock Consensus 35</v>
      </c>
      <c r="B4" s="1">
        <f>IF(A4="","",DATE(YEAR(IF(A4="","",'Additional Information'!B4)),MONTH(IF(A4="","",'Additional Information'!B4)),DAY(IF(A4="","",'Additional Information'!B4))))</f>
        <v>45291</v>
      </c>
    </row>
    <row r="5" spans="1:2" x14ac:dyDescent="0.25">
      <c r="A5" t="str">
        <f>IF(Input!A6="","",Input!A6)</f>
        <v>BlackRock Consensus 60</v>
      </c>
      <c r="B5" s="1">
        <f>IF(A5="","",DATE(YEAR(IF(A5="","",'Additional Information'!B5)),MONTH(IF(A5="","",'Additional Information'!B5)),DAY(IF(A5="","",'Additional Information'!B5))))</f>
        <v>45291</v>
      </c>
    </row>
    <row r="6" spans="1:2" x14ac:dyDescent="0.25">
      <c r="A6" t="str">
        <f>IF(Input!A7="","",Input!A7)</f>
        <v>BlackRock Consensus 70</v>
      </c>
      <c r="B6" s="1">
        <f>IF(A6="","",DATE(YEAR(IF(A6="","",'Additional Information'!B6)),MONTH(IF(A6="","",'Additional Information'!B6)),DAY(IF(A6="","",'Additional Information'!B6))))</f>
        <v>45291</v>
      </c>
    </row>
    <row r="7" spans="1:2" x14ac:dyDescent="0.25">
      <c r="A7" t="str">
        <f>IF(Input!A8="","",Input!A8)</f>
        <v>BlackRock Pension Growth Fund</v>
      </c>
      <c r="B7" s="1" t="e">
        <f>IF(A7="","",DATE(YEAR(IF(A7="","",'Additional Information'!B7)),MONTH(IF(A7="","",'Additional Information'!B7)),DAY(IF(A7="","",'Additional Information'!B7))))</f>
        <v>#VALUE!</v>
      </c>
    </row>
    <row r="8" spans="1:2" x14ac:dyDescent="0.25">
      <c r="A8" t="str">
        <f>IF(Input!A9="","",Input!A9)</f>
        <v>MyMap 3</v>
      </c>
      <c r="B8" s="1" t="e">
        <f>IF(A8="","",DATE(YEAR(IF(A8="","",'Additional Information'!B8)),MONTH(IF(A8="","",'Additional Information'!B8)),DAY(IF(A8="","",'Additional Information'!B8))))</f>
        <v>#VALUE!</v>
      </c>
    </row>
    <row r="9" spans="1:2" x14ac:dyDescent="0.25">
      <c r="A9" t="str">
        <f>IF(Input!A10="","",Input!A10)</f>
        <v>MyMap 4</v>
      </c>
      <c r="B9" s="1" t="e">
        <f>IF(A9="","",DATE(YEAR(IF(A9="","",'Additional Information'!B9)),MONTH(IF(A9="","",'Additional Information'!B9)),DAY(IF(A9="","",'Additional Information'!B9))))</f>
        <v>#VALUE!</v>
      </c>
    </row>
    <row r="10" spans="1:2" x14ac:dyDescent="0.25">
      <c r="A10" t="str">
        <f>IF(Input!A11="","",Input!A11)</f>
        <v>MyMap 5</v>
      </c>
      <c r="B10" s="1" t="e">
        <f>IF(A10="","",DATE(YEAR(IF(A10="","",'Additional Information'!B10)),MONTH(IF(A10="","",'Additional Information'!B10)),DAY(IF(A10="","",'Additional Information'!B10))))</f>
        <v>#VALUE!</v>
      </c>
    </row>
    <row r="11" spans="1:2" x14ac:dyDescent="0.25">
      <c r="A11" t="str">
        <f>IF(Input!A12="","",Input!A12)</f>
        <v>MyMap 6</v>
      </c>
      <c r="B11" s="1" t="e">
        <f>IF(A11="","",DATE(YEAR(IF(A11="","",'Additional Information'!B11)),MONTH(IF(A11="","",'Additional Information'!B11)),DAY(IF(A11="","",'Additional Information'!B11))))</f>
        <v>#VALUE!</v>
      </c>
    </row>
    <row r="12" spans="1:2" x14ac:dyDescent="0.25">
      <c r="A12" t="str">
        <f>IF(Input!A13="","",Input!A13)</f>
        <v>MyMap 3 Select ESG Fund</v>
      </c>
      <c r="B12" s="1" t="e">
        <f>IF(A12="","",DATE(YEAR(IF(A12="","",'Additional Information'!B12)),MONTH(IF(A12="","",'Additional Information'!B12)),DAY(IF(A12="","",'Additional Information'!B12))))</f>
        <v>#VALUE!</v>
      </c>
    </row>
    <row r="13" spans="1:2" x14ac:dyDescent="0.25">
      <c r="A13" t="str">
        <f>IF(Input!A14="","",Input!A14)</f>
        <v>MyMap 5 Select ESG Fund</v>
      </c>
      <c r="B13" s="1" t="e">
        <f>IF(A13="","",DATE(YEAR(IF(A13="","",'Additional Information'!B13)),MONTH(IF(A13="","",'Additional Information'!B13)),DAY(IF(A13="","",'Additional Information'!B13))))</f>
        <v>#VALUE!</v>
      </c>
    </row>
    <row r="14" spans="1:2" x14ac:dyDescent="0.25">
      <c r="A14" t="str">
        <f>IF(Input!A15="","",Input!A15)</f>
        <v>MyMap 7 Select ESG Fund</v>
      </c>
      <c r="B14" s="1" t="e">
        <f>IF(A14="","",DATE(YEAR(IF(A14="","",'Additional Information'!B14)),MONTH(IF(A14="","",'Additional Information'!B14)),DAY(IF(A14="","",'Additional Information'!B14))))</f>
        <v>#VALUE!</v>
      </c>
    </row>
    <row r="15" spans="1:2" x14ac:dyDescent="0.25">
      <c r="A15" t="str">
        <f>IF(Input!A16="","",Input!A16)</f>
        <v>MyMap 4 Select Income Fund</v>
      </c>
      <c r="B15" s="1" t="e">
        <f>IF(A15="","",DATE(YEAR(IF(A15="","",'Additional Information'!B15)),MONTH(IF(A15="","",'Additional Information'!B15)),DAY(IF(A15="","",'Additional Information'!B15))))</f>
        <v>#VALUE!</v>
      </c>
    </row>
    <row r="16" spans="1:2" x14ac:dyDescent="0.25">
      <c r="A16" t="str">
        <f>IF(Input!A17="","",Input!A17)</f>
        <v/>
      </c>
      <c r="B16" s="1" t="str">
        <f>IF(A16="","",DATE(YEAR(IF(A16="","",'Additional Information'!B16)),MONTH(IF(A16="","",'Additional Information'!B16)),DAY(IF(A16="","",'Additional Information'!B16))))</f>
        <v/>
      </c>
    </row>
    <row r="17" spans="1:2" x14ac:dyDescent="0.25">
      <c r="A17" t="str">
        <f>IF(Input!A18="","",Input!A18)</f>
        <v/>
      </c>
      <c r="B17" s="1" t="str">
        <f>IF(A17="","",DATE(YEAR(IF(A17="","",'Additional Information'!B17)),MONTH(IF(A17="","",'Additional Information'!B17)),DAY(IF(A17="","",'Additional Information'!B17))))</f>
        <v/>
      </c>
    </row>
    <row r="18" spans="1:2" x14ac:dyDescent="0.25">
      <c r="A18" t="str">
        <f>IF(Input!A19="","",Input!A19)</f>
        <v/>
      </c>
      <c r="B18" s="1" t="str">
        <f>IF(A18="","",DATE(YEAR(IF(A18="","",'Additional Information'!B18)),MONTH(IF(A18="","",'Additional Information'!B18)),DAY(IF(A18="","",'Additional Information'!B18))))</f>
        <v/>
      </c>
    </row>
    <row r="19" spans="1:2" x14ac:dyDescent="0.25">
      <c r="A19" t="str">
        <f>IF(Input!A20="","",Input!A20)</f>
        <v/>
      </c>
      <c r="B19" s="1" t="str">
        <f>IF(A19="","",DATE(YEAR(IF(A19="","",'Additional Information'!B19)),MONTH(IF(A19="","",'Additional Information'!B19)),DAY(IF(A19="","",'Additional Information'!B19))))</f>
        <v/>
      </c>
    </row>
    <row r="20" spans="1:2" x14ac:dyDescent="0.25">
      <c r="A20" t="str">
        <f>IF(Input!A21="","",Input!A21)</f>
        <v/>
      </c>
      <c r="B20" s="1" t="str">
        <f>IF(A20="","",DATE(YEAR(IF(A20="","",'Additional Information'!B20)),MONTH(IF(A20="","",'Additional Information'!B20)),DAY(IF(A20="","",'Additional Information'!B20))))</f>
        <v/>
      </c>
    </row>
    <row r="21" spans="1:2" x14ac:dyDescent="0.25">
      <c r="A21" t="str">
        <f>IF(Input!A22="","",Input!A22)</f>
        <v/>
      </c>
      <c r="B21" s="1" t="str">
        <f>IF(A21="","",DATE(YEAR(IF(A21="","",'Additional Information'!B21)),MONTH(IF(A21="","",'Additional Information'!B21)),DAY(IF(A21="","",'Additional Information'!B21))))</f>
        <v/>
      </c>
    </row>
    <row r="22" spans="1:2" x14ac:dyDescent="0.25">
      <c r="A22" t="str">
        <f>IF(Input!A23="","",Input!A23)</f>
        <v/>
      </c>
      <c r="B22" s="1" t="str">
        <f>IF(A22="","",DATE(YEAR(IF(A22="","",'Additional Information'!B22)),MONTH(IF(A22="","",'Additional Information'!B22)),DAY(IF(A22="","",'Additional Information'!B22))))</f>
        <v/>
      </c>
    </row>
    <row r="23" spans="1:2" x14ac:dyDescent="0.25">
      <c r="A23" t="str">
        <f>IF(Input!A24="","",Input!A24)</f>
        <v/>
      </c>
      <c r="B23" s="1" t="str">
        <f>IF(A23="","",DATE(YEAR(IF(A23="","",'Additional Information'!B23)),MONTH(IF(A23="","",'Additional Information'!B23)),DAY(IF(A23="","",'Additional Information'!B23))))</f>
        <v/>
      </c>
    </row>
    <row r="24" spans="1:2" x14ac:dyDescent="0.25">
      <c r="A24" t="str">
        <f>IF(Input!A25="","",Input!A25)</f>
        <v/>
      </c>
      <c r="B24" s="1" t="str">
        <f>IF(A24="","",DATE(YEAR(IF(A24="","",'Additional Information'!B24)),MONTH(IF(A24="","",'Additional Information'!B24)),DAY(IF(A24="","",'Additional Information'!B24))))</f>
        <v/>
      </c>
    </row>
    <row r="25" spans="1:2" x14ac:dyDescent="0.25">
      <c r="A25" t="str">
        <f>IF(Input!A26="","",Input!A26)</f>
        <v/>
      </c>
      <c r="B25" s="1" t="str">
        <f>IF(A25="","",DATE(YEAR(IF(A25="","",'Additional Information'!B25)),MONTH(IF(A25="","",'Additional Information'!B25)),DAY(IF(A25="","",'Additional Information'!B25))))</f>
        <v/>
      </c>
    </row>
    <row r="26" spans="1:2" x14ac:dyDescent="0.25">
      <c r="A26" t="str">
        <f>IF(Input!A27="","",Input!A27)</f>
        <v/>
      </c>
      <c r="B26" s="1" t="str">
        <f>IF(A26="","",DATE(YEAR(IF(A26="","",'Additional Information'!B26)),MONTH(IF(A26="","",'Additional Information'!B26)),DAY(IF(A26="","",'Additional Information'!B26))))</f>
        <v/>
      </c>
    </row>
    <row r="27" spans="1:2" x14ac:dyDescent="0.25">
      <c r="A27" t="str">
        <f>IF(Input!A28="","",Input!A28)</f>
        <v/>
      </c>
      <c r="B27" s="1" t="str">
        <f>IF(A27="","",DATE(YEAR(IF(A27="","",'Additional Information'!B27)),MONTH(IF(A27="","",'Additional Information'!B27)),DAY(IF(A27="","",'Additional Information'!B27))))</f>
        <v/>
      </c>
    </row>
    <row r="28" spans="1:2" x14ac:dyDescent="0.25">
      <c r="A28" t="str">
        <f>IF(Input!A29="","",Input!A29)</f>
        <v/>
      </c>
      <c r="B28" s="1" t="str">
        <f>IF(A28="","",DATE(YEAR(IF(A28="","",'Additional Information'!B28)),MONTH(IF(A28="","",'Additional Information'!B28)),DAY(IF(A28="","",'Additional Information'!B28))))</f>
        <v/>
      </c>
    </row>
    <row r="29" spans="1:2" x14ac:dyDescent="0.25">
      <c r="A29" t="str">
        <f>IF(Input!A30="","",Input!A30)</f>
        <v/>
      </c>
      <c r="B29" s="1" t="str">
        <f>IF(A29="","",DATE(YEAR(IF(A29="","",'Additional Information'!B29)),MONTH(IF(A29="","",'Additional Information'!B29)),DAY(IF(A29="","",'Additional Information'!B29))))</f>
        <v/>
      </c>
    </row>
    <row r="30" spans="1:2" x14ac:dyDescent="0.25">
      <c r="A30" t="str">
        <f>IF(Input!A31="","",Input!A31)</f>
        <v/>
      </c>
      <c r="B30" s="1" t="str">
        <f>IF(A30="","",DATE(YEAR(IF(A30="","",'Additional Information'!B30)),MONTH(IF(A30="","",'Additional Information'!B30)),DAY(IF(A30="","",'Additional Information'!B30))))</f>
        <v/>
      </c>
    </row>
    <row r="31" spans="1:2" x14ac:dyDescent="0.25">
      <c r="A31" t="str">
        <f>IF(Input!A32="","",Input!A32)</f>
        <v/>
      </c>
      <c r="B31" s="1" t="str">
        <f>IF(A31="","",DATE(YEAR(IF(A31="","",'Additional Information'!B31)),MONTH(IF(A31="","",'Additional Information'!B31)),DAY(IF(A31="","",'Additional Information'!B31))))</f>
        <v/>
      </c>
    </row>
    <row r="32" spans="1:2" x14ac:dyDescent="0.25">
      <c r="A32" t="str">
        <f>IF(Input!A33="","",Input!A33)</f>
        <v/>
      </c>
      <c r="B32" s="1" t="str">
        <f>IF(A32="","",DATE(YEAR(IF(A32="","",'Additional Information'!B32)),MONTH(IF(A32="","",'Additional Information'!B32)),DAY(IF(A32="","",'Additional Information'!B32))))</f>
        <v/>
      </c>
    </row>
    <row r="33" spans="1:2" x14ac:dyDescent="0.25">
      <c r="A33" t="str">
        <f>IF(Input!A34="","",Input!A34)</f>
        <v/>
      </c>
      <c r="B33" s="1" t="str">
        <f>IF(A33="","",DATE(YEAR(IF(A33="","",'Additional Information'!B33)),MONTH(IF(A33="","",'Additional Information'!B33)),DAY(IF(A33="","",'Additional Information'!B33))))</f>
        <v/>
      </c>
    </row>
    <row r="34" spans="1:2" x14ac:dyDescent="0.25">
      <c r="A34" t="str">
        <f>IF(Input!A35="","",Input!A35)</f>
        <v/>
      </c>
      <c r="B34" s="1" t="str">
        <f>IF(A34="","",DATE(YEAR(IF(A34="","",'Additional Information'!B34)),MONTH(IF(A34="","",'Additional Information'!B34)),DAY(IF(A34="","",'Additional Information'!B34))))</f>
        <v/>
      </c>
    </row>
    <row r="35" spans="1:2" x14ac:dyDescent="0.25">
      <c r="A35" t="str">
        <f>IF(Input!A36="","",Input!A36)</f>
        <v/>
      </c>
      <c r="B35" s="1" t="str">
        <f>IF(A35="","",DATE(YEAR(IF(A35="","",'Additional Information'!B35)),MONTH(IF(A35="","",'Additional Information'!B35)),DAY(IF(A35="","",'Additional Information'!B35))))</f>
        <v/>
      </c>
    </row>
    <row r="36" spans="1:2" x14ac:dyDescent="0.25">
      <c r="A36" t="str">
        <f>IF(Input!A37="","",Input!A37)</f>
        <v/>
      </c>
      <c r="B36" s="1" t="str">
        <f>IF(A36="","",DATE(YEAR(IF(A36="","",'Additional Information'!B36)),MONTH(IF(A36="","",'Additional Information'!B36)),DAY(IF(A36="","",'Additional Information'!B36))))</f>
        <v/>
      </c>
    </row>
    <row r="37" spans="1:2" x14ac:dyDescent="0.25">
      <c r="A37" t="str">
        <f>IF(Input!A38="","",Input!A38)</f>
        <v/>
      </c>
      <c r="B37" s="1" t="str">
        <f>IF(A37="","",DATE(YEAR(IF(A37="","",'Additional Information'!B37)),MONTH(IF(A37="","",'Additional Information'!B37)),DAY(IF(A37="","",'Additional Information'!B37))))</f>
        <v/>
      </c>
    </row>
    <row r="38" spans="1:2" x14ac:dyDescent="0.25">
      <c r="A38" t="str">
        <f>IF(Input!A39="","",Input!A39)</f>
        <v/>
      </c>
      <c r="B38" s="1" t="str">
        <f>IF(A38="","",DATE(YEAR(IF(A38="","",'Additional Information'!B38)),MONTH(IF(A38="","",'Additional Information'!B38)),DAY(IF(A38="","",'Additional Information'!B38))))</f>
        <v/>
      </c>
    </row>
    <row r="39" spans="1:2" x14ac:dyDescent="0.25">
      <c r="A39" t="str">
        <f>IF(Input!A40="","",Input!A40)</f>
        <v/>
      </c>
      <c r="B39" s="1" t="str">
        <f>IF(A39="","",DATE(YEAR(IF(A39="","",'Additional Information'!B39)),MONTH(IF(A39="","",'Additional Information'!B39)),DAY(IF(A39="","",'Additional Information'!B39))))</f>
        <v/>
      </c>
    </row>
    <row r="40" spans="1:2" x14ac:dyDescent="0.25">
      <c r="A40" t="str">
        <f>IF(Input!A41="","",Input!A41)</f>
        <v/>
      </c>
      <c r="B40" s="1" t="str">
        <f>IF(A40="","",DATE(YEAR(IF(A40="","",'Additional Information'!B40)),MONTH(IF(A40="","",'Additional Information'!B40)),DAY(IF(A40="","",'Additional Information'!B40))))</f>
        <v/>
      </c>
    </row>
    <row r="41" spans="1:2" x14ac:dyDescent="0.25">
      <c r="A41" t="str">
        <f>IF(Input!A42="","",Input!A42)</f>
        <v/>
      </c>
      <c r="B41" s="1" t="str">
        <f>IF(A41="","",DATE(YEAR(IF(A41="","",'Additional Information'!B41)),MONTH(IF(A41="","",'Additional Information'!B41)),DAY(IF(A41="","",'Additional Information'!B41))))</f>
        <v/>
      </c>
    </row>
    <row r="42" spans="1:2" x14ac:dyDescent="0.25">
      <c r="A42" t="str">
        <f>IF(Input!A43="","",Input!A43)</f>
        <v/>
      </c>
      <c r="B42" s="1" t="str">
        <f>IF(A42="","",DATE(YEAR(IF(A42="","",'Additional Information'!B42)),MONTH(IF(A42="","",'Additional Information'!B42)),DAY(IF(A42="","",'Additional Information'!B42))))</f>
        <v/>
      </c>
    </row>
    <row r="43" spans="1:2" x14ac:dyDescent="0.25">
      <c r="A43" t="str">
        <f>IF(Input!A44="","",Input!A44)</f>
        <v/>
      </c>
      <c r="B43" s="1" t="str">
        <f>IF(A43="","",DATE(YEAR(IF(A43="","",'Additional Information'!B43)),MONTH(IF(A43="","",'Additional Information'!B43)),DAY(IF(A43="","",'Additional Information'!B43))))</f>
        <v/>
      </c>
    </row>
    <row r="44" spans="1:2" x14ac:dyDescent="0.25">
      <c r="A44" t="str">
        <f>IF(Input!A45="","",Input!A45)</f>
        <v/>
      </c>
      <c r="B44" s="1" t="str">
        <f>IF(A44="","",DATE(YEAR(IF(A44="","",'Additional Information'!B44)),MONTH(IF(A44="","",'Additional Information'!B44)),DAY(IF(A44="","",'Additional Information'!B44))))</f>
        <v/>
      </c>
    </row>
    <row r="45" spans="1:2" x14ac:dyDescent="0.25">
      <c r="A45" t="str">
        <f>IF(Input!A46="","",Input!A46)</f>
        <v/>
      </c>
      <c r="B45" s="1" t="str">
        <f>IF(A45="","",DATE(YEAR(IF(A45="","",'Additional Information'!B45)),MONTH(IF(A45="","",'Additional Information'!B45)),DAY(IF(A45="","",'Additional Information'!B45))))</f>
        <v/>
      </c>
    </row>
    <row r="46" spans="1:2" x14ac:dyDescent="0.25">
      <c r="A46" t="str">
        <f>IF(Input!A47="","",Input!A47)</f>
        <v/>
      </c>
      <c r="B46" s="1" t="str">
        <f>IF(A46="","",DATE(YEAR(IF(A46="","",'Additional Information'!B46)),MONTH(IF(A46="","",'Additional Information'!B46)),DAY(IF(A46="","",'Additional Information'!B46))))</f>
        <v/>
      </c>
    </row>
    <row r="47" spans="1:2" x14ac:dyDescent="0.25">
      <c r="A47" t="str">
        <f>IF(Input!A48="","",Input!A48)</f>
        <v/>
      </c>
      <c r="B47" s="1" t="str">
        <f>IF(A47="","",DATE(YEAR(IF(A47="","",'Additional Information'!B47)),MONTH(IF(A47="","",'Additional Information'!B47)),DAY(IF(A47="","",'Additional Information'!B47))))</f>
        <v/>
      </c>
    </row>
    <row r="48" spans="1:2" x14ac:dyDescent="0.25">
      <c r="A48" t="str">
        <f>IF(Input!A49="","",Input!A49)</f>
        <v/>
      </c>
      <c r="B48" s="1" t="str">
        <f>IF(A48="","",DATE(YEAR(IF(A48="","",'Additional Information'!B48)),MONTH(IF(A48="","",'Additional Information'!B48)),DAY(IF(A48="","",'Additional Information'!B48))))</f>
        <v/>
      </c>
    </row>
    <row r="49" spans="1:2" x14ac:dyDescent="0.25">
      <c r="A49" t="str">
        <f>IF(Input!A50="","",Input!A50)</f>
        <v/>
      </c>
      <c r="B49" s="1" t="str">
        <f>IF(A49="","",DATE(YEAR(IF(A49="","",'Additional Information'!B49)),MONTH(IF(A49="","",'Additional Information'!B49)),DAY(IF(A49="","",'Additional Information'!B49))))</f>
        <v/>
      </c>
    </row>
    <row r="50" spans="1:2" x14ac:dyDescent="0.25">
      <c r="A50" t="str">
        <f>IF(Input!A51="","",Input!A51)</f>
        <v/>
      </c>
      <c r="B50" s="1" t="str">
        <f>IF(A50="","",DATE(YEAR(IF(A50="","",'Additional Information'!B50)),MONTH(IF(A50="","",'Additional Information'!B50)),DAY(IF(A50="","",'Additional Information'!B50))))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82</v>
      </c>
      <c r="D1" t="s">
        <v>18</v>
      </c>
      <c r="E1" t="s">
        <v>25</v>
      </c>
      <c r="F1" t="s">
        <v>83</v>
      </c>
      <c r="G1" t="s">
        <v>84</v>
      </c>
    </row>
    <row r="2" spans="1:7" x14ac:dyDescent="0.25">
      <c r="A2" t="str">
        <f>IF(Input!A3="","",Input!A3)</f>
        <v>BlackRock Consensus 85 Fund</v>
      </c>
      <c r="B2">
        <f>IF(A2="","",IF(OR('Additional Information'!E2="",'Additional Information'!E2="-"),"",'Additional Information'!E2))</f>
        <v>4.0300000000000002E-2</v>
      </c>
      <c r="C2">
        <f>IF(A2="","",IF(OR('Additional Information'!F2="",'Additional Information'!F2="-"),"",'Additional Information'!F2))</f>
        <v>0.10920000000000001</v>
      </c>
      <c r="D2" s="5">
        <f>IF(A2="","",SUM('Additional Information'!C2))</f>
        <v>2.2000000000000001E-3</v>
      </c>
      <c r="E2">
        <f>IF(A2="","",IF('Additional Information'!D2="","",SUM('Additional Information'!D2)))</f>
        <v>0</v>
      </c>
      <c r="F2">
        <f>IF(A2="","",IF(OR('Additional Information'!G2="",'Additional Information'!G2="-"),"",'Additional Information'!G2))</f>
        <v>0.15670000000000001</v>
      </c>
      <c r="G2">
        <f>IF(A2="","",IF(OR('Additional Information'!H2="",'Additional Information'!H2="-"),"",'Additional Information'!H2))</f>
        <v>0.40100000000000002</v>
      </c>
    </row>
    <row r="3" spans="1:7" x14ac:dyDescent="0.25">
      <c r="A3" t="str">
        <f>IF(Input!A4="","",Input!A4)</f>
        <v>BlackRock Consensus 100</v>
      </c>
      <c r="B3">
        <f>IF(A3="","",IF(OR('Additional Information'!E3="",'Additional Information'!E3="-"),"",'Additional Information'!E3))</f>
        <v>4.3499999999999997E-2</v>
      </c>
      <c r="C3">
        <f>IF(A3="","",IF(OR('Additional Information'!F3="",'Additional Information'!F3="-"),"",'Additional Information'!F3))</f>
        <v>0.14829999999999999</v>
      </c>
      <c r="D3" s="5">
        <f>IF(A3="","",SUM('Additional Information'!C3))</f>
        <v>6.1999999999999998E-3</v>
      </c>
      <c r="E3">
        <f>IF(A3="","",IF('Additional Information'!D3="","",SUM('Additional Information'!D3)))</f>
        <v>0</v>
      </c>
      <c r="F3">
        <f>IF(A3="","",IF(OR('Additional Information'!G3="",'Additional Information'!G3="-"),"",'Additional Information'!G3))</f>
        <v>0.27699999999999997</v>
      </c>
      <c r="G3">
        <f>IF(A3="","",IF(OR('Additional Information'!H3="",'Additional Information'!H3="-"),"",'Additional Information'!H3))</f>
        <v>0.69510000000000005</v>
      </c>
    </row>
    <row r="4" spans="1:7" x14ac:dyDescent="0.25">
      <c r="A4" t="str">
        <f>IF(Input!A5="","",Input!A5)</f>
        <v>BlackRock Consensus 35</v>
      </c>
      <c r="B4">
        <f>IF(A4="","",IF(OR('Additional Information'!E4="",'Additional Information'!E4="-"),"",'Additional Information'!E4))</f>
        <v>3.6000000000000004E-2</v>
      </c>
      <c r="C4">
        <f>IF(A4="","",IF(OR('Additional Information'!F4="",'Additional Information'!F4="-"),"",'Additional Information'!F4))</f>
        <v>6.8000000000000005E-2</v>
      </c>
      <c r="D4" s="5">
        <f>IF(A4="","",SUM('Additional Information'!C4))</f>
        <v>6.1999999999999998E-3</v>
      </c>
      <c r="E4">
        <f>IF(A4="","",IF('Additional Information'!D4="","",SUM('Additional Information'!D4)))</f>
        <v>0</v>
      </c>
      <c r="F4">
        <f>IF(A4="","",IF(OR('Additional Information'!G4="",'Additional Information'!G4="-"),"",'Additional Information'!G4))</f>
        <v>4.53E-2</v>
      </c>
      <c r="G4">
        <f>IF(A4="","",IF(OR('Additional Information'!H4="",'Additional Information'!H4="-"),"",'Additional Information'!H4))</f>
        <v>9.6099999999999991E-2</v>
      </c>
    </row>
    <row r="5" spans="1:7" x14ac:dyDescent="0.25">
      <c r="A5" t="str">
        <f>IF(Input!A6="","",Input!A6)</f>
        <v>BlackRock Consensus 60</v>
      </c>
      <c r="B5">
        <f>IF(A5="","",IF(OR('Additional Information'!E5="",'Additional Information'!E5="-"),"",'Additional Information'!E5))</f>
        <v>3.8300000000000001E-2</v>
      </c>
      <c r="C5">
        <f>IF(A5="","",IF(OR('Additional Information'!F5="",'Additional Information'!F5="-"),"",'Additional Information'!F5))</f>
        <v>8.0199999999999994E-2</v>
      </c>
      <c r="D5" s="5">
        <f>IF(A5="","",SUM('Additional Information'!C5))</f>
        <v>6.1999999999999998E-3</v>
      </c>
      <c r="E5">
        <f>IF(A5="","",IF('Additional Information'!D5="","",SUM('Additional Information'!D5)))</f>
        <v>0</v>
      </c>
      <c r="F5">
        <f>IF(A5="","",IF(OR('Additional Information'!G5="",'Additional Information'!G5="-"),"",'Additional Information'!G5))</f>
        <v>3.56E-2</v>
      </c>
      <c r="G5">
        <f>IF(A5="","",IF(OR('Additional Information'!H5="",'Additional Information'!H5="-"),"",'Additional Information'!H5))</f>
        <v>0.19949999999999998</v>
      </c>
    </row>
    <row r="6" spans="1:7" x14ac:dyDescent="0.25">
      <c r="A6" t="str">
        <f>IF(Input!A7="","",Input!A7)</f>
        <v>BlackRock Consensus 70</v>
      </c>
      <c r="B6">
        <f>IF(A6="","",IF(OR('Additional Information'!E6="",'Additional Information'!E6="-"),"",'Additional Information'!E6))</f>
        <v>3.9E-2</v>
      </c>
      <c r="C6">
        <f>IF(A6="","",IF(OR('Additional Information'!F6="",'Additional Information'!F6="-"),"",'Additional Information'!F6))</f>
        <v>8.9700000000000002E-2</v>
      </c>
      <c r="D6" s="5">
        <f>IF(A6="","",SUM('Additional Information'!C6))</f>
        <v>6.1999999999999998E-3</v>
      </c>
      <c r="E6">
        <f>IF(A6="","",IF('Additional Information'!D6="","",SUM('Additional Information'!D6)))</f>
        <v>0</v>
      </c>
      <c r="F6">
        <f>IF(A6="","",IF(OR('Additional Information'!G6="",'Additional Information'!G6="-"),"",'Additional Information'!G6))</f>
        <v>7.8399999999999997E-2</v>
      </c>
      <c r="G6">
        <f>IF(A6="","",IF(OR('Additional Information'!H6="",'Additional Information'!H6="-"),"",'Additional Information'!H6))</f>
        <v>0.2697</v>
      </c>
    </row>
    <row r="7" spans="1:7" x14ac:dyDescent="0.25">
      <c r="A7" t="str">
        <f>IF(Input!A8="","",Input!A8)</f>
        <v>BlackRock Pension Growth Fund</v>
      </c>
      <c r="B7">
        <f>IF(A7="","",IF(OR('Additional Information'!E7="",'Additional Information'!E7="-"),"",'Additional Information'!E7))</f>
        <v>4.1399999999999999E-2</v>
      </c>
      <c r="C7">
        <f>IF(A7="","",IF(OR('Additional Information'!F7="",'Additional Information'!F7="-"),"",'Additional Information'!F7))</f>
        <v>0.12380000000000001</v>
      </c>
      <c r="D7" s="5">
        <f>IF(A7="","",SUM('Additional Information'!C7))</f>
        <v>2.0000000000000001E-4</v>
      </c>
      <c r="E7">
        <f>IF(A7="","",IF('Additional Information'!D7="","",SUM('Additional Information'!D7)))</f>
        <v>0</v>
      </c>
      <c r="F7">
        <f>IF(A7="","",IF(OR('Additional Information'!G7="",'Additional Information'!G7="-"),"",'Additional Information'!G7))</f>
        <v>0.12939999999999999</v>
      </c>
      <c r="G7">
        <f>IF(A7="","",IF(OR('Additional Information'!H7="",'Additional Information'!H7="-"),"",'Additional Information'!H7))</f>
        <v>0.4642</v>
      </c>
    </row>
    <row r="8" spans="1:7" x14ac:dyDescent="0.25">
      <c r="A8" t="str">
        <f>IF(Input!A9="","",Input!A9)</f>
        <v>MyMap 3</v>
      </c>
      <c r="B8">
        <f>IF(A8="","",IF(OR('Additional Information'!E8="",'Additional Information'!E8="-"),"",'Additional Information'!E8))</f>
        <v>2.9900000000000003E-2</v>
      </c>
      <c r="C8">
        <f>IF(A8="","",IF(OR('Additional Information'!F8="",'Additional Information'!F8="-"),"",'Additional Information'!F8))</f>
        <v>6.3899999999999998E-2</v>
      </c>
      <c r="D8" s="5">
        <f>IF(A8="","",SUM('Additional Information'!C8))</f>
        <v>1.7000000000000001E-3</v>
      </c>
      <c r="E8">
        <f>IF(A8="","",IF('Additional Information'!D8="","",SUM('Additional Information'!D8)))</f>
        <v>1.1999999999999999E-3</v>
      </c>
      <c r="F8">
        <f>IF(A8="","",IF(OR('Additional Information'!G8="",'Additional Information'!G8="-"),"",'Additional Information'!G8))</f>
        <v>1.95E-2</v>
      </c>
      <c r="G8" t="str">
        <f>IF(A8="","",IF(OR('Additional Information'!H8="",'Additional Information'!H8="-"),"",'Additional Information'!H8))</f>
        <v/>
      </c>
    </row>
    <row r="9" spans="1:7" x14ac:dyDescent="0.25">
      <c r="A9" t="str">
        <f>IF(Input!A10="","",Input!A10)</f>
        <v>MyMap 4</v>
      </c>
      <c r="B9">
        <f>IF(A9="","",IF(OR('Additional Information'!E9="",'Additional Information'!E9="-"),"",'Additional Information'!E9))</f>
        <v>3.6900000000000002E-2</v>
      </c>
      <c r="C9">
        <f>IF(A9="","",IF(OR('Additional Information'!F9="",'Additional Information'!F9="-"),"",'Additional Information'!F9))</f>
        <v>9.2399999999999996E-2</v>
      </c>
      <c r="D9" s="5">
        <f>IF(A9="","",SUM('Additional Information'!C9))</f>
        <v>1.7000000000000001E-3</v>
      </c>
      <c r="E9">
        <f>IF(A9="","",IF('Additional Information'!D9="","",SUM('Additional Information'!D9)))</f>
        <v>1.1999999999999999E-3</v>
      </c>
      <c r="F9">
        <f>IF(A9="","",IF(OR('Additional Information'!G9="",'Additional Information'!G9="-"),"",'Additional Information'!G9))</f>
        <v>3.8399999999999997E-2</v>
      </c>
      <c r="G9" t="str">
        <f>IF(A9="","",IF(OR('Additional Information'!H9="",'Additional Information'!H9="-"),"",'Additional Information'!H9))</f>
        <v/>
      </c>
    </row>
    <row r="10" spans="1:7" x14ac:dyDescent="0.25">
      <c r="A10" t="str">
        <f>IF(Input!A11="","",Input!A11)</f>
        <v>MyMap 5</v>
      </c>
      <c r="B10">
        <f>IF(A10="","",IF(OR('Additional Information'!E10="",'Additional Information'!E10="-"),"",'Additional Information'!E10))</f>
        <v>4.0899999999999999E-2</v>
      </c>
      <c r="C10">
        <f>IF(A10="","",IF(OR('Additional Information'!F10="",'Additional Information'!F10="-"),"",'Additional Information'!F10))</f>
        <v>0.1134</v>
      </c>
      <c r="D10" s="5">
        <f>IF(A10="","",SUM('Additional Information'!C10))</f>
        <v>1.7000000000000001E-3</v>
      </c>
      <c r="E10">
        <f>IF(A10="","",IF('Additional Information'!D10="","",SUM('Additional Information'!D10)))</f>
        <v>1.1999999999999999E-3</v>
      </c>
      <c r="F10">
        <f>IF(A10="","",IF(OR('Additional Information'!G10="",'Additional Information'!G10="-"),"",'Additional Information'!G10))</f>
        <v>9.5199999999999993E-2</v>
      </c>
      <c r="G10" t="str">
        <f>IF(A10="","",IF(OR('Additional Information'!H10="",'Additional Information'!H10="-"),"",'Additional Information'!H10))</f>
        <v/>
      </c>
    </row>
    <row r="11" spans="1:7" x14ac:dyDescent="0.25">
      <c r="A11" t="str">
        <f>IF(Input!A12="","",Input!A12)</f>
        <v>MyMap 6</v>
      </c>
      <c r="B11">
        <f>IF(A11="","",IF(OR('Additional Information'!E11="",'Additional Information'!E11="-"),"",'Additional Information'!E11))</f>
        <v>4.3799999999999999E-2</v>
      </c>
      <c r="C11">
        <f>IF(A11="","",IF(OR('Additional Information'!F11="",'Additional Information'!F11="-"),"",'Additional Information'!F11))</f>
        <v>0.1263</v>
      </c>
      <c r="D11" s="5">
        <f>IF(A11="","",SUM('Additional Information'!C11))</f>
        <v>1.7000000000000001E-3</v>
      </c>
      <c r="E11">
        <f>IF(A11="","",IF('Additional Information'!D11="","",SUM('Additional Information'!D11)))</f>
        <v>1.1999999999999999E-3</v>
      </c>
      <c r="F11">
        <f>IF(A11="","",IF(OR('Additional Information'!G11="",'Additional Information'!G11="-"),"",'Additional Information'!G11))</f>
        <v>0.1371</v>
      </c>
      <c r="G11" t="str">
        <f>IF(A11="","",IF(OR('Additional Information'!H11="",'Additional Information'!H11="-"),"",'Additional Information'!H11))</f>
        <v/>
      </c>
    </row>
    <row r="12" spans="1:7" x14ac:dyDescent="0.25">
      <c r="A12" t="str">
        <f>IF(Input!A13="","",Input!A13)</f>
        <v>MyMap 3 Select ESG Fund</v>
      </c>
      <c r="B12">
        <f>IF(A12="","",IF(OR('Additional Information'!E12="",'Additional Information'!E12="-"),"",'Additional Information'!E12))</f>
        <v>3.2000000000000001E-2</v>
      </c>
      <c r="C12">
        <f>IF(A12="","",IF(OR('Additional Information'!F12="",'Additional Information'!F12="-"),"",'Additional Information'!F12))</f>
        <v>6.5500000000000003E-2</v>
      </c>
      <c r="D12" s="5">
        <f>IF(A12="","",SUM('Additional Information'!C12))</f>
        <v>1.7000000000000001E-3</v>
      </c>
      <c r="E12">
        <f>IF(A12="","",IF('Additional Information'!D12="","",SUM('Additional Information'!D12)))</f>
        <v>1.1999999999999999E-3</v>
      </c>
      <c r="F12" t="str">
        <f>IF(A12="","",IF(OR('Additional Information'!G12="",'Additional Information'!G12="-"),"",'Additional Information'!G12))</f>
        <v/>
      </c>
      <c r="G12" t="str">
        <f>IF(A12="","",IF(OR('Additional Information'!H12="",'Additional Information'!H12="-"),"",'Additional Information'!H12))</f>
        <v/>
      </c>
    </row>
    <row r="13" spans="1:7" x14ac:dyDescent="0.25">
      <c r="A13" t="str">
        <f>IF(Input!A14="","",Input!A14)</f>
        <v>MyMap 5 Select ESG Fund</v>
      </c>
      <c r="B13">
        <f>IF(A13="","",IF(OR('Additional Information'!E13="",'Additional Information'!E13="-"),"",'Additional Information'!E13))</f>
        <v>4.4699999999999997E-2</v>
      </c>
      <c r="C13">
        <f>IF(A13="","",IF(OR('Additional Information'!F13="",'Additional Information'!F13="-"),"",'Additional Information'!F13))</f>
        <v>0.12330000000000001</v>
      </c>
      <c r="D13" s="5">
        <f>IF(A13="","",SUM('Additional Information'!C13))</f>
        <v>1.7000000000000001E-3</v>
      </c>
      <c r="E13">
        <f>IF(A13="","",IF('Additional Information'!D13="","",SUM('Additional Information'!D13)))</f>
        <v>1.1999999999999999E-3</v>
      </c>
      <c r="F13">
        <f>IF(A13="","",IF(OR('Additional Information'!G13="",'Additional Information'!G13="-"),"",'Additional Information'!G13))</f>
        <v>0.10060000000000001</v>
      </c>
      <c r="G13" t="str">
        <f>IF(A13="","",IF(OR('Additional Information'!H13="",'Additional Information'!H13="-"),"",'Additional Information'!H13))</f>
        <v/>
      </c>
    </row>
    <row r="14" spans="1:7" x14ac:dyDescent="0.25">
      <c r="A14" t="str">
        <f>IF(Input!A15="","",Input!A15)</f>
        <v>MyMap 7 Select ESG Fund</v>
      </c>
      <c r="B14">
        <f>IF(A14="","",IF(OR('Additional Information'!E14="",'Additional Information'!E14="-"),"",'Additional Information'!E14))</f>
        <v>4.9599999999999998E-2</v>
      </c>
      <c r="C14">
        <f>IF(A14="","",IF(OR('Additional Information'!F14="",'Additional Information'!F14="-"),"",'Additional Information'!F14))</f>
        <v>0.15609999999999999</v>
      </c>
      <c r="D14" s="5">
        <f>IF(A14="","",SUM('Additional Information'!C14))</f>
        <v>1.7000000000000001E-3</v>
      </c>
      <c r="E14">
        <f>IF(A14="","",IF('Additional Information'!D14="","",SUM('Additional Information'!D14)))</f>
        <v>1.1999999999999999E-3</v>
      </c>
      <c r="F14" t="str">
        <f>IF(A14="","",IF(OR('Additional Information'!G14="",'Additional Information'!G14="-"),"",'Additional Information'!G14))</f>
        <v/>
      </c>
      <c r="G14" t="str">
        <f>IF(A14="","",IF(OR('Additional Information'!H14="",'Additional Information'!H14="-"),"",'Additional Information'!H14))</f>
        <v/>
      </c>
    </row>
    <row r="15" spans="1:7" x14ac:dyDescent="0.25">
      <c r="A15" t="str">
        <f>IF(Input!A16="","",Input!A16)</f>
        <v>MyMap 4 Select Income Fund</v>
      </c>
      <c r="B15">
        <f>IF(A15="","",IF(OR('Additional Information'!E15="",'Additional Information'!E15="-"),"",'Additional Information'!E15))</f>
        <v>3.5000000000000003E-2</v>
      </c>
      <c r="C15">
        <f>IF(A15="","",IF(OR('Additional Information'!F15="",'Additional Information'!F15="-"),"",'Additional Information'!F15))</f>
        <v>8.72E-2</v>
      </c>
      <c r="D15" s="5">
        <f>IF(A15="","",SUM('Additional Information'!C15))</f>
        <v>2.8000000000000004E-3</v>
      </c>
      <c r="E15">
        <f>IF(A15="","",IF('Additional Information'!D15="","",SUM('Additional Information'!D15)))</f>
        <v>2.3E-3</v>
      </c>
      <c r="F15" t="str">
        <f>IF(A15="","",IF(OR('Additional Information'!G15="",'Additional Information'!G15="-"),"",'Additional Information'!G15))</f>
        <v/>
      </c>
      <c r="G15" t="str">
        <f>IF(A15="","",IF(OR('Additional Information'!H15="",'Additional Information'!H15="-"),"",'Additional Information'!H15))</f>
        <v/>
      </c>
    </row>
    <row r="16" spans="1:7" x14ac:dyDescent="0.25">
      <c r="A16" t="str">
        <f>IF(Input!A17="","",Input!A17)</f>
        <v/>
      </c>
      <c r="B16" t="str">
        <f>IF(A16="","",IF(OR('Additional Information'!E16="",'Additional Information'!E16="-"),"",'Additional Information'!E16))</f>
        <v/>
      </c>
      <c r="C16" t="str">
        <f>IF(A16="","",IF(OR('Additional Information'!F16="",'Additional Information'!F16="-"),"",'Additional Information'!F16))</f>
        <v/>
      </c>
      <c r="D16" s="5" t="str">
        <f>IF(A16="","",SUM('Additional Information'!C16))</f>
        <v/>
      </c>
      <c r="E16" t="str">
        <f>IF(A16="","",IF('Additional Information'!D16="","",SUM('Additional Information'!D16)))</f>
        <v/>
      </c>
      <c r="F16" t="str">
        <f>IF(A16="","",IF(OR('Additional Information'!G16="",'Additional Information'!G16="-"),"",'Additional Information'!G16))</f>
        <v/>
      </c>
      <c r="G16" t="str">
        <f>IF(A16="","",IF(OR('Additional Information'!H16="",'Additional Information'!H16="-"),"",'Additional Information'!H16))</f>
        <v/>
      </c>
    </row>
    <row r="17" spans="1:7" x14ac:dyDescent="0.25">
      <c r="A17" t="str">
        <f>IF(Input!A18="","",Input!A18)</f>
        <v/>
      </c>
      <c r="B17" t="str">
        <f>IF(A17="","",IF(OR('Additional Information'!E17="",'Additional Information'!E17="-"),"",'Additional Information'!E17))</f>
        <v/>
      </c>
      <c r="C17" t="str">
        <f>IF(A17="","",IF(OR('Additional Information'!F17="",'Additional Information'!F17="-"),"",'Additional Information'!F17))</f>
        <v/>
      </c>
      <c r="D17" s="5" t="str">
        <f>IF(A17="","",SUM('Additional Information'!C17))</f>
        <v/>
      </c>
      <c r="E17" t="str">
        <f>IF(A17="","",IF('Additional Information'!D17="","",SUM('Additional Information'!D17)))</f>
        <v/>
      </c>
      <c r="F17" t="str">
        <f>IF(A17="","",IF(OR('Additional Information'!G17="",'Additional Information'!G17="-"),"",'Additional Information'!G17))</f>
        <v/>
      </c>
      <c r="G17" t="str">
        <f>IF(A17="","",IF(OR('Additional Information'!H17="",'Additional Information'!H17="-"),"",'Additional Information'!H17))</f>
        <v/>
      </c>
    </row>
    <row r="18" spans="1:7" x14ac:dyDescent="0.25">
      <c r="A18" t="str">
        <f>IF(Input!A19="","",Input!A19)</f>
        <v/>
      </c>
      <c r="B18" t="str">
        <f>IF(A18="","",IF(OR('Additional Information'!E18="",'Additional Information'!E18="-"),"",'Additional Information'!E18))</f>
        <v/>
      </c>
      <c r="C18" t="str">
        <f>IF(A18="","",IF(OR('Additional Information'!F18="",'Additional Information'!F18="-"),"",'Additional Information'!F18))</f>
        <v/>
      </c>
      <c r="D18" s="5" t="str">
        <f>IF(A18="","",SUM('Additional Information'!C18))</f>
        <v/>
      </c>
      <c r="E18" t="str">
        <f>IF(A18="","",IF('Additional Information'!D18="","",SUM('Additional Information'!D18)))</f>
        <v/>
      </c>
      <c r="F18" t="str">
        <f>IF(A18="","",IF(OR('Additional Information'!G18="",'Additional Information'!G18="-"),"",'Additional Information'!G18))</f>
        <v/>
      </c>
      <c r="G18" t="str">
        <f>IF(A18="","",IF(OR('Additional Information'!H18="",'Additional Information'!H18="-"),"",'Additional Information'!H18))</f>
        <v/>
      </c>
    </row>
    <row r="19" spans="1:7" x14ac:dyDescent="0.25">
      <c r="A19" t="str">
        <f>IF(Input!A20="","",Input!A20)</f>
        <v/>
      </c>
      <c r="B19" t="str">
        <f>IF(A19="","",IF(OR('Additional Information'!E19="",'Additional Information'!E19="-"),"",'Additional Information'!E19))</f>
        <v/>
      </c>
      <c r="C19" t="str">
        <f>IF(A19="","",IF(OR('Additional Information'!F19="",'Additional Information'!F19="-"),"",'Additional Information'!F19))</f>
        <v/>
      </c>
      <c r="D19" s="5" t="str">
        <f>IF(A19="","",SUM('Additional Information'!C19))</f>
        <v/>
      </c>
      <c r="E19" t="str">
        <f>IF(A19="","",IF('Additional Information'!D19="","",SUM('Additional Information'!D19)))</f>
        <v/>
      </c>
      <c r="F19" t="str">
        <f>IF(A19="","",IF(OR('Additional Information'!G19="",'Additional Information'!G19="-"),"",'Additional Information'!G19))</f>
        <v/>
      </c>
      <c r="G19" t="str">
        <f>IF(A19="","",IF(OR('Additional Information'!H19="",'Additional Information'!H19="-"),"",'Additional Information'!H19))</f>
        <v/>
      </c>
    </row>
    <row r="20" spans="1:7" x14ac:dyDescent="0.25">
      <c r="A20" t="str">
        <f>IF(Input!A21="","",Input!A21)</f>
        <v/>
      </c>
      <c r="B20" t="str">
        <f>IF(A20="","",IF(OR('Additional Information'!E20="",'Additional Information'!E20="-"),"",'Additional Information'!E20))</f>
        <v/>
      </c>
      <c r="C20" t="str">
        <f>IF(A20="","",IF(OR('Additional Information'!F20="",'Additional Information'!F20="-"),"",'Additional Information'!F20))</f>
        <v/>
      </c>
      <c r="D20" s="5" t="str">
        <f>IF(A20="","",SUM('Additional Information'!C20))</f>
        <v/>
      </c>
      <c r="E20" t="str">
        <f>IF(A20="","",IF('Additional Information'!D20="","",SUM('Additional Information'!D20)))</f>
        <v/>
      </c>
      <c r="F20" t="str">
        <f>IF(A20="","",IF(OR('Additional Information'!G20="",'Additional Information'!G20="-"),"",'Additional Information'!G20))</f>
        <v/>
      </c>
      <c r="G20" t="str">
        <f>IF(A20="","",IF(OR('Additional Information'!H20="",'Additional Information'!H20="-"),"",'Additional Information'!H20))</f>
        <v/>
      </c>
    </row>
    <row r="21" spans="1:7" x14ac:dyDescent="0.25">
      <c r="A21" t="str">
        <f>IF(Input!A22="","",Input!A22)</f>
        <v/>
      </c>
      <c r="B21" t="str">
        <f>IF(A21="","",IF(OR('Additional Information'!E21="",'Additional Information'!E21="-"),"",'Additional Information'!E21))</f>
        <v/>
      </c>
      <c r="C21" t="str">
        <f>IF(A21="","",IF(OR('Additional Information'!F21="",'Additional Information'!F21="-"),"",'Additional Information'!F21))</f>
        <v/>
      </c>
      <c r="D21" s="5" t="str">
        <f>IF(A21="","",SUM('Additional Information'!C21))</f>
        <v/>
      </c>
      <c r="E21" t="str">
        <f>IF(A21="","",IF('Additional Information'!D21="","",SUM('Additional Information'!D21)))</f>
        <v/>
      </c>
      <c r="F21" t="str">
        <f>IF(A21="","",IF(OR('Additional Information'!G21="",'Additional Information'!G21="-"),"",'Additional Information'!G21))</f>
        <v/>
      </c>
      <c r="G21" t="str">
        <f>IF(A21="","",IF(OR('Additional Information'!H21="",'Additional Information'!H21="-"),"",'Additional Information'!H21))</f>
        <v/>
      </c>
    </row>
    <row r="22" spans="1:7" x14ac:dyDescent="0.25">
      <c r="A22" t="str">
        <f>IF(Input!A23="","",Input!A23)</f>
        <v/>
      </c>
      <c r="B22" t="str">
        <f>IF(A22="","",IF(OR('Additional Information'!E22="",'Additional Information'!E22="-"),"",'Additional Information'!E22))</f>
        <v/>
      </c>
      <c r="C22" t="str">
        <f>IF(A22="","",IF(OR('Additional Information'!F22="",'Additional Information'!F22="-"),"",'Additional Information'!F22))</f>
        <v/>
      </c>
      <c r="D22" s="5" t="str">
        <f>IF(A22="","",SUM('Additional Information'!C22))</f>
        <v/>
      </c>
      <c r="E22" t="str">
        <f>IF(A22="","",IF('Additional Information'!D22="","",SUM('Additional Information'!D22)))</f>
        <v/>
      </c>
      <c r="F22" t="str">
        <f>IF(A22="","",IF(OR('Additional Information'!G22="",'Additional Information'!G22="-"),"",'Additional Information'!G22))</f>
        <v/>
      </c>
      <c r="G22" t="str">
        <f>IF(A22="","",IF(OR('Additional Information'!H22="",'Additional Information'!H22="-"),"",'Additional Information'!H22))</f>
        <v/>
      </c>
    </row>
    <row r="23" spans="1:7" x14ac:dyDescent="0.25">
      <c r="A23" t="str">
        <f>IF(Input!A24="","",Input!A24)</f>
        <v/>
      </c>
      <c r="B23" t="str">
        <f>IF(A23="","",IF(OR('Additional Information'!E23="",'Additional Information'!E23="-"),"",'Additional Information'!E23))</f>
        <v/>
      </c>
      <c r="C23" t="str">
        <f>IF(A23="","",IF(OR('Additional Information'!F23="",'Additional Information'!F23="-"),"",'Additional Information'!F23))</f>
        <v/>
      </c>
      <c r="D23" s="5" t="str">
        <f>IF(A23="","",SUM('Additional Information'!C23))</f>
        <v/>
      </c>
      <c r="E23" t="str">
        <f>IF(A23="","",IF('Additional Information'!D23="","",SUM('Additional Information'!D23)))</f>
        <v/>
      </c>
      <c r="F23" t="str">
        <f>IF(A23="","",IF(OR('Additional Information'!G23="",'Additional Information'!G23="-"),"",'Additional Information'!G23))</f>
        <v/>
      </c>
      <c r="G23" t="str">
        <f>IF(A23="","",IF(OR('Additional Information'!H23="",'Additional Information'!H23="-"),"",'Additional Information'!H23))</f>
        <v/>
      </c>
    </row>
    <row r="24" spans="1:7" x14ac:dyDescent="0.25">
      <c r="A24" t="str">
        <f>IF(Input!A25="","",Input!A25)</f>
        <v/>
      </c>
      <c r="B24" t="str">
        <f>IF(A24="","",IF(OR('Additional Information'!E24="",'Additional Information'!E24="-"),"",'Additional Information'!E24))</f>
        <v/>
      </c>
      <c r="C24" t="str">
        <f>IF(A24="","",IF(OR('Additional Information'!F24="",'Additional Information'!F24="-"),"",'Additional Information'!F24))</f>
        <v/>
      </c>
      <c r="D24" s="5" t="str">
        <f>IF(A24="","",SUM('Additional Information'!C24))</f>
        <v/>
      </c>
      <c r="E24" t="str">
        <f>IF(A24="","",IF('Additional Information'!D24="","",SUM('Additional Information'!D24)))</f>
        <v/>
      </c>
      <c r="F24" t="str">
        <f>IF(A24="","",IF(OR('Additional Information'!G24="",'Additional Information'!G24="-"),"",'Additional Information'!G24))</f>
        <v/>
      </c>
      <c r="G24" t="str">
        <f>IF(A24="","",IF(OR('Additional Information'!H24="",'Additional Information'!H24="-"),"",'Additional Information'!H24))</f>
        <v/>
      </c>
    </row>
    <row r="25" spans="1:7" x14ac:dyDescent="0.25">
      <c r="A25" t="str">
        <f>IF(Input!A26="","",Input!A26)</f>
        <v/>
      </c>
      <c r="B25" t="str">
        <f>IF(A25="","",IF(OR('Additional Information'!E25="",'Additional Information'!E25="-"),"",'Additional Information'!E25))</f>
        <v/>
      </c>
      <c r="C25" t="str">
        <f>IF(A25="","",IF(OR('Additional Information'!F25="",'Additional Information'!F25="-"),"",'Additional Information'!F25))</f>
        <v/>
      </c>
      <c r="D25" s="5" t="str">
        <f>IF(A25="","",SUM('Additional Information'!C25))</f>
        <v/>
      </c>
      <c r="E25" t="str">
        <f>IF(A25="","",IF('Additional Information'!D25="","",SUM('Additional Information'!D25)))</f>
        <v/>
      </c>
      <c r="F25" t="str">
        <f>IF(A25="","",IF(OR('Additional Information'!G25="",'Additional Information'!G25="-"),"",'Additional Information'!G25))</f>
        <v/>
      </c>
      <c r="G25" t="str">
        <f>IF(A25="","",IF(OR('Additional Information'!H25="",'Additional Information'!H25="-"),"",'Additional Information'!H25))</f>
        <v/>
      </c>
    </row>
    <row r="26" spans="1:7" x14ac:dyDescent="0.25">
      <c r="A26" t="str">
        <f>IF(Input!A27="","",Input!A27)</f>
        <v/>
      </c>
      <c r="B26" t="str">
        <f>IF(A26="","",IF(OR('Additional Information'!E26="",'Additional Information'!E26="-"),"",'Additional Information'!E26))</f>
        <v/>
      </c>
      <c r="C26" t="str">
        <f>IF(A26="","",IF(OR('Additional Information'!F26="",'Additional Information'!F26="-"),"",'Additional Information'!F26))</f>
        <v/>
      </c>
      <c r="D26" s="5" t="str">
        <f>IF(A26="","",SUM('Additional Information'!C26))</f>
        <v/>
      </c>
      <c r="E26" t="str">
        <f>IF(A26="","",IF('Additional Information'!D26="","",SUM('Additional Information'!D26)))</f>
        <v/>
      </c>
      <c r="F26" t="str">
        <f>IF(A26="","",IF(OR('Additional Information'!G26="",'Additional Information'!G26="-"),"",'Additional Information'!G26))</f>
        <v/>
      </c>
      <c r="G26" t="str">
        <f>IF(A26="","",IF(OR('Additional Information'!H26="",'Additional Information'!H26="-"),"",'Additional Information'!H26))</f>
        <v/>
      </c>
    </row>
    <row r="27" spans="1:7" x14ac:dyDescent="0.25">
      <c r="A27" t="str">
        <f>IF(Input!A28="","",Input!A28)</f>
        <v/>
      </c>
      <c r="B27" t="str">
        <f>IF(A27="","",IF(OR('Additional Information'!E27="",'Additional Information'!E27="-"),"",'Additional Information'!E27))</f>
        <v/>
      </c>
      <c r="C27" t="str">
        <f>IF(A27="","",IF(OR('Additional Information'!F27="",'Additional Information'!F27="-"),"",'Additional Information'!F27))</f>
        <v/>
      </c>
      <c r="D27" s="5" t="str">
        <f>IF(A27="","",SUM('Additional Information'!C27))</f>
        <v/>
      </c>
      <c r="E27" t="str">
        <f>IF(A27="","",IF('Additional Information'!D27="","",SUM('Additional Information'!D27)))</f>
        <v/>
      </c>
      <c r="F27" t="str">
        <f>IF(A27="","",IF(OR('Additional Information'!G27="",'Additional Information'!G27="-"),"",'Additional Information'!G27))</f>
        <v/>
      </c>
      <c r="G27" t="str">
        <f>IF(A27="","",IF(OR('Additional Information'!H27="",'Additional Information'!H27="-"),"",'Additional Information'!H27))</f>
        <v/>
      </c>
    </row>
    <row r="28" spans="1:7" x14ac:dyDescent="0.25">
      <c r="A28" t="str">
        <f>IF(Input!A29="","",Input!A29)</f>
        <v/>
      </c>
      <c r="B28" t="str">
        <f>IF(A28="","",IF(OR('Additional Information'!E28="",'Additional Information'!E28="-"),"",'Additional Information'!E28))</f>
        <v/>
      </c>
      <c r="C28" t="str">
        <f>IF(A28="","",IF(OR('Additional Information'!F28="",'Additional Information'!F28="-"),"",'Additional Information'!F28))</f>
        <v/>
      </c>
      <c r="D28" s="5" t="str">
        <f>IF(A28="","",SUM('Additional Information'!C28))</f>
        <v/>
      </c>
      <c r="E28" t="str">
        <f>IF(A28="","",IF('Additional Information'!D28="","",SUM('Additional Information'!D28)))</f>
        <v/>
      </c>
      <c r="F28" t="str">
        <f>IF(A28="","",IF(OR('Additional Information'!G28="",'Additional Information'!G28="-"),"",'Additional Information'!G28))</f>
        <v/>
      </c>
      <c r="G28" t="str">
        <f>IF(A28="","",IF(OR('Additional Information'!H28="",'Additional Information'!H28="-"),"",'Additional Information'!H28))</f>
        <v/>
      </c>
    </row>
    <row r="29" spans="1:7" x14ac:dyDescent="0.25">
      <c r="A29" t="str">
        <f>IF(Input!A30="","",Input!A30)</f>
        <v/>
      </c>
      <c r="B29" t="str">
        <f>IF(A29="","",IF(OR('Additional Information'!E29="",'Additional Information'!E29="-"),"",'Additional Information'!E29))</f>
        <v/>
      </c>
      <c r="C29" t="str">
        <f>IF(A29="","",IF(OR('Additional Information'!F29="",'Additional Information'!F29="-"),"",'Additional Information'!F29))</f>
        <v/>
      </c>
      <c r="D29" s="5" t="str">
        <f>IF(A29="","",SUM('Additional Information'!C29))</f>
        <v/>
      </c>
      <c r="E29" t="str">
        <f>IF(A29="","",IF('Additional Information'!D29="","",SUM('Additional Information'!D29)))</f>
        <v/>
      </c>
      <c r="F29" t="str">
        <f>IF(A29="","",IF(OR('Additional Information'!G29="",'Additional Information'!G29="-"),"",'Additional Information'!G29))</f>
        <v/>
      </c>
      <c r="G29" t="str">
        <f>IF(A29="","",IF(OR('Additional Information'!H29="",'Additional Information'!H29="-"),"",'Additional Information'!H29))</f>
        <v/>
      </c>
    </row>
    <row r="30" spans="1:7" x14ac:dyDescent="0.25">
      <c r="A30" t="str">
        <f>IF(Input!A31="","",Input!A31)</f>
        <v/>
      </c>
      <c r="B30" t="str">
        <f>IF(A30="","",IF(OR('Additional Information'!E30="",'Additional Information'!E30="-"),"",'Additional Information'!E30))</f>
        <v/>
      </c>
      <c r="C30" t="str">
        <f>IF(A30="","",IF(OR('Additional Information'!F30="",'Additional Information'!F30="-"),"",'Additional Information'!F30))</f>
        <v/>
      </c>
      <c r="D30" s="5" t="str">
        <f>IF(A30="","",SUM('Additional Information'!C30))</f>
        <v/>
      </c>
      <c r="E30" t="str">
        <f>IF(A30="","",IF('Additional Information'!D30="","",SUM('Additional Information'!D30)))</f>
        <v/>
      </c>
      <c r="F30" t="str">
        <f>IF(A30="","",IF(OR('Additional Information'!G30="",'Additional Information'!G30="-"),"",'Additional Information'!G30))</f>
        <v/>
      </c>
      <c r="G30" t="str">
        <f>IF(A30="","",IF(OR('Additional Information'!H30="",'Additional Information'!H30="-"),"",'Additional Information'!H30))</f>
        <v/>
      </c>
    </row>
    <row r="31" spans="1:7" x14ac:dyDescent="0.25">
      <c r="A31" t="str">
        <f>IF(Input!A32="","",Input!A32)</f>
        <v/>
      </c>
      <c r="B31" t="str">
        <f>IF(A31="","",IF(OR('Additional Information'!E31="",'Additional Information'!E31="-"),"",'Additional Information'!E31))</f>
        <v/>
      </c>
      <c r="C31" t="str">
        <f>IF(A31="","",IF(OR('Additional Information'!F31="",'Additional Information'!F31="-"),"",'Additional Information'!F31))</f>
        <v/>
      </c>
      <c r="D31" s="5" t="str">
        <f>IF(A31="","",SUM('Additional Information'!C31))</f>
        <v/>
      </c>
      <c r="E31" t="str">
        <f>IF(A31="","",IF('Additional Information'!D31="","",SUM('Additional Information'!D31)))</f>
        <v/>
      </c>
      <c r="F31" t="str">
        <f>IF(A31="","",IF(OR('Additional Information'!G31="",'Additional Information'!G31="-"),"",'Additional Information'!G31))</f>
        <v/>
      </c>
      <c r="G31" t="str">
        <f>IF(A31="","",IF(OR('Additional Information'!H31="",'Additional Information'!H31="-"),"",'Additional Information'!H31))</f>
        <v/>
      </c>
    </row>
    <row r="32" spans="1:7" x14ac:dyDescent="0.25">
      <c r="A32" t="str">
        <f>IF(Input!A33="","",Input!A33)</f>
        <v/>
      </c>
      <c r="B32" t="str">
        <f>IF(A32="","",IF(OR('Additional Information'!E32="",'Additional Information'!E32="-"),"",'Additional Information'!E32))</f>
        <v/>
      </c>
      <c r="C32" t="str">
        <f>IF(A32="","",IF(OR('Additional Information'!F32="",'Additional Information'!F32="-"),"",'Additional Information'!F32))</f>
        <v/>
      </c>
      <c r="D32" s="5" t="str">
        <f>IF(A32="","",SUM('Additional Information'!C32))</f>
        <v/>
      </c>
      <c r="E32" t="str">
        <f>IF(A32="","",IF('Additional Information'!D32="","",SUM('Additional Information'!D32)))</f>
        <v/>
      </c>
      <c r="F32" t="str">
        <f>IF(A32="","",IF(OR('Additional Information'!G32="",'Additional Information'!G32="-"),"",'Additional Information'!G32))</f>
        <v/>
      </c>
      <c r="G32" t="str">
        <f>IF(A32="","",IF(OR('Additional Information'!H32="",'Additional Information'!H32="-"),"",'Additional Information'!H32))</f>
        <v/>
      </c>
    </row>
    <row r="33" spans="1:7" x14ac:dyDescent="0.25">
      <c r="A33" t="str">
        <f>IF(Input!A34="","",Input!A34)</f>
        <v/>
      </c>
      <c r="B33" t="str">
        <f>IF(A33="","",IF(OR('Additional Information'!E33="",'Additional Information'!E33="-"),"",'Additional Information'!E33))</f>
        <v/>
      </c>
      <c r="C33" t="str">
        <f>IF(A33="","",IF(OR('Additional Information'!F33="",'Additional Information'!F33="-"),"",'Additional Information'!F33))</f>
        <v/>
      </c>
      <c r="D33" s="5" t="str">
        <f>IF(A33="","",SUM('Additional Information'!C33))</f>
        <v/>
      </c>
      <c r="E33" t="str">
        <f>IF(A33="","",IF('Additional Information'!D33="","",SUM('Additional Information'!D33)))</f>
        <v/>
      </c>
      <c r="F33" t="str">
        <f>IF(A33="","",IF(OR('Additional Information'!G33="",'Additional Information'!G33="-"),"",'Additional Information'!G33))</f>
        <v/>
      </c>
      <c r="G33" t="str">
        <f>IF(A33="","",IF(OR('Additional Information'!H33="",'Additional Information'!H33="-"),"",'Additional Information'!H33))</f>
        <v/>
      </c>
    </row>
    <row r="34" spans="1:7" x14ac:dyDescent="0.25">
      <c r="A34" t="str">
        <f>IF(Input!A35="","",Input!A35)</f>
        <v/>
      </c>
      <c r="B34" t="str">
        <f>IF(A34="","",IF(OR('Additional Information'!E34="",'Additional Information'!E34="-"),"",'Additional Information'!E34))</f>
        <v/>
      </c>
      <c r="C34" t="str">
        <f>IF(A34="","",IF(OR('Additional Information'!F34="",'Additional Information'!F34="-"),"",'Additional Information'!F34))</f>
        <v/>
      </c>
      <c r="D34" s="5" t="str">
        <f>IF(A34="","",SUM('Additional Information'!C34))</f>
        <v/>
      </c>
      <c r="E34" t="str">
        <f>IF(A34="","",IF('Additional Information'!D34="","",SUM('Additional Information'!D34)))</f>
        <v/>
      </c>
      <c r="F34" t="str">
        <f>IF(A34="","",IF(OR('Additional Information'!G34="",'Additional Information'!G34="-"),"",'Additional Information'!G34))</f>
        <v/>
      </c>
      <c r="G34" t="str">
        <f>IF(A34="","",IF(OR('Additional Information'!H34="",'Additional Information'!H34="-"),"",'Additional Information'!H34))</f>
        <v/>
      </c>
    </row>
    <row r="35" spans="1:7" x14ac:dyDescent="0.25">
      <c r="A35" t="str">
        <f>IF(Input!A36="","",Input!A36)</f>
        <v/>
      </c>
      <c r="B35" t="str">
        <f>IF(A35="","",IF(OR('Additional Information'!E35="",'Additional Information'!E35="-"),"",'Additional Information'!E35))</f>
        <v/>
      </c>
      <c r="C35" t="str">
        <f>IF(A35="","",IF(OR('Additional Information'!F35="",'Additional Information'!F35="-"),"",'Additional Information'!F35))</f>
        <v/>
      </c>
      <c r="D35" s="5" t="str">
        <f>IF(A35="","",SUM('Additional Information'!C35))</f>
        <v/>
      </c>
      <c r="E35" t="str">
        <f>IF(A35="","",IF('Additional Information'!D35="","",SUM('Additional Information'!D35)))</f>
        <v/>
      </c>
      <c r="F35" t="str">
        <f>IF(A35="","",IF(OR('Additional Information'!G35="",'Additional Information'!G35="-"),"",'Additional Information'!G35))</f>
        <v/>
      </c>
      <c r="G35" t="str">
        <f>IF(A35="","",IF(OR('Additional Information'!H35="",'Additional Information'!H35="-"),"",'Additional Information'!H35))</f>
        <v/>
      </c>
    </row>
    <row r="36" spans="1:7" x14ac:dyDescent="0.25">
      <c r="A36" t="str">
        <f>IF(Input!A37="","",Input!A37)</f>
        <v/>
      </c>
      <c r="B36" t="str">
        <f>IF(A36="","",IF(OR('Additional Information'!E36="",'Additional Information'!E36="-"),"",'Additional Information'!E36))</f>
        <v/>
      </c>
      <c r="C36" t="str">
        <f>IF(A36="","",IF(OR('Additional Information'!F36="",'Additional Information'!F36="-"),"",'Additional Information'!F36))</f>
        <v/>
      </c>
      <c r="D36" s="5" t="str">
        <f>IF(A36="","",SUM('Additional Information'!C36))</f>
        <v/>
      </c>
      <c r="E36" t="str">
        <f>IF(A36="","",IF('Additional Information'!D36="","",SUM('Additional Information'!D36)))</f>
        <v/>
      </c>
      <c r="F36" t="str">
        <f>IF(A36="","",IF(OR('Additional Information'!G36="",'Additional Information'!G36="-"),"",'Additional Information'!G36))</f>
        <v/>
      </c>
      <c r="G36" t="str">
        <f>IF(A36="","",IF(OR('Additional Information'!H36="",'Additional Information'!H36="-"),"",'Additional Information'!H36))</f>
        <v/>
      </c>
    </row>
    <row r="37" spans="1:7" x14ac:dyDescent="0.25">
      <c r="A37" t="str">
        <f>IF(Input!A38="","",Input!A38)</f>
        <v/>
      </c>
      <c r="B37" t="str">
        <f>IF(A37="","",IF(OR('Additional Information'!E37="",'Additional Information'!E37="-"),"",'Additional Information'!E37))</f>
        <v/>
      </c>
      <c r="C37" t="str">
        <f>IF(A37="","",IF(OR('Additional Information'!F37="",'Additional Information'!F37="-"),"",'Additional Information'!F37))</f>
        <v/>
      </c>
      <c r="D37" s="5" t="str">
        <f>IF(A37="","",SUM('Additional Information'!C37))</f>
        <v/>
      </c>
      <c r="E37" t="str">
        <f>IF(A37="","",IF('Additional Information'!D37="","",SUM('Additional Information'!D37)))</f>
        <v/>
      </c>
      <c r="F37" t="str">
        <f>IF(A37="","",IF(OR('Additional Information'!G37="",'Additional Information'!G37="-"),"",'Additional Information'!G37))</f>
        <v/>
      </c>
      <c r="G37" t="str">
        <f>IF(A37="","",IF(OR('Additional Information'!H37="",'Additional Information'!H37="-"),"",'Additional Information'!H37))</f>
        <v/>
      </c>
    </row>
    <row r="38" spans="1:7" x14ac:dyDescent="0.25">
      <c r="A38" t="str">
        <f>IF(Input!A39="","",Input!A39)</f>
        <v/>
      </c>
      <c r="B38" t="str">
        <f>IF(A38="","",IF(OR('Additional Information'!E38="",'Additional Information'!E38="-"),"",'Additional Information'!E38))</f>
        <v/>
      </c>
      <c r="C38" t="str">
        <f>IF(A38="","",IF(OR('Additional Information'!F38="",'Additional Information'!F38="-"),"",'Additional Information'!F38))</f>
        <v/>
      </c>
      <c r="D38" s="5" t="str">
        <f>IF(A38="","",SUM('Additional Information'!C38))</f>
        <v/>
      </c>
      <c r="E38" t="str">
        <f>IF(A38="","",IF('Additional Information'!D38="","",SUM('Additional Information'!D38)))</f>
        <v/>
      </c>
      <c r="F38" t="str">
        <f>IF(A38="","",IF(OR('Additional Information'!G38="",'Additional Information'!G38="-"),"",'Additional Information'!G38))</f>
        <v/>
      </c>
      <c r="G38" t="str">
        <f>IF(A38="","",IF(OR('Additional Information'!H38="",'Additional Information'!H38="-"),"",'Additional Information'!H38))</f>
        <v/>
      </c>
    </row>
    <row r="39" spans="1:7" x14ac:dyDescent="0.25">
      <c r="A39" t="str">
        <f>IF(Input!A40="","",Input!A40)</f>
        <v/>
      </c>
      <c r="B39" t="str">
        <f>IF(A39="","",IF(OR('Additional Information'!E39="",'Additional Information'!E39="-"),"",'Additional Information'!E39))</f>
        <v/>
      </c>
      <c r="C39" t="str">
        <f>IF(A39="","",IF(OR('Additional Information'!F39="",'Additional Information'!F39="-"),"",'Additional Information'!F39))</f>
        <v/>
      </c>
      <c r="D39" s="5" t="str">
        <f>IF(A39="","",SUM('Additional Information'!C39))</f>
        <v/>
      </c>
      <c r="E39" t="str">
        <f>IF(A39="","",IF('Additional Information'!D39="","",SUM('Additional Information'!D39)))</f>
        <v/>
      </c>
      <c r="F39" t="str">
        <f>IF(A39="","",IF(OR('Additional Information'!G39="",'Additional Information'!G39="-"),"",'Additional Information'!G39))</f>
        <v/>
      </c>
      <c r="G39" t="str">
        <f>IF(A39="","",IF(OR('Additional Information'!H39="",'Additional Information'!H39="-"),"",'Additional Information'!H39))</f>
        <v/>
      </c>
    </row>
    <row r="40" spans="1:7" x14ac:dyDescent="0.25">
      <c r="A40" t="str">
        <f>IF(Input!A41="","",Input!A41)</f>
        <v/>
      </c>
      <c r="B40" t="str">
        <f>IF(A40="","",IF(OR('Additional Information'!E40="",'Additional Information'!E40="-"),"",'Additional Information'!E40))</f>
        <v/>
      </c>
      <c r="C40" t="str">
        <f>IF(A40="","",IF(OR('Additional Information'!F40="",'Additional Information'!F40="-"),"",'Additional Information'!F40))</f>
        <v/>
      </c>
      <c r="D40" s="5" t="str">
        <f>IF(A40="","",SUM('Additional Information'!C40))</f>
        <v/>
      </c>
      <c r="E40" t="str">
        <f>IF(A40="","",IF('Additional Information'!D40="","",SUM('Additional Information'!D40)))</f>
        <v/>
      </c>
      <c r="F40" t="str">
        <f>IF(A40="","",IF(OR('Additional Information'!G40="",'Additional Information'!G40="-"),"",'Additional Information'!G40))</f>
        <v/>
      </c>
      <c r="G40" t="str">
        <f>IF(A40="","",IF(OR('Additional Information'!H40="",'Additional Information'!H40="-"),"",'Additional Information'!H40))</f>
        <v/>
      </c>
    </row>
    <row r="41" spans="1:7" x14ac:dyDescent="0.25">
      <c r="A41" t="str">
        <f>IF(Input!A42="","",Input!A42)</f>
        <v/>
      </c>
      <c r="B41" t="str">
        <f>IF(A41="","",IF(OR('Additional Information'!E41="",'Additional Information'!E41="-"),"",'Additional Information'!E41))</f>
        <v/>
      </c>
      <c r="C41" t="str">
        <f>IF(A41="","",IF(OR('Additional Information'!F41="",'Additional Information'!F41="-"),"",'Additional Information'!F41))</f>
        <v/>
      </c>
      <c r="D41" s="5" t="str">
        <f>IF(A41="","",SUM('Additional Information'!C41))</f>
        <v/>
      </c>
      <c r="E41" t="str">
        <f>IF(A41="","",IF('Additional Information'!D41="","",SUM('Additional Information'!D41)))</f>
        <v/>
      </c>
      <c r="F41" t="str">
        <f>IF(A41="","",IF(OR('Additional Information'!G41="",'Additional Information'!G41="-"),"",'Additional Information'!G41))</f>
        <v/>
      </c>
      <c r="G41" t="str">
        <f>IF(A41="","",IF(OR('Additional Information'!H41="",'Additional Information'!H41="-"),"",'Additional Information'!H41))</f>
        <v/>
      </c>
    </row>
    <row r="42" spans="1:7" x14ac:dyDescent="0.25">
      <c r="A42" t="str">
        <f>IF(Input!A43="","",Input!A43)</f>
        <v/>
      </c>
      <c r="B42" t="str">
        <f>IF(A42="","",IF(OR('Additional Information'!E42="",'Additional Information'!E42="-"),"",'Additional Information'!E42))</f>
        <v/>
      </c>
      <c r="C42" t="str">
        <f>IF(A42="","",IF(OR('Additional Information'!F42="",'Additional Information'!F42="-"),"",'Additional Information'!F42))</f>
        <v/>
      </c>
      <c r="D42" s="5" t="str">
        <f>IF(A42="","",SUM('Additional Information'!C42))</f>
        <v/>
      </c>
      <c r="E42" t="str">
        <f>IF(A42="","",IF('Additional Information'!D42="","",SUM('Additional Information'!D42)))</f>
        <v/>
      </c>
      <c r="F42" t="str">
        <f>IF(A42="","",IF(OR('Additional Information'!G42="",'Additional Information'!G42="-"),"",'Additional Information'!G42))</f>
        <v/>
      </c>
      <c r="G42" t="str">
        <f>IF(A42="","",IF(OR('Additional Information'!H42="",'Additional Information'!H42="-"),"",'Additional Information'!H42))</f>
        <v/>
      </c>
    </row>
    <row r="43" spans="1:7" x14ac:dyDescent="0.25">
      <c r="A43" t="str">
        <f>IF(Input!A44="","",Input!A44)</f>
        <v/>
      </c>
      <c r="B43" t="str">
        <f>IF(A43="","",IF(OR('Additional Information'!E43="",'Additional Information'!E43="-"),"",'Additional Information'!E43))</f>
        <v/>
      </c>
      <c r="C43" t="str">
        <f>IF(A43="","",IF(OR('Additional Information'!F43="",'Additional Information'!F43="-"),"",'Additional Information'!F43))</f>
        <v/>
      </c>
      <c r="D43" s="5" t="str">
        <f>IF(A43="","",SUM('Additional Information'!C43))</f>
        <v/>
      </c>
      <c r="E43" t="str">
        <f>IF(A43="","",IF('Additional Information'!D43="","",SUM('Additional Information'!D43)))</f>
        <v/>
      </c>
      <c r="F43" t="str">
        <f>IF(A43="","",IF(OR('Additional Information'!G43="",'Additional Information'!G43="-"),"",'Additional Information'!G43))</f>
        <v/>
      </c>
      <c r="G43" t="str">
        <f>IF(A43="","",IF(OR('Additional Information'!H43="",'Additional Information'!H43="-"),"",'Additional Information'!H43))</f>
        <v/>
      </c>
    </row>
    <row r="44" spans="1:7" x14ac:dyDescent="0.25">
      <c r="A44" t="str">
        <f>IF(Input!A45="","",Input!A45)</f>
        <v/>
      </c>
      <c r="B44" t="str">
        <f>IF(A44="","",IF(OR('Additional Information'!E44="",'Additional Information'!E44="-"),"",'Additional Information'!E44))</f>
        <v/>
      </c>
      <c r="C44" t="str">
        <f>IF(A44="","",IF(OR('Additional Information'!F44="",'Additional Information'!F44="-"),"",'Additional Information'!F44))</f>
        <v/>
      </c>
      <c r="D44" s="5" t="str">
        <f>IF(A44="","",SUM('Additional Information'!C44))</f>
        <v/>
      </c>
      <c r="E44" t="str">
        <f>IF(A44="","",IF('Additional Information'!D44="","",SUM('Additional Information'!D44)))</f>
        <v/>
      </c>
      <c r="F44" t="str">
        <f>IF(A44="","",IF(OR('Additional Information'!G44="",'Additional Information'!G44="-"),"",'Additional Information'!G44))</f>
        <v/>
      </c>
      <c r="G44" t="str">
        <f>IF(A44="","",IF(OR('Additional Information'!H44="",'Additional Information'!H44="-"),"",'Additional Information'!H44))</f>
        <v/>
      </c>
    </row>
    <row r="45" spans="1:7" x14ac:dyDescent="0.25">
      <c r="A45" t="str">
        <f>IF(Input!A46="","",Input!A46)</f>
        <v/>
      </c>
      <c r="B45" t="str">
        <f>IF(A45="","",IF(OR('Additional Information'!E45="",'Additional Information'!E45="-"),"",'Additional Information'!E45))</f>
        <v/>
      </c>
      <c r="C45" t="str">
        <f>IF(A45="","",IF(OR('Additional Information'!F45="",'Additional Information'!F45="-"),"",'Additional Information'!F45))</f>
        <v/>
      </c>
      <c r="D45" s="5" t="str">
        <f>IF(A45="","",SUM('Additional Information'!C45))</f>
        <v/>
      </c>
      <c r="E45" t="str">
        <f>IF(A45="","",IF('Additional Information'!D45="","",SUM('Additional Information'!D45)))</f>
        <v/>
      </c>
      <c r="F45" t="str">
        <f>IF(A45="","",IF(OR('Additional Information'!G45="",'Additional Information'!G45="-"),"",'Additional Information'!G45))</f>
        <v/>
      </c>
      <c r="G45" t="str">
        <f>IF(A45="","",IF(OR('Additional Information'!H45="",'Additional Information'!H45="-"),"",'Additional Information'!H45))</f>
        <v/>
      </c>
    </row>
    <row r="46" spans="1:7" x14ac:dyDescent="0.25">
      <c r="A46" t="str">
        <f>IF(Input!A47="","",Input!A47)</f>
        <v/>
      </c>
      <c r="B46" t="str">
        <f>IF(A46="","",IF(OR('Additional Information'!E46="",'Additional Information'!E46="-"),"",'Additional Information'!E46))</f>
        <v/>
      </c>
      <c r="C46" t="str">
        <f>IF(A46="","",IF(OR('Additional Information'!F46="",'Additional Information'!F46="-"),"",'Additional Information'!F46))</f>
        <v/>
      </c>
      <c r="D46" s="5" t="str">
        <f>IF(A46="","",SUM('Additional Information'!C46))</f>
        <v/>
      </c>
      <c r="E46" t="str">
        <f>IF(A46="","",IF('Additional Information'!D46="","",SUM('Additional Information'!D46)))</f>
        <v/>
      </c>
      <c r="F46" t="str">
        <f>IF(A46="","",IF(OR('Additional Information'!G46="",'Additional Information'!G46="-"),"",'Additional Information'!G46))</f>
        <v/>
      </c>
      <c r="G46" t="str">
        <f>IF(A46="","",IF(OR('Additional Information'!H46="",'Additional Information'!H46="-"),"",'Additional Information'!H46))</f>
        <v/>
      </c>
    </row>
    <row r="47" spans="1:7" x14ac:dyDescent="0.25">
      <c r="A47" t="str">
        <f>IF(Input!A48="","",Input!A48)</f>
        <v/>
      </c>
      <c r="B47" t="str">
        <f>IF(A47="","",IF(OR('Additional Information'!E47="",'Additional Information'!E47="-"),"",'Additional Information'!E47))</f>
        <v/>
      </c>
      <c r="C47" t="str">
        <f>IF(A47="","",IF(OR('Additional Information'!F47="",'Additional Information'!F47="-"),"",'Additional Information'!F47))</f>
        <v/>
      </c>
      <c r="D47" s="5" t="str">
        <f>IF(A47="","",SUM('Additional Information'!C47))</f>
        <v/>
      </c>
      <c r="E47" t="str">
        <f>IF(A47="","",IF('Additional Information'!D47="","",SUM('Additional Information'!D47)))</f>
        <v/>
      </c>
      <c r="F47" t="str">
        <f>IF(A47="","",IF(OR('Additional Information'!G47="",'Additional Information'!G47="-"),"",'Additional Information'!G47))</f>
        <v/>
      </c>
      <c r="G47" t="str">
        <f>IF(A47="","",IF(OR('Additional Information'!H47="",'Additional Information'!H47="-"),"",'Additional Information'!H47))</f>
        <v/>
      </c>
    </row>
    <row r="48" spans="1:7" x14ac:dyDescent="0.25">
      <c r="A48" t="str">
        <f>IF(Input!A49="","",Input!A49)</f>
        <v/>
      </c>
      <c r="B48" t="str">
        <f>IF(A48="","",IF(OR('Additional Information'!E48="",'Additional Information'!E48="-"),"",'Additional Information'!E48))</f>
        <v/>
      </c>
      <c r="C48" t="str">
        <f>IF(A48="","",IF(OR('Additional Information'!F48="",'Additional Information'!F48="-"),"",'Additional Information'!F48))</f>
        <v/>
      </c>
      <c r="D48" s="5" t="str">
        <f>IF(A48="","",SUM('Additional Information'!C48))</f>
        <v/>
      </c>
      <c r="E48" t="str">
        <f>IF(A48="","",IF('Additional Information'!D48="","",SUM('Additional Information'!D48)))</f>
        <v/>
      </c>
      <c r="F48" t="str">
        <f>IF(A48="","",IF(OR('Additional Information'!G48="",'Additional Information'!G48="-"),"",'Additional Information'!G48))</f>
        <v/>
      </c>
      <c r="G48" t="str">
        <f>IF(A48="","",IF(OR('Additional Information'!H48="",'Additional Information'!H48="-"),"",'Additional Information'!H48))</f>
        <v/>
      </c>
    </row>
    <row r="49" spans="1:7" x14ac:dyDescent="0.25">
      <c r="A49" t="str">
        <f>IF(Input!A50="","",Input!A50)</f>
        <v/>
      </c>
      <c r="B49" t="str">
        <f>IF(A49="","",IF(OR('Additional Information'!E49="",'Additional Information'!E49="-"),"",'Additional Information'!E49))</f>
        <v/>
      </c>
      <c r="C49" t="str">
        <f>IF(A49="","",IF(OR('Additional Information'!F49="",'Additional Information'!F49="-"),"",'Additional Information'!F49))</f>
        <v/>
      </c>
      <c r="D49" s="5" t="str">
        <f>IF(A49="","",SUM('Additional Information'!C49))</f>
        <v/>
      </c>
      <c r="E49" t="str">
        <f>IF(A49="","",IF('Additional Information'!D49="","",SUM('Additional Information'!D49)))</f>
        <v/>
      </c>
      <c r="F49" t="str">
        <f>IF(A49="","",IF(OR('Additional Information'!G49="",'Additional Information'!G49="-"),"",'Additional Information'!G49))</f>
        <v/>
      </c>
      <c r="G49" t="str">
        <f>IF(A49="","",IF(OR('Additional Information'!H49="",'Additional Information'!H49="-"),"",'Additional Information'!H49))</f>
        <v/>
      </c>
    </row>
    <row r="50" spans="1:7" x14ac:dyDescent="0.25">
      <c r="A50" t="str">
        <f>IF(Input!A51="","",Input!A51)</f>
        <v/>
      </c>
      <c r="B50" t="str">
        <f>IF(A50="","",IF(OR('Additional Information'!E50="",'Additional Information'!E50="-"),"",'Additional Information'!E50))</f>
        <v/>
      </c>
      <c r="C50" t="str">
        <f>IF(A50="","",IF(OR('Additional Information'!F50="",'Additional Information'!F50="-"),"",'Additional Information'!F50))</f>
        <v/>
      </c>
      <c r="D50" s="5" t="str">
        <f>IF(A50="","",SUM('Additional Information'!C50))</f>
        <v/>
      </c>
      <c r="E50" t="str">
        <f>IF(A50="","",IF('Additional Information'!D50="","",SUM('Additional Information'!D50)))</f>
        <v/>
      </c>
      <c r="F50" t="str">
        <f>IF(A50="","",IF(OR('Additional Information'!G50="",'Additional Information'!G50="-"),"",'Additional Information'!G50))</f>
        <v/>
      </c>
      <c r="G50" t="str">
        <f>IF(A50="","",IF(OR('Additional Information'!H50="",'Additional Information'!H50="-"),"",'Additional Information'!H50))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24</v>
      </c>
    </row>
    <row r="2" spans="1:8" x14ac:dyDescent="0.25">
      <c r="A2" t="str">
        <f>IF(Input!A3="","",Input!A3)</f>
        <v>BlackRock Consensus 85 Fund</v>
      </c>
      <c r="B2" t="str">
        <f>IF(A2="","",IF('Asset Allocation'!C2="","",SUM('Asset Allocation'!C2)))</f>
        <v/>
      </c>
      <c r="C2" t="str">
        <f>IF(A2="","",IF('Asset Allocation'!B2="","",SUM('Asset Allocation'!B2)))</f>
        <v/>
      </c>
      <c r="F2" t="str">
        <f>IF(A2="","",IF('Asset Allocation'!D2="","",SUM('Asset Allocation'!D2,'Asset Allocation'!E2)))</f>
        <v/>
      </c>
      <c r="G2" t="str">
        <f>IF(A2="","",IF('Asset Allocation'!F2="","",SUM('Asset Allocation'!F2)))</f>
        <v/>
      </c>
      <c r="H2">
        <f t="shared" ref="H2:H50" si="0">IF(A2="","",1-SUM(B2:G2))</f>
        <v>1</v>
      </c>
    </row>
    <row r="3" spans="1:8" x14ac:dyDescent="0.25">
      <c r="A3" t="str">
        <f>IF(Input!A4="","",Input!A4)</f>
        <v>BlackRock Consensus 100</v>
      </c>
      <c r="B3" t="str">
        <f>IF(A3="","",IF('Asset Allocation'!C3="","",SUM('Asset Allocation'!C3)))</f>
        <v/>
      </c>
      <c r="C3" t="str">
        <f>IF(A3="","",IF('Asset Allocation'!B3="","",SUM('Asset Allocation'!B3)))</f>
        <v/>
      </c>
      <c r="F3" t="str">
        <f>IF(A3="","",IF('Asset Allocation'!D3="","",SUM('Asset Allocation'!D3,'Asset Allocation'!E3)))</f>
        <v/>
      </c>
      <c r="G3" t="str">
        <f>IF(A3="","",IF('Asset Allocation'!F3="","",SUM('Asset Allocation'!F3)))</f>
        <v/>
      </c>
      <c r="H3">
        <f t="shared" si="0"/>
        <v>1</v>
      </c>
    </row>
    <row r="4" spans="1:8" x14ac:dyDescent="0.25">
      <c r="A4" t="str">
        <f>IF(Input!A5="","",Input!A5)</f>
        <v>BlackRock Consensus 35</v>
      </c>
      <c r="B4" t="str">
        <f>IF(A4="","",IF('Asset Allocation'!C4="","",SUM('Asset Allocation'!C4)))</f>
        <v/>
      </c>
      <c r="C4" t="str">
        <f>IF(A4="","",IF('Asset Allocation'!B4="","",SUM('Asset Allocation'!B4)))</f>
        <v/>
      </c>
      <c r="F4" t="str">
        <f>IF(A4="","",IF('Asset Allocation'!D4="","",SUM('Asset Allocation'!D4,'Asset Allocation'!E4)))</f>
        <v/>
      </c>
      <c r="G4" t="str">
        <f>IF(A4="","",IF('Asset Allocation'!F4="","",SUM('Asset Allocation'!F4)))</f>
        <v/>
      </c>
      <c r="H4">
        <f t="shared" si="0"/>
        <v>1</v>
      </c>
    </row>
    <row r="5" spans="1:8" x14ac:dyDescent="0.25">
      <c r="A5" t="str">
        <f>IF(Input!A6="","",Input!A6)</f>
        <v>BlackRock Consensus 60</v>
      </c>
      <c r="B5" t="str">
        <f>IF(A5="","",IF('Asset Allocation'!C5="","",SUM('Asset Allocation'!C5)))</f>
        <v/>
      </c>
      <c r="C5" t="str">
        <f>IF(A5="","",IF('Asset Allocation'!B5="","",SUM('Asset Allocation'!B5)))</f>
        <v/>
      </c>
      <c r="F5" t="str">
        <f>IF(A5="","",IF('Asset Allocation'!D5="","",SUM('Asset Allocation'!D5,'Asset Allocation'!E5)))</f>
        <v/>
      </c>
      <c r="G5" t="str">
        <f>IF(A5="","",IF('Asset Allocation'!F5="","",SUM('Asset Allocation'!F5)))</f>
        <v/>
      </c>
      <c r="H5">
        <f t="shared" si="0"/>
        <v>1</v>
      </c>
    </row>
    <row r="6" spans="1:8" x14ac:dyDescent="0.25">
      <c r="A6" t="str">
        <f>IF(Input!A7="","",Input!A7)</f>
        <v>BlackRock Consensus 70</v>
      </c>
      <c r="B6" t="str">
        <f>IF(A6="","",IF('Asset Allocation'!C6="","",SUM('Asset Allocation'!C6)))</f>
        <v/>
      </c>
      <c r="C6" t="str">
        <f>IF(A6="","",IF('Asset Allocation'!B6="","",SUM('Asset Allocation'!B6)))</f>
        <v/>
      </c>
      <c r="F6" t="str">
        <f>IF(A6="","",IF('Asset Allocation'!D6="","",SUM('Asset Allocation'!D6,'Asset Allocation'!E6)))</f>
        <v/>
      </c>
      <c r="G6" t="str">
        <f>IF(A6="","",IF('Asset Allocation'!F6="","",SUM('Asset Allocation'!F6)))</f>
        <v/>
      </c>
      <c r="H6">
        <f t="shared" si="0"/>
        <v>1</v>
      </c>
    </row>
    <row r="7" spans="1:8" x14ac:dyDescent="0.25">
      <c r="A7" t="str">
        <f>IF(Input!A8="","",Input!A8)</f>
        <v>BlackRock Pension Growth Fund</v>
      </c>
      <c r="B7">
        <f>IF(A7="","",IF('Asset Allocation'!C7="","",SUM('Asset Allocation'!C7)))</f>
        <v>0.64139999999999997</v>
      </c>
      <c r="C7">
        <f>IF(A7="","",IF('Asset Allocation'!B7="","",SUM('Asset Allocation'!B7)))</f>
        <v>0.33909999999999996</v>
      </c>
      <c r="F7">
        <f>IF(A7="","",IF('Asset Allocation'!D7="","",SUM('Asset Allocation'!D7,'Asset Allocation'!E7)))</f>
        <v>2.2000000000000001E-3</v>
      </c>
      <c r="G7" t="str">
        <f>IF(A7="","",IF('Asset Allocation'!F7="","",SUM('Asset Allocation'!F7)))</f>
        <v/>
      </c>
      <c r="H7">
        <f t="shared" si="0"/>
        <v>1.7300000000000093E-2</v>
      </c>
    </row>
    <row r="8" spans="1:8" x14ac:dyDescent="0.25">
      <c r="A8" t="str">
        <f>IF(Input!A9="","",Input!A9)</f>
        <v>MyMap 3</v>
      </c>
      <c r="B8">
        <f>IF(A8="","",IF('Asset Allocation'!C8="","",SUM('Asset Allocation'!C8)))</f>
        <v>0.21329999999999999</v>
      </c>
      <c r="C8">
        <f>IF(A8="","",IF('Asset Allocation'!B8="","",SUM('Asset Allocation'!B8)))</f>
        <v>0.73840000000000006</v>
      </c>
      <c r="F8">
        <f>IF(A8="","",IF('Asset Allocation'!D8="","",SUM('Asset Allocation'!D8,'Asset Allocation'!E8)))</f>
        <v>2.76E-2</v>
      </c>
      <c r="G8">
        <f>IF(A8="","",IF('Asset Allocation'!F8="","",SUM('Asset Allocation'!F8)))</f>
        <v>2.07E-2</v>
      </c>
      <c r="H8">
        <f t="shared" si="0"/>
        <v>0</v>
      </c>
    </row>
    <row r="9" spans="1:8" x14ac:dyDescent="0.25">
      <c r="A9" t="str">
        <f>IF(Input!A10="","",Input!A10)</f>
        <v>MyMap 4</v>
      </c>
      <c r="B9">
        <f>IF(A9="","",IF('Asset Allocation'!C9="","",SUM('Asset Allocation'!C9)))</f>
        <v>0.4718</v>
      </c>
      <c r="C9">
        <f>IF(A9="","",IF('Asset Allocation'!B9="","",SUM('Asset Allocation'!B9)))</f>
        <v>0.48</v>
      </c>
      <c r="F9">
        <f>IF(A9="","",IF('Asset Allocation'!D9="","",SUM('Asset Allocation'!D9,'Asset Allocation'!E9)))</f>
        <v>2.9300000000000003E-2</v>
      </c>
      <c r="G9">
        <f>IF(A9="","",IF('Asset Allocation'!F9="","",SUM('Asset Allocation'!F9)))</f>
        <v>1.89E-2</v>
      </c>
      <c r="H9">
        <f t="shared" si="0"/>
        <v>0</v>
      </c>
    </row>
    <row r="10" spans="1:8" x14ac:dyDescent="0.25">
      <c r="A10" t="str">
        <f>IF(Input!A11="","",Input!A11)</f>
        <v>MyMap 5</v>
      </c>
      <c r="B10">
        <f>IF(A10="","",IF('Asset Allocation'!C10="","",SUM('Asset Allocation'!C10)))</f>
        <v>0.66</v>
      </c>
      <c r="C10">
        <f>IF(A10="","",IF('Asset Allocation'!B10="","",SUM('Asset Allocation'!B10)))</f>
        <v>0.29399999999999998</v>
      </c>
      <c r="F10">
        <f>IF(A10="","",IF('Asset Allocation'!D10="","",SUM('Asset Allocation'!D10,'Asset Allocation'!E10)))</f>
        <v>2.9300000000000003E-2</v>
      </c>
      <c r="G10">
        <f>IF(A10="","",IF('Asset Allocation'!F10="","",SUM('Asset Allocation'!F10)))</f>
        <v>1.67E-2</v>
      </c>
      <c r="H10">
        <f t="shared" si="0"/>
        <v>0</v>
      </c>
    </row>
    <row r="11" spans="1:8" x14ac:dyDescent="0.25">
      <c r="A11" t="str">
        <f>IF(Input!A12="","",Input!A12)</f>
        <v>MyMap 6</v>
      </c>
      <c r="B11">
        <f>IF(A11="","",IF('Asset Allocation'!C11="","",SUM('Asset Allocation'!C11)))</f>
        <v>0.86819999999999997</v>
      </c>
      <c r="C11">
        <f>IF(A11="","",IF('Asset Allocation'!B11="","",SUM('Asset Allocation'!B11)))</f>
        <v>7.6700000000000004E-2</v>
      </c>
      <c r="F11">
        <f>IF(A11="","",IF('Asset Allocation'!D11="","",SUM('Asset Allocation'!D11,'Asset Allocation'!E11)))</f>
        <v>4.2000000000000003E-2</v>
      </c>
      <c r="G11">
        <f>IF(A11="","",IF('Asset Allocation'!F11="","",SUM('Asset Allocation'!F11)))</f>
        <v>1.3100000000000001E-2</v>
      </c>
      <c r="H11">
        <f t="shared" si="0"/>
        <v>0</v>
      </c>
    </row>
    <row r="12" spans="1:8" x14ac:dyDescent="0.25">
      <c r="A12" t="str">
        <f>IF(Input!A13="","",Input!A13)</f>
        <v>MyMap 3 Select ESG Fund</v>
      </c>
      <c r="B12">
        <f>IF(A12="","",IF('Asset Allocation'!C12="","",SUM('Asset Allocation'!C12)))</f>
        <v>0.2407</v>
      </c>
      <c r="C12">
        <f>IF(A12="","",IF('Asset Allocation'!B12="","",SUM('Asset Allocation'!B12)))</f>
        <v>0.73919999999999997</v>
      </c>
      <c r="F12" t="str">
        <f>IF(A12="","",IF('Asset Allocation'!D12="","",SUM('Asset Allocation'!D12,'Asset Allocation'!E12)))</f>
        <v/>
      </c>
      <c r="G12">
        <f>IF(A12="","",IF('Asset Allocation'!F12="","",SUM('Asset Allocation'!F12)))</f>
        <v>2.0099999999999996E-2</v>
      </c>
      <c r="H12">
        <f t="shared" si="0"/>
        <v>0</v>
      </c>
    </row>
    <row r="13" spans="1:8" x14ac:dyDescent="0.25">
      <c r="A13" t="str">
        <f>IF(Input!A14="","",Input!A14)</f>
        <v>MyMap 5 Select ESG Fund</v>
      </c>
      <c r="B13">
        <f>IF(A13="","",IF('Asset Allocation'!C13="","",SUM('Asset Allocation'!C13)))</f>
        <v>0.68889999999999996</v>
      </c>
      <c r="C13">
        <f>IF(A13="","",IF('Asset Allocation'!B13="","",SUM('Asset Allocation'!B13)))</f>
        <v>0.29449999999999998</v>
      </c>
      <c r="F13" t="str">
        <f>IF(A13="","",IF('Asset Allocation'!D13="","",SUM('Asset Allocation'!D13,'Asset Allocation'!E13)))</f>
        <v/>
      </c>
      <c r="G13">
        <f>IF(A13="","",IF('Asset Allocation'!F13="","",SUM('Asset Allocation'!F13)))</f>
        <v>1.66E-2</v>
      </c>
      <c r="H13">
        <f t="shared" si="0"/>
        <v>1.1102230246251565E-16</v>
      </c>
    </row>
    <row r="14" spans="1:8" x14ac:dyDescent="0.25">
      <c r="A14" t="str">
        <f>IF(Input!A15="","",Input!A15)</f>
        <v>MyMap 7 Select ESG Fund</v>
      </c>
      <c r="B14">
        <f>IF(A14="","",IF('Asset Allocation'!C14="","",SUM('Asset Allocation'!C14)))</f>
        <v>0.98849999999999993</v>
      </c>
      <c r="C14" t="str">
        <f>IF(A14="","",IF('Asset Allocation'!B14="","",SUM('Asset Allocation'!B14)))</f>
        <v/>
      </c>
      <c r="F14" t="str">
        <f>IF(A14="","",IF('Asset Allocation'!D14="","",SUM('Asset Allocation'!D14,'Asset Allocation'!E14)))</f>
        <v/>
      </c>
      <c r="G14">
        <f>IF(A14="","",IF('Asset Allocation'!F14="","",SUM('Asset Allocation'!F14)))</f>
        <v>1.15E-2</v>
      </c>
      <c r="H14">
        <f t="shared" si="0"/>
        <v>1.1102230246251565E-16</v>
      </c>
    </row>
    <row r="15" spans="1:8" x14ac:dyDescent="0.25">
      <c r="A15" t="str">
        <f>IF(Input!A16="","",Input!A16)</f>
        <v>MyMap 4 Select Income Fund</v>
      </c>
      <c r="B15">
        <f>IF(A15="","",IF('Asset Allocation'!C15="","",SUM('Asset Allocation'!C15)))</f>
        <v>0.35969999999999996</v>
      </c>
      <c r="C15">
        <f>IF(A15="","",IF('Asset Allocation'!B15="","",SUM('Asset Allocation'!B15)))</f>
        <v>0.624</v>
      </c>
      <c r="F15" t="str">
        <f>IF(A15="","",IF('Asset Allocation'!D15="","",SUM('Asset Allocation'!D15,'Asset Allocation'!E15)))</f>
        <v/>
      </c>
      <c r="G15">
        <f>IF(A15="","",IF('Asset Allocation'!F15="","",SUM('Asset Allocation'!F15)))</f>
        <v>1.6299999999999999E-2</v>
      </c>
      <c r="H15">
        <f t="shared" si="0"/>
        <v>0</v>
      </c>
    </row>
    <row r="16" spans="1:8" x14ac:dyDescent="0.25">
      <c r="A16" t="str">
        <f>IF(Input!A17="","",Input!A17)</f>
        <v/>
      </c>
      <c r="B16" t="str">
        <f>IF(A16="","",IF('Asset Allocation'!C16="","",SUM('Asset Allocation'!C16)))</f>
        <v/>
      </c>
      <c r="C16" t="str">
        <f>IF(A16="","",IF('Asset Allocation'!B16="","",SUM('Asset Allocation'!B16)))</f>
        <v/>
      </c>
      <c r="F16" t="str">
        <f>IF(A16="","",IF('Asset Allocation'!D16="","",SUM('Asset Allocation'!D16,'Asset Allocation'!E16)))</f>
        <v/>
      </c>
      <c r="G16" t="str">
        <f>IF(A16="","",IF('Asset Allocation'!F16="","",SUM('Asset Allocation'!F16)))</f>
        <v/>
      </c>
      <c r="H16" t="str">
        <f t="shared" si="0"/>
        <v/>
      </c>
    </row>
    <row r="17" spans="1:8" x14ac:dyDescent="0.25">
      <c r="A17" t="str">
        <f>IF(Input!A18="","",Input!A18)</f>
        <v/>
      </c>
      <c r="B17" t="str">
        <f>IF(A17="","",IF('Asset Allocation'!C17="","",SUM('Asset Allocation'!C17)))</f>
        <v/>
      </c>
      <c r="C17" t="str">
        <f>IF(A17="","",IF('Asset Allocation'!B17="","",SUM('Asset Allocation'!B17)))</f>
        <v/>
      </c>
      <c r="F17" t="str">
        <f>IF(A17="","",IF('Asset Allocation'!D17="","",SUM('Asset Allocation'!D17,'Asset Allocation'!E17)))</f>
        <v/>
      </c>
      <c r="G17" t="str">
        <f>IF(A17="","",IF('Asset Allocation'!F17="","",SUM('Asset Allocation'!F17)))</f>
        <v/>
      </c>
      <c r="H17" t="str">
        <f t="shared" si="0"/>
        <v/>
      </c>
    </row>
    <row r="18" spans="1:8" x14ac:dyDescent="0.25">
      <c r="A18" t="str">
        <f>IF(Input!A19="","",Input!A19)</f>
        <v/>
      </c>
      <c r="B18" t="str">
        <f>IF(A18="","",IF('Asset Allocation'!C18="","",SUM('Asset Allocation'!C18)))</f>
        <v/>
      </c>
      <c r="C18" t="str">
        <f>IF(A18="","",IF('Asset Allocation'!B18="","",SUM('Asset Allocation'!B18)))</f>
        <v/>
      </c>
      <c r="F18" t="str">
        <f>IF(A18="","",IF('Asset Allocation'!D18="","",SUM('Asset Allocation'!D18,'Asset Allocation'!E18)))</f>
        <v/>
      </c>
      <c r="G18" t="str">
        <f>IF(A18="","",IF('Asset Allocation'!F18="","",SUM('Asset Allocation'!F18)))</f>
        <v/>
      </c>
      <c r="H18" t="str">
        <f t="shared" si="0"/>
        <v/>
      </c>
    </row>
    <row r="19" spans="1:8" x14ac:dyDescent="0.25">
      <c r="A19" t="str">
        <f>IF(Input!A20="","",Input!A20)</f>
        <v/>
      </c>
      <c r="B19" t="str">
        <f>IF(A19="","",IF('Asset Allocation'!C19="","",SUM('Asset Allocation'!C19)))</f>
        <v/>
      </c>
      <c r="C19" t="str">
        <f>IF(A19="","",IF('Asset Allocation'!B19="","",SUM('Asset Allocation'!B19)))</f>
        <v/>
      </c>
      <c r="F19" t="str">
        <f>IF(A19="","",IF('Asset Allocation'!D19="","",SUM('Asset Allocation'!D19,'Asset Allocation'!E19)))</f>
        <v/>
      </c>
      <c r="G19" t="str">
        <f>IF(A19="","",IF('Asset Allocation'!F19="","",SUM('Asset Allocation'!F19)))</f>
        <v/>
      </c>
      <c r="H19" t="str">
        <f t="shared" si="0"/>
        <v/>
      </c>
    </row>
    <row r="20" spans="1:8" x14ac:dyDescent="0.25">
      <c r="A20" t="str">
        <f>IF(Input!A21="","",Input!A21)</f>
        <v/>
      </c>
      <c r="B20" t="str">
        <f>IF(A20="","",IF('Asset Allocation'!C20="","",SUM('Asset Allocation'!C20)))</f>
        <v/>
      </c>
      <c r="C20" t="str">
        <f>IF(A20="","",IF('Asset Allocation'!B20="","",SUM('Asset Allocation'!B20)))</f>
        <v/>
      </c>
      <c r="F20" t="str">
        <f>IF(A20="","",IF('Asset Allocation'!D20="","",SUM('Asset Allocation'!D20,'Asset Allocation'!E20)))</f>
        <v/>
      </c>
      <c r="G20" t="str">
        <f>IF(A20="","",IF('Asset Allocation'!F20="","",SUM('Asset Allocation'!F20)))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IF(A21="","",IF('Asset Allocation'!C21="","",SUM('Asset Allocation'!C21)))</f>
        <v/>
      </c>
      <c r="C21" t="str">
        <f>IF(A21="","",IF('Asset Allocation'!B21="","",SUM('Asset Allocation'!B21)))</f>
        <v/>
      </c>
      <c r="F21" t="str">
        <f>IF(A21="","",IF('Asset Allocation'!D21="","",SUM('Asset Allocation'!D21,'Asset Allocation'!E21)))</f>
        <v/>
      </c>
      <c r="G21" t="str">
        <f>IF(A21="","",IF('Asset Allocation'!F21="","",SUM('Asset Allocation'!F21)))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IF(A22="","",IF('Asset Allocation'!C22="","",SUM('Asset Allocation'!C22)))</f>
        <v/>
      </c>
      <c r="C22" t="str">
        <f>IF(A22="","",IF('Asset Allocation'!B22="","",SUM('Asset Allocation'!B22)))</f>
        <v/>
      </c>
      <c r="F22" t="str">
        <f>IF(A22="","",IF('Asset Allocation'!D22="","",SUM('Asset Allocation'!D22,'Asset Allocation'!E22)))</f>
        <v/>
      </c>
      <c r="G22" t="str">
        <f>IF(A22="","",IF('Asset Allocation'!F22="","",SUM('Asset Allocation'!F22)))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IF(A23="","",IF('Asset Allocation'!C23="","",SUM('Asset Allocation'!C23)))</f>
        <v/>
      </c>
      <c r="C23" t="str">
        <f>IF(A23="","",IF('Asset Allocation'!B23="","",SUM('Asset Allocation'!B23)))</f>
        <v/>
      </c>
      <c r="F23" t="str">
        <f>IF(A23="","",IF('Asset Allocation'!D23="","",SUM('Asset Allocation'!D23,'Asset Allocation'!E23)))</f>
        <v/>
      </c>
      <c r="G23" t="str">
        <f>IF(A23="","",IF('Asset Allocation'!F23="","",SUM('Asset Allocation'!F23)))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IF(A24="","",IF('Asset Allocation'!C24="","",SUM('Asset Allocation'!C24)))</f>
        <v/>
      </c>
      <c r="C24" t="str">
        <f>IF(A24="","",IF('Asset Allocation'!B24="","",SUM('Asset Allocation'!B24)))</f>
        <v/>
      </c>
      <c r="F24" t="str">
        <f>IF(A24="","",IF('Asset Allocation'!D24="","",SUM('Asset Allocation'!D24,'Asset Allocation'!E24)))</f>
        <v/>
      </c>
      <c r="G24" t="str">
        <f>IF(A24="","",IF('Asset Allocation'!F24="","",SUM('Asset Allocation'!F24)))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IF(A25="","",IF('Asset Allocation'!C25="","",SUM('Asset Allocation'!C25)))</f>
        <v/>
      </c>
      <c r="C25" t="str">
        <f>IF(A25="","",IF('Asset Allocation'!B25="","",SUM('Asset Allocation'!B25)))</f>
        <v/>
      </c>
      <c r="F25" t="str">
        <f>IF(A25="","",IF('Asset Allocation'!D25="","",SUM('Asset Allocation'!D25,'Asset Allocation'!E25)))</f>
        <v/>
      </c>
      <c r="G25" t="str">
        <f>IF(A25="","",IF('Asset Allocation'!F25="","",SUM('Asset Allocation'!F25)))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IF(A26="","",IF('Asset Allocation'!C26="","",SUM('Asset Allocation'!C26)))</f>
        <v/>
      </c>
      <c r="C26" t="str">
        <f>IF(A26="","",IF('Asset Allocation'!B26="","",SUM('Asset Allocation'!B26)))</f>
        <v/>
      </c>
      <c r="F26" t="str">
        <f>IF(A26="","",IF('Asset Allocation'!D26="","",SUM('Asset Allocation'!D26,'Asset Allocation'!E26)))</f>
        <v/>
      </c>
      <c r="G26" t="str">
        <f>IF(A26="","",IF('Asset Allocation'!F26="","",SUM('Asset Allocation'!F26)))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IF(A27="","",IF('Asset Allocation'!C27="","",SUM('Asset Allocation'!C27)))</f>
        <v/>
      </c>
      <c r="C27" t="str">
        <f>IF(A27="","",IF('Asset Allocation'!B27="","",SUM('Asset Allocation'!B27)))</f>
        <v/>
      </c>
      <c r="F27" t="str">
        <f>IF(A27="","",IF('Asset Allocation'!D27="","",SUM('Asset Allocation'!D27,'Asset Allocation'!E27)))</f>
        <v/>
      </c>
      <c r="G27" t="str">
        <f>IF(A27="","",IF('Asset Allocation'!F27="","",SUM('Asset Allocation'!F27)))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IF(A28="","",IF('Asset Allocation'!C28="","",SUM('Asset Allocation'!C28)))</f>
        <v/>
      </c>
      <c r="C28" t="str">
        <f>IF(A28="","",IF('Asset Allocation'!B28="","",SUM('Asset Allocation'!B28)))</f>
        <v/>
      </c>
      <c r="F28" t="str">
        <f>IF(A28="","",IF('Asset Allocation'!D28="","",SUM('Asset Allocation'!D28,'Asset Allocation'!E28)))</f>
        <v/>
      </c>
      <c r="G28" t="str">
        <f>IF(A28="","",IF('Asset Allocation'!F28="","",SUM('Asset Allocation'!F28)))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IF(A29="","",IF('Asset Allocation'!C29="","",SUM('Asset Allocation'!C29)))</f>
        <v/>
      </c>
      <c r="C29" t="str">
        <f>IF(A29="","",IF('Asset Allocation'!B29="","",SUM('Asset Allocation'!B29)))</f>
        <v/>
      </c>
      <c r="F29" t="str">
        <f>IF(A29="","",IF('Asset Allocation'!D29="","",SUM('Asset Allocation'!D29,'Asset Allocation'!E29)))</f>
        <v/>
      </c>
      <c r="G29" t="str">
        <f>IF(A29="","",IF('Asset Allocation'!F29="","",SUM('Asset Allocation'!F29)))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IF(A30="","",IF('Asset Allocation'!C30="","",SUM('Asset Allocation'!C30)))</f>
        <v/>
      </c>
      <c r="C30" t="str">
        <f>IF(A30="","",IF('Asset Allocation'!B30="","",SUM('Asset Allocation'!B30)))</f>
        <v/>
      </c>
      <c r="F30" t="str">
        <f>IF(A30="","",IF('Asset Allocation'!D30="","",SUM('Asset Allocation'!D30,'Asset Allocation'!E30)))</f>
        <v/>
      </c>
      <c r="G30" t="str">
        <f>IF(A30="","",IF('Asset Allocation'!F30="","",SUM('Asset Allocation'!F30)))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IF(A31="","",IF('Asset Allocation'!C31="","",SUM('Asset Allocation'!C31)))</f>
        <v/>
      </c>
      <c r="C31" t="str">
        <f>IF(A31="","",IF('Asset Allocation'!B31="","",SUM('Asset Allocation'!B31)))</f>
        <v/>
      </c>
      <c r="F31" t="str">
        <f>IF(A31="","",IF('Asset Allocation'!D31="","",SUM('Asset Allocation'!D31,'Asset Allocation'!E31)))</f>
        <v/>
      </c>
      <c r="G31" t="str">
        <f>IF(A31="","",IF('Asset Allocation'!F31="","",SUM('Asset Allocation'!F31)))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IF(A32="","",IF('Asset Allocation'!C32="","",SUM('Asset Allocation'!C32)))</f>
        <v/>
      </c>
      <c r="C32" t="str">
        <f>IF(A32="","",IF('Asset Allocation'!B32="","",SUM('Asset Allocation'!B32)))</f>
        <v/>
      </c>
      <c r="F32" t="str">
        <f>IF(A32="","",IF('Asset Allocation'!D32="","",SUM('Asset Allocation'!D32,'Asset Allocation'!E32)))</f>
        <v/>
      </c>
      <c r="G32" t="str">
        <f>IF(A32="","",IF('Asset Allocation'!F32="","",SUM('Asset Allocation'!F32)))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IF(A33="","",IF('Asset Allocation'!C33="","",SUM('Asset Allocation'!C33)))</f>
        <v/>
      </c>
      <c r="C33" t="str">
        <f>IF(A33="","",IF('Asset Allocation'!B33="","",SUM('Asset Allocation'!B33)))</f>
        <v/>
      </c>
      <c r="F33" t="str">
        <f>IF(A33="","",IF('Asset Allocation'!D33="","",SUM('Asset Allocation'!D33,'Asset Allocation'!E33)))</f>
        <v/>
      </c>
      <c r="G33" t="str">
        <f>IF(A33="","",IF('Asset Allocation'!F33="","",SUM('Asset Allocation'!F33)))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IF(A34="","",IF('Asset Allocation'!C34="","",SUM('Asset Allocation'!C34)))</f>
        <v/>
      </c>
      <c r="C34" t="str">
        <f>IF(A34="","",IF('Asset Allocation'!B34="","",SUM('Asset Allocation'!B34)))</f>
        <v/>
      </c>
      <c r="F34" t="str">
        <f>IF(A34="","",IF('Asset Allocation'!D34="","",SUM('Asset Allocation'!D34,'Asset Allocation'!E34)))</f>
        <v/>
      </c>
      <c r="G34" t="str">
        <f>IF(A34="","",IF('Asset Allocation'!F34="","",SUM('Asset Allocation'!F34)))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IF(A35="","",IF('Asset Allocation'!C35="","",SUM('Asset Allocation'!C35)))</f>
        <v/>
      </c>
      <c r="C35" t="str">
        <f>IF(A35="","",IF('Asset Allocation'!B35="","",SUM('Asset Allocation'!B35)))</f>
        <v/>
      </c>
      <c r="F35" t="str">
        <f>IF(A35="","",IF('Asset Allocation'!D35="","",SUM('Asset Allocation'!D35,'Asset Allocation'!E35)))</f>
        <v/>
      </c>
      <c r="G35" t="str">
        <f>IF(A35="","",IF('Asset Allocation'!F35="","",SUM('Asset Allocation'!F35)))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IF(A36="","",IF('Asset Allocation'!C36="","",SUM('Asset Allocation'!C36)))</f>
        <v/>
      </c>
      <c r="C36" t="str">
        <f>IF(A36="","",IF('Asset Allocation'!B36="","",SUM('Asset Allocation'!B36)))</f>
        <v/>
      </c>
      <c r="F36" t="str">
        <f>IF(A36="","",IF('Asset Allocation'!D36="","",SUM('Asset Allocation'!D36,'Asset Allocation'!E36)))</f>
        <v/>
      </c>
      <c r="G36" t="str">
        <f>IF(A36="","",IF('Asset Allocation'!F36="","",SUM('Asset Allocation'!F36)))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IF(A37="","",IF('Asset Allocation'!C37="","",SUM('Asset Allocation'!C37)))</f>
        <v/>
      </c>
      <c r="C37" t="str">
        <f>IF(A37="","",IF('Asset Allocation'!B37="","",SUM('Asset Allocation'!B37)))</f>
        <v/>
      </c>
      <c r="F37" t="str">
        <f>IF(A37="","",IF('Asset Allocation'!D37="","",SUM('Asset Allocation'!D37,'Asset Allocation'!E37)))</f>
        <v/>
      </c>
      <c r="G37" t="str">
        <f>IF(A37="","",IF('Asset Allocation'!F37="","",SUM('Asset Allocation'!F37)))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IF(A38="","",IF('Asset Allocation'!C38="","",SUM('Asset Allocation'!C38)))</f>
        <v/>
      </c>
      <c r="C38" t="str">
        <f>IF(A38="","",IF('Asset Allocation'!B38="","",SUM('Asset Allocation'!B38)))</f>
        <v/>
      </c>
      <c r="F38" t="str">
        <f>IF(A38="","",IF('Asset Allocation'!D38="","",SUM('Asset Allocation'!D38,'Asset Allocation'!E38)))</f>
        <v/>
      </c>
      <c r="G38" t="str">
        <f>IF(A38="","",IF('Asset Allocation'!F38="","",SUM('Asset Allocation'!F38)))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IF(A39="","",IF('Asset Allocation'!C39="","",SUM('Asset Allocation'!C39)))</f>
        <v/>
      </c>
      <c r="C39" t="str">
        <f>IF(A39="","",IF('Asset Allocation'!B39="","",SUM('Asset Allocation'!B39)))</f>
        <v/>
      </c>
      <c r="F39" t="str">
        <f>IF(A39="","",IF('Asset Allocation'!D39="","",SUM('Asset Allocation'!D39,'Asset Allocation'!E39)))</f>
        <v/>
      </c>
      <c r="G39" t="str">
        <f>IF(A39="","",IF('Asset Allocation'!F39="","",SUM('Asset Allocation'!F39)))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IF(A40="","",IF('Asset Allocation'!C40="","",SUM('Asset Allocation'!C40)))</f>
        <v/>
      </c>
      <c r="C40" t="str">
        <f>IF(A40="","",IF('Asset Allocation'!B40="","",SUM('Asset Allocation'!B40)))</f>
        <v/>
      </c>
      <c r="F40" t="str">
        <f>IF(A40="","",IF('Asset Allocation'!D40="","",SUM('Asset Allocation'!D40,'Asset Allocation'!E40)))</f>
        <v/>
      </c>
      <c r="G40" t="str">
        <f>IF(A40="","",IF('Asset Allocation'!F40="","",SUM('Asset Allocation'!F40)))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IF(A41="","",IF('Asset Allocation'!C41="","",SUM('Asset Allocation'!C41)))</f>
        <v/>
      </c>
      <c r="C41" t="str">
        <f>IF(A41="","",IF('Asset Allocation'!B41="","",SUM('Asset Allocation'!B41)))</f>
        <v/>
      </c>
      <c r="F41" t="str">
        <f>IF(A41="","",IF('Asset Allocation'!D41="","",SUM('Asset Allocation'!D41,'Asset Allocation'!E41)))</f>
        <v/>
      </c>
      <c r="G41" t="str">
        <f>IF(A41="","",IF('Asset Allocation'!F41="","",SUM('Asset Allocation'!F41)))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IF(A42="","",IF('Asset Allocation'!C42="","",SUM('Asset Allocation'!C42)))</f>
        <v/>
      </c>
      <c r="C42" t="str">
        <f>IF(A42="","",IF('Asset Allocation'!B42="","",SUM('Asset Allocation'!B42)))</f>
        <v/>
      </c>
      <c r="F42" t="str">
        <f>IF(A42="","",IF('Asset Allocation'!D42="","",SUM('Asset Allocation'!D42,'Asset Allocation'!E42)))</f>
        <v/>
      </c>
      <c r="G42" t="str">
        <f>IF(A42="","",IF('Asset Allocation'!F42="","",SUM('Asset Allocation'!F42)))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IF(A43="","",IF('Asset Allocation'!C43="","",SUM('Asset Allocation'!C43)))</f>
        <v/>
      </c>
      <c r="C43" t="str">
        <f>IF(A43="","",IF('Asset Allocation'!B43="","",SUM('Asset Allocation'!B43)))</f>
        <v/>
      </c>
      <c r="F43" t="str">
        <f>IF(A43="","",IF('Asset Allocation'!D43="","",SUM('Asset Allocation'!D43,'Asset Allocation'!E43)))</f>
        <v/>
      </c>
      <c r="G43" t="str">
        <f>IF(A43="","",IF('Asset Allocation'!F43="","",SUM('Asset Allocation'!F43)))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IF(A44="","",IF('Asset Allocation'!C44="","",SUM('Asset Allocation'!C44)))</f>
        <v/>
      </c>
      <c r="C44" t="str">
        <f>IF(A44="","",IF('Asset Allocation'!B44="","",SUM('Asset Allocation'!B44)))</f>
        <v/>
      </c>
      <c r="F44" t="str">
        <f>IF(A44="","",IF('Asset Allocation'!D44="","",SUM('Asset Allocation'!D44,'Asset Allocation'!E44)))</f>
        <v/>
      </c>
      <c r="G44" t="str">
        <f>IF(A44="","",IF('Asset Allocation'!F44="","",SUM('Asset Allocation'!F44)))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IF(A45="","",IF('Asset Allocation'!C45="","",SUM('Asset Allocation'!C45)))</f>
        <v/>
      </c>
      <c r="C45" t="str">
        <f>IF(A45="","",IF('Asset Allocation'!B45="","",SUM('Asset Allocation'!B45)))</f>
        <v/>
      </c>
      <c r="F45" t="str">
        <f>IF(A45="","",IF('Asset Allocation'!D45="","",SUM('Asset Allocation'!D45,'Asset Allocation'!E45)))</f>
        <v/>
      </c>
      <c r="G45" t="str">
        <f>IF(A45="","",IF('Asset Allocation'!F45="","",SUM('Asset Allocation'!F45)))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IF(A46="","",IF('Asset Allocation'!C46="","",SUM('Asset Allocation'!C46)))</f>
        <v/>
      </c>
      <c r="C46" t="str">
        <f>IF(A46="","",IF('Asset Allocation'!B46="","",SUM('Asset Allocation'!B46)))</f>
        <v/>
      </c>
      <c r="F46" t="str">
        <f>IF(A46="","",IF('Asset Allocation'!D46="","",SUM('Asset Allocation'!D46,'Asset Allocation'!E46)))</f>
        <v/>
      </c>
      <c r="G46" t="str">
        <f>IF(A46="","",IF('Asset Allocation'!F46="","",SUM('Asset Allocation'!F46)))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IF(A47="","",IF('Asset Allocation'!C47="","",SUM('Asset Allocation'!C47)))</f>
        <v/>
      </c>
      <c r="C47" t="str">
        <f>IF(A47="","",IF('Asset Allocation'!B47="","",SUM('Asset Allocation'!B47)))</f>
        <v/>
      </c>
      <c r="F47" t="str">
        <f>IF(A47="","",IF('Asset Allocation'!D47="","",SUM('Asset Allocation'!D47,'Asset Allocation'!E47)))</f>
        <v/>
      </c>
      <c r="G47" t="str">
        <f>IF(A47="","",IF('Asset Allocation'!F47="","",SUM('Asset Allocation'!F47)))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IF(A48="","",IF('Asset Allocation'!C48="","",SUM('Asset Allocation'!C48)))</f>
        <v/>
      </c>
      <c r="C48" t="str">
        <f>IF(A48="","",IF('Asset Allocation'!B48="","",SUM('Asset Allocation'!B48)))</f>
        <v/>
      </c>
      <c r="F48" t="str">
        <f>IF(A48="","",IF('Asset Allocation'!D48="","",SUM('Asset Allocation'!D48,'Asset Allocation'!E48)))</f>
        <v/>
      </c>
      <c r="G48" t="str">
        <f>IF(A48="","",IF('Asset Allocation'!F48="","",SUM('Asset Allocation'!F48)))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IF(A49="","",IF('Asset Allocation'!C49="","",SUM('Asset Allocation'!C49)))</f>
        <v/>
      </c>
      <c r="C49" t="str">
        <f>IF(A49="","",IF('Asset Allocation'!B49="","",SUM('Asset Allocation'!B49)))</f>
        <v/>
      </c>
      <c r="F49" t="str">
        <f>IF(A49="","",IF('Asset Allocation'!D49="","",SUM('Asset Allocation'!D49,'Asset Allocation'!E49)))</f>
        <v/>
      </c>
      <c r="G49" t="str">
        <f>IF(A49="","",IF('Asset Allocation'!F49="","",SUM('Asset Allocation'!F49)))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IF(A50="","",IF('Asset Allocation'!C50="","",SUM('Asset Allocation'!C50)))</f>
        <v/>
      </c>
      <c r="C50" t="str">
        <f>IF(A50="","",IF('Asset Allocation'!B50="","",SUM('Asset Allocation'!B50)))</f>
        <v/>
      </c>
      <c r="F50" t="str">
        <f>IF(A50="","",IF('Asset Allocation'!D50="","",SUM('Asset Allocation'!D50,'Asset Allocation'!E50)))</f>
        <v/>
      </c>
      <c r="G50" t="str">
        <f>IF(A50="","",IF('Asset Allocation'!F50="","",SUM('Asset Allocation'!F50)))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BlackRock Consensus 85 Fund</v>
      </c>
      <c r="B2" s="6" t="str">
        <f>IFERROR(IF(A2="","",IF('Asset Allocation'!G2="","",SUM('Asset Allocation'!N2,'Asset Allocation'!T2))),0)</f>
        <v/>
      </c>
      <c r="C2" s="6" t="str">
        <f>IFERROR(IF(A2="","",IF('Asset Allocation'!O2="","",SUM('Asset Allocation'!O2))),0)</f>
        <v/>
      </c>
      <c r="D2" s="6" t="str">
        <f>IFERROR(IF(A2="","",IF('Asset Allocation'!H2="","",SUM('Asset Allocation'!R2,'Asset Allocation'!S2,'Asset Allocation'!U2,'Asset Allocation'!V2,'Asset Allocation'!AA2,'Asset Allocation'!AB2,'Asset Allocation'!AC2,'Asset Allocation'!AF2,'Asset Allocation'!AG2))),0)</f>
        <v/>
      </c>
      <c r="E2" s="6" t="str">
        <f>IFERROR(IF(A2="","",IF('Asset Allocation'!P2="","",SUM('Asset Allocation'!P2))),0)</f>
        <v/>
      </c>
      <c r="F2" s="6" t="str">
        <f>IFERROR(IF(A2="","",IF('Asset Allocation'!AJ2="","",SUM('Asset Allocation'!AJ2))),0)</f>
        <v/>
      </c>
      <c r="G2" s="6" t="str">
        <f>IFERROR(IF(A2="","",IF('Asset Allocation'!C2="","",SUM('Asset Allocation'!Q2,'Asset Allocation'!AE2,'Asset Allocation'!AD2,'Asset Allocation'!AH2,'Asset Allocation'!AI2))),0)</f>
        <v/>
      </c>
      <c r="H2" s="6" t="str">
        <f>IFERROR(IF(A2="","",IF('Asset Allocation'!Z2="","",SUM('Asset Allocation'!Z2,'Asset Allocation'!W2,'Asset Allocation'!AL2))),0)</f>
        <v/>
      </c>
    </row>
    <row r="3" spans="1:8" x14ac:dyDescent="0.25">
      <c r="A3" t="str">
        <f>IF(Input!A4="","",Input!A4)</f>
        <v>BlackRock Consensus 100</v>
      </c>
      <c r="B3" s="6" t="str">
        <f>IFERROR(IF(A3="","",IF('Asset Allocation'!G3="","",SUM('Asset Allocation'!N3,'Asset Allocation'!T3))),0)</f>
        <v/>
      </c>
      <c r="C3" s="6" t="str">
        <f>IFERROR(IF(A3="","",IF('Asset Allocation'!O3="","",SUM('Asset Allocation'!O3))),0)</f>
        <v/>
      </c>
      <c r="D3" s="6" t="str">
        <f>IFERROR(IF(A3="","",IF('Asset Allocation'!H3="","",SUM('Asset Allocation'!R3,'Asset Allocation'!S3,'Asset Allocation'!U3,'Asset Allocation'!V3,'Asset Allocation'!AA3,'Asset Allocation'!AB3,'Asset Allocation'!AC3,'Asset Allocation'!AF3,'Asset Allocation'!AG3))),0)</f>
        <v/>
      </c>
      <c r="E3" s="6" t="str">
        <f>IFERROR(IF(A3="","",IF('Asset Allocation'!P3="","",SUM('Asset Allocation'!P3))),0)</f>
        <v/>
      </c>
      <c r="F3" s="6" t="str">
        <f>IFERROR(IF(A3="","",IF('Asset Allocation'!AJ3="","",SUM('Asset Allocation'!AJ3))),0)</f>
        <v/>
      </c>
      <c r="G3" s="6" t="str">
        <f>IFERROR(IF(A3="","",IF('Asset Allocation'!C3="","",SUM('Asset Allocation'!Q3,'Asset Allocation'!AE3,'Asset Allocation'!AD3,'Asset Allocation'!AH3,'Asset Allocation'!AI3))),0)</f>
        <v/>
      </c>
      <c r="H3" s="6" t="str">
        <f>IFERROR(IF(A3="","",IF('Asset Allocation'!Z3="","",SUM('Asset Allocation'!Z3,'Asset Allocation'!W3,'Asset Allocation'!AL3))),0)</f>
        <v/>
      </c>
    </row>
    <row r="4" spans="1:8" x14ac:dyDescent="0.25">
      <c r="A4" t="str">
        <f>IF(Input!A5="","",Input!A5)</f>
        <v>BlackRock Consensus 35</v>
      </c>
      <c r="B4" s="6" t="str">
        <f>IFERROR(IF(A4="","",IF('Asset Allocation'!G4="","",SUM('Asset Allocation'!N4,'Asset Allocation'!T4))),0)</f>
        <v/>
      </c>
      <c r="C4" s="6" t="str">
        <f>IFERROR(IF(A4="","",IF('Asset Allocation'!O4="","",SUM('Asset Allocation'!O4))),0)</f>
        <v/>
      </c>
      <c r="D4" s="6" t="str">
        <f>IFERROR(IF(A4="","",IF('Asset Allocation'!H4="","",SUM('Asset Allocation'!R4,'Asset Allocation'!S4,'Asset Allocation'!U4,'Asset Allocation'!V4,'Asset Allocation'!AA4,'Asset Allocation'!AB4,'Asset Allocation'!AC4,'Asset Allocation'!AF4,'Asset Allocation'!AG4))),0)</f>
        <v/>
      </c>
      <c r="E4" s="6" t="str">
        <f>IFERROR(IF(A4="","",IF('Asset Allocation'!P4="","",SUM('Asset Allocation'!P4))),0)</f>
        <v/>
      </c>
      <c r="F4" s="6" t="str">
        <f>IFERROR(IF(A4="","",IF('Asset Allocation'!AJ4="","",SUM('Asset Allocation'!AJ4))),0)</f>
        <v/>
      </c>
      <c r="G4" s="6" t="str">
        <f>IFERROR(IF(A4="","",IF('Asset Allocation'!C4="","",SUM('Asset Allocation'!Q4,'Asset Allocation'!AE4,'Asset Allocation'!AD4,'Asset Allocation'!AH4,'Asset Allocation'!AI4))),0)</f>
        <v/>
      </c>
      <c r="H4" s="6" t="str">
        <f>IFERROR(IF(A4="","",IF('Asset Allocation'!Z4="","",SUM('Asset Allocation'!Z4,'Asset Allocation'!W4,'Asset Allocation'!AL4))),0)</f>
        <v/>
      </c>
    </row>
    <row r="5" spans="1:8" x14ac:dyDescent="0.25">
      <c r="A5" t="str">
        <f>IF(Input!A6="","",Input!A6)</f>
        <v>BlackRock Consensus 60</v>
      </c>
      <c r="B5" s="6" t="str">
        <f>IFERROR(IF(A5="","",IF('Asset Allocation'!G5="","",SUM('Asset Allocation'!N5,'Asset Allocation'!T5))),0)</f>
        <v/>
      </c>
      <c r="C5" s="6" t="str">
        <f>IFERROR(IF(A5="","",IF('Asset Allocation'!O5="","",SUM('Asset Allocation'!O5))),0)</f>
        <v/>
      </c>
      <c r="D5" s="6" t="str">
        <f>IFERROR(IF(A5="","",IF('Asset Allocation'!H5="","",SUM('Asset Allocation'!R5,'Asset Allocation'!S5,'Asset Allocation'!U5,'Asset Allocation'!V5,'Asset Allocation'!AA5,'Asset Allocation'!AB5,'Asset Allocation'!AC5,'Asset Allocation'!AF5,'Asset Allocation'!AG5))),0)</f>
        <v/>
      </c>
      <c r="E5" s="6" t="str">
        <f>IFERROR(IF(A5="","",IF('Asset Allocation'!P5="","",SUM('Asset Allocation'!P5))),0)</f>
        <v/>
      </c>
      <c r="F5" s="6" t="str">
        <f>IFERROR(IF(A5="","",IF('Asset Allocation'!AJ5="","",SUM('Asset Allocation'!AJ5))),0)</f>
        <v/>
      </c>
      <c r="G5" s="6" t="str">
        <f>IFERROR(IF(A5="","",IF('Asset Allocation'!C5="","",SUM('Asset Allocation'!Q5,'Asset Allocation'!AE5,'Asset Allocation'!AD5,'Asset Allocation'!AH5,'Asset Allocation'!AI5))),0)</f>
        <v/>
      </c>
      <c r="H5" s="6" t="str">
        <f>IFERROR(IF(A5="","",IF('Asset Allocation'!Z5="","",SUM('Asset Allocation'!Z5,'Asset Allocation'!W5,'Asset Allocation'!AL5))),0)</f>
        <v/>
      </c>
    </row>
    <row r="6" spans="1:8" x14ac:dyDescent="0.25">
      <c r="A6" t="str">
        <f>IF(Input!A7="","",Input!A7)</f>
        <v>BlackRock Consensus 70</v>
      </c>
      <c r="B6" s="6" t="str">
        <f>IFERROR(IF(A6="","",IF('Asset Allocation'!G6="","",SUM('Asset Allocation'!N6,'Asset Allocation'!T6))),0)</f>
        <v/>
      </c>
      <c r="C6" s="6" t="str">
        <f>IFERROR(IF(A6="","",IF('Asset Allocation'!O6="","",SUM('Asset Allocation'!O6))),0)</f>
        <v/>
      </c>
      <c r="D6" s="6" t="str">
        <f>IFERROR(IF(A6="","",IF('Asset Allocation'!H6="","",SUM('Asset Allocation'!R6,'Asset Allocation'!S6,'Asset Allocation'!U6,'Asset Allocation'!V6,'Asset Allocation'!AA6,'Asset Allocation'!AB6,'Asset Allocation'!AC6,'Asset Allocation'!AF6,'Asset Allocation'!AG6))),0)</f>
        <v/>
      </c>
      <c r="E6" s="6" t="str">
        <f>IFERROR(IF(A6="","",IF('Asset Allocation'!P6="","",SUM('Asset Allocation'!P6))),0)</f>
        <v/>
      </c>
      <c r="F6" s="6" t="str">
        <f>IFERROR(IF(A6="","",IF('Asset Allocation'!AJ6="","",SUM('Asset Allocation'!AJ6))),0)</f>
        <v/>
      </c>
      <c r="G6" s="6" t="str">
        <f>IFERROR(IF(A6="","",IF('Asset Allocation'!C6="","",SUM('Asset Allocation'!Q6,'Asset Allocation'!AE6,'Asset Allocation'!AD6,'Asset Allocation'!AH6,'Asset Allocation'!AI6))),0)</f>
        <v/>
      </c>
      <c r="H6" s="6" t="str">
        <f>IFERROR(IF(A6="","",IF('Asset Allocation'!Z6="","",SUM('Asset Allocation'!Z6,'Asset Allocation'!W6,'Asset Allocation'!AL6))),0)</f>
        <v/>
      </c>
    </row>
    <row r="7" spans="1:8" x14ac:dyDescent="0.25">
      <c r="A7" t="str">
        <f>IF(Input!A8="","",Input!A8)</f>
        <v>BlackRock Pension Growth Fund</v>
      </c>
      <c r="B7" s="6">
        <f>IFERROR(IF(A7="","",IF('Asset Allocation'!G7="","",SUM('Asset Allocation'!N7,'Asset Allocation'!T7))),0)</f>
        <v>0</v>
      </c>
      <c r="C7" s="6">
        <f>IFERROR(IF(A7="","",IF('Asset Allocation'!O7="","",SUM('Asset Allocation'!O7))),0)</f>
        <v>0.28989999999999999</v>
      </c>
      <c r="D7" s="6">
        <f>IFERROR(IF(A7="","",IF('Asset Allocation'!H7="","",SUM('Asset Allocation'!R7,'Asset Allocation'!S7,'Asset Allocation'!U7,'Asset Allocation'!V7,'Asset Allocation'!AA7,'Asset Allocation'!AB7,'Asset Allocation'!AC7,'Asset Allocation'!AF7,'Asset Allocation'!AG7))),0)</f>
        <v>0</v>
      </c>
      <c r="E7" s="6">
        <f>IFERROR(IF(A7="","",IF('Asset Allocation'!P7="","",SUM('Asset Allocation'!P7))),0)</f>
        <v>6.6600000000000006E-2</v>
      </c>
      <c r="F7" s="6">
        <f>IFERROR(IF(A7="","",IF('Asset Allocation'!AJ7="","",SUM('Asset Allocation'!AJ7))),0)</f>
        <v>9.7000000000000003E-3</v>
      </c>
      <c r="G7" s="6">
        <f>IFERROR(IF(A7="","",IF('Asset Allocation'!C7="","",SUM('Asset Allocation'!Q7,'Asset Allocation'!AE7,'Asset Allocation'!AD7,'Asset Allocation'!AH7,'Asset Allocation'!AI7))),0)</f>
        <v>8.8699999999999987E-2</v>
      </c>
      <c r="H7" s="6" t="str">
        <f>IFERROR(IF(A7="","",IF('Asset Allocation'!Z7="","",SUM('Asset Allocation'!Z7,'Asset Allocation'!W7,'Asset Allocation'!AL7))),0)</f>
        <v/>
      </c>
    </row>
    <row r="8" spans="1:8" x14ac:dyDescent="0.25">
      <c r="A8" t="str">
        <f>IF(Input!A9="","",Input!A9)</f>
        <v>MyMap 3</v>
      </c>
      <c r="B8" s="6">
        <f>IFERROR(IF(A8="","",IF('Asset Allocation'!G8="","",SUM('Asset Allocation'!N8,'Asset Allocation'!T8))),0)</f>
        <v>6.5500000000000003E-2</v>
      </c>
      <c r="C8" s="6">
        <f>IFERROR(IF(A8="","",IF('Asset Allocation'!O8="","",SUM('Asset Allocation'!O8))),0)</f>
        <v>0.72959999999999992</v>
      </c>
      <c r="D8" s="6">
        <f>IFERROR(IF(A8="","",IF('Asset Allocation'!H8="","",SUM('Asset Allocation'!R8,'Asset Allocation'!S8,'Asset Allocation'!U8,'Asset Allocation'!V8,'Asset Allocation'!AA8,'Asset Allocation'!AB8,'Asset Allocation'!AC8,'Asset Allocation'!AF8,'Asset Allocation'!AG8))),0)</f>
        <v>4.1599999999999998E-2</v>
      </c>
      <c r="E8" s="6">
        <f>IFERROR(IF(A8="","",IF('Asset Allocation'!P8="","",SUM('Asset Allocation'!P8))),0)</f>
        <v>2.1000000000000001E-2</v>
      </c>
      <c r="F8" s="6" t="str">
        <f>IFERROR(IF(A8="","",IF('Asset Allocation'!AJ8="","",SUM('Asset Allocation'!AJ8))),0)</f>
        <v/>
      </c>
      <c r="G8" s="6">
        <f>IFERROR(IF(A8="","",IF('Asset Allocation'!C8="","",SUM('Asset Allocation'!Q8,'Asset Allocation'!AE8,'Asset Allocation'!AD8,'Asset Allocation'!AH8,'Asset Allocation'!AI8))),0)</f>
        <v>2.7200000000000002E-2</v>
      </c>
      <c r="H8" s="6">
        <f>IFERROR(IF(A8="","",IF('Asset Allocation'!Z8="","",SUM('Asset Allocation'!Z8,'Asset Allocation'!W8,'Asset Allocation'!AL8))),0)</f>
        <v>0.1116</v>
      </c>
    </row>
    <row r="9" spans="1:8" x14ac:dyDescent="0.25">
      <c r="A9" t="str">
        <f>IF(Input!A10="","",Input!A10)</f>
        <v>MyMap 4</v>
      </c>
      <c r="B9" s="6">
        <f>IFERROR(IF(A9="","",IF('Asset Allocation'!G9="","",SUM('Asset Allocation'!N9,'Asset Allocation'!T9))),0)</f>
        <v>-0.26500000000000001</v>
      </c>
      <c r="C9" s="6">
        <f>IFERROR(IF(A9="","",IF('Asset Allocation'!O9="","",SUM('Asset Allocation'!O9))),0)</f>
        <v>0.96829999999999994</v>
      </c>
      <c r="D9" s="6">
        <f>IFERROR(IF(A9="","",IF('Asset Allocation'!H9="","",SUM('Asset Allocation'!R9,'Asset Allocation'!S9,'Asset Allocation'!U9,'Asset Allocation'!V9,'Asset Allocation'!AA9,'Asset Allocation'!AB9,'Asset Allocation'!AC9,'Asset Allocation'!AF9,'Asset Allocation'!AG9))),0)</f>
        <v>0.22600000000000003</v>
      </c>
      <c r="E9" s="6">
        <f>IFERROR(IF(A9="","",IF('Asset Allocation'!P9="","",SUM('Asset Allocation'!P9))),0)</f>
        <v>3.7499999999999999E-2</v>
      </c>
      <c r="F9" s="6" t="str">
        <f>IFERROR(IF(A9="","",IF('Asset Allocation'!AJ9="","",SUM('Asset Allocation'!AJ9))),0)</f>
        <v/>
      </c>
      <c r="G9" s="6">
        <f>IFERROR(IF(A9="","",IF('Asset Allocation'!C9="","",SUM('Asset Allocation'!Q9,'Asset Allocation'!AE9,'Asset Allocation'!AD9,'Asset Allocation'!AH9,'Asset Allocation'!AI9))),0)</f>
        <v>0</v>
      </c>
      <c r="H9" s="6">
        <f>IFERROR(IF(A9="","",IF('Asset Allocation'!Z9="","",SUM('Asset Allocation'!Z9,'Asset Allocation'!W9,'Asset Allocation'!AL9))),0)</f>
        <v>1.2999999999999999E-3</v>
      </c>
    </row>
    <row r="10" spans="1:8" x14ac:dyDescent="0.25">
      <c r="A10" t="str">
        <f>IF(Input!A11="","",Input!A11)</f>
        <v>MyMap 5</v>
      </c>
      <c r="B10" s="6">
        <f>IFERROR(IF(A10="","",IF('Asset Allocation'!G10="","",SUM('Asset Allocation'!N10,'Asset Allocation'!T10))),0)</f>
        <v>-0.254</v>
      </c>
      <c r="C10" s="6">
        <f>IFERROR(IF(A10="","",IF('Asset Allocation'!O10="","",SUM('Asset Allocation'!O10))),0)</f>
        <v>0.87</v>
      </c>
      <c r="D10" s="6">
        <f>IFERROR(IF(A10="","",IF('Asset Allocation'!H10="","",SUM('Asset Allocation'!R10,'Asset Allocation'!S10,'Asset Allocation'!U10,'Asset Allocation'!V10,'Asset Allocation'!AA10,'Asset Allocation'!AB10,'Asset Allocation'!AC10,'Asset Allocation'!AF10,'Asset Allocation'!AG10))),0)</f>
        <v>0.36349999999999999</v>
      </c>
      <c r="E10" s="6" t="str">
        <f>IFERROR(IF(A10="","",IF('Asset Allocation'!P10="","",SUM('Asset Allocation'!P10))),0)</f>
        <v/>
      </c>
      <c r="F10" s="6" t="str">
        <f>IFERROR(IF(A10="","",IF('Asset Allocation'!AJ10="","",SUM('Asset Allocation'!AJ10))),0)</f>
        <v/>
      </c>
      <c r="G10" s="6">
        <f>IFERROR(IF(A10="","",IF('Asset Allocation'!C10="","",SUM('Asset Allocation'!Q10,'Asset Allocation'!AE10,'Asset Allocation'!AD10,'Asset Allocation'!AH10,'Asset Allocation'!AI10))),0)</f>
        <v>0</v>
      </c>
      <c r="H10" s="6">
        <f>IFERROR(IF(A10="","",IF('Asset Allocation'!Z10="","",SUM('Asset Allocation'!Z10,'Asset Allocation'!W10,'Asset Allocation'!AL10))),0)</f>
        <v>3.4000000000000002E-3</v>
      </c>
    </row>
    <row r="11" spans="1:8" x14ac:dyDescent="0.25">
      <c r="A11" t="str">
        <f>IF(Input!A12="","",Input!A12)</f>
        <v>MyMap 6</v>
      </c>
      <c r="B11" s="6">
        <f>IFERROR(IF(A11="","",IF('Asset Allocation'!G11="","",SUM('Asset Allocation'!N11,'Asset Allocation'!T11))),0)</f>
        <v>0.16200000000000001</v>
      </c>
      <c r="C11" s="6">
        <f>IFERROR(IF(A11="","",IF('Asset Allocation'!O11="","",SUM('Asset Allocation'!O11))),0)</f>
        <v>0.60319999999999996</v>
      </c>
      <c r="D11" s="6">
        <f>IFERROR(IF(A11="","",IF('Asset Allocation'!H11="","",SUM('Asset Allocation'!R11,'Asset Allocation'!S11,'Asset Allocation'!U11,'Asset Allocation'!V11,'Asset Allocation'!AA11,'Asset Allocation'!AB11,'Asset Allocation'!AC11,'Asset Allocation'!AF11,'Asset Allocation'!AG11))),0)</f>
        <v>5.1900000000000023E-2</v>
      </c>
      <c r="E11" s="6">
        <f>IFERROR(IF(A11="","",IF('Asset Allocation'!P11="","",SUM('Asset Allocation'!P11))),0)</f>
        <v>5.9200000000000003E-2</v>
      </c>
      <c r="F11" s="6" t="str">
        <f>IFERROR(IF(A11="","",IF('Asset Allocation'!AJ11="","",SUM('Asset Allocation'!AJ11))),0)</f>
        <v/>
      </c>
      <c r="G11" s="6">
        <f>IFERROR(IF(A11="","",IF('Asset Allocation'!C11="","",SUM('Asset Allocation'!Q11,'Asset Allocation'!AE11,'Asset Allocation'!AD11,'Asset Allocation'!AH11,'Asset Allocation'!AI11))),0)</f>
        <v>4.3799999999999999E-2</v>
      </c>
      <c r="H11" s="6">
        <f>IFERROR(IF(A11="","",IF('Asset Allocation'!Z11="","",SUM('Asset Allocation'!Z11,'Asset Allocation'!W11,'Asset Allocation'!AL11))),0)</f>
        <v>7.8799999999999995E-2</v>
      </c>
    </row>
    <row r="12" spans="1:8" x14ac:dyDescent="0.25">
      <c r="A12" t="str">
        <f>IF(Input!A13="","",Input!A13)</f>
        <v>MyMap 3 Select ESG Fund</v>
      </c>
      <c r="B12" s="6">
        <f>IFERROR(IF(A12="","",IF('Asset Allocation'!G12="","",SUM('Asset Allocation'!N12,'Asset Allocation'!T12))),0)</f>
        <v>5.9800000000000006E-2</v>
      </c>
      <c r="C12" s="6">
        <f>IFERROR(IF(A12="","",IF('Asset Allocation'!O12="","",SUM('Asset Allocation'!O12))),0)</f>
        <v>0.73809999999999998</v>
      </c>
      <c r="D12" s="6">
        <f>IFERROR(IF(A12="","",IF('Asset Allocation'!H12="","",SUM('Asset Allocation'!R12,'Asset Allocation'!S12,'Asset Allocation'!U12,'Asset Allocation'!V12,'Asset Allocation'!AA12,'Asset Allocation'!AB12,'Asset Allocation'!AC12,'Asset Allocation'!AF12,'Asset Allocation'!AG12))),0)</f>
        <v>4.229999999999999E-2</v>
      </c>
      <c r="E12" s="6">
        <f>IFERROR(IF(A12="","",IF('Asset Allocation'!P12="","",SUM('Asset Allocation'!P12))),0)</f>
        <v>1.8799999999999997E-2</v>
      </c>
      <c r="F12" s="6" t="str">
        <f>IFERROR(IF(A12="","",IF('Asset Allocation'!AJ12="","",SUM('Asset Allocation'!AJ12))),0)</f>
        <v/>
      </c>
      <c r="G12" s="6">
        <f>IFERROR(IF(A12="","",IF('Asset Allocation'!C12="","",SUM('Asset Allocation'!Q12,'Asset Allocation'!AE12,'Asset Allocation'!AD12,'Asset Allocation'!AH12,'Asset Allocation'!AI12))),0)</f>
        <v>2.8500000000000001E-2</v>
      </c>
      <c r="H12" s="6">
        <f>IFERROR(IF(A12="","",IF('Asset Allocation'!Z12="","",SUM('Asset Allocation'!Z12,'Asset Allocation'!W12,'Asset Allocation'!AL12))),0)</f>
        <v>0.11449999999999999</v>
      </c>
    </row>
    <row r="13" spans="1:8" x14ac:dyDescent="0.25">
      <c r="A13" t="str">
        <f>IF(Input!A14="","",Input!A14)</f>
        <v>MyMap 5 Select ESG Fund</v>
      </c>
      <c r="B13" s="6">
        <f>IFERROR(IF(A13="","",IF('Asset Allocation'!G13="","",SUM('Asset Allocation'!N13,'Asset Allocation'!T13))),0)</f>
        <v>0.16519999999999999</v>
      </c>
      <c r="C13" s="6">
        <f>IFERROR(IF(A13="","",IF('Asset Allocation'!O13="","",SUM('Asset Allocation'!O13))),0)</f>
        <v>0.59630000000000005</v>
      </c>
      <c r="D13" s="6">
        <f>IFERROR(IF(A13="","",IF('Asset Allocation'!H13="","",SUM('Asset Allocation'!R13,'Asset Allocation'!S13,'Asset Allocation'!U13,'Asset Allocation'!V13,'Asset Allocation'!AA13,'Asset Allocation'!AB13,'Asset Allocation'!AC13,'Asset Allocation'!AF13,'Asset Allocation'!AG13))),0)</f>
        <v>3.1900000000000005E-2</v>
      </c>
      <c r="E13" s="6">
        <f>IFERROR(IF(A13="","",IF('Asset Allocation'!P13="","",SUM('Asset Allocation'!P13))),0)</f>
        <v>5.1200000000000002E-2</v>
      </c>
      <c r="F13" s="6" t="str">
        <f>IFERROR(IF(A13="","",IF('Asset Allocation'!AJ13="","",SUM('Asset Allocation'!AJ13))),0)</f>
        <v/>
      </c>
      <c r="G13" s="6">
        <f>IFERROR(IF(A13="","",IF('Asset Allocation'!C13="","",SUM('Asset Allocation'!Q13,'Asset Allocation'!AE13,'Asset Allocation'!AD13,'Asset Allocation'!AH13,'Asset Allocation'!AI13))),0)</f>
        <v>1.8700000000000001E-2</v>
      </c>
      <c r="H13" s="6">
        <f>IFERROR(IF(A13="","",IF('Asset Allocation'!Z13="","",SUM('Asset Allocation'!Z13,'Asset Allocation'!W13,'Asset Allocation'!AL13))),0)</f>
        <v>0.1416</v>
      </c>
    </row>
    <row r="14" spans="1:8" x14ac:dyDescent="0.25">
      <c r="A14" t="str">
        <f>IF(Input!A15="","",Input!A15)</f>
        <v>MyMap 7 Select ESG Fund</v>
      </c>
      <c r="B14" s="6">
        <f>IFERROR(IF(A14="","",IF('Asset Allocation'!G14="","",SUM('Asset Allocation'!N14,'Asset Allocation'!T14))),0)</f>
        <v>0.28859999999999997</v>
      </c>
      <c r="C14" s="6">
        <f>IFERROR(IF(A14="","",IF('Asset Allocation'!O14="","",SUM('Asset Allocation'!O14))),0)</f>
        <v>0.45200000000000001</v>
      </c>
      <c r="D14" s="6">
        <f>IFERROR(IF(A14="","",IF('Asset Allocation'!H14="","",SUM('Asset Allocation'!R14,'Asset Allocation'!S14,'Asset Allocation'!U14,'Asset Allocation'!V14,'Asset Allocation'!AA14,'Asset Allocation'!AB14,'Asset Allocation'!AC14,'Asset Allocation'!AF14,'Asset Allocation'!AG14))),0)</f>
        <v>5.489999999999999E-2</v>
      </c>
      <c r="E14" s="6">
        <f>IFERROR(IF(A14="","",IF('Asset Allocation'!P14="","",SUM('Asset Allocation'!P14))),0)</f>
        <v>7.1500000000000008E-2</v>
      </c>
      <c r="F14" s="6" t="str">
        <f>IFERROR(IF(A14="","",IF('Asset Allocation'!AJ14="","",SUM('Asset Allocation'!AJ14))),0)</f>
        <v/>
      </c>
      <c r="G14" s="6">
        <f>IFERROR(IF(A14="","",IF('Asset Allocation'!C14="","",SUM('Asset Allocation'!Q14,'Asset Allocation'!AE14,'Asset Allocation'!AD14,'Asset Allocation'!AH14,'Asset Allocation'!AI14))),0)</f>
        <v>4.9799999999999997E-2</v>
      </c>
      <c r="H14" s="6">
        <f>IFERROR(IF(A14="","",IF('Asset Allocation'!Z14="","",SUM('Asset Allocation'!Z14,'Asset Allocation'!W14,'Asset Allocation'!AL14))),0)</f>
        <v>9.01E-2</v>
      </c>
    </row>
    <row r="15" spans="1:8" x14ac:dyDescent="0.25">
      <c r="A15" t="str">
        <f>IF(Input!A16="","",Input!A16)</f>
        <v>MyMap 4 Select Income Fund</v>
      </c>
      <c r="B15" s="6">
        <f>IFERROR(IF(A15="","",IF('Asset Allocation'!G15="","",SUM('Asset Allocation'!N15,'Asset Allocation'!T15))),0)</f>
        <v>-3.2000000000000015E-3</v>
      </c>
      <c r="C15" s="6">
        <f>IFERROR(IF(A15="","",IF('Asset Allocation'!O15="","",SUM('Asset Allocation'!O15))),0)</f>
        <v>0.5988</v>
      </c>
      <c r="D15" s="6">
        <f>IFERROR(IF(A15="","",IF('Asset Allocation'!H15="","",SUM('Asset Allocation'!R15,'Asset Allocation'!S15,'Asset Allocation'!U15,'Asset Allocation'!V15,'Asset Allocation'!AA15,'Asset Allocation'!AB15,'Asset Allocation'!AC15,'Asset Allocation'!AF15,'Asset Allocation'!AG15))),0)</f>
        <v>0.15809999999999999</v>
      </c>
      <c r="E15" s="6">
        <f>IFERROR(IF(A15="","",IF('Asset Allocation'!P15="","",SUM('Asset Allocation'!P15))),0)</f>
        <v>3.15E-2</v>
      </c>
      <c r="F15" s="6" t="str">
        <f>IFERROR(IF(A15="","",IF('Asset Allocation'!AJ15="","",SUM('Asset Allocation'!AJ15))),0)</f>
        <v/>
      </c>
      <c r="G15" s="6">
        <f>IFERROR(IF(A15="","",IF('Asset Allocation'!C15="","",SUM('Asset Allocation'!Q15,'Asset Allocation'!AE15,'Asset Allocation'!AD15,'Asset Allocation'!AH15,'Asset Allocation'!AI15))),0)</f>
        <v>2.52E-2</v>
      </c>
      <c r="H15" s="6">
        <f>IFERROR(IF(A15="","",IF('Asset Allocation'!Z15="","",SUM('Asset Allocation'!Z15,'Asset Allocation'!W15,'Asset Allocation'!AL15))),0)</f>
        <v>0.19220000000000001</v>
      </c>
    </row>
    <row r="16" spans="1:8" x14ac:dyDescent="0.25">
      <c r="A16" t="str">
        <f>IF(Input!A17="","",Input!A17)</f>
        <v/>
      </c>
      <c r="B16" s="6" t="str">
        <f>IFERROR(IF(A16="","",IF('Asset Allocation'!G16="","",SUM('Asset Allocation'!N16,'Asset Allocation'!T16))),0)</f>
        <v/>
      </c>
      <c r="C16" s="6" t="str">
        <f>IFERROR(IF(A16="","",IF('Asset Allocation'!O16="","",SUM('Asset Allocation'!O16))),0)</f>
        <v/>
      </c>
      <c r="D16" s="6" t="str">
        <f>IFERROR(IF(A16="","",IF('Asset Allocation'!H16="","",SUM('Asset Allocation'!R16,'Asset Allocation'!S16,'Asset Allocation'!U16,'Asset Allocation'!V16,'Asset Allocation'!AA16,'Asset Allocation'!AB16,'Asset Allocation'!AC16,'Asset Allocation'!AF16,'Asset Allocation'!AG16))),0)</f>
        <v/>
      </c>
      <c r="E16" s="6" t="str">
        <f>IFERROR(IF(A16="","",IF('Asset Allocation'!P16="","",SUM('Asset Allocation'!P16))),0)</f>
        <v/>
      </c>
      <c r="F16" s="6" t="str">
        <f>IFERROR(IF(A16="","",IF('Asset Allocation'!AJ16="","",SUM('Asset Allocation'!AJ16))),0)</f>
        <v/>
      </c>
      <c r="G16" s="6" t="str">
        <f>IFERROR(IF(A16="","",IF('Asset Allocation'!C16="","",SUM('Asset Allocation'!Q16,'Asset Allocation'!AE16,'Asset Allocation'!AD16,'Asset Allocation'!AH16,'Asset Allocation'!AI16))),0)</f>
        <v/>
      </c>
      <c r="H16" s="6" t="str">
        <f>IFERROR(IF(A16="","",IF('Asset Allocation'!Z16="","",SUM('Asset Allocation'!Z16,'Asset Allocation'!W16,'Asset Allocation'!AL16))),0)</f>
        <v/>
      </c>
    </row>
    <row r="17" spans="1:8" x14ac:dyDescent="0.25">
      <c r="A17" t="str">
        <f>IF(Input!A18="","",Input!A18)</f>
        <v/>
      </c>
      <c r="B17" s="6" t="str">
        <f>IFERROR(IF(A17="","",IF('Asset Allocation'!G17="","",SUM('Asset Allocation'!N17,'Asset Allocation'!T17))),0)</f>
        <v/>
      </c>
      <c r="C17" s="6" t="str">
        <f>IFERROR(IF(A17="","",IF('Asset Allocation'!O17="","",SUM('Asset Allocation'!O17))),0)</f>
        <v/>
      </c>
      <c r="D17" s="6" t="str">
        <f>IFERROR(IF(A17="","",IF('Asset Allocation'!H17="","",SUM('Asset Allocation'!R17,'Asset Allocation'!S17,'Asset Allocation'!U17,'Asset Allocation'!V17,'Asset Allocation'!AA17,'Asset Allocation'!AB17,'Asset Allocation'!AC17,'Asset Allocation'!AF17,'Asset Allocation'!AG17))),0)</f>
        <v/>
      </c>
      <c r="E17" s="6" t="str">
        <f>IFERROR(IF(A17="","",IF('Asset Allocation'!P17="","",SUM('Asset Allocation'!P17))),0)</f>
        <v/>
      </c>
      <c r="F17" s="6" t="str">
        <f>IFERROR(IF(A17="","",IF('Asset Allocation'!AJ17="","",SUM('Asset Allocation'!AJ17))),0)</f>
        <v/>
      </c>
      <c r="G17" s="6" t="str">
        <f>IFERROR(IF(A17="","",IF('Asset Allocation'!C17="","",SUM('Asset Allocation'!Q17,'Asset Allocation'!AE17,'Asset Allocation'!AD17,'Asset Allocation'!AH17,'Asset Allocation'!AI17))),0)</f>
        <v/>
      </c>
      <c r="H17" s="6" t="str">
        <f>IFERROR(IF(A17="","",IF('Asset Allocation'!Z17="","",SUM('Asset Allocation'!Z17,'Asset Allocation'!W17,'Asset Allocation'!AL17))),0)</f>
        <v/>
      </c>
    </row>
    <row r="18" spans="1:8" x14ac:dyDescent="0.25">
      <c r="A18" t="str">
        <f>IF(Input!A19="","",Input!A19)</f>
        <v/>
      </c>
      <c r="B18" s="6" t="str">
        <f>IFERROR(IF(A18="","",IF('Asset Allocation'!G18="","",SUM('Asset Allocation'!N18,'Asset Allocation'!T18))),0)</f>
        <v/>
      </c>
      <c r="C18" s="6" t="str">
        <f>IFERROR(IF(A18="","",IF('Asset Allocation'!O18="","",SUM('Asset Allocation'!O18))),0)</f>
        <v/>
      </c>
      <c r="D18" s="6" t="str">
        <f>IFERROR(IF(A18="","",IF('Asset Allocation'!H18="","",SUM('Asset Allocation'!R18,'Asset Allocation'!S18,'Asset Allocation'!U18,'Asset Allocation'!V18,'Asset Allocation'!AA18,'Asset Allocation'!AB18,'Asset Allocation'!AC18,'Asset Allocation'!AF18,'Asset Allocation'!AG18))),0)</f>
        <v/>
      </c>
      <c r="E18" s="6" t="str">
        <f>IFERROR(IF(A18="","",IF('Asset Allocation'!P18="","",SUM('Asset Allocation'!P18))),0)</f>
        <v/>
      </c>
      <c r="F18" s="6" t="str">
        <f>IFERROR(IF(A18="","",IF('Asset Allocation'!AJ18="","",SUM('Asset Allocation'!AJ18))),0)</f>
        <v/>
      </c>
      <c r="G18" s="6" t="str">
        <f>IFERROR(IF(A18="","",IF('Asset Allocation'!C18="","",SUM('Asset Allocation'!Q18,'Asset Allocation'!AE18,'Asset Allocation'!AD18,'Asset Allocation'!AH18,'Asset Allocation'!AI18))),0)</f>
        <v/>
      </c>
      <c r="H18" s="6" t="str">
        <f>IFERROR(IF(A18="","",IF('Asset Allocation'!Z18="","",SUM('Asset Allocation'!Z18,'Asset Allocation'!W18,'Asset Allocation'!AL18))),0)</f>
        <v/>
      </c>
    </row>
    <row r="19" spans="1:8" x14ac:dyDescent="0.25">
      <c r="A19" t="str">
        <f>IF(Input!A20="","",Input!A20)</f>
        <v/>
      </c>
      <c r="B19" s="6" t="str">
        <f>IFERROR(IF(A19="","",IF('Asset Allocation'!G19="","",SUM('Asset Allocation'!N19,'Asset Allocation'!T19))),0)</f>
        <v/>
      </c>
      <c r="C19" s="6" t="str">
        <f>IFERROR(IF(A19="","",IF('Asset Allocation'!O19="","",SUM('Asset Allocation'!O19))),0)</f>
        <v/>
      </c>
      <c r="D19" s="6" t="str">
        <f>IFERROR(IF(A19="","",IF('Asset Allocation'!H19="","",SUM('Asset Allocation'!R19,'Asset Allocation'!S19,'Asset Allocation'!U19,'Asset Allocation'!V19,'Asset Allocation'!AA19,'Asset Allocation'!AB19,'Asset Allocation'!AC19,'Asset Allocation'!AF19,'Asset Allocation'!AG19))),0)</f>
        <v/>
      </c>
      <c r="E19" s="6" t="str">
        <f>IFERROR(IF(A19="","",IF('Asset Allocation'!P19="","",SUM('Asset Allocation'!P19))),0)</f>
        <v/>
      </c>
      <c r="F19" s="6" t="str">
        <f>IFERROR(IF(A19="","",IF('Asset Allocation'!AJ19="","",SUM('Asset Allocation'!AJ19))),0)</f>
        <v/>
      </c>
      <c r="G19" s="6" t="str">
        <f>IFERROR(IF(A19="","",IF('Asset Allocation'!C19="","",SUM('Asset Allocation'!Q19,'Asset Allocation'!AE19,'Asset Allocation'!AD19,'Asset Allocation'!AH19,'Asset Allocation'!AI19))),0)</f>
        <v/>
      </c>
      <c r="H19" s="6" t="str">
        <f>IFERROR(IF(A19="","",IF('Asset Allocation'!Z19="","",SUM('Asset Allocation'!Z19,'Asset Allocation'!W19,'Asset Allocation'!AL19))),0)</f>
        <v/>
      </c>
    </row>
    <row r="20" spans="1:8" x14ac:dyDescent="0.25">
      <c r="A20" t="str">
        <f>IF(Input!A21="","",Input!A21)</f>
        <v/>
      </c>
      <c r="B20" s="6" t="str">
        <f>IFERROR(IF(A20="","",IF('Asset Allocation'!G20="","",SUM('Asset Allocation'!N20,'Asset Allocation'!T20))),0)</f>
        <v/>
      </c>
      <c r="C20" s="6" t="str">
        <f>IFERROR(IF(A20="","",IF('Asset Allocation'!O20="","",SUM('Asset Allocation'!O20))),0)</f>
        <v/>
      </c>
      <c r="D20" s="6" t="str">
        <f>IFERROR(IF(A20="","",IF('Asset Allocation'!H20="","",SUM('Asset Allocation'!R20,'Asset Allocation'!S20,'Asset Allocation'!U20,'Asset Allocation'!V20,'Asset Allocation'!AA20,'Asset Allocation'!AB20,'Asset Allocation'!AC20,'Asset Allocation'!AF20,'Asset Allocation'!AG20))),0)</f>
        <v/>
      </c>
      <c r="E20" s="6" t="str">
        <f>IFERROR(IF(A20="","",IF('Asset Allocation'!P20="","",SUM('Asset Allocation'!P20))),0)</f>
        <v/>
      </c>
      <c r="F20" s="6" t="str">
        <f>IFERROR(IF(A20="","",IF('Asset Allocation'!AJ20="","",SUM('Asset Allocation'!AJ20))),0)</f>
        <v/>
      </c>
      <c r="G20" s="6" t="str">
        <f>IFERROR(IF(A20="","",IF('Asset Allocation'!C20="","",SUM('Asset Allocation'!Q20,'Asset Allocation'!AE20,'Asset Allocation'!AD20,'Asset Allocation'!AH20,'Asset Allocation'!AI20))),0)</f>
        <v/>
      </c>
      <c r="H20" s="6" t="str">
        <f>IFERROR(IF(A20="","",IF('Asset Allocation'!Z20="","",SUM('Asset Allocation'!Z20,'Asset Allocation'!W20,'Asset Allocation'!AL20))),0)</f>
        <v/>
      </c>
    </row>
    <row r="21" spans="1:8" x14ac:dyDescent="0.25">
      <c r="A21" t="str">
        <f>IF(Input!A22="","",Input!A22)</f>
        <v/>
      </c>
      <c r="B21" s="6" t="str">
        <f>IFERROR(IF(A21="","",IF('Asset Allocation'!G21="","",SUM('Asset Allocation'!N21,'Asset Allocation'!T21))),0)</f>
        <v/>
      </c>
      <c r="C21" s="6" t="str">
        <f>IFERROR(IF(A21="","",IF('Asset Allocation'!O21="","",SUM('Asset Allocation'!O21))),0)</f>
        <v/>
      </c>
      <c r="D21" s="6" t="str">
        <f>IFERROR(IF(A21="","",IF('Asset Allocation'!H21="","",SUM('Asset Allocation'!R21,'Asset Allocation'!S21,'Asset Allocation'!U21,'Asset Allocation'!V21,'Asset Allocation'!AA21,'Asset Allocation'!AB21,'Asset Allocation'!AC21,'Asset Allocation'!AF21,'Asset Allocation'!AG21))),0)</f>
        <v/>
      </c>
      <c r="E21" s="6" t="str">
        <f>IFERROR(IF(A21="","",IF('Asset Allocation'!P21="","",SUM('Asset Allocation'!P21))),0)</f>
        <v/>
      </c>
      <c r="F21" s="6" t="str">
        <f>IFERROR(IF(A21="","",IF('Asset Allocation'!AJ21="","",SUM('Asset Allocation'!AJ21))),0)</f>
        <v/>
      </c>
      <c r="G21" s="6" t="str">
        <f>IFERROR(IF(A21="","",IF('Asset Allocation'!C21="","",SUM('Asset Allocation'!Q21,'Asset Allocation'!AE21,'Asset Allocation'!AD21,'Asset Allocation'!AH21,'Asset Allocation'!AI21))),0)</f>
        <v/>
      </c>
      <c r="H21" s="6" t="str">
        <f>IFERROR(IF(A21="","",IF('Asset Allocation'!Z21="","",SUM('Asset Allocation'!Z21,'Asset Allocation'!W21,'Asset Allocation'!AL21))),0)</f>
        <v/>
      </c>
    </row>
    <row r="22" spans="1:8" x14ac:dyDescent="0.25">
      <c r="A22" t="str">
        <f>IF(Input!A23="","",Input!A23)</f>
        <v/>
      </c>
      <c r="B22" s="6" t="str">
        <f>IFERROR(IF(A22="","",IF('Asset Allocation'!G22="","",SUM('Asset Allocation'!N22,'Asset Allocation'!T22))),0)</f>
        <v/>
      </c>
      <c r="C22" s="6" t="str">
        <f>IFERROR(IF(A22="","",IF('Asset Allocation'!O22="","",SUM('Asset Allocation'!O22))),0)</f>
        <v/>
      </c>
      <c r="D22" s="6" t="str">
        <f>IFERROR(IF(A22="","",IF('Asset Allocation'!H22="","",SUM('Asset Allocation'!R22,'Asset Allocation'!S22,'Asset Allocation'!U22,'Asset Allocation'!V22,'Asset Allocation'!AA22,'Asset Allocation'!AB22,'Asset Allocation'!AC22,'Asset Allocation'!AF22,'Asset Allocation'!AG22))),0)</f>
        <v/>
      </c>
      <c r="E22" s="6" t="str">
        <f>IFERROR(IF(A22="","",IF('Asset Allocation'!P22="","",SUM('Asset Allocation'!P22))),0)</f>
        <v/>
      </c>
      <c r="F22" s="6" t="str">
        <f>IFERROR(IF(A22="","",IF('Asset Allocation'!AJ22="","",SUM('Asset Allocation'!AJ22))),0)</f>
        <v/>
      </c>
      <c r="G22" s="6" t="str">
        <f>IFERROR(IF(A22="","",IF('Asset Allocation'!C22="","",SUM('Asset Allocation'!Q22,'Asset Allocation'!AE22,'Asset Allocation'!AD22,'Asset Allocation'!AH22,'Asset Allocation'!AI22))),0)</f>
        <v/>
      </c>
      <c r="H22" s="6" t="str">
        <f>IFERROR(IF(A22="","",IF('Asset Allocation'!Z22="","",SUM('Asset Allocation'!Z22,'Asset Allocation'!W22,'Asset Allocation'!AL22))),0)</f>
        <v/>
      </c>
    </row>
    <row r="23" spans="1:8" x14ac:dyDescent="0.25">
      <c r="A23" t="str">
        <f>IF(Input!A24="","",Input!A24)</f>
        <v/>
      </c>
      <c r="B23" s="6" t="str">
        <f>IFERROR(IF(A23="","",IF('Asset Allocation'!G23="","",SUM('Asset Allocation'!N23,'Asset Allocation'!T23))),0)</f>
        <v/>
      </c>
      <c r="C23" s="6" t="str">
        <f>IFERROR(IF(A23="","",IF('Asset Allocation'!O23="","",SUM('Asset Allocation'!O23))),0)</f>
        <v/>
      </c>
      <c r="D23" s="6" t="str">
        <f>IFERROR(IF(A23="","",IF('Asset Allocation'!H23="","",SUM('Asset Allocation'!R23,'Asset Allocation'!S23,'Asset Allocation'!U23,'Asset Allocation'!V23,'Asset Allocation'!AA23,'Asset Allocation'!AB23,'Asset Allocation'!AC23,'Asset Allocation'!AF23,'Asset Allocation'!AG23))),0)</f>
        <v/>
      </c>
      <c r="E23" s="6" t="str">
        <f>IFERROR(IF(A23="","",IF('Asset Allocation'!P23="","",SUM('Asset Allocation'!P23))),0)</f>
        <v/>
      </c>
      <c r="F23" s="6" t="str">
        <f>IFERROR(IF(A23="","",IF('Asset Allocation'!AJ23="","",SUM('Asset Allocation'!AJ23))),0)</f>
        <v/>
      </c>
      <c r="G23" s="6" t="str">
        <f>IFERROR(IF(A23="","",IF('Asset Allocation'!C23="","",SUM('Asset Allocation'!Q23,'Asset Allocation'!AE23,'Asset Allocation'!AD23,'Asset Allocation'!AH23,'Asset Allocation'!AI23))),0)</f>
        <v/>
      </c>
      <c r="H23" s="6" t="str">
        <f>IFERROR(IF(A23="","",IF('Asset Allocation'!Z23="","",SUM('Asset Allocation'!Z23,'Asset Allocation'!W23,'Asset Allocation'!AL23))),0)</f>
        <v/>
      </c>
    </row>
    <row r="24" spans="1:8" x14ac:dyDescent="0.25">
      <c r="A24" t="str">
        <f>IF(Input!A25="","",Input!A25)</f>
        <v/>
      </c>
      <c r="B24" s="6" t="str">
        <f>IFERROR(IF(A24="","",IF('Asset Allocation'!G24="","",SUM('Asset Allocation'!N24,'Asset Allocation'!T24))),0)</f>
        <v/>
      </c>
      <c r="C24" s="6" t="str">
        <f>IFERROR(IF(A24="","",IF('Asset Allocation'!O24="","",SUM('Asset Allocation'!O24))),0)</f>
        <v/>
      </c>
      <c r="D24" s="6" t="str">
        <f>IFERROR(IF(A24="","",IF('Asset Allocation'!H24="","",SUM('Asset Allocation'!R24,'Asset Allocation'!S24,'Asset Allocation'!U24,'Asset Allocation'!V24,'Asset Allocation'!AA24,'Asset Allocation'!AB24,'Asset Allocation'!AC24,'Asset Allocation'!AF24,'Asset Allocation'!AG24))),0)</f>
        <v/>
      </c>
      <c r="E24" s="6" t="str">
        <f>IFERROR(IF(A24="","",IF('Asset Allocation'!P24="","",SUM('Asset Allocation'!P24))),0)</f>
        <v/>
      </c>
      <c r="F24" s="6" t="str">
        <f>IFERROR(IF(A24="","",IF('Asset Allocation'!AJ24="","",SUM('Asset Allocation'!AJ24))),0)</f>
        <v/>
      </c>
      <c r="G24" s="6" t="str">
        <f>IFERROR(IF(A24="","",IF('Asset Allocation'!C24="","",SUM('Asset Allocation'!Q24,'Asset Allocation'!AE24,'Asset Allocation'!AD24,'Asset Allocation'!AH24,'Asset Allocation'!AI24))),0)</f>
        <v/>
      </c>
      <c r="H24" s="6" t="str">
        <f>IFERROR(IF(A24="","",IF('Asset Allocation'!Z24="","",SUM('Asset Allocation'!Z24,'Asset Allocation'!W24,'Asset Allocation'!AL24))),0)</f>
        <v/>
      </c>
    </row>
    <row r="25" spans="1:8" x14ac:dyDescent="0.25">
      <c r="A25" t="str">
        <f>IF(Input!A26="","",Input!A26)</f>
        <v/>
      </c>
      <c r="B25" s="6" t="str">
        <f>IFERROR(IF(A25="","",IF('Asset Allocation'!G25="","",SUM('Asset Allocation'!N25,'Asset Allocation'!T25))),0)</f>
        <v/>
      </c>
      <c r="C25" s="6" t="str">
        <f>IFERROR(IF(A25="","",IF('Asset Allocation'!O25="","",SUM('Asset Allocation'!O25))),0)</f>
        <v/>
      </c>
      <c r="D25" s="6" t="str">
        <f>IFERROR(IF(A25="","",IF('Asset Allocation'!H25="","",SUM('Asset Allocation'!R25,'Asset Allocation'!S25,'Asset Allocation'!U25,'Asset Allocation'!V25,'Asset Allocation'!AA25,'Asset Allocation'!AB25,'Asset Allocation'!AC25,'Asset Allocation'!AF25,'Asset Allocation'!AG25))),0)</f>
        <v/>
      </c>
      <c r="E25" s="6" t="str">
        <f>IFERROR(IF(A25="","",IF('Asset Allocation'!P25="","",SUM('Asset Allocation'!P25))),0)</f>
        <v/>
      </c>
      <c r="F25" s="6" t="str">
        <f>IFERROR(IF(A25="","",IF('Asset Allocation'!AJ25="","",SUM('Asset Allocation'!AJ25))),0)</f>
        <v/>
      </c>
      <c r="G25" s="6" t="str">
        <f>IFERROR(IF(A25="","",IF('Asset Allocation'!C25="","",SUM('Asset Allocation'!Q25,'Asset Allocation'!AE25,'Asset Allocation'!AD25,'Asset Allocation'!AH25,'Asset Allocation'!AI25))),0)</f>
        <v/>
      </c>
      <c r="H25" s="6" t="str">
        <f>IFERROR(IF(A25="","",IF('Asset Allocation'!Z25="","",SUM('Asset Allocation'!Z25,'Asset Allocation'!W25,'Asset Allocation'!AL25))),0)</f>
        <v/>
      </c>
    </row>
    <row r="26" spans="1:8" x14ac:dyDescent="0.25">
      <c r="A26" t="str">
        <f>IF(Input!A27="","",Input!A27)</f>
        <v/>
      </c>
      <c r="B26" s="6" t="str">
        <f>IFERROR(IF(A26="","",IF('Asset Allocation'!G26="","",SUM('Asset Allocation'!N26,'Asset Allocation'!T26))),0)</f>
        <v/>
      </c>
      <c r="C26" s="6" t="str">
        <f>IFERROR(IF(A26="","",IF('Asset Allocation'!O26="","",SUM('Asset Allocation'!O26))),0)</f>
        <v/>
      </c>
      <c r="D26" s="6" t="str">
        <f>IFERROR(IF(A26="","",IF('Asset Allocation'!H26="","",SUM('Asset Allocation'!R26,'Asset Allocation'!S26,'Asset Allocation'!U26,'Asset Allocation'!V26,'Asset Allocation'!AA26,'Asset Allocation'!AB26,'Asset Allocation'!AC26,'Asset Allocation'!AF26,'Asset Allocation'!AG26))),0)</f>
        <v/>
      </c>
      <c r="E26" s="6" t="str">
        <f>IFERROR(IF(A26="","",IF('Asset Allocation'!P26="","",SUM('Asset Allocation'!P26))),0)</f>
        <v/>
      </c>
      <c r="F26" s="6" t="str">
        <f>IFERROR(IF(A26="","",IF('Asset Allocation'!AJ26="","",SUM('Asset Allocation'!AJ26))),0)</f>
        <v/>
      </c>
      <c r="G26" s="6" t="str">
        <f>IFERROR(IF(A26="","",IF('Asset Allocation'!C26="","",SUM('Asset Allocation'!Q26,'Asset Allocation'!AE26,'Asset Allocation'!AD26,'Asset Allocation'!AH26,'Asset Allocation'!AI26))),0)</f>
        <v/>
      </c>
      <c r="H26" s="6" t="str">
        <f>IFERROR(IF(A26="","",IF('Asset Allocation'!Z26="","",SUM('Asset Allocation'!Z26,'Asset Allocation'!W26,'Asset Allocation'!AL26))),0)</f>
        <v/>
      </c>
    </row>
    <row r="27" spans="1:8" x14ac:dyDescent="0.25">
      <c r="A27" t="str">
        <f>IF(Input!A28="","",Input!A28)</f>
        <v/>
      </c>
      <c r="B27" s="6" t="str">
        <f>IFERROR(IF(A27="","",IF('Asset Allocation'!G27="","",SUM('Asset Allocation'!N27,'Asset Allocation'!T27))),0)</f>
        <v/>
      </c>
      <c r="C27" s="6" t="str">
        <f>IFERROR(IF(A27="","",IF('Asset Allocation'!O27="","",SUM('Asset Allocation'!O27))),0)</f>
        <v/>
      </c>
      <c r="D27" s="6" t="str">
        <f>IFERROR(IF(A27="","",IF('Asset Allocation'!H27="","",SUM('Asset Allocation'!R27,'Asset Allocation'!S27,'Asset Allocation'!U27,'Asset Allocation'!V27,'Asset Allocation'!AA27,'Asset Allocation'!AB27,'Asset Allocation'!AC27,'Asset Allocation'!AF27,'Asset Allocation'!AG27))),0)</f>
        <v/>
      </c>
      <c r="E27" s="6" t="str">
        <f>IFERROR(IF(A27="","",IF('Asset Allocation'!P27="","",SUM('Asset Allocation'!P27))),0)</f>
        <v/>
      </c>
      <c r="F27" s="6" t="str">
        <f>IFERROR(IF(A27="","",IF('Asset Allocation'!AJ27="","",SUM('Asset Allocation'!AJ27))),0)</f>
        <v/>
      </c>
      <c r="G27" s="6" t="str">
        <f>IFERROR(IF(A27="","",IF('Asset Allocation'!C27="","",SUM('Asset Allocation'!Q27,'Asset Allocation'!AE27,'Asset Allocation'!AD27,'Asset Allocation'!AH27,'Asset Allocation'!AI27))),0)</f>
        <v/>
      </c>
      <c r="H27" s="6" t="str">
        <f>IFERROR(IF(A27="","",IF('Asset Allocation'!Z27="","",SUM('Asset Allocation'!Z27,'Asset Allocation'!W27,'Asset Allocation'!AL27))),0)</f>
        <v/>
      </c>
    </row>
    <row r="28" spans="1:8" x14ac:dyDescent="0.25">
      <c r="A28" t="str">
        <f>IF(Input!A29="","",Input!A29)</f>
        <v/>
      </c>
      <c r="B28" s="6" t="str">
        <f>IFERROR(IF(A28="","",IF('Asset Allocation'!G28="","",SUM('Asset Allocation'!N28,'Asset Allocation'!T28))),0)</f>
        <v/>
      </c>
      <c r="C28" s="6" t="str">
        <f>IFERROR(IF(A28="","",IF('Asset Allocation'!O28="","",SUM('Asset Allocation'!O28))),0)</f>
        <v/>
      </c>
      <c r="D28" s="6" t="str">
        <f>IFERROR(IF(A28="","",IF('Asset Allocation'!H28="","",SUM('Asset Allocation'!R28,'Asset Allocation'!S28,'Asset Allocation'!U28,'Asset Allocation'!V28,'Asset Allocation'!AA28,'Asset Allocation'!AB28,'Asset Allocation'!AC28,'Asset Allocation'!AF28,'Asset Allocation'!AG28))),0)</f>
        <v/>
      </c>
      <c r="E28" s="6" t="str">
        <f>IFERROR(IF(A28="","",IF('Asset Allocation'!P28="","",SUM('Asset Allocation'!P28))),0)</f>
        <v/>
      </c>
      <c r="F28" s="6" t="str">
        <f>IFERROR(IF(A28="","",IF('Asset Allocation'!AJ28="","",SUM('Asset Allocation'!AJ28))),0)</f>
        <v/>
      </c>
      <c r="G28" s="6" t="str">
        <f>IFERROR(IF(A28="","",IF('Asset Allocation'!C28="","",SUM('Asset Allocation'!Q28,'Asset Allocation'!AE28,'Asset Allocation'!AD28,'Asset Allocation'!AH28,'Asset Allocation'!AI28))),0)</f>
        <v/>
      </c>
      <c r="H28" s="6" t="str">
        <f>IFERROR(IF(A28="","",IF('Asset Allocation'!Z28="","",SUM('Asset Allocation'!Z28,'Asset Allocation'!W28,'Asset Allocation'!AL28))),0)</f>
        <v/>
      </c>
    </row>
    <row r="29" spans="1:8" x14ac:dyDescent="0.25">
      <c r="A29" t="str">
        <f>IF(Input!A30="","",Input!A30)</f>
        <v/>
      </c>
      <c r="B29" s="6" t="str">
        <f>IFERROR(IF(A29="","",IF('Asset Allocation'!G29="","",SUM('Asset Allocation'!N29,'Asset Allocation'!T29))),0)</f>
        <v/>
      </c>
      <c r="C29" s="6" t="str">
        <f>IFERROR(IF(A29="","",IF('Asset Allocation'!O29="","",SUM('Asset Allocation'!O29))),0)</f>
        <v/>
      </c>
      <c r="D29" s="6" t="str">
        <f>IFERROR(IF(A29="","",IF('Asset Allocation'!H29="","",SUM('Asset Allocation'!R29,'Asset Allocation'!S29,'Asset Allocation'!U29,'Asset Allocation'!V29,'Asset Allocation'!AA29,'Asset Allocation'!AB29,'Asset Allocation'!AC29,'Asset Allocation'!AF29,'Asset Allocation'!AG29))),0)</f>
        <v/>
      </c>
      <c r="E29" s="6" t="str">
        <f>IFERROR(IF(A29="","",IF('Asset Allocation'!P29="","",SUM('Asset Allocation'!P29))),0)</f>
        <v/>
      </c>
      <c r="F29" s="6" t="str">
        <f>IFERROR(IF(A29="","",IF('Asset Allocation'!AJ29="","",SUM('Asset Allocation'!AJ29))),0)</f>
        <v/>
      </c>
      <c r="G29" s="6" t="str">
        <f>IFERROR(IF(A29="","",IF('Asset Allocation'!C29="","",SUM('Asset Allocation'!Q29,'Asset Allocation'!AE29,'Asset Allocation'!AD29,'Asset Allocation'!AH29,'Asset Allocation'!AI29))),0)</f>
        <v/>
      </c>
      <c r="H29" s="6" t="str">
        <f>IFERROR(IF(A29="","",IF('Asset Allocation'!Z29="","",SUM('Asset Allocation'!Z29,'Asset Allocation'!W29,'Asset Allocation'!AL29))),0)</f>
        <v/>
      </c>
    </row>
    <row r="30" spans="1:8" x14ac:dyDescent="0.25">
      <c r="A30" t="str">
        <f>IF(Input!A31="","",Input!A31)</f>
        <v/>
      </c>
      <c r="B30" s="6" t="str">
        <f>IFERROR(IF(A30="","",IF('Asset Allocation'!G30="","",SUM('Asset Allocation'!N30,'Asset Allocation'!T30))),0)</f>
        <v/>
      </c>
      <c r="C30" s="6" t="str">
        <f>IFERROR(IF(A30="","",IF('Asset Allocation'!O30="","",SUM('Asset Allocation'!O30))),0)</f>
        <v/>
      </c>
      <c r="D30" s="6" t="str">
        <f>IFERROR(IF(A30="","",IF('Asset Allocation'!H30="","",SUM('Asset Allocation'!R30,'Asset Allocation'!S30,'Asset Allocation'!U30,'Asset Allocation'!V30,'Asset Allocation'!AA30,'Asset Allocation'!AB30,'Asset Allocation'!AC30,'Asset Allocation'!AF30,'Asset Allocation'!AG30))),0)</f>
        <v/>
      </c>
      <c r="E30" s="6" t="str">
        <f>IFERROR(IF(A30="","",IF('Asset Allocation'!P30="","",SUM('Asset Allocation'!P30))),0)</f>
        <v/>
      </c>
      <c r="F30" s="6" t="str">
        <f>IFERROR(IF(A30="","",IF('Asset Allocation'!AJ30="","",SUM('Asset Allocation'!AJ30))),0)</f>
        <v/>
      </c>
      <c r="G30" s="6" t="str">
        <f>IFERROR(IF(A30="","",IF('Asset Allocation'!C30="","",SUM('Asset Allocation'!Q30,'Asset Allocation'!AE30,'Asset Allocation'!AD30,'Asset Allocation'!AH30,'Asset Allocation'!AI30))),0)</f>
        <v/>
      </c>
      <c r="H30" s="6" t="str">
        <f>IFERROR(IF(A30="","",IF('Asset Allocation'!Z30="","",SUM('Asset Allocation'!Z30,'Asset Allocation'!W30,'Asset Allocation'!AL30))),0)</f>
        <v/>
      </c>
    </row>
    <row r="31" spans="1:8" x14ac:dyDescent="0.25">
      <c r="A31" t="str">
        <f>IF(Input!A32="","",Input!A32)</f>
        <v/>
      </c>
      <c r="B31" s="6" t="str">
        <f>IFERROR(IF(A31="","",IF('Asset Allocation'!G31="","",SUM('Asset Allocation'!N31,'Asset Allocation'!T31))),0)</f>
        <v/>
      </c>
      <c r="C31" s="6" t="str">
        <f>IFERROR(IF(A31="","",IF('Asset Allocation'!O31="","",SUM('Asset Allocation'!O31))),0)</f>
        <v/>
      </c>
      <c r="D31" s="6" t="str">
        <f>IFERROR(IF(A31="","",IF('Asset Allocation'!H31="","",SUM('Asset Allocation'!R31,'Asset Allocation'!S31,'Asset Allocation'!U31,'Asset Allocation'!V31,'Asset Allocation'!AA31,'Asset Allocation'!AB31,'Asset Allocation'!AC31,'Asset Allocation'!AF31,'Asset Allocation'!AG31))),0)</f>
        <v/>
      </c>
      <c r="E31" s="6" t="str">
        <f>IFERROR(IF(A31="","",IF('Asset Allocation'!P31="","",SUM('Asset Allocation'!P31))),0)</f>
        <v/>
      </c>
      <c r="F31" s="6" t="str">
        <f>IFERROR(IF(A31="","",IF('Asset Allocation'!AJ31="","",SUM('Asset Allocation'!AJ31))),0)</f>
        <v/>
      </c>
      <c r="G31" s="6" t="str">
        <f>IFERROR(IF(A31="","",IF('Asset Allocation'!C31="","",SUM('Asset Allocation'!Q31,'Asset Allocation'!AE31,'Asset Allocation'!AD31,'Asset Allocation'!AH31,'Asset Allocation'!AI31))),0)</f>
        <v/>
      </c>
      <c r="H31" s="6" t="str">
        <f>IFERROR(IF(A31="","",IF('Asset Allocation'!Z31="","",SUM('Asset Allocation'!Z31,'Asset Allocation'!W31,'Asset Allocation'!AL31))),0)</f>
        <v/>
      </c>
    </row>
    <row r="32" spans="1:8" x14ac:dyDescent="0.25">
      <c r="A32" t="str">
        <f>IF(Input!A33="","",Input!A33)</f>
        <v/>
      </c>
      <c r="B32" s="6" t="str">
        <f>IFERROR(IF(A32="","",IF('Asset Allocation'!G32="","",SUM('Asset Allocation'!N32,'Asset Allocation'!T32))),0)</f>
        <v/>
      </c>
      <c r="C32" s="6" t="str">
        <f>IFERROR(IF(A32="","",IF('Asset Allocation'!O32="","",SUM('Asset Allocation'!O32))),0)</f>
        <v/>
      </c>
      <c r="D32" s="6" t="str">
        <f>IFERROR(IF(A32="","",IF('Asset Allocation'!H32="","",SUM('Asset Allocation'!R32,'Asset Allocation'!S32,'Asset Allocation'!U32,'Asset Allocation'!V32,'Asset Allocation'!AA32,'Asset Allocation'!AB32,'Asset Allocation'!AC32,'Asset Allocation'!AF32,'Asset Allocation'!AG32))),0)</f>
        <v/>
      </c>
      <c r="E32" s="6" t="str">
        <f>IFERROR(IF(A32="","",IF('Asset Allocation'!P32="","",SUM('Asset Allocation'!P32))),0)</f>
        <v/>
      </c>
      <c r="F32" s="6" t="str">
        <f>IFERROR(IF(A32="","",IF('Asset Allocation'!AJ32="","",SUM('Asset Allocation'!AJ32))),0)</f>
        <v/>
      </c>
      <c r="G32" s="6" t="str">
        <f>IFERROR(IF(A32="","",IF('Asset Allocation'!C32="","",SUM('Asset Allocation'!Q32,'Asset Allocation'!AE32,'Asset Allocation'!AD32,'Asset Allocation'!AH32,'Asset Allocation'!AI32))),0)</f>
        <v/>
      </c>
      <c r="H32" s="6" t="str">
        <f>IFERROR(IF(A32="","",IF('Asset Allocation'!Z32="","",SUM('Asset Allocation'!Z32,'Asset Allocation'!W32,'Asset Allocation'!AL32))),0)</f>
        <v/>
      </c>
    </row>
    <row r="33" spans="1:8" x14ac:dyDescent="0.25">
      <c r="A33" t="str">
        <f>IF(Input!A34="","",Input!A34)</f>
        <v/>
      </c>
      <c r="B33" s="6" t="str">
        <f>IFERROR(IF(A33="","",IF('Asset Allocation'!G33="","",SUM('Asset Allocation'!N33,'Asset Allocation'!T33))),0)</f>
        <v/>
      </c>
      <c r="C33" s="6" t="str">
        <f>IFERROR(IF(A33="","",IF('Asset Allocation'!O33="","",SUM('Asset Allocation'!O33))),0)</f>
        <v/>
      </c>
      <c r="D33" s="6" t="str">
        <f>IFERROR(IF(A33="","",IF('Asset Allocation'!H33="","",SUM('Asset Allocation'!R33,'Asset Allocation'!S33,'Asset Allocation'!U33,'Asset Allocation'!V33,'Asset Allocation'!AA33,'Asset Allocation'!AB33,'Asset Allocation'!AC33,'Asset Allocation'!AF33,'Asset Allocation'!AG33))),0)</f>
        <v/>
      </c>
      <c r="E33" s="6" t="str">
        <f>IFERROR(IF(A33="","",IF('Asset Allocation'!P33="","",SUM('Asset Allocation'!P33))),0)</f>
        <v/>
      </c>
      <c r="F33" s="6" t="str">
        <f>IFERROR(IF(A33="","",IF('Asset Allocation'!AJ33="","",SUM('Asset Allocation'!AJ33))),0)</f>
        <v/>
      </c>
      <c r="G33" s="6" t="str">
        <f>IFERROR(IF(A33="","",IF('Asset Allocation'!C33="","",SUM('Asset Allocation'!Q33,'Asset Allocation'!AE33,'Asset Allocation'!AD33,'Asset Allocation'!AH33,'Asset Allocation'!AI33))),0)</f>
        <v/>
      </c>
      <c r="H33" s="6" t="str">
        <f>IFERROR(IF(A33="","",IF('Asset Allocation'!Z33="","",SUM('Asset Allocation'!Z33,'Asset Allocation'!W33,'Asset Allocation'!AL33))),0)</f>
        <v/>
      </c>
    </row>
    <row r="34" spans="1:8" x14ac:dyDescent="0.25">
      <c r="A34" t="str">
        <f>IF(Input!A35="","",Input!A35)</f>
        <v/>
      </c>
      <c r="B34" s="6" t="str">
        <f>IFERROR(IF(A34="","",IF('Asset Allocation'!G34="","",SUM('Asset Allocation'!N34,'Asset Allocation'!T34))),0)</f>
        <v/>
      </c>
      <c r="C34" s="6" t="str">
        <f>IFERROR(IF(A34="","",IF('Asset Allocation'!O34="","",SUM('Asset Allocation'!O34))),0)</f>
        <v/>
      </c>
      <c r="D34" s="6" t="str">
        <f>IFERROR(IF(A34="","",IF('Asset Allocation'!H34="","",SUM('Asset Allocation'!R34,'Asset Allocation'!S34,'Asset Allocation'!U34,'Asset Allocation'!V34,'Asset Allocation'!AA34,'Asset Allocation'!AB34,'Asset Allocation'!AC34,'Asset Allocation'!AF34,'Asset Allocation'!AG34))),0)</f>
        <v/>
      </c>
      <c r="E34" s="6" t="str">
        <f>IFERROR(IF(A34="","",IF('Asset Allocation'!P34="","",SUM('Asset Allocation'!P34))),0)</f>
        <v/>
      </c>
      <c r="F34" s="6" t="str">
        <f>IFERROR(IF(A34="","",IF('Asset Allocation'!AJ34="","",SUM('Asset Allocation'!AJ34))),0)</f>
        <v/>
      </c>
      <c r="G34" s="6" t="str">
        <f>IFERROR(IF(A34="","",IF('Asset Allocation'!C34="","",SUM('Asset Allocation'!Q34,'Asset Allocation'!AE34,'Asset Allocation'!AD34,'Asset Allocation'!AH34,'Asset Allocation'!AI34))),0)</f>
        <v/>
      </c>
      <c r="H34" s="6" t="str">
        <f>IFERROR(IF(A34="","",IF('Asset Allocation'!Z34="","",SUM('Asset Allocation'!Z34,'Asset Allocation'!W34,'Asset Allocation'!AL34))),0)</f>
        <v/>
      </c>
    </row>
    <row r="35" spans="1:8" x14ac:dyDescent="0.25">
      <c r="A35" t="str">
        <f>IF(Input!A36="","",Input!A36)</f>
        <v/>
      </c>
      <c r="B35" s="6" t="str">
        <f>IFERROR(IF(A35="","",IF('Asset Allocation'!G35="","",SUM('Asset Allocation'!N35,'Asset Allocation'!T35))),0)</f>
        <v/>
      </c>
      <c r="C35" s="6" t="str">
        <f>IFERROR(IF(A35="","",IF('Asset Allocation'!O35="","",SUM('Asset Allocation'!O35))),0)</f>
        <v/>
      </c>
      <c r="D35" s="6" t="str">
        <f>IFERROR(IF(A35="","",IF('Asset Allocation'!H35="","",SUM('Asset Allocation'!R35,'Asset Allocation'!S35,'Asset Allocation'!U35,'Asset Allocation'!V35,'Asset Allocation'!AA35,'Asset Allocation'!AB35,'Asset Allocation'!AC35,'Asset Allocation'!AF35,'Asset Allocation'!AG35))),0)</f>
        <v/>
      </c>
      <c r="E35" s="6" t="str">
        <f>IFERROR(IF(A35="","",IF('Asset Allocation'!P35="","",SUM('Asset Allocation'!P35))),0)</f>
        <v/>
      </c>
      <c r="F35" s="6" t="str">
        <f>IFERROR(IF(A35="","",IF('Asset Allocation'!AJ35="","",SUM('Asset Allocation'!AJ35))),0)</f>
        <v/>
      </c>
      <c r="G35" s="6" t="str">
        <f>IFERROR(IF(A35="","",IF('Asset Allocation'!C35="","",SUM('Asset Allocation'!Q35,'Asset Allocation'!AE35,'Asset Allocation'!AD35,'Asset Allocation'!AH35,'Asset Allocation'!AI35))),0)</f>
        <v/>
      </c>
      <c r="H35" s="6" t="str">
        <f>IFERROR(IF(A35="","",IF('Asset Allocation'!Z35="","",SUM('Asset Allocation'!Z35,'Asset Allocation'!W35,'Asset Allocation'!AL35))),0)</f>
        <v/>
      </c>
    </row>
    <row r="36" spans="1:8" x14ac:dyDescent="0.25">
      <c r="A36" t="str">
        <f>IF(Input!A37="","",Input!A37)</f>
        <v/>
      </c>
      <c r="B36" s="6" t="str">
        <f>IFERROR(IF(A36="","",IF('Asset Allocation'!G36="","",SUM('Asset Allocation'!N36,'Asset Allocation'!T36))),0)</f>
        <v/>
      </c>
      <c r="C36" s="6" t="str">
        <f>IFERROR(IF(A36="","",IF('Asset Allocation'!O36="","",SUM('Asset Allocation'!O36))),0)</f>
        <v/>
      </c>
      <c r="D36" s="6" t="str">
        <f>IFERROR(IF(A36="","",IF('Asset Allocation'!H36="","",SUM('Asset Allocation'!R36,'Asset Allocation'!S36,'Asset Allocation'!U36,'Asset Allocation'!V36,'Asset Allocation'!AA36,'Asset Allocation'!AB36,'Asset Allocation'!AC36,'Asset Allocation'!AF36,'Asset Allocation'!AG36))),0)</f>
        <v/>
      </c>
      <c r="E36" s="6" t="str">
        <f>IFERROR(IF(A36="","",IF('Asset Allocation'!P36="","",SUM('Asset Allocation'!P36))),0)</f>
        <v/>
      </c>
      <c r="F36" s="6" t="str">
        <f>IFERROR(IF(A36="","",IF('Asset Allocation'!AJ36="","",SUM('Asset Allocation'!AJ36))),0)</f>
        <v/>
      </c>
      <c r="G36" s="6" t="str">
        <f>IFERROR(IF(A36="","",IF('Asset Allocation'!C36="","",SUM('Asset Allocation'!Q36,'Asset Allocation'!AE36,'Asset Allocation'!AD36,'Asset Allocation'!AH36,'Asset Allocation'!AI36))),0)</f>
        <v/>
      </c>
      <c r="H36" s="6" t="str">
        <f>IFERROR(IF(A36="","",IF('Asset Allocation'!Z36="","",SUM('Asset Allocation'!Z36,'Asset Allocation'!W36,'Asset Allocation'!AL36))),0)</f>
        <v/>
      </c>
    </row>
    <row r="37" spans="1:8" x14ac:dyDescent="0.25">
      <c r="A37" t="str">
        <f>IF(Input!A38="","",Input!A38)</f>
        <v/>
      </c>
      <c r="B37" s="6" t="str">
        <f>IFERROR(IF(A37="","",IF('Asset Allocation'!G37="","",SUM('Asset Allocation'!N37,'Asset Allocation'!T37))),0)</f>
        <v/>
      </c>
      <c r="C37" s="6" t="str">
        <f>IFERROR(IF(A37="","",IF('Asset Allocation'!O37="","",SUM('Asset Allocation'!O37))),0)</f>
        <v/>
      </c>
      <c r="D37" s="6" t="str">
        <f>IFERROR(IF(A37="","",IF('Asset Allocation'!H37="","",SUM('Asset Allocation'!R37,'Asset Allocation'!S37,'Asset Allocation'!U37,'Asset Allocation'!V37,'Asset Allocation'!AA37,'Asset Allocation'!AB37,'Asset Allocation'!AC37,'Asset Allocation'!AF37,'Asset Allocation'!AG37))),0)</f>
        <v/>
      </c>
      <c r="E37" s="6" t="str">
        <f>IFERROR(IF(A37="","",IF('Asset Allocation'!P37="","",SUM('Asset Allocation'!P37))),0)</f>
        <v/>
      </c>
      <c r="F37" s="6" t="str">
        <f>IFERROR(IF(A37="","",IF('Asset Allocation'!AJ37="","",SUM('Asset Allocation'!AJ37))),0)</f>
        <v/>
      </c>
      <c r="G37" s="6" t="str">
        <f>IFERROR(IF(A37="","",IF('Asset Allocation'!C37="","",SUM('Asset Allocation'!Q37,'Asset Allocation'!AE37,'Asset Allocation'!AD37,'Asset Allocation'!AH37,'Asset Allocation'!AI37))),0)</f>
        <v/>
      </c>
      <c r="H37" s="6" t="str">
        <f>IFERROR(IF(A37="","",IF('Asset Allocation'!Z37="","",SUM('Asset Allocation'!Z37,'Asset Allocation'!W37,'Asset Allocation'!AL37))),0)</f>
        <v/>
      </c>
    </row>
    <row r="38" spans="1:8" x14ac:dyDescent="0.25">
      <c r="A38" t="str">
        <f>IF(Input!A39="","",Input!A39)</f>
        <v/>
      </c>
      <c r="B38" s="6" t="str">
        <f>IFERROR(IF(A38="","",IF('Asset Allocation'!G38="","",SUM('Asset Allocation'!N38,'Asset Allocation'!T38))),0)</f>
        <v/>
      </c>
      <c r="C38" s="6" t="str">
        <f>IFERROR(IF(A38="","",IF('Asset Allocation'!O38="","",SUM('Asset Allocation'!O38))),0)</f>
        <v/>
      </c>
      <c r="D38" s="6" t="str">
        <f>IFERROR(IF(A38="","",IF('Asset Allocation'!H38="","",SUM('Asset Allocation'!R38,'Asset Allocation'!S38,'Asset Allocation'!U38,'Asset Allocation'!V38,'Asset Allocation'!AA38,'Asset Allocation'!AB38,'Asset Allocation'!AC38,'Asset Allocation'!AF38,'Asset Allocation'!AG38))),0)</f>
        <v/>
      </c>
      <c r="E38" s="6" t="str">
        <f>IFERROR(IF(A38="","",IF('Asset Allocation'!P38="","",SUM('Asset Allocation'!P38))),0)</f>
        <v/>
      </c>
      <c r="F38" s="6" t="str">
        <f>IFERROR(IF(A38="","",IF('Asset Allocation'!AJ38="","",SUM('Asset Allocation'!AJ38))),0)</f>
        <v/>
      </c>
      <c r="G38" s="6" t="str">
        <f>IFERROR(IF(A38="","",IF('Asset Allocation'!C38="","",SUM('Asset Allocation'!Q38,'Asset Allocation'!AE38,'Asset Allocation'!AD38,'Asset Allocation'!AH38,'Asset Allocation'!AI38))),0)</f>
        <v/>
      </c>
      <c r="H38" s="6" t="str">
        <f>IFERROR(IF(A38="","",IF('Asset Allocation'!Z38="","",SUM('Asset Allocation'!Z38,'Asset Allocation'!W38,'Asset Allocation'!AL38))),0)</f>
        <v/>
      </c>
    </row>
    <row r="39" spans="1:8" x14ac:dyDescent="0.25">
      <c r="A39" t="str">
        <f>IF(Input!A40="","",Input!A40)</f>
        <v/>
      </c>
      <c r="B39" s="6" t="str">
        <f>IFERROR(IF(A39="","",IF('Asset Allocation'!G39="","",SUM('Asset Allocation'!N39,'Asset Allocation'!T39))),0)</f>
        <v/>
      </c>
      <c r="C39" s="6" t="str">
        <f>IFERROR(IF(A39="","",IF('Asset Allocation'!O39="","",SUM('Asset Allocation'!O39))),0)</f>
        <v/>
      </c>
      <c r="D39" s="6" t="str">
        <f>IFERROR(IF(A39="","",IF('Asset Allocation'!H39="","",SUM('Asset Allocation'!R39,'Asset Allocation'!S39,'Asset Allocation'!U39,'Asset Allocation'!V39,'Asset Allocation'!AA39,'Asset Allocation'!AB39,'Asset Allocation'!AC39,'Asset Allocation'!AF39,'Asset Allocation'!AG39))),0)</f>
        <v/>
      </c>
      <c r="E39" s="6" t="str">
        <f>IFERROR(IF(A39="","",IF('Asset Allocation'!P39="","",SUM('Asset Allocation'!P39))),0)</f>
        <v/>
      </c>
      <c r="F39" s="6" t="str">
        <f>IFERROR(IF(A39="","",IF('Asset Allocation'!AJ39="","",SUM('Asset Allocation'!AJ39))),0)</f>
        <v/>
      </c>
      <c r="G39" s="6" t="str">
        <f>IFERROR(IF(A39="","",IF('Asset Allocation'!C39="","",SUM('Asset Allocation'!Q39,'Asset Allocation'!AE39,'Asset Allocation'!AD39,'Asset Allocation'!AH39,'Asset Allocation'!AI39))),0)</f>
        <v/>
      </c>
      <c r="H39" s="6" t="str">
        <f>IFERROR(IF(A39="","",IF('Asset Allocation'!Z39="","",SUM('Asset Allocation'!Z39,'Asset Allocation'!W39,'Asset Allocation'!AL39))),0)</f>
        <v/>
      </c>
    </row>
    <row r="40" spans="1:8" x14ac:dyDescent="0.25">
      <c r="A40" t="str">
        <f>IF(Input!A41="","",Input!A41)</f>
        <v/>
      </c>
      <c r="B40" s="6" t="str">
        <f>IFERROR(IF(A40="","",IF('Asset Allocation'!G40="","",SUM('Asset Allocation'!N40,'Asset Allocation'!T40))),0)</f>
        <v/>
      </c>
      <c r="C40" s="6" t="str">
        <f>IFERROR(IF(A40="","",IF('Asset Allocation'!O40="","",SUM('Asset Allocation'!O40))),0)</f>
        <v/>
      </c>
      <c r="D40" s="6" t="str">
        <f>IFERROR(IF(A40="","",IF('Asset Allocation'!H40="","",SUM('Asset Allocation'!R40,'Asset Allocation'!S40,'Asset Allocation'!U40,'Asset Allocation'!V40,'Asset Allocation'!AA40,'Asset Allocation'!AB40,'Asset Allocation'!AC40,'Asset Allocation'!AF40,'Asset Allocation'!AG40))),0)</f>
        <v/>
      </c>
      <c r="E40" s="6" t="str">
        <f>IFERROR(IF(A40="","",IF('Asset Allocation'!P40="","",SUM('Asset Allocation'!P40))),0)</f>
        <v/>
      </c>
      <c r="F40" s="6" t="str">
        <f>IFERROR(IF(A40="","",IF('Asset Allocation'!AJ40="","",SUM('Asset Allocation'!AJ40))),0)</f>
        <v/>
      </c>
      <c r="G40" s="6" t="str">
        <f>IFERROR(IF(A40="","",IF('Asset Allocation'!C40="","",SUM('Asset Allocation'!Q40,'Asset Allocation'!AE40,'Asset Allocation'!AD40,'Asset Allocation'!AH40,'Asset Allocation'!AI40))),0)</f>
        <v/>
      </c>
      <c r="H40" s="6" t="str">
        <f>IFERROR(IF(A40="","",IF('Asset Allocation'!Z40="","",SUM('Asset Allocation'!Z40,'Asset Allocation'!W40,'Asset Allocation'!AL40))),0)</f>
        <v/>
      </c>
    </row>
    <row r="41" spans="1:8" x14ac:dyDescent="0.25">
      <c r="A41" t="str">
        <f>IF(Input!A42="","",Input!A42)</f>
        <v/>
      </c>
      <c r="B41" s="6" t="str">
        <f>IFERROR(IF(A41="","",IF('Asset Allocation'!G41="","",SUM('Asset Allocation'!N41,'Asset Allocation'!T41))),0)</f>
        <v/>
      </c>
      <c r="C41" s="6" t="str">
        <f>IFERROR(IF(A41="","",IF('Asset Allocation'!O41="","",SUM('Asset Allocation'!O41))),0)</f>
        <v/>
      </c>
      <c r="D41" s="6" t="str">
        <f>IFERROR(IF(A41="","",IF('Asset Allocation'!H41="","",SUM('Asset Allocation'!R41,'Asset Allocation'!S41,'Asset Allocation'!U41,'Asset Allocation'!V41,'Asset Allocation'!AA41,'Asset Allocation'!AB41,'Asset Allocation'!AC41,'Asset Allocation'!AF41,'Asset Allocation'!AG41))),0)</f>
        <v/>
      </c>
      <c r="E41" s="6" t="str">
        <f>IFERROR(IF(A41="","",IF('Asset Allocation'!P41="","",SUM('Asset Allocation'!P41))),0)</f>
        <v/>
      </c>
      <c r="F41" s="6" t="str">
        <f>IFERROR(IF(A41="","",IF('Asset Allocation'!AJ41="","",SUM('Asset Allocation'!AJ41))),0)</f>
        <v/>
      </c>
      <c r="G41" s="6" t="str">
        <f>IFERROR(IF(A41="","",IF('Asset Allocation'!C41="","",SUM('Asset Allocation'!Q41,'Asset Allocation'!AE41,'Asset Allocation'!AD41,'Asset Allocation'!AH41,'Asset Allocation'!AI41))),0)</f>
        <v/>
      </c>
      <c r="H41" s="6" t="str">
        <f>IFERROR(IF(A41="","",IF('Asset Allocation'!Z41="","",SUM('Asset Allocation'!Z41,'Asset Allocation'!W41,'Asset Allocation'!AL41))),0)</f>
        <v/>
      </c>
    </row>
    <row r="42" spans="1:8" x14ac:dyDescent="0.25">
      <c r="A42" t="str">
        <f>IF(Input!A43="","",Input!A43)</f>
        <v/>
      </c>
      <c r="B42" s="6" t="str">
        <f>IFERROR(IF(A42="","",IF('Asset Allocation'!G42="","",SUM('Asset Allocation'!N42,'Asset Allocation'!T42))),0)</f>
        <v/>
      </c>
      <c r="C42" s="6" t="str">
        <f>IFERROR(IF(A42="","",IF('Asset Allocation'!O42="","",SUM('Asset Allocation'!O42))),0)</f>
        <v/>
      </c>
      <c r="D42" s="6" t="str">
        <f>IFERROR(IF(A42="","",IF('Asset Allocation'!H42="","",SUM('Asset Allocation'!R42,'Asset Allocation'!S42,'Asset Allocation'!U42,'Asset Allocation'!V42,'Asset Allocation'!AA42,'Asset Allocation'!AB42,'Asset Allocation'!AC42,'Asset Allocation'!AF42,'Asset Allocation'!AG42))),0)</f>
        <v/>
      </c>
      <c r="E42" s="6" t="str">
        <f>IFERROR(IF(A42="","",IF('Asset Allocation'!P42="","",SUM('Asset Allocation'!P42))),0)</f>
        <v/>
      </c>
      <c r="F42" s="6" t="str">
        <f>IFERROR(IF(A42="","",IF('Asset Allocation'!AJ42="","",SUM('Asset Allocation'!AJ42))),0)</f>
        <v/>
      </c>
      <c r="G42" s="6" t="str">
        <f>IFERROR(IF(A42="","",IF('Asset Allocation'!C42="","",SUM('Asset Allocation'!Q42,'Asset Allocation'!AE42,'Asset Allocation'!AD42,'Asset Allocation'!AH42,'Asset Allocation'!AI42))),0)</f>
        <v/>
      </c>
      <c r="H42" s="6" t="str">
        <f>IFERROR(IF(A42="","",IF('Asset Allocation'!Z42="","",SUM('Asset Allocation'!Z42,'Asset Allocation'!W42,'Asset Allocation'!AL42))),0)</f>
        <v/>
      </c>
    </row>
    <row r="43" spans="1:8" x14ac:dyDescent="0.25">
      <c r="A43" t="str">
        <f>IF(Input!A44="","",Input!A44)</f>
        <v/>
      </c>
      <c r="B43" s="6" t="str">
        <f>IFERROR(IF(A43="","",IF('Asset Allocation'!G43="","",SUM('Asset Allocation'!N43,'Asset Allocation'!T43))),0)</f>
        <v/>
      </c>
      <c r="C43" s="6" t="str">
        <f>IFERROR(IF(A43="","",IF('Asset Allocation'!O43="","",SUM('Asset Allocation'!O43))),0)</f>
        <v/>
      </c>
      <c r="D43" s="6" t="str">
        <f>IFERROR(IF(A43="","",IF('Asset Allocation'!H43="","",SUM('Asset Allocation'!R43,'Asset Allocation'!S43,'Asset Allocation'!U43,'Asset Allocation'!V43,'Asset Allocation'!AA43,'Asset Allocation'!AB43,'Asset Allocation'!AC43,'Asset Allocation'!AF43,'Asset Allocation'!AG43))),0)</f>
        <v/>
      </c>
      <c r="E43" s="6" t="str">
        <f>IFERROR(IF(A43="","",IF('Asset Allocation'!P43="","",SUM('Asset Allocation'!P43))),0)</f>
        <v/>
      </c>
      <c r="F43" s="6" t="str">
        <f>IFERROR(IF(A43="","",IF('Asset Allocation'!AJ43="","",SUM('Asset Allocation'!AJ43))),0)</f>
        <v/>
      </c>
      <c r="G43" s="6" t="str">
        <f>IFERROR(IF(A43="","",IF('Asset Allocation'!C43="","",SUM('Asset Allocation'!Q43,'Asset Allocation'!AE43,'Asset Allocation'!AD43,'Asset Allocation'!AH43,'Asset Allocation'!AI43))),0)</f>
        <v/>
      </c>
      <c r="H43" s="6" t="str">
        <f>IFERROR(IF(A43="","",IF('Asset Allocation'!Z43="","",SUM('Asset Allocation'!Z43,'Asset Allocation'!W43,'Asset Allocation'!AL43))),0)</f>
        <v/>
      </c>
    </row>
    <row r="44" spans="1:8" x14ac:dyDescent="0.25">
      <c r="A44" t="str">
        <f>IF(Input!A45="","",Input!A45)</f>
        <v/>
      </c>
      <c r="B44" s="6" t="str">
        <f>IFERROR(IF(A44="","",IF('Asset Allocation'!G44="","",SUM('Asset Allocation'!N44,'Asset Allocation'!T44))),0)</f>
        <v/>
      </c>
      <c r="C44" s="6" t="str">
        <f>IFERROR(IF(A44="","",IF('Asset Allocation'!O44="","",SUM('Asset Allocation'!O44))),0)</f>
        <v/>
      </c>
      <c r="D44" s="6" t="str">
        <f>IFERROR(IF(A44="","",IF('Asset Allocation'!H44="","",SUM('Asset Allocation'!R44,'Asset Allocation'!S44,'Asset Allocation'!U44,'Asset Allocation'!V44,'Asset Allocation'!AA44,'Asset Allocation'!AB44,'Asset Allocation'!AC44,'Asset Allocation'!AF44,'Asset Allocation'!AG44))),0)</f>
        <v/>
      </c>
      <c r="E44" s="6" t="str">
        <f>IFERROR(IF(A44="","",IF('Asset Allocation'!P44="","",SUM('Asset Allocation'!P44))),0)</f>
        <v/>
      </c>
      <c r="F44" s="6" t="str">
        <f>IFERROR(IF(A44="","",IF('Asset Allocation'!AJ44="","",SUM('Asset Allocation'!AJ44))),0)</f>
        <v/>
      </c>
      <c r="G44" s="6" t="str">
        <f>IFERROR(IF(A44="","",IF('Asset Allocation'!C44="","",SUM('Asset Allocation'!Q44,'Asset Allocation'!AE44,'Asset Allocation'!AD44,'Asset Allocation'!AH44,'Asset Allocation'!AI44))),0)</f>
        <v/>
      </c>
      <c r="H44" s="6" t="str">
        <f>IFERROR(IF(A44="","",IF('Asset Allocation'!Z44="","",SUM('Asset Allocation'!Z44,'Asset Allocation'!W44,'Asset Allocation'!AL44))),0)</f>
        <v/>
      </c>
    </row>
    <row r="45" spans="1:8" x14ac:dyDescent="0.25">
      <c r="A45" t="str">
        <f>IF(Input!A46="","",Input!A46)</f>
        <v/>
      </c>
      <c r="B45" s="6" t="str">
        <f>IFERROR(IF(A45="","",IF('Asset Allocation'!G45="","",SUM('Asset Allocation'!N45,'Asset Allocation'!T45))),0)</f>
        <v/>
      </c>
      <c r="C45" s="6" t="str">
        <f>IFERROR(IF(A45="","",IF('Asset Allocation'!O45="","",SUM('Asset Allocation'!O45))),0)</f>
        <v/>
      </c>
      <c r="D45" s="6" t="str">
        <f>IFERROR(IF(A45="","",IF('Asset Allocation'!H45="","",SUM('Asset Allocation'!R45,'Asset Allocation'!S45,'Asset Allocation'!U45,'Asset Allocation'!V45,'Asset Allocation'!AA45,'Asset Allocation'!AB45,'Asset Allocation'!AC45,'Asset Allocation'!AF45,'Asset Allocation'!AG45))),0)</f>
        <v/>
      </c>
      <c r="E45" s="6" t="str">
        <f>IFERROR(IF(A45="","",IF('Asset Allocation'!P45="","",SUM('Asset Allocation'!P45))),0)</f>
        <v/>
      </c>
      <c r="F45" s="6" t="str">
        <f>IFERROR(IF(A45="","",IF('Asset Allocation'!AJ45="","",SUM('Asset Allocation'!AJ45))),0)</f>
        <v/>
      </c>
      <c r="G45" s="6" t="str">
        <f>IFERROR(IF(A45="","",IF('Asset Allocation'!C45="","",SUM('Asset Allocation'!Q45,'Asset Allocation'!AE45,'Asset Allocation'!AD45,'Asset Allocation'!AH45,'Asset Allocation'!AI45))),0)</f>
        <v/>
      </c>
      <c r="H45" s="6" t="str">
        <f>IFERROR(IF(A45="","",IF('Asset Allocation'!Z45="","",SUM('Asset Allocation'!Z45,'Asset Allocation'!W45,'Asset Allocation'!AL45))),0)</f>
        <v/>
      </c>
    </row>
    <row r="46" spans="1:8" x14ac:dyDescent="0.25">
      <c r="A46" t="str">
        <f>IF(Input!A47="","",Input!A47)</f>
        <v/>
      </c>
      <c r="B46" s="6" t="str">
        <f>IFERROR(IF(A46="","",IF('Asset Allocation'!G46="","",SUM('Asset Allocation'!N46,'Asset Allocation'!T46))),0)</f>
        <v/>
      </c>
      <c r="C46" s="6" t="str">
        <f>IFERROR(IF(A46="","",IF('Asset Allocation'!O46="","",SUM('Asset Allocation'!O46))),0)</f>
        <v/>
      </c>
      <c r="D46" s="6" t="str">
        <f>IFERROR(IF(A46="","",IF('Asset Allocation'!H46="","",SUM('Asset Allocation'!R46,'Asset Allocation'!S46,'Asset Allocation'!U46,'Asset Allocation'!V46,'Asset Allocation'!AA46,'Asset Allocation'!AB46,'Asset Allocation'!AC46,'Asset Allocation'!AF46,'Asset Allocation'!AG46))),0)</f>
        <v/>
      </c>
      <c r="E46" s="6" t="str">
        <f>IFERROR(IF(A46="","",IF('Asset Allocation'!P46="","",SUM('Asset Allocation'!P46))),0)</f>
        <v/>
      </c>
      <c r="F46" s="6" t="str">
        <f>IFERROR(IF(A46="","",IF('Asset Allocation'!AJ46="","",SUM('Asset Allocation'!AJ46))),0)</f>
        <v/>
      </c>
      <c r="G46" s="6" t="str">
        <f>IFERROR(IF(A46="","",IF('Asset Allocation'!C46="","",SUM('Asset Allocation'!Q46,'Asset Allocation'!AE46,'Asset Allocation'!AD46,'Asset Allocation'!AH46,'Asset Allocation'!AI46))),0)</f>
        <v/>
      </c>
      <c r="H46" s="6" t="str">
        <f>IFERROR(IF(A46="","",IF('Asset Allocation'!Z46="","",SUM('Asset Allocation'!Z46,'Asset Allocation'!W46,'Asset Allocation'!AL46))),0)</f>
        <v/>
      </c>
    </row>
    <row r="47" spans="1:8" x14ac:dyDescent="0.25">
      <c r="A47" t="str">
        <f>IF(Input!A48="","",Input!A48)</f>
        <v/>
      </c>
      <c r="B47" s="6" t="str">
        <f>IFERROR(IF(A47="","",IF('Asset Allocation'!G47="","",SUM('Asset Allocation'!N47,'Asset Allocation'!T47))),0)</f>
        <v/>
      </c>
      <c r="C47" s="6" t="str">
        <f>IFERROR(IF(A47="","",IF('Asset Allocation'!O47="","",SUM('Asset Allocation'!O47))),0)</f>
        <v/>
      </c>
      <c r="D47" s="6" t="str">
        <f>IFERROR(IF(A47="","",IF('Asset Allocation'!H47="","",SUM('Asset Allocation'!R47,'Asset Allocation'!S47,'Asset Allocation'!U47,'Asset Allocation'!V47,'Asset Allocation'!AA47,'Asset Allocation'!AB47,'Asset Allocation'!AC47,'Asset Allocation'!AF47,'Asset Allocation'!AG47))),0)</f>
        <v/>
      </c>
      <c r="E47" s="6" t="str">
        <f>IFERROR(IF(A47="","",IF('Asset Allocation'!P47="","",SUM('Asset Allocation'!P47))),0)</f>
        <v/>
      </c>
      <c r="F47" s="6" t="str">
        <f>IFERROR(IF(A47="","",IF('Asset Allocation'!AJ47="","",SUM('Asset Allocation'!AJ47))),0)</f>
        <v/>
      </c>
      <c r="G47" s="6" t="str">
        <f>IFERROR(IF(A47="","",IF('Asset Allocation'!C47="","",SUM('Asset Allocation'!Q47,'Asset Allocation'!AE47,'Asset Allocation'!AD47,'Asset Allocation'!AH47,'Asset Allocation'!AI47))),0)</f>
        <v/>
      </c>
      <c r="H47" s="6" t="str">
        <f>IFERROR(IF(A47="","",IF('Asset Allocation'!Z47="","",SUM('Asset Allocation'!Z47,'Asset Allocation'!W47,'Asset Allocation'!AL47))),0)</f>
        <v/>
      </c>
    </row>
    <row r="48" spans="1:8" x14ac:dyDescent="0.25">
      <c r="A48" t="str">
        <f>IF(Input!A49="","",Input!A49)</f>
        <v/>
      </c>
      <c r="B48" s="6" t="str">
        <f>IFERROR(IF(A48="","",IF('Asset Allocation'!G48="","",SUM('Asset Allocation'!N48,'Asset Allocation'!T48))),0)</f>
        <v/>
      </c>
      <c r="C48" s="6" t="str">
        <f>IFERROR(IF(A48="","",IF('Asset Allocation'!O48="","",SUM('Asset Allocation'!O48))),0)</f>
        <v/>
      </c>
      <c r="D48" s="6" t="str">
        <f>IFERROR(IF(A48="","",IF('Asset Allocation'!H48="","",SUM('Asset Allocation'!R48,'Asset Allocation'!S48,'Asset Allocation'!U48,'Asset Allocation'!V48,'Asset Allocation'!AA48,'Asset Allocation'!AB48,'Asset Allocation'!AC48,'Asset Allocation'!AF48,'Asset Allocation'!AG48))),0)</f>
        <v/>
      </c>
      <c r="E48" s="6" t="str">
        <f>IFERROR(IF(A48="","",IF('Asset Allocation'!P48="","",SUM('Asset Allocation'!P48))),0)</f>
        <v/>
      </c>
      <c r="F48" s="6" t="str">
        <f>IFERROR(IF(A48="","",IF('Asset Allocation'!AJ48="","",SUM('Asset Allocation'!AJ48))),0)</f>
        <v/>
      </c>
      <c r="G48" s="6" t="str">
        <f>IFERROR(IF(A48="","",IF('Asset Allocation'!C48="","",SUM('Asset Allocation'!Q48,'Asset Allocation'!AE48,'Asset Allocation'!AD48,'Asset Allocation'!AH48,'Asset Allocation'!AI48))),0)</f>
        <v/>
      </c>
      <c r="H48" s="6" t="str">
        <f>IFERROR(IF(A48="","",IF('Asset Allocation'!Z48="","",SUM('Asset Allocation'!Z48,'Asset Allocation'!W48,'Asset Allocation'!AL48))),0)</f>
        <v/>
      </c>
    </row>
    <row r="49" spans="1:8" x14ac:dyDescent="0.25">
      <c r="A49" t="str">
        <f>IF(Input!A50="","",Input!A50)</f>
        <v/>
      </c>
      <c r="B49" s="6" t="str">
        <f>IFERROR(IF(A49="","",IF('Asset Allocation'!G49="","",SUM('Asset Allocation'!N49,'Asset Allocation'!T49))),0)</f>
        <v/>
      </c>
      <c r="C49" s="6" t="str">
        <f>IFERROR(IF(A49="","",IF('Asset Allocation'!O49="","",SUM('Asset Allocation'!O49))),0)</f>
        <v/>
      </c>
      <c r="D49" s="6" t="str">
        <f>IFERROR(IF(A49="","",IF('Asset Allocation'!H49="","",SUM('Asset Allocation'!R49,'Asset Allocation'!S49,'Asset Allocation'!U49,'Asset Allocation'!V49,'Asset Allocation'!AA49,'Asset Allocation'!AB49,'Asset Allocation'!AC49,'Asset Allocation'!AF49,'Asset Allocation'!AG49))),0)</f>
        <v/>
      </c>
      <c r="E49" s="6" t="str">
        <f>IFERROR(IF(A49="","",IF('Asset Allocation'!P49="","",SUM('Asset Allocation'!P49))),0)</f>
        <v/>
      </c>
      <c r="F49" s="6" t="str">
        <f>IFERROR(IF(A49="","",IF('Asset Allocation'!AJ49="","",SUM('Asset Allocation'!AJ49))),0)</f>
        <v/>
      </c>
      <c r="G49" s="6" t="str">
        <f>IFERROR(IF(A49="","",IF('Asset Allocation'!C49="","",SUM('Asset Allocation'!Q49,'Asset Allocation'!AE49,'Asset Allocation'!AD49,'Asset Allocation'!AH49,'Asset Allocation'!AI49))),0)</f>
        <v/>
      </c>
      <c r="H49" s="6" t="str">
        <f>IFERROR(IF(A49="","",IF('Asset Allocation'!Z49="","",SUM('Asset Allocation'!Z49,'Asset Allocation'!W49,'Asset Allocation'!AL49))),0)</f>
        <v/>
      </c>
    </row>
    <row r="50" spans="1:8" x14ac:dyDescent="0.25">
      <c r="A50" t="str">
        <f>IF(Input!A51="","",Input!A51)</f>
        <v/>
      </c>
      <c r="B50" s="6" t="str">
        <f>IFERROR(IF(A50="","",IF('Asset Allocation'!G50="","",SUM('Asset Allocation'!N50,'Asset Allocation'!T50))),0)</f>
        <v/>
      </c>
      <c r="C50" s="6" t="str">
        <f>IFERROR(IF(A50="","",IF('Asset Allocation'!O50="","",SUM('Asset Allocation'!O50))),0)</f>
        <v/>
      </c>
      <c r="D50" s="6" t="str">
        <f>IFERROR(IF(A50="","",IF('Asset Allocation'!H50="","",SUM('Asset Allocation'!R50,'Asset Allocation'!S50,'Asset Allocation'!U50,'Asset Allocation'!V50,'Asset Allocation'!AA50,'Asset Allocation'!AB50,'Asset Allocation'!AC50,'Asset Allocation'!AF50,'Asset Allocation'!AG50))),0)</f>
        <v/>
      </c>
      <c r="E50" s="6" t="str">
        <f>IFERROR(IF(A50="","",IF('Asset Allocation'!P50="","",SUM('Asset Allocation'!P50))),0)</f>
        <v/>
      </c>
      <c r="F50" s="6" t="str">
        <f>IFERROR(IF(A50="","",IF('Asset Allocation'!AJ50="","",SUM('Asset Allocation'!AJ50))),0)</f>
        <v/>
      </c>
      <c r="G50" s="6" t="str">
        <f>IFERROR(IF(A50="","",IF('Asset Allocation'!C50="","",SUM('Asset Allocation'!Q50,'Asset Allocation'!AE50,'Asset Allocation'!AD50,'Asset Allocation'!AH50,'Asset Allocation'!AI50))),0)</f>
        <v/>
      </c>
      <c r="H50" s="6" t="str">
        <f>IFERROR(IF(A50="","",IF('Asset Allocation'!Z50="","",SUM('Asset Allocation'!Z50,'Asset Allocation'!W50,'Asset Allocation'!AL50))),0)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85</v>
      </c>
      <c r="F1" t="s">
        <v>26</v>
      </c>
      <c r="G1" t="s">
        <v>16</v>
      </c>
      <c r="H1" t="s">
        <v>27</v>
      </c>
    </row>
    <row r="2" spans="1:8" x14ac:dyDescent="0.25">
      <c r="A2" t="str">
        <f>IF(Input!A3="","",Input!A3)</f>
        <v>BlackRock Consensus 85 Fund</v>
      </c>
      <c r="H2" t="str">
        <f>IFERROR(IF(A2="","",IF('Asset Allocation'!B2="","",SUM('Asset Allocation'!B2)/'Broad Asset Allocation'!C2)),0)</f>
        <v/>
      </c>
    </row>
    <row r="3" spans="1:8" x14ac:dyDescent="0.25">
      <c r="A3" t="str">
        <f>IF(Input!A4="","",Input!A4)</f>
        <v>BlackRock Consensus 100</v>
      </c>
      <c r="H3" t="str">
        <f>IFERROR(IF(A3="","",IF('Asset Allocation'!B3="","",SUM('Asset Allocation'!B3)/'Broad Asset Allocation'!C3)),0)</f>
        <v/>
      </c>
    </row>
    <row r="4" spans="1:8" x14ac:dyDescent="0.25">
      <c r="A4" t="str">
        <f>IF(Input!A5="","",Input!A5)</f>
        <v>BlackRock Consensus 35</v>
      </c>
      <c r="H4" t="str">
        <f>IFERROR(IF(A4="","",IF('Asset Allocation'!B4="","",SUM('Asset Allocation'!B4)/'Broad Asset Allocation'!C4)),0)</f>
        <v/>
      </c>
    </row>
    <row r="5" spans="1:8" x14ac:dyDescent="0.25">
      <c r="A5" t="str">
        <f>IF(Input!A6="","",Input!A6)</f>
        <v>BlackRock Consensus 60</v>
      </c>
      <c r="H5" t="str">
        <f>IFERROR(IF(A5="","",IF('Asset Allocation'!B5="","",SUM('Asset Allocation'!B5)/'Broad Asset Allocation'!C5)),0)</f>
        <v/>
      </c>
    </row>
    <row r="6" spans="1:8" x14ac:dyDescent="0.25">
      <c r="A6" t="str">
        <f>IF(Input!A7="","",Input!A7)</f>
        <v>BlackRock Consensus 70</v>
      </c>
      <c r="H6" t="str">
        <f>IFERROR(IF(A6="","",IF('Asset Allocation'!B6="","",SUM('Asset Allocation'!B6)/'Broad Asset Allocation'!C6)),0)</f>
        <v/>
      </c>
    </row>
    <row r="7" spans="1:8" x14ac:dyDescent="0.25">
      <c r="A7" t="str">
        <f>IF(Input!A8="","",Input!A8)</f>
        <v>BlackRock Pension Growth Fund</v>
      </c>
      <c r="H7">
        <f>IFERROR(IF(A7="","",IF('Asset Allocation'!B7="","",SUM('Asset Allocation'!B7)/'Broad Asset Allocation'!C7)),0)</f>
        <v>1</v>
      </c>
    </row>
    <row r="8" spans="1:8" x14ac:dyDescent="0.25">
      <c r="A8" t="str">
        <f>IF(Input!A9="","",Input!A9)</f>
        <v>MyMap 3</v>
      </c>
      <c r="H8">
        <f>IFERROR(IF(A8="","",IF('Asset Allocation'!B8="","",SUM('Asset Allocation'!B8)/'Broad Asset Allocation'!C8)),0)</f>
        <v>1</v>
      </c>
    </row>
    <row r="9" spans="1:8" x14ac:dyDescent="0.25">
      <c r="A9" t="str">
        <f>IF(Input!A10="","",Input!A10)</f>
        <v>MyMap 4</v>
      </c>
      <c r="H9">
        <f>IFERROR(IF(A9="","",IF('Asset Allocation'!B9="","",SUM('Asset Allocation'!B9)/'Broad Asset Allocation'!C9)),0)</f>
        <v>1</v>
      </c>
    </row>
    <row r="10" spans="1:8" x14ac:dyDescent="0.25">
      <c r="A10" t="str">
        <f>IF(Input!A11="","",Input!A11)</f>
        <v>MyMap 5</v>
      </c>
      <c r="H10">
        <f>IFERROR(IF(A10="","",IF('Asset Allocation'!B10="","",SUM('Asset Allocation'!B10)/'Broad Asset Allocation'!C10)),0)</f>
        <v>1</v>
      </c>
    </row>
    <row r="11" spans="1:8" x14ac:dyDescent="0.25">
      <c r="A11" t="str">
        <f>IF(Input!A12="","",Input!A12)</f>
        <v>MyMap 6</v>
      </c>
      <c r="H11">
        <f>IFERROR(IF(A11="","",IF('Asset Allocation'!B11="","",SUM('Asset Allocation'!B11)/'Broad Asset Allocation'!C11)),0)</f>
        <v>1</v>
      </c>
    </row>
    <row r="12" spans="1:8" x14ac:dyDescent="0.25">
      <c r="A12" t="str">
        <f>IF(Input!A13="","",Input!A13)</f>
        <v>MyMap 3 Select ESG Fund</v>
      </c>
      <c r="H12">
        <f>IFERROR(IF(A12="","",IF('Asset Allocation'!B12="","",SUM('Asset Allocation'!B12)/'Broad Asset Allocation'!C12)),0)</f>
        <v>1</v>
      </c>
    </row>
    <row r="13" spans="1:8" x14ac:dyDescent="0.25">
      <c r="A13" t="str">
        <f>IF(Input!A14="","",Input!A14)</f>
        <v>MyMap 5 Select ESG Fund</v>
      </c>
      <c r="H13">
        <f>IFERROR(IF(A13="","",IF('Asset Allocation'!B13="","",SUM('Asset Allocation'!B13)/'Broad Asset Allocation'!C13)),0)</f>
        <v>1</v>
      </c>
    </row>
    <row r="14" spans="1:8" x14ac:dyDescent="0.25">
      <c r="A14" t="str">
        <f>IF(Input!A15="","",Input!A15)</f>
        <v>MyMap 7 Select ESG Fund</v>
      </c>
      <c r="H14" t="str">
        <f>IFERROR(IF(A14="","",IF('Asset Allocation'!B14="","",SUM('Asset Allocation'!B14)/'Broad Asset Allocation'!C14)),0)</f>
        <v/>
      </c>
    </row>
    <row r="15" spans="1:8" x14ac:dyDescent="0.25">
      <c r="A15" t="str">
        <f>IF(Input!A16="","",Input!A16)</f>
        <v>MyMap 4 Select Income Fund</v>
      </c>
      <c r="H15">
        <f>IFERROR(IF(A15="","",IF('Asset Allocation'!B15="","",SUM('Asset Allocation'!B15)/'Broad Asset Allocation'!C15)),0)</f>
        <v>1</v>
      </c>
    </row>
    <row r="16" spans="1:8" x14ac:dyDescent="0.25">
      <c r="A16" t="str">
        <f>IF(Input!A17="","",Input!A17)</f>
        <v/>
      </c>
      <c r="H16" t="str">
        <f>IFERROR(IF(A16="","",IF('Asset Allocation'!B16="","",SUM('Asset Allocation'!B16)/'Broad Asset Allocation'!C16)),0)</f>
        <v/>
      </c>
    </row>
    <row r="17" spans="1:8" x14ac:dyDescent="0.25">
      <c r="A17" t="str">
        <f>IF(Input!A18="","",Input!A18)</f>
        <v/>
      </c>
      <c r="H17" t="str">
        <f>IFERROR(IF(A17="","",IF('Asset Allocation'!B17="","",SUM('Asset Allocation'!B17)/'Broad Asset Allocation'!C17)),0)</f>
        <v/>
      </c>
    </row>
    <row r="18" spans="1:8" x14ac:dyDescent="0.25">
      <c r="A18" t="str">
        <f>IF(Input!A19="","",Input!A19)</f>
        <v/>
      </c>
      <c r="H18" t="str">
        <f>IFERROR(IF(A18="","",IF('Asset Allocation'!B18="","",SUM('Asset Allocation'!B18)/'Broad Asset Allocation'!C18)),0)</f>
        <v/>
      </c>
    </row>
    <row r="19" spans="1:8" x14ac:dyDescent="0.25">
      <c r="A19" t="str">
        <f>IF(Input!A20="","",Input!A20)</f>
        <v/>
      </c>
      <c r="H19" t="str">
        <f>IFERROR(IF(A19="","",IF('Asset Allocation'!B19="","",SUM('Asset Allocation'!B19)/'Broad Asset Allocation'!C19)),0)</f>
        <v/>
      </c>
    </row>
    <row r="20" spans="1:8" x14ac:dyDescent="0.25">
      <c r="A20" t="str">
        <f>IF(Input!A21="","",Input!A21)</f>
        <v/>
      </c>
      <c r="H20" t="str">
        <f>IFERROR(IF(A20="","",IF('Asset Allocation'!B20="","",SUM('Asset Allocation'!B20)/'Broad Asset Allocation'!C20)),0)</f>
        <v/>
      </c>
    </row>
    <row r="21" spans="1:8" x14ac:dyDescent="0.25">
      <c r="A21" t="str">
        <f>IF(Input!A22="","",Input!A22)</f>
        <v/>
      </c>
      <c r="H21" t="str">
        <f>IFERROR(IF(A21="","",IF('Asset Allocation'!B21="","",SUM('Asset Allocation'!B21)/'Broad Asset Allocation'!C21)),0)</f>
        <v/>
      </c>
    </row>
    <row r="22" spans="1:8" x14ac:dyDescent="0.25">
      <c r="A22" t="str">
        <f>IF(Input!A23="","",Input!A23)</f>
        <v/>
      </c>
      <c r="H22" t="str">
        <f>IFERROR(IF(A22="","",IF('Asset Allocation'!B22="","",SUM('Asset Allocation'!B22)/'Broad Asset Allocation'!C22)),0)</f>
        <v/>
      </c>
    </row>
    <row r="23" spans="1:8" x14ac:dyDescent="0.25">
      <c r="A23" t="str">
        <f>IF(Input!A24="","",Input!A24)</f>
        <v/>
      </c>
      <c r="H23" t="str">
        <f>IFERROR(IF(A23="","",IF('Asset Allocation'!B23="","",SUM('Asset Allocation'!B23)/'Broad Asset Allocation'!C23)),0)</f>
        <v/>
      </c>
    </row>
    <row r="24" spans="1:8" x14ac:dyDescent="0.25">
      <c r="A24" t="str">
        <f>IF(Input!A25="","",Input!A25)</f>
        <v/>
      </c>
      <c r="H24" t="str">
        <f>IFERROR(IF(A24="","",IF('Asset Allocation'!B24="","",SUM('Asset Allocation'!B24)/'Broad Asset Allocation'!C24)),0)</f>
        <v/>
      </c>
    </row>
    <row r="25" spans="1:8" x14ac:dyDescent="0.25">
      <c r="A25" t="str">
        <f>IF(Input!A26="","",Input!A26)</f>
        <v/>
      </c>
      <c r="H25" t="str">
        <f>IFERROR(IF(A25="","",IF('Asset Allocation'!B25="","",SUM('Asset Allocation'!B25)/'Broad Asset Allocation'!C25)),0)</f>
        <v/>
      </c>
    </row>
    <row r="26" spans="1:8" x14ac:dyDescent="0.25">
      <c r="A26" t="str">
        <f>IF(Input!A27="","",Input!A27)</f>
        <v/>
      </c>
      <c r="H26" t="str">
        <f>IFERROR(IF(A26="","",IF('Asset Allocation'!B26="","",SUM('Asset Allocation'!B26)/'Broad Asset Allocation'!C26)),0)</f>
        <v/>
      </c>
    </row>
    <row r="27" spans="1:8" x14ac:dyDescent="0.25">
      <c r="A27" t="str">
        <f>IF(Input!A28="","",Input!A28)</f>
        <v/>
      </c>
      <c r="H27" t="str">
        <f>IFERROR(IF(A27="","",IF('Asset Allocation'!B27="","",SUM('Asset Allocation'!B27)/'Broad Asset Allocation'!C27)),0)</f>
        <v/>
      </c>
    </row>
    <row r="28" spans="1:8" x14ac:dyDescent="0.25">
      <c r="A28" t="str">
        <f>IF(Input!A29="","",Input!A29)</f>
        <v/>
      </c>
      <c r="H28" t="str">
        <f>IFERROR(IF(A28="","",IF('Asset Allocation'!B28="","",SUM('Asset Allocation'!B28)/'Broad Asset Allocation'!C28)),0)</f>
        <v/>
      </c>
    </row>
    <row r="29" spans="1:8" x14ac:dyDescent="0.25">
      <c r="A29" t="str">
        <f>IF(Input!A30="","",Input!A30)</f>
        <v/>
      </c>
      <c r="H29" t="str">
        <f>IFERROR(IF(A29="","",IF('Asset Allocation'!B29="","",SUM('Asset Allocation'!B29)/'Broad Asset Allocation'!C29)),0)</f>
        <v/>
      </c>
    </row>
    <row r="30" spans="1:8" x14ac:dyDescent="0.25">
      <c r="A30" t="str">
        <f>IF(Input!A31="","",Input!A31)</f>
        <v/>
      </c>
      <c r="H30" t="str">
        <f>IFERROR(IF(A30="","",IF('Asset Allocation'!B30="","",SUM('Asset Allocation'!B30)/'Broad Asset Allocation'!C30)),0)</f>
        <v/>
      </c>
    </row>
    <row r="31" spans="1:8" x14ac:dyDescent="0.25">
      <c r="A31" t="str">
        <f>IF(Input!A32="","",Input!A32)</f>
        <v/>
      </c>
      <c r="H31" t="str">
        <f>IFERROR(IF(A31="","",IF('Asset Allocation'!B31="","",SUM('Asset Allocation'!B31)/'Broad Asset Allocation'!C31)),0)</f>
        <v/>
      </c>
    </row>
    <row r="32" spans="1:8" x14ac:dyDescent="0.25">
      <c r="A32" t="str">
        <f>IF(Input!A33="","",Input!A33)</f>
        <v/>
      </c>
      <c r="H32" t="str">
        <f>IFERROR(IF(A32="","",IF('Asset Allocation'!B32="","",SUM('Asset Allocation'!B32)/'Broad Asset Allocation'!C32)),0)</f>
        <v/>
      </c>
    </row>
    <row r="33" spans="1:8" x14ac:dyDescent="0.25">
      <c r="A33" t="str">
        <f>IF(Input!A34="","",Input!A34)</f>
        <v/>
      </c>
      <c r="H33" t="str">
        <f>IFERROR(IF(A33="","",IF('Asset Allocation'!B33="","",SUM('Asset Allocation'!B33)/'Broad Asset Allocation'!C33)),0)</f>
        <v/>
      </c>
    </row>
    <row r="34" spans="1:8" x14ac:dyDescent="0.25">
      <c r="A34" t="str">
        <f>IF(Input!A35="","",Input!A35)</f>
        <v/>
      </c>
      <c r="H34" t="str">
        <f>IFERROR(IF(A34="","",IF('Asset Allocation'!B34="","",SUM('Asset Allocation'!B34)/'Broad Asset Allocation'!C34)),0)</f>
        <v/>
      </c>
    </row>
    <row r="35" spans="1:8" x14ac:dyDescent="0.25">
      <c r="A35" t="str">
        <f>IF(Input!A36="","",Input!A36)</f>
        <v/>
      </c>
      <c r="H35" t="str">
        <f>IFERROR(IF(A35="","",IF('Asset Allocation'!B35="","",SUM('Asset Allocation'!B35)/'Broad Asset Allocation'!C35)),0)</f>
        <v/>
      </c>
    </row>
    <row r="36" spans="1:8" x14ac:dyDescent="0.25">
      <c r="A36" t="str">
        <f>IF(Input!A37="","",Input!A37)</f>
        <v/>
      </c>
      <c r="H36" t="str">
        <f>IFERROR(IF(A36="","",IF('Asset Allocation'!B36="","",SUM('Asset Allocation'!B36)/'Broad Asset Allocation'!C36)),0)</f>
        <v/>
      </c>
    </row>
    <row r="37" spans="1:8" x14ac:dyDescent="0.25">
      <c r="A37" t="str">
        <f>IF(Input!A38="","",Input!A38)</f>
        <v/>
      </c>
      <c r="H37" t="str">
        <f>IFERROR(IF(A37="","",IF('Asset Allocation'!B37="","",SUM('Asset Allocation'!B37)/'Broad Asset Allocation'!C37)),0)</f>
        <v/>
      </c>
    </row>
    <row r="38" spans="1:8" x14ac:dyDescent="0.25">
      <c r="A38" t="str">
        <f>IF(Input!A39="","",Input!A39)</f>
        <v/>
      </c>
      <c r="H38" t="str">
        <f>IFERROR(IF(A38="","",IF('Asset Allocation'!B38="","",SUM('Asset Allocation'!B38)/'Broad Asset Allocation'!C38)),0)</f>
        <v/>
      </c>
    </row>
    <row r="39" spans="1:8" x14ac:dyDescent="0.25">
      <c r="A39" t="str">
        <f>IF(Input!A40="","",Input!A40)</f>
        <v/>
      </c>
      <c r="H39" t="str">
        <f>IFERROR(IF(A39="","",IF('Asset Allocation'!B39="","",SUM('Asset Allocation'!B39)/'Broad Asset Allocation'!C39)),0)</f>
        <v/>
      </c>
    </row>
    <row r="40" spans="1:8" x14ac:dyDescent="0.25">
      <c r="A40" t="str">
        <f>IF(Input!A41="","",Input!A41)</f>
        <v/>
      </c>
      <c r="H40" t="str">
        <f>IFERROR(IF(A40="","",IF('Asset Allocation'!B40="","",SUM('Asset Allocation'!B40)/'Broad Asset Allocation'!C40)),0)</f>
        <v/>
      </c>
    </row>
    <row r="41" spans="1:8" x14ac:dyDescent="0.25">
      <c r="A41" t="str">
        <f>IF(Input!A42="","",Input!A42)</f>
        <v/>
      </c>
      <c r="H41" t="str">
        <f>IFERROR(IF(A41="","",IF('Asset Allocation'!B41="","",SUM('Asset Allocation'!B41)/'Broad Asset Allocation'!C41)),0)</f>
        <v/>
      </c>
    </row>
    <row r="42" spans="1:8" x14ac:dyDescent="0.25">
      <c r="A42" t="str">
        <f>IF(Input!A43="","",Input!A43)</f>
        <v/>
      </c>
      <c r="H42" t="str">
        <f>IFERROR(IF(A42="","",IF('Asset Allocation'!B42="","",SUM('Asset Allocation'!B42)/'Broad Asset Allocation'!C42)),0)</f>
        <v/>
      </c>
    </row>
    <row r="43" spans="1:8" x14ac:dyDescent="0.25">
      <c r="A43" t="str">
        <f>IF(Input!A44="","",Input!A44)</f>
        <v/>
      </c>
      <c r="H43" t="str">
        <f>IFERROR(IF(A43="","",IF('Asset Allocation'!B43="","",SUM('Asset Allocation'!B43)/'Broad Asset Allocation'!C43)),0)</f>
        <v/>
      </c>
    </row>
    <row r="44" spans="1:8" x14ac:dyDescent="0.25">
      <c r="A44" t="str">
        <f>IF(Input!A45="","",Input!A45)</f>
        <v/>
      </c>
      <c r="H44" t="str">
        <f>IFERROR(IF(A44="","",IF('Asset Allocation'!B44="","",SUM('Asset Allocation'!B44)/'Broad Asset Allocation'!C44)),0)</f>
        <v/>
      </c>
    </row>
    <row r="45" spans="1:8" x14ac:dyDescent="0.25">
      <c r="A45" t="str">
        <f>IF(Input!A46="","",Input!A46)</f>
        <v/>
      </c>
      <c r="H45" t="str">
        <f>IFERROR(IF(A45="","",IF('Asset Allocation'!B45="","",SUM('Asset Allocation'!B45)/'Broad Asset Allocation'!C45)),0)</f>
        <v/>
      </c>
    </row>
    <row r="46" spans="1:8" x14ac:dyDescent="0.25">
      <c r="A46" t="str">
        <f>IF(Input!A47="","",Input!A47)</f>
        <v/>
      </c>
      <c r="H46" t="str">
        <f>IFERROR(IF(A46="","",IF('Asset Allocation'!B46="","",SUM('Asset Allocation'!B46)/'Broad Asset Allocation'!C46)),0)</f>
        <v/>
      </c>
    </row>
    <row r="47" spans="1:8" x14ac:dyDescent="0.25">
      <c r="A47" t="str">
        <f>IF(Input!A48="","",Input!A48)</f>
        <v/>
      </c>
      <c r="H47" t="str">
        <f>IFERROR(IF(A47="","",IF('Asset Allocation'!B47="","",SUM('Asset Allocation'!B47)/'Broad Asset Allocation'!C47)),0)</f>
        <v/>
      </c>
    </row>
    <row r="48" spans="1:8" x14ac:dyDescent="0.25">
      <c r="A48" t="str">
        <f>IF(Input!A49="","",Input!A49)</f>
        <v/>
      </c>
      <c r="H48" t="str">
        <f>IFERROR(IF(A48="","",IF('Asset Allocation'!B48="","",SUM('Asset Allocation'!B48)/'Broad Asset Allocation'!C48)),0)</f>
        <v/>
      </c>
    </row>
    <row r="49" spans="1:8" x14ac:dyDescent="0.25">
      <c r="A49" t="str">
        <f>IF(Input!A50="","",Input!A50)</f>
        <v/>
      </c>
      <c r="H49" t="str">
        <f>IFERROR(IF(A49="","",IF('Asset Allocation'!B49="","",SUM('Asset Allocation'!B49)/'Broad Asset Allocation'!C49)),0)</f>
        <v/>
      </c>
    </row>
    <row r="50" spans="1:8" x14ac:dyDescent="0.25">
      <c r="A50" t="str">
        <f>IF(Input!A51="","",Input!A51)</f>
        <v/>
      </c>
      <c r="H50" t="str">
        <f>IFERROR(IF(A50="","",IF('Asset Allocation'!B50="","",SUM('Asset Allocation'!B50)/'Broad Asset Allocation'!C50)),0)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B1:AX1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2:50" x14ac:dyDescent="0.25">
      <c r="B1" s="1" t="str" cm="1">
        <f t="array" ref="B1:AX1">TRANSPOSE('Bond Allocation'!A2:A50)</f>
        <v>BlackRock Consensus 85 Fund</v>
      </c>
      <c r="C1" s="1" t="str">
        <v>BlackRock Consensus 100</v>
      </c>
      <c r="D1" t="str">
        <v>BlackRock Consensus 35</v>
      </c>
      <c r="E1" t="str">
        <v>BlackRock Consensus 60</v>
      </c>
      <c r="F1" t="str">
        <v>BlackRock Consensus 70</v>
      </c>
      <c r="G1" t="str">
        <v>BlackRock Pension Growth Fund</v>
      </c>
      <c r="H1" t="str">
        <v>MyMap 3</v>
      </c>
      <c r="I1" t="str">
        <v>MyMap 4</v>
      </c>
      <c r="J1" t="str">
        <v>MyMap 5</v>
      </c>
      <c r="K1" t="str">
        <v>MyMap 6</v>
      </c>
      <c r="L1" t="str">
        <v>MyMap 3 Select ESG Fund</v>
      </c>
      <c r="M1" t="str">
        <v>MyMap 5 Select ESG Fund</v>
      </c>
      <c r="N1" t="str">
        <v>MyMap 7 Select ESG Fund</v>
      </c>
      <c r="O1" t="str">
        <v>MyMap 4 Select Income Fund</v>
      </c>
      <c r="P1" t="str">
        <v/>
      </c>
      <c r="Q1" t="str">
        <v/>
      </c>
      <c r="R1" t="str">
        <v/>
      </c>
      <c r="S1" t="str">
        <v/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2024-01-06T09:31:52Z</dcterms:modified>
</cp:coreProperties>
</file>