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Scraping\14 milestone\JM Finn\"/>
    </mc:Choice>
  </mc:AlternateContent>
  <xr:revisionPtr revIDLastSave="0" documentId="13_ncr:1_{0A3E41CD-95E4-4295-B28F-C73B548B99B5}" xr6:coauthVersionLast="47" xr6:coauthVersionMax="47" xr10:uidLastSave="{00000000-0000-0000-0000-000000000000}"/>
  <bookViews>
    <workbookView xWindow="1140" yWindow="1140" windowWidth="14400" windowHeight="7810" firstSheet="1" activeTab="4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B5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<sst xmlns="http://schemas.openxmlformats.org/spreadsheetml/2006/main" count="63" uniqueCount="57">
  <si>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</si>
  <si>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</si>
  <si>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</si>
  <si>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</si>
  <si>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</si>
  <si>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</si>
  <si>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</si>
  <si>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</si>
  <si>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</si>
  <si>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</si>
  <si>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</si>
  <si>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</si>
  <si>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</si>
  <si>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</si>
  <si>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</si>
  <si>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</si>
  <si>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</si>
  <si>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</si>
  <si>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</si>
  <si>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</si>
  <si>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</si>
  <si>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</si>
  <si>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</si>
  <si>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</si>
  <si>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</si>
  <si>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</si>
  <si>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</si>
  <si>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</si>
  <si>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</si>
  <si>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</si>
  <si>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</si>
  <si>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</si>
  <si>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</si>
  <si>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Property</t>
  </si>
  <si>
    <t>CSI Growth Portfolio</t>
  </si>
  <si>
    <t>CSI Income Portfolio</t>
  </si>
  <si>
    <t>CSI Income and Growth Portfolio</t>
  </si>
  <si>
    <t>https://www.jmfinn.com/services/financial-advisers/multi-asset-portfolios/</t>
  </si>
  <si>
    <t>CSI Growth Professional Adviser Factsheet</t>
  </si>
  <si>
    <t>CSI Income Factsheet</t>
  </si>
  <si>
    <t>CSI Income &amp; Growth Professional Adviser Factsheet</t>
  </si>
  <si>
    <t>Labels and values are clockwise in order</t>
  </si>
  <si>
    <t>Ongoing Charges**</t>
  </si>
  <si>
    <t>1yr</t>
  </si>
  <si>
    <t>Corporate Direct</t>
  </si>
  <si>
    <t>Bond Funds</t>
  </si>
  <si>
    <t>Sovereign/Supernational</t>
  </si>
  <si>
    <t>Mkt Cap &gt;£2bn</t>
  </si>
  <si>
    <t>Mkt Cap &lt; £2bn</t>
  </si>
  <si>
    <t>North America</t>
  </si>
  <si>
    <t>Europe</t>
  </si>
  <si>
    <t>Asia/China</t>
  </si>
  <si>
    <t>Global</t>
  </si>
  <si>
    <t>Alternatives</t>
  </si>
  <si>
    <t>https://www.jmfinn.com/static/907cecb705f3a6d89f28f12868790cfd/csi-income-growth-factsheet-june-2023-1-shares.pdf</t>
  </si>
  <si>
    <t>https://www.jmfinn.com/static/a00a2153ec99f3dd31c585457d62f94c/csi-growth-factsheet-june-2023-1-shares.pdf</t>
  </si>
  <si>
    <t>https://www.jmfinn.com/static/b87bad2f940b0347a209ba1dd9d725c8/csi-income-factsheet-june-2023-a-shares.pdf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</si>
</sst>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44450</xdr:colOff>
      <xdr:row>1</xdr:row>
      <xdr:rowOff>0</xdr:rowOff>
    </xdr:from>
    <xdr:to>
      <xdr:col>4</xdr:col>
      <xdr:colOff>406731</xdr:colOff>
      <xdr:row>7</xdr:row>
      <xdr:rowOff>165176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18F4A-EB88-E033-7C6B-98F5090B6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450" y="184150"/>
          <a:ext cx="2800681" cy="12700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25400</xdr:rowOff>
    </xdr:from>
    <xdr:to>
      <xdr:col>5</xdr:col>
      <xdr:colOff>607303</xdr:colOff>
      <xdr:row>25</xdr:row>
      <xdr:rowOff>152579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B4BAD6-1D02-96F5-9C9D-C11A5A208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498600"/>
          <a:ext cx="3655303" cy="32577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6</xdr:col>
      <xdr:colOff>158946</xdr:colOff>
      <xdr:row>36</xdr:row>
      <xdr:rowOff>101700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7C8C410-51A1-5DFA-C19B-A12AED9CF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787900"/>
          <a:ext cx="3816546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482781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970EC7D-DEE1-9090-7DF8-EAA5EFDD2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530781" cy="27814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workbookViewId="0">
      <selection activeCell="N3" sqref="N3"/>
    </sheetView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N3" s="9" t="s">
        <v>41</v>
      </c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5"/>
  <sheetViews>
    <sheetView workbookViewId="0">
      <selection activeCell="B5" sqref="B5"/>
    </sheetView>
  </sheetViews>
  <sheetFormatPr defaultRowHeight="14.5" x14ac:dyDescent="0.35"/>
  <cols>
    <col min="1" max="1" width="28.363281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45138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34</v>
      </c>
      <c r="B3" t="str">
        <f>'PDF Scraping'!D2</f>
        <v>https://www.jmfinn.com/static/a00a2153ec99f3dd31c585457d62f94c/csi-growth-factsheet-june-2023-1-shares.pdf</v>
      </c>
      <c r="J3" s="4"/>
    </row>
    <row r="4" spans="1:10" x14ac:dyDescent="0.35">
      <c r="A4" t="s">
        <v>35</v>
      </c>
      <c r="B4" t="str">
        <f>'PDF Scraping'!D3</f>
        <v>https://www.jmfinn.com/static/b87bad2f940b0347a209ba1dd9d725c8/csi-income-factsheet-june-2023-a-shares.pdf</v>
      </c>
      <c r="J4" s="4"/>
    </row>
    <row r="5" spans="1:10" x14ac:dyDescent="0.35">
      <c r="A5" t="s">
        <v>36</v>
      </c>
      <c r="B5" t="str">
        <f>'PDF Scraping'!D4</f>
        <v>https://www.jmfinn.com/static/907cecb705f3a6d89f28f12868790cfd/csi-income-growth-factsheet-june-2023-1-shares.pdf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D2" sqref="D2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style="10" bestFit="1" customWidth="1"/>
    <col min="5" max="5" width="21.54296875" style="10" bestFit="1" customWidth="1"/>
    <col min="6" max="6" width="13.7265625" bestFit="1" customWidth="1"/>
  </cols>
  <sheetData>
    <row r="1" spans="1:6" x14ac:dyDescent="0.35">
      <c r="B1" t="s">
        <v>24</v>
      </c>
      <c r="C1" s="10" t="s">
        <v>42</v>
      </c>
      <c r="D1" s="10" t="s">
        <v>43</v>
      </c>
    </row>
    <row r="2" spans="1:6" x14ac:dyDescent="0.35">
      <c r="A2" t="str">
        <f>IF(Input!A3="","",Input!A3)</f>
        <v>CSI Growth Portfolio</v>
      </c>
      <c r="B2" s="1"/>
      <c r="C2" s="11"/>
      <c r="D2" s="11"/>
      <c r="E2" s="11"/>
      <c r="F2" s="5"/>
    </row>
    <row r="3" spans="1:6" x14ac:dyDescent="0.35">
      <c r="A3" t="str">
        <f>IF(Input!A4="","",Input!A4)</f>
        <v>CSI Income Portfolio</v>
      </c>
      <c r="B3" s="1"/>
      <c r="C3" s="11"/>
      <c r="D3" s="11"/>
      <c r="E3" s="11"/>
      <c r="F3" s="5"/>
    </row>
    <row r="4" spans="1:6" x14ac:dyDescent="0.35">
      <c r="A4" t="str">
        <f>IF(Input!A5="","",Input!A5)</f>
        <v>CSI Income and Growth Portfolio</v>
      </c>
      <c r="B4" s="1"/>
      <c r="C4" s="11"/>
      <c r="D4" s="11"/>
      <c r="E4" s="11"/>
      <c r="F4" s="5"/>
    </row>
    <row r="5" spans="1:6" x14ac:dyDescent="0.35">
      <c r="A5" t="str">
        <f>IF(Input!A6="","",Input!A6)</f>
        <v/>
      </c>
      <c r="B5" s="1"/>
      <c r="C5" s="11"/>
      <c r="D5" s="11"/>
      <c r="E5" s="11"/>
      <c r="F5" s="5"/>
    </row>
    <row r="6" spans="1:6" x14ac:dyDescent="0.35">
      <c r="A6" t="str">
        <f>IF(Input!A7="","",Input!A7)</f>
        <v/>
      </c>
      <c r="B6" s="1"/>
      <c r="C6" s="11"/>
      <c r="D6" s="11"/>
      <c r="E6" s="11"/>
      <c r="F6" s="5"/>
    </row>
    <row r="7" spans="1:6" x14ac:dyDescent="0.35">
      <c r="A7" t="str">
        <f>IF(Input!A8="","",Input!A8)</f>
        <v/>
      </c>
      <c r="B7" s="1"/>
      <c r="C7" s="11"/>
      <c r="D7" s="11"/>
      <c r="E7" s="11"/>
      <c r="F7" s="5"/>
    </row>
    <row r="8" spans="1:6" x14ac:dyDescent="0.35">
      <c r="A8" t="str">
        <f>IF(Input!A9="","",Input!A9)</f>
        <v/>
      </c>
      <c r="B8" s="1"/>
      <c r="C8" s="11"/>
      <c r="D8" s="11"/>
      <c r="E8" s="11"/>
      <c r="F8" s="5"/>
    </row>
    <row r="9" spans="1:6" x14ac:dyDescent="0.35">
      <c r="A9" t="str">
        <f>IF(Input!A10="","",Input!A10)</f>
        <v/>
      </c>
      <c r="B9" s="1"/>
      <c r="C9" s="11"/>
      <c r="D9" s="11"/>
      <c r="E9" s="11"/>
      <c r="F9" s="5"/>
    </row>
    <row r="10" spans="1:6" x14ac:dyDescent="0.3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3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3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3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3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3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3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3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3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3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3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3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3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3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3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35">
      <c r="A25" t="str">
        <f>IF(Input!A26="","",Input!A26)</f>
        <v/>
      </c>
      <c r="B25" s="7"/>
      <c r="C25" s="11"/>
      <c r="D25" s="11"/>
      <c r="E25" s="11"/>
    </row>
    <row r="26" spans="1:6" x14ac:dyDescent="0.35">
      <c r="A26" t="str">
        <f>IF(Input!A27="","",Input!A27)</f>
        <v/>
      </c>
      <c r="B26" s="7"/>
    </row>
    <row r="27" spans="1:6" x14ac:dyDescent="0.35">
      <c r="A27" t="str">
        <f>IF(Input!A28="","",Input!A28)</f>
        <v/>
      </c>
      <c r="B27" s="7"/>
    </row>
    <row r="28" spans="1:6" x14ac:dyDescent="0.35">
      <c r="A28" t="str">
        <f>IF(Input!A29="","",Input!A29)</f>
        <v/>
      </c>
      <c r="B28" s="7"/>
    </row>
    <row r="29" spans="1:6" x14ac:dyDescent="0.35">
      <c r="A29" t="str">
        <f>IF(Input!A30="","",Input!A30)</f>
        <v/>
      </c>
      <c r="B29" s="7"/>
    </row>
    <row r="30" spans="1:6" x14ac:dyDescent="0.35">
      <c r="A30" t="str">
        <f>IF(Input!A31="","",Input!A31)</f>
        <v/>
      </c>
      <c r="B30" s="7"/>
    </row>
    <row r="31" spans="1:6" x14ac:dyDescent="0.35">
      <c r="A31" t="str">
        <f>IF(Input!A32="","",Input!A32)</f>
        <v/>
      </c>
      <c r="B31" s="7"/>
    </row>
    <row r="32" spans="1:6" x14ac:dyDescent="0.35">
      <c r="A32" t="str">
        <f>IF(Input!A33="","",Input!A33)</f>
        <v/>
      </c>
      <c r="B32" s="7"/>
    </row>
    <row r="33" spans="1:2" x14ac:dyDescent="0.35">
      <c r="A33" t="str">
        <f>IF(Input!A34="","",Input!A34)</f>
        <v/>
      </c>
      <c r="B33" s="7"/>
    </row>
    <row r="34" spans="1:2" x14ac:dyDescent="0.35">
      <c r="A34" t="str">
        <f>IF(Input!A35="","",Input!A35)</f>
        <v/>
      </c>
      <c r="B34" s="7"/>
    </row>
    <row r="35" spans="1:2" x14ac:dyDescent="0.35">
      <c r="A35" t="str">
        <f>IF(Input!A36="","",Input!A36)</f>
        <v/>
      </c>
    </row>
    <row r="36" spans="1:2" x14ac:dyDescent="0.35">
      <c r="A36" t="str">
        <f>IF(Input!A37="","",Input!A37)</f>
        <v/>
      </c>
    </row>
    <row r="37" spans="1:2" x14ac:dyDescent="0.35">
      <c r="A37" t="str">
        <f>IF(Input!A38="","",Input!A38)</f>
        <v/>
      </c>
    </row>
    <row r="38" spans="1:2" x14ac:dyDescent="0.35">
      <c r="A38" t="str">
        <f>IF(Input!A39="","",Input!A39)</f>
        <v/>
      </c>
    </row>
    <row r="39" spans="1:2" x14ac:dyDescent="0.35">
      <c r="A39" t="str">
        <f>IF(Input!A40="","",Input!A40)</f>
        <v/>
      </c>
    </row>
    <row r="40" spans="1:2" x14ac:dyDescent="0.35">
      <c r="A40" t="str">
        <f>IF(Input!A41="","",Input!A41)</f>
        <v/>
      </c>
    </row>
    <row r="41" spans="1:2" x14ac:dyDescent="0.35">
      <c r="A41" t="str">
        <f>IF(Input!A42="","",Input!A42)</f>
        <v/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/>
  </sheetViews>
  <sheetFormatPr defaultRowHeight="14.5" x14ac:dyDescent="0.35"/>
  <cols>
    <col min="1" max="1" width="24.453125" bestFit="1" customWidth="1"/>
    <col min="2" max="2" width="10.08984375" style="10" bestFit="1" customWidth="1"/>
    <col min="3" max="3" width="13.26953125" style="10" bestFit="1" customWidth="1"/>
    <col min="4" max="4" width="27.36328125" style="10" bestFit="1" customWidth="1"/>
    <col min="5" max="5" width="25.36328125" style="10" bestFit="1" customWidth="1"/>
    <col min="6" max="6" width="19.36328125" style="10" bestFit="1" customWidth="1"/>
    <col min="7" max="7" width="8" style="10" bestFit="1" customWidth="1"/>
    <col min="8" max="8" width="5.26953125" style="10" bestFit="1" customWidth="1"/>
    <col min="9" max="9" width="10" style="10" bestFit="1" customWidth="1"/>
    <col min="10" max="10" width="16" style="10" bestFit="1" customWidth="1"/>
    <col min="11" max="11" width="23.7265625" style="10" bestFit="1" customWidth="1"/>
    <col min="12" max="12" width="15.54296875" bestFit="1" customWidth="1"/>
    <col min="13" max="13" width="22.26953125" bestFit="1" customWidth="1"/>
    <col min="14" max="14" width="11.81640625" bestFit="1" customWidth="1"/>
    <col min="15" max="15" width="14.453125" bestFit="1" customWidth="1"/>
    <col min="16" max="16" width="13.90625" bestFit="1" customWidth="1"/>
    <col min="17" max="17" width="4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10" t="s">
        <v>5</v>
      </c>
      <c r="J1" s="10" t="s">
        <v>51</v>
      </c>
      <c r="K1" s="10" t="s">
        <v>52</v>
      </c>
      <c r="L1" t="s">
        <v>33</v>
      </c>
      <c r="M1" t="s">
        <v>53</v>
      </c>
      <c r="N1" t="s">
        <v>4</v>
      </c>
    </row>
    <row r="2" spans="1:30" x14ac:dyDescent="0.35">
      <c r="A2" t="str">
        <f>IF(Input!A3="","",Input!A3)</f>
        <v>CSI Growth Portfolio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CSI Income Portfolio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CSI Income and Growth Portfolio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tabSelected="1" workbookViewId="0">
      <selection activeCell="D2" sqref="D2:D4"/>
    </sheetView>
  </sheetViews>
  <sheetFormatPr defaultRowHeight="14.5" x14ac:dyDescent="0.35"/>
  <cols>
    <col min="1" max="1" width="19.6328125" bestFit="1" customWidth="1"/>
    <col min="2" max="2" width="65" bestFit="1" customWidth="1"/>
    <col min="3" max="3" width="44.90625" bestFit="1" customWidth="1"/>
    <col min="4" max="4" width="8.7265625" style="8"/>
  </cols>
  <sheetData>
    <row r="1" spans="1:5" x14ac:dyDescent="0.3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35">
      <c r="A2" t="str">
        <f>IF(Input!A3="","",Input!A3)</f>
        <v>CSI Growth Portfolio</v>
      </c>
      <c r="B2" t="s">
        <v>37</v>
      </c>
      <c r="C2" t="s">
        <v>38</v>
      </c>
      <c r="D2" s="8" t="s">
        <v>55</v>
      </c>
    </row>
    <row r="3" spans="1:5" x14ac:dyDescent="0.35">
      <c r="A3" t="str">
        <f>IF(Input!A4="","",Input!A4)</f>
        <v>CSI Income Portfolio</v>
      </c>
      <c r="B3" t="s">
        <v>37</v>
      </c>
      <c r="C3" t="s">
        <v>39</v>
      </c>
      <c r="D3" s="8" t="s">
        <v>56</v>
      </c>
    </row>
    <row r="4" spans="1:5" x14ac:dyDescent="0.35">
      <c r="A4" t="str">
        <f>IF(Input!A5="","",Input!A5)</f>
        <v>CSI Income and Growth Portfolio</v>
      </c>
      <c r="B4" t="s">
        <v>37</v>
      </c>
      <c r="C4" t="s">
        <v>40</v>
      </c>
      <c r="D4" s="8" t="s">
        <v>54</v>
      </c>
    </row>
    <row r="5" spans="1:5" x14ac:dyDescent="0.35">
      <c r="A5" t="str">
        <f>IF(Input!A6="","",Input!A6)</f>
        <v/>
      </c>
    </row>
    <row r="6" spans="1:5" x14ac:dyDescent="0.35">
      <c r="A6" t="str">
        <f>IF(Input!A7="","",Input!A7)</f>
        <v/>
      </c>
    </row>
    <row r="7" spans="1:5" x14ac:dyDescent="0.35">
      <c r="A7" t="str">
        <f>IF(Input!A8="","",Input!A8)</f>
        <v/>
      </c>
    </row>
    <row r="8" spans="1:5" x14ac:dyDescent="0.35">
      <c r="A8" t="str">
        <f>IF(Input!A9="","",Input!A9)</f>
        <v/>
      </c>
    </row>
    <row r="9" spans="1:5" x14ac:dyDescent="0.35">
      <c r="A9" t="str">
        <f>IF(Input!A10="","",Input!A10)</f>
        <v/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CSI Growth Portfolio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CSI Income Portfolio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CSI Income and Growth Portfolio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3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3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3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3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3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3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3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3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3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3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3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3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3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3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30</v>
      </c>
    </row>
    <row r="2" spans="1:5" x14ac:dyDescent="0.35">
      <c r="A2" t="str">
        <f>IF(Input!A3="","",Input!A3)</f>
        <v>CSI Growth Portfolio</v>
      </c>
      <c r="C2">
        <f>IF(A2="","",'Additional Information'!E2)</f>
        <v>0</v>
      </c>
      <c r="D2" s="5">
        <f>IF(A2="","",SUM('Additional Information'!C2,'Additional Information'!D2))</f>
        <v>0</v>
      </c>
      <c r="E2">
        <f>IF(A2="","",SUM('Additional Information'!C2))</f>
        <v>0</v>
      </c>
    </row>
    <row r="3" spans="1:5" x14ac:dyDescent="0.35">
      <c r="A3" t="str">
        <f>IF(Input!A4="","",Input!A4)</f>
        <v>CSI Income Portfolio</v>
      </c>
      <c r="C3">
        <f>IF(A3="","",'Additional Information'!E3)</f>
        <v>0</v>
      </c>
      <c r="D3" s="5">
        <f>IF(A3="","",SUM('Additional Information'!C3,'Additional Information'!D3))</f>
        <v>0</v>
      </c>
      <c r="E3">
        <f>IF(A3="","",SUM('Additional Information'!C3))</f>
        <v>0</v>
      </c>
    </row>
    <row r="4" spans="1:5" x14ac:dyDescent="0.35">
      <c r="A4" t="str">
        <f>IF(Input!A5="","",Input!A5)</f>
        <v>CSI Income and Growth Portfolio</v>
      </c>
      <c r="C4">
        <f>IF(A4="","",'Additional Information'!E4)</f>
        <v>0</v>
      </c>
      <c r="D4" s="5">
        <f>IF(A4="","",SUM('Additional Information'!C4,'Additional Information'!D4))</f>
        <v>0</v>
      </c>
      <c r="E4">
        <f>IF(A4="","",SUM('Additional Information'!C4))</f>
        <v>0</v>
      </c>
    </row>
    <row r="5" spans="1:5" x14ac:dyDescent="0.3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3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3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3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3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3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3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3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3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3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3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3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3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3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3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3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3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3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3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3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3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3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3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3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3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3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3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3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3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3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3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3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3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3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3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3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3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3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3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3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3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3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3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3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3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3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35">
      <c r="A2" t="str">
        <f>IF(Input!A3="","",Input!A3)</f>
        <v>CSI Growth Portfolio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CSI Income Portfolio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35">
      <c r="A4" t="str">
        <f>IF(Input!A5="","",Input!A5)</f>
        <v>CSI Income and Growth Portfolio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3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3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3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3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3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3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CSI Growth Portfolio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35">
      <c r="A3" t="str">
        <f>IF(Input!A4="","",Input!A4)</f>
        <v>CSI Income Portfolio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35">
      <c r="A4" t="str">
        <f>IF(Input!A5="","",Input!A5)</f>
        <v>CSI Income and Growth Portfolio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3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3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3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3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3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3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3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3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3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3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3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3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3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3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3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3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3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3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3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3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3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3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35">
      <c r="A2" t="str">
        <f>IF(Input!A3="","",Input!A3)</f>
        <v>CSI Growth Portfolio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CSI Income Portfolio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CSI Income and Growth Portfolio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3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3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3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3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3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3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3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3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3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3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EB08-3DB8-4DCA-BD83-565C614FDB62}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  <row r="7" spans="1:50" x14ac:dyDescent="0.35">
      <c r="A7" s="1"/>
    </row>
    <row r="8" spans="1:50" x14ac:dyDescent="0.35">
      <c r="A8" s="1"/>
    </row>
    <row r="9" spans="1:50" x14ac:dyDescent="0.35">
      <c r="A9" s="1"/>
    </row>
    <row r="10" spans="1:50" x14ac:dyDescent="0.35">
      <c r="A10" s="1"/>
    </row>
  </sheetData>
  <sortState xmlns:xlrd2="http://schemas.microsoft.com/office/spreadsheetml/2017/richdata2"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Admin</cp:lastModifiedBy>
  <dcterms:created xsi:type="dcterms:W3CDTF">2023-07-09T20:52:37Z</dcterms:created>
  <dcterms:modified xsi:type="dcterms:W3CDTF">2023-08-30T10:28:20Z</dcterms:modified>
</cp:coreProperties>
</file>