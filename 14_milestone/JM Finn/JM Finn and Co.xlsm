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JM Finn\"/>
    </mc:Choice>
  </mc:AlternateContent>
  <bookViews>
    <workbookView xWindow="1140" yWindow="1140" windowWidth="14400" windowHeight="781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B5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<sst xmlns="http://schemas.openxmlformats.org/spreadsheetml/2006/main" count="68" uniqueCount="62">
  <si>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</si>
  <si>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</si>
  <si>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</si>
  <si>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</si>
  <si>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</si>
  <si>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</si>
  <si>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</si>
  <si>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</si>
  <si>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</si>
  <si>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</si>
  <si>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</si>
  <si>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</si>
  <si>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</si>
  <si>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</si>
  <si>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</si>
  <si>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</si>
  <si>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</si>
  <si>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</si>
  <si>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</si>
  <si>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</si>
  <si>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</si>
  <si>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</si>
  <si>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</si>
  <si>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</si>
  <si>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</si>
  <si>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</si>
  <si>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</si>
  <si>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</si>
  <si>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</si>
  <si>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</si>
  <si>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</si>
  <si>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</si>
  <si>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</si>
  <si>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Property</t>
  </si>
  <si>
    <t>CSI Growth Portfolio</t>
  </si>
  <si>
    <t>CSI Income Portfolio</t>
  </si>
  <si>
    <t>CSI Income and Growth Portfolio</t>
  </si>
  <si>
    <t>https://www.jmfinn.com/services/financial-advisers/multi-asset-portfolios/</t>
  </si>
  <si>
    <t>CSI Income Factsheet</t>
  </si>
  <si>
    <t>Labels and values are clockwise in order</t>
  </si>
  <si>
    <t>Ongoing Charges**</t>
  </si>
  <si>
    <t>1yr</t>
  </si>
  <si>
    <t>Corporate Direct</t>
  </si>
  <si>
    <t>Bond Funds</t>
  </si>
  <si>
    <t>Sovereign/Supernational</t>
  </si>
  <si>
    <t>Mkt Cap &gt;£2bn</t>
  </si>
  <si>
    <t>Mkt Cap &lt; £2bn</t>
  </si>
  <si>
    <t>North America</t>
  </si>
  <si>
    <t>Europe</t>
  </si>
  <si>
    <t>Asia/China</t>
  </si>
  <si>
    <t>Global</t>
  </si>
  <si>
    <t>Alternatives</t>
  </si>
  <si>
    <t>3yr</t>
  </si>
  <si>
    <t>5yr</t>
  </si>
  <si>
    <t>https://www.jmfinn.com/static/827ad851ee2894004d16da7f82a6d698/csi-income-factsheet-september-2023-a-shares.pdf</t>
  </si>
  <si>
    <t>CSI Income &amp; Growth Factsheet</t>
  </si>
  <si>
    <t>CSI Growth Factsheet</t>
  </si>
  <si>
    <t>https://www.jmfinn.com/static/31ffff6f840415c44723f2cab55c9cc8/csi-growth-factsheet-september-2023-a-shares.pdf</t>
  </si>
  <si>
    <t>https://www.jmfinn.com/static/38f4a01e3fde2b9e31cc04a73fbe031c/csi-income-growth-factsheet-september-2023-a-shares.pdf</t>
  </si>
  <si>
    <t>Fixed Income</t>
  </si>
  <si>
    <t>UK Equities</t>
  </si>
  <si>
    <t>Intl. Equities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</si>
</sst>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44450</xdr:colOff>
      <xdr:row>1</xdr:row>
      <xdr:rowOff>0</xdr:rowOff>
    </xdr:from>
    <xdr:to>
      <xdr:col>4</xdr:col>
      <xdr:colOff>406731</xdr:colOff>
      <xdr:row>7</xdr:row>
      <xdr:rowOff>165176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118F4A-EB88-E033-7C6B-98F5090B6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450" y="184150"/>
          <a:ext cx="2800681" cy="12700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25400</xdr:rowOff>
    </xdr:from>
    <xdr:to>
      <xdr:col>5</xdr:col>
      <xdr:colOff>607303</xdr:colOff>
      <xdr:row>25</xdr:row>
      <xdr:rowOff>152579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FB4BAD6-1D02-96F5-9C9D-C11A5A208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498600"/>
          <a:ext cx="3655303" cy="32577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6</xdr:col>
      <xdr:colOff>158946</xdr:colOff>
      <xdr:row>36</xdr:row>
      <xdr:rowOff>101700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7C8C410-51A1-5DFA-C19B-A12AED9CF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787900"/>
          <a:ext cx="3816546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482781</xdr:colOff>
      <xdr:row>16</xdr:row>
      <xdr:rowOff>19193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970EC7D-DEE1-9090-7DF8-EAA5EFDD2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3530781" cy="27814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N3" sqref="N3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N3" s="9" t="s">
        <v>39</v>
      </c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5"/>
  <sheetViews>
    <sheetView workbookViewId="0">
      <selection activeCell="B5" sqref="B5"/>
    </sheetView>
  </sheetViews>
  <sheetFormatPr defaultRowHeight="15" x14ac:dyDescent="0.25"/>
  <cols>
    <col min="1" max="1" width="28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34</v>
      </c>
      <c r="B3" t="str">
        <f>'PDF Scraping'!D2</f>
        <v>https://www.jmfinn.com/static/31ffff6f840415c44723f2cab55c9cc8/csi-growth-factsheet-september-2023-a-shares.pdf</v>
      </c>
      <c r="J3" s="4"/>
    </row>
    <row r="4" spans="1:10" x14ac:dyDescent="0.25">
      <c r="A4" t="s">
        <v>35</v>
      </c>
      <c r="B4" t="str">
        <f>'PDF Scraping'!D3</f>
        <v>https://www.jmfinn.com/static/827ad851ee2894004d16da7f82a6d698/csi-income-factsheet-september-2023-a-shares.pdf</v>
      </c>
      <c r="J4" s="4"/>
    </row>
    <row r="5" spans="1:10" x14ac:dyDescent="0.25">
      <c r="A5" t="s">
        <v>36</v>
      </c>
      <c r="B5" t="str">
        <f>'PDF Scraping'!D4</f>
        <v>https://www.jmfinn.com/static/38f4a01e3fde2b9e31cc04a73fbe031c/csi-income-growth-factsheet-september-2023-a-shares.pdf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tabSelected="1" workbookViewId="0">
      <selection activeCell="K18" sqref="K18"/>
    </sheetView>
  </sheetViews>
  <sheetFormatPr defaultRowHeight="15" x14ac:dyDescent="0.25"/>
  <cols>
    <col min="1" max="1" width="30.42578125" bestFit="1" customWidth="1"/>
    <col min="2" max="2" width="10.140625" bestFit="1" customWidth="1"/>
    <col min="3" max="3" width="18.140625" style="10" bestFit="1" customWidth="1"/>
    <col min="4" max="5" width="7.140625" style="10" bestFit="1" customWidth="1"/>
    <col min="6" max="6" width="7.140625" bestFit="1" customWidth="1"/>
  </cols>
  <sheetData>
    <row r="1" spans="1:6" x14ac:dyDescent="0.25">
      <c r="B1" t="s">
        <v>24</v>
      </c>
      <c r="C1" s="10" t="s">
        <v>40</v>
      </c>
      <c r="D1" s="10" t="s">
        <v>41</v>
      </c>
      <c r="E1" s="10" t="s">
        <v>52</v>
      </c>
      <c r="F1" s="10" t="s">
        <v>53</v>
      </c>
    </row>
    <row r="2" spans="1:6" x14ac:dyDescent="0.25">
      <c r="A2" t="str">
        <f>IF(Input!A3="","",Input!A3)</f>
        <v>CSI Growth Portfolio</v>
      </c>
      <c r="B2" s="1">
        <v>45199</v>
      </c>
      <c r="C2" s="10">
        <v>1.1899999999999999E-2</v>
      </c>
      <c r="D2" s="10">
        <v>5.5999999999999994E-2</v>
      </c>
      <c r="E2" s="10">
        <v>6.9000000000000006E-2</v>
      </c>
      <c r="F2" s="5">
        <v>0.13</v>
      </c>
    </row>
    <row r="3" spans="1:6" x14ac:dyDescent="0.25">
      <c r="A3" t="str">
        <f>IF(Input!A4="","",Input!A4)</f>
        <v>CSI Income Portfolio</v>
      </c>
      <c r="B3" s="1">
        <v>45199</v>
      </c>
      <c r="C3" s="10">
        <v>1.2699999999999999E-2</v>
      </c>
      <c r="D3" s="10">
        <v>3.9E-2</v>
      </c>
      <c r="E3" s="10">
        <v>0.06</v>
      </c>
      <c r="F3" s="5">
        <v>8.5000000000000006E-2</v>
      </c>
    </row>
    <row r="4" spans="1:6" x14ac:dyDescent="0.25">
      <c r="A4" t="str">
        <f>IF(Input!A5="","",Input!A5)</f>
        <v>CSI Income and Growth Portfolio</v>
      </c>
      <c r="B4" s="1">
        <v>45199</v>
      </c>
      <c r="C4" s="10">
        <v>1.2E-2</v>
      </c>
      <c r="D4" s="10">
        <v>4.5999999999999999E-2</v>
      </c>
      <c r="E4" s="10">
        <v>4.9000000000000002E-2</v>
      </c>
      <c r="F4" s="5">
        <v>0.1</v>
      </c>
    </row>
    <row r="5" spans="1:6" x14ac:dyDescent="0.25">
      <c r="A5" t="str">
        <f>IF(Input!A6="","",Input!A6)</f>
        <v/>
      </c>
      <c r="B5" s="1"/>
      <c r="C5" s="11"/>
      <c r="D5" s="11"/>
      <c r="E5" s="11"/>
      <c r="F5" s="5"/>
    </row>
    <row r="6" spans="1:6" x14ac:dyDescent="0.25">
      <c r="A6" t="str">
        <f>IF(Input!A7="","",Input!A7)</f>
        <v/>
      </c>
      <c r="B6" s="1"/>
      <c r="C6" s="11"/>
      <c r="D6" s="11"/>
      <c r="E6" s="11"/>
      <c r="F6" s="5"/>
    </row>
    <row r="7" spans="1:6" x14ac:dyDescent="0.25">
      <c r="A7" t="str">
        <f>IF(Input!A8="","",Input!A8)</f>
        <v/>
      </c>
      <c r="B7" s="1"/>
      <c r="C7" s="11"/>
      <c r="D7" s="11"/>
      <c r="E7" s="11"/>
      <c r="F7" s="5"/>
    </row>
    <row r="8" spans="1:6" x14ac:dyDescent="0.25">
      <c r="A8" t="str">
        <f>IF(Input!A9="","",Input!A9)</f>
        <v/>
      </c>
      <c r="B8" s="1"/>
      <c r="C8" s="11"/>
      <c r="D8" s="11"/>
      <c r="E8" s="11"/>
      <c r="F8" s="5"/>
    </row>
    <row r="9" spans="1:6" x14ac:dyDescent="0.25">
      <c r="A9" t="str">
        <f>IF(Input!A10="","",Input!A10)</f>
        <v/>
      </c>
      <c r="B9" s="1"/>
      <c r="C9" s="11"/>
      <c r="D9" s="11"/>
      <c r="E9" s="11"/>
      <c r="F9" s="5"/>
    </row>
    <row r="10" spans="1:6" x14ac:dyDescent="0.2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2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2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2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2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2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2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2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2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2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2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2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2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2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2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25">
      <c r="A25" t="str">
        <f>IF(Input!A26="","",Input!A26)</f>
        <v/>
      </c>
      <c r="B25" s="7"/>
      <c r="C25" s="11"/>
      <c r="D25" s="11"/>
      <c r="E25" s="11"/>
    </row>
    <row r="26" spans="1:6" x14ac:dyDescent="0.25">
      <c r="A26" t="str">
        <f>IF(Input!A27="","",Input!A27)</f>
        <v/>
      </c>
      <c r="B26" s="7"/>
    </row>
    <row r="27" spans="1:6" x14ac:dyDescent="0.25">
      <c r="A27" t="str">
        <f>IF(Input!A28="","",Input!A28)</f>
        <v/>
      </c>
      <c r="B27" s="7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K15" sqref="K15"/>
    </sheetView>
  </sheetViews>
  <sheetFormatPr defaultRowHeight="15" x14ac:dyDescent="0.25"/>
  <cols>
    <col min="1" max="1" width="30.42578125" bestFit="1" customWidth="1"/>
    <col min="2" max="2" width="12.85546875" style="10" bestFit="1" customWidth="1"/>
    <col min="3" max="3" width="11" style="10" bestFit="1" customWidth="1"/>
    <col min="4" max="4" width="12.140625" style="10" bestFit="1" customWidth="1"/>
    <col min="5" max="5" width="8.7109375" style="10" bestFit="1" customWidth="1"/>
    <col min="6" max="6" width="11.85546875" style="10" bestFit="1" customWidth="1"/>
    <col min="7" max="7" width="6.140625" style="10" bestFit="1" customWidth="1"/>
    <col min="8" max="8" width="15.7109375" style="10" bestFit="1" customWidth="1"/>
    <col min="9" max="9" width="11.28515625" style="10" bestFit="1" customWidth="1"/>
    <col min="10" max="10" width="23.5703125" style="10" bestFit="1" customWidth="1"/>
    <col min="11" max="11" width="14" style="10" bestFit="1" customWidth="1"/>
    <col min="12" max="12" width="14.42578125" bestFit="1" customWidth="1"/>
    <col min="13" max="13" width="14" bestFit="1" customWidth="1"/>
    <col min="14" max="14" width="7.28515625" bestFit="1" customWidth="1"/>
    <col min="15" max="15" width="6" bestFit="1" customWidth="1"/>
    <col min="16" max="16" width="10.5703125" bestFit="1" customWidth="1"/>
    <col min="17" max="17" width="6.71093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8" t="s">
        <v>59</v>
      </c>
      <c r="C1" s="8" t="s">
        <v>60</v>
      </c>
      <c r="D1" s="8" t="s">
        <v>61</v>
      </c>
      <c r="E1" s="8" t="s">
        <v>33</v>
      </c>
      <c r="F1" s="8" t="s">
        <v>51</v>
      </c>
      <c r="G1" s="8" t="s">
        <v>4</v>
      </c>
      <c r="H1" s="10" t="s">
        <v>42</v>
      </c>
      <c r="I1" s="10" t="s">
        <v>43</v>
      </c>
      <c r="J1" s="10" t="s">
        <v>44</v>
      </c>
      <c r="K1" s="10" t="s">
        <v>45</v>
      </c>
      <c r="L1" s="10" t="s">
        <v>46</v>
      </c>
      <c r="M1" s="10" t="s">
        <v>47</v>
      </c>
      <c r="N1" s="10" t="s">
        <v>48</v>
      </c>
      <c r="O1" s="10" t="s">
        <v>5</v>
      </c>
      <c r="P1" s="10" t="s">
        <v>49</v>
      </c>
      <c r="Q1" s="10" t="s">
        <v>50</v>
      </c>
    </row>
    <row r="2" spans="1:30" x14ac:dyDescent="0.25">
      <c r="A2" t="str">
        <f>IF(Input!A3="","",Input!A3)</f>
        <v>CSI Growth Portfolio</v>
      </c>
      <c r="B2" s="5">
        <v>5.2000000000000005E-2</v>
      </c>
      <c r="C2" s="5">
        <v>0.24100000000000002</v>
      </c>
      <c r="D2" s="5">
        <v>0.55500000000000005</v>
      </c>
      <c r="E2" s="5">
        <v>2.6000000000000002E-2</v>
      </c>
      <c r="F2" s="5">
        <v>0.10099999999999999</v>
      </c>
      <c r="G2" s="5">
        <v>2.6000000000000002E-2</v>
      </c>
      <c r="H2"/>
      <c r="R2" s="5"/>
      <c r="T2" s="5"/>
      <c r="U2" s="5"/>
      <c r="V2" s="5"/>
    </row>
    <row r="3" spans="1:30" x14ac:dyDescent="0.25">
      <c r="A3" t="str">
        <f>IF(Input!A4="","",Input!A4)</f>
        <v>CSI Income Portfolio</v>
      </c>
      <c r="B3" s="5">
        <v>0.24199999999999999</v>
      </c>
      <c r="C3" s="5">
        <v>0.22600000000000001</v>
      </c>
      <c r="D3" s="5">
        <v>0.27899999999999997</v>
      </c>
      <c r="E3" s="5">
        <v>2.7999999999999997E-2</v>
      </c>
      <c r="F3" s="5">
        <v>0.157</v>
      </c>
      <c r="G3" s="5">
        <v>6.7000000000000004E-2</v>
      </c>
      <c r="H3"/>
      <c r="K3" s="11"/>
      <c r="R3" s="5"/>
      <c r="S3" s="5"/>
      <c r="T3" s="5"/>
    </row>
    <row r="4" spans="1:30" x14ac:dyDescent="0.25">
      <c r="A4" t="str">
        <f>IF(Input!A5="","",Input!A5)</f>
        <v>CSI Income and Growth Portfolio</v>
      </c>
      <c r="B4" s="5">
        <v>0.183</v>
      </c>
      <c r="C4" s="5">
        <v>0.221</v>
      </c>
      <c r="D4" s="5">
        <v>0.40299999999999997</v>
      </c>
      <c r="E4" s="5">
        <v>2.7000000000000003E-2</v>
      </c>
      <c r="F4" s="5">
        <v>0.122</v>
      </c>
      <c r="G4" s="5">
        <v>4.4000000000000004E-2</v>
      </c>
      <c r="H4"/>
      <c r="R4" s="5"/>
      <c r="S4" s="5"/>
      <c r="T4" s="5"/>
    </row>
    <row r="5" spans="1:30" x14ac:dyDescent="0.2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2" sqref="C2"/>
    </sheetView>
  </sheetViews>
  <sheetFormatPr defaultRowHeight="15" x14ac:dyDescent="0.25"/>
  <cols>
    <col min="1" max="1" width="19.5703125" bestFit="1" customWidth="1"/>
    <col min="2" max="2" width="70.85546875" bestFit="1" customWidth="1"/>
    <col min="3" max="3" width="48.42578125" bestFit="1" customWidth="1"/>
    <col min="4" max="4" width="111.710937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CSI Growth Portfolio</v>
      </c>
      <c r="B2" t="s">
        <v>37</v>
      </c>
      <c r="C2" t="s">
        <v>56</v>
      </c>
      <c r="D2" s="8" t="s">
        <v>57</v>
      </c>
    </row>
    <row r="3" spans="1:5" x14ac:dyDescent="0.25">
      <c r="A3" t="str">
        <f>IF(Input!A4="","",Input!A4)</f>
        <v>CSI Income Portfolio</v>
      </c>
      <c r="B3" t="s">
        <v>37</v>
      </c>
      <c r="C3" t="s">
        <v>38</v>
      </c>
      <c r="D3" s="8" t="s">
        <v>54</v>
      </c>
    </row>
    <row r="4" spans="1:5" x14ac:dyDescent="0.25">
      <c r="A4" t="str">
        <f>IF(Input!A5="","",Input!A5)</f>
        <v>CSI Income and Growth Portfolio</v>
      </c>
      <c r="B4" t="s">
        <v>37</v>
      </c>
      <c r="C4" t="s">
        <v>55</v>
      </c>
      <c r="D4" s="8" t="s">
        <v>58</v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CSI Growth Portfolio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CSI Income Portfolio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CSI Income and Growth Portfolio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2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CSI Growth Portfolio</v>
      </c>
      <c r="C2">
        <f>IF(A2="","",'Additional Information'!E2)</f>
        <v>6.9000000000000006E-2</v>
      </c>
      <c r="D2" s="5">
        <f>IF(A2="","",SUM('Additional Information'!C2,'Additional Information'!D2))</f>
        <v>6.7899999999999988E-2</v>
      </c>
      <c r="E2">
        <f>IF(A2="","",SUM('Additional Information'!C2))</f>
        <v>1.1899999999999999E-2</v>
      </c>
    </row>
    <row r="3" spans="1:5" x14ac:dyDescent="0.25">
      <c r="A3" t="str">
        <f>IF(Input!A4="","",Input!A4)</f>
        <v>CSI Income Portfolio</v>
      </c>
      <c r="C3">
        <f>IF(A3="","",'Additional Information'!E3)</f>
        <v>0.06</v>
      </c>
      <c r="D3" s="5">
        <f>IF(A3="","",SUM('Additional Information'!C3,'Additional Information'!D3))</f>
        <v>5.1699999999999996E-2</v>
      </c>
      <c r="E3">
        <f>IF(A3="","",SUM('Additional Information'!C3))</f>
        <v>1.2699999999999999E-2</v>
      </c>
    </row>
    <row r="4" spans="1:5" x14ac:dyDescent="0.25">
      <c r="A4" t="str">
        <f>IF(Input!A5="","",Input!A5)</f>
        <v>CSI Income and Growth Portfolio</v>
      </c>
      <c r="C4">
        <f>IF(A4="","",'Additional Information'!E4)</f>
        <v>4.9000000000000002E-2</v>
      </c>
      <c r="D4" s="5">
        <f>IF(A4="","",SUM('Additional Information'!C4,'Additional Information'!D4))</f>
        <v>5.7999999999999996E-2</v>
      </c>
      <c r="E4">
        <f>IF(A4="","",SUM('Additional Information'!C4))</f>
        <v>1.2E-2</v>
      </c>
    </row>
    <row r="5" spans="1:5" x14ac:dyDescent="0.2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2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2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2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CSI Growth Portfolio</v>
      </c>
      <c r="B2" t="e">
        <f>IF(A2="","",SUM('Asset Allocation'!#REF!,'Asset Allocation'!#REF!,'Asset Allocation'!#REF!,'Asset Allocation'!I2,'Asset Allocation'!J2,'Asset Allocation'!K2))</f>
        <v>#REF!</v>
      </c>
      <c r="C2" t="e">
        <f>IF(A2="","",SUM('Asset Allocation'!#REF!))</f>
        <v>#REF!</v>
      </c>
      <c r="D2" t="e">
        <f>IF(A2="","",SUM('Asset Allocation'!#REF!))</f>
        <v>#REF!</v>
      </c>
      <c r="F2" t="e">
        <f>IF(A2="","",SUM('Asset Allocation'!#REF!))</f>
        <v>#REF!</v>
      </c>
      <c r="G2" t="e">
        <f>IF(A2="","",SUM('Asset Allocation'!#REF!))</f>
        <v>#REF!</v>
      </c>
      <c r="H2" t="e">
        <f t="shared" ref="H2:H50" si="0">IF(A2="","",1-SUM(B2:G2))</f>
        <v>#REF!</v>
      </c>
    </row>
    <row r="3" spans="1:8" x14ac:dyDescent="0.25">
      <c r="A3" t="str">
        <f>IF(Input!A4="","",Input!A4)</f>
        <v>CSI Income Portfolio</v>
      </c>
      <c r="B3" t="e">
        <f>IF(A3="","",SUM('Asset Allocation'!#REF!,'Asset Allocation'!#REF!,'Asset Allocation'!#REF!,'Asset Allocation'!I3,'Asset Allocation'!J3,'Asset Allocation'!K3))</f>
        <v>#REF!</v>
      </c>
      <c r="C3" t="e">
        <f>IF(A3="","",SUM('Asset Allocation'!#REF!))</f>
        <v>#REF!</v>
      </c>
      <c r="D3" t="e">
        <f>IF(A3="","",SUM('Asset Allocation'!#REF!))</f>
        <v>#REF!</v>
      </c>
      <c r="F3" t="e">
        <f>IF(A3="","",SUM('Asset Allocation'!#REF!))</f>
        <v>#REF!</v>
      </c>
      <c r="G3" t="e">
        <f>IF(A3="","",SUM('Asset Allocation'!#REF!))</f>
        <v>#REF!</v>
      </c>
      <c r="H3" t="e">
        <f t="shared" si="0"/>
        <v>#REF!</v>
      </c>
    </row>
    <row r="4" spans="1:8" x14ac:dyDescent="0.25">
      <c r="A4" t="str">
        <f>IF(Input!A5="","",Input!A5)</f>
        <v>CSI Income and Growth Portfolio</v>
      </c>
      <c r="B4" t="e">
        <f>IF(A4="","",SUM('Asset Allocation'!#REF!,'Asset Allocation'!#REF!,'Asset Allocation'!#REF!,'Asset Allocation'!I4,'Asset Allocation'!J4,'Asset Allocation'!K4))</f>
        <v>#REF!</v>
      </c>
      <c r="C4" t="e">
        <f>IF(A4="","",SUM('Asset Allocation'!#REF!))</f>
        <v>#REF!</v>
      </c>
      <c r="D4" t="e">
        <f>IF(A4="","",SUM('Asset Allocation'!#REF!))</f>
        <v>#REF!</v>
      </c>
      <c r="F4" t="e">
        <f>IF(A4="","",SUM('Asset Allocation'!#REF!))</f>
        <v>#REF!</v>
      </c>
      <c r="G4" t="e">
        <f>IF(A4="","",SUM('Asset Allocation'!#REF!))</f>
        <v>#REF!</v>
      </c>
      <c r="H4" t="e">
        <f t="shared" si="0"/>
        <v>#REF!</v>
      </c>
    </row>
    <row r="5" spans="1:8" x14ac:dyDescent="0.2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CSI Growth Portfolio</v>
      </c>
      <c r="B2" s="6">
        <f>IFERROR(IF(A2="","",SUM('Asset Allocation'!#REF!)/'Broad Asset Allocation'!B2),0)</f>
        <v>0</v>
      </c>
      <c r="C2" s="6">
        <f>IFERROR(IF(A2="","",SUM('Asset Allocation'!#REF!)/'Broad Asset Allocation'!B2),0)</f>
        <v>0</v>
      </c>
      <c r="D2" s="6">
        <f>IFERROR(IF(A2="","",SUM('Asset Allocation'!#REF!)/'Broad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CSI Income Portfolio</v>
      </c>
      <c r="B3" s="6">
        <f>IFERROR(IF(A3="","",SUM('Asset Allocation'!#REF!)/'Broad Asset Allocation'!B3),0)</f>
        <v>0</v>
      </c>
      <c r="C3" s="6">
        <f>IFERROR(IF(A3="","",SUM('Asset Allocation'!#REF!)/'Broad Asset Allocation'!B3),0)</f>
        <v>0</v>
      </c>
      <c r="D3" s="6">
        <f>IFERROR(IF(A3="","",SUM('Asset Allocation'!#REF!)/'Broad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CSI Income and Growth Portfolio</v>
      </c>
      <c r="B4" s="6">
        <f>IFERROR(IF(A4="","",SUM('Asset Allocation'!#REF!)/'Broad Asset Allocation'!B4),0)</f>
        <v>0</v>
      </c>
      <c r="C4" s="6">
        <f>IFERROR(IF(A4="","",SUM('Asset Allocation'!#REF!)/'Broad Asset Allocation'!B4),0)</f>
        <v>0</v>
      </c>
      <c r="D4" s="6">
        <f>IFERROR(IF(A4="","",SUM('Asset Allocation'!#REF!)/'Broad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2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CSI Growth Portfolio</v>
      </c>
      <c r="H2">
        <f>IFERROR(IF(A2="","",SUM('Asset Allocation'!#REF!)/'Broad Asset Allocation'!C2),0)</f>
        <v>0</v>
      </c>
    </row>
    <row r="3" spans="1:8" x14ac:dyDescent="0.25">
      <c r="A3" t="str">
        <f>IF(Input!A4="","",Input!A4)</f>
        <v>CSI Income Portfolio</v>
      </c>
      <c r="H3">
        <f>IFERROR(IF(A3="","",SUM('Asset Allocation'!#REF!)/'Broad Asset Allocation'!C3),0)</f>
        <v>0</v>
      </c>
    </row>
    <row r="4" spans="1:8" x14ac:dyDescent="0.25">
      <c r="A4" t="str">
        <f>IF(Input!A5="","",Input!A5)</f>
        <v>CSI Income and Growth Portfolio</v>
      </c>
      <c r="H4">
        <f>IFERROR(IF(A4="","",SUM('Asset Allocation'!#REF!)/'Broad Asset Allocation'!C4),0)</f>
        <v>0</v>
      </c>
    </row>
    <row r="5" spans="1:8" x14ac:dyDescent="0.2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2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2023-10-15T09:46:44Z</dcterms:modified>
</cp:coreProperties>
</file>