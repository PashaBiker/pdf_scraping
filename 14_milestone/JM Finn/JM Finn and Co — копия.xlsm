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4_milestone\JM Finn\"/>
    </mc:Choice>
  </mc:AlternateContent>
  <bookViews>
    <workbookView xWindow="1140" yWindow="1140" windowWidth="14400" windowHeight="781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4" i="1"/>
  <c r="B5" i="1"/>
  <c r="A2" i="35"/>
  <c r="B3" i="1"/>
  <c r="B50" i="34" l="1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A2" i="34"/>
  <c r="B2" i="34" s="1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A2" i="8"/>
  <c r="A2" i="7"/>
  <c r="A2" i="4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A2" i="31"/>
  <c r="E2" i="31" s="1"/>
  <c r="A2" i="3"/>
  <c r="A2" i="29"/>
  <c r="B1" i="37" l="1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C30" i="31"/>
  <c r="D30" i="31"/>
  <c r="D47" i="31"/>
  <c r="C47" i="31"/>
  <c r="C8" i="31"/>
  <c r="D8" i="31"/>
  <c r="C16" i="31"/>
  <c r="D16" i="31"/>
  <c r="C24" i="31"/>
  <c r="D24" i="31"/>
  <c r="C32" i="31"/>
  <c r="D32" i="31"/>
  <c r="C40" i="31"/>
  <c r="D40" i="31"/>
  <c r="D48" i="31"/>
  <c r="C48" i="31"/>
  <c r="C15" i="31"/>
  <c r="D15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D50" i="31"/>
  <c r="C50" i="31"/>
  <c r="C22" i="31"/>
  <c r="D22" i="31"/>
  <c r="C39" i="31"/>
  <c r="D39" i="31"/>
  <c r="C2" i="31"/>
  <c r="D2" i="31"/>
  <c r="D42" i="31"/>
  <c r="C42" i="31"/>
  <c r="C3" i="31"/>
  <c r="D3" i="31"/>
  <c r="C11" i="31"/>
  <c r="D11" i="31"/>
  <c r="C19" i="31"/>
  <c r="D19" i="31"/>
  <c r="C27" i="31"/>
  <c r="D27" i="31"/>
  <c r="D35" i="31"/>
  <c r="C35" i="31"/>
  <c r="C43" i="31"/>
  <c r="D43" i="31"/>
  <c r="C14" i="31"/>
  <c r="D14" i="31"/>
  <c r="C23" i="31"/>
  <c r="D23" i="31"/>
  <c r="C18" i="31"/>
  <c r="D18" i="31"/>
  <c r="C34" i="31"/>
  <c r="D34" i="31"/>
  <c r="C4" i="31"/>
  <c r="D4" i="31"/>
  <c r="C12" i="31"/>
  <c r="D12" i="31"/>
  <c r="C20" i="31"/>
  <c r="D20" i="31"/>
  <c r="C28" i="31"/>
  <c r="D28" i="31"/>
  <c r="C36" i="31"/>
  <c r="D36" i="31"/>
  <c r="D44" i="31"/>
  <c r="C44" i="31"/>
  <c r="D7" i="31"/>
  <c r="C7" i="31"/>
  <c r="D31" i="31"/>
  <c r="C31" i="31"/>
  <c r="D10" i="31"/>
  <c r="C10" i="31"/>
  <c r="D26" i="31"/>
  <c r="C26" i="31"/>
  <c r="C5" i="31"/>
  <c r="D5" i="31"/>
  <c r="C13" i="31"/>
  <c r="D13" i="31"/>
  <c r="C21" i="31"/>
  <c r="D21" i="31"/>
  <c r="C29" i="31"/>
  <c r="D29" i="31"/>
  <c r="C37" i="31"/>
  <c r="D37" i="31"/>
  <c r="C45" i="31"/>
  <c r="D45" i="31"/>
  <c r="C6" i="31"/>
  <c r="D6" i="31"/>
  <c r="C38" i="31"/>
  <c r="D38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<sst xmlns="http://schemas.openxmlformats.org/spreadsheetml/2006/main" count="65" uniqueCount="59">
  <si>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</si>
  <si>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</si>
  <si>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</si>
  <si>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</si>
  <si>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</si>
  <si>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</si>
  <si>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</si>
  <si>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</si>
  <si>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</si>
  <si>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</si>
  <si>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</si>
  <si>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</si>
  <si>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</si>
  <si>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</si>
  <si>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</si>
  <si>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</si>
  <si>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</si>
  <si>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</si>
  <si>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</si>
  <si>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</si>
  <si>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</si>
  <si>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</si>
  <si>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</si>
  <si>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</si>
  <si>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</si>
  <si>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</si>
  <si>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</si>
  <si>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</si>
  <si>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</si>
  <si>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</si>
  <si>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</si>
  <si>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</si>
  <si>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</si>
  <si>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Property</t>
  </si>
  <si>
    <t>CSI Growth Portfolio</t>
  </si>
  <si>
    <t>CSI Income Portfolio</t>
  </si>
  <si>
    <t>CSI Income and Growth Portfolio</t>
  </si>
  <si>
    <t>https://www.jmfinn.com/services/financial-advisers/multi-asset-portfolios/</t>
  </si>
  <si>
    <t>CSI Income Factsheet</t>
  </si>
  <si>
    <t>Labels and values are clockwise in order</t>
  </si>
  <si>
    <t>Ongoing Charges**</t>
  </si>
  <si>
    <t>1yr</t>
  </si>
  <si>
    <t>Corporate Direct</t>
  </si>
  <si>
    <t>Bond Funds</t>
  </si>
  <si>
    <t>Sovereign/Supernational</t>
  </si>
  <si>
    <t>Mkt Cap &gt;£2bn</t>
  </si>
  <si>
    <t>Mkt Cap &lt; £2bn</t>
  </si>
  <si>
    <t>North America</t>
  </si>
  <si>
    <t>Europe</t>
  </si>
  <si>
    <t>Asia/China</t>
  </si>
  <si>
    <t>Global</t>
  </si>
  <si>
    <t>Alternatives</t>
  </si>
  <si>
    <t>3yr</t>
  </si>
  <si>
    <t>5yr</t>
  </si>
  <si>
    <t>https://www.jmfinn.com/static/827ad851ee2894004d16da7f82a6d698/csi-income-factsheet-september-2023-a-shares.pdf</t>
  </si>
  <si>
    <t>CSI Income &amp; Growth Factsheet</t>
  </si>
  <si>
    <t>CSI Growth Factsheet</t>
  </si>
  <si>
    <t>https://www.jmfinn.com/static/31ffff6f840415c44723f2cab55c9cc8/csi-growth-factsheet-september-2023-a-shares.pdf</t>
  </si>
  <si>
    <t>https://www.jmfinn.com/static/38f4a01e3fde2b9e31cc04a73fbe031c/csi-income-growth-factsheet-september-2023-a-shares.pdf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</si>
</sst>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64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44450</xdr:colOff>
      <xdr:row>1</xdr:row>
      <xdr:rowOff>0</xdr:rowOff>
    </xdr:from>
    <xdr:to>
      <xdr:col>4</xdr:col>
      <xdr:colOff>406731</xdr:colOff>
      <xdr:row>7</xdr:row>
      <xdr:rowOff>165176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3118F4A-EB88-E033-7C6B-98F5090B6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450" y="184150"/>
          <a:ext cx="2800681" cy="12700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25400</xdr:rowOff>
    </xdr:from>
    <xdr:to>
      <xdr:col>5</xdr:col>
      <xdr:colOff>607303</xdr:colOff>
      <xdr:row>25</xdr:row>
      <xdr:rowOff>152579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FB4BAD6-1D02-96F5-9C9D-C11A5A208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498600"/>
          <a:ext cx="3655303" cy="32577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6</xdr:col>
      <xdr:colOff>158946</xdr:colOff>
      <xdr:row>36</xdr:row>
      <xdr:rowOff>101700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7C8C410-51A1-5DFA-C19B-A12AED9CF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787900"/>
          <a:ext cx="3816546" cy="1943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482781</xdr:colOff>
      <xdr:row>16</xdr:row>
      <xdr:rowOff>19193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970EC7D-DEE1-9090-7DF8-EAA5EFDD2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3530781" cy="27814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N3" sqref="N3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N3" s="9" t="s">
        <v>39</v>
      </c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5"/>
  <sheetViews>
    <sheetView workbookViewId="0">
      <selection activeCell="B5" sqref="B5"/>
    </sheetView>
  </sheetViews>
  <sheetFormatPr defaultRowHeight="15" x14ac:dyDescent="0.25"/>
  <cols>
    <col min="1" max="1" width="28.42578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34</v>
      </c>
      <c r="B3" t="str">
        <f>'PDF Scraping'!D2</f>
        <v>https://www.jmfinn.com/static/31ffff6f840415c44723f2cab55c9cc8/csi-growth-factsheet-september-2023-a-shares.pdf</v>
      </c>
      <c r="J3" s="4"/>
    </row>
    <row r="4" spans="1:10" x14ac:dyDescent="0.25">
      <c r="A4" t="s">
        <v>35</v>
      </c>
      <c r="B4" t="str">
        <f>'PDF Scraping'!D3</f>
        <v>https://www.jmfinn.com/static/827ad851ee2894004d16da7f82a6d698/csi-income-factsheet-september-2023-a-shares.pdf</v>
      </c>
      <c r="J4" s="4"/>
    </row>
    <row r="5" spans="1:10" x14ac:dyDescent="0.25">
      <c r="A5" t="s">
        <v>36</v>
      </c>
      <c r="B5" t="str">
        <f>'PDF Scraping'!D4</f>
        <v>https://www.jmfinn.com/static/38f4a01e3fde2b9e31cc04a73fbe031c/csi-income-growth-factsheet-september-2023-a-shares.pdf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F3" sqref="F3"/>
    </sheetView>
  </sheetViews>
  <sheetFormatPr defaultRowHeight="15" x14ac:dyDescent="0.25"/>
  <cols>
    <col min="1" max="1" width="30.42578125" bestFit="1" customWidth="1"/>
    <col min="2" max="2" width="10.140625" bestFit="1" customWidth="1"/>
    <col min="3" max="3" width="18.140625" style="10" bestFit="1" customWidth="1"/>
    <col min="4" max="5" width="7.140625" style="10" bestFit="1" customWidth="1"/>
    <col min="6" max="6" width="7.140625" bestFit="1" customWidth="1"/>
  </cols>
  <sheetData>
    <row r="1" spans="1:6" x14ac:dyDescent="0.25">
      <c r="B1" t="s">
        <v>24</v>
      </c>
      <c r="C1" s="10" t="s">
        <v>40</v>
      </c>
      <c r="D1" s="10" t="s">
        <v>41</v>
      </c>
      <c r="E1" s="10" t="s">
        <v>52</v>
      </c>
      <c r="F1" s="10" t="s">
        <v>53</v>
      </c>
    </row>
    <row r="2" spans="1:6" x14ac:dyDescent="0.25">
      <c r="A2" t="str">
        <f>IF(Input!A3="","",Input!A3)</f>
        <v>CSI Growth Portfolio</v>
      </c>
      <c r="B2" s="1">
        <v>45107</v>
      </c>
      <c r="C2" s="10">
        <v>6.8999999999999999E-3</v>
      </c>
      <c r="D2" s="10">
        <v>6.5000000000000002E-2</v>
      </c>
      <c r="E2" s="10">
        <v>0.14000000000000001</v>
      </c>
      <c r="F2" s="5">
        <v>0.19600000000000001</v>
      </c>
    </row>
    <row r="3" spans="1:6" x14ac:dyDescent="0.25">
      <c r="A3" t="str">
        <f>IF(Input!A4="","",Input!A4)</f>
        <v>CSI Income Portfolio</v>
      </c>
      <c r="B3" s="1">
        <v>45107</v>
      </c>
      <c r="C3" s="10">
        <v>1.2699999999999999E-2</v>
      </c>
      <c r="D3" s="10">
        <v>1.3000000000000001E-2</v>
      </c>
      <c r="E3" s="10">
        <v>0.08</v>
      </c>
      <c r="F3" s="5">
        <v>0.10199999999999999</v>
      </c>
    </row>
    <row r="4" spans="1:6" x14ac:dyDescent="0.25">
      <c r="A4" t="str">
        <f>IF(Input!A5="","",Input!A5)</f>
        <v>CSI Income and Growth Portfolio</v>
      </c>
      <c r="B4" s="1">
        <v>45107</v>
      </c>
      <c r="C4" s="10">
        <v>6.9999999999999993E-3</v>
      </c>
      <c r="D4" s="10">
        <v>0.04</v>
      </c>
      <c r="E4" s="10">
        <v>0.10400000000000001</v>
      </c>
      <c r="F4" s="5">
        <v>0.156</v>
      </c>
    </row>
    <row r="5" spans="1:6" x14ac:dyDescent="0.25">
      <c r="A5" t="str">
        <f>IF(Input!A6="","",Input!A6)</f>
        <v/>
      </c>
      <c r="B5" s="1"/>
      <c r="C5" s="11"/>
      <c r="D5" s="11"/>
      <c r="E5" s="11"/>
      <c r="F5" s="5"/>
    </row>
    <row r="6" spans="1:6" x14ac:dyDescent="0.25">
      <c r="A6" t="str">
        <f>IF(Input!A7="","",Input!A7)</f>
        <v/>
      </c>
      <c r="B6" s="1"/>
      <c r="C6" s="11"/>
      <c r="D6" s="11"/>
      <c r="E6" s="11"/>
      <c r="F6" s="5"/>
    </row>
    <row r="7" spans="1:6" x14ac:dyDescent="0.25">
      <c r="A7" t="str">
        <f>IF(Input!A8="","",Input!A8)</f>
        <v/>
      </c>
      <c r="B7" s="1"/>
      <c r="C7" s="11"/>
      <c r="D7" s="11"/>
      <c r="E7" s="11"/>
      <c r="F7" s="5"/>
    </row>
    <row r="8" spans="1:6" x14ac:dyDescent="0.25">
      <c r="A8" t="str">
        <f>IF(Input!A9="","",Input!A9)</f>
        <v/>
      </c>
      <c r="B8" s="1"/>
      <c r="C8" s="11"/>
      <c r="D8" s="11"/>
      <c r="E8" s="11"/>
      <c r="F8" s="5"/>
    </row>
    <row r="9" spans="1:6" x14ac:dyDescent="0.25">
      <c r="A9" t="str">
        <f>IF(Input!A10="","",Input!A10)</f>
        <v/>
      </c>
      <c r="B9" s="1"/>
      <c r="C9" s="11"/>
      <c r="D9" s="11"/>
      <c r="E9" s="11"/>
      <c r="F9" s="5"/>
    </row>
    <row r="10" spans="1:6" x14ac:dyDescent="0.25">
      <c r="A10" t="str">
        <f>IF(Input!A11="","",Input!A11)</f>
        <v/>
      </c>
      <c r="B10" s="1"/>
      <c r="C10" s="11"/>
      <c r="D10" s="11"/>
      <c r="E10" s="11"/>
      <c r="F10" s="5"/>
    </row>
    <row r="11" spans="1:6" x14ac:dyDescent="0.25">
      <c r="A11" t="str">
        <f>IF(Input!A12="","",Input!A12)</f>
        <v/>
      </c>
      <c r="B11" s="1"/>
      <c r="C11" s="11"/>
      <c r="D11" s="11"/>
      <c r="E11" s="11"/>
      <c r="F11" s="5"/>
    </row>
    <row r="12" spans="1:6" x14ac:dyDescent="0.25">
      <c r="A12" t="str">
        <f>IF(Input!A13="","",Input!A13)</f>
        <v/>
      </c>
      <c r="B12" s="1"/>
      <c r="C12" s="11"/>
      <c r="D12" s="11"/>
      <c r="E12" s="11"/>
      <c r="F12" s="5"/>
    </row>
    <row r="13" spans="1:6" x14ac:dyDescent="0.25">
      <c r="A13" t="str">
        <f>IF(Input!A14="","",Input!A14)</f>
        <v/>
      </c>
      <c r="B13" s="1"/>
      <c r="C13" s="11"/>
      <c r="D13" s="11"/>
      <c r="E13" s="11"/>
      <c r="F13" s="5"/>
    </row>
    <row r="14" spans="1:6" x14ac:dyDescent="0.25">
      <c r="A14" t="str">
        <f>IF(Input!A15="","",Input!A15)</f>
        <v/>
      </c>
      <c r="B14" s="1"/>
      <c r="C14" s="11"/>
      <c r="D14" s="11"/>
      <c r="E14" s="11"/>
      <c r="F14" s="5"/>
    </row>
    <row r="15" spans="1:6" x14ac:dyDescent="0.25">
      <c r="A15" t="str">
        <f>IF(Input!A16="","",Input!A16)</f>
        <v/>
      </c>
      <c r="B15" s="1"/>
      <c r="C15" s="11"/>
      <c r="D15" s="11"/>
      <c r="E15" s="11"/>
      <c r="F15" s="5"/>
    </row>
    <row r="16" spans="1:6" x14ac:dyDescent="0.25">
      <c r="A16" t="str">
        <f>IF(Input!A17="","",Input!A17)</f>
        <v/>
      </c>
      <c r="B16" s="1"/>
      <c r="C16" s="11"/>
      <c r="D16" s="11"/>
      <c r="E16" s="11"/>
      <c r="F16" s="5"/>
    </row>
    <row r="17" spans="1:6" x14ac:dyDescent="0.25">
      <c r="A17" t="str">
        <f>IF(Input!A18="","",Input!A18)</f>
        <v/>
      </c>
      <c r="B17" s="1"/>
      <c r="C17" s="11"/>
      <c r="D17" s="11"/>
      <c r="E17" s="11"/>
      <c r="F17" s="5"/>
    </row>
    <row r="18" spans="1:6" x14ac:dyDescent="0.25">
      <c r="A18" t="str">
        <f>IF(Input!A19="","",Input!A19)</f>
        <v/>
      </c>
      <c r="B18" s="1"/>
      <c r="C18" s="11"/>
      <c r="D18" s="11"/>
      <c r="E18" s="11"/>
      <c r="F18" s="5"/>
    </row>
    <row r="19" spans="1:6" x14ac:dyDescent="0.25">
      <c r="A19" t="str">
        <f>IF(Input!A20="","",Input!A20)</f>
        <v/>
      </c>
      <c r="B19" s="1"/>
      <c r="C19" s="11"/>
      <c r="D19" s="11"/>
      <c r="E19" s="11"/>
      <c r="F19" s="5"/>
    </row>
    <row r="20" spans="1:6" x14ac:dyDescent="0.25">
      <c r="A20" t="str">
        <f>IF(Input!A21="","",Input!A21)</f>
        <v/>
      </c>
      <c r="B20" s="1"/>
      <c r="C20" s="11"/>
      <c r="D20" s="11"/>
      <c r="E20" s="11"/>
      <c r="F20" s="5"/>
    </row>
    <row r="21" spans="1:6" x14ac:dyDescent="0.25">
      <c r="A21" t="str">
        <f>IF(Input!A22="","",Input!A22)</f>
        <v/>
      </c>
      <c r="B21" s="1"/>
      <c r="C21" s="11"/>
      <c r="D21" s="11"/>
      <c r="E21" s="11"/>
      <c r="F21" s="5"/>
    </row>
    <row r="22" spans="1:6" x14ac:dyDescent="0.25">
      <c r="A22" t="str">
        <f>IF(Input!A23="","",Input!A23)</f>
        <v/>
      </c>
      <c r="B22" s="1"/>
      <c r="C22" s="11"/>
      <c r="D22" s="11"/>
      <c r="E22" s="11"/>
      <c r="F22" s="5"/>
    </row>
    <row r="23" spans="1:6" x14ac:dyDescent="0.25">
      <c r="A23" t="str">
        <f>IF(Input!A24="","",Input!A24)</f>
        <v/>
      </c>
      <c r="B23" s="1"/>
      <c r="C23" s="11"/>
      <c r="D23" s="11"/>
      <c r="E23" s="11"/>
      <c r="F23" s="5"/>
    </row>
    <row r="24" spans="1:6" x14ac:dyDescent="0.25">
      <c r="A24" t="str">
        <f>IF(Input!A25="","",Input!A25)</f>
        <v/>
      </c>
      <c r="B24" s="1"/>
      <c r="C24" s="11"/>
      <c r="D24" s="11"/>
      <c r="E24" s="11"/>
      <c r="F24" s="5"/>
    </row>
    <row r="25" spans="1:6" x14ac:dyDescent="0.25">
      <c r="A25" t="str">
        <f>IF(Input!A26="","",Input!A26)</f>
        <v/>
      </c>
      <c r="B25" s="7"/>
      <c r="C25" s="11"/>
      <c r="D25" s="11"/>
      <c r="E25" s="11"/>
    </row>
    <row r="26" spans="1:6" x14ac:dyDescent="0.25">
      <c r="A26" t="str">
        <f>IF(Input!A27="","",Input!A27)</f>
        <v/>
      </c>
      <c r="B26" s="7"/>
    </row>
    <row r="27" spans="1:6" x14ac:dyDescent="0.25">
      <c r="A27" t="str">
        <f>IF(Input!A28="","",Input!A28)</f>
        <v/>
      </c>
      <c r="B27" s="7"/>
    </row>
    <row r="28" spans="1:6" x14ac:dyDescent="0.25">
      <c r="A28" t="str">
        <f>IF(Input!A29="","",Input!A29)</f>
        <v/>
      </c>
      <c r="B28" s="7"/>
    </row>
    <row r="29" spans="1:6" x14ac:dyDescent="0.25">
      <c r="A29" t="str">
        <f>IF(Input!A30="","",Input!A30)</f>
        <v/>
      </c>
      <c r="B29" s="7"/>
    </row>
    <row r="30" spans="1:6" x14ac:dyDescent="0.25">
      <c r="A30" t="str">
        <f>IF(Input!A31="","",Input!A31)</f>
        <v/>
      </c>
      <c r="B30" s="7"/>
    </row>
    <row r="31" spans="1:6" x14ac:dyDescent="0.25">
      <c r="A31" t="str">
        <f>IF(Input!A32="","",Input!A32)</f>
        <v/>
      </c>
      <c r="B31" s="7"/>
    </row>
    <row r="32" spans="1:6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M20" sqref="M20"/>
    </sheetView>
  </sheetViews>
  <sheetFormatPr defaultRowHeight="15" x14ac:dyDescent="0.25"/>
  <cols>
    <col min="1" max="1" width="30.42578125" bestFit="1" customWidth="1"/>
    <col min="2" max="2" width="15.7109375" style="10" bestFit="1" customWidth="1"/>
    <col min="3" max="3" width="11.28515625" style="10" bestFit="1" customWidth="1"/>
    <col min="4" max="4" width="23.5703125" style="10" bestFit="1" customWidth="1"/>
    <col min="5" max="5" width="14" style="10" bestFit="1" customWidth="1"/>
    <col min="6" max="6" width="14.42578125" style="10" bestFit="1" customWidth="1"/>
    <col min="7" max="7" width="14" style="10" bestFit="1" customWidth="1"/>
    <col min="8" max="8" width="7.28515625" style="10" bestFit="1" customWidth="1"/>
    <col min="9" max="9" width="6" style="10" bestFit="1" customWidth="1"/>
    <col min="10" max="10" width="10.5703125" style="10" bestFit="1" customWidth="1"/>
    <col min="11" max="11" width="6.7109375" style="10" bestFit="1" customWidth="1"/>
    <col min="12" max="12" width="8.7109375" bestFit="1" customWidth="1"/>
    <col min="13" max="13" width="11.85546875" bestFit="1" customWidth="1"/>
    <col min="14" max="14" width="6.140625" bestFit="1" customWidth="1"/>
    <col min="15" max="15" width="7.140625" bestFit="1" customWidth="1"/>
    <col min="16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42</v>
      </c>
      <c r="C1" s="10" t="s">
        <v>43</v>
      </c>
      <c r="D1" s="10" t="s">
        <v>44</v>
      </c>
      <c r="E1" s="10" t="s">
        <v>45</v>
      </c>
      <c r="F1" s="10" t="s">
        <v>46</v>
      </c>
      <c r="G1" s="10" t="s">
        <v>47</v>
      </c>
      <c r="H1" s="10" t="s">
        <v>48</v>
      </c>
      <c r="I1" s="10" t="s">
        <v>5</v>
      </c>
      <c r="J1" s="10" t="s">
        <v>49</v>
      </c>
      <c r="K1" s="10" t="s">
        <v>50</v>
      </c>
      <c r="L1" t="s">
        <v>33</v>
      </c>
      <c r="M1" t="s">
        <v>51</v>
      </c>
      <c r="N1" t="s">
        <v>4</v>
      </c>
    </row>
    <row r="2" spans="1:30" x14ac:dyDescent="0.25">
      <c r="A2" t="str">
        <f>IF(Input!A3="","",Input!A3)</f>
        <v>CSI Growth Portfolio</v>
      </c>
      <c r="B2" s="10">
        <v>4.0000000000000001E-3</v>
      </c>
      <c r="C2" s="10">
        <v>4.2999999999999997E-2</v>
      </c>
      <c r="D2" s="11"/>
      <c r="E2" s="10">
        <v>0.215</v>
      </c>
      <c r="F2" s="10">
        <v>2.5000000000000001E-2</v>
      </c>
      <c r="G2" s="10">
        <v>0.318</v>
      </c>
      <c r="H2" s="10">
        <v>7.400000000000001E-2</v>
      </c>
      <c r="I2" s="10">
        <v>5.7000000000000002E-2</v>
      </c>
      <c r="J2" s="10">
        <v>9.1999999999999998E-2</v>
      </c>
      <c r="K2" s="10">
        <v>1.4999999999999999E-2</v>
      </c>
      <c r="L2" s="5">
        <v>2.7999999999999997E-2</v>
      </c>
      <c r="M2" s="5">
        <v>9.8000000000000004E-2</v>
      </c>
      <c r="N2" s="5">
        <v>0.03</v>
      </c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CSI Income Portfolio</v>
      </c>
      <c r="B3" s="10">
        <v>4.2000000000000003E-2</v>
      </c>
      <c r="C3" s="10">
        <v>0.16500000000000001</v>
      </c>
      <c r="D3" s="10">
        <v>2.6000000000000002E-2</v>
      </c>
      <c r="E3" s="10">
        <v>0.22</v>
      </c>
      <c r="F3" s="10">
        <v>2.4E-2</v>
      </c>
      <c r="G3" s="10">
        <v>0.151</v>
      </c>
      <c r="H3" s="10">
        <v>4.4000000000000004E-2</v>
      </c>
      <c r="I3" s="10">
        <v>3.7999999999999999E-2</v>
      </c>
      <c r="J3" s="10">
        <v>0.04</v>
      </c>
      <c r="K3" s="11"/>
      <c r="L3" s="5">
        <v>3.1E-2</v>
      </c>
      <c r="M3" s="5">
        <v>0.16200000000000001</v>
      </c>
      <c r="N3" s="5">
        <v>5.9000000000000004E-2</v>
      </c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CSI Income and Growth Portfolio</v>
      </c>
      <c r="B4" s="10">
        <v>3.3000000000000002E-2</v>
      </c>
      <c r="C4" s="10">
        <v>0.113</v>
      </c>
      <c r="D4" s="10">
        <v>2.4E-2</v>
      </c>
      <c r="E4" s="10">
        <v>0.19699999999999998</v>
      </c>
      <c r="F4" s="10">
        <v>2.2000000000000002E-2</v>
      </c>
      <c r="G4" s="10">
        <v>0.23600000000000002</v>
      </c>
      <c r="H4" s="10">
        <v>0.06</v>
      </c>
      <c r="I4" s="10">
        <v>4.5999999999999999E-2</v>
      </c>
      <c r="J4" s="10">
        <v>5.0999999999999997E-2</v>
      </c>
      <c r="K4" s="10">
        <v>0.01</v>
      </c>
      <c r="L4" s="5">
        <v>2.7000000000000003E-2</v>
      </c>
      <c r="M4" s="5">
        <v>0.12</v>
      </c>
      <c r="N4" s="5">
        <v>6.0999999999999999E-2</v>
      </c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/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/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/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C2" sqref="C2"/>
    </sheetView>
  </sheetViews>
  <sheetFormatPr defaultRowHeight="15" x14ac:dyDescent="0.25"/>
  <cols>
    <col min="1" max="1" width="19.5703125" bestFit="1" customWidth="1"/>
    <col min="2" max="2" width="70.85546875" bestFit="1" customWidth="1"/>
    <col min="3" max="3" width="48.42578125" bestFit="1" customWidth="1"/>
    <col min="4" max="4" width="111.710937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CSI Growth Portfolio</v>
      </c>
      <c r="B2" t="s">
        <v>37</v>
      </c>
      <c r="C2" t="s">
        <v>56</v>
      </c>
      <c r="D2" s="8" t="s">
        <v>57</v>
      </c>
    </row>
    <row r="3" spans="1:5" x14ac:dyDescent="0.25">
      <c r="A3" t="str">
        <f>IF(Input!A4="","",Input!A4)</f>
        <v>CSI Income Portfolio</v>
      </c>
      <c r="B3" t="s">
        <v>37</v>
      </c>
      <c r="C3" t="s">
        <v>38</v>
      </c>
      <c r="D3" s="8" t="s">
        <v>54</v>
      </c>
    </row>
    <row r="4" spans="1:5" x14ac:dyDescent="0.25">
      <c r="A4" t="str">
        <f>IF(Input!A5="","",Input!A5)</f>
        <v>CSI Income and Growth Portfolio</v>
      </c>
      <c r="B4" t="s">
        <v>37</v>
      </c>
      <c r="C4" t="s">
        <v>55</v>
      </c>
      <c r="D4" s="8" t="s">
        <v>58</v>
      </c>
    </row>
    <row r="5" spans="1:5" x14ac:dyDescent="0.25">
      <c r="A5" t="str">
        <f>IF(Input!A6="","",Input!A6)</f>
        <v/>
      </c>
    </row>
    <row r="6" spans="1:5" x14ac:dyDescent="0.25">
      <c r="A6" t="str">
        <f>IF(Input!A7="","",Input!A7)</f>
        <v/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A2" sqref="A2:A50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CSI Growth Portfolio</v>
      </c>
      <c r="B2" s="1">
        <f>IF(A2="","",EOMONTH(DATE(YEAR(IF(A2="","",'Additional Information'!B2)),MONTH(IF(A2="","",'Additional Information'!B2)),DAY(IF(A2="","",'Additional Information'!B2))),0))</f>
        <v>45107</v>
      </c>
    </row>
    <row r="3" spans="1:2" x14ac:dyDescent="0.25">
      <c r="A3" t="str">
        <f>IF(Input!A4="","",Input!A4)</f>
        <v>CSI Income Portfolio</v>
      </c>
      <c r="B3" s="1">
        <f>IF(A3="","",EOMONTH(DATE(YEAR(IF(A3="","",'Additional Information'!B3)),MONTH(IF(A3="","",'Additional Information'!B3)),DAY(IF(A3="","",'Additional Information'!B3))),0))</f>
        <v>45107</v>
      </c>
    </row>
    <row r="4" spans="1:2" x14ac:dyDescent="0.25">
      <c r="A4" t="str">
        <f>IF(Input!A5="","",Input!A5)</f>
        <v>CSI Income and Growth Portfolio</v>
      </c>
      <c r="B4" s="1">
        <f>IF(A4="","",EOMONTH(DATE(YEAR(IF(A4="","",'Additional Information'!B4)),MONTH(IF(A4="","",'Additional Information'!B4)),DAY(IF(A4="","",'Additional Information'!B4))),0))</f>
        <v>45107</v>
      </c>
    </row>
    <row r="5" spans="1:2" x14ac:dyDescent="0.25">
      <c r="A5" t="str">
        <f>IF(Input!A6="","",Input!A6)</f>
        <v/>
      </c>
      <c r="B5" s="1" t="str">
        <f>IF(A5="","",EOMONTH(DATE(YEAR(IF(A5="","",'Additional Information'!B5)),MONTH(IF(A5="","",'Additional Information'!B5)),DAY(IF(A5="","",'Additional Information'!B5))),0))</f>
        <v/>
      </c>
    </row>
    <row r="6" spans="1:2" x14ac:dyDescent="0.25">
      <c r="A6" t="str">
        <f>IF(Input!A7="","",Input!A7)</f>
        <v/>
      </c>
      <c r="B6" s="1" t="str">
        <f>IF(A6="","",EOMONTH(DATE(YEAR(IF(A6="","",'Additional Information'!B6)),MONTH(IF(A6="","",'Additional Information'!B6)),DAY(IF(A6="","",'Additional Information'!B6))),0))</f>
        <v/>
      </c>
    </row>
    <row r="7" spans="1:2" x14ac:dyDescent="0.2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A2" sqref="A2:A50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30</v>
      </c>
    </row>
    <row r="2" spans="1:5" x14ac:dyDescent="0.25">
      <c r="A2" t="str">
        <f>IF(Input!A3="","",Input!A3)</f>
        <v>CSI Growth Portfolio</v>
      </c>
      <c r="C2">
        <f>IF(A2="","",'Additional Information'!E2)</f>
        <v>0.14000000000000001</v>
      </c>
      <c r="D2" s="5">
        <f>IF(A2="","",SUM('Additional Information'!C2,'Additional Information'!D2))</f>
        <v>7.1900000000000006E-2</v>
      </c>
      <c r="E2">
        <f>IF(A2="","",SUM('Additional Information'!C2))</f>
        <v>6.8999999999999999E-3</v>
      </c>
    </row>
    <row r="3" spans="1:5" x14ac:dyDescent="0.25">
      <c r="A3" t="str">
        <f>IF(Input!A4="","",Input!A4)</f>
        <v>CSI Income Portfolio</v>
      </c>
      <c r="C3">
        <f>IF(A3="","",'Additional Information'!E3)</f>
        <v>0.08</v>
      </c>
      <c r="D3" s="5">
        <f>IF(A3="","",SUM('Additional Information'!C3,'Additional Information'!D3))</f>
        <v>2.5700000000000001E-2</v>
      </c>
      <c r="E3">
        <f>IF(A3="","",SUM('Additional Information'!C3))</f>
        <v>1.2699999999999999E-2</v>
      </c>
    </row>
    <row r="4" spans="1:5" x14ac:dyDescent="0.25">
      <c r="A4" t="str">
        <f>IF(Input!A5="","",Input!A5)</f>
        <v>CSI Income and Growth Portfolio</v>
      </c>
      <c r="C4">
        <f>IF(A4="","",'Additional Information'!E4)</f>
        <v>0.10400000000000001</v>
      </c>
      <c r="D4" s="5">
        <f>IF(A4="","",SUM('Additional Information'!C4,'Additional Information'!D4))</f>
        <v>4.7E-2</v>
      </c>
      <c r="E4">
        <f>IF(A4="","",SUM('Additional Information'!C4))</f>
        <v>6.9999999999999993E-3</v>
      </c>
    </row>
    <row r="5" spans="1:5" x14ac:dyDescent="0.25">
      <c r="A5" t="str">
        <f>IF(Input!A6="","",Input!A6)</f>
        <v/>
      </c>
      <c r="C5" t="str">
        <f>IF(A5="","",'Additional Information'!E5)</f>
        <v/>
      </c>
      <c r="D5" s="5" t="str">
        <f>IF(A5="","",SUM('Additional Information'!C5,'Additional Information'!D5))</f>
        <v/>
      </c>
      <c r="E5" t="str">
        <f>IF(A5="","",SUM('Additional Information'!C5))</f>
        <v/>
      </c>
    </row>
    <row r="6" spans="1:5" x14ac:dyDescent="0.25">
      <c r="A6" t="str">
        <f>IF(Input!A7="","",Input!A7)</f>
        <v/>
      </c>
      <c r="C6" t="str">
        <f>IF(A6="","",'Additional Information'!E6)</f>
        <v/>
      </c>
      <c r="D6" s="5" t="str">
        <f>IF(A6="","",SUM('Additional Information'!C6,'Additional Information'!D6))</f>
        <v/>
      </c>
      <c r="E6" t="str">
        <f>IF(A6="","",SUM('Additional Information'!C6))</f>
        <v/>
      </c>
    </row>
    <row r="7" spans="1:5" x14ac:dyDescent="0.25">
      <c r="A7" t="str">
        <f>IF(Input!A8="","",Input!A8)</f>
        <v/>
      </c>
      <c r="C7" t="str">
        <f>IF(A7="","",'Additional Information'!E7)</f>
        <v/>
      </c>
      <c r="D7" s="5" t="str">
        <f>IF(A7="","",SUM('Additional Information'!C7,'Additional Information'!D7))</f>
        <v/>
      </c>
      <c r="E7" t="str">
        <f>IF(A7="","",SUM('Additional Information'!C7))</f>
        <v/>
      </c>
    </row>
    <row r="8" spans="1:5" x14ac:dyDescent="0.25">
      <c r="A8" t="str">
        <f>IF(Input!A9="","",Input!A9)</f>
        <v/>
      </c>
      <c r="C8" t="str">
        <f>IF(A8="","",'Additional Information'!E8)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</row>
    <row r="9" spans="1:5" x14ac:dyDescent="0.25">
      <c r="A9" t="str">
        <f>IF(Input!A10="","",Input!A10)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</row>
    <row r="10" spans="1:5" x14ac:dyDescent="0.25">
      <c r="A10" t="str">
        <f>IF(Input!A11="","",Input!A11)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</row>
    <row r="11" spans="1:5" x14ac:dyDescent="0.25">
      <c r="A11" t="str">
        <f>IF(Input!A12="","",Input!A12)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</row>
    <row r="12" spans="1:5" x14ac:dyDescent="0.25">
      <c r="A12" t="str">
        <f>IF(Input!A13="","",Input!A13)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</row>
    <row r="13" spans="1:5" x14ac:dyDescent="0.25">
      <c r="A13" t="str">
        <f>IF(Input!A14="","",Input!A14)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</row>
    <row r="14" spans="1:5" x14ac:dyDescent="0.25">
      <c r="A14" t="str">
        <f>IF(Input!A15="","",Input!A15)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</row>
    <row r="15" spans="1:5" x14ac:dyDescent="0.25">
      <c r="A15" t="str">
        <f>IF(Input!A16="","",Input!A16)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</row>
    <row r="16" spans="1:5" x14ac:dyDescent="0.25">
      <c r="A16" t="str">
        <f>IF(Input!A17="","",Input!A17)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</row>
    <row r="17" spans="1:5" x14ac:dyDescent="0.25">
      <c r="A17" t="str">
        <f>IF(Input!A18="","",Input!A18)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</row>
    <row r="18" spans="1:5" x14ac:dyDescent="0.25">
      <c r="A18" t="str">
        <f>IF(Input!A19="","",Input!A19)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</row>
    <row r="19" spans="1:5" x14ac:dyDescent="0.25">
      <c r="A19" t="str">
        <f>IF(Input!A20="","",Input!A20)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</row>
    <row r="20" spans="1:5" x14ac:dyDescent="0.2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2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2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2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2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2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2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2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2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2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2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2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2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2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A2" sqref="A2:A50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CSI Growth Portfolio</v>
      </c>
      <c r="B2">
        <f>IF(A2="","",SUM('Asset Allocation'!F2,'Asset Allocation'!G2,'Asset Allocation'!H2,'Asset Allocation'!I2,'Asset Allocation'!J2,'Asset Allocation'!K2))</f>
        <v>0.58100000000000007</v>
      </c>
      <c r="C2">
        <f>IF(A2="","",SUM('Asset Allocation'!C2))</f>
        <v>4.2999999999999997E-2</v>
      </c>
      <c r="D2">
        <f>IF(A2="","",SUM('Asset Allocation'!D2))</f>
        <v>0</v>
      </c>
      <c r="F2">
        <f>IF(A2="","",SUM('Asset Allocation'!E2))</f>
        <v>0.215</v>
      </c>
      <c r="G2">
        <f>IF(A2="","",SUM('Asset Allocation'!B2))</f>
        <v>4.0000000000000001E-3</v>
      </c>
      <c r="H2">
        <f t="shared" ref="H2:H50" si="0">IF(A2="","",1-SUM(B2:G2))</f>
        <v>0.15699999999999992</v>
      </c>
    </row>
    <row r="3" spans="1:8" x14ac:dyDescent="0.25">
      <c r="A3" t="str">
        <f>IF(Input!A4="","",Input!A4)</f>
        <v>CSI Income Portfolio</v>
      </c>
      <c r="B3">
        <f>IF(A3="","",SUM('Asset Allocation'!F3,'Asset Allocation'!G3,'Asset Allocation'!H3,'Asset Allocation'!I3,'Asset Allocation'!J3,'Asset Allocation'!K3))</f>
        <v>0.29699999999999999</v>
      </c>
      <c r="C3">
        <f>IF(A3="","",SUM('Asset Allocation'!C3))</f>
        <v>0.16500000000000001</v>
      </c>
      <c r="D3">
        <f>IF(A3="","",SUM('Asset Allocation'!D3))</f>
        <v>2.6000000000000002E-2</v>
      </c>
      <c r="F3">
        <f>IF(A3="","",SUM('Asset Allocation'!E3))</f>
        <v>0.22</v>
      </c>
      <c r="G3">
        <f>IF(A3="","",SUM('Asset Allocation'!B3))</f>
        <v>4.2000000000000003E-2</v>
      </c>
      <c r="H3">
        <f t="shared" si="0"/>
        <v>0.25</v>
      </c>
    </row>
    <row r="4" spans="1:8" x14ac:dyDescent="0.25">
      <c r="A4" t="str">
        <f>IF(Input!A5="","",Input!A5)</f>
        <v>CSI Income and Growth Portfolio</v>
      </c>
      <c r="B4">
        <f>IF(A4="","",SUM('Asset Allocation'!F4,'Asset Allocation'!G4,'Asset Allocation'!H4,'Asset Allocation'!I4,'Asset Allocation'!J4,'Asset Allocation'!K4))</f>
        <v>0.42499999999999999</v>
      </c>
      <c r="C4">
        <f>IF(A4="","",SUM('Asset Allocation'!C4))</f>
        <v>0.113</v>
      </c>
      <c r="D4">
        <f>IF(A4="","",SUM('Asset Allocation'!D4))</f>
        <v>2.4E-2</v>
      </c>
      <c r="F4">
        <f>IF(A4="","",SUM('Asset Allocation'!E4))</f>
        <v>0.19699999999999998</v>
      </c>
      <c r="G4">
        <f>IF(A4="","",SUM('Asset Allocation'!B4))</f>
        <v>3.3000000000000002E-2</v>
      </c>
      <c r="H4">
        <f t="shared" si="0"/>
        <v>0.20799999999999996</v>
      </c>
    </row>
    <row r="5" spans="1:8" x14ac:dyDescent="0.25">
      <c r="A5" t="str">
        <f>IF(Input!A6="","",Input!A6)</f>
        <v/>
      </c>
      <c r="B5" t="str">
        <f>IF(A5="","",SUM('Asset Allocation'!F5,'Asset Allocation'!G5,'Asset Allocation'!H5,'Asset Allocation'!I5,'Asset Allocation'!J5,'Asset Allocation'!K5))</f>
        <v/>
      </c>
      <c r="C5" t="str">
        <f>IF(A5="","",SUM('Asset Allocation'!C5))</f>
        <v/>
      </c>
      <c r="D5" t="str">
        <f>IF(A5="","",SUM('Asset Allocation'!D5))</f>
        <v/>
      </c>
      <c r="F5" t="str">
        <f>IF(A5="","",SUM('Asset Allocation'!E5))</f>
        <v/>
      </c>
      <c r="G5" t="str">
        <f>IF(A5="","",SUM('Asset Allocation'!B5))</f>
        <v/>
      </c>
      <c r="H5" t="str">
        <f t="shared" si="0"/>
        <v/>
      </c>
    </row>
    <row r="6" spans="1:8" x14ac:dyDescent="0.25">
      <c r="A6" t="str">
        <f>IF(Input!A7="","",Input!A7)</f>
        <v/>
      </c>
      <c r="B6" t="str">
        <f>IF(A6="","",SUM('Asset Allocation'!F6,'Asset Allocation'!G6,'Asset Allocation'!H6,'Asset Allocation'!I6,'Asset Allocation'!J6,'Asset Allocation'!K6))</f>
        <v/>
      </c>
      <c r="C6" t="str">
        <f>IF(A6="","",SUM('Asset Allocation'!C6))</f>
        <v/>
      </c>
      <c r="D6" t="str">
        <f>IF(A6="","",SUM('Asset Allocation'!D6))</f>
        <v/>
      </c>
      <c r="F6" t="str">
        <f>IF(A6="","",SUM('Asset Allocation'!E6))</f>
        <v/>
      </c>
      <c r="G6" t="str">
        <f>IF(A6="","",SUM('Asset Allocation'!B6))</f>
        <v/>
      </c>
      <c r="H6" t="str">
        <f t="shared" si="0"/>
        <v/>
      </c>
    </row>
    <row r="7" spans="1:8" x14ac:dyDescent="0.25">
      <c r="A7" t="str">
        <f>IF(Input!A8="","",Input!A8)</f>
        <v/>
      </c>
      <c r="B7" t="str">
        <f>IF(A7="","",SUM('Asset Allocation'!F7,'Asset Allocation'!G7,'Asset Allocation'!H7,'Asset Allocation'!I7,'Asset Allocation'!J7,'Asset Allocation'!K7))</f>
        <v/>
      </c>
      <c r="C7" t="str">
        <f>IF(A7="","",SUM('Asset Allocation'!C7))</f>
        <v/>
      </c>
      <c r="D7" t="str">
        <f>IF(A7="","",SUM('Asset Allocation'!D7))</f>
        <v/>
      </c>
      <c r="F7" t="str">
        <f>IF(A7="","",SUM('Asset Allocation'!E7))</f>
        <v/>
      </c>
      <c r="G7" t="str">
        <f>IF(A7="","",SUM('Asset Allocation'!B7))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CSI Growth Portfolio</v>
      </c>
      <c r="B2" s="6">
        <f>IFERROR(IF(A2="","",SUM('Asset Allocation'!G2)/'Broad Asset Allocation'!B2),0)</f>
        <v>0.54733218588640264</v>
      </c>
      <c r="C2" s="6">
        <f>IFERROR(IF(A2="","",SUM('Asset Allocation'!F2)/'Broad Asset Allocation'!B2),0)</f>
        <v>4.3029259896729774E-2</v>
      </c>
      <c r="D2" s="6">
        <f>IFERROR(IF(A2="","",SUM('Asset Allocation'!H2)/'Broad Asset Allocation'!B2),0)</f>
        <v>0.12736660929432014</v>
      </c>
      <c r="E2" s="6">
        <f>IFERROR(IF(A2="","",SUM('Asset Allocation'!I2)/'Broad Asset Allocation'!B2),0)</f>
        <v>9.8106712564543883E-2</v>
      </c>
      <c r="F2" s="6"/>
      <c r="G2" s="6">
        <f>IFERROR(IF(A2="","",SUM('Asset Allocation'!J2)/'Broad Asset Allocation'!B2),0)</f>
        <v>0.15834767641996556</v>
      </c>
      <c r="H2" s="6">
        <f>IFERROR(IF(A2="","",SUM('Asset Allocation'!K2)/'Broad Asset Allocation'!B2),0)</f>
        <v>2.5817555938037862E-2</v>
      </c>
    </row>
    <row r="3" spans="1:8" x14ac:dyDescent="0.25">
      <c r="A3" t="str">
        <f>IF(Input!A4="","",Input!A4)</f>
        <v>CSI Income Portfolio</v>
      </c>
      <c r="B3" s="6">
        <f>IFERROR(IF(A3="","",SUM('Asset Allocation'!G3)/'Broad Asset Allocation'!B3),0)</f>
        <v>0.50841750841750843</v>
      </c>
      <c r="C3" s="6">
        <f>IFERROR(IF(A3="","",SUM('Asset Allocation'!F3)/'Broad Asset Allocation'!B3),0)</f>
        <v>8.0808080808080815E-2</v>
      </c>
      <c r="D3" s="6">
        <f>IFERROR(IF(A3="","",SUM('Asset Allocation'!H3)/'Broad Asset Allocation'!B3),0)</f>
        <v>0.14814814814814817</v>
      </c>
      <c r="E3" s="6">
        <f>IFERROR(IF(A3="","",SUM('Asset Allocation'!I3)/'Broad Asset Allocation'!B3),0)</f>
        <v>0.12794612794612795</v>
      </c>
      <c r="F3" s="6"/>
      <c r="G3" s="6">
        <f>IFERROR(IF(A3="","",SUM('Asset Allocation'!J3)/'Broad Asset Allocation'!B3),0)</f>
        <v>0.13468013468013468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CSI Income and Growth Portfolio</v>
      </c>
      <c r="B4" s="6">
        <f>IFERROR(IF(A4="","",SUM('Asset Allocation'!G4)/'Broad Asset Allocation'!B4),0)</f>
        <v>0.55529411764705883</v>
      </c>
      <c r="C4" s="6">
        <f>IFERROR(IF(A4="","",SUM('Asset Allocation'!F4)/'Broad Asset Allocation'!B4),0)</f>
        <v>5.1764705882352949E-2</v>
      </c>
      <c r="D4" s="6">
        <f>IFERROR(IF(A4="","",SUM('Asset Allocation'!H4)/'Broad Asset Allocation'!B4),0)</f>
        <v>0.14117647058823529</v>
      </c>
      <c r="E4" s="6">
        <f>IFERROR(IF(A4="","",SUM('Asset Allocation'!I4)/'Broad Asset Allocation'!B4),0)</f>
        <v>0.10823529411764705</v>
      </c>
      <c r="F4" s="6"/>
      <c r="G4" s="6">
        <f>IFERROR(IF(A4="","",SUM('Asset Allocation'!J4)/'Broad Asset Allocation'!B4),0)</f>
        <v>0.12</v>
      </c>
      <c r="H4" s="6">
        <f>IFERROR(IF(A4="","",SUM('Asset Allocation'!K4)/'Broad Asset Allocation'!B4),0)</f>
        <v>2.3529411764705882E-2</v>
      </c>
    </row>
    <row r="5" spans="1:8" x14ac:dyDescent="0.25">
      <c r="A5" t="str">
        <f>IF(Input!A6="","",Input!A6)</f>
        <v/>
      </c>
      <c r="B5" s="6" t="str">
        <f>IFERROR(IF(A5="","",SUM('Asset Allocation'!G5)/'Broad Asset Allocation'!B5),0)</f>
        <v/>
      </c>
      <c r="C5" s="6" t="str">
        <f>IFERROR(IF(A5="","",SUM('Asset Allocation'!F5)/'Broad Asset Allocation'!B5),0)</f>
        <v/>
      </c>
      <c r="D5" s="6" t="str">
        <f>IFERROR(IF(A5="","",SUM('Asset Allocation'!H5)/'Broad Asset Allocation'!B5),0)</f>
        <v/>
      </c>
      <c r="E5" s="6" t="str">
        <f>IFERROR(IF(A5="","",SUM('Asset Allocation'!I5)/'Broad Asset Allocation'!B5),0)</f>
        <v/>
      </c>
      <c r="F5" s="6"/>
      <c r="G5" s="6" t="str">
        <f>IFERROR(IF(A5="","",SUM('Asset Allocation'!J5)/'Broad Asset Allocation'!B5),0)</f>
        <v/>
      </c>
      <c r="H5" s="6" t="str">
        <f>IFERROR(IF(A5="","",SUM('Asset Allocation'!K5)/'Broad Asset Allocation'!B5),0)</f>
        <v/>
      </c>
    </row>
    <row r="6" spans="1:8" x14ac:dyDescent="0.25">
      <c r="A6" t="str">
        <f>IF(Input!A7="","",Input!A7)</f>
        <v/>
      </c>
      <c r="B6" s="6" t="str">
        <f>IFERROR(IF(A6="","",SUM('Asset Allocation'!G6)/'Broad Asset Allocation'!B6),0)</f>
        <v/>
      </c>
      <c r="C6" s="6" t="str">
        <f>IFERROR(IF(A6="","",SUM('Asset Allocation'!F6)/'Broad Asset Allocation'!B6),0)</f>
        <v/>
      </c>
      <c r="D6" s="6" t="str">
        <f>IFERROR(IF(A6="","",SUM('Asset Allocation'!H6)/'Broad Asset Allocation'!B6),0)</f>
        <v/>
      </c>
      <c r="E6" s="6" t="str">
        <f>IFERROR(IF(A6="","",SUM('Asset Allocation'!I6)/'Broad Asset Allocation'!B6),0)</f>
        <v/>
      </c>
      <c r="F6" s="6"/>
      <c r="G6" s="6" t="str">
        <f>IFERROR(IF(A6="","",SUM('Asset Allocation'!J6)/'Broad Asset Allocation'!B6),0)</f>
        <v/>
      </c>
      <c r="H6" s="6" t="str">
        <f>IFERROR(IF(A6="","",SUM('Asset Allocation'!K6)/'Broad Asset Allocation'!B6),0)</f>
        <v/>
      </c>
    </row>
    <row r="7" spans="1:8" x14ac:dyDescent="0.25">
      <c r="A7" t="str">
        <f>IF(Input!A8="","",Input!A8)</f>
        <v/>
      </c>
      <c r="B7" s="6" t="str">
        <f>IFERROR(IF(A7="","",SUM('Asset Allocation'!G7)/'Broad Asset Allocation'!B7),0)</f>
        <v/>
      </c>
      <c r="C7" s="6" t="str">
        <f>IFERROR(IF(A7="","",SUM('Asset Allocation'!F7)/'Broad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Allocation'!I7)/'Broad Asset Allocation'!B7),0)</f>
        <v/>
      </c>
      <c r="F7" s="6"/>
      <c r="G7" s="6" t="str">
        <f>IFERROR(IF(A7="","",SUM('Asset Allocation'!J7)/'Broad Asset Allocation'!B7),0)</f>
        <v/>
      </c>
      <c r="H7" s="6" t="str">
        <f>IFERROR(IF(A7="","",SUM('Asset Allocation'!K7)/'Broad Asset Allocation'!B7),0)</f>
        <v/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25">
      <c r="A2" t="str">
        <f>IF(Input!A3="","",Input!A3)</f>
        <v>CSI Growth Portfolio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CSI Income Portfolio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CSI Income and Growth Portfolio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/>
      </c>
      <c r="H5" t="str">
        <f>IFERROR(IF(A5="","",SUM('Asset Allocation'!C5)/'Broad Asset Allocation'!C5),0)</f>
        <v/>
      </c>
    </row>
    <row r="6" spans="1:8" x14ac:dyDescent="0.25">
      <c r="A6" t="str">
        <f>IF(Input!A7="","",Input!A7)</f>
        <v/>
      </c>
      <c r="H6" t="str">
        <f>IFERROR(IF(A6="","",SUM('Asset Allocation'!C6)/'Broad Asset Allocation'!C6),0)</f>
        <v/>
      </c>
    </row>
    <row r="7" spans="1:8" x14ac:dyDescent="0.2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2023-10-14T22:04:46Z</dcterms:modified>
</cp:coreProperties>
</file>