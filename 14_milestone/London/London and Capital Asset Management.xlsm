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4_milestone\London\"/>
    </mc:Choice>
  </mc:AlternateContent>
  <bookViews>
    <workbookView xWindow="-105" yWindow="-105" windowWidth="19425" windowHeight="1102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3" l="1"/>
  <c r="S3" i="3"/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A17" i="34"/>
  <c r="A18" i="34"/>
  <c r="A19" i="34"/>
  <c r="A20" i="34"/>
  <c r="A21" i="34"/>
  <c r="A22" i="34"/>
  <c r="A23" i="34"/>
  <c r="A24" i="34"/>
  <c r="A25" i="34"/>
  <c r="A26" i="34"/>
  <c r="A27" i="34"/>
  <c r="A28" i="34"/>
  <c r="A29" i="34"/>
  <c r="A30" i="34"/>
  <c r="A31" i="34"/>
  <c r="A32" i="34"/>
  <c r="A33" i="34"/>
  <c r="A34" i="34"/>
  <c r="A35" i="34"/>
  <c r="A36" i="34"/>
  <c r="A37" i="34"/>
  <c r="A38" i="34"/>
  <c r="A39" i="34"/>
  <c r="A40" i="34"/>
  <c r="A41" i="34"/>
  <c r="A42" i="34"/>
  <c r="A43" i="34"/>
  <c r="A44" i="34"/>
  <c r="A45" i="34"/>
  <c r="A46" i="34"/>
  <c r="A47" i="34"/>
  <c r="A48" i="34"/>
  <c r="A49" i="34"/>
  <c r="A50" i="34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B4" i="1"/>
  <c r="A2" i="35"/>
  <c r="B3" i="1"/>
  <c r="B50" i="34" l="1"/>
  <c r="B49" i="34"/>
  <c r="B48" i="34"/>
  <c r="B47" i="34"/>
  <c r="B46" i="34"/>
  <c r="B45" i="34"/>
  <c r="B44" i="34"/>
  <c r="B43" i="34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9" i="34"/>
  <c r="B8" i="34"/>
  <c r="B7" i="34"/>
  <c r="B6" i="34"/>
  <c r="B5" i="34"/>
  <c r="B4" i="34"/>
  <c r="B3" i="34"/>
  <c r="A2" i="34"/>
  <c r="B2" i="34" s="1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A2" i="8"/>
  <c r="A2" i="7"/>
  <c r="A2" i="4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5" i="31"/>
  <c r="E4" i="31"/>
  <c r="E3" i="31"/>
  <c r="A2" i="31"/>
  <c r="E2" i="31" s="1"/>
  <c r="A2" i="3"/>
  <c r="A2" i="29"/>
  <c r="B1" i="37" l="1" a="1"/>
  <c r="B1" i="37" s="1"/>
  <c r="B29" i="7"/>
  <c r="C29" i="7"/>
  <c r="D29" i="7"/>
  <c r="H29" i="7"/>
  <c r="E29" i="7"/>
  <c r="G29" i="7"/>
  <c r="B37" i="7"/>
  <c r="C37" i="7"/>
  <c r="D37" i="7"/>
  <c r="E37" i="7"/>
  <c r="G37" i="7"/>
  <c r="H37" i="7"/>
  <c r="B45" i="7"/>
  <c r="C45" i="7"/>
  <c r="D45" i="7"/>
  <c r="H45" i="7"/>
  <c r="E45" i="7"/>
  <c r="G45" i="7"/>
  <c r="C30" i="7"/>
  <c r="D30" i="7"/>
  <c r="B30" i="7"/>
  <c r="E30" i="7"/>
  <c r="G30" i="7"/>
  <c r="H30" i="7"/>
  <c r="C38" i="7"/>
  <c r="D38" i="7"/>
  <c r="E38" i="7"/>
  <c r="G38" i="7"/>
  <c r="B38" i="7"/>
  <c r="H38" i="7"/>
  <c r="C46" i="7"/>
  <c r="D46" i="7"/>
  <c r="E46" i="7"/>
  <c r="G46" i="7"/>
  <c r="H46" i="7"/>
  <c r="B46" i="7"/>
  <c r="E31" i="7"/>
  <c r="G31" i="7"/>
  <c r="H31" i="7"/>
  <c r="C31" i="7"/>
  <c r="B31" i="7"/>
  <c r="D31" i="7"/>
  <c r="E39" i="7"/>
  <c r="G39" i="7"/>
  <c r="H39" i="7"/>
  <c r="C39" i="7"/>
  <c r="B39" i="7"/>
  <c r="D39" i="7"/>
  <c r="E47" i="7"/>
  <c r="G47" i="7"/>
  <c r="H47" i="7"/>
  <c r="D47" i="7"/>
  <c r="B47" i="7"/>
  <c r="C47" i="7"/>
  <c r="H32" i="7"/>
  <c r="B32" i="7"/>
  <c r="G32" i="7"/>
  <c r="C32" i="7"/>
  <c r="D32" i="7"/>
  <c r="E32" i="7"/>
  <c r="H48" i="7"/>
  <c r="B48" i="7"/>
  <c r="E48" i="7"/>
  <c r="C48" i="7"/>
  <c r="D48" i="7"/>
  <c r="G48" i="7"/>
  <c r="B33" i="7"/>
  <c r="C33" i="7"/>
  <c r="D33" i="7"/>
  <c r="H33" i="7"/>
  <c r="E33" i="7"/>
  <c r="G33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B26" i="7"/>
  <c r="C26" i="7"/>
  <c r="D26" i="7"/>
  <c r="E26" i="7"/>
  <c r="G26" i="7"/>
  <c r="H26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C27" i="7"/>
  <c r="E27" i="7"/>
  <c r="G27" i="7"/>
  <c r="H27" i="7"/>
  <c r="B27" i="7"/>
  <c r="D27" i="7"/>
  <c r="E35" i="7"/>
  <c r="G35" i="7"/>
  <c r="H35" i="7"/>
  <c r="D35" i="7"/>
  <c r="B35" i="7"/>
  <c r="C35" i="7"/>
  <c r="E43" i="7"/>
  <c r="G43" i="7"/>
  <c r="D43" i="7"/>
  <c r="H43" i="7"/>
  <c r="C43" i="7"/>
  <c r="B43" i="7"/>
  <c r="H28" i="7"/>
  <c r="G28" i="7"/>
  <c r="B28" i="7"/>
  <c r="C28" i="7"/>
  <c r="D28" i="7"/>
  <c r="E28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4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D27" i="4"/>
  <c r="F27" i="4"/>
  <c r="G27" i="4"/>
  <c r="B27" i="4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4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D28" i="4"/>
  <c r="B28" i="4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C31" i="4"/>
  <c r="G31" i="4"/>
  <c r="D31" i="4"/>
  <c r="B32" i="4"/>
  <c r="C32" i="4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4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C30" i="31"/>
  <c r="D30" i="31"/>
  <c r="D47" i="31"/>
  <c r="C47" i="31"/>
  <c r="C8" i="31"/>
  <c r="D8" i="31"/>
  <c r="C16" i="31"/>
  <c r="D16" i="31"/>
  <c r="C24" i="31"/>
  <c r="D24" i="31"/>
  <c r="C32" i="31"/>
  <c r="D32" i="31"/>
  <c r="C40" i="31"/>
  <c r="D40" i="31"/>
  <c r="D48" i="31"/>
  <c r="C48" i="31"/>
  <c r="C15" i="31"/>
  <c r="D15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D50" i="31"/>
  <c r="C50" i="31"/>
  <c r="C22" i="31"/>
  <c r="D22" i="31"/>
  <c r="C39" i="31"/>
  <c r="D39" i="31"/>
  <c r="C2" i="31"/>
  <c r="D2" i="31"/>
  <c r="D42" i="31"/>
  <c r="C42" i="31"/>
  <c r="C3" i="31"/>
  <c r="D3" i="31"/>
  <c r="C11" i="31"/>
  <c r="D11" i="31"/>
  <c r="C19" i="31"/>
  <c r="D19" i="31"/>
  <c r="C27" i="31"/>
  <c r="D27" i="31"/>
  <c r="D35" i="31"/>
  <c r="C35" i="31"/>
  <c r="C43" i="31"/>
  <c r="D43" i="31"/>
  <c r="C14" i="31"/>
  <c r="D14" i="31"/>
  <c r="C23" i="31"/>
  <c r="D23" i="31"/>
  <c r="C18" i="31"/>
  <c r="D18" i="31"/>
  <c r="C34" i="31"/>
  <c r="D34" i="31"/>
  <c r="C4" i="31"/>
  <c r="D4" i="31"/>
  <c r="C12" i="31"/>
  <c r="D12" i="31"/>
  <c r="C20" i="31"/>
  <c r="D20" i="31"/>
  <c r="C28" i="31"/>
  <c r="D28" i="31"/>
  <c r="C36" i="31"/>
  <c r="D36" i="31"/>
  <c r="D44" i="31"/>
  <c r="C44" i="31"/>
  <c r="D7" i="31"/>
  <c r="C7" i="31"/>
  <c r="D31" i="31"/>
  <c r="C31" i="31"/>
  <c r="D10" i="31"/>
  <c r="C10" i="31"/>
  <c r="D26" i="31"/>
  <c r="C26" i="31"/>
  <c r="C5" i="31"/>
  <c r="D5" i="31"/>
  <c r="C13" i="31"/>
  <c r="D13" i="31"/>
  <c r="C21" i="31"/>
  <c r="D21" i="31"/>
  <c r="C29" i="31"/>
  <c r="D29" i="31"/>
  <c r="C37" i="31"/>
  <c r="D37" i="31"/>
  <c r="C45" i="31"/>
  <c r="D45" i="31"/>
  <c r="C6" i="31"/>
  <c r="D6" i="31"/>
  <c r="C38" i="31"/>
  <c r="D38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<sst xmlns="http://schemas.openxmlformats.org/spreadsheetml/2006/main" count="65" uniqueCount="58">
  <si>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</si>
  <si>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</si>
  <si>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</si>
  <si>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</si>
  <si>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</si>
  <si>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</si>
  <si>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</si>
  <si>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</si>
  <si>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</si>
  <si>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</si>
  <si>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</si>
  <si>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</si>
  <si>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</si>
  <si>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</si>
  <si>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</si>
  <si>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</si>
  <si>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</si>
  <si>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</si>
  <si>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</si>
  <si>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</si>
  <si>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</si>
  <si>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</si>
  <si>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</si>
  <si>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</si>
  <si>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</si>
  <si>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</si>
  <si>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</si>
  <si>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</si>
  <si>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</si>
  <si>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</si>
  <si>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</si>
  <si>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</si>
  <si>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</si>
  <si>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1yr</t>
  </si>
  <si>
    <t>L&amp;C Global Balanced Fund</t>
  </si>
  <si>
    <t>L&amp;C Global Growth Fund</t>
  </si>
  <si>
    <t>AMC</t>
  </si>
  <si>
    <t>1 mth</t>
  </si>
  <si>
    <t>https://www.geminicapital.ie/uk/london-capital-uk/</t>
  </si>
  <si>
    <t>L&amp;C_Global Balanced Multi Asset</t>
  </si>
  <si>
    <t>L&amp;C_Global Growth Multi Asset</t>
  </si>
  <si>
    <t>Fact Sheets</t>
  </si>
  <si>
    <t>https://www.geminicapital.ie/wp-content/uploads/2023/06/LC_Global-Growth-Multi-Asset_2023.06.30.pdf</t>
  </si>
  <si>
    <t>https://www.geminicapital.ie/wp-content/uploads/2023/06/LC_Global-Balanced-Multi-Asset_2023.06.30.pdf</t>
  </si>
  <si>
    <t>Equities</t>
  </si>
  <si>
    <t>Fixed Income</t>
  </si>
  <si>
    <t>Diversifiers</t>
  </si>
  <si>
    <t>Global STAR Equities</t>
  </si>
  <si>
    <t>North American</t>
  </si>
  <si>
    <t>UK</t>
  </si>
  <si>
    <t>Equity Themes</t>
  </si>
  <si>
    <t>Government &amp; Supranational</t>
  </si>
  <si>
    <t>Corporate</t>
  </si>
  <si>
    <t>Financials</t>
  </si>
  <si>
    <t>Cash/derivatives</t>
  </si>
  <si>
    <t>Alternative Funds</t>
  </si>
  <si>
    <t>Gold</t>
  </si>
  <si>
    <t>Commodities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</si>
</sst>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00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64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139895</xdr:colOff>
      <xdr:row>8</xdr:row>
      <xdr:rowOff>12767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8413928-DDCB-D61C-2617-F677A19C8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4150"/>
          <a:ext cx="3797495" cy="130181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44450</xdr:rowOff>
    </xdr:from>
    <xdr:to>
      <xdr:col>6</xdr:col>
      <xdr:colOff>368039</xdr:colOff>
      <xdr:row>15</xdr:row>
      <xdr:rowOff>44450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7CC281-2433-5A57-9B71-6FCB29B90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17650"/>
          <a:ext cx="4025639" cy="128905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15</xdr:row>
      <xdr:rowOff>133351</xdr:rowOff>
    </xdr:from>
    <xdr:to>
      <xdr:col>6</xdr:col>
      <xdr:colOff>374651</xdr:colOff>
      <xdr:row>21</xdr:row>
      <xdr:rowOff>36513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473D7E-B4DA-465B-285A-069240E90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" y="2895601"/>
          <a:ext cx="4032250" cy="100806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10</xdr:col>
      <xdr:colOff>514470</xdr:colOff>
      <xdr:row>12</xdr:row>
      <xdr:rowOff>165213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58C8FB2-4525-4808-1747-202045258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2343270" cy="2190863"/>
        </a:xfrm>
        <a:prstGeom prst="rect">
          <a:avLst/>
        </a:prstGeom>
      </xdr:spPr>
    </xdr:pic>
    <xdr:clientData/>
  </xdr:twoCellAnchor>
  <xdr:twoCellAnchor editAs="oneCell">
    <xdr:from>
      <xdr:col>6</xdr:col>
      <xdr:colOff>558800</xdr:colOff>
      <xdr:row>13</xdr:row>
      <xdr:rowOff>50800</xdr:rowOff>
    </xdr:from>
    <xdr:to>
      <xdr:col>11</xdr:col>
      <xdr:colOff>12829</xdr:colOff>
      <xdr:row>23</xdr:row>
      <xdr:rowOff>152500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52DC0F7-17FF-48FF-50DE-9C9837409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16400" y="2444750"/>
          <a:ext cx="2502029" cy="19432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10</xdr:col>
      <xdr:colOff>482719</xdr:colOff>
      <xdr:row>35</xdr:row>
      <xdr:rowOff>38206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902E1E1-B593-8677-19CE-CEAB4EA2E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67200" y="4419600"/>
          <a:ext cx="2311519" cy="206385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</xdr:row>
      <xdr:rowOff>0</xdr:rowOff>
    </xdr:from>
    <xdr:to>
      <xdr:col>10</xdr:col>
      <xdr:colOff>438267</xdr:colOff>
      <xdr:row>41</xdr:row>
      <xdr:rowOff>101662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35A9DF7-38AC-369F-046B-CA61B2BB1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67200" y="6445250"/>
          <a:ext cx="2267067" cy="12065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topLeftCell="A7" workbookViewId="0"/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N3" s="9"/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4"/>
  <sheetViews>
    <sheetView workbookViewId="0">
      <selection activeCell="A4" sqref="A4"/>
    </sheetView>
  </sheetViews>
  <sheetFormatPr defaultRowHeight="15" x14ac:dyDescent="0.25"/>
  <cols>
    <col min="1" max="1" width="28.42578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45138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https://www.geminicapital.ie/wp-content/uploads/2023/06/LC_Global-Growth-Multi-Asset_2023.06.30.pdf</v>
      </c>
      <c r="J3" s="4"/>
    </row>
    <row r="4" spans="1:10" x14ac:dyDescent="0.25">
      <c r="A4" t="s">
        <v>34</v>
      </c>
      <c r="B4" t="str">
        <f>'PDF Scraping'!D3</f>
        <v>https://www.geminicapital.ie/wp-content/uploads/2023/06/LC_Global-Balanced-Multi-Asset_2023.06.30.pdf</v>
      </c>
      <c r="J4" s="4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H9" sqref="H9"/>
    </sheetView>
  </sheetViews>
  <sheetFormatPr defaultRowHeight="15" x14ac:dyDescent="0.25"/>
  <cols>
    <col min="1" max="1" width="26.140625" bestFit="1" customWidth="1"/>
    <col min="2" max="2" width="10.140625" bestFit="1" customWidth="1"/>
    <col min="3" max="4" width="6.140625" style="10" bestFit="1" customWidth="1"/>
    <col min="5" max="5" width="6" style="10" bestFit="1" customWidth="1"/>
    <col min="6" max="6" width="13.7109375" bestFit="1" customWidth="1"/>
  </cols>
  <sheetData>
    <row r="1" spans="1:6" x14ac:dyDescent="0.25">
      <c r="B1" t="s">
        <v>24</v>
      </c>
      <c r="C1" s="10" t="s">
        <v>36</v>
      </c>
      <c r="D1" s="10" t="s">
        <v>33</v>
      </c>
      <c r="E1" s="10" t="s">
        <v>37</v>
      </c>
    </row>
    <row r="2" spans="1:6" x14ac:dyDescent="0.25">
      <c r="A2" t="str">
        <f>IF(Input!A3="","",Input!A3)</f>
        <v>L&amp;C Global Growth Fund</v>
      </c>
      <c r="B2" s="1">
        <v>45107</v>
      </c>
      <c r="C2" s="10">
        <v>0.01</v>
      </c>
      <c r="D2" s="10">
        <v>8.8100000000000012E-2</v>
      </c>
      <c r="E2" s="10">
        <v>1.7500000000000002E-2</v>
      </c>
      <c r="F2" s="5"/>
    </row>
    <row r="3" spans="1:6" x14ac:dyDescent="0.25">
      <c r="A3" t="str">
        <f>IF(Input!A4="","",Input!A4)</f>
        <v>L&amp;C Global Balanced Fund</v>
      </c>
      <c r="B3" s="1">
        <v>45107</v>
      </c>
      <c r="C3" s="10">
        <v>0.01</v>
      </c>
      <c r="D3" s="10">
        <v>2.1600000000000001E-2</v>
      </c>
      <c r="E3" s="10">
        <v>2.0999999999999999E-3</v>
      </c>
      <c r="F3" s="5"/>
    </row>
    <row r="4" spans="1:6" x14ac:dyDescent="0.25">
      <c r="A4" t="str">
        <f>IF(Input!A5="","",Input!A5)</f>
        <v/>
      </c>
      <c r="B4" s="1"/>
      <c r="C4" s="11"/>
      <c r="D4" s="11"/>
      <c r="E4" s="11"/>
      <c r="F4" s="5"/>
    </row>
    <row r="5" spans="1:6" x14ac:dyDescent="0.25">
      <c r="A5" t="str">
        <f>IF(Input!A6="","",Input!A6)</f>
        <v/>
      </c>
      <c r="B5" s="1"/>
      <c r="C5" s="11"/>
      <c r="D5" s="11"/>
      <c r="E5" s="11"/>
      <c r="F5" s="5"/>
    </row>
    <row r="6" spans="1:6" x14ac:dyDescent="0.25">
      <c r="A6" t="str">
        <f>IF(Input!A7="","",Input!A7)</f>
        <v/>
      </c>
      <c r="B6" s="1"/>
      <c r="C6" s="11"/>
      <c r="D6" s="11"/>
      <c r="E6" s="11"/>
      <c r="F6" s="5"/>
    </row>
    <row r="7" spans="1:6" x14ac:dyDescent="0.25">
      <c r="A7" t="str">
        <f>IF(Input!A8="","",Input!A8)</f>
        <v/>
      </c>
      <c r="B7" s="1"/>
      <c r="C7" s="11"/>
      <c r="D7" s="11"/>
      <c r="E7" s="11"/>
      <c r="F7" s="5"/>
    </row>
    <row r="8" spans="1:6" x14ac:dyDescent="0.25">
      <c r="A8" t="str">
        <f>IF(Input!A9="","",Input!A9)</f>
        <v/>
      </c>
      <c r="B8" s="1"/>
      <c r="C8" s="11"/>
      <c r="D8" s="11"/>
      <c r="E8" s="11"/>
      <c r="F8" s="5"/>
    </row>
    <row r="9" spans="1:6" x14ac:dyDescent="0.25">
      <c r="A9" t="str">
        <f>IF(Input!A10="","",Input!A10)</f>
        <v/>
      </c>
      <c r="B9" s="1"/>
      <c r="C9" s="11"/>
      <c r="D9" s="11"/>
      <c r="E9" s="11"/>
      <c r="F9" s="5"/>
    </row>
    <row r="10" spans="1:6" x14ac:dyDescent="0.25">
      <c r="A10" t="str">
        <f>IF(Input!A11="","",Input!A11)</f>
        <v/>
      </c>
      <c r="B10" s="1"/>
      <c r="C10" s="11"/>
      <c r="D10" s="11"/>
      <c r="E10" s="11"/>
      <c r="F10" s="5"/>
    </row>
    <row r="11" spans="1:6" x14ac:dyDescent="0.25">
      <c r="A11" t="str">
        <f>IF(Input!A12="","",Input!A12)</f>
        <v/>
      </c>
      <c r="B11" s="1"/>
      <c r="C11" s="11"/>
      <c r="D11" s="11"/>
      <c r="E11" s="11"/>
      <c r="F11" s="5"/>
    </row>
    <row r="12" spans="1:6" x14ac:dyDescent="0.25">
      <c r="A12" t="str">
        <f>IF(Input!A13="","",Input!A13)</f>
        <v/>
      </c>
      <c r="B12" s="1"/>
      <c r="C12" s="11"/>
      <c r="D12" s="11"/>
      <c r="E12" s="11"/>
      <c r="F12" s="5"/>
    </row>
    <row r="13" spans="1:6" x14ac:dyDescent="0.25">
      <c r="A13" t="str">
        <f>IF(Input!A14="","",Input!A14)</f>
        <v/>
      </c>
      <c r="B13" s="1"/>
      <c r="C13" s="11"/>
      <c r="D13" s="11"/>
      <c r="E13" s="11"/>
      <c r="F13" s="5"/>
    </row>
    <row r="14" spans="1:6" x14ac:dyDescent="0.25">
      <c r="A14" t="str">
        <f>IF(Input!A15="","",Input!A15)</f>
        <v/>
      </c>
      <c r="B14" s="1"/>
      <c r="C14" s="11"/>
      <c r="D14" s="11"/>
      <c r="E14" s="11"/>
      <c r="F14" s="5"/>
    </row>
    <row r="15" spans="1:6" x14ac:dyDescent="0.25">
      <c r="A15" t="str">
        <f>IF(Input!A16="","",Input!A16)</f>
        <v/>
      </c>
      <c r="B15" s="1"/>
      <c r="C15" s="11"/>
      <c r="D15" s="11"/>
      <c r="E15" s="11"/>
      <c r="F15" s="5"/>
    </row>
    <row r="16" spans="1:6" x14ac:dyDescent="0.25">
      <c r="A16" t="str">
        <f>IF(Input!A17="","",Input!A17)</f>
        <v/>
      </c>
      <c r="B16" s="1"/>
      <c r="C16" s="11"/>
      <c r="D16" s="11"/>
      <c r="E16" s="11"/>
      <c r="F16" s="5"/>
    </row>
    <row r="17" spans="1:6" x14ac:dyDescent="0.25">
      <c r="A17" t="str">
        <f>IF(Input!A18="","",Input!A18)</f>
        <v/>
      </c>
      <c r="B17" s="1"/>
      <c r="C17" s="11"/>
      <c r="D17" s="11"/>
      <c r="E17" s="11"/>
      <c r="F17" s="5"/>
    </row>
    <row r="18" spans="1:6" x14ac:dyDescent="0.25">
      <c r="A18" t="str">
        <f>IF(Input!A19="","",Input!A19)</f>
        <v/>
      </c>
      <c r="B18" s="1"/>
      <c r="C18" s="11"/>
      <c r="D18" s="11"/>
      <c r="E18" s="11"/>
      <c r="F18" s="5"/>
    </row>
    <row r="19" spans="1:6" x14ac:dyDescent="0.25">
      <c r="A19" t="str">
        <f>IF(Input!A20="","",Input!A20)</f>
        <v/>
      </c>
      <c r="B19" s="1"/>
      <c r="C19" s="11"/>
      <c r="D19" s="11"/>
      <c r="E19" s="11"/>
      <c r="F19" s="5"/>
    </row>
    <row r="20" spans="1:6" x14ac:dyDescent="0.25">
      <c r="A20" t="str">
        <f>IF(Input!A21="","",Input!A21)</f>
        <v/>
      </c>
      <c r="B20" s="1"/>
      <c r="C20" s="11"/>
      <c r="D20" s="11"/>
      <c r="E20" s="11"/>
      <c r="F20" s="5"/>
    </row>
    <row r="21" spans="1:6" x14ac:dyDescent="0.25">
      <c r="A21" t="str">
        <f>IF(Input!A22="","",Input!A22)</f>
        <v/>
      </c>
      <c r="B21" s="1"/>
      <c r="C21" s="11"/>
      <c r="D21" s="11"/>
      <c r="E21" s="11"/>
      <c r="F21" s="5"/>
    </row>
    <row r="22" spans="1:6" x14ac:dyDescent="0.25">
      <c r="A22" t="str">
        <f>IF(Input!A23="","",Input!A23)</f>
        <v/>
      </c>
      <c r="B22" s="1"/>
      <c r="C22" s="11"/>
      <c r="D22" s="11"/>
      <c r="E22" s="11"/>
      <c r="F22" s="5"/>
    </row>
    <row r="23" spans="1:6" x14ac:dyDescent="0.25">
      <c r="A23" t="str">
        <f>IF(Input!A24="","",Input!A24)</f>
        <v/>
      </c>
      <c r="B23" s="1"/>
      <c r="C23" s="11"/>
      <c r="D23" s="11"/>
      <c r="E23" s="11"/>
      <c r="F23" s="5"/>
    </row>
    <row r="24" spans="1:6" x14ac:dyDescent="0.25">
      <c r="A24" t="str">
        <f>IF(Input!A25="","",Input!A25)</f>
        <v/>
      </c>
      <c r="B24" s="1"/>
      <c r="C24" s="11"/>
      <c r="D24" s="11"/>
      <c r="E24" s="11"/>
      <c r="F24" s="5"/>
    </row>
    <row r="25" spans="1:6" x14ac:dyDescent="0.25">
      <c r="A25" t="str">
        <f>IF(Input!A26="","",Input!A26)</f>
        <v/>
      </c>
      <c r="B25" s="7"/>
      <c r="C25" s="11"/>
      <c r="D25" s="11"/>
      <c r="E25" s="11"/>
    </row>
    <row r="26" spans="1:6" x14ac:dyDescent="0.25">
      <c r="A26" t="str">
        <f>IF(Input!A27="","",Input!A27)</f>
        <v/>
      </c>
      <c r="B26" s="7"/>
    </row>
    <row r="27" spans="1:6" x14ac:dyDescent="0.25">
      <c r="A27" t="str">
        <f>IF(Input!A28="","",Input!A28)</f>
        <v/>
      </c>
      <c r="B27" s="7"/>
    </row>
    <row r="28" spans="1:6" x14ac:dyDescent="0.25">
      <c r="A28" t="str">
        <f>IF(Input!A29="","",Input!A29)</f>
        <v/>
      </c>
      <c r="B28" s="7"/>
    </row>
    <row r="29" spans="1:6" x14ac:dyDescent="0.25">
      <c r="A29" t="str">
        <f>IF(Input!A30="","",Input!A30)</f>
        <v/>
      </c>
      <c r="B29" s="7"/>
    </row>
    <row r="30" spans="1:6" x14ac:dyDescent="0.25">
      <c r="A30" t="str">
        <f>IF(Input!A31="","",Input!A31)</f>
        <v/>
      </c>
      <c r="B30" s="7"/>
    </row>
    <row r="31" spans="1:6" x14ac:dyDescent="0.25">
      <c r="A31" t="str">
        <f>IF(Input!A32="","",Input!A32)</f>
        <v/>
      </c>
      <c r="B31" s="7"/>
    </row>
    <row r="32" spans="1:6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zoomScale="85" zoomScaleNormal="85" workbookViewId="0">
      <selection activeCell="O14" sqref="O14"/>
    </sheetView>
  </sheetViews>
  <sheetFormatPr defaultRowHeight="15" x14ac:dyDescent="0.25"/>
  <cols>
    <col min="1" max="1" width="24.28515625" bestFit="1" customWidth="1"/>
    <col min="2" max="2" width="8.140625" style="10" bestFit="1" customWidth="1"/>
    <col min="3" max="3" width="12.85546875" style="10" bestFit="1" customWidth="1"/>
    <col min="4" max="4" width="11.140625" style="10" bestFit="1" customWidth="1"/>
    <col min="5" max="5" width="19.42578125" style="10" bestFit="1" customWidth="1"/>
    <col min="6" max="6" width="15.140625" style="10" bestFit="1" customWidth="1"/>
    <col min="7" max="7" width="12.7109375" style="10" bestFit="1" customWidth="1"/>
    <col min="8" max="8" width="6.140625" style="10" bestFit="1" customWidth="1"/>
    <col min="9" max="9" width="14.140625" style="10" bestFit="1" customWidth="1"/>
    <col min="10" max="10" width="17" style="10" bestFit="1" customWidth="1"/>
    <col min="11" max="11" width="27.28515625" style="10" bestFit="1" customWidth="1"/>
    <col min="12" max="12" width="9.85546875" bestFit="1" customWidth="1"/>
    <col min="13" max="13" width="9.7109375" bestFit="1" customWidth="1"/>
    <col min="14" max="14" width="16" bestFit="1" customWidth="1"/>
    <col min="15" max="15" width="16.85546875" bestFit="1" customWidth="1"/>
    <col min="16" max="17" width="7.140625" bestFit="1" customWidth="1"/>
    <col min="18" max="18" width="12.8554687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10</v>
      </c>
      <c r="H1" s="10" t="s">
        <v>49</v>
      </c>
      <c r="I1" s="10" t="s">
        <v>50</v>
      </c>
      <c r="J1" s="10" t="s">
        <v>9</v>
      </c>
      <c r="K1" s="10" t="s">
        <v>51</v>
      </c>
      <c r="L1" t="s">
        <v>52</v>
      </c>
      <c r="M1" t="s">
        <v>53</v>
      </c>
      <c r="N1" t="s">
        <v>54</v>
      </c>
      <c r="O1" t="s">
        <v>55</v>
      </c>
      <c r="P1" t="s">
        <v>4</v>
      </c>
      <c r="Q1" t="s">
        <v>56</v>
      </c>
      <c r="R1" t="s">
        <v>57</v>
      </c>
    </row>
    <row r="2" spans="1:30" x14ac:dyDescent="0.25">
      <c r="A2" t="str">
        <f>IF(Input!A3="","",Input!A3)</f>
        <v>L&amp;C Global Growth Fund</v>
      </c>
      <c r="B2" s="10">
        <v>0.60499999999999998</v>
      </c>
      <c r="C2" s="10">
        <v>0.29899999999999999</v>
      </c>
      <c r="D2" s="10">
        <v>9.6000000000000002E-2</v>
      </c>
      <c r="E2" s="10">
        <v>0.59399999999999997</v>
      </c>
      <c r="F2" s="10">
        <v>0.34100000000000003</v>
      </c>
      <c r="G2" s="10">
        <v>0.21899999999999997</v>
      </c>
      <c r="H2" s="10">
        <v>3.4000000000000002E-2</v>
      </c>
      <c r="I2" s="10">
        <v>0.36499999999999999</v>
      </c>
      <c r="J2" s="10">
        <v>4.0999999999999995E-2</v>
      </c>
      <c r="K2" s="10">
        <v>8.900000000000001E-2</v>
      </c>
      <c r="L2" s="5">
        <v>0.33399999999999996</v>
      </c>
      <c r="M2" s="5">
        <v>0.57600000000000007</v>
      </c>
      <c r="N2" s="5">
        <v>1E-3</v>
      </c>
      <c r="O2" s="5">
        <v>0.48499999999999999</v>
      </c>
      <c r="P2" s="5">
        <v>0.40299999999999997</v>
      </c>
      <c r="Q2" s="5">
        <v>0.113</v>
      </c>
      <c r="R2" s="5">
        <v>0</v>
      </c>
      <c r="S2" s="5">
        <f>SUM(B2:R2)-F2-G2-H2</f>
        <v>4.0009999999999994</v>
      </c>
      <c r="T2" s="5"/>
      <c r="U2" s="5"/>
      <c r="V2" s="5"/>
    </row>
    <row r="3" spans="1:30" x14ac:dyDescent="0.25">
      <c r="A3" t="str">
        <f>IF(Input!A4="","",Input!A4)</f>
        <v>L&amp;C Global Balanced Fund</v>
      </c>
      <c r="B3" s="10">
        <v>0.26200000000000001</v>
      </c>
      <c r="C3" s="10">
        <v>0.59499999999999997</v>
      </c>
      <c r="D3" s="10">
        <v>0.14300000000000002</v>
      </c>
      <c r="E3" s="10">
        <v>0.77200000000000002</v>
      </c>
      <c r="F3" s="10">
        <v>0.442</v>
      </c>
      <c r="G3" s="10">
        <v>0.28199999999999997</v>
      </c>
      <c r="H3" s="10">
        <v>4.8000000000000001E-2</v>
      </c>
      <c r="I3" s="10">
        <v>0.22800000000000001</v>
      </c>
      <c r="J3" s="10">
        <v>0</v>
      </c>
      <c r="K3" s="10">
        <v>0.158</v>
      </c>
      <c r="L3" s="5">
        <v>0.45600000000000002</v>
      </c>
      <c r="M3" s="5">
        <v>0.38500000000000001</v>
      </c>
      <c r="N3" s="5">
        <v>1E-3</v>
      </c>
      <c r="O3" s="5">
        <v>0.48599999999999999</v>
      </c>
      <c r="P3" s="5">
        <v>0.35600000000000004</v>
      </c>
      <c r="Q3" s="5">
        <v>0</v>
      </c>
      <c r="R3" s="5">
        <v>0.158</v>
      </c>
      <c r="S3" s="5">
        <f>SUM(B3:R3)-F3-G3-H3</f>
        <v>4</v>
      </c>
      <c r="T3" s="5"/>
    </row>
    <row r="4" spans="1:30" x14ac:dyDescent="0.25">
      <c r="A4" t="str">
        <f>IF(Input!A5="","",Input!A5)</f>
        <v/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/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/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/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C1" workbookViewId="0">
      <selection activeCell="D3" sqref="D3"/>
    </sheetView>
  </sheetViews>
  <sheetFormatPr defaultRowHeight="15" x14ac:dyDescent="0.25"/>
  <cols>
    <col min="1" max="1" width="19.5703125" bestFit="1" customWidth="1"/>
    <col min="2" max="2" width="45" bestFit="1" customWidth="1"/>
    <col min="3" max="3" width="28.5703125" bestFit="1" customWidth="1"/>
    <col min="4" max="4" width="93.2851562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L&amp;C Global Growth Fund</v>
      </c>
      <c r="B2" t="s">
        <v>38</v>
      </c>
      <c r="C2" t="s">
        <v>40</v>
      </c>
      <c r="D2" s="8" t="s">
        <v>42</v>
      </c>
      <c r="E2" t="s">
        <v>41</v>
      </c>
    </row>
    <row r="3" spans="1:5" x14ac:dyDescent="0.25">
      <c r="A3" t="str">
        <f>IF(Input!A4="","",Input!A4)</f>
        <v>L&amp;C Global Balanced Fund</v>
      </c>
      <c r="B3" t="s">
        <v>38</v>
      </c>
      <c r="C3" t="s">
        <v>39</v>
      </c>
      <c r="D3" s="8" t="s">
        <v>43</v>
      </c>
      <c r="E3" t="s">
        <v>41</v>
      </c>
    </row>
    <row r="4" spans="1:5" x14ac:dyDescent="0.25">
      <c r="A4" t="str">
        <f>IF(Input!A5="","",Input!A5)</f>
        <v/>
      </c>
    </row>
    <row r="5" spans="1:5" x14ac:dyDescent="0.25">
      <c r="A5" t="str">
        <f>IF(Input!A6="","",Input!A6)</f>
        <v/>
      </c>
    </row>
    <row r="6" spans="1:5" x14ac:dyDescent="0.25">
      <c r="A6" t="str">
        <f>IF(Input!A7="","",Input!A7)</f>
        <v/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A2" sqref="A2:A50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L&amp;C Global Growth Fund</v>
      </c>
      <c r="B2" s="1">
        <f>IF(A2="","",EOMONTH(DATE(YEAR(IF(A2="","",'Additional Information'!B2)),MONTH(IF(A2="","",'Additional Information'!B2)),DAY(IF(A2="","",'Additional Information'!B2))),0))</f>
        <v>45107</v>
      </c>
    </row>
    <row r="3" spans="1:2" x14ac:dyDescent="0.25">
      <c r="A3" t="str">
        <f>IF(Input!A4="","",Input!A4)</f>
        <v>L&amp;C Global Balanced Fund</v>
      </c>
      <c r="B3" s="1">
        <f>IF(A3="","",EOMONTH(DATE(YEAR(IF(A3="","",'Additional Information'!B3)),MONTH(IF(A3="","",'Additional Information'!B3)),DAY(IF(A3="","",'Additional Information'!B3))),0))</f>
        <v>45107</v>
      </c>
    </row>
    <row r="4" spans="1:2" x14ac:dyDescent="0.25">
      <c r="A4" t="str">
        <f>IF(Input!A5="","",Input!A5)</f>
        <v/>
      </c>
      <c r="B4" s="1" t="str">
        <f>IF(A4="","",EOMONTH(DATE(YEAR(IF(A4="","",'Additional Information'!B4)),MONTH(IF(A4="","",'Additional Information'!B4)),DAY(IF(A4="","",'Additional Information'!B4))),0))</f>
        <v/>
      </c>
    </row>
    <row r="5" spans="1:2" x14ac:dyDescent="0.25">
      <c r="A5" t="str">
        <f>IF(Input!A6="","",Input!A6)</f>
        <v/>
      </c>
      <c r="B5" s="1" t="str">
        <f>IF(A5="","",EOMONTH(DATE(YEAR(IF(A5="","",'Additional Information'!B5)),MONTH(IF(A5="","",'Additional Information'!B5)),DAY(IF(A5="","",'Additional Information'!B5))),0))</f>
        <v/>
      </c>
    </row>
    <row r="6" spans="1:2" x14ac:dyDescent="0.25">
      <c r="A6" t="str">
        <f>IF(Input!A7="","",Input!A7)</f>
        <v/>
      </c>
      <c r="B6" s="1" t="str">
        <f>IF(A6="","",EOMONTH(DATE(YEAR(IF(A6="","",'Additional Information'!B6)),MONTH(IF(A6="","",'Additional Information'!B6)),DAY(IF(A6="","",'Additional Information'!B6))),0))</f>
        <v/>
      </c>
    </row>
    <row r="7" spans="1:2" x14ac:dyDescent="0.25">
      <c r="A7" t="str">
        <f>IF(Input!A8="","",Input!A8)</f>
        <v/>
      </c>
      <c r="B7" s="1" t="str">
        <f>IF(A7="","",EOMONTH(DATE(YEAR(IF(A7="","",'Additional Information'!B7)),MONTH(IF(A7="","",'Additional Information'!B7)),DAY(IF(A7="","",'Additional Information'!B7))),0))</f>
        <v/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A2" sqref="A2:A50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30</v>
      </c>
    </row>
    <row r="2" spans="1:5" x14ac:dyDescent="0.25">
      <c r="A2" t="str">
        <f>IF(Input!A3="","",Input!A3)</f>
        <v>L&amp;C Global Growth Fund</v>
      </c>
      <c r="C2">
        <f>IF(A2="","",'Additional Information'!E2)</f>
        <v>1.7500000000000002E-2</v>
      </c>
      <c r="D2" s="5">
        <f>IF(A2="","",SUM('Additional Information'!C2,'Additional Information'!D2))</f>
        <v>9.8100000000000007E-2</v>
      </c>
      <c r="E2">
        <f>IF(A2="","",SUM('Additional Information'!C2))</f>
        <v>0.01</v>
      </c>
    </row>
    <row r="3" spans="1:5" x14ac:dyDescent="0.25">
      <c r="A3" t="str">
        <f>IF(Input!A4="","",Input!A4)</f>
        <v>L&amp;C Global Balanced Fund</v>
      </c>
      <c r="C3">
        <f>IF(A3="","",'Additional Information'!E3)</f>
        <v>2.0999999999999999E-3</v>
      </c>
      <c r="D3" s="5">
        <f>IF(A3="","",SUM('Additional Information'!C3,'Additional Information'!D3))</f>
        <v>3.1600000000000003E-2</v>
      </c>
      <c r="E3">
        <f>IF(A3="","",SUM('Additional Information'!C3))</f>
        <v>0.01</v>
      </c>
    </row>
    <row r="4" spans="1:5" x14ac:dyDescent="0.25">
      <c r="A4" t="str">
        <f>IF(Input!A5="","",Input!A5)</f>
        <v/>
      </c>
      <c r="C4" t="str">
        <f>IF(A4="","",'Additional Information'!E4)</f>
        <v/>
      </c>
      <c r="D4" s="5" t="str">
        <f>IF(A4="","",SUM('Additional Information'!C4,'Additional Information'!D4))</f>
        <v/>
      </c>
      <c r="E4" t="str">
        <f>IF(A4="","",SUM('Additional Information'!C4))</f>
        <v/>
      </c>
    </row>
    <row r="5" spans="1:5" x14ac:dyDescent="0.25">
      <c r="A5" t="str">
        <f>IF(Input!A6="","",Input!A6)</f>
        <v/>
      </c>
      <c r="C5" t="str">
        <f>IF(A5="","",'Additional Information'!E5)</f>
        <v/>
      </c>
      <c r="D5" s="5" t="str">
        <f>IF(A5="","",SUM('Additional Information'!C5,'Additional Information'!D5))</f>
        <v/>
      </c>
      <c r="E5" t="str">
        <f>IF(A5="","",SUM('Additional Information'!C5))</f>
        <v/>
      </c>
    </row>
    <row r="6" spans="1:5" x14ac:dyDescent="0.25">
      <c r="A6" t="str">
        <f>IF(Input!A7="","",Input!A7)</f>
        <v/>
      </c>
      <c r="C6" t="str">
        <f>IF(A6="","",'Additional Information'!E6)</f>
        <v/>
      </c>
      <c r="D6" s="5" t="str">
        <f>IF(A6="","",SUM('Additional Information'!C6,'Additional Information'!D6))</f>
        <v/>
      </c>
      <c r="E6" t="str">
        <f>IF(A6="","",SUM('Additional Information'!C6))</f>
        <v/>
      </c>
    </row>
    <row r="7" spans="1:5" x14ac:dyDescent="0.25">
      <c r="A7" t="str">
        <f>IF(Input!A8="","",Input!A8)</f>
        <v/>
      </c>
      <c r="C7" t="str">
        <f>IF(A7="","",'Additional Information'!E7)</f>
        <v/>
      </c>
      <c r="D7" s="5" t="str">
        <f>IF(A7="","",SUM('Additional Information'!C7,'Additional Information'!D7))</f>
        <v/>
      </c>
      <c r="E7" t="str">
        <f>IF(A7="","",SUM('Additional Information'!C7))</f>
        <v/>
      </c>
    </row>
    <row r="8" spans="1:5" x14ac:dyDescent="0.25">
      <c r="A8" t="str">
        <f>IF(Input!A9="","",Input!A9)</f>
        <v/>
      </c>
      <c r="C8" t="str">
        <f>IF(A8="","",'Additional Information'!E8)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</row>
    <row r="9" spans="1:5" x14ac:dyDescent="0.25">
      <c r="A9" t="str">
        <f>IF(Input!A10="","",Input!A10)</f>
        <v/>
      </c>
      <c r="C9" t="str">
        <f>IF(A9="","",'Additional Information'!E9)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</row>
    <row r="10" spans="1:5" x14ac:dyDescent="0.25">
      <c r="A10" t="str">
        <f>IF(Input!A11="","",Input!A11)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</row>
    <row r="11" spans="1:5" x14ac:dyDescent="0.25">
      <c r="A11" t="str">
        <f>IF(Input!A12="","",Input!A12)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</row>
    <row r="12" spans="1:5" x14ac:dyDescent="0.25">
      <c r="A12" t="str">
        <f>IF(Input!A13="","",Input!A13)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</row>
    <row r="13" spans="1:5" x14ac:dyDescent="0.25">
      <c r="A13" t="str">
        <f>IF(Input!A14="","",Input!A14)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</row>
    <row r="14" spans="1:5" x14ac:dyDescent="0.25">
      <c r="A14" t="str">
        <f>IF(Input!A15="","",Input!A15)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</row>
    <row r="15" spans="1:5" x14ac:dyDescent="0.25">
      <c r="A15" t="str">
        <f>IF(Input!A16="","",Input!A16)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</row>
    <row r="16" spans="1:5" x14ac:dyDescent="0.25">
      <c r="A16" t="str">
        <f>IF(Input!A17="","",Input!A17)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</row>
    <row r="17" spans="1:5" x14ac:dyDescent="0.25">
      <c r="A17" t="str">
        <f>IF(Input!A18="","",Input!A18)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</row>
    <row r="18" spans="1:5" x14ac:dyDescent="0.25">
      <c r="A18" t="str">
        <f>IF(Input!A19="","",Input!A19)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</row>
    <row r="19" spans="1:5" x14ac:dyDescent="0.25">
      <c r="A19" t="str">
        <f>IF(Input!A20="","",Input!A20)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</row>
    <row r="20" spans="1:5" x14ac:dyDescent="0.25">
      <c r="A20" t="str">
        <f>IF(Input!A21="","",Input!A21)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</row>
    <row r="21" spans="1:5" x14ac:dyDescent="0.25">
      <c r="A21" t="str">
        <f>IF(Input!A22="","",Input!A22)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</row>
    <row r="22" spans="1:5" x14ac:dyDescent="0.25">
      <c r="A22" t="str">
        <f>IF(Input!A23="","",Input!A23)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</row>
    <row r="23" spans="1:5" x14ac:dyDescent="0.25">
      <c r="A23" t="str">
        <f>IF(Input!A24="","",Input!A24)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</row>
    <row r="24" spans="1:5" x14ac:dyDescent="0.25">
      <c r="A24" t="str">
        <f>IF(Input!A25="","",Input!A25)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</row>
    <row r="25" spans="1:5" x14ac:dyDescent="0.25">
      <c r="A25" t="str">
        <f>IF(Input!A26="","",Input!A26)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</row>
    <row r="26" spans="1:5" x14ac:dyDescent="0.2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</row>
    <row r="27" spans="1:5" x14ac:dyDescent="0.2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</row>
    <row r="28" spans="1:5" x14ac:dyDescent="0.2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</row>
    <row r="29" spans="1:5" x14ac:dyDescent="0.2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</row>
    <row r="30" spans="1:5" x14ac:dyDescent="0.2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</row>
    <row r="31" spans="1:5" x14ac:dyDescent="0.2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</row>
    <row r="32" spans="1:5" x14ac:dyDescent="0.2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</row>
    <row r="33" spans="1:5" x14ac:dyDescent="0.2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</row>
    <row r="34" spans="1:5" x14ac:dyDescent="0.2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A2" sqref="A2:A50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L&amp;C Global Growth Fund</v>
      </c>
      <c r="B2">
        <f>IF(A2="","",SUM('Asset Allocation'!F2,'Asset Allocation'!G2,'Asset Allocation'!H2,'Asset Allocation'!I2,'Asset Allocation'!J2,'Asset Allocation'!K2))</f>
        <v>1.089</v>
      </c>
      <c r="C2">
        <f>IF(A2="","",SUM('Asset Allocation'!C2))</f>
        <v>0.29899999999999999</v>
      </c>
      <c r="D2">
        <f>IF(A2="","",SUM('Asset Allocation'!D2))</f>
        <v>9.6000000000000002E-2</v>
      </c>
      <c r="F2">
        <f>IF(A2="","",SUM('Asset Allocation'!E2))</f>
        <v>0.59399999999999997</v>
      </c>
      <c r="G2">
        <f>IF(A2="","",SUM('Asset Allocation'!B2))</f>
        <v>0.60499999999999998</v>
      </c>
      <c r="H2">
        <f t="shared" ref="H2:H50" si="0">IF(A2="","",1-SUM(B2:G2))</f>
        <v>-1.6829999999999998</v>
      </c>
    </row>
    <row r="3" spans="1:8" x14ac:dyDescent="0.25">
      <c r="A3" t="str">
        <f>IF(Input!A4="","",Input!A4)</f>
        <v>L&amp;C Global Balanced Fund</v>
      </c>
      <c r="B3">
        <f>IF(A3="","",SUM('Asset Allocation'!F3,'Asset Allocation'!G3,'Asset Allocation'!H3,'Asset Allocation'!I3,'Asset Allocation'!J3,'Asset Allocation'!K3))</f>
        <v>1.1579999999999999</v>
      </c>
      <c r="C3">
        <f>IF(A3="","",SUM('Asset Allocation'!C3))</f>
        <v>0.59499999999999997</v>
      </c>
      <c r="D3">
        <f>IF(A3="","",SUM('Asset Allocation'!D3))</f>
        <v>0.14300000000000002</v>
      </c>
      <c r="F3">
        <f>IF(A3="","",SUM('Asset Allocation'!E3))</f>
        <v>0.77200000000000002</v>
      </c>
      <c r="G3">
        <f>IF(A3="","",SUM('Asset Allocation'!B3))</f>
        <v>0.26200000000000001</v>
      </c>
      <c r="H3">
        <f t="shared" si="0"/>
        <v>-1.9300000000000002</v>
      </c>
    </row>
    <row r="4" spans="1:8" x14ac:dyDescent="0.25">
      <c r="A4" t="str">
        <f>IF(Input!A5="","",Input!A5)</f>
        <v/>
      </c>
      <c r="B4" t="str">
        <f>IF(A4="","",SUM('Asset Allocation'!F4,'Asset Allocation'!G4,'Asset Allocation'!H4,'Asset Allocation'!I4,'Asset Allocation'!J4,'Asset Allocation'!K4))</f>
        <v/>
      </c>
      <c r="C4" t="str">
        <f>IF(A4="","",SUM('Asset Allocation'!C4))</f>
        <v/>
      </c>
      <c r="D4" t="str">
        <f>IF(A4="","",SUM('Asset Allocation'!D4))</f>
        <v/>
      </c>
      <c r="F4" t="str">
        <f>IF(A4="","",SUM('Asset Allocation'!E4))</f>
        <v/>
      </c>
      <c r="G4" t="str">
        <f>IF(A4="","",SUM('Asset Allocation'!B4))</f>
        <v/>
      </c>
      <c r="H4" t="str">
        <f t="shared" si="0"/>
        <v/>
      </c>
    </row>
    <row r="5" spans="1:8" x14ac:dyDescent="0.25">
      <c r="A5" t="str">
        <f>IF(Input!A6="","",Input!A6)</f>
        <v/>
      </c>
      <c r="B5" t="str">
        <f>IF(A5="","",SUM('Asset Allocation'!F5,'Asset Allocation'!G5,'Asset Allocation'!H5,'Asset Allocation'!I5,'Asset Allocation'!J5,'Asset Allocation'!K5))</f>
        <v/>
      </c>
      <c r="C5" t="str">
        <f>IF(A5="","",SUM('Asset Allocation'!C5))</f>
        <v/>
      </c>
      <c r="D5" t="str">
        <f>IF(A5="","",SUM('Asset Allocation'!D5))</f>
        <v/>
      </c>
      <c r="F5" t="str">
        <f>IF(A5="","",SUM('Asset Allocation'!E5))</f>
        <v/>
      </c>
      <c r="G5" t="str">
        <f>IF(A5="","",SUM('Asset Allocation'!B5))</f>
        <v/>
      </c>
      <c r="H5" t="str">
        <f t="shared" si="0"/>
        <v/>
      </c>
    </row>
    <row r="6" spans="1:8" x14ac:dyDescent="0.25">
      <c r="A6" t="str">
        <f>IF(Input!A7="","",Input!A7)</f>
        <v/>
      </c>
      <c r="B6" t="str">
        <f>IF(A6="","",SUM('Asset Allocation'!F6,'Asset Allocation'!G6,'Asset Allocation'!H6,'Asset Allocation'!I6,'Asset Allocation'!J6,'Asset Allocation'!K6))</f>
        <v/>
      </c>
      <c r="C6" t="str">
        <f>IF(A6="","",SUM('Asset Allocation'!C6))</f>
        <v/>
      </c>
      <c r="D6" t="str">
        <f>IF(A6="","",SUM('Asset Allocation'!D6))</f>
        <v/>
      </c>
      <c r="F6" t="str">
        <f>IF(A6="","",SUM('Asset Allocation'!E6))</f>
        <v/>
      </c>
      <c r="G6" t="str">
        <f>IF(A6="","",SUM('Asset Allocation'!B6))</f>
        <v/>
      </c>
      <c r="H6" t="str">
        <f t="shared" si="0"/>
        <v/>
      </c>
    </row>
    <row r="7" spans="1:8" x14ac:dyDescent="0.25">
      <c r="A7" t="str">
        <f>IF(Input!A8="","",Input!A8)</f>
        <v/>
      </c>
      <c r="B7" t="str">
        <f>IF(A7="","",SUM('Asset Allocation'!F7,'Asset Allocation'!G7,'Asset Allocation'!H7,'Asset Allocation'!I7,'Asset Allocation'!J7,'Asset Allocation'!K7))</f>
        <v/>
      </c>
      <c r="C7" t="str">
        <f>IF(A7="","",SUM('Asset Allocation'!C7))</f>
        <v/>
      </c>
      <c r="D7" t="str">
        <f>IF(A7="","",SUM('Asset Allocation'!D7))</f>
        <v/>
      </c>
      <c r="F7" t="str">
        <f>IF(A7="","",SUM('Asset Allocation'!E7))</f>
        <v/>
      </c>
      <c r="G7" t="str">
        <f>IF(A7="","",SUM('Asset Allocation'!B7))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L&amp;C Global Growth Fund</v>
      </c>
      <c r="B2" s="6">
        <f>IFERROR(IF(A2="","",SUM('Asset Allocation'!G2)/'Broad Asset Allocation'!B2),0)</f>
        <v>0.20110192837465563</v>
      </c>
      <c r="C2" s="6">
        <f>IFERROR(IF(A2="","",SUM('Asset Allocation'!F2)/'Broad Asset Allocation'!B2),0)</f>
        <v>0.31313131313131315</v>
      </c>
      <c r="D2" s="6">
        <f>IFERROR(IF(A2="","",SUM('Asset Allocation'!H2)/'Broad Asset Allocation'!B2),0)</f>
        <v>3.1221303948576678E-2</v>
      </c>
      <c r="E2" s="6">
        <f>IFERROR(IF(A2="","",SUM('Asset Allocation'!I2)/'Broad Asset Allocation'!B2),0)</f>
        <v>0.3351698806244261</v>
      </c>
      <c r="F2" s="6"/>
      <c r="G2" s="6">
        <f>IFERROR(IF(A2="","",SUM('Asset Allocation'!J2)/'Broad Asset Allocation'!B2),0)</f>
        <v>3.7649219467401282E-2</v>
      </c>
      <c r="H2" s="6">
        <f>IFERROR(IF(A2="","",SUM('Asset Allocation'!K2)/'Broad Asset Allocation'!B2),0)</f>
        <v>8.1726354453627192E-2</v>
      </c>
    </row>
    <row r="3" spans="1:8" x14ac:dyDescent="0.25">
      <c r="A3" t="str">
        <f>IF(Input!A4="","",Input!A4)</f>
        <v>L&amp;C Global Balanced Fund</v>
      </c>
      <c r="B3" s="6">
        <f>IFERROR(IF(A3="","",SUM('Asset Allocation'!G3)/'Broad Asset Allocation'!B3),0)</f>
        <v>0.24352331606217617</v>
      </c>
      <c r="C3" s="6">
        <f>IFERROR(IF(A3="","",SUM('Asset Allocation'!F3)/'Broad Asset Allocation'!B3),0)</f>
        <v>0.38169257340241797</v>
      </c>
      <c r="D3" s="6">
        <f>IFERROR(IF(A3="","",SUM('Asset Allocation'!H3)/'Broad Asset Allocation'!B3),0)</f>
        <v>4.145077720207254E-2</v>
      </c>
      <c r="E3" s="6">
        <f>IFERROR(IF(A3="","",SUM('Asset Allocation'!I3)/'Broad Asset Allocation'!B3),0)</f>
        <v>0.19689119170984459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0.13644214162348878</v>
      </c>
    </row>
    <row r="4" spans="1:8" x14ac:dyDescent="0.25">
      <c r="A4" t="str">
        <f>IF(Input!A5="","",Input!A5)</f>
        <v/>
      </c>
      <c r="B4" s="6" t="str">
        <f>IFERROR(IF(A4="","",SUM('Asset Allocation'!G4)/'Broad Asset Allocation'!B4),0)</f>
        <v/>
      </c>
      <c r="C4" s="6" t="str">
        <f>IFERROR(IF(A4="","",SUM('Asset Allocation'!F4)/'Broad Asset Allocation'!B4),0)</f>
        <v/>
      </c>
      <c r="D4" s="6" t="str">
        <f>IFERROR(IF(A4="","",SUM('Asset Allocation'!H4)/'Broad Asset Allocation'!B4),0)</f>
        <v/>
      </c>
      <c r="E4" s="6" t="str">
        <f>IFERROR(IF(A4="","",SUM('Asset Allocation'!I4)/'Broad Asset Allocation'!B4),0)</f>
        <v/>
      </c>
      <c r="F4" s="6"/>
      <c r="G4" s="6" t="str">
        <f>IFERROR(IF(A4="","",SUM('Asset Allocation'!J4)/'Broad Asset Allocation'!B4),0)</f>
        <v/>
      </c>
      <c r="H4" s="6" t="str">
        <f>IFERROR(IF(A4="","",SUM('Asset Allocation'!K4)/'Broad Asset Allocation'!B4),0)</f>
        <v/>
      </c>
    </row>
    <row r="5" spans="1:8" x14ac:dyDescent="0.25">
      <c r="A5" t="str">
        <f>IF(Input!A6="","",Input!A6)</f>
        <v/>
      </c>
      <c r="B5" s="6" t="str">
        <f>IFERROR(IF(A5="","",SUM('Asset Allocation'!G5)/'Broad Asset Allocation'!B5),0)</f>
        <v/>
      </c>
      <c r="C5" s="6" t="str">
        <f>IFERROR(IF(A5="","",SUM('Asset Allocation'!F5)/'Broad Asset Allocation'!B5),0)</f>
        <v/>
      </c>
      <c r="D5" s="6" t="str">
        <f>IFERROR(IF(A5="","",SUM('Asset Allocation'!H5)/'Broad Asset Allocation'!B5),0)</f>
        <v/>
      </c>
      <c r="E5" s="6" t="str">
        <f>IFERROR(IF(A5="","",SUM('Asset Allocation'!I5)/'Broad Asset Allocation'!B5),0)</f>
        <v/>
      </c>
      <c r="F5" s="6"/>
      <c r="G5" s="6" t="str">
        <f>IFERROR(IF(A5="","",SUM('Asset Allocation'!J5)/'Broad Asset Allocation'!B5),0)</f>
        <v/>
      </c>
      <c r="H5" s="6" t="str">
        <f>IFERROR(IF(A5="","",SUM('Asset Allocation'!K5)/'Broad Asset Allocation'!B5),0)</f>
        <v/>
      </c>
    </row>
    <row r="6" spans="1:8" x14ac:dyDescent="0.25">
      <c r="A6" t="str">
        <f>IF(Input!A7="","",Input!A7)</f>
        <v/>
      </c>
      <c r="B6" s="6" t="str">
        <f>IFERROR(IF(A6="","",SUM('Asset Allocation'!G6)/'Broad Asset Allocation'!B6),0)</f>
        <v/>
      </c>
      <c r="C6" s="6" t="str">
        <f>IFERROR(IF(A6="","",SUM('Asset Allocation'!F6)/'Broad Asset Allocation'!B6),0)</f>
        <v/>
      </c>
      <c r="D6" s="6" t="str">
        <f>IFERROR(IF(A6="","",SUM('Asset Allocation'!H6)/'Broad Asset Allocation'!B6),0)</f>
        <v/>
      </c>
      <c r="E6" s="6" t="str">
        <f>IFERROR(IF(A6="","",SUM('Asset Allocation'!I6)/'Broad Asset Allocation'!B6),0)</f>
        <v/>
      </c>
      <c r="F6" s="6"/>
      <c r="G6" s="6" t="str">
        <f>IFERROR(IF(A6="","",SUM('Asset Allocation'!J6)/'Broad Asset Allocation'!B6),0)</f>
        <v/>
      </c>
      <c r="H6" s="6" t="str">
        <f>IFERROR(IF(A6="","",SUM('Asset Allocation'!K6)/'Broad Asset Allocation'!B6),0)</f>
        <v/>
      </c>
    </row>
    <row r="7" spans="1:8" x14ac:dyDescent="0.25">
      <c r="A7" t="str">
        <f>IF(Input!A8="","",Input!A8)</f>
        <v/>
      </c>
      <c r="B7" s="6" t="str">
        <f>IFERROR(IF(A7="","",SUM('Asset Allocation'!G7)/'Broad Asset Allocation'!B7),0)</f>
        <v/>
      </c>
      <c r="C7" s="6" t="str">
        <f>IFERROR(IF(A7="","",SUM('Asset Allocation'!F7)/'Broad Asset Allocation'!B7),0)</f>
        <v/>
      </c>
      <c r="D7" s="6" t="str">
        <f>IFERROR(IF(A7="","",SUM('Asset Allocation'!H7)/'Broad Asset Allocation'!B7),0)</f>
        <v/>
      </c>
      <c r="E7" s="6" t="str">
        <f>IFERROR(IF(A7="","",SUM('Asset Allocation'!I7)/'Broad Asset Allocation'!B7),0)</f>
        <v/>
      </c>
      <c r="F7" s="6"/>
      <c r="G7" s="6" t="str">
        <f>IFERROR(IF(A7="","",SUM('Asset Allocation'!J7)/'Broad Asset Allocation'!B7),0)</f>
        <v/>
      </c>
      <c r="H7" s="6" t="str">
        <f>IFERROR(IF(A7="","",SUM('Asset Allocation'!K7)/'Broad Asset Allocation'!B7),0)</f>
        <v/>
      </c>
    </row>
    <row r="8" spans="1:8" x14ac:dyDescent="0.2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25">
      <c r="A2" t="str">
        <f>IF(Input!A3="","",Input!A3)</f>
        <v>L&amp;C Global Growth Fund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L&amp;C Global Balanced Fund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/>
      </c>
      <c r="H4" t="str">
        <f>IFERROR(IF(A4="","",SUM('Asset Allocation'!C4)/'Broad Asset Allocation'!C4),0)</f>
        <v/>
      </c>
    </row>
    <row r="5" spans="1:8" x14ac:dyDescent="0.25">
      <c r="A5" t="str">
        <f>IF(Input!A6="","",Input!A6)</f>
        <v/>
      </c>
      <c r="H5" t="str">
        <f>IFERROR(IF(A5="","",SUM('Asset Allocation'!C5)/'Broad Asset Allocation'!C5),0)</f>
        <v/>
      </c>
    </row>
    <row r="6" spans="1:8" x14ac:dyDescent="0.25">
      <c r="A6" t="str">
        <f>IF(Input!A7="","",Input!A7)</f>
        <v/>
      </c>
      <c r="H6" t="str">
        <f>IFERROR(IF(A6="","",SUM('Asset Allocation'!C6)/'Broad Asset Allocation'!C6),0)</f>
        <v/>
      </c>
    </row>
    <row r="7" spans="1:8" x14ac:dyDescent="0.25">
      <c r="A7" t="str">
        <f>IF(Input!A8="","",Input!A8)</f>
        <v/>
      </c>
      <c r="H7" t="str">
        <f>IFERROR(IF(A7="","",SUM('Asset Allocation'!C7)/'Broad Asset Allocation'!C7),0)</f>
        <v/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L&amp;C Global Growth Fund</v>
      </c>
      <c r="C1" s="1" t="str">
        <v>L&amp;C Global Balanced Fund</v>
      </c>
      <c r="D1" t="str">
        <v/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2023-08-31T07:40:53Z</dcterms:modified>
</cp:coreProperties>
</file>