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 l="1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<sst xmlns="http://schemas.openxmlformats.org/spreadsheetml/2006/main" count="67" uniqueCount="60">
  <si>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</si>
  <si>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</si>
  <si>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</si>
  <si>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</si>
  <si>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</si>
  <si>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</si>
  <si>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</si>
  <si>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</si>
  <si>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</si>
  <si>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</si>
  <si>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</si>
  <si>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</si>
  <si>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</si>
  <si>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</si>
  <si>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</si>
  <si>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</si>
  <si>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</si>
  <si>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</si>
  <si>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</si>
  <si>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</si>
  <si>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</si>
  <si>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</si>
  <si>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</si>
  <si>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</si>
  <si>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</si>
  <si>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</si>
  <si>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</si>
  <si>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</si>
  <si>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</si>
  <si>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</si>
  <si>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</si>
  <si>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</si>
  <si>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</si>
  <si>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</si>
  <si>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</si>
  <si>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</si>
  <si>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</si>
  <si>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</si>
  <si>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</si>
  <si>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Fact Sheets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</si>
  <si>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</si>
  <si>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</si>
  <si>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</si>
  <si>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</si>
  <si>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</si>
  <si>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</si>
  <si>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</si>
  <si>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</si>
  <si>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</si>
  <si>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</si>
  <si>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</si>
  <si>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</si>
  <si>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</si>
  <si>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</si>
  <si>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</si>
  <si>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</si>
  <si>
    <t>L&amp;C Global Balanced Fund Factsheet</t>
  </si>
  <si>
    <t>L&amp;C Global Growth Fund Factsheet</t>
  </si>
  <si>
    <t>https://www.geminicapital.ie/wp-content/uploads/2023/06/LC_Global-Growth-Multi-Asset_2023.10.31.pdf</t>
  </si>
  <si>
    <t>https://www.geminicapital.ie/wp-content/uploads/2023/06/LC_Global-Balanced-Multi-Asset_2023.10.31.pdf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</si>
</sst>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https://www.geminicapital.ie/wp-content/uploads/2023/06/LC_Global-Growth-Multi-Asset_2023.10.31.pdf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https://www.geminicapital.ie/wp-content/uploads/2023/06/LC_Global-Balanced-Multi-Asset_2023.10.31.pdf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H4" sqref="H4"/>
    </sheetView>
  </sheetViews>
  <sheetFormatPr defaultRowHeight="15" x14ac:dyDescent="0.25"/>
  <cols>
    <col min="1" max="1" width="24.28515625" bestFit="1" customWidth="1"/>
    <col min="2" max="2" width="10.140625" bestFit="1" customWidth="1"/>
    <col min="3" max="3" width="6.140625" style="10" bestFit="1" customWidth="1"/>
    <col min="4" max="4" width="7.140625" style="10" bestFit="1" customWidth="1"/>
    <col min="5" max="5" width="6.85546875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45199</v>
      </c>
      <c r="C2" s="10">
        <v>0.01</v>
      </c>
      <c r="D2" s="10">
        <v>0.11199999999999999</v>
      </c>
      <c r="E2" s="10">
        <v>-2.41E-2</v>
      </c>
      <c r="F2" s="5"/>
    </row>
    <row r="3" spans="1:6" x14ac:dyDescent="0.25">
      <c r="A3" t="str">
        <f>IF(Input!A4="","",Input!A4)</f>
        <v>L&amp;C Global Balanced Fund</v>
      </c>
      <c r="B3" s="1">
        <v>45199</v>
      </c>
      <c r="C3" s="10">
        <v>0.01</v>
      </c>
      <c r="D3" s="10">
        <v>6.3700000000000007E-2</v>
      </c>
      <c r="E3" s="10">
        <v>-1.0800000000000001E-2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opLeftCell="L1" zoomScale="85" zoomScaleNormal="85" workbookViewId="0">
      <selection activeCell="T2" sqref="B2:T3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40</v>
      </c>
      <c r="C1" s="10" t="s">
        <v>41</v>
      </c>
      <c r="D1" s="10" t="s">
        <v>42</v>
      </c>
      <c r="E1" s="10" t="s">
        <v>43</v>
      </c>
      <c r="F1" s="10" t="s">
        <v>44</v>
      </c>
      <c r="G1" s="10" t="s">
        <v>10</v>
      </c>
      <c r="H1" s="10" t="s">
        <v>45</v>
      </c>
      <c r="I1" s="10" t="s">
        <v>46</v>
      </c>
      <c r="J1" s="10" t="s">
        <v>9</v>
      </c>
      <c r="K1" s="10" t="s">
        <v>47</v>
      </c>
      <c r="L1" s="10" t="s">
        <v>52</v>
      </c>
      <c r="M1" s="10" t="s">
        <v>53</v>
      </c>
      <c r="N1" t="s">
        <v>54</v>
      </c>
      <c r="O1" t="s">
        <v>55</v>
      </c>
      <c r="P1" t="s">
        <v>48</v>
      </c>
      <c r="Q1" t="s">
        <v>49</v>
      </c>
      <c r="R1" t="s">
        <v>4</v>
      </c>
      <c r="S1" t="s">
        <v>50</v>
      </c>
      <c r="T1" t="s">
        <v>51</v>
      </c>
    </row>
    <row r="2" spans="1:32" x14ac:dyDescent="0.25">
      <c r="A2" t="str">
        <f>IF(Input!A3="","",Input!A3)</f>
        <v>L&amp;C Global Growth Fund</v>
      </c>
      <c r="B2" s="10">
        <v>0.60799999999999998</v>
      </c>
      <c r="C2" s="10">
        <v>0.29299999999999998</v>
      </c>
      <c r="D2" s="10">
        <v>9.9000000000000005E-2</v>
      </c>
      <c r="E2" s="10">
        <v>0.60099999999999998</v>
      </c>
      <c r="F2" s="10">
        <v>0.34100000000000003</v>
      </c>
      <c r="G2" s="10">
        <v>0.20699999999999999</v>
      </c>
      <c r="H2" s="10">
        <v>5.2000000000000005E-2</v>
      </c>
      <c r="I2" s="10">
        <v>0.34399999999999997</v>
      </c>
      <c r="J2" s="10">
        <v>5.5E-2</v>
      </c>
      <c r="K2" s="10">
        <v>8.4000000000000005E-2</v>
      </c>
      <c r="L2" s="10">
        <v>0.16600000000000001</v>
      </c>
      <c r="M2" s="10">
        <v>0.16699999999999998</v>
      </c>
      <c r="N2" s="5">
        <v>0.40200000000000002</v>
      </c>
      <c r="O2" s="5">
        <v>0.18100000000000002</v>
      </c>
      <c r="P2" s="5">
        <v>0</v>
      </c>
      <c r="Q2" s="5">
        <v>0.51900000000000002</v>
      </c>
      <c r="R2" s="5">
        <v>0.34499999999999997</v>
      </c>
      <c r="S2" s="5">
        <v>0.13600000000000001</v>
      </c>
      <c r="T2" s="5">
        <v>0</v>
      </c>
      <c r="U2" s="5">
        <f>SUM(B2:T2)-F2-G2-H2</f>
        <v>3.9999999999999996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0.307</v>
      </c>
      <c r="C3" s="10">
        <v>0.54700000000000004</v>
      </c>
      <c r="D3" s="10">
        <v>0.14300000000000002</v>
      </c>
      <c r="E3" s="10">
        <v>0.76</v>
      </c>
      <c r="F3" s="10">
        <v>0.43</v>
      </c>
      <c r="G3" s="10">
        <v>0.28300000000000003</v>
      </c>
      <c r="H3" s="10">
        <v>4.7E-2</v>
      </c>
      <c r="I3" s="10">
        <v>0.24</v>
      </c>
      <c r="J3" s="10">
        <v>0</v>
      </c>
      <c r="K3" s="10">
        <v>9.3000000000000013E-2</v>
      </c>
      <c r="L3" s="10">
        <v>0.32899999999999996</v>
      </c>
      <c r="M3" s="10">
        <v>0.156</v>
      </c>
      <c r="N3" s="5">
        <v>0.23899999999999999</v>
      </c>
      <c r="O3" s="5">
        <v>0.183</v>
      </c>
      <c r="P3" s="5">
        <v>0</v>
      </c>
      <c r="Q3" s="5">
        <v>0.55299999999999994</v>
      </c>
      <c r="R3" s="5">
        <v>0.248</v>
      </c>
      <c r="S3" s="5">
        <v>0</v>
      </c>
      <c r="T3" s="5">
        <v>0.19899999999999998</v>
      </c>
      <c r="U3" s="5">
        <f>SUM(B3:T3)-F3-G3-H3</f>
        <v>3.9970000000000003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5" sqref="D5"/>
    </sheetView>
  </sheetViews>
  <sheetFormatPr defaultRowHeight="15" x14ac:dyDescent="0.25"/>
  <cols>
    <col min="1" max="1" width="19.5703125" bestFit="1" customWidth="1"/>
    <col min="2" max="2" width="49.140625" bestFit="1" customWidth="1"/>
    <col min="3" max="3" width="30.7109375" bestFit="1" customWidth="1"/>
    <col min="4" max="4" width="100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57</v>
      </c>
      <c r="D2" s="8" t="s">
        <v>58</v>
      </c>
      <c r="E2" t="s">
        <v>39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56</v>
      </c>
      <c r="D3" s="8" t="s">
        <v>59</v>
      </c>
      <c r="E3" t="s">
        <v>39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-2.41E-2</v>
      </c>
      <c r="D2" s="5">
        <f>IF(A2="","",SUM('Additional Information'!C2,'Additional Information'!D2))</f>
        <v>0.12199999999999998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-1.0800000000000001E-2</v>
      </c>
      <c r="D3" s="5">
        <f>IF(A3="","",SUM('Additional Information'!C3,'Additional Information'!D3))</f>
        <v>7.3700000000000002E-2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1.0830000000000002</v>
      </c>
      <c r="C2">
        <f>IF(A2="","",SUM('Asset Allocation'!C2))</f>
        <v>0.29299999999999998</v>
      </c>
      <c r="D2">
        <f>IF(A2="","",SUM('Asset Allocation'!D2))</f>
        <v>9.9000000000000005E-2</v>
      </c>
      <c r="F2">
        <f>IF(A2="","",SUM('Asset Allocation'!E2))</f>
        <v>0.60099999999999998</v>
      </c>
      <c r="G2">
        <f>IF(A2="","",SUM('Asset Allocation'!B2))</f>
        <v>0.60799999999999998</v>
      </c>
      <c r="H2">
        <f t="shared" ref="H2:H50" si="0">IF(A2="","",1-SUM(B2:G2))</f>
        <v>-1.6840000000000002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1.093</v>
      </c>
      <c r="C3">
        <f>IF(A3="","",SUM('Asset Allocation'!C3))</f>
        <v>0.54700000000000004</v>
      </c>
      <c r="D3">
        <f>IF(A3="","",SUM('Asset Allocation'!D3))</f>
        <v>0.14300000000000002</v>
      </c>
      <c r="F3">
        <f>IF(A3="","",SUM('Asset Allocation'!E3))</f>
        <v>0.76</v>
      </c>
      <c r="G3">
        <f>IF(A3="","",SUM('Asset Allocation'!B3))</f>
        <v>0.307</v>
      </c>
      <c r="H3">
        <f t="shared" si="0"/>
        <v>-1.85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0.19113573407202211</v>
      </c>
      <c r="C2" s="6">
        <f>IFERROR(IF(A2="","",SUM('Asset Allocation'!F2)/'Broad Asset Allocation'!B2),0)</f>
        <v>0.31486611265004616</v>
      </c>
      <c r="D2" s="6">
        <f>IFERROR(IF(A2="","",SUM('Asset Allocation'!H2)/'Broad Asset Allocation'!B2),0)</f>
        <v>4.8014773776546622E-2</v>
      </c>
      <c r="E2" s="6">
        <f>IFERROR(IF(A2="","",SUM('Asset Allocation'!I2)/'Broad Asset Allocation'!B2),0)</f>
        <v>0.31763619575253915</v>
      </c>
      <c r="F2" s="6"/>
      <c r="G2" s="6">
        <f>IFERROR(IF(A2="","",SUM('Asset Allocation'!J2)/'Broad Asset Allocation'!B2),0)</f>
        <v>5.0784856879039698E-2</v>
      </c>
      <c r="H2" s="6">
        <f>IFERROR(IF(A2="","",SUM('Asset Allocation'!K2)/'Broad Asset Allocation'!B2),0)</f>
        <v>7.7562326869806089E-2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0.25892040256175669</v>
      </c>
      <c r="C3" s="6">
        <f>IFERROR(IF(A3="","",SUM('Asset Allocation'!F3)/'Broad Asset Allocation'!B3),0)</f>
        <v>0.39341262580054898</v>
      </c>
      <c r="D3" s="6">
        <f>IFERROR(IF(A3="","",SUM('Asset Allocation'!H3)/'Broad Asset Allocation'!B3),0)</f>
        <v>4.3000914913083256E-2</v>
      </c>
      <c r="E3" s="6">
        <f>IFERROR(IF(A3="","",SUM('Asset Allocation'!I3)/'Broad Asset Allocation'!B3),0)</f>
        <v>0.21957913998170173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8.5086916742909441E-2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2023-11-25T21:14:56Z</dcterms:modified>
</cp:coreProperties>
</file>