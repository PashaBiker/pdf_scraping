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London\"/>
    </mc:Choice>
  </mc:AlternateContent>
  <bookViews>
    <workbookView xWindow="-105" yWindow="-105" windowWidth="19425" windowHeight="1102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3" l="1"/>
  <c r="U3" i="3" l="1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<sst xmlns="http://schemas.openxmlformats.org/spreadsheetml/2006/main" count="67" uniqueCount="60">
  <si>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</si>
  <si>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</si>
  <si>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</si>
  <si>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</si>
  <si>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</si>
  <si>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</si>
  <si>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</si>
  <si>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</si>
  <si>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</si>
  <si>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</si>
  <si>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</si>
  <si>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</si>
  <si>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</si>
  <si>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</si>
  <si>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</si>
  <si>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</si>
  <si>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</si>
  <si>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</si>
  <si>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</si>
  <si>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</si>
  <si>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</si>
  <si>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</si>
  <si>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</si>
  <si>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</si>
  <si>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</si>
  <si>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</si>
  <si>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</si>
  <si>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</si>
  <si>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</si>
  <si>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</si>
  <si>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</si>
  <si>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</si>
  <si>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</si>
  <si>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</si>
  <si>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L&amp;C Global Balanced Fund</t>
  </si>
  <si>
    <t>L&amp;C Global Growth Fund</t>
  </si>
  <si>
    <t>AMC</t>
  </si>
  <si>
    <t>1 mth</t>
  </si>
  <si>
    <t>https://www.geminicapital.ie/uk/london-capital-uk/</t>
  </si>
  <si>
    <t>L&amp;C_Global Balanced Multi Asset</t>
  </si>
  <si>
    <t>L&amp;C_Global Growth Multi Asset</t>
  </si>
  <si>
    <t>Fact Sheets</t>
  </si>
  <si>
    <t>Equities</t>
  </si>
  <si>
    <t>Fixed Income</t>
  </si>
  <si>
    <t>Diversifiers</t>
  </si>
  <si>
    <t>Global STAR Equities</t>
  </si>
  <si>
    <t>North American</t>
  </si>
  <si>
    <t>UK</t>
  </si>
  <si>
    <t>Equity Themes</t>
  </si>
  <si>
    <t>Government &amp; Supranational</t>
  </si>
  <si>
    <t>Cash/derivatives</t>
  </si>
  <si>
    <t>Alternative Funds</t>
  </si>
  <si>
    <t>Gold</t>
  </si>
  <si>
    <t>Commodities</t>
  </si>
  <si>
    <t>Corporate Senior</t>
  </si>
  <si>
    <t>Corporate Subordinated</t>
  </si>
  <si>
    <t>Financials Senior</t>
  </si>
  <si>
    <t>Financials Subordinated</t>
  </si>
  <si>
    <t>https://www.geminicapital.ie/wp-content/uploads/2023/06/LC_Global-Growth-Multi-Asset_2023.09.30.pdf</t>
  </si>
  <si>
    <t>https://www.geminicapital.ie/wp-content/uploads/2023/06/LC_Global-Balanced-Multi-Asset_2023.09.30.pdf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</si>
</sst>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139895</xdr:colOff>
      <xdr:row>8</xdr:row>
      <xdr:rowOff>12767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413928-DDCB-D61C-2617-F677A19C8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797495" cy="130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44450</xdr:rowOff>
    </xdr:from>
    <xdr:to>
      <xdr:col>6</xdr:col>
      <xdr:colOff>368039</xdr:colOff>
      <xdr:row>15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7CC281-2433-5A57-9B71-6FCB29B9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17650"/>
          <a:ext cx="4025639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133351</xdr:rowOff>
    </xdr:from>
    <xdr:to>
      <xdr:col>6</xdr:col>
      <xdr:colOff>374651</xdr:colOff>
      <xdr:row>21</xdr:row>
      <xdr:rowOff>36513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473D7E-B4DA-465B-285A-069240E9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2895601"/>
          <a:ext cx="4032250" cy="10080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514470</xdr:colOff>
      <xdr:row>12</xdr:row>
      <xdr:rowOff>165213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8C8FB2-4525-4808-1747-202045258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43270" cy="2190863"/>
        </a:xfrm>
        <a:prstGeom prst="rect">
          <a:avLst/>
        </a:prstGeom>
      </xdr:spPr>
    </xdr:pic>
    <xdr:clientData/>
  </xdr:twoCellAnchor>
  <xdr:twoCellAnchor editAs="oneCell">
    <xdr:from>
      <xdr:col>6</xdr:col>
      <xdr:colOff>558800</xdr:colOff>
      <xdr:row>13</xdr:row>
      <xdr:rowOff>50800</xdr:rowOff>
    </xdr:from>
    <xdr:to>
      <xdr:col>11</xdr:col>
      <xdr:colOff>12829</xdr:colOff>
      <xdr:row>23</xdr:row>
      <xdr:rowOff>152500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DC0F7-17FF-48FF-50DE-9C983740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6400" y="2444750"/>
          <a:ext cx="2502029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10</xdr:col>
      <xdr:colOff>482719</xdr:colOff>
      <xdr:row>35</xdr:row>
      <xdr:rowOff>38206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02E1E1-B593-8677-19CE-CEAB4EA2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4419600"/>
          <a:ext cx="2311519" cy="2063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10</xdr:col>
      <xdr:colOff>438267</xdr:colOff>
      <xdr:row>41</xdr:row>
      <xdr:rowOff>101662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5A9DF7-38AC-369F-046B-CA61B2BB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67200" y="6445250"/>
          <a:ext cx="2267067" cy="1206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/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"/>
  <sheetViews>
    <sheetView workbookViewId="0">
      <selection activeCell="A4" sqref="A4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https://www.geminicapital.ie/wp-content/uploads/2023/06/LC_Global-Growth-Multi-Asset_2023.09.30.pdf</v>
      </c>
      <c r="J3" s="4"/>
    </row>
    <row r="4" spans="1:10" x14ac:dyDescent="0.25">
      <c r="A4" t="s">
        <v>34</v>
      </c>
      <c r="B4" t="str">
        <f>'PDF Scraping'!D3</f>
        <v>https://www.geminicapital.ie/wp-content/uploads/2023/06/LC_Global-Balanced-Multi-Asset_2023.09.30.pdf</v>
      </c>
      <c r="J4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O7" sqref="O7"/>
    </sheetView>
  </sheetViews>
  <sheetFormatPr defaultRowHeight="15" x14ac:dyDescent="0.25"/>
  <cols>
    <col min="1" max="1" width="24.28515625" bestFit="1" customWidth="1"/>
    <col min="2" max="2" width="10.140625" bestFit="1" customWidth="1"/>
    <col min="3" max="3" width="6.140625" style="10" bestFit="1" customWidth="1"/>
    <col min="4" max="4" width="7.140625" style="10" bestFit="1" customWidth="1"/>
    <col min="5" max="5" width="6.140625" style="10" bestFit="1" customWidth="1"/>
    <col min="6" max="6" width="13.7109375" bestFit="1" customWidth="1"/>
  </cols>
  <sheetData>
    <row r="1" spans="1:6" x14ac:dyDescent="0.25">
      <c r="B1" t="s">
        <v>24</v>
      </c>
      <c r="C1" s="10" t="s">
        <v>36</v>
      </c>
      <c r="D1" s="10" t="s">
        <v>33</v>
      </c>
      <c r="E1" s="10" t="s">
        <v>37</v>
      </c>
    </row>
    <row r="2" spans="1:6" x14ac:dyDescent="0.25">
      <c r="A2" t="str">
        <f>IF(Input!A3="","",Input!A3)</f>
        <v>L&amp;C Global Growth Fund</v>
      </c>
      <c r="B2" s="1">
        <v>45199</v>
      </c>
      <c r="C2" s="10">
        <v>0.01</v>
      </c>
      <c r="D2" s="10">
        <v>0.11199999999999999</v>
      </c>
      <c r="E2" s="10">
        <v>2.41E-2</v>
      </c>
      <c r="F2" s="5"/>
    </row>
    <row r="3" spans="1:6" x14ac:dyDescent="0.25">
      <c r="A3" t="str">
        <f>IF(Input!A4="","",Input!A4)</f>
        <v>L&amp;C Global Balanced Fund</v>
      </c>
      <c r="B3" s="1">
        <v>45199</v>
      </c>
      <c r="C3" s="10">
        <v>0.01</v>
      </c>
      <c r="D3" s="10">
        <v>6.3700000000000007E-2</v>
      </c>
      <c r="E3" s="10">
        <v>1.0800000000000001E-2</v>
      </c>
      <c r="F3" s="5"/>
    </row>
    <row r="4" spans="1:6" x14ac:dyDescent="0.25">
      <c r="A4" t="str">
        <f>IF(Input!A5="","",Input!A5)</f>
        <v/>
      </c>
      <c r="B4" s="1"/>
      <c r="C4" s="11"/>
      <c r="D4" s="11"/>
      <c r="E4" s="11"/>
      <c r="F4" s="5"/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topLeftCell="F1" zoomScale="85" zoomScaleNormal="85" workbookViewId="0">
      <selection activeCell="U3" sqref="U3"/>
    </sheetView>
  </sheetViews>
  <sheetFormatPr defaultRowHeight="15" x14ac:dyDescent="0.25"/>
  <cols>
    <col min="1" max="1" width="25.7109375" bestFit="1" customWidth="1"/>
    <col min="2" max="2" width="8.7109375" style="10" bestFit="1" customWidth="1"/>
    <col min="3" max="3" width="13.42578125" style="10" bestFit="1" customWidth="1"/>
    <col min="4" max="4" width="11.7109375" style="10" bestFit="1" customWidth="1"/>
    <col min="5" max="5" width="20.7109375" style="10" bestFit="1" customWidth="1"/>
    <col min="6" max="6" width="15.42578125" style="10" bestFit="1" customWidth="1"/>
    <col min="7" max="7" width="12.85546875" style="10" bestFit="1" customWidth="1"/>
    <col min="8" max="8" width="6.140625" style="10" bestFit="1" customWidth="1"/>
    <col min="9" max="9" width="14.5703125" style="10" bestFit="1" customWidth="1"/>
    <col min="10" max="10" width="17.85546875" style="10" bestFit="1" customWidth="1"/>
    <col min="11" max="11" width="28.42578125" style="10" bestFit="1" customWidth="1"/>
    <col min="12" max="12" width="16.5703125" style="10" bestFit="1" customWidth="1"/>
    <col min="13" max="13" width="23.5703125" style="10" bestFit="1" customWidth="1"/>
    <col min="14" max="14" width="17.28515625" bestFit="1" customWidth="1"/>
    <col min="15" max="15" width="24.140625" bestFit="1" customWidth="1"/>
    <col min="16" max="16" width="16.5703125" bestFit="1" customWidth="1"/>
    <col min="17" max="17" width="17.5703125" bestFit="1" customWidth="1"/>
    <col min="18" max="19" width="7.140625" bestFit="1" customWidth="1"/>
    <col min="20" max="20" width="13.42578125" bestFit="1" customWidth="1"/>
    <col min="21" max="21" width="8.140625" bestFit="1" customWidth="1"/>
    <col min="22" max="22" width="15.85546875" bestFit="1" customWidth="1"/>
    <col min="23" max="23" width="20.5703125" bestFit="1" customWidth="1"/>
    <col min="24" max="24" width="27.5703125" bestFit="1" customWidth="1"/>
    <col min="25" max="25" width="24.140625" bestFit="1" customWidth="1"/>
    <col min="26" max="26" width="24.7109375" bestFit="1" customWidth="1"/>
    <col min="27" max="27" width="9.85546875" bestFit="1" customWidth="1"/>
    <col min="28" max="28" width="18.42578125" bestFit="1" customWidth="1"/>
    <col min="29" max="29" width="18.140625" bestFit="1" customWidth="1"/>
    <col min="30" max="30" width="21.42578125" bestFit="1" customWidth="1"/>
    <col min="31" max="31" width="18.42578125" bestFit="1" customWidth="1"/>
    <col min="32" max="32" width="21.5703125" bestFit="1" customWidth="1"/>
  </cols>
  <sheetData>
    <row r="1" spans="1:32" x14ac:dyDescent="0.25">
      <c r="B1" s="10" t="s">
        <v>42</v>
      </c>
      <c r="C1" s="10" t="s">
        <v>43</v>
      </c>
      <c r="D1" s="10" t="s">
        <v>44</v>
      </c>
      <c r="E1" s="10" t="s">
        <v>45</v>
      </c>
      <c r="F1" s="10" t="s">
        <v>46</v>
      </c>
      <c r="G1" s="10" t="s">
        <v>10</v>
      </c>
      <c r="H1" s="10" t="s">
        <v>47</v>
      </c>
      <c r="I1" s="10" t="s">
        <v>48</v>
      </c>
      <c r="J1" s="10" t="s">
        <v>9</v>
      </c>
      <c r="K1" s="10" t="s">
        <v>49</v>
      </c>
      <c r="L1" s="10" t="s">
        <v>54</v>
      </c>
      <c r="M1" s="10" t="s">
        <v>55</v>
      </c>
      <c r="N1" t="s">
        <v>56</v>
      </c>
      <c r="O1" t="s">
        <v>57</v>
      </c>
      <c r="P1" t="s">
        <v>50</v>
      </c>
      <c r="Q1" t="s">
        <v>51</v>
      </c>
      <c r="R1" t="s">
        <v>4</v>
      </c>
      <c r="S1" t="s">
        <v>52</v>
      </c>
      <c r="T1" t="s">
        <v>53</v>
      </c>
    </row>
    <row r="2" spans="1:32" x14ac:dyDescent="0.25">
      <c r="A2" t="str">
        <f>IF(Input!A3="","",Input!A3)</f>
        <v>L&amp;C Global Growth Fund</v>
      </c>
      <c r="B2" s="10">
        <v>0.60799999999999998</v>
      </c>
      <c r="C2" s="10">
        <v>0.29299999999999998</v>
      </c>
      <c r="D2" s="10">
        <v>9.9000000000000005E-2</v>
      </c>
      <c r="E2" s="10">
        <v>0.60099999999999998</v>
      </c>
      <c r="F2" s="10">
        <v>0.34100000000000003</v>
      </c>
      <c r="G2" s="10">
        <v>0.20699999999999999</v>
      </c>
      <c r="H2" s="10">
        <v>5.2000000000000005E-2</v>
      </c>
      <c r="I2" s="10">
        <v>0.34399999999999997</v>
      </c>
      <c r="J2" s="10">
        <v>5.5E-2</v>
      </c>
      <c r="K2" s="10">
        <v>8.4000000000000005E-2</v>
      </c>
      <c r="L2" s="10">
        <v>0.16600000000000001</v>
      </c>
      <c r="M2" s="10">
        <v>0.16699999999999998</v>
      </c>
      <c r="N2" s="5">
        <v>0.40200000000000002</v>
      </c>
      <c r="O2" s="5">
        <v>0.18100000000000002</v>
      </c>
      <c r="P2" s="5">
        <v>0</v>
      </c>
      <c r="Q2" s="5">
        <v>0.51900000000000002</v>
      </c>
      <c r="R2" s="5">
        <v>0.34499999999999997</v>
      </c>
      <c r="S2" s="5">
        <v>0.13600000000000001</v>
      </c>
      <c r="T2" s="5">
        <v>0</v>
      </c>
      <c r="U2" s="5">
        <f>SUM(B2:T2)-F2-G2-H2</f>
        <v>3.9999999999999996</v>
      </c>
      <c r="V2" s="5"/>
      <c r="W2" s="5"/>
      <c r="X2" s="5"/>
    </row>
    <row r="3" spans="1:32" x14ac:dyDescent="0.25">
      <c r="A3" t="str">
        <f>IF(Input!A4="","",Input!A4)</f>
        <v>L&amp;C Global Balanced Fund</v>
      </c>
      <c r="B3" s="10">
        <v>0.307</v>
      </c>
      <c r="C3" s="10">
        <v>0.54700000000000004</v>
      </c>
      <c r="D3" s="10">
        <v>0.14300000000000002</v>
      </c>
      <c r="E3" s="10">
        <v>0.76</v>
      </c>
      <c r="F3" s="10">
        <v>0.43</v>
      </c>
      <c r="G3" s="10">
        <v>0.28300000000000003</v>
      </c>
      <c r="H3" s="10">
        <v>4.7E-2</v>
      </c>
      <c r="I3" s="10">
        <v>0.24</v>
      </c>
      <c r="J3" s="10">
        <v>0</v>
      </c>
      <c r="K3" s="10">
        <v>9.3000000000000013E-2</v>
      </c>
      <c r="L3" s="10">
        <v>0.32899999999999996</v>
      </c>
      <c r="M3" s="10">
        <v>0.156</v>
      </c>
      <c r="N3" s="5">
        <v>0.23899999999999999</v>
      </c>
      <c r="O3" s="5">
        <v>0.183</v>
      </c>
      <c r="P3" s="5">
        <v>0</v>
      </c>
      <c r="Q3" s="5">
        <v>0.55299999999999994</v>
      </c>
      <c r="R3" s="5">
        <v>0.248</v>
      </c>
      <c r="S3" s="5">
        <v>0</v>
      </c>
      <c r="T3" s="5">
        <v>0.19899999999999998</v>
      </c>
      <c r="U3" s="5">
        <f>SUM(B3:T3)-F3-G3-H3</f>
        <v>3.9970000000000003</v>
      </c>
      <c r="V3" s="5"/>
    </row>
    <row r="4" spans="1:32" x14ac:dyDescent="0.25">
      <c r="A4" t="str">
        <f>IF(Input!A5="","",Input!A5)</f>
        <v/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5"/>
      <c r="O4" s="5"/>
      <c r="P4" s="5"/>
      <c r="Q4" s="5"/>
      <c r="R4" s="5"/>
      <c r="S4" s="5"/>
      <c r="T4" s="5"/>
      <c r="U4" s="5"/>
      <c r="V4" s="5"/>
    </row>
    <row r="5" spans="1:32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5"/>
      <c r="O5" s="5"/>
      <c r="P5" s="5"/>
      <c r="Q5" s="5"/>
      <c r="R5" s="5"/>
      <c r="S5" s="5"/>
      <c r="T5" s="5"/>
      <c r="U5" s="5"/>
      <c r="V5" s="5"/>
    </row>
    <row r="6" spans="1:32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5"/>
      <c r="O6" s="5"/>
      <c r="P6" s="5"/>
      <c r="Q6" s="5"/>
      <c r="R6" s="5"/>
      <c r="S6" s="5"/>
      <c r="T6" s="5"/>
      <c r="U6" s="5"/>
      <c r="V6" s="5"/>
    </row>
    <row r="7" spans="1:32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5"/>
      <c r="O7" s="5"/>
      <c r="P7" s="5"/>
      <c r="Q7" s="5"/>
      <c r="R7" s="5"/>
      <c r="S7" s="5"/>
      <c r="T7" s="5"/>
      <c r="U7" s="5"/>
      <c r="V7" s="5"/>
      <c r="AF7" s="5"/>
    </row>
    <row r="8" spans="1:32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5"/>
      <c r="O8" s="5"/>
      <c r="P8" s="5"/>
      <c r="Q8" s="5"/>
      <c r="R8" s="5"/>
      <c r="S8" s="5"/>
      <c r="T8" s="5"/>
      <c r="U8" s="5"/>
      <c r="V8" s="5"/>
    </row>
    <row r="9" spans="1:32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5"/>
      <c r="O9" s="5"/>
      <c r="P9" s="5"/>
      <c r="Q9" s="5"/>
      <c r="R9" s="5"/>
      <c r="S9" s="5"/>
      <c r="T9" s="5"/>
      <c r="U9" s="5"/>
      <c r="V9" s="5"/>
    </row>
    <row r="10" spans="1:32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5"/>
      <c r="O10" s="5"/>
      <c r="P10" s="5"/>
      <c r="Q10" s="5"/>
      <c r="R10" s="5"/>
      <c r="S10" s="5"/>
      <c r="T10" s="5"/>
      <c r="U10" s="5"/>
      <c r="V10" s="5"/>
    </row>
    <row r="11" spans="1:32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5"/>
      <c r="O11" s="5"/>
      <c r="P11" s="5"/>
      <c r="Q11" s="5"/>
      <c r="R11" s="5"/>
      <c r="S11" s="5"/>
      <c r="T11" s="5"/>
      <c r="U11" s="5"/>
      <c r="V11" s="5"/>
    </row>
    <row r="12" spans="1:32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5"/>
      <c r="O12" s="5"/>
      <c r="P12" s="5"/>
      <c r="Q12" s="5"/>
      <c r="R12" s="5"/>
      <c r="S12" s="5"/>
      <c r="T12" s="5"/>
      <c r="U12" s="5"/>
      <c r="V12" s="5"/>
    </row>
    <row r="13" spans="1:32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5"/>
      <c r="O13" s="5"/>
      <c r="P13" s="5"/>
      <c r="Q13" s="5"/>
      <c r="R13" s="5"/>
      <c r="S13" s="5"/>
      <c r="T13" s="5"/>
      <c r="U13" s="5"/>
      <c r="V13" s="5"/>
    </row>
    <row r="14" spans="1:32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5"/>
      <c r="O14" s="5"/>
      <c r="P14" s="5"/>
      <c r="Q14" s="5"/>
      <c r="R14" s="5"/>
      <c r="S14" s="5"/>
      <c r="T14" s="5"/>
      <c r="U14" s="5"/>
      <c r="V14" s="5"/>
    </row>
    <row r="15" spans="1:32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5"/>
      <c r="O15" s="5"/>
      <c r="P15" s="5"/>
      <c r="Q15" s="5"/>
      <c r="R15" s="5"/>
      <c r="S15" s="5"/>
      <c r="T15" s="5"/>
      <c r="U15" s="5"/>
      <c r="V15" s="5"/>
    </row>
    <row r="16" spans="1:32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5"/>
      <c r="O16" s="5"/>
      <c r="P16" s="5"/>
      <c r="Q16" s="5"/>
      <c r="S16" s="5"/>
      <c r="T16" s="5"/>
      <c r="U16" s="5"/>
      <c r="V16" s="5"/>
    </row>
    <row r="17" spans="1:31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5"/>
      <c r="O17" s="5"/>
      <c r="P17" s="5"/>
      <c r="Q17" s="5"/>
      <c r="R17" s="5"/>
      <c r="S17" s="5"/>
      <c r="T17" s="5"/>
      <c r="V17" s="5"/>
      <c r="Y17" s="5"/>
      <c r="AA17" s="5"/>
      <c r="AB17" s="5"/>
      <c r="AD17" s="5"/>
    </row>
    <row r="18" spans="1:31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5"/>
      <c r="O18" s="5"/>
      <c r="P18" s="5"/>
      <c r="Q18" s="5"/>
      <c r="S18" s="5"/>
      <c r="T18" s="5"/>
      <c r="V18" s="5"/>
      <c r="W18" s="5"/>
      <c r="AB18" s="5"/>
    </row>
    <row r="19" spans="1:31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5"/>
      <c r="O19" s="5"/>
      <c r="P19" s="5"/>
      <c r="Q19" s="5"/>
      <c r="R19" s="5"/>
      <c r="S19" s="5"/>
      <c r="T19" s="5"/>
      <c r="V19" s="5"/>
      <c r="W19" s="5"/>
      <c r="Y19" s="5"/>
      <c r="Z19" s="5"/>
      <c r="AA19" s="5"/>
    </row>
    <row r="20" spans="1:31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5"/>
      <c r="O20" s="5"/>
      <c r="P20" s="5"/>
      <c r="Q20" s="5"/>
      <c r="R20" s="5"/>
      <c r="S20" s="5"/>
      <c r="T20" s="5"/>
      <c r="V20" s="5"/>
      <c r="Y20" s="5"/>
      <c r="Z20" s="5"/>
      <c r="AA20" s="5"/>
      <c r="AD20" s="5"/>
    </row>
    <row r="21" spans="1:31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5"/>
      <c r="O21" s="5"/>
      <c r="P21" s="5"/>
      <c r="Q21" s="5"/>
      <c r="R21" s="5"/>
      <c r="S21" s="5"/>
      <c r="T21" s="5"/>
      <c r="V21" s="5"/>
      <c r="W21" s="5"/>
      <c r="Y21" s="5"/>
      <c r="Z21" s="5"/>
      <c r="AA21" s="5"/>
    </row>
    <row r="22" spans="1:31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5"/>
      <c r="O22" s="5"/>
      <c r="P22" s="5"/>
      <c r="Q22" s="5"/>
      <c r="S22" s="5"/>
      <c r="T22" s="5"/>
      <c r="V22" s="5"/>
      <c r="W22" s="5"/>
      <c r="AB22" s="5"/>
    </row>
    <row r="23" spans="1:31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5"/>
      <c r="O23" s="5"/>
      <c r="P23" s="5"/>
      <c r="Q23" s="5"/>
      <c r="R23" s="5"/>
      <c r="S23" s="5"/>
      <c r="T23" s="5"/>
      <c r="V23" s="5"/>
      <c r="W23" s="5"/>
      <c r="AA23" s="5"/>
      <c r="AD23" s="5"/>
    </row>
    <row r="24" spans="1:31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5"/>
      <c r="O24" s="5"/>
      <c r="P24" s="5"/>
      <c r="Q24" s="5"/>
      <c r="R24" s="5"/>
      <c r="S24" s="5"/>
      <c r="T24" s="5"/>
      <c r="V24" s="5"/>
      <c r="W24" s="5"/>
      <c r="AA24" s="5"/>
    </row>
    <row r="25" spans="1:31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5"/>
      <c r="P25" s="5"/>
      <c r="Q25" s="5"/>
      <c r="R25" s="5"/>
      <c r="T25" s="5"/>
      <c r="W25" s="5"/>
      <c r="Y25" s="5"/>
      <c r="AD25" s="5"/>
    </row>
    <row r="26" spans="1:31" x14ac:dyDescent="0.25">
      <c r="A26" t="str">
        <f>IF(Input!A27="","",Input!A27)</f>
        <v/>
      </c>
      <c r="N26" s="5"/>
      <c r="P26" s="5"/>
      <c r="Q26" s="5"/>
      <c r="R26" s="5"/>
      <c r="T26" s="5"/>
      <c r="W26" s="5"/>
      <c r="Y26" s="5"/>
      <c r="AD26" s="5"/>
    </row>
    <row r="27" spans="1:31" x14ac:dyDescent="0.25">
      <c r="A27" t="str">
        <f>IF(Input!A28="","",Input!A28)</f>
        <v/>
      </c>
      <c r="N27" s="5"/>
      <c r="P27" s="5"/>
      <c r="R27" s="5"/>
      <c r="T27" s="5"/>
      <c r="W27" s="5"/>
      <c r="Y27" s="5"/>
      <c r="AD27" s="5"/>
    </row>
    <row r="28" spans="1:31" x14ac:dyDescent="0.25">
      <c r="A28" t="str">
        <f>IF(Input!A29="","",Input!A29)</f>
        <v/>
      </c>
      <c r="N28" s="5"/>
      <c r="P28" s="5"/>
      <c r="R28" s="5"/>
      <c r="T28" s="5"/>
      <c r="W28" s="5"/>
      <c r="Y28" s="5"/>
      <c r="AD28" s="5"/>
      <c r="AE28" s="5"/>
    </row>
    <row r="29" spans="1:31" x14ac:dyDescent="0.25">
      <c r="A29" t="str">
        <f>IF(Input!A30="","",Input!A30)</f>
        <v/>
      </c>
      <c r="N29" s="5"/>
      <c r="P29" s="5"/>
      <c r="Q29" s="5"/>
      <c r="R29" s="5"/>
      <c r="U29" s="5"/>
      <c r="V29" s="5"/>
    </row>
    <row r="30" spans="1:31" x14ac:dyDescent="0.25">
      <c r="A30" t="str">
        <f>IF(Input!A31="","",Input!A31)</f>
        <v/>
      </c>
      <c r="N30" s="5"/>
      <c r="P30" s="5"/>
      <c r="Q30" s="5"/>
      <c r="R30" s="5"/>
      <c r="T30" s="5"/>
      <c r="U30" s="5"/>
      <c r="V30" s="5"/>
    </row>
    <row r="31" spans="1:31" x14ac:dyDescent="0.25">
      <c r="A31" t="str">
        <f>IF(Input!A32="","",Input!A32)</f>
        <v/>
      </c>
      <c r="N31" s="5"/>
      <c r="P31" s="5"/>
      <c r="Q31" s="5"/>
      <c r="R31" s="5"/>
      <c r="S31" s="5"/>
      <c r="U31" s="5"/>
      <c r="V31" s="5"/>
    </row>
    <row r="32" spans="1:31" x14ac:dyDescent="0.25">
      <c r="A32" t="str">
        <f>IF(Input!A33="","",Input!A33)</f>
        <v/>
      </c>
      <c r="N32" s="5"/>
      <c r="P32" s="5"/>
      <c r="Q32" s="5"/>
      <c r="R32" s="5"/>
      <c r="S32" s="5"/>
      <c r="T32" s="5"/>
      <c r="U32" s="5"/>
      <c r="V32" s="5"/>
    </row>
    <row r="33" spans="1:29" x14ac:dyDescent="0.25">
      <c r="A33" t="str">
        <f>IF(Input!A34="","",Input!A34)</f>
        <v/>
      </c>
      <c r="N33" s="5"/>
      <c r="P33" s="5"/>
      <c r="Q33" s="5"/>
      <c r="R33" s="5"/>
      <c r="S33" s="5"/>
      <c r="T33" s="5"/>
      <c r="U33" s="5"/>
      <c r="V33" s="5"/>
    </row>
    <row r="34" spans="1:29" x14ac:dyDescent="0.25">
      <c r="A34" t="str">
        <f>IF(Input!A35="","",Input!A35)</f>
        <v/>
      </c>
      <c r="P34" s="5"/>
      <c r="R34" s="5"/>
      <c r="S34" s="5"/>
      <c r="T34" s="5"/>
      <c r="U34" s="5"/>
      <c r="AC34" s="5"/>
    </row>
    <row r="35" spans="1:29" x14ac:dyDescent="0.25">
      <c r="A35" t="str">
        <f>IF(Input!A36="","",Input!A36)</f>
        <v/>
      </c>
    </row>
    <row r="36" spans="1:29" x14ac:dyDescent="0.25">
      <c r="A36" t="str">
        <f>IF(Input!A37="","",Input!A37)</f>
        <v/>
      </c>
    </row>
    <row r="37" spans="1:29" x14ac:dyDescent="0.25">
      <c r="A37" t="str">
        <f>IF(Input!A38="","",Input!A38)</f>
        <v/>
      </c>
    </row>
    <row r="38" spans="1:29" x14ac:dyDescent="0.25">
      <c r="A38" t="str">
        <f>IF(Input!A39="","",Input!A39)</f>
        <v/>
      </c>
    </row>
    <row r="39" spans="1:29" x14ac:dyDescent="0.25">
      <c r="A39" t="str">
        <f>IF(Input!A40="","",Input!A40)</f>
        <v/>
      </c>
    </row>
    <row r="40" spans="1:29" x14ac:dyDescent="0.25">
      <c r="A40" t="str">
        <f>IF(Input!A41="","",Input!A41)</f>
        <v/>
      </c>
    </row>
    <row r="41" spans="1:29" x14ac:dyDescent="0.25">
      <c r="A41" t="str">
        <f>IF(Input!A42="","",Input!A42)</f>
        <v/>
      </c>
    </row>
    <row r="42" spans="1:29" x14ac:dyDescent="0.25">
      <c r="A42" t="str">
        <f>IF(Input!A43="","",Input!A43)</f>
        <v/>
      </c>
    </row>
    <row r="43" spans="1:29" x14ac:dyDescent="0.25">
      <c r="A43" t="str">
        <f>IF(Input!A44="","",Input!A44)</f>
        <v/>
      </c>
    </row>
    <row r="44" spans="1:29" x14ac:dyDescent="0.25">
      <c r="A44" t="str">
        <f>IF(Input!A45="","",Input!A45)</f>
        <v/>
      </c>
    </row>
    <row r="45" spans="1:29" x14ac:dyDescent="0.25">
      <c r="A45" t="str">
        <f>IF(Input!A46="","",Input!A46)</f>
        <v/>
      </c>
    </row>
    <row r="46" spans="1:29" x14ac:dyDescent="0.25">
      <c r="A46" t="str">
        <f>IF(Input!A47="","",Input!A47)</f>
        <v/>
      </c>
    </row>
    <row r="47" spans="1:29" x14ac:dyDescent="0.25">
      <c r="A47" t="str">
        <f>IF(Input!A48="","",Input!A48)</f>
        <v/>
      </c>
    </row>
    <row r="48" spans="1:29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2" sqref="D2"/>
    </sheetView>
  </sheetViews>
  <sheetFormatPr defaultRowHeight="15" x14ac:dyDescent="0.25"/>
  <cols>
    <col min="1" max="1" width="19.5703125" bestFit="1" customWidth="1"/>
    <col min="2" max="2" width="45" bestFit="1" customWidth="1"/>
    <col min="3" max="3" width="30.7109375" bestFit="1" customWidth="1"/>
    <col min="4" max="4" width="100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L&amp;C Global Growth Fund</v>
      </c>
      <c r="B2" t="s">
        <v>38</v>
      </c>
      <c r="C2" t="s">
        <v>40</v>
      </c>
      <c r="D2" s="8" t="s">
        <v>58</v>
      </c>
      <c r="E2" t="s">
        <v>41</v>
      </c>
    </row>
    <row r="3" spans="1:5" x14ac:dyDescent="0.25">
      <c r="A3" t="str">
        <f>IF(Input!A4="","",Input!A4)</f>
        <v>L&amp;C Global Balanced Fund</v>
      </c>
      <c r="B3" t="s">
        <v>38</v>
      </c>
      <c r="C3" t="s">
        <v>39</v>
      </c>
      <c r="D3" s="8" t="s">
        <v>59</v>
      </c>
      <c r="E3" t="s">
        <v>41</v>
      </c>
    </row>
    <row r="4" spans="1:5" x14ac:dyDescent="0.25">
      <c r="A4" t="str">
        <f>IF(Input!A5="","",Input!A5)</f>
        <v/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L&amp;C Global Growth Fund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L&amp;C Global Balanced Fund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/>
      </c>
      <c r="B4" s="1" t="str">
        <f>IF(A4="","",EOMONTH(DATE(YEAR(IF(A4="","",'Additional Information'!B4)),MONTH(IF(A4="","",'Additional Information'!B4)),DAY(IF(A4="","",'Additional Information'!B4))),0))</f>
        <v/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L&amp;C Global Growth Fund</v>
      </c>
      <c r="C2">
        <f>IF(A2="","",'Additional Information'!E2)</f>
        <v>2.41E-2</v>
      </c>
      <c r="D2" s="5">
        <f>IF(A2="","",SUM('Additional Information'!C2,'Additional Information'!D2))</f>
        <v>0.12199999999999998</v>
      </c>
      <c r="E2">
        <f>IF(A2="","",SUM('Additional Information'!C2))</f>
        <v>0.01</v>
      </c>
    </row>
    <row r="3" spans="1:5" x14ac:dyDescent="0.25">
      <c r="A3" t="str">
        <f>IF(Input!A4="","",Input!A4)</f>
        <v>L&amp;C Global Balanced Fund</v>
      </c>
      <c r="C3">
        <f>IF(A3="","",'Additional Information'!E3)</f>
        <v>1.0800000000000001E-2</v>
      </c>
      <c r="D3" s="5">
        <f>IF(A3="","",SUM('Additional Information'!C3,'Additional Information'!D3))</f>
        <v>7.3700000000000002E-2</v>
      </c>
      <c r="E3">
        <f>IF(A3="","",SUM('Additional Information'!C3))</f>
        <v>0.01</v>
      </c>
    </row>
    <row r="4" spans="1:5" x14ac:dyDescent="0.25">
      <c r="A4" t="str">
        <f>IF(Input!A5="","",Input!A5)</f>
        <v/>
      </c>
      <c r="C4" t="str">
        <f>IF(A4="","",'Additional Information'!E4)</f>
        <v/>
      </c>
      <c r="D4" s="5" t="str">
        <f>IF(A4="","",SUM('Additional Information'!C4,'Additional Information'!D4))</f>
        <v/>
      </c>
      <c r="E4" t="str">
        <f>IF(A4="","",SUM('Additional Information'!C4))</f>
        <v/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L&amp;C Global Growth Fund</v>
      </c>
      <c r="B2">
        <f>IF(A2="","",SUM('Asset Allocation'!F2,'Asset Allocation'!G2,'Asset Allocation'!H2,'Asset Allocation'!I2,'Asset Allocation'!J2,'Asset Allocation'!K2))</f>
        <v>1.0830000000000002</v>
      </c>
      <c r="C2">
        <f>IF(A2="","",SUM('Asset Allocation'!C2))</f>
        <v>0.29299999999999998</v>
      </c>
      <c r="D2">
        <f>IF(A2="","",SUM('Asset Allocation'!D2))</f>
        <v>9.9000000000000005E-2</v>
      </c>
      <c r="F2">
        <f>IF(A2="","",SUM('Asset Allocation'!E2))</f>
        <v>0.60099999999999998</v>
      </c>
      <c r="G2">
        <f>IF(A2="","",SUM('Asset Allocation'!B2))</f>
        <v>0.60799999999999998</v>
      </c>
      <c r="H2">
        <f t="shared" ref="H2:H50" si="0">IF(A2="","",1-SUM(B2:G2))</f>
        <v>-1.6840000000000002</v>
      </c>
    </row>
    <row r="3" spans="1:8" x14ac:dyDescent="0.25">
      <c r="A3" t="str">
        <f>IF(Input!A4="","",Input!A4)</f>
        <v>L&amp;C Global Balanced Fund</v>
      </c>
      <c r="B3">
        <f>IF(A3="","",SUM('Asset Allocation'!F3,'Asset Allocation'!G3,'Asset Allocation'!H3,'Asset Allocation'!I3,'Asset Allocation'!J3,'Asset Allocation'!K3))</f>
        <v>1.093</v>
      </c>
      <c r="C3">
        <f>IF(A3="","",SUM('Asset Allocation'!C3))</f>
        <v>0.54700000000000004</v>
      </c>
      <c r="D3">
        <f>IF(A3="","",SUM('Asset Allocation'!D3))</f>
        <v>0.14300000000000002</v>
      </c>
      <c r="F3">
        <f>IF(A3="","",SUM('Asset Allocation'!E3))</f>
        <v>0.76</v>
      </c>
      <c r="G3">
        <f>IF(A3="","",SUM('Asset Allocation'!B3))</f>
        <v>0.307</v>
      </c>
      <c r="H3">
        <f t="shared" si="0"/>
        <v>-1.85</v>
      </c>
    </row>
    <row r="4" spans="1:8" x14ac:dyDescent="0.25">
      <c r="A4" t="str">
        <f>IF(Input!A5="","",Input!A5)</f>
        <v/>
      </c>
      <c r="B4" t="str">
        <f>IF(A4="","",SUM('Asset Allocation'!F4,'Asset Allocation'!G4,'Asset Allocation'!H4,'Asset Allocation'!I4,'Asset Allocation'!J4,'Asset Allocation'!K4))</f>
        <v/>
      </c>
      <c r="C4" t="str">
        <f>IF(A4="","",SUM('Asset Allocation'!C4))</f>
        <v/>
      </c>
      <c r="D4" t="str">
        <f>IF(A4="","",SUM('Asset Allocation'!D4))</f>
        <v/>
      </c>
      <c r="F4" t="str">
        <f>IF(A4="","",SUM('Asset Allocation'!E4))</f>
        <v/>
      </c>
      <c r="G4" t="str">
        <f>IF(A4="","",SUM('Asset Allocation'!B4))</f>
        <v/>
      </c>
      <c r="H4" t="str">
        <f t="shared" si="0"/>
        <v/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L&amp;C Global Growth Fund</v>
      </c>
      <c r="B2" s="6">
        <f>IFERROR(IF(A2="","",SUM('Asset Allocation'!G2)/'Broad Asset Allocation'!B2),0)</f>
        <v>0.19113573407202211</v>
      </c>
      <c r="C2" s="6">
        <f>IFERROR(IF(A2="","",SUM('Asset Allocation'!F2)/'Broad Asset Allocation'!B2),0)</f>
        <v>0.31486611265004616</v>
      </c>
      <c r="D2" s="6">
        <f>IFERROR(IF(A2="","",SUM('Asset Allocation'!H2)/'Broad Asset Allocation'!B2),0)</f>
        <v>4.8014773776546622E-2</v>
      </c>
      <c r="E2" s="6">
        <f>IFERROR(IF(A2="","",SUM('Asset Allocation'!I2)/'Broad Asset Allocation'!B2),0)</f>
        <v>0.31763619575253915</v>
      </c>
      <c r="F2" s="6"/>
      <c r="G2" s="6">
        <f>IFERROR(IF(A2="","",SUM('Asset Allocation'!J2)/'Broad Asset Allocation'!B2),0)</f>
        <v>5.0784856879039698E-2</v>
      </c>
      <c r="H2" s="6">
        <f>IFERROR(IF(A2="","",SUM('Asset Allocation'!K2)/'Broad Asset Allocation'!B2),0)</f>
        <v>7.7562326869806089E-2</v>
      </c>
    </row>
    <row r="3" spans="1:8" x14ac:dyDescent="0.25">
      <c r="A3" t="str">
        <f>IF(Input!A4="","",Input!A4)</f>
        <v>L&amp;C Global Balanced Fund</v>
      </c>
      <c r="B3" s="6">
        <f>IFERROR(IF(A3="","",SUM('Asset Allocation'!G3)/'Broad Asset Allocation'!B3),0)</f>
        <v>0.25892040256175669</v>
      </c>
      <c r="C3" s="6">
        <f>IFERROR(IF(A3="","",SUM('Asset Allocation'!F3)/'Broad Asset Allocation'!B3),0)</f>
        <v>0.39341262580054898</v>
      </c>
      <c r="D3" s="6">
        <f>IFERROR(IF(A3="","",SUM('Asset Allocation'!H3)/'Broad Asset Allocation'!B3),0)</f>
        <v>4.3000914913083256E-2</v>
      </c>
      <c r="E3" s="6">
        <f>IFERROR(IF(A3="","",SUM('Asset Allocation'!I3)/'Broad Asset Allocation'!B3),0)</f>
        <v>0.21957913998170173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8.5086916742909441E-2</v>
      </c>
    </row>
    <row r="4" spans="1:8" x14ac:dyDescent="0.25">
      <c r="A4" t="str">
        <f>IF(Input!A5="","",Input!A5)</f>
        <v/>
      </c>
      <c r="B4" s="6" t="str">
        <f>IFERROR(IF(A4="","",SUM('Asset Allocation'!G4)/'Broad Asset Allocation'!B4),0)</f>
        <v/>
      </c>
      <c r="C4" s="6" t="str">
        <f>IFERROR(IF(A4="","",SUM('Asset Allocation'!F4)/'Broad Asset Allocation'!B4),0)</f>
        <v/>
      </c>
      <c r="D4" s="6" t="str">
        <f>IFERROR(IF(A4="","",SUM('Asset Allocation'!H4)/'Broad Asset Allocation'!B4),0)</f>
        <v/>
      </c>
      <c r="E4" s="6" t="str">
        <f>IFERROR(IF(A4="","",SUM('Asset Allocation'!I4)/'Broad Asset Allocation'!B4),0)</f>
        <v/>
      </c>
      <c r="F4" s="6"/>
      <c r="G4" s="6" t="str">
        <f>IFERROR(IF(A4="","",SUM('Asset Allocation'!J4)/'Broad Asset Allocation'!B4),0)</f>
        <v/>
      </c>
      <c r="H4" s="6" t="str">
        <f>IFERROR(IF(A4="","",SUM('Asset Allocation'!K4)/'Broad Asset Allocation'!B4),0)</f>
        <v/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L&amp;C Global Growth Fund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L&amp;C Global Balanced Fund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/>
      </c>
      <c r="H4" t="str">
        <f>IFERROR(IF(A4="","",SUM('Asset Allocation'!C4)/'Broad Asset Allocation'!C4),0)</f>
        <v/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2023-10-29T11:33:02Z</dcterms:modified>
</cp:coreProperties>
</file>