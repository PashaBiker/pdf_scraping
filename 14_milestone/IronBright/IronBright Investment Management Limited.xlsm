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IronBright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" i="3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<sst xmlns="http://schemas.openxmlformats.org/spreadsheetml/2006/main" count="173" uniqueCount="121">
  <si>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</si>
  <si>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</si>
  <si>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</si>
  <si>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</si>
  <si>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</si>
  <si>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</si>
  <si>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</si>
  <si>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</si>
  <si>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</si>
  <si>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</si>
  <si>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</si>
  <si>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</si>
  <si>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</si>
  <si>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</si>
  <si>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</si>
  <si>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</si>
  <si>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</si>
  <si>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</si>
  <si>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</si>
  <si>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</si>
  <si>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</si>
  <si>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</si>
  <si>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</si>
  <si>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</si>
  <si>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</si>
  <si>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</si>
  <si>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</si>
  <si>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</si>
  <si>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</si>
  <si>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</si>
  <si>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</si>
  <si>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</si>
  <si>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</si>
  <si>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IronBright 20 Core-Satellite</t>
  </si>
  <si>
    <t>IronBright 40 Core-Satellite</t>
  </si>
  <si>
    <t>IronBright 60 Core-Satellite</t>
  </si>
  <si>
    <t>IronBright 80 Core-Satellite</t>
  </si>
  <si>
    <t>IronBright 100 Core-Satellite</t>
  </si>
  <si>
    <t>IronBright 30 Core-Satellite</t>
  </si>
  <si>
    <t>IronBright 50 Core-Satellite</t>
  </si>
  <si>
    <t>IronBright 70 Core-Satellite</t>
  </si>
  <si>
    <t>IronBright 90 Core-Satellite</t>
  </si>
  <si>
    <t>IronBright 20 Passive</t>
  </si>
  <si>
    <t>IronBright 30 Passive</t>
  </si>
  <si>
    <t>IronBright 40 Passive</t>
  </si>
  <si>
    <t>IronBright 50 Passive</t>
  </si>
  <si>
    <t>IronBright 60 Passive</t>
  </si>
  <si>
    <t>IronBright 70 Passive</t>
  </si>
  <si>
    <t>IronBright 80 Passive</t>
  </si>
  <si>
    <t>IronBright 90 Passive</t>
  </si>
  <si>
    <t>IronBright 100 Passive</t>
  </si>
  <si>
    <t>IronBright Cautious Income</t>
  </si>
  <si>
    <t>IronBright Balanced Income</t>
  </si>
  <si>
    <t>IronBright Equity Income</t>
  </si>
  <si>
    <t>IronBright Sustainable 30</t>
  </si>
  <si>
    <t>IronBright Sustainable 50</t>
  </si>
  <si>
    <t>IronBright Sustainable 70</t>
  </si>
  <si>
    <t>https://ironbright.com/our-managed-portfolio-service/literature/</t>
  </si>
  <si>
    <t>IronBright20CS</t>
  </si>
  <si>
    <t>IronBright30CS</t>
  </si>
  <si>
    <t>IronBright40CS</t>
  </si>
  <si>
    <t>IronBright50CS</t>
  </si>
  <si>
    <t>IronBright60CS</t>
  </si>
  <si>
    <t>IronBright70CS</t>
  </si>
  <si>
    <t>IronBright80CS</t>
  </si>
  <si>
    <t>IronBright90CS</t>
  </si>
  <si>
    <t>IronBright100CS</t>
  </si>
  <si>
    <t>IronBright20P</t>
  </si>
  <si>
    <t>IronBright30P</t>
  </si>
  <si>
    <t>IronBright40P</t>
  </si>
  <si>
    <t>IronBright50P</t>
  </si>
  <si>
    <t>IronBright60P</t>
  </si>
  <si>
    <t>IronBright70P</t>
  </si>
  <si>
    <t>IronBright80P</t>
  </si>
  <si>
    <t>IronBright90P</t>
  </si>
  <si>
    <t>IronBright100P</t>
  </si>
  <si>
    <t>Core Satellite Portfolios</t>
  </si>
  <si>
    <t>Passive Portfolios</t>
  </si>
  <si>
    <t>Income Portfolios</t>
  </si>
  <si>
    <t>Sustainable Portfolios</t>
  </si>
  <si>
    <t>UK Equities</t>
  </si>
  <si>
    <t>Global Equities</t>
  </si>
  <si>
    <t>UK Government (Fixed Interest)</t>
  </si>
  <si>
    <t>UK Corporate (Fixed Interest)</t>
  </si>
  <si>
    <t>Global (Fixed Interest)</t>
  </si>
  <si>
    <t>Property</t>
  </si>
  <si>
    <t>US Equities</t>
  </si>
  <si>
    <t>European Equities</t>
  </si>
  <si>
    <t>Far East (ex-Japan) Equities</t>
  </si>
  <si>
    <t>Japanese Equities</t>
  </si>
  <si>
    <t>Emerging Market Equities</t>
  </si>
  <si>
    <t>Commodities</t>
  </si>
  <si>
    <t>Far East Equities</t>
  </si>
  <si>
    <t>Global Property</t>
  </si>
  <si>
    <t>DFM Charge</t>
  </si>
  <si>
    <t>Portfolio OCF</t>
  </si>
  <si>
    <t>1 yr</t>
  </si>
  <si>
    <t>https://ironbright.com/wp-content/uploads/2023/06/IB20CS.pdf</t>
  </si>
  <si>
    <t>https://ironbright.com/wp-content/uploads/2023/06/IB30CS.pdf</t>
  </si>
  <si>
    <t>https://ironbright.com/wp-content/uploads/2023/06/IronBright-40-Core-Satellite.pdf</t>
  </si>
  <si>
    <t>https://ironbright.com/wp-content/uploads/2023/06/IB50CS.pdf</t>
  </si>
  <si>
    <t>https://ironbright.com/wp-content/uploads/2023/06/IB60CS.pdf</t>
  </si>
  <si>
    <t>https://ironbright.com/wp-content/uploads/2023/06/IB70CS.pdf</t>
  </si>
  <si>
    <t>https://ironbright.com/wp-content/uploads/2023/06/IB80CS.pdf</t>
  </si>
  <si>
    <t>https://ironbright.com/wp-content/uploads/2023/06/IB90CS.pdf</t>
  </si>
  <si>
    <t>https://ironbright.com/wp-content/uploads/2023/06/IronBright-100-Core-Satellite.pdf</t>
  </si>
  <si>
    <t>https://ironbright.com/wp-content/uploads/2023/06/IB20P.pdf</t>
  </si>
  <si>
    <t>https://ironbright.com/wp-content/uploads/2023/06/IB30P.pdf</t>
  </si>
  <si>
    <t>https://ironbright.com/wp-content/uploads/2023/06/IB40P.pdf</t>
  </si>
  <si>
    <t>https://ironbright.com/wp-content/uploads/2023/06/IB50P.pdf</t>
  </si>
  <si>
    <t>https://ironbright.com/wp-content/uploads/2023/06/IB60P.pdf</t>
  </si>
  <si>
    <t>https://ironbright.com/wp-content/uploads/2023/06/IB70P.pdf</t>
  </si>
  <si>
    <t>https://ironbright.com/wp-content/uploads/2023/06/IB80P.pdf</t>
  </si>
  <si>
    <t>https://ironbright.com/wp-content/uploads/2023/06/IronBright-90-Passive.pdf</t>
  </si>
  <si>
    <t>https://ironbright.com/wp-content/uploads/2023/06/IB100P.pdf</t>
  </si>
  <si>
    <t>https://ironbright.com/wp-content/uploads/2023/06/IBCINC.pdf</t>
  </si>
  <si>
    <t>https://ironbright.com/wp-content/uploads/2023/06/IBBINC.pdf</t>
  </si>
  <si>
    <t>https://ironbright.com/wp-content/uploads/2023/06/IBEQINC.pdf</t>
  </si>
  <si>
    <t>https://ironbright.com/wp-content/uploads/2023/06/IB30SUS.pdf</t>
  </si>
  <si>
    <t>https://ironbright.com/wp-content/uploads/2023/06/IB50SUS.pdf</t>
  </si>
  <si>
    <t>https://ironbright.com/wp-content/uploads/2023/06/IB70SUS.pdf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</si>
</sst>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  <xf numFmtId="0" fontId="0" fillId="0" borderId="0" xfId="0" applyFill="1"/>
    <xf numFmtId="10" fontId="0" fillId="0" borderId="0" xfId="2" applyNumberFormat="1" applyFont="1" applyFill="1"/>
    <xf numFmtId="14" fontId="0" fillId="0" borderId="0" xfId="0" applyNumberFormat="1" applyFill="1"/>
    <xf numFmtId="15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323961</xdr:colOff>
      <xdr:row>6</xdr:row>
      <xdr:rowOff>171506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D16837-BF81-6AFC-6F3F-19F8819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2152761" cy="109225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169038</xdr:rowOff>
    </xdr:from>
    <xdr:to>
      <xdr:col>6</xdr:col>
      <xdr:colOff>101600</xdr:colOff>
      <xdr:row>13</xdr:row>
      <xdr:rowOff>139763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05C5B5-E87D-42D6-41AA-8EF23D668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58088"/>
          <a:ext cx="3759200" cy="10756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82680</xdr:colOff>
      <xdr:row>22</xdr:row>
      <xdr:rowOff>114382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A866BB0-4FC4-1F07-A16A-4016F017C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578100"/>
          <a:ext cx="2521080" cy="158758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330342</xdr:colOff>
      <xdr:row>13</xdr:row>
      <xdr:rowOff>63617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F6B8C4-FEDC-5805-8098-5498E8512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768742" cy="22734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N16" sqref="N16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6"/>
  <sheetViews>
    <sheetView workbookViewId="0">
      <selection activeCell="B3" sqref="B3:B26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https://ironbright.com/wp-content/uploads/2023/06/IB20CS.pdf</v>
      </c>
      <c r="J3" s="4"/>
    </row>
    <row r="4" spans="1:10" x14ac:dyDescent="0.25">
      <c r="A4" t="s">
        <v>38</v>
      </c>
      <c r="B4" t="str">
        <f>'PDF Scraping'!D3</f>
        <v>https://ironbright.com/wp-content/uploads/2023/06/IB30CS.pdf</v>
      </c>
      <c r="J4" s="4"/>
    </row>
    <row r="5" spans="1:10" x14ac:dyDescent="0.25">
      <c r="A5" t="s">
        <v>34</v>
      </c>
      <c r="B5" t="str">
        <f>'PDF Scraping'!D4</f>
        <v>https://ironbright.com/wp-content/uploads/2023/06/IronBright-40-Core-Satellite.pdf</v>
      </c>
    </row>
    <row r="6" spans="1:10" x14ac:dyDescent="0.25">
      <c r="A6" t="s">
        <v>39</v>
      </c>
      <c r="B6" t="str">
        <f>'PDF Scraping'!D5</f>
        <v>https://ironbright.com/wp-content/uploads/2023/06/IB50CS.pdf</v>
      </c>
    </row>
    <row r="7" spans="1:10" x14ac:dyDescent="0.25">
      <c r="A7" t="s">
        <v>35</v>
      </c>
      <c r="B7" t="str">
        <f>'PDF Scraping'!D6</f>
        <v>https://ironbright.com/wp-content/uploads/2023/06/IB60CS.pdf</v>
      </c>
    </row>
    <row r="8" spans="1:10" x14ac:dyDescent="0.25">
      <c r="A8" t="s">
        <v>40</v>
      </c>
      <c r="B8" t="str">
        <f>'PDF Scraping'!D7</f>
        <v>https://ironbright.com/wp-content/uploads/2023/06/IB70CS.pdf</v>
      </c>
    </row>
    <row r="9" spans="1:10" x14ac:dyDescent="0.25">
      <c r="A9" t="s">
        <v>36</v>
      </c>
      <c r="B9" t="str">
        <f>'PDF Scraping'!D8</f>
        <v>https://ironbright.com/wp-content/uploads/2023/06/IB80CS.pdf</v>
      </c>
    </row>
    <row r="10" spans="1:10" x14ac:dyDescent="0.25">
      <c r="A10" t="s">
        <v>41</v>
      </c>
      <c r="B10" t="str">
        <f>'PDF Scraping'!D9</f>
        <v>https://ironbright.com/wp-content/uploads/2023/06/IB90CS.pdf</v>
      </c>
    </row>
    <row r="11" spans="1:10" x14ac:dyDescent="0.25">
      <c r="A11" t="s">
        <v>37</v>
      </c>
      <c r="B11" t="str">
        <f>'PDF Scraping'!D10</f>
        <v>https://ironbright.com/wp-content/uploads/2023/06/IronBright-100-Core-Satellite.pdf</v>
      </c>
    </row>
    <row r="12" spans="1:10" x14ac:dyDescent="0.25">
      <c r="A12" t="s">
        <v>42</v>
      </c>
      <c r="B12" t="str">
        <f>'PDF Scraping'!D11</f>
        <v>https://ironbright.com/wp-content/uploads/2023/06/IB20P.pdf</v>
      </c>
    </row>
    <row r="13" spans="1:10" x14ac:dyDescent="0.25">
      <c r="A13" t="s">
        <v>43</v>
      </c>
      <c r="B13" t="str">
        <f>'PDF Scraping'!D12</f>
        <v>https://ironbright.com/wp-content/uploads/2023/06/IB30P.pdf</v>
      </c>
    </row>
    <row r="14" spans="1:10" x14ac:dyDescent="0.25">
      <c r="A14" t="s">
        <v>44</v>
      </c>
      <c r="B14" t="str">
        <f>'PDF Scraping'!D13</f>
        <v>https://ironbright.com/wp-content/uploads/2023/06/IB40P.pdf</v>
      </c>
    </row>
    <row r="15" spans="1:10" x14ac:dyDescent="0.25">
      <c r="A15" t="s">
        <v>45</v>
      </c>
      <c r="B15" t="str">
        <f>'PDF Scraping'!D14</f>
        <v>https://ironbright.com/wp-content/uploads/2023/06/IB50P.pdf</v>
      </c>
    </row>
    <row r="16" spans="1:10" x14ac:dyDescent="0.25">
      <c r="A16" t="s">
        <v>46</v>
      </c>
      <c r="B16" t="str">
        <f>'PDF Scraping'!D15</f>
        <v>https://ironbright.com/wp-content/uploads/2023/06/IB60P.pdf</v>
      </c>
    </row>
    <row r="17" spans="1:2" x14ac:dyDescent="0.25">
      <c r="A17" t="s">
        <v>47</v>
      </c>
      <c r="B17" t="str">
        <f>'PDF Scraping'!D16</f>
        <v>https://ironbright.com/wp-content/uploads/2023/06/IB70P.pdf</v>
      </c>
    </row>
    <row r="18" spans="1:2" x14ac:dyDescent="0.25">
      <c r="A18" t="s">
        <v>48</v>
      </c>
      <c r="B18" t="str">
        <f>'PDF Scraping'!D17</f>
        <v>https://ironbright.com/wp-content/uploads/2023/06/IB80P.pdf</v>
      </c>
    </row>
    <row r="19" spans="1:2" x14ac:dyDescent="0.25">
      <c r="A19" t="s">
        <v>49</v>
      </c>
      <c r="B19" t="str">
        <f>'PDF Scraping'!D18</f>
        <v>https://ironbright.com/wp-content/uploads/2023/06/IronBright-90-Passive.pdf</v>
      </c>
    </row>
    <row r="20" spans="1:2" x14ac:dyDescent="0.25">
      <c r="A20" t="s">
        <v>50</v>
      </c>
      <c r="B20" t="str">
        <f>'PDF Scraping'!D19</f>
        <v>https://ironbright.com/wp-content/uploads/2023/06/IB100P.pdf</v>
      </c>
    </row>
    <row r="21" spans="1:2" x14ac:dyDescent="0.25">
      <c r="A21" t="s">
        <v>51</v>
      </c>
      <c r="B21" t="str">
        <f>'PDF Scraping'!D20</f>
        <v>https://ironbright.com/wp-content/uploads/2023/06/IBCINC.pdf</v>
      </c>
    </row>
    <row r="22" spans="1:2" x14ac:dyDescent="0.25">
      <c r="A22" t="s">
        <v>52</v>
      </c>
      <c r="B22" t="str">
        <f>'PDF Scraping'!D21</f>
        <v>https://ironbright.com/wp-content/uploads/2023/06/IBBINC.pdf</v>
      </c>
    </row>
    <row r="23" spans="1:2" x14ac:dyDescent="0.25">
      <c r="A23" t="s">
        <v>53</v>
      </c>
      <c r="B23" t="str">
        <f>'PDF Scraping'!D22</f>
        <v>https://ironbright.com/wp-content/uploads/2023/06/IBEQINC.pdf</v>
      </c>
    </row>
    <row r="24" spans="1:2" x14ac:dyDescent="0.25">
      <c r="A24" t="s">
        <v>54</v>
      </c>
      <c r="B24" t="str">
        <f>'PDF Scraping'!D23</f>
        <v>https://ironbright.com/wp-content/uploads/2023/06/IB30SUS.pdf</v>
      </c>
    </row>
    <row r="25" spans="1:2" x14ac:dyDescent="0.25">
      <c r="A25" t="s">
        <v>55</v>
      </c>
      <c r="B25" t="str">
        <f>'PDF Scraping'!D24</f>
        <v>https://ironbright.com/wp-content/uploads/2023/06/IB50SUS.pdf</v>
      </c>
    </row>
    <row r="26" spans="1:2" x14ac:dyDescent="0.25">
      <c r="A26" t="s">
        <v>56</v>
      </c>
      <c r="B26" t="str">
        <f>'PDF Scraping'!D25</f>
        <v>https://ironbright.com/wp-content/uploads/2023/06/IB70SUS.pdf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39" sqref="C39"/>
    </sheetView>
  </sheetViews>
  <sheetFormatPr defaultRowHeight="15" x14ac:dyDescent="0.25"/>
  <cols>
    <col min="1" max="1" width="26.140625" bestFit="1" customWidth="1"/>
    <col min="2" max="2" width="19.140625" customWidth="1"/>
    <col min="3" max="3" width="11.5703125" style="10" bestFit="1" customWidth="1"/>
    <col min="4" max="4" width="33.140625" style="10" bestFit="1" customWidth="1"/>
    <col min="5" max="5" width="21.5703125" style="10" bestFit="1" customWidth="1"/>
    <col min="6" max="6" width="13.7109375" bestFit="1" customWidth="1"/>
  </cols>
  <sheetData>
    <row r="1" spans="1:6" x14ac:dyDescent="0.25">
      <c r="B1" s="13" t="s">
        <v>24</v>
      </c>
      <c r="C1" s="14" t="s">
        <v>94</v>
      </c>
      <c r="D1" s="14" t="s">
        <v>95</v>
      </c>
      <c r="E1" s="14" t="s">
        <v>96</v>
      </c>
    </row>
    <row r="2" spans="1:6" x14ac:dyDescent="0.25">
      <c r="A2" t="str">
        <f>IF(Input!A3="","",Input!A3)</f>
        <v>IronBright 20 Core-Satellite</v>
      </c>
      <c r="B2" s="15">
        <v>45016</v>
      </c>
      <c r="C2" s="14">
        <v>3.0000000000000001E-3</v>
      </c>
      <c r="D2" s="14">
        <v>3.2000000000000002E-3</v>
      </c>
      <c r="E2" s="14">
        <v>-7.7600000000000002E-2</v>
      </c>
      <c r="F2" s="5"/>
    </row>
    <row r="3" spans="1:6" x14ac:dyDescent="0.25">
      <c r="A3" t="str">
        <f>IF(Input!A4="","",Input!A4)</f>
        <v>IronBright 30 Core-Satellite</v>
      </c>
      <c r="B3" s="15">
        <v>45016</v>
      </c>
      <c r="C3" s="14">
        <v>3.0000000000000001E-3</v>
      </c>
      <c r="D3" s="14">
        <v>3.4000000000000002E-3</v>
      </c>
      <c r="E3" s="14">
        <v>-6.6500000000000004E-2</v>
      </c>
      <c r="F3" s="5"/>
    </row>
    <row r="4" spans="1:6" x14ac:dyDescent="0.25">
      <c r="A4" t="str">
        <f>IF(Input!A5="","",Input!A5)</f>
        <v>IronBright 40 Core-Satellite</v>
      </c>
      <c r="B4" s="15">
        <v>45016</v>
      </c>
      <c r="C4" s="14">
        <v>3.0000000000000001E-3</v>
      </c>
      <c r="D4" s="14">
        <v>3.4000000000000002E-3</v>
      </c>
      <c r="E4" s="14">
        <v>-6.0100000000000001E-2</v>
      </c>
      <c r="F4" s="5"/>
    </row>
    <row r="5" spans="1:6" x14ac:dyDescent="0.25">
      <c r="A5" t="str">
        <f>IF(Input!A6="","",Input!A6)</f>
        <v>IronBright 50 Core-Satellite</v>
      </c>
      <c r="B5" s="15">
        <v>45016</v>
      </c>
      <c r="C5" s="14">
        <v>3.0000000000000001E-3</v>
      </c>
      <c r="D5" s="14">
        <v>3.9000000000000003E-3</v>
      </c>
      <c r="E5" s="14">
        <v>-6.7900000000000002E-2</v>
      </c>
      <c r="F5" s="5"/>
    </row>
    <row r="6" spans="1:6" x14ac:dyDescent="0.25">
      <c r="A6" t="str">
        <f>IF(Input!A7="","",Input!A7)</f>
        <v>IronBright 60 Core-Satellite</v>
      </c>
      <c r="B6" s="15">
        <v>45016</v>
      </c>
      <c r="C6" s="14">
        <v>3.0000000000000001E-3</v>
      </c>
      <c r="D6" s="14">
        <v>3.8E-3</v>
      </c>
      <c r="E6" s="14">
        <v>-5.3200000000000004E-2</v>
      </c>
      <c r="F6" s="5"/>
    </row>
    <row r="7" spans="1:6" x14ac:dyDescent="0.25">
      <c r="A7" t="str">
        <f>IF(Input!A8="","",Input!A8)</f>
        <v>IronBright 70 Core-Satellite</v>
      </c>
      <c r="B7" s="15">
        <v>45016</v>
      </c>
      <c r="C7" s="14">
        <v>3.0000000000000001E-3</v>
      </c>
      <c r="D7" s="14">
        <v>4.4000000000000003E-3</v>
      </c>
      <c r="E7" s="14">
        <v>-2.2599999999999999E-2</v>
      </c>
      <c r="F7" s="5"/>
    </row>
    <row r="8" spans="1:6" x14ac:dyDescent="0.25">
      <c r="A8" t="str">
        <f>IF(Input!A9="","",Input!A9)</f>
        <v>IronBright 80 Core-Satellite</v>
      </c>
      <c r="B8" s="15">
        <v>45016</v>
      </c>
      <c r="C8" s="14">
        <v>3.0000000000000001E-3</v>
      </c>
      <c r="D8" s="14">
        <v>4.0999999999999995E-3</v>
      </c>
      <c r="E8" s="14">
        <v>-2.0899999999999998E-2</v>
      </c>
      <c r="F8" s="5"/>
    </row>
    <row r="9" spans="1:6" x14ac:dyDescent="0.25">
      <c r="A9" t="str">
        <f>IF(Input!A10="","",Input!A10)</f>
        <v>IronBright 90 Core-Satellite</v>
      </c>
      <c r="B9" s="15">
        <v>45016</v>
      </c>
      <c r="C9" s="14">
        <v>3.0000000000000001E-3</v>
      </c>
      <c r="D9" s="14">
        <v>4.1999999999999997E-3</v>
      </c>
      <c r="E9" s="14">
        <v>-2.12E-2</v>
      </c>
      <c r="F9" s="5"/>
    </row>
    <row r="10" spans="1:6" x14ac:dyDescent="0.25">
      <c r="A10" t="str">
        <f>IF(Input!A11="","",Input!A11)</f>
        <v>IronBright 100 Core-Satellite</v>
      </c>
      <c r="B10" s="15">
        <v>45016</v>
      </c>
      <c r="C10" s="14">
        <v>3.0000000000000001E-3</v>
      </c>
      <c r="D10" s="14">
        <v>4.4000000000000003E-3</v>
      </c>
      <c r="E10" s="14">
        <v>-2.0499999999999997E-2</v>
      </c>
      <c r="F10" s="5"/>
    </row>
    <row r="11" spans="1:6" x14ac:dyDescent="0.25">
      <c r="A11" t="str">
        <f>IF(Input!A12="","",Input!A12)</f>
        <v>IronBright 20 Passive</v>
      </c>
      <c r="B11" s="15">
        <v>45016</v>
      </c>
      <c r="C11" s="14">
        <v>3.0000000000000001E-3</v>
      </c>
      <c r="D11" s="14">
        <v>1.1999999999999999E-3</v>
      </c>
      <c r="E11" s="14">
        <v>-8.9700000000000002E-2</v>
      </c>
      <c r="F11" s="5"/>
    </row>
    <row r="12" spans="1:6" x14ac:dyDescent="0.25">
      <c r="A12" t="str">
        <f>IF(Input!A13="","",Input!A13)</f>
        <v>IronBright 30 Passive</v>
      </c>
      <c r="B12" s="15">
        <v>45016</v>
      </c>
      <c r="C12" s="14">
        <v>3.0000000000000001E-3</v>
      </c>
      <c r="D12" s="14">
        <v>1.1999999999999999E-3</v>
      </c>
      <c r="E12" s="14">
        <v>-7.1199999999999999E-2</v>
      </c>
      <c r="F12" s="5"/>
    </row>
    <row r="13" spans="1:6" x14ac:dyDescent="0.25">
      <c r="A13" t="str">
        <f>IF(Input!A14="","",Input!A14)</f>
        <v>IronBright 40 Passive</v>
      </c>
      <c r="B13" s="15">
        <v>45016</v>
      </c>
      <c r="C13" s="14">
        <v>3.0000000000000001E-3</v>
      </c>
      <c r="D13" s="14">
        <v>1.1000000000000001E-3</v>
      </c>
      <c r="E13" s="14">
        <v>-5.7599999999999998E-2</v>
      </c>
      <c r="F13" s="5"/>
    </row>
    <row r="14" spans="1:6" x14ac:dyDescent="0.25">
      <c r="A14" t="str">
        <f>IF(Input!A15="","",Input!A15)</f>
        <v>IronBright 50 Passive</v>
      </c>
      <c r="B14" s="15">
        <v>45016</v>
      </c>
      <c r="C14" s="14">
        <v>3.0000000000000001E-3</v>
      </c>
      <c r="D14" s="14">
        <v>1.1000000000000001E-3</v>
      </c>
      <c r="E14" s="14">
        <v>-4.7300000000000002E-2</v>
      </c>
      <c r="F14" s="5"/>
    </row>
    <row r="15" spans="1:6" x14ac:dyDescent="0.25">
      <c r="A15" t="str">
        <f>IF(Input!A16="","",Input!A16)</f>
        <v>IronBright 60 Passive</v>
      </c>
      <c r="B15" s="15">
        <v>45016</v>
      </c>
      <c r="C15" s="14">
        <v>3.0000000000000001E-3</v>
      </c>
      <c r="D15" s="14">
        <v>1E-3</v>
      </c>
      <c r="E15" s="14">
        <v>-3.1300000000000001E-2</v>
      </c>
      <c r="F15" s="5"/>
    </row>
    <row r="16" spans="1:6" x14ac:dyDescent="0.25">
      <c r="A16" t="str">
        <f>IF(Input!A17="","",Input!A17)</f>
        <v>IronBright 70 Passive</v>
      </c>
      <c r="B16" s="15">
        <v>45016</v>
      </c>
      <c r="C16" s="14">
        <v>3.0000000000000001E-3</v>
      </c>
      <c r="D16" s="14">
        <v>1.1999999999999999E-3</v>
      </c>
      <c r="E16" s="14">
        <v>2.7000000000000001E-3</v>
      </c>
      <c r="F16" s="5"/>
    </row>
    <row r="17" spans="1:6" x14ac:dyDescent="0.25">
      <c r="A17" t="str">
        <f>IF(Input!A18="","",Input!A18)</f>
        <v>IronBright 80 Passive</v>
      </c>
      <c r="B17" s="15">
        <v>45016</v>
      </c>
      <c r="C17" s="14">
        <v>3.0000000000000001E-3</v>
      </c>
      <c r="D17" s="14">
        <v>1.2999999999999999E-3</v>
      </c>
      <c r="E17" s="14">
        <v>1.24E-2</v>
      </c>
      <c r="F17" s="5"/>
    </row>
    <row r="18" spans="1:6" x14ac:dyDescent="0.25">
      <c r="A18" t="str">
        <f>IF(Input!A19="","",Input!A19)</f>
        <v>IronBright 90 Passive</v>
      </c>
      <c r="B18" s="15">
        <v>45016</v>
      </c>
      <c r="C18" s="14">
        <v>3.0000000000000001E-3</v>
      </c>
      <c r="D18" s="14">
        <v>1.1999999999999999E-3</v>
      </c>
      <c r="E18" s="14">
        <v>1.3500000000000002E-2</v>
      </c>
      <c r="F18" s="5"/>
    </row>
    <row r="19" spans="1:6" x14ac:dyDescent="0.25">
      <c r="A19" t="str">
        <f>IF(Input!A20="","",Input!A20)</f>
        <v>IronBright 100 Passive</v>
      </c>
      <c r="B19" s="15">
        <v>45016</v>
      </c>
      <c r="C19" s="14">
        <v>3.0000000000000001E-3</v>
      </c>
      <c r="D19" s="14">
        <v>1.1000000000000001E-3</v>
      </c>
      <c r="E19" s="14">
        <v>1.6899999999999998E-2</v>
      </c>
      <c r="F19" s="5"/>
    </row>
    <row r="20" spans="1:6" x14ac:dyDescent="0.25">
      <c r="A20" t="str">
        <f>IF(Input!A21="","",Input!A21)</f>
        <v>IronBright Cautious Income</v>
      </c>
      <c r="B20" s="15">
        <v>45016</v>
      </c>
      <c r="C20" s="14">
        <v>3.0000000000000001E-3</v>
      </c>
      <c r="D20" s="14">
        <v>4.4000000000000003E-3</v>
      </c>
      <c r="E20" s="14">
        <v>-0.10060000000000001</v>
      </c>
      <c r="F20" s="5"/>
    </row>
    <row r="21" spans="1:6" x14ac:dyDescent="0.25">
      <c r="A21" t="str">
        <f>IF(Input!A22="","",Input!A22)</f>
        <v>IronBright Balanced Income</v>
      </c>
      <c r="B21" s="15">
        <v>45016</v>
      </c>
      <c r="C21" s="14">
        <v>3.0000000000000001E-3</v>
      </c>
      <c r="D21" s="14">
        <v>4.5999999999999999E-3</v>
      </c>
      <c r="E21" s="14">
        <v>-5.1399999999999994E-2</v>
      </c>
      <c r="F21" s="5"/>
    </row>
    <row r="22" spans="1:6" x14ac:dyDescent="0.25">
      <c r="A22" t="str">
        <f>IF(Input!A23="","",Input!A23)</f>
        <v>IronBright Equity Income</v>
      </c>
      <c r="B22" s="15">
        <v>45016</v>
      </c>
      <c r="C22" s="14">
        <v>3.0000000000000001E-3</v>
      </c>
      <c r="D22" s="14">
        <v>4.5999999999999999E-3</v>
      </c>
      <c r="E22" s="14">
        <v>-2.9300000000000003E-2</v>
      </c>
      <c r="F22" s="5"/>
    </row>
    <row r="23" spans="1:6" x14ac:dyDescent="0.25">
      <c r="A23" t="str">
        <f>IF(Input!A24="","",Input!A24)</f>
        <v>IronBright Sustainable 30</v>
      </c>
      <c r="B23" s="15">
        <v>45016</v>
      </c>
      <c r="C23" s="14">
        <v>3.0000000000000001E-3</v>
      </c>
      <c r="D23" s="14">
        <v>5.4000000000000003E-3</v>
      </c>
      <c r="E23" s="14">
        <v>-0.11199999999999999</v>
      </c>
      <c r="F23" s="5"/>
    </row>
    <row r="24" spans="1:6" x14ac:dyDescent="0.25">
      <c r="A24" t="str">
        <f>IF(Input!A25="","",Input!A25)</f>
        <v>IronBright Sustainable 50</v>
      </c>
      <c r="B24" s="15">
        <v>45016</v>
      </c>
      <c r="C24" s="14">
        <v>3.0000000000000001E-3</v>
      </c>
      <c r="D24" s="14">
        <v>6.5000000000000006E-3</v>
      </c>
      <c r="E24" s="14">
        <v>-0.10349999999999999</v>
      </c>
      <c r="F24" s="5"/>
    </row>
    <row r="25" spans="1:6" x14ac:dyDescent="0.25">
      <c r="A25" t="str">
        <f>IF(Input!A26="","",Input!A26)</f>
        <v>IronBright Sustainable 70</v>
      </c>
      <c r="B25" s="16">
        <v>45016</v>
      </c>
      <c r="C25" s="14">
        <v>3.0000000000000001E-3</v>
      </c>
      <c r="D25" s="14">
        <v>7.8000000000000005E-3</v>
      </c>
      <c r="E25" s="14">
        <v>-7.7600000000000002E-2</v>
      </c>
    </row>
    <row r="26" spans="1:6" x14ac:dyDescent="0.25">
      <c r="A26" t="str">
        <f>IF(Input!A27="","",Input!A27)</f>
        <v/>
      </c>
      <c r="B26" s="16"/>
      <c r="C26" s="14"/>
      <c r="D26" s="14"/>
      <c r="E26" s="14"/>
    </row>
    <row r="27" spans="1:6" x14ac:dyDescent="0.25">
      <c r="A27" t="str">
        <f>IF(Input!A28="","",Input!A28)</f>
        <v/>
      </c>
      <c r="B27" s="16"/>
      <c r="C27" s="14"/>
      <c r="D27" s="14"/>
      <c r="E27" s="14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C50"/>
  <sheetViews>
    <sheetView tabSelected="1" topLeftCell="H1" workbookViewId="0">
      <selection activeCell="T10" sqref="T10"/>
    </sheetView>
  </sheetViews>
  <sheetFormatPr defaultRowHeight="15" x14ac:dyDescent="0.25"/>
  <cols>
    <col min="1" max="1" width="26.5703125" bestFit="1" customWidth="1"/>
    <col min="2" max="2" width="11" style="10" bestFit="1" customWidth="1"/>
    <col min="3" max="3" width="14.42578125" style="10" bestFit="1" customWidth="1"/>
    <col min="4" max="4" width="29.85546875" style="10" bestFit="1" customWidth="1"/>
    <col min="5" max="5" width="27.42578125" style="10" bestFit="1" customWidth="1"/>
    <col min="6" max="6" width="21.140625" style="10" bestFit="1" customWidth="1"/>
    <col min="7" max="7" width="8.7109375" style="10" bestFit="1" customWidth="1"/>
    <col min="8" max="8" width="10.85546875" style="10" bestFit="1" customWidth="1"/>
    <col min="9" max="9" width="17.28515625" style="10" bestFit="1" customWidth="1"/>
    <col min="10" max="10" width="25.5703125" style="10" bestFit="1" customWidth="1"/>
    <col min="11" max="11" width="16.85546875" bestFit="1" customWidth="1"/>
    <col min="12" max="12" width="24" bestFit="1" customWidth="1"/>
    <col min="13" max="13" width="12.85546875" bestFit="1" customWidth="1"/>
    <col min="14" max="14" width="15.42578125" bestFit="1" customWidth="1"/>
    <col min="15" max="15" width="15" bestFit="1" customWidth="1"/>
    <col min="16" max="16" width="6.140625" bestFit="1" customWidth="1"/>
    <col min="17" max="17" width="8.140625" bestFit="1" customWidth="1"/>
    <col min="18" max="18" width="18.140625" bestFit="1" customWidth="1"/>
    <col min="19" max="19" width="15.85546875" bestFit="1" customWidth="1"/>
    <col min="20" max="20" width="20.5703125" bestFit="1" customWidth="1"/>
    <col min="21" max="21" width="27.5703125" bestFit="1" customWidth="1"/>
    <col min="22" max="22" width="24.140625" bestFit="1" customWidth="1"/>
    <col min="23" max="23" width="24.7109375" bestFit="1" customWidth="1"/>
    <col min="24" max="24" width="9.85546875" bestFit="1" customWidth="1"/>
    <col min="25" max="25" width="18.42578125" bestFit="1" customWidth="1"/>
    <col min="26" max="26" width="18.140625" bestFit="1" customWidth="1"/>
    <col min="27" max="27" width="21.42578125" bestFit="1" customWidth="1"/>
    <col min="28" max="28" width="18.42578125" bestFit="1" customWidth="1"/>
    <col min="29" max="29" width="21.5703125" bestFit="1" customWidth="1"/>
  </cols>
  <sheetData>
    <row r="1" spans="1:29" x14ac:dyDescent="0.25">
      <c r="B1" s="10" t="s">
        <v>80</v>
      </c>
      <c r="C1" s="10" t="s">
        <v>81</v>
      </c>
      <c r="D1" s="10" t="s">
        <v>82</v>
      </c>
      <c r="E1" s="10" t="s">
        <v>83</v>
      </c>
      <c r="F1" s="10" t="s">
        <v>84</v>
      </c>
      <c r="G1" s="10" t="s">
        <v>85</v>
      </c>
      <c r="H1" s="10" t="s">
        <v>86</v>
      </c>
      <c r="I1" s="10" t="s">
        <v>87</v>
      </c>
      <c r="J1" s="10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4</v>
      </c>
    </row>
    <row r="2" spans="1:29" x14ac:dyDescent="0.25">
      <c r="A2" t="str">
        <f>IF(Input!A3="","",Input!A3)</f>
        <v>IronBright 20 Core-Satellite</v>
      </c>
      <c r="B2" s="10">
        <v>0.1</v>
      </c>
      <c r="C2" s="10">
        <v>0.05</v>
      </c>
      <c r="D2" s="10">
        <v>0.2</v>
      </c>
      <c r="E2" s="10">
        <v>0.3</v>
      </c>
      <c r="F2" s="10">
        <v>0.25</v>
      </c>
      <c r="G2" s="10">
        <v>0.05</v>
      </c>
      <c r="H2" s="10">
        <v>0</v>
      </c>
      <c r="I2" s="10">
        <v>0</v>
      </c>
      <c r="J2" s="10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0.05</v>
      </c>
      <c r="Q2" s="5">
        <f>SUM(B2:P2)</f>
        <v>1</v>
      </c>
      <c r="S2" s="5"/>
      <c r="T2" s="5"/>
      <c r="U2" s="5"/>
    </row>
    <row r="3" spans="1:29" x14ac:dyDescent="0.25">
      <c r="A3" t="str">
        <f>IF(Input!A4="","",Input!A4)</f>
        <v>IronBright 30 Core-Satellite</v>
      </c>
      <c r="B3" s="10">
        <v>0.2</v>
      </c>
      <c r="C3" s="10">
        <v>0.05</v>
      </c>
      <c r="D3" s="10">
        <v>0.17499999999999999</v>
      </c>
      <c r="E3" s="10">
        <v>0.22500000000000001</v>
      </c>
      <c r="F3" s="10">
        <v>0.3</v>
      </c>
      <c r="G3" s="10">
        <v>0.05</v>
      </c>
      <c r="H3" s="10">
        <v>0</v>
      </c>
      <c r="I3" s="10">
        <v>0</v>
      </c>
      <c r="J3" s="10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f t="shared" ref="Q3:Q25" si="0">SUM(B3:P3)</f>
        <v>1</v>
      </c>
      <c r="R3" s="5"/>
      <c r="S3" s="5"/>
    </row>
    <row r="4" spans="1:29" x14ac:dyDescent="0.25">
      <c r="A4" t="str">
        <f>IF(Input!A5="","",Input!A5)</f>
        <v>IronBright 40 Core-Satellite</v>
      </c>
      <c r="B4" s="10">
        <v>0.25</v>
      </c>
      <c r="C4" s="10">
        <v>0.05</v>
      </c>
      <c r="D4" s="10">
        <v>0.15</v>
      </c>
      <c r="E4" s="10">
        <v>0.2</v>
      </c>
      <c r="F4" s="10">
        <v>0.25</v>
      </c>
      <c r="G4" s="10">
        <v>0.05</v>
      </c>
      <c r="H4" s="10">
        <v>0</v>
      </c>
      <c r="I4" s="10">
        <v>2.5000000000000001E-2</v>
      </c>
      <c r="J4" s="10">
        <v>0</v>
      </c>
      <c r="K4" s="5">
        <v>2.5000000000000001E-2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f t="shared" si="0"/>
        <v>1</v>
      </c>
      <c r="R4" s="5"/>
      <c r="S4" s="5"/>
    </row>
    <row r="5" spans="1:29" x14ac:dyDescent="0.25">
      <c r="A5" t="str">
        <f>IF(Input!A6="","",Input!A6)</f>
        <v>IronBright 50 Core-Satellite</v>
      </c>
      <c r="B5" s="10">
        <v>0.3</v>
      </c>
      <c r="C5" s="10">
        <v>0</v>
      </c>
      <c r="D5" s="10">
        <v>0.15</v>
      </c>
      <c r="E5" s="10">
        <v>0.15</v>
      </c>
      <c r="F5" s="10">
        <v>0.2</v>
      </c>
      <c r="G5" s="10">
        <v>0.03</v>
      </c>
      <c r="H5" s="10">
        <v>4.4999999999999998E-2</v>
      </c>
      <c r="I5" s="10">
        <v>0.05</v>
      </c>
      <c r="J5" s="10">
        <v>2.5000000000000001E-2</v>
      </c>
      <c r="K5" s="5">
        <v>2.5000000000000001E-2</v>
      </c>
      <c r="L5" s="5">
        <v>2.5000000000000001E-2</v>
      </c>
      <c r="M5" s="5">
        <v>0</v>
      </c>
      <c r="N5" s="5">
        <v>0</v>
      </c>
      <c r="O5" s="5">
        <v>0</v>
      </c>
      <c r="P5" s="5">
        <v>0</v>
      </c>
      <c r="Q5" s="5">
        <f t="shared" si="0"/>
        <v>1.0000000000000002</v>
      </c>
      <c r="R5" s="5"/>
      <c r="S5" s="5"/>
    </row>
    <row r="6" spans="1:29" x14ac:dyDescent="0.25">
      <c r="A6" t="str">
        <f>IF(Input!A7="","",Input!A7)</f>
        <v>IronBright 60 Core-Satellite</v>
      </c>
      <c r="B6" s="10">
        <v>0.35</v>
      </c>
      <c r="C6" s="10">
        <v>0</v>
      </c>
      <c r="D6" s="10">
        <v>0.1</v>
      </c>
      <c r="E6" s="10">
        <v>0.1</v>
      </c>
      <c r="F6" s="10">
        <v>0.2</v>
      </c>
      <c r="G6" s="10">
        <v>0.03</v>
      </c>
      <c r="H6" s="10">
        <v>0.09</v>
      </c>
      <c r="I6" s="10">
        <v>0.05</v>
      </c>
      <c r="J6" s="10">
        <v>0.03</v>
      </c>
      <c r="K6" s="5">
        <v>2.5000000000000001E-2</v>
      </c>
      <c r="L6" s="5">
        <v>2.5000000000000001E-2</v>
      </c>
      <c r="M6" s="5">
        <v>0</v>
      </c>
      <c r="N6" s="5">
        <v>0</v>
      </c>
      <c r="O6" s="5">
        <v>0</v>
      </c>
      <c r="P6" s="5">
        <v>0</v>
      </c>
      <c r="Q6" s="5">
        <f t="shared" si="0"/>
        <v>1</v>
      </c>
      <c r="R6" s="5"/>
      <c r="S6" s="5"/>
    </row>
    <row r="7" spans="1:29" x14ac:dyDescent="0.25">
      <c r="A7" t="str">
        <f>IF(Input!A8="","",Input!A8)</f>
        <v>IronBright 70 Core-Satellite</v>
      </c>
      <c r="B7" s="10">
        <v>0.4</v>
      </c>
      <c r="C7" s="10">
        <v>0</v>
      </c>
      <c r="D7" s="10">
        <v>0</v>
      </c>
      <c r="E7" s="10">
        <v>0.1</v>
      </c>
      <c r="F7" s="10">
        <v>0.2</v>
      </c>
      <c r="G7" s="10">
        <v>0</v>
      </c>
      <c r="H7" s="10">
        <v>9.5000000000000001E-2</v>
      </c>
      <c r="I7" s="10">
        <v>5.5E-2</v>
      </c>
      <c r="J7" s="10">
        <v>3.2500000000000001E-2</v>
      </c>
      <c r="K7" s="5">
        <v>3.7499999999999999E-2</v>
      </c>
      <c r="L7" s="5">
        <v>0.05</v>
      </c>
      <c r="M7" s="5">
        <v>0.03</v>
      </c>
      <c r="N7" s="5">
        <v>0</v>
      </c>
      <c r="O7" s="5">
        <v>0</v>
      </c>
      <c r="P7" s="5">
        <v>0</v>
      </c>
      <c r="Q7" s="5">
        <f t="shared" si="0"/>
        <v>1</v>
      </c>
      <c r="R7" s="5"/>
      <c r="S7" s="5"/>
      <c r="AC7" s="5"/>
    </row>
    <row r="8" spans="1:29" s="8" customFormat="1" x14ac:dyDescent="0.25">
      <c r="A8" s="8" t="str">
        <f>IF(Input!A9="","",Input!A9)</f>
        <v>IronBright 80 Core-Satellite</v>
      </c>
      <c r="B8" s="11">
        <v>0.5</v>
      </c>
      <c r="C8" s="11">
        <v>0</v>
      </c>
      <c r="D8" s="11">
        <v>0.15</v>
      </c>
      <c r="E8" s="11">
        <v>0.15</v>
      </c>
      <c r="F8" s="11">
        <v>0.2</v>
      </c>
      <c r="G8" s="11">
        <v>0.03</v>
      </c>
      <c r="H8" s="11">
        <v>8.2500000000000004E-2</v>
      </c>
      <c r="I8" s="11">
        <v>7.4999999999999997E-2</v>
      </c>
      <c r="J8" s="11">
        <v>4.2500000000000003E-2</v>
      </c>
      <c r="K8" s="12">
        <v>4.2500000000000003E-2</v>
      </c>
      <c r="L8" s="12">
        <v>2.5000000000000001E-2</v>
      </c>
      <c r="M8" s="12">
        <v>0</v>
      </c>
      <c r="N8" s="12">
        <v>0</v>
      </c>
      <c r="O8" s="12">
        <v>0</v>
      </c>
      <c r="P8" s="12">
        <v>0</v>
      </c>
      <c r="Q8" s="12">
        <f t="shared" si="0"/>
        <v>1.2974999999999999</v>
      </c>
      <c r="R8" s="12"/>
      <c r="S8" s="12"/>
    </row>
    <row r="9" spans="1:29" x14ac:dyDescent="0.25">
      <c r="A9" t="str">
        <f>IF(Input!A10="","",Input!A10)</f>
        <v>IronBright 90 Core-Satellite</v>
      </c>
      <c r="B9" s="10">
        <v>0.5</v>
      </c>
      <c r="C9" s="10">
        <v>0</v>
      </c>
      <c r="D9" s="10">
        <v>0</v>
      </c>
      <c r="E9" s="10">
        <v>0.05</v>
      </c>
      <c r="F9" s="10">
        <v>0.05</v>
      </c>
      <c r="G9" s="10">
        <v>0</v>
      </c>
      <c r="H9" s="10">
        <v>0.12</v>
      </c>
      <c r="I9" s="10">
        <v>7.4999999999999997E-2</v>
      </c>
      <c r="J9" s="10">
        <v>0.05</v>
      </c>
      <c r="K9" s="5">
        <v>5.5E-2</v>
      </c>
      <c r="L9" s="5">
        <v>0.05</v>
      </c>
      <c r="M9" s="5">
        <v>0.05</v>
      </c>
      <c r="N9" s="5">
        <v>0</v>
      </c>
      <c r="O9" s="5">
        <v>0</v>
      </c>
      <c r="P9" s="5">
        <v>0</v>
      </c>
      <c r="Q9" s="5">
        <f t="shared" si="0"/>
        <v>1.0000000000000002</v>
      </c>
      <c r="R9" s="5"/>
      <c r="S9" s="5"/>
    </row>
    <row r="10" spans="1:29" x14ac:dyDescent="0.25">
      <c r="A10" t="str">
        <f>IF(Input!A11="","",Input!A11)</f>
        <v>IronBright 100 Core-Satellite</v>
      </c>
      <c r="B10" s="10">
        <v>0.5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0.19500000000000001</v>
      </c>
      <c r="I10" s="10">
        <v>0.1</v>
      </c>
      <c r="J10" s="10">
        <v>5.5E-2</v>
      </c>
      <c r="K10" s="5">
        <v>0.05</v>
      </c>
      <c r="L10" s="5">
        <v>0.05</v>
      </c>
      <c r="M10" s="5">
        <v>0.05</v>
      </c>
      <c r="N10" s="5">
        <v>0</v>
      </c>
      <c r="O10" s="5">
        <v>0</v>
      </c>
      <c r="P10" s="5">
        <v>0</v>
      </c>
      <c r="Q10" s="5">
        <f t="shared" si="0"/>
        <v>1.0000000000000002</v>
      </c>
      <c r="R10" s="5"/>
      <c r="S10" s="5"/>
    </row>
    <row r="11" spans="1:29" x14ac:dyDescent="0.25">
      <c r="A11" t="str">
        <f>IF(Input!A12="","",Input!A12)</f>
        <v>IronBright 20 Passive</v>
      </c>
      <c r="B11" s="10">
        <v>0.1</v>
      </c>
      <c r="C11" s="10">
        <v>0.05</v>
      </c>
      <c r="D11" s="10">
        <v>0.2</v>
      </c>
      <c r="E11" s="10">
        <v>0.3</v>
      </c>
      <c r="F11" s="10">
        <v>0.25</v>
      </c>
      <c r="G11" s="10">
        <v>0.05</v>
      </c>
      <c r="H11" s="10">
        <v>0</v>
      </c>
      <c r="I11" s="10">
        <v>0</v>
      </c>
      <c r="J11" s="10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0.05</v>
      </c>
      <c r="Q11" s="5">
        <f t="shared" si="0"/>
        <v>1</v>
      </c>
      <c r="R11" s="5"/>
      <c r="S11" s="5"/>
    </row>
    <row r="12" spans="1:29" x14ac:dyDescent="0.25">
      <c r="A12" t="str">
        <f>IF(Input!A13="","",Input!A13)</f>
        <v>IronBright 30 Passive</v>
      </c>
      <c r="B12" s="10">
        <v>0.2</v>
      </c>
      <c r="C12" s="10">
        <v>0.05</v>
      </c>
      <c r="D12" s="10">
        <v>0.17499999999999999</v>
      </c>
      <c r="E12" s="10">
        <v>0.22500000000000001</v>
      </c>
      <c r="F12" s="10">
        <v>0.3</v>
      </c>
      <c r="G12" s="10">
        <v>0.05</v>
      </c>
      <c r="H12" s="10">
        <v>0</v>
      </c>
      <c r="I12" s="10">
        <v>0</v>
      </c>
      <c r="J12" s="10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f t="shared" si="0"/>
        <v>1</v>
      </c>
      <c r="R12" s="5"/>
      <c r="S12" s="5"/>
    </row>
    <row r="13" spans="1:29" x14ac:dyDescent="0.25">
      <c r="A13" t="str">
        <f>IF(Input!A14="","",Input!A14)</f>
        <v>IronBright 40 Passive</v>
      </c>
      <c r="B13" s="10">
        <v>0.25</v>
      </c>
      <c r="C13" s="10">
        <v>0.05</v>
      </c>
      <c r="D13" s="10">
        <v>0.15</v>
      </c>
      <c r="E13" s="10">
        <v>0.2</v>
      </c>
      <c r="F13" s="10">
        <v>0.25</v>
      </c>
      <c r="G13" s="10">
        <v>0.05</v>
      </c>
      <c r="H13" s="10">
        <v>0</v>
      </c>
      <c r="I13" s="10">
        <v>2.5000000000000001E-2</v>
      </c>
      <c r="J13" s="10">
        <v>0</v>
      </c>
      <c r="K13" s="5">
        <v>2.5000000000000001E-2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f t="shared" si="0"/>
        <v>1</v>
      </c>
      <c r="R13" s="5"/>
      <c r="S13" s="5"/>
    </row>
    <row r="14" spans="1:29" x14ac:dyDescent="0.25">
      <c r="A14" t="str">
        <f>IF(Input!A15="","",Input!A15)</f>
        <v>IronBright 50 Passive</v>
      </c>
      <c r="B14" s="10">
        <v>0.3</v>
      </c>
      <c r="C14" s="10">
        <v>0</v>
      </c>
      <c r="D14" s="10">
        <v>0.15</v>
      </c>
      <c r="E14" s="10">
        <v>0.15</v>
      </c>
      <c r="F14" s="10">
        <v>0.2</v>
      </c>
      <c r="G14" s="10">
        <v>0.03</v>
      </c>
      <c r="H14" s="10">
        <v>4.4999999999999998E-2</v>
      </c>
      <c r="I14" s="10">
        <v>0.05</v>
      </c>
      <c r="J14" s="10">
        <v>2.5000000000000001E-2</v>
      </c>
      <c r="K14" s="5">
        <v>2.5000000000000001E-2</v>
      </c>
      <c r="L14" s="5">
        <v>2.5000000000000001E-2</v>
      </c>
      <c r="M14" s="5">
        <v>0</v>
      </c>
      <c r="N14" s="5">
        <v>0</v>
      </c>
      <c r="O14" s="5">
        <v>0</v>
      </c>
      <c r="P14" s="5">
        <v>0</v>
      </c>
      <c r="Q14" s="5">
        <f t="shared" si="0"/>
        <v>1.0000000000000002</v>
      </c>
      <c r="R14" s="5"/>
      <c r="S14" s="5"/>
    </row>
    <row r="15" spans="1:29" x14ac:dyDescent="0.25">
      <c r="A15" t="str">
        <f>IF(Input!A16="","",Input!A16)</f>
        <v>IronBright 60 Passive</v>
      </c>
      <c r="B15" s="10">
        <v>0.35</v>
      </c>
      <c r="C15" s="10">
        <v>0</v>
      </c>
      <c r="D15" s="10">
        <v>0.1</v>
      </c>
      <c r="E15" s="10">
        <v>0.1</v>
      </c>
      <c r="F15" s="10">
        <v>0.2</v>
      </c>
      <c r="G15" s="10">
        <v>0.03</v>
      </c>
      <c r="H15" s="10">
        <v>0.09</v>
      </c>
      <c r="I15" s="10">
        <v>0.05</v>
      </c>
      <c r="J15" s="10">
        <v>0.03</v>
      </c>
      <c r="K15" s="5">
        <v>2.5000000000000001E-2</v>
      </c>
      <c r="L15" s="5">
        <v>2.5000000000000001E-2</v>
      </c>
      <c r="M15" s="5">
        <v>0</v>
      </c>
      <c r="N15" s="5">
        <v>0</v>
      </c>
      <c r="O15" s="5">
        <v>0</v>
      </c>
      <c r="P15" s="5">
        <v>0</v>
      </c>
      <c r="Q15" s="5">
        <f t="shared" si="0"/>
        <v>1</v>
      </c>
      <c r="R15" s="5"/>
      <c r="S15" s="5"/>
    </row>
    <row r="16" spans="1:29" x14ac:dyDescent="0.25">
      <c r="A16" t="str">
        <f>IF(Input!A17="","",Input!A17)</f>
        <v>IronBright 70 Passive</v>
      </c>
      <c r="B16" s="10">
        <v>0.4</v>
      </c>
      <c r="C16" s="10">
        <v>0</v>
      </c>
      <c r="D16" s="10">
        <v>0</v>
      </c>
      <c r="E16" s="10">
        <v>0.1</v>
      </c>
      <c r="F16" s="10">
        <v>0.2</v>
      </c>
      <c r="G16" s="10">
        <v>0</v>
      </c>
      <c r="H16" s="10">
        <v>9.5000000000000001E-2</v>
      </c>
      <c r="I16" s="10">
        <v>5.5E-2</v>
      </c>
      <c r="J16" s="10">
        <v>3.2500000000000001E-2</v>
      </c>
      <c r="K16" s="5">
        <v>3.7499999999999999E-2</v>
      </c>
      <c r="L16" s="5">
        <v>0.05</v>
      </c>
      <c r="M16" s="5">
        <v>0.03</v>
      </c>
      <c r="N16" s="5">
        <v>0</v>
      </c>
      <c r="O16" s="5">
        <v>0</v>
      </c>
      <c r="P16" s="5">
        <v>0</v>
      </c>
      <c r="Q16" s="5">
        <f t="shared" si="0"/>
        <v>1</v>
      </c>
      <c r="R16" s="5"/>
      <c r="S16" s="5"/>
    </row>
    <row r="17" spans="1:28" s="8" customFormat="1" x14ac:dyDescent="0.25">
      <c r="A17" s="8" t="str">
        <f>IF(Input!A18="","",Input!A18)</f>
        <v>IronBright 80 Passive</v>
      </c>
      <c r="B17" s="11">
        <v>0.5</v>
      </c>
      <c r="C17" s="11">
        <v>0</v>
      </c>
      <c r="D17" s="11">
        <v>0.15</v>
      </c>
      <c r="E17" s="11">
        <v>0.15</v>
      </c>
      <c r="F17" s="11">
        <v>0.2</v>
      </c>
      <c r="G17" s="11">
        <v>0.03</v>
      </c>
      <c r="H17" s="11">
        <v>8.2500000000000004E-2</v>
      </c>
      <c r="I17" s="11">
        <v>7.4999999999999997E-2</v>
      </c>
      <c r="J17" s="11">
        <v>4.2500000000000003E-2</v>
      </c>
      <c r="K17" s="12">
        <v>4.2500000000000003E-2</v>
      </c>
      <c r="L17" s="12">
        <v>2.5000000000000001E-2</v>
      </c>
      <c r="M17" s="12">
        <v>0</v>
      </c>
      <c r="N17" s="12">
        <v>0</v>
      </c>
      <c r="O17" s="12">
        <v>0</v>
      </c>
      <c r="P17" s="12">
        <v>0</v>
      </c>
      <c r="Q17" s="12">
        <f t="shared" si="0"/>
        <v>1.2974999999999999</v>
      </c>
      <c r="S17" s="12"/>
      <c r="V17" s="12"/>
      <c r="X17" s="12"/>
      <c r="Y17" s="12"/>
      <c r="AA17" s="12"/>
    </row>
    <row r="18" spans="1:28" x14ac:dyDescent="0.25">
      <c r="A18" t="str">
        <f>IF(Input!A19="","",Input!A19)</f>
        <v>IronBright 90 Passive</v>
      </c>
      <c r="B18" s="10">
        <v>0.5</v>
      </c>
      <c r="C18" s="10">
        <v>0</v>
      </c>
      <c r="D18" s="10">
        <v>0</v>
      </c>
      <c r="E18" s="10">
        <v>0.05</v>
      </c>
      <c r="F18" s="10">
        <v>0.05</v>
      </c>
      <c r="G18" s="10">
        <v>0</v>
      </c>
      <c r="H18" s="10">
        <v>0.12</v>
      </c>
      <c r="I18" s="10">
        <v>7.4999999999999997E-2</v>
      </c>
      <c r="J18" s="10">
        <v>0.05</v>
      </c>
      <c r="K18" s="5">
        <v>5.5E-2</v>
      </c>
      <c r="L18" s="5">
        <v>0.05</v>
      </c>
      <c r="M18" s="5">
        <v>0.05</v>
      </c>
      <c r="N18" s="5">
        <v>0</v>
      </c>
      <c r="O18" s="5">
        <v>0</v>
      </c>
      <c r="P18" s="5">
        <v>0</v>
      </c>
      <c r="Q18" s="5">
        <f t="shared" si="0"/>
        <v>1.0000000000000002</v>
      </c>
      <c r="S18" s="5"/>
      <c r="T18" s="5"/>
      <c r="Y18" s="5"/>
    </row>
    <row r="19" spans="1:28" x14ac:dyDescent="0.25">
      <c r="A19" t="str">
        <f>IF(Input!A20="","",Input!A20)</f>
        <v>IronBright 100 Passive</v>
      </c>
      <c r="B19" s="10">
        <v>0.5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0.19500000000000001</v>
      </c>
      <c r="I19" s="10">
        <v>0.1</v>
      </c>
      <c r="J19" s="10">
        <v>5.5E-2</v>
      </c>
      <c r="K19" s="5">
        <v>0.05</v>
      </c>
      <c r="L19" s="5">
        <v>0.05</v>
      </c>
      <c r="M19" s="5">
        <v>0.05</v>
      </c>
      <c r="N19" s="5">
        <v>0</v>
      </c>
      <c r="O19" s="5">
        <v>0</v>
      </c>
      <c r="P19" s="5">
        <v>0</v>
      </c>
      <c r="Q19" s="5">
        <f t="shared" si="0"/>
        <v>1.0000000000000002</v>
      </c>
      <c r="S19" s="5"/>
      <c r="T19" s="5"/>
      <c r="V19" s="5"/>
      <c r="W19" s="5"/>
      <c r="X19" s="5"/>
    </row>
    <row r="20" spans="1:28" x14ac:dyDescent="0.25">
      <c r="A20" t="str">
        <f>IF(Input!A21="","",Input!A21)</f>
        <v>IronBright Cautious Income</v>
      </c>
      <c r="B20" s="10">
        <v>0.15</v>
      </c>
      <c r="C20" s="10">
        <v>0.05</v>
      </c>
      <c r="D20" s="10">
        <v>0.25</v>
      </c>
      <c r="E20" s="10">
        <v>0.4</v>
      </c>
      <c r="F20" s="10">
        <v>0.15</v>
      </c>
      <c r="G20" s="10">
        <v>0</v>
      </c>
      <c r="H20" s="10">
        <v>0</v>
      </c>
      <c r="I20" s="10">
        <v>0</v>
      </c>
      <c r="J20" s="10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f t="shared" si="0"/>
        <v>1</v>
      </c>
      <c r="S20" s="5"/>
      <c r="V20" s="5"/>
      <c r="W20" s="5"/>
      <c r="X20" s="5"/>
      <c r="AA20" s="5"/>
    </row>
    <row r="21" spans="1:28" x14ac:dyDescent="0.25">
      <c r="A21" t="str">
        <f>IF(Input!A22="","",Input!A22)</f>
        <v>IronBright Balanced Income</v>
      </c>
      <c r="B21" s="10">
        <v>0.25</v>
      </c>
      <c r="C21" s="10">
        <v>0.15</v>
      </c>
      <c r="D21" s="10">
        <v>0.05</v>
      </c>
      <c r="E21" s="10">
        <v>0.4</v>
      </c>
      <c r="F21" s="10">
        <v>0.15</v>
      </c>
      <c r="G21" s="10">
        <v>0</v>
      </c>
      <c r="H21" s="10">
        <v>0</v>
      </c>
      <c r="I21" s="10">
        <v>0</v>
      </c>
      <c r="J21" s="10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f t="shared" si="0"/>
        <v>1</v>
      </c>
      <c r="S21" s="5"/>
      <c r="T21" s="5"/>
      <c r="V21" s="5"/>
      <c r="W21" s="5"/>
      <c r="X21" s="5"/>
    </row>
    <row r="22" spans="1:28" x14ac:dyDescent="0.25">
      <c r="A22" t="str">
        <f>IF(Input!A23="","",Input!A23)</f>
        <v>IronBright Equity Income</v>
      </c>
      <c r="B22" s="10">
        <v>0.5</v>
      </c>
      <c r="C22" s="10">
        <v>0.08</v>
      </c>
      <c r="D22" s="10">
        <v>0</v>
      </c>
      <c r="E22" s="10">
        <v>0</v>
      </c>
      <c r="F22" s="10">
        <v>0</v>
      </c>
      <c r="G22" s="10">
        <v>0.1</v>
      </c>
      <c r="H22" s="10">
        <v>0.17</v>
      </c>
      <c r="I22" s="10">
        <v>0.09</v>
      </c>
      <c r="J22" s="10">
        <v>0.06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f t="shared" si="0"/>
        <v>1</v>
      </c>
      <c r="S22" s="5"/>
      <c r="T22" s="5"/>
      <c r="Y22" s="5"/>
    </row>
    <row r="23" spans="1:28" x14ac:dyDescent="0.25">
      <c r="A23" t="str">
        <f>IF(Input!A24="","",Input!A24)</f>
        <v>IronBright Sustainable 30</v>
      </c>
      <c r="B23" s="10">
        <v>0.19600000000000001</v>
      </c>
      <c r="C23" s="10">
        <v>4.9000000000000002E-2</v>
      </c>
      <c r="D23" s="10">
        <v>0.17149999999999999</v>
      </c>
      <c r="E23" s="10">
        <v>0.2205</v>
      </c>
      <c r="F23" s="10">
        <v>0.29399999999999998</v>
      </c>
      <c r="G23" s="10">
        <v>4.9000000000000002E-2</v>
      </c>
      <c r="H23" s="10">
        <v>0</v>
      </c>
      <c r="I23" s="10">
        <v>0</v>
      </c>
      <c r="J23" s="10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0.02</v>
      </c>
      <c r="Q23" s="5">
        <f t="shared" si="0"/>
        <v>1</v>
      </c>
      <c r="S23" s="5"/>
      <c r="T23" s="5"/>
      <c r="X23" s="5"/>
      <c r="AA23" s="5"/>
    </row>
    <row r="24" spans="1:28" x14ac:dyDescent="0.25">
      <c r="A24" t="str">
        <f>IF(Input!A25="","",Input!A25)</f>
        <v>IronBright Sustainable 50</v>
      </c>
      <c r="B24" s="10">
        <v>0.29399999999999998</v>
      </c>
      <c r="C24" s="10">
        <v>0.1421</v>
      </c>
      <c r="D24" s="10">
        <v>0.14699999999999999</v>
      </c>
      <c r="E24" s="10">
        <v>0.14699999999999999</v>
      </c>
      <c r="F24" s="10">
        <v>0.19600000000000001</v>
      </c>
      <c r="G24" s="10">
        <v>0</v>
      </c>
      <c r="H24" s="10">
        <v>0</v>
      </c>
      <c r="I24" s="10">
        <v>0</v>
      </c>
      <c r="J24" s="10">
        <v>0</v>
      </c>
      <c r="K24" s="5">
        <v>0</v>
      </c>
      <c r="L24" s="5">
        <v>0</v>
      </c>
      <c r="M24" s="5">
        <v>0</v>
      </c>
      <c r="N24" s="5">
        <v>2.4500000000000001E-2</v>
      </c>
      <c r="O24" s="5">
        <v>2.9399999999999999E-2</v>
      </c>
      <c r="P24" s="5">
        <v>0.02</v>
      </c>
      <c r="Q24" s="5">
        <f t="shared" si="0"/>
        <v>0.99999999999999989</v>
      </c>
      <c r="S24" s="5"/>
      <c r="T24" s="5"/>
      <c r="X24" s="5"/>
    </row>
    <row r="25" spans="1:28" x14ac:dyDescent="0.25">
      <c r="A25" t="str">
        <f>IF(Input!A26="","",Input!A26)</f>
        <v>IronBright Sustainable 70</v>
      </c>
      <c r="B25" s="10">
        <v>0.39200000000000002</v>
      </c>
      <c r="C25" s="10">
        <v>0.17879999999999999</v>
      </c>
      <c r="D25" s="10">
        <v>0</v>
      </c>
      <c r="E25" s="10">
        <v>9.8000000000000004E-2</v>
      </c>
      <c r="F25" s="10">
        <v>0.19600000000000001</v>
      </c>
      <c r="G25" s="10">
        <v>0</v>
      </c>
      <c r="H25" s="10">
        <v>0</v>
      </c>
      <c r="I25" s="10">
        <v>5.3899999999999997E-2</v>
      </c>
      <c r="J25" s="10">
        <v>3.1899999999999998E-2</v>
      </c>
      <c r="K25" s="5">
        <v>0</v>
      </c>
      <c r="L25" s="5">
        <v>0</v>
      </c>
      <c r="M25" s="5">
        <v>0</v>
      </c>
      <c r="N25" s="5">
        <v>0</v>
      </c>
      <c r="O25" s="5">
        <v>2.9399999999999999E-2</v>
      </c>
      <c r="P25" s="5">
        <v>0.02</v>
      </c>
      <c r="Q25" s="5">
        <f t="shared" si="0"/>
        <v>1</v>
      </c>
      <c r="T25" s="5"/>
      <c r="V25" s="5"/>
      <c r="AA25" s="5"/>
    </row>
    <row r="26" spans="1:28" x14ac:dyDescent="0.25">
      <c r="A26" t="str">
        <f>IF(Input!A27="","",Input!A27)</f>
        <v/>
      </c>
      <c r="K26" s="5"/>
      <c r="M26" s="5"/>
      <c r="N26" s="5"/>
      <c r="O26" s="5"/>
      <c r="Q26" s="5"/>
      <c r="T26" s="5"/>
      <c r="V26" s="5"/>
      <c r="AA26" s="5"/>
    </row>
    <row r="27" spans="1:28" x14ac:dyDescent="0.25">
      <c r="A27" t="str">
        <f>IF(Input!A28="","",Input!A28)</f>
        <v/>
      </c>
      <c r="K27" s="5"/>
      <c r="M27" s="5"/>
      <c r="O27" s="5"/>
      <c r="Q27" s="5"/>
      <c r="T27" s="5"/>
      <c r="V27" s="5"/>
      <c r="AA27" s="5"/>
    </row>
    <row r="28" spans="1:28" x14ac:dyDescent="0.25">
      <c r="A28" t="str">
        <f>IF(Input!A29="","",Input!A29)</f>
        <v/>
      </c>
      <c r="K28" s="5"/>
      <c r="M28" s="5"/>
      <c r="O28" s="5"/>
      <c r="Q28" s="5"/>
      <c r="T28" s="5"/>
      <c r="V28" s="5"/>
      <c r="AA28" s="5"/>
      <c r="AB28" s="5"/>
    </row>
    <row r="29" spans="1:28" x14ac:dyDescent="0.25">
      <c r="A29" t="str">
        <f>IF(Input!A30="","",Input!A30)</f>
        <v/>
      </c>
      <c r="K29" s="5"/>
      <c r="M29" s="5"/>
      <c r="N29" s="5"/>
      <c r="O29" s="5"/>
      <c r="R29" s="5"/>
      <c r="S29" s="5"/>
    </row>
    <row r="30" spans="1:28" x14ac:dyDescent="0.25">
      <c r="A30" t="str">
        <f>IF(Input!A31="","",Input!A31)</f>
        <v/>
      </c>
      <c r="K30" s="5"/>
      <c r="M30" s="5"/>
      <c r="N30" s="5"/>
      <c r="O30" s="5"/>
      <c r="Q30" s="5"/>
      <c r="R30" s="5"/>
      <c r="S30" s="5"/>
    </row>
    <row r="31" spans="1:28" x14ac:dyDescent="0.25">
      <c r="A31" t="str">
        <f>IF(Input!A32="","",Input!A32)</f>
        <v/>
      </c>
      <c r="K31" s="5"/>
      <c r="M31" s="5"/>
      <c r="N31" s="5"/>
      <c r="O31" s="5"/>
      <c r="P31" s="5"/>
      <c r="R31" s="5"/>
      <c r="S31" s="5"/>
    </row>
    <row r="32" spans="1:28" x14ac:dyDescent="0.25">
      <c r="A32" t="str">
        <f>IF(Input!A33="","",Input!A33)</f>
        <v/>
      </c>
      <c r="K32" s="5"/>
      <c r="M32" s="5"/>
      <c r="N32" s="5"/>
      <c r="O32" s="5"/>
      <c r="P32" s="5"/>
      <c r="Q32" s="5"/>
      <c r="R32" s="5"/>
      <c r="S32" s="5"/>
    </row>
    <row r="33" spans="1:26" x14ac:dyDescent="0.25">
      <c r="A33" t="str">
        <f>IF(Input!A34="","",Input!A34)</f>
        <v/>
      </c>
      <c r="K33" s="5"/>
      <c r="M33" s="5"/>
      <c r="N33" s="5"/>
      <c r="O33" s="5"/>
      <c r="P33" s="5"/>
      <c r="Q33" s="5"/>
      <c r="R33" s="5"/>
      <c r="S33" s="5"/>
    </row>
    <row r="34" spans="1:26" x14ac:dyDescent="0.25">
      <c r="A34" t="str">
        <f>IF(Input!A35="","",Input!A35)</f>
        <v/>
      </c>
      <c r="M34" s="5"/>
      <c r="O34" s="5"/>
      <c r="P34" s="5"/>
      <c r="Q34" s="5"/>
      <c r="R34" s="5"/>
      <c r="Z34" s="5"/>
    </row>
    <row r="35" spans="1:26" x14ac:dyDescent="0.25">
      <c r="A35" t="str">
        <f>IF(Input!A36="","",Input!A36)</f>
        <v/>
      </c>
    </row>
    <row r="36" spans="1:26" x14ac:dyDescent="0.25">
      <c r="A36" t="str">
        <f>IF(Input!A37="","",Input!A37)</f>
        <v/>
      </c>
    </row>
    <row r="37" spans="1:26" x14ac:dyDescent="0.25">
      <c r="A37" t="str">
        <f>IF(Input!A38="","",Input!A38)</f>
        <v/>
      </c>
    </row>
    <row r="38" spans="1:26" x14ac:dyDescent="0.25">
      <c r="A38" t="str">
        <f>IF(Input!A39="","",Input!A39)</f>
        <v/>
      </c>
    </row>
    <row r="39" spans="1:26" x14ac:dyDescent="0.25">
      <c r="A39" t="str">
        <f>IF(Input!A40="","",Input!A40)</f>
        <v/>
      </c>
    </row>
    <row r="40" spans="1:26" x14ac:dyDescent="0.25">
      <c r="A40" t="str">
        <f>IF(Input!A41="","",Input!A41)</f>
        <v/>
      </c>
    </row>
    <row r="41" spans="1:26" x14ac:dyDescent="0.25">
      <c r="A41" t="str">
        <f>IF(Input!A42="","",Input!A42)</f>
        <v/>
      </c>
    </row>
    <row r="42" spans="1:26" x14ac:dyDescent="0.25">
      <c r="A42" t="str">
        <f>IF(Input!A43="","",Input!A43)</f>
        <v/>
      </c>
    </row>
    <row r="43" spans="1:26" x14ac:dyDescent="0.25">
      <c r="A43" t="str">
        <f>IF(Input!A44="","",Input!A44)</f>
        <v/>
      </c>
    </row>
    <row r="44" spans="1:26" x14ac:dyDescent="0.25">
      <c r="A44" t="str">
        <f>IF(Input!A45="","",Input!A45)</f>
        <v/>
      </c>
    </row>
    <row r="45" spans="1:26" x14ac:dyDescent="0.25">
      <c r="A45" t="str">
        <f>IF(Input!A46="","",Input!A46)</f>
        <v/>
      </c>
    </row>
    <row r="46" spans="1:26" x14ac:dyDescent="0.25">
      <c r="A46" t="str">
        <f>IF(Input!A47="","",Input!A47)</f>
        <v/>
      </c>
    </row>
    <row r="47" spans="1:26" x14ac:dyDescent="0.25">
      <c r="A47" t="str">
        <f>IF(Input!A48="","",Input!A48)</f>
        <v/>
      </c>
    </row>
    <row r="48" spans="1:26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D22" sqref="D22"/>
    </sheetView>
  </sheetViews>
  <sheetFormatPr defaultRowHeight="15" x14ac:dyDescent="0.25"/>
  <cols>
    <col min="1" max="1" width="19.5703125" bestFit="1" customWidth="1"/>
    <col min="2" max="2" width="56.42578125" bestFit="1" customWidth="1"/>
    <col min="3" max="3" width="24.140625" bestFit="1" customWidth="1"/>
    <col min="4" max="4" width="74.425781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IronBright 20 Core-Satellite</v>
      </c>
      <c r="B2" t="s">
        <v>57</v>
      </c>
      <c r="C2" t="s">
        <v>58</v>
      </c>
      <c r="D2" s="8" t="s">
        <v>97</v>
      </c>
      <c r="E2" t="s">
        <v>76</v>
      </c>
    </row>
    <row r="3" spans="1:5" x14ac:dyDescent="0.25">
      <c r="A3" t="str">
        <f>IF(Input!A4="","",Input!A4)</f>
        <v>IronBright 30 Core-Satellite</v>
      </c>
      <c r="B3" t="s">
        <v>57</v>
      </c>
      <c r="C3" t="s">
        <v>59</v>
      </c>
      <c r="D3" s="8" t="s">
        <v>98</v>
      </c>
      <c r="E3" t="s">
        <v>76</v>
      </c>
    </row>
    <row r="4" spans="1:5" x14ac:dyDescent="0.25">
      <c r="A4" t="str">
        <f>IF(Input!A5="","",Input!A5)</f>
        <v>IronBright 40 Core-Satellite</v>
      </c>
      <c r="B4" t="s">
        <v>57</v>
      </c>
      <c r="C4" t="s">
        <v>60</v>
      </c>
      <c r="D4" s="8" t="s">
        <v>99</v>
      </c>
      <c r="E4" t="s">
        <v>76</v>
      </c>
    </row>
    <row r="5" spans="1:5" x14ac:dyDescent="0.25">
      <c r="A5" t="str">
        <f>IF(Input!A6="","",Input!A6)</f>
        <v>IronBright 50 Core-Satellite</v>
      </c>
      <c r="B5" t="s">
        <v>57</v>
      </c>
      <c r="C5" t="s">
        <v>61</v>
      </c>
      <c r="D5" s="8" t="s">
        <v>100</v>
      </c>
      <c r="E5" t="s">
        <v>76</v>
      </c>
    </row>
    <row r="6" spans="1:5" x14ac:dyDescent="0.25">
      <c r="A6" t="str">
        <f>IF(Input!A7="","",Input!A7)</f>
        <v>IronBright 60 Core-Satellite</v>
      </c>
      <c r="B6" t="s">
        <v>57</v>
      </c>
      <c r="C6" t="s">
        <v>62</v>
      </c>
      <c r="D6" s="8" t="s">
        <v>101</v>
      </c>
      <c r="E6" t="s">
        <v>76</v>
      </c>
    </row>
    <row r="7" spans="1:5" x14ac:dyDescent="0.25">
      <c r="A7" t="str">
        <f>IF(Input!A8="","",Input!A8)</f>
        <v>IronBright 70 Core-Satellite</v>
      </c>
      <c r="B7" t="s">
        <v>57</v>
      </c>
      <c r="C7" t="s">
        <v>63</v>
      </c>
      <c r="D7" s="8" t="s">
        <v>102</v>
      </c>
      <c r="E7" t="s">
        <v>76</v>
      </c>
    </row>
    <row r="8" spans="1:5" x14ac:dyDescent="0.25">
      <c r="A8" t="str">
        <f>IF(Input!A9="","",Input!A9)</f>
        <v>IronBright 80 Core-Satellite</v>
      </c>
      <c r="B8" t="s">
        <v>57</v>
      </c>
      <c r="C8" t="s">
        <v>64</v>
      </c>
      <c r="D8" s="8" t="s">
        <v>103</v>
      </c>
      <c r="E8" t="s">
        <v>76</v>
      </c>
    </row>
    <row r="9" spans="1:5" x14ac:dyDescent="0.25">
      <c r="A9" t="str">
        <f>IF(Input!A10="","",Input!A10)</f>
        <v>IronBright 90 Core-Satellite</v>
      </c>
      <c r="B9" t="s">
        <v>57</v>
      </c>
      <c r="C9" t="s">
        <v>65</v>
      </c>
      <c r="D9" s="8" t="s">
        <v>104</v>
      </c>
      <c r="E9" t="s">
        <v>76</v>
      </c>
    </row>
    <row r="10" spans="1:5" x14ac:dyDescent="0.25">
      <c r="A10" t="str">
        <f>IF(Input!A11="","",Input!A11)</f>
        <v>IronBright 100 Core-Satellite</v>
      </c>
      <c r="B10" t="s">
        <v>57</v>
      </c>
      <c r="C10" t="s">
        <v>66</v>
      </c>
      <c r="D10" s="8" t="s">
        <v>105</v>
      </c>
      <c r="E10" t="s">
        <v>76</v>
      </c>
    </row>
    <row r="11" spans="1:5" x14ac:dyDescent="0.25">
      <c r="A11" t="str">
        <f>IF(Input!A12="","",Input!A12)</f>
        <v>IronBright 20 Passive</v>
      </c>
      <c r="B11" t="s">
        <v>57</v>
      </c>
      <c r="C11" t="s">
        <v>67</v>
      </c>
      <c r="D11" s="8" t="s">
        <v>106</v>
      </c>
      <c r="E11" t="s">
        <v>77</v>
      </c>
    </row>
    <row r="12" spans="1:5" x14ac:dyDescent="0.25">
      <c r="A12" t="str">
        <f>IF(Input!A13="","",Input!A13)</f>
        <v>IronBright 30 Passive</v>
      </c>
      <c r="B12" t="s">
        <v>57</v>
      </c>
      <c r="C12" t="s">
        <v>68</v>
      </c>
      <c r="D12" s="8" t="s">
        <v>107</v>
      </c>
      <c r="E12" t="s">
        <v>77</v>
      </c>
    </row>
    <row r="13" spans="1:5" x14ac:dyDescent="0.25">
      <c r="A13" t="str">
        <f>IF(Input!A14="","",Input!A14)</f>
        <v>IronBright 40 Passive</v>
      </c>
      <c r="B13" t="s">
        <v>57</v>
      </c>
      <c r="C13" t="s">
        <v>69</v>
      </c>
      <c r="D13" s="8" t="s">
        <v>108</v>
      </c>
      <c r="E13" t="s">
        <v>77</v>
      </c>
    </row>
    <row r="14" spans="1:5" x14ac:dyDescent="0.25">
      <c r="A14" t="str">
        <f>IF(Input!A15="","",Input!A15)</f>
        <v>IronBright 50 Passive</v>
      </c>
      <c r="B14" t="s">
        <v>57</v>
      </c>
      <c r="C14" t="s">
        <v>70</v>
      </c>
      <c r="D14" s="8" t="s">
        <v>109</v>
      </c>
      <c r="E14" t="s">
        <v>77</v>
      </c>
    </row>
    <row r="15" spans="1:5" x14ac:dyDescent="0.25">
      <c r="A15" t="str">
        <f>IF(Input!A16="","",Input!A16)</f>
        <v>IronBright 60 Passive</v>
      </c>
      <c r="B15" t="s">
        <v>57</v>
      </c>
      <c r="C15" t="s">
        <v>71</v>
      </c>
      <c r="D15" s="8" t="s">
        <v>110</v>
      </c>
      <c r="E15" t="s">
        <v>77</v>
      </c>
    </row>
    <row r="16" spans="1:5" x14ac:dyDescent="0.25">
      <c r="A16" t="str">
        <f>IF(Input!A17="","",Input!A17)</f>
        <v>IronBright 70 Passive</v>
      </c>
      <c r="B16" t="s">
        <v>57</v>
      </c>
      <c r="C16" t="s">
        <v>72</v>
      </c>
      <c r="D16" s="8" t="s">
        <v>111</v>
      </c>
      <c r="E16" t="s">
        <v>77</v>
      </c>
    </row>
    <row r="17" spans="1:5" x14ac:dyDescent="0.25">
      <c r="A17" t="str">
        <f>IF(Input!A18="","",Input!A18)</f>
        <v>IronBright 80 Passive</v>
      </c>
      <c r="B17" t="s">
        <v>57</v>
      </c>
      <c r="C17" t="s">
        <v>73</v>
      </c>
      <c r="D17" s="8" t="s">
        <v>112</v>
      </c>
      <c r="E17" t="s">
        <v>77</v>
      </c>
    </row>
    <row r="18" spans="1:5" x14ac:dyDescent="0.25">
      <c r="A18" t="str">
        <f>IF(Input!A19="","",Input!A19)</f>
        <v>IronBright 90 Passive</v>
      </c>
      <c r="B18" t="s">
        <v>57</v>
      </c>
      <c r="C18" t="s">
        <v>74</v>
      </c>
      <c r="D18" s="8" t="s">
        <v>113</v>
      </c>
      <c r="E18" t="s">
        <v>77</v>
      </c>
    </row>
    <row r="19" spans="1:5" x14ac:dyDescent="0.25">
      <c r="A19" t="str">
        <f>IF(Input!A20="","",Input!A20)</f>
        <v>IronBright 100 Passive</v>
      </c>
      <c r="B19" t="s">
        <v>57</v>
      </c>
      <c r="C19" t="s">
        <v>75</v>
      </c>
      <c r="D19" s="8" t="s">
        <v>114</v>
      </c>
      <c r="E19" t="s">
        <v>77</v>
      </c>
    </row>
    <row r="20" spans="1:5" x14ac:dyDescent="0.25">
      <c r="A20" t="str">
        <f>IF(Input!A21="","",Input!A21)</f>
        <v>IronBright Cautious Income</v>
      </c>
      <c r="B20" t="s">
        <v>57</v>
      </c>
      <c r="C20" t="s">
        <v>51</v>
      </c>
      <c r="D20" s="8" t="s">
        <v>115</v>
      </c>
      <c r="E20" t="s">
        <v>78</v>
      </c>
    </row>
    <row r="21" spans="1:5" x14ac:dyDescent="0.25">
      <c r="A21" t="str">
        <f>IF(Input!A22="","",Input!A22)</f>
        <v>IronBright Balanced Income</v>
      </c>
      <c r="B21" t="s">
        <v>57</v>
      </c>
      <c r="C21" t="s">
        <v>52</v>
      </c>
      <c r="D21" s="8" t="s">
        <v>116</v>
      </c>
      <c r="E21" t="s">
        <v>78</v>
      </c>
    </row>
    <row r="22" spans="1:5" x14ac:dyDescent="0.25">
      <c r="A22" t="str">
        <f>IF(Input!A23="","",Input!A23)</f>
        <v>IronBright Equity Income</v>
      </c>
      <c r="B22" t="s">
        <v>57</v>
      </c>
      <c r="C22" t="s">
        <v>53</v>
      </c>
      <c r="D22" s="8" t="s">
        <v>117</v>
      </c>
      <c r="E22" t="s">
        <v>78</v>
      </c>
    </row>
    <row r="23" spans="1:5" x14ac:dyDescent="0.25">
      <c r="A23" t="str">
        <f>IF(Input!A24="","",Input!A24)</f>
        <v>IronBright Sustainable 30</v>
      </c>
      <c r="B23" t="s">
        <v>57</v>
      </c>
      <c r="C23" t="s">
        <v>54</v>
      </c>
      <c r="D23" s="8" t="s">
        <v>118</v>
      </c>
      <c r="E23" t="s">
        <v>79</v>
      </c>
    </row>
    <row r="24" spans="1:5" x14ac:dyDescent="0.25">
      <c r="A24" t="str">
        <f>IF(Input!A25="","",Input!A25)</f>
        <v>IronBright Sustainable 50</v>
      </c>
      <c r="B24" t="s">
        <v>57</v>
      </c>
      <c r="C24" t="s">
        <v>55</v>
      </c>
      <c r="D24" s="8" t="s">
        <v>119</v>
      </c>
      <c r="E24" t="s">
        <v>79</v>
      </c>
    </row>
    <row r="25" spans="1:5" x14ac:dyDescent="0.25">
      <c r="A25" t="str">
        <f>IF(Input!A26="","",Input!A26)</f>
        <v>IronBright Sustainable 70</v>
      </c>
      <c r="B25" t="s">
        <v>57</v>
      </c>
      <c r="C25" t="s">
        <v>56</v>
      </c>
      <c r="D25" s="8" t="s">
        <v>120</v>
      </c>
      <c r="E25" t="s">
        <v>79</v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IronBright 20 Core-Satellite</v>
      </c>
      <c r="B2" s="1">
        <f>IF(A2="","",EOMONTH(DATE(YEAR(IF(A2="","",'Additional Information'!B2)),MONTH(IF(A2="","",'Additional Information'!B2)),DAY(IF(A2="","",'Additional Information'!B2))),0))</f>
        <v>45016</v>
      </c>
    </row>
    <row r="3" spans="1:2" x14ac:dyDescent="0.25">
      <c r="A3" t="str">
        <f>IF(Input!A4="","",Input!A4)</f>
        <v>IronBright 30 Core-Satellite</v>
      </c>
      <c r="B3" s="1">
        <f>IF(A3="","",EOMONTH(DATE(YEAR(IF(A3="","",'Additional Information'!B3)),MONTH(IF(A3="","",'Additional Information'!B3)),DAY(IF(A3="","",'Additional Information'!B3))),0))</f>
        <v>45016</v>
      </c>
    </row>
    <row r="4" spans="1:2" x14ac:dyDescent="0.25">
      <c r="A4" t="str">
        <f>IF(Input!A5="","",Input!A5)</f>
        <v>IronBright 40 Core-Satellite</v>
      </c>
      <c r="B4" s="1">
        <f>IF(A4="","",EOMONTH(DATE(YEAR(IF(A4="","",'Additional Information'!B4)),MONTH(IF(A4="","",'Additional Information'!B4)),DAY(IF(A4="","",'Additional Information'!B4))),0))</f>
        <v>45016</v>
      </c>
    </row>
    <row r="5" spans="1:2" x14ac:dyDescent="0.25">
      <c r="A5" t="str">
        <f>IF(Input!A6="","",Input!A6)</f>
        <v>IronBright 50 Core-Satellite</v>
      </c>
      <c r="B5" s="1">
        <f>IF(A5="","",EOMONTH(DATE(YEAR(IF(A5="","",'Additional Information'!B5)),MONTH(IF(A5="","",'Additional Information'!B5)),DAY(IF(A5="","",'Additional Information'!B5))),0))</f>
        <v>45016</v>
      </c>
    </row>
    <row r="6" spans="1:2" x14ac:dyDescent="0.25">
      <c r="A6" t="str">
        <f>IF(Input!A7="","",Input!A7)</f>
        <v>IronBright 60 Core-Satellite</v>
      </c>
      <c r="B6" s="1">
        <f>IF(A6="","",EOMONTH(DATE(YEAR(IF(A6="","",'Additional Information'!B6)),MONTH(IF(A6="","",'Additional Information'!B6)),DAY(IF(A6="","",'Additional Information'!B6))),0))</f>
        <v>45016</v>
      </c>
    </row>
    <row r="7" spans="1:2" x14ac:dyDescent="0.25">
      <c r="A7" t="str">
        <f>IF(Input!A8="","",Input!A8)</f>
        <v>IronBright 70 Core-Satellite</v>
      </c>
      <c r="B7" s="1">
        <f>IF(A7="","",EOMONTH(DATE(YEAR(IF(A7="","",'Additional Information'!B7)),MONTH(IF(A7="","",'Additional Information'!B7)),DAY(IF(A7="","",'Additional Information'!B7))),0))</f>
        <v>45016</v>
      </c>
    </row>
    <row r="8" spans="1:2" x14ac:dyDescent="0.25">
      <c r="A8" t="str">
        <f>IF(Input!A9="","",Input!A9)</f>
        <v>IronBright 80 Core-Satellite</v>
      </c>
      <c r="B8" s="1">
        <f>IF(A8="","",EOMONTH(DATE(YEAR(IF(A8="","",'Additional Information'!B8)),MONTH(IF(A8="","",'Additional Information'!B8)),DAY(IF(A8="","",'Additional Information'!B8))),0))</f>
        <v>45016</v>
      </c>
    </row>
    <row r="9" spans="1:2" x14ac:dyDescent="0.25">
      <c r="A9" t="str">
        <f>IF(Input!A10="","",Input!A10)</f>
        <v>IronBright 90 Core-Satellite</v>
      </c>
      <c r="B9" s="1">
        <f>IF(A9="","",EOMONTH(DATE(YEAR(IF(A9="","",'Additional Information'!B9)),MONTH(IF(A9="","",'Additional Information'!B9)),DAY(IF(A9="","",'Additional Information'!B9))),0))</f>
        <v>45016</v>
      </c>
    </row>
    <row r="10" spans="1:2" x14ac:dyDescent="0.25">
      <c r="A10" t="str">
        <f>IF(Input!A11="","",Input!A11)</f>
        <v>IronBright 100 Core-Satellite</v>
      </c>
      <c r="B10" s="1">
        <f>IF(A10="","",EOMONTH(DATE(YEAR(IF(A10="","",'Additional Information'!B10)),MONTH(IF(A10="","",'Additional Information'!B10)),DAY(IF(A10="","",'Additional Information'!B10))),0))</f>
        <v>45016</v>
      </c>
    </row>
    <row r="11" spans="1:2" x14ac:dyDescent="0.25">
      <c r="A11" t="str">
        <f>IF(Input!A12="","",Input!A12)</f>
        <v>IronBright 20 Passive</v>
      </c>
      <c r="B11" s="1">
        <f>IF(A11="","",EOMONTH(DATE(YEAR(IF(A11="","",'Additional Information'!B11)),MONTH(IF(A11="","",'Additional Information'!B11)),DAY(IF(A11="","",'Additional Information'!B11))),0))</f>
        <v>45016</v>
      </c>
    </row>
    <row r="12" spans="1:2" x14ac:dyDescent="0.25">
      <c r="A12" t="str">
        <f>IF(Input!A13="","",Input!A13)</f>
        <v>IronBright 30 Passive</v>
      </c>
      <c r="B12" s="1">
        <f>IF(A12="","",EOMONTH(DATE(YEAR(IF(A12="","",'Additional Information'!B12)),MONTH(IF(A12="","",'Additional Information'!B12)),DAY(IF(A12="","",'Additional Information'!B12))),0))</f>
        <v>45016</v>
      </c>
    </row>
    <row r="13" spans="1:2" x14ac:dyDescent="0.25">
      <c r="A13" t="str">
        <f>IF(Input!A14="","",Input!A14)</f>
        <v>IronBright 40 Passive</v>
      </c>
      <c r="B13" s="1">
        <f>IF(A13="","",EOMONTH(DATE(YEAR(IF(A13="","",'Additional Information'!B13)),MONTH(IF(A13="","",'Additional Information'!B13)),DAY(IF(A13="","",'Additional Information'!B13))),0))</f>
        <v>45016</v>
      </c>
    </row>
    <row r="14" spans="1:2" x14ac:dyDescent="0.25">
      <c r="A14" t="str">
        <f>IF(Input!A15="","",Input!A15)</f>
        <v>IronBright 50 Passive</v>
      </c>
      <c r="B14" s="1">
        <f>IF(A14="","",EOMONTH(DATE(YEAR(IF(A14="","",'Additional Information'!B14)),MONTH(IF(A14="","",'Additional Information'!B14)),DAY(IF(A14="","",'Additional Information'!B14))),0))</f>
        <v>45016</v>
      </c>
    </row>
    <row r="15" spans="1:2" x14ac:dyDescent="0.25">
      <c r="A15" t="str">
        <f>IF(Input!A16="","",Input!A16)</f>
        <v>IronBright 60 Passive</v>
      </c>
      <c r="B15" s="1">
        <f>IF(A15="","",EOMONTH(DATE(YEAR(IF(A15="","",'Additional Information'!B15)),MONTH(IF(A15="","",'Additional Information'!B15)),DAY(IF(A15="","",'Additional Information'!B15))),0))</f>
        <v>45016</v>
      </c>
    </row>
    <row r="16" spans="1:2" x14ac:dyDescent="0.25">
      <c r="A16" t="str">
        <f>IF(Input!A17="","",Input!A17)</f>
        <v>IronBright 70 Passive</v>
      </c>
      <c r="B16" s="1">
        <f>IF(A16="","",EOMONTH(DATE(YEAR(IF(A16="","",'Additional Information'!B16)),MONTH(IF(A16="","",'Additional Information'!B16)),DAY(IF(A16="","",'Additional Information'!B16))),0))</f>
        <v>45016</v>
      </c>
    </row>
    <row r="17" spans="1:2" x14ac:dyDescent="0.25">
      <c r="A17" t="str">
        <f>IF(Input!A18="","",Input!A18)</f>
        <v>IronBright 80 Passive</v>
      </c>
      <c r="B17" s="1">
        <f>IF(A17="","",EOMONTH(DATE(YEAR(IF(A17="","",'Additional Information'!B17)),MONTH(IF(A17="","",'Additional Information'!B17)),DAY(IF(A17="","",'Additional Information'!B17))),0))</f>
        <v>45016</v>
      </c>
    </row>
    <row r="18" spans="1:2" x14ac:dyDescent="0.25">
      <c r="A18" t="str">
        <f>IF(Input!A19="","",Input!A19)</f>
        <v>IronBright 90 Passive</v>
      </c>
      <c r="B18" s="1">
        <f>IF(A18="","",EOMONTH(DATE(YEAR(IF(A18="","",'Additional Information'!B18)),MONTH(IF(A18="","",'Additional Information'!B18)),DAY(IF(A18="","",'Additional Information'!B18))),0))</f>
        <v>45016</v>
      </c>
    </row>
    <row r="19" spans="1:2" x14ac:dyDescent="0.25">
      <c r="A19" t="str">
        <f>IF(Input!A20="","",Input!A20)</f>
        <v>IronBright 100 Passive</v>
      </c>
      <c r="B19" s="1">
        <f>IF(A19="","",EOMONTH(DATE(YEAR(IF(A19="","",'Additional Information'!B19)),MONTH(IF(A19="","",'Additional Information'!B19)),DAY(IF(A19="","",'Additional Information'!B19))),0))</f>
        <v>45016</v>
      </c>
    </row>
    <row r="20" spans="1:2" x14ac:dyDescent="0.25">
      <c r="A20" t="str">
        <f>IF(Input!A21="","",Input!A21)</f>
        <v>IronBright Cautious Income</v>
      </c>
      <c r="B20" s="1">
        <f>IF(A20="","",EOMONTH(DATE(YEAR(IF(A20="","",'Additional Information'!B20)),MONTH(IF(A20="","",'Additional Information'!B20)),DAY(IF(A20="","",'Additional Information'!B20))),0))</f>
        <v>45016</v>
      </c>
    </row>
    <row r="21" spans="1:2" x14ac:dyDescent="0.25">
      <c r="A21" t="str">
        <f>IF(Input!A22="","",Input!A22)</f>
        <v>IronBright Balanced Income</v>
      </c>
      <c r="B21" s="1">
        <f>IF(A21="","",EOMONTH(DATE(YEAR(IF(A21="","",'Additional Information'!B21)),MONTH(IF(A21="","",'Additional Information'!B21)),DAY(IF(A21="","",'Additional Information'!B21))),0))</f>
        <v>45016</v>
      </c>
    </row>
    <row r="22" spans="1:2" x14ac:dyDescent="0.25">
      <c r="A22" t="str">
        <f>IF(Input!A23="","",Input!A23)</f>
        <v>IronBright Equity Income</v>
      </c>
      <c r="B22" s="1">
        <f>IF(A22="","",EOMONTH(DATE(YEAR(IF(A22="","",'Additional Information'!B22)),MONTH(IF(A22="","",'Additional Information'!B22)),DAY(IF(A22="","",'Additional Information'!B22))),0))</f>
        <v>45016</v>
      </c>
    </row>
    <row r="23" spans="1:2" x14ac:dyDescent="0.25">
      <c r="A23" t="str">
        <f>IF(Input!A24="","",Input!A24)</f>
        <v>IronBright Sustainable 30</v>
      </c>
      <c r="B23" s="1">
        <f>IF(A23="","",EOMONTH(DATE(YEAR(IF(A23="","",'Additional Information'!B23)),MONTH(IF(A23="","",'Additional Information'!B23)),DAY(IF(A23="","",'Additional Information'!B23))),0))</f>
        <v>45016</v>
      </c>
    </row>
    <row r="24" spans="1:2" x14ac:dyDescent="0.25">
      <c r="A24" t="str">
        <f>IF(Input!A25="","",Input!A25)</f>
        <v>IronBright Sustainable 50</v>
      </c>
      <c r="B24" s="1">
        <f>IF(A24="","",EOMONTH(DATE(YEAR(IF(A24="","",'Additional Information'!B24)),MONTH(IF(A24="","",'Additional Information'!B24)),DAY(IF(A24="","",'Additional Information'!B24))),0))</f>
        <v>45016</v>
      </c>
    </row>
    <row r="25" spans="1:2" x14ac:dyDescent="0.25">
      <c r="A25" t="str">
        <f>IF(Input!A26="","",Input!A26)</f>
        <v>IronBright Sustainable 70</v>
      </c>
      <c r="B25" s="1">
        <f>IF(A25="","",EOMONTH(DATE(YEAR(IF(A25="","",'Additional Information'!B25)),MONTH(IF(A25="","",'Additional Information'!B25)),DAY(IF(A25="","",'Additional Information'!B25))),0))</f>
        <v>45016</v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IronBright 20 Core-Satellite</v>
      </c>
      <c r="C2">
        <f>IF(A2="","",'Additional Information'!E2)</f>
        <v>-7.7600000000000002E-2</v>
      </c>
      <c r="D2" s="5">
        <f>IF(A2="","",SUM('Additional Information'!C2,'Additional Information'!D2))</f>
        <v>6.2000000000000006E-3</v>
      </c>
      <c r="E2">
        <f>IF(A2="","",SUM('Additional Information'!C2))</f>
        <v>3.0000000000000001E-3</v>
      </c>
    </row>
    <row r="3" spans="1:5" x14ac:dyDescent="0.25">
      <c r="A3" t="str">
        <f>IF(Input!A4="","",Input!A4)</f>
        <v>IronBright 30 Core-Satellite</v>
      </c>
      <c r="C3">
        <f>IF(A3="","",'Additional Information'!E3)</f>
        <v>-6.6500000000000004E-2</v>
      </c>
      <c r="D3" s="5">
        <f>IF(A3="","",SUM('Additional Information'!C3,'Additional Information'!D3))</f>
        <v>6.4000000000000003E-3</v>
      </c>
      <c r="E3">
        <f>IF(A3="","",SUM('Additional Information'!C3))</f>
        <v>3.0000000000000001E-3</v>
      </c>
    </row>
    <row r="4" spans="1:5" x14ac:dyDescent="0.25">
      <c r="A4" t="str">
        <f>IF(Input!A5="","",Input!A5)</f>
        <v>IronBright 40 Core-Satellite</v>
      </c>
      <c r="C4">
        <f>IF(A4="","",'Additional Information'!E4)</f>
        <v>-6.0100000000000001E-2</v>
      </c>
      <c r="D4" s="5">
        <f>IF(A4="","",SUM('Additional Information'!C4,'Additional Information'!D4))</f>
        <v>6.4000000000000003E-3</v>
      </c>
      <c r="E4">
        <f>IF(A4="","",SUM('Additional Information'!C4))</f>
        <v>3.0000000000000001E-3</v>
      </c>
    </row>
    <row r="5" spans="1:5" x14ac:dyDescent="0.25">
      <c r="A5" t="str">
        <f>IF(Input!A6="","",Input!A6)</f>
        <v>IronBright 50 Core-Satellite</v>
      </c>
      <c r="C5">
        <f>IF(A5="","",'Additional Information'!E5)</f>
        <v>-6.7900000000000002E-2</v>
      </c>
      <c r="D5" s="5">
        <f>IF(A5="","",SUM('Additional Information'!C5,'Additional Information'!D5))</f>
        <v>6.8999999999999999E-3</v>
      </c>
      <c r="E5">
        <f>IF(A5="","",SUM('Additional Information'!C5))</f>
        <v>3.0000000000000001E-3</v>
      </c>
    </row>
    <row r="6" spans="1:5" x14ac:dyDescent="0.25">
      <c r="A6" t="str">
        <f>IF(Input!A7="","",Input!A7)</f>
        <v>IronBright 60 Core-Satellite</v>
      </c>
      <c r="C6">
        <f>IF(A6="","",'Additional Information'!E6)</f>
        <v>-5.3200000000000004E-2</v>
      </c>
      <c r="D6" s="5">
        <f>IF(A6="","",SUM('Additional Information'!C6,'Additional Information'!D6))</f>
        <v>6.8000000000000005E-3</v>
      </c>
      <c r="E6">
        <f>IF(A6="","",SUM('Additional Information'!C6))</f>
        <v>3.0000000000000001E-3</v>
      </c>
    </row>
    <row r="7" spans="1:5" x14ac:dyDescent="0.25">
      <c r="A7" t="str">
        <f>IF(Input!A8="","",Input!A8)</f>
        <v>IronBright 70 Core-Satellite</v>
      </c>
      <c r="C7">
        <f>IF(A7="","",'Additional Information'!E7)</f>
        <v>-2.2599999999999999E-2</v>
      </c>
      <c r="D7" s="5">
        <f>IF(A7="","",SUM('Additional Information'!C7,'Additional Information'!D7))</f>
        <v>7.4000000000000003E-3</v>
      </c>
      <c r="E7">
        <f>IF(A7="","",SUM('Additional Information'!C7))</f>
        <v>3.0000000000000001E-3</v>
      </c>
    </row>
    <row r="8" spans="1:5" x14ac:dyDescent="0.25">
      <c r="A8" t="str">
        <f>IF(Input!A9="","",Input!A9)</f>
        <v>IronBright 80 Core-Satellite</v>
      </c>
      <c r="C8">
        <f>IF(A8="","",'Additional Information'!E8)</f>
        <v>-2.0899999999999998E-2</v>
      </c>
      <c r="D8" s="5">
        <f>IF(A8="","",SUM('Additional Information'!C8,'Additional Information'!D8))</f>
        <v>7.0999999999999995E-3</v>
      </c>
      <c r="E8">
        <f>IF(A8="","",SUM('Additional Information'!C8))</f>
        <v>3.0000000000000001E-3</v>
      </c>
    </row>
    <row r="9" spans="1:5" x14ac:dyDescent="0.25">
      <c r="A9" t="str">
        <f>IF(Input!A10="","",Input!A10)</f>
        <v>IronBright 90 Core-Satellite</v>
      </c>
      <c r="C9">
        <f>IF(A9="","",'Additional Information'!E9)</f>
        <v>-2.12E-2</v>
      </c>
      <c r="D9" s="5">
        <f>IF(A9="","",SUM('Additional Information'!C9,'Additional Information'!D9))</f>
        <v>7.1999999999999998E-3</v>
      </c>
      <c r="E9">
        <f>IF(A9="","",SUM('Additional Information'!C9))</f>
        <v>3.0000000000000001E-3</v>
      </c>
    </row>
    <row r="10" spans="1:5" x14ac:dyDescent="0.25">
      <c r="A10" t="str">
        <f>IF(Input!A11="","",Input!A11)</f>
        <v>IronBright 100 Core-Satellite</v>
      </c>
      <c r="C10">
        <f>IF(A10="","",'Additional Information'!E10)</f>
        <v>-2.0499999999999997E-2</v>
      </c>
      <c r="D10" s="5">
        <f>IF(A10="","",SUM('Additional Information'!C10,'Additional Information'!D10))</f>
        <v>7.4000000000000003E-3</v>
      </c>
      <c r="E10">
        <f>IF(A10="","",SUM('Additional Information'!C10))</f>
        <v>3.0000000000000001E-3</v>
      </c>
    </row>
    <row r="11" spans="1:5" x14ac:dyDescent="0.25">
      <c r="A11" t="str">
        <f>IF(Input!A12="","",Input!A12)</f>
        <v>IronBright 20 Passive</v>
      </c>
      <c r="C11">
        <f>IF(A11="","",'Additional Information'!E11)</f>
        <v>-8.9700000000000002E-2</v>
      </c>
      <c r="D11" s="5">
        <f>IF(A11="","",SUM('Additional Information'!C11,'Additional Information'!D11))</f>
        <v>4.1999999999999997E-3</v>
      </c>
      <c r="E11">
        <f>IF(A11="","",SUM('Additional Information'!C11))</f>
        <v>3.0000000000000001E-3</v>
      </c>
    </row>
    <row r="12" spans="1:5" x14ac:dyDescent="0.25">
      <c r="A12" t="str">
        <f>IF(Input!A13="","",Input!A13)</f>
        <v>IronBright 30 Passive</v>
      </c>
      <c r="C12">
        <f>IF(A12="","",'Additional Information'!E12)</f>
        <v>-7.1199999999999999E-2</v>
      </c>
      <c r="D12" s="5">
        <f>IF(A12="","",SUM('Additional Information'!C12,'Additional Information'!D12))</f>
        <v>4.1999999999999997E-3</v>
      </c>
      <c r="E12">
        <f>IF(A12="","",SUM('Additional Information'!C12))</f>
        <v>3.0000000000000001E-3</v>
      </c>
    </row>
    <row r="13" spans="1:5" x14ac:dyDescent="0.25">
      <c r="A13" t="str">
        <f>IF(Input!A14="","",Input!A14)</f>
        <v>IronBright 40 Passive</v>
      </c>
      <c r="C13">
        <f>IF(A13="","",'Additional Information'!E13)</f>
        <v>-5.7599999999999998E-2</v>
      </c>
      <c r="D13" s="5">
        <f>IF(A13="","",SUM('Additional Information'!C13,'Additional Information'!D13))</f>
        <v>4.1000000000000003E-3</v>
      </c>
      <c r="E13">
        <f>IF(A13="","",SUM('Additional Information'!C13))</f>
        <v>3.0000000000000001E-3</v>
      </c>
    </row>
    <row r="14" spans="1:5" x14ac:dyDescent="0.25">
      <c r="A14" t="str">
        <f>IF(Input!A15="","",Input!A15)</f>
        <v>IronBright 50 Passive</v>
      </c>
      <c r="C14">
        <f>IF(A14="","",'Additional Information'!E14)</f>
        <v>-4.7300000000000002E-2</v>
      </c>
      <c r="D14" s="5">
        <f>IF(A14="","",SUM('Additional Information'!C14,'Additional Information'!D14))</f>
        <v>4.1000000000000003E-3</v>
      </c>
      <c r="E14">
        <f>IF(A14="","",SUM('Additional Information'!C14))</f>
        <v>3.0000000000000001E-3</v>
      </c>
    </row>
    <row r="15" spans="1:5" x14ac:dyDescent="0.25">
      <c r="A15" t="str">
        <f>IF(Input!A16="","",Input!A16)</f>
        <v>IronBright 60 Passive</v>
      </c>
      <c r="C15">
        <f>IF(A15="","",'Additional Information'!E15)</f>
        <v>-3.1300000000000001E-2</v>
      </c>
      <c r="D15" s="5">
        <f>IF(A15="","",SUM('Additional Information'!C15,'Additional Information'!D15))</f>
        <v>4.0000000000000001E-3</v>
      </c>
      <c r="E15">
        <f>IF(A15="","",SUM('Additional Information'!C15))</f>
        <v>3.0000000000000001E-3</v>
      </c>
    </row>
    <row r="16" spans="1:5" x14ac:dyDescent="0.25">
      <c r="A16" t="str">
        <f>IF(Input!A17="","",Input!A17)</f>
        <v>IronBright 70 Passive</v>
      </c>
      <c r="C16">
        <f>IF(A16="","",'Additional Information'!E16)</f>
        <v>2.7000000000000001E-3</v>
      </c>
      <c r="D16" s="5">
        <f>IF(A16="","",SUM('Additional Information'!C16,'Additional Information'!D16))</f>
        <v>4.1999999999999997E-3</v>
      </c>
      <c r="E16">
        <f>IF(A16="","",SUM('Additional Information'!C16))</f>
        <v>3.0000000000000001E-3</v>
      </c>
    </row>
    <row r="17" spans="1:5" x14ac:dyDescent="0.25">
      <c r="A17" t="str">
        <f>IF(Input!A18="","",Input!A18)</f>
        <v>IronBright 80 Passive</v>
      </c>
      <c r="C17">
        <f>IF(A17="","",'Additional Information'!E17)</f>
        <v>1.24E-2</v>
      </c>
      <c r="D17" s="5">
        <f>IF(A17="","",SUM('Additional Information'!C17,'Additional Information'!D17))</f>
        <v>4.3E-3</v>
      </c>
      <c r="E17">
        <f>IF(A17="","",SUM('Additional Information'!C17))</f>
        <v>3.0000000000000001E-3</v>
      </c>
    </row>
    <row r="18" spans="1:5" x14ac:dyDescent="0.25">
      <c r="A18" t="str">
        <f>IF(Input!A19="","",Input!A19)</f>
        <v>IronBright 90 Passive</v>
      </c>
      <c r="C18">
        <f>IF(A18="","",'Additional Information'!E18)</f>
        <v>1.3500000000000002E-2</v>
      </c>
      <c r="D18" s="5">
        <f>IF(A18="","",SUM('Additional Information'!C18,'Additional Information'!D18))</f>
        <v>4.1999999999999997E-3</v>
      </c>
      <c r="E18">
        <f>IF(A18="","",SUM('Additional Information'!C18))</f>
        <v>3.0000000000000001E-3</v>
      </c>
    </row>
    <row r="19" spans="1:5" x14ac:dyDescent="0.25">
      <c r="A19" t="str">
        <f>IF(Input!A20="","",Input!A20)</f>
        <v>IronBright 100 Passive</v>
      </c>
      <c r="C19">
        <f>IF(A19="","",'Additional Information'!E19)</f>
        <v>1.6899999999999998E-2</v>
      </c>
      <c r="D19" s="5">
        <f>IF(A19="","",SUM('Additional Information'!C19,'Additional Information'!D19))</f>
        <v>4.1000000000000003E-3</v>
      </c>
      <c r="E19">
        <f>IF(A19="","",SUM('Additional Information'!C19))</f>
        <v>3.0000000000000001E-3</v>
      </c>
    </row>
    <row r="20" spans="1:5" x14ac:dyDescent="0.25">
      <c r="A20" t="str">
        <f>IF(Input!A21="","",Input!A21)</f>
        <v>IronBright Cautious Income</v>
      </c>
      <c r="C20">
        <f>IF(A20="","",'Additional Information'!E20)</f>
        <v>-0.10060000000000001</v>
      </c>
      <c r="D20" s="5">
        <f>IF(A20="","",SUM('Additional Information'!C20,'Additional Information'!D20))</f>
        <v>7.4000000000000003E-3</v>
      </c>
      <c r="E20">
        <f>IF(A20="","",SUM('Additional Information'!C20))</f>
        <v>3.0000000000000001E-3</v>
      </c>
    </row>
    <row r="21" spans="1:5" x14ac:dyDescent="0.25">
      <c r="A21" t="str">
        <f>IF(Input!A22="","",Input!A22)</f>
        <v>IronBright Balanced Income</v>
      </c>
      <c r="C21">
        <f>IF(A21="","",'Additional Information'!E21)</f>
        <v>-5.1399999999999994E-2</v>
      </c>
      <c r="D21" s="5">
        <f>IF(A21="","",SUM('Additional Information'!C21,'Additional Information'!D21))</f>
        <v>7.6E-3</v>
      </c>
      <c r="E21">
        <f>IF(A21="","",SUM('Additional Information'!C21))</f>
        <v>3.0000000000000001E-3</v>
      </c>
    </row>
    <row r="22" spans="1:5" x14ac:dyDescent="0.25">
      <c r="A22" t="str">
        <f>IF(Input!A23="","",Input!A23)</f>
        <v>IronBright Equity Income</v>
      </c>
      <c r="C22">
        <f>IF(A22="","",'Additional Information'!E22)</f>
        <v>-2.9300000000000003E-2</v>
      </c>
      <c r="D22" s="5">
        <f>IF(A22="","",SUM('Additional Information'!C22,'Additional Information'!D22))</f>
        <v>7.6E-3</v>
      </c>
      <c r="E22">
        <f>IF(A22="","",SUM('Additional Information'!C22))</f>
        <v>3.0000000000000001E-3</v>
      </c>
    </row>
    <row r="23" spans="1:5" x14ac:dyDescent="0.25">
      <c r="A23" t="str">
        <f>IF(Input!A24="","",Input!A24)</f>
        <v>IronBright Sustainable 30</v>
      </c>
      <c r="C23">
        <f>IF(A23="","",'Additional Information'!E23)</f>
        <v>-0.11199999999999999</v>
      </c>
      <c r="D23" s="5">
        <f>IF(A23="","",SUM('Additional Information'!C23,'Additional Information'!D23))</f>
        <v>8.4000000000000012E-3</v>
      </c>
      <c r="E23">
        <f>IF(A23="","",SUM('Additional Information'!C23))</f>
        <v>3.0000000000000001E-3</v>
      </c>
    </row>
    <row r="24" spans="1:5" x14ac:dyDescent="0.25">
      <c r="A24" t="str">
        <f>IF(Input!A25="","",Input!A25)</f>
        <v>IronBright Sustainable 50</v>
      </c>
      <c r="C24">
        <f>IF(A24="","",'Additional Information'!E24)</f>
        <v>-0.10349999999999999</v>
      </c>
      <c r="D24" s="5">
        <f>IF(A24="","",SUM('Additional Information'!C24,'Additional Information'!D24))</f>
        <v>9.5000000000000015E-3</v>
      </c>
      <c r="E24">
        <f>IF(A24="","",SUM('Additional Information'!C24))</f>
        <v>3.0000000000000001E-3</v>
      </c>
    </row>
    <row r="25" spans="1:5" x14ac:dyDescent="0.25">
      <c r="A25" t="str">
        <f>IF(Input!A26="","",Input!A26)</f>
        <v>IronBright Sustainable 70</v>
      </c>
      <c r="C25">
        <f>IF(A25="","",'Additional Information'!E25)</f>
        <v>-7.7600000000000002E-2</v>
      </c>
      <c r="D25" s="5">
        <f>IF(A25="","",SUM('Additional Information'!C25,'Additional Information'!D25))</f>
        <v>1.0800000000000001E-2</v>
      </c>
      <c r="E25">
        <f>IF(A25="","",SUM('Additional Information'!C25))</f>
        <v>3.0000000000000001E-3</v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IronBright 20 Core-Satellite</v>
      </c>
      <c r="B2" t="e">
        <f>IF(A2="","",SUM('Asset Allocation'!F2,'Asset Allocation'!G2,'Asset Allocation'!#REF!,'Asset Allocation'!H2,'Asset Allocation'!I2,'Asset Allocation'!J2))</f>
        <v>#REF!</v>
      </c>
      <c r="C2">
        <f>IF(A2="","",SUM('Asset Allocation'!C2))</f>
        <v>0.05</v>
      </c>
      <c r="D2">
        <f>IF(A2="","",SUM('Asset Allocation'!D2))</f>
        <v>0.2</v>
      </c>
      <c r="F2">
        <f>IF(A2="","",SUM('Asset Allocation'!E2))</f>
        <v>0.3</v>
      </c>
      <c r="G2">
        <f>IF(A2="","",SUM('Asset Allocation'!B2))</f>
        <v>0.1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IronBright 30 Core-Satellite</v>
      </c>
      <c r="B3" t="e">
        <f>IF(A3="","",SUM('Asset Allocation'!F3,'Asset Allocation'!G3,'Asset Allocation'!#REF!,'Asset Allocation'!H3,'Asset Allocation'!I3,'Asset Allocation'!J3))</f>
        <v>#REF!</v>
      </c>
      <c r="C3">
        <f>IF(A3="","",SUM('Asset Allocation'!C3))</f>
        <v>0.05</v>
      </c>
      <c r="D3">
        <f>IF(A3="","",SUM('Asset Allocation'!D3))</f>
        <v>0.17499999999999999</v>
      </c>
      <c r="F3">
        <f>IF(A3="","",SUM('Asset Allocation'!E3))</f>
        <v>0.22500000000000001</v>
      </c>
      <c r="G3">
        <f>IF(A3="","",SUM('Asset Allocation'!B3))</f>
        <v>0.2</v>
      </c>
      <c r="H3" t="e">
        <f t="shared" si="0"/>
        <v>#REF!</v>
      </c>
    </row>
    <row r="4" spans="1:8" x14ac:dyDescent="0.25">
      <c r="A4" t="str">
        <f>IF(Input!A5="","",Input!A5)</f>
        <v>IronBright 40 Core-Satellite</v>
      </c>
      <c r="B4" t="e">
        <f>IF(A4="","",SUM('Asset Allocation'!F4,'Asset Allocation'!G4,'Asset Allocation'!#REF!,'Asset Allocation'!H4,'Asset Allocation'!I4,'Asset Allocation'!J4))</f>
        <v>#REF!</v>
      </c>
      <c r="C4">
        <f>IF(A4="","",SUM('Asset Allocation'!C4))</f>
        <v>0.05</v>
      </c>
      <c r="D4">
        <f>IF(A4="","",SUM('Asset Allocation'!D4))</f>
        <v>0.15</v>
      </c>
      <c r="F4">
        <f>IF(A4="","",SUM('Asset Allocation'!E4))</f>
        <v>0.2</v>
      </c>
      <c r="G4">
        <f>IF(A4="","",SUM('Asset Allocation'!B4))</f>
        <v>0.25</v>
      </c>
      <c r="H4" t="e">
        <f t="shared" si="0"/>
        <v>#REF!</v>
      </c>
    </row>
    <row r="5" spans="1:8" x14ac:dyDescent="0.25">
      <c r="A5" t="str">
        <f>IF(Input!A6="","",Input!A6)</f>
        <v>IronBright 50 Core-Satellite</v>
      </c>
      <c r="B5" t="e">
        <f>IF(A5="","",SUM('Asset Allocation'!F5,'Asset Allocation'!G5,'Asset Allocation'!#REF!,'Asset Allocation'!H5,'Asset Allocation'!I5,'Asset Allocation'!J5))</f>
        <v>#REF!</v>
      </c>
      <c r="C5">
        <f>IF(A5="","",SUM('Asset Allocation'!C5))</f>
        <v>0</v>
      </c>
      <c r="D5">
        <f>IF(A5="","",SUM('Asset Allocation'!D5))</f>
        <v>0.15</v>
      </c>
      <c r="F5">
        <f>IF(A5="","",SUM('Asset Allocation'!E5))</f>
        <v>0.15</v>
      </c>
      <c r="G5">
        <f>IF(A5="","",SUM('Asset Allocation'!B5))</f>
        <v>0.3</v>
      </c>
      <c r="H5" t="e">
        <f t="shared" si="0"/>
        <v>#REF!</v>
      </c>
    </row>
    <row r="6" spans="1:8" x14ac:dyDescent="0.25">
      <c r="A6" t="str">
        <f>IF(Input!A7="","",Input!A7)</f>
        <v>IronBright 60 Core-Satellite</v>
      </c>
      <c r="B6" t="e">
        <f>IF(A6="","",SUM('Asset Allocation'!F6,'Asset Allocation'!G6,'Asset Allocation'!#REF!,'Asset Allocation'!H6,'Asset Allocation'!I6,'Asset Allocation'!J6))</f>
        <v>#REF!</v>
      </c>
      <c r="C6">
        <f>IF(A6="","",SUM('Asset Allocation'!C6))</f>
        <v>0</v>
      </c>
      <c r="D6">
        <f>IF(A6="","",SUM('Asset Allocation'!D6))</f>
        <v>0.1</v>
      </c>
      <c r="F6">
        <f>IF(A6="","",SUM('Asset Allocation'!E6))</f>
        <v>0.1</v>
      </c>
      <c r="G6">
        <f>IF(A6="","",SUM('Asset Allocation'!B6))</f>
        <v>0.35</v>
      </c>
      <c r="H6" t="e">
        <f t="shared" si="0"/>
        <v>#REF!</v>
      </c>
    </row>
    <row r="7" spans="1:8" x14ac:dyDescent="0.25">
      <c r="A7" t="str">
        <f>IF(Input!A8="","",Input!A8)</f>
        <v>IronBright 70 Core-Satellite</v>
      </c>
      <c r="B7" t="e">
        <f>IF(A7="","",SUM('Asset Allocation'!F7,'Asset Allocation'!G7,'Asset Allocation'!#REF!,'Asset Allocation'!H7,'Asset Allocation'!I7,'Asset Allocation'!J7))</f>
        <v>#REF!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0.1</v>
      </c>
      <c r="G7">
        <f>IF(A7="","",SUM('Asset Allocation'!B7))</f>
        <v>0.4</v>
      </c>
      <c r="H7" t="e">
        <f t="shared" si="0"/>
        <v>#REF!</v>
      </c>
    </row>
    <row r="8" spans="1:8" x14ac:dyDescent="0.25">
      <c r="A8" t="str">
        <f>IF(Input!A9="","",Input!A9)</f>
        <v>IronBright 80 Core-Satellite</v>
      </c>
      <c r="B8" t="e">
        <f>IF(A8="","",SUM('Asset Allocation'!F8,'Asset Allocation'!G8,'Asset Allocation'!#REF!,'Asset Allocation'!H8,'Asset Allocation'!I8,'Asset Allocation'!J8))</f>
        <v>#REF!</v>
      </c>
      <c r="C8">
        <f>IF(A8="","",SUM('Asset Allocation'!C8))</f>
        <v>0</v>
      </c>
      <c r="D8">
        <f>IF(A8="","",SUM('Asset Allocation'!D8))</f>
        <v>0.15</v>
      </c>
      <c r="F8">
        <f>IF(A8="","",SUM('Asset Allocation'!E8))</f>
        <v>0.15</v>
      </c>
      <c r="G8">
        <f>IF(A8="","",SUM('Asset Allocation'!B8))</f>
        <v>0.5</v>
      </c>
      <c r="H8" t="e">
        <f t="shared" si="0"/>
        <v>#REF!</v>
      </c>
    </row>
    <row r="9" spans="1:8" x14ac:dyDescent="0.25">
      <c r="A9" t="str">
        <f>IF(Input!A10="","",Input!A10)</f>
        <v>IronBright 90 Core-Satellite</v>
      </c>
      <c r="B9" t="e">
        <f>IF(A9="","",SUM('Asset Allocation'!F9,'Asset Allocation'!G9,'Asset Allocation'!#REF!,'Asset Allocation'!H9,'Asset Allocation'!I9,'Asset Allocation'!J9))</f>
        <v>#REF!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0.05</v>
      </c>
      <c r="G9">
        <f>IF(A9="","",SUM('Asset Allocation'!B9))</f>
        <v>0.5</v>
      </c>
      <c r="H9" t="e">
        <f t="shared" si="0"/>
        <v>#REF!</v>
      </c>
    </row>
    <row r="10" spans="1:8" x14ac:dyDescent="0.25">
      <c r="A10" t="str">
        <f>IF(Input!A11="","",Input!A11)</f>
        <v>IronBright 100 Core-Satellite</v>
      </c>
      <c r="B10" t="e">
        <f>IF(A10="","",SUM('Asset Allocation'!F10,'Asset Allocation'!G10,'Asset Allocation'!#REF!,'Asset Allocation'!H10,'Asset Allocation'!I10,'Asset Allocation'!J10))</f>
        <v>#REF!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0.5</v>
      </c>
      <c r="H10" t="e">
        <f t="shared" si="0"/>
        <v>#REF!</v>
      </c>
    </row>
    <row r="11" spans="1:8" x14ac:dyDescent="0.25">
      <c r="A11" t="str">
        <f>IF(Input!A12="","",Input!A12)</f>
        <v>IronBright 20 Passive</v>
      </c>
      <c r="B11" t="e">
        <f>IF(A11="","",SUM('Asset Allocation'!F11,'Asset Allocation'!G11,'Asset Allocation'!#REF!,'Asset Allocation'!H11,'Asset Allocation'!I11,'Asset Allocation'!J11))</f>
        <v>#REF!</v>
      </c>
      <c r="C11">
        <f>IF(A11="","",SUM('Asset Allocation'!C11))</f>
        <v>0.05</v>
      </c>
      <c r="D11">
        <f>IF(A11="","",SUM('Asset Allocation'!D11))</f>
        <v>0.2</v>
      </c>
      <c r="F11">
        <f>IF(A11="","",SUM('Asset Allocation'!E11))</f>
        <v>0.3</v>
      </c>
      <c r="G11">
        <f>IF(A11="","",SUM('Asset Allocation'!B11))</f>
        <v>0.1</v>
      </c>
      <c r="H11" t="e">
        <f t="shared" si="0"/>
        <v>#REF!</v>
      </c>
    </row>
    <row r="12" spans="1:8" x14ac:dyDescent="0.25">
      <c r="A12" t="str">
        <f>IF(Input!A13="","",Input!A13)</f>
        <v>IronBright 30 Passive</v>
      </c>
      <c r="B12" t="e">
        <f>IF(A12="","",SUM('Asset Allocation'!F12,'Asset Allocation'!G12,'Asset Allocation'!#REF!,'Asset Allocation'!H12,'Asset Allocation'!I12,'Asset Allocation'!J12))</f>
        <v>#REF!</v>
      </c>
      <c r="C12">
        <f>IF(A12="","",SUM('Asset Allocation'!C12))</f>
        <v>0.05</v>
      </c>
      <c r="D12">
        <f>IF(A12="","",SUM('Asset Allocation'!D12))</f>
        <v>0.17499999999999999</v>
      </c>
      <c r="F12">
        <f>IF(A12="","",SUM('Asset Allocation'!E12))</f>
        <v>0.22500000000000001</v>
      </c>
      <c r="G12">
        <f>IF(A12="","",SUM('Asset Allocation'!B12))</f>
        <v>0.2</v>
      </c>
      <c r="H12" t="e">
        <f t="shared" si="0"/>
        <v>#REF!</v>
      </c>
    </row>
    <row r="13" spans="1:8" x14ac:dyDescent="0.25">
      <c r="A13" t="str">
        <f>IF(Input!A14="","",Input!A14)</f>
        <v>IronBright 40 Passive</v>
      </c>
      <c r="B13" t="e">
        <f>IF(A13="","",SUM('Asset Allocation'!F13,'Asset Allocation'!G13,'Asset Allocation'!#REF!,'Asset Allocation'!H13,'Asset Allocation'!I13,'Asset Allocation'!J13))</f>
        <v>#REF!</v>
      </c>
      <c r="C13">
        <f>IF(A13="","",SUM('Asset Allocation'!C13))</f>
        <v>0.05</v>
      </c>
      <c r="D13">
        <f>IF(A13="","",SUM('Asset Allocation'!D13))</f>
        <v>0.15</v>
      </c>
      <c r="F13">
        <f>IF(A13="","",SUM('Asset Allocation'!E13))</f>
        <v>0.2</v>
      </c>
      <c r="G13">
        <f>IF(A13="","",SUM('Asset Allocation'!B13))</f>
        <v>0.25</v>
      </c>
      <c r="H13" t="e">
        <f t="shared" si="0"/>
        <v>#REF!</v>
      </c>
    </row>
    <row r="14" spans="1:8" x14ac:dyDescent="0.25">
      <c r="A14" t="str">
        <f>IF(Input!A15="","",Input!A15)</f>
        <v>IronBright 50 Passive</v>
      </c>
      <c r="B14" t="e">
        <f>IF(A14="","",SUM('Asset Allocation'!F14,'Asset Allocation'!G14,'Asset Allocation'!#REF!,'Asset Allocation'!H14,'Asset Allocation'!I14,'Asset Allocation'!J14))</f>
        <v>#REF!</v>
      </c>
      <c r="C14">
        <f>IF(A14="","",SUM('Asset Allocation'!C14))</f>
        <v>0</v>
      </c>
      <c r="D14">
        <f>IF(A14="","",SUM('Asset Allocation'!D14))</f>
        <v>0.15</v>
      </c>
      <c r="F14">
        <f>IF(A14="","",SUM('Asset Allocation'!E14))</f>
        <v>0.15</v>
      </c>
      <c r="G14">
        <f>IF(A14="","",SUM('Asset Allocation'!B14))</f>
        <v>0.3</v>
      </c>
      <c r="H14" t="e">
        <f t="shared" si="0"/>
        <v>#REF!</v>
      </c>
    </row>
    <row r="15" spans="1:8" x14ac:dyDescent="0.25">
      <c r="A15" t="str">
        <f>IF(Input!A16="","",Input!A16)</f>
        <v>IronBright 60 Passive</v>
      </c>
      <c r="B15" t="e">
        <f>IF(A15="","",SUM('Asset Allocation'!F15,'Asset Allocation'!G15,'Asset Allocation'!#REF!,'Asset Allocation'!H15,'Asset Allocation'!I15,'Asset Allocation'!J15))</f>
        <v>#REF!</v>
      </c>
      <c r="C15">
        <f>IF(A15="","",SUM('Asset Allocation'!C15))</f>
        <v>0</v>
      </c>
      <c r="D15">
        <f>IF(A15="","",SUM('Asset Allocation'!D15))</f>
        <v>0.1</v>
      </c>
      <c r="F15">
        <f>IF(A15="","",SUM('Asset Allocation'!E15))</f>
        <v>0.1</v>
      </c>
      <c r="G15">
        <f>IF(A15="","",SUM('Asset Allocation'!B15))</f>
        <v>0.35</v>
      </c>
      <c r="H15" t="e">
        <f t="shared" si="0"/>
        <v>#REF!</v>
      </c>
    </row>
    <row r="16" spans="1:8" x14ac:dyDescent="0.25">
      <c r="A16" t="str">
        <f>IF(Input!A17="","",Input!A17)</f>
        <v>IronBright 70 Passive</v>
      </c>
      <c r="B16" t="e">
        <f>IF(A16="","",SUM('Asset Allocation'!F16,'Asset Allocation'!G16,'Asset Allocation'!#REF!,'Asset Allocation'!H16,'Asset Allocation'!I16,'Asset Allocation'!J16))</f>
        <v>#REF!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0.1</v>
      </c>
      <c r="G16">
        <f>IF(A16="","",SUM('Asset Allocation'!B16))</f>
        <v>0.4</v>
      </c>
      <c r="H16" t="e">
        <f t="shared" si="0"/>
        <v>#REF!</v>
      </c>
    </row>
    <row r="17" spans="1:8" x14ac:dyDescent="0.25">
      <c r="A17" t="str">
        <f>IF(Input!A18="","",Input!A18)</f>
        <v>IronBright 80 Passive</v>
      </c>
      <c r="B17" t="e">
        <f>IF(A17="","",SUM('Asset Allocation'!F17,'Asset Allocation'!G17,'Asset Allocation'!#REF!,'Asset Allocation'!H17,'Asset Allocation'!I17,'Asset Allocation'!J17))</f>
        <v>#REF!</v>
      </c>
      <c r="C17">
        <f>IF(A17="","",SUM('Asset Allocation'!C17))</f>
        <v>0</v>
      </c>
      <c r="D17">
        <f>IF(A17="","",SUM('Asset Allocation'!D17))</f>
        <v>0.15</v>
      </c>
      <c r="F17">
        <f>IF(A17="","",SUM('Asset Allocation'!E17))</f>
        <v>0.15</v>
      </c>
      <c r="G17">
        <f>IF(A17="","",SUM('Asset Allocation'!B17))</f>
        <v>0.5</v>
      </c>
      <c r="H17" t="e">
        <f t="shared" si="0"/>
        <v>#REF!</v>
      </c>
    </row>
    <row r="18" spans="1:8" x14ac:dyDescent="0.25">
      <c r="A18" t="str">
        <f>IF(Input!A19="","",Input!A19)</f>
        <v>IronBright 90 Passive</v>
      </c>
      <c r="B18" t="e">
        <f>IF(A18="","",SUM('Asset Allocation'!F18,'Asset Allocation'!G18,'Asset Allocation'!#REF!,'Asset Allocation'!H18,'Asset Allocation'!I18,'Asset Allocation'!J18))</f>
        <v>#REF!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0.05</v>
      </c>
      <c r="G18">
        <f>IF(A18="","",SUM('Asset Allocation'!B18))</f>
        <v>0.5</v>
      </c>
      <c r="H18" t="e">
        <f t="shared" si="0"/>
        <v>#REF!</v>
      </c>
    </row>
    <row r="19" spans="1:8" x14ac:dyDescent="0.25">
      <c r="A19" t="str">
        <f>IF(Input!A20="","",Input!A20)</f>
        <v>IronBright 100 Passive</v>
      </c>
      <c r="B19" t="e">
        <f>IF(A19="","",SUM('Asset Allocation'!F19,'Asset Allocation'!G19,'Asset Allocation'!#REF!,'Asset Allocation'!H19,'Asset Allocation'!I19,'Asset Allocation'!J19))</f>
        <v>#REF!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0.5</v>
      </c>
      <c r="H19" t="e">
        <f t="shared" si="0"/>
        <v>#REF!</v>
      </c>
    </row>
    <row r="20" spans="1:8" x14ac:dyDescent="0.25">
      <c r="A20" t="str">
        <f>IF(Input!A21="","",Input!A21)</f>
        <v>IronBright Cautious Income</v>
      </c>
      <c r="B20" t="e">
        <f>IF(A20="","",SUM('Asset Allocation'!F20,'Asset Allocation'!G20,'Asset Allocation'!#REF!,'Asset Allocation'!H20,'Asset Allocation'!I20,'Asset Allocation'!J20))</f>
        <v>#REF!</v>
      </c>
      <c r="C20">
        <f>IF(A20="","",SUM('Asset Allocation'!C20))</f>
        <v>0.05</v>
      </c>
      <c r="D20">
        <f>IF(A20="","",SUM('Asset Allocation'!D20))</f>
        <v>0.25</v>
      </c>
      <c r="F20">
        <f>IF(A20="","",SUM('Asset Allocation'!E20))</f>
        <v>0.4</v>
      </c>
      <c r="G20">
        <f>IF(A20="","",SUM('Asset Allocation'!B20))</f>
        <v>0.15</v>
      </c>
      <c r="H20" t="e">
        <f t="shared" si="0"/>
        <v>#REF!</v>
      </c>
    </row>
    <row r="21" spans="1:8" x14ac:dyDescent="0.25">
      <c r="A21" t="str">
        <f>IF(Input!A22="","",Input!A22)</f>
        <v>IronBright Balanced Income</v>
      </c>
      <c r="B21" t="e">
        <f>IF(A21="","",SUM('Asset Allocation'!F21,'Asset Allocation'!G21,'Asset Allocation'!#REF!,'Asset Allocation'!H21,'Asset Allocation'!I21,'Asset Allocation'!J21))</f>
        <v>#REF!</v>
      </c>
      <c r="C21">
        <f>IF(A21="","",SUM('Asset Allocation'!C21))</f>
        <v>0.15</v>
      </c>
      <c r="D21">
        <f>IF(A21="","",SUM('Asset Allocation'!D21))</f>
        <v>0.05</v>
      </c>
      <c r="F21">
        <f>IF(A21="","",SUM('Asset Allocation'!E21))</f>
        <v>0.4</v>
      </c>
      <c r="G21">
        <f>IF(A21="","",SUM('Asset Allocation'!B21))</f>
        <v>0.25</v>
      </c>
      <c r="H21" t="e">
        <f t="shared" si="0"/>
        <v>#REF!</v>
      </c>
    </row>
    <row r="22" spans="1:8" x14ac:dyDescent="0.25">
      <c r="A22" t="str">
        <f>IF(Input!A23="","",Input!A23)</f>
        <v>IronBright Equity Income</v>
      </c>
      <c r="B22" t="e">
        <f>IF(A22="","",SUM('Asset Allocation'!F22,'Asset Allocation'!G22,'Asset Allocation'!#REF!,'Asset Allocation'!H22,'Asset Allocation'!I22,'Asset Allocation'!J22))</f>
        <v>#REF!</v>
      </c>
      <c r="C22">
        <f>IF(A22="","",SUM('Asset Allocation'!C22))</f>
        <v>0.08</v>
      </c>
      <c r="D22">
        <f>IF(A22="","",SUM('Asset Allocation'!D22))</f>
        <v>0</v>
      </c>
      <c r="F22">
        <f>IF(A22="","",SUM('Asset Allocation'!E22))</f>
        <v>0</v>
      </c>
      <c r="G22">
        <f>IF(A22="","",SUM('Asset Allocation'!B22))</f>
        <v>0.5</v>
      </c>
      <c r="H22" t="e">
        <f t="shared" si="0"/>
        <v>#REF!</v>
      </c>
    </row>
    <row r="23" spans="1:8" x14ac:dyDescent="0.25">
      <c r="A23" t="str">
        <f>IF(Input!A24="","",Input!A24)</f>
        <v>IronBright Sustainable 30</v>
      </c>
      <c r="B23" t="e">
        <f>IF(A23="","",SUM('Asset Allocation'!F23,'Asset Allocation'!G23,'Asset Allocation'!#REF!,'Asset Allocation'!H23,'Asset Allocation'!I23,'Asset Allocation'!J23))</f>
        <v>#REF!</v>
      </c>
      <c r="C23">
        <f>IF(A23="","",SUM('Asset Allocation'!C23))</f>
        <v>4.9000000000000002E-2</v>
      </c>
      <c r="D23">
        <f>IF(A23="","",SUM('Asset Allocation'!D23))</f>
        <v>0.17149999999999999</v>
      </c>
      <c r="F23">
        <f>IF(A23="","",SUM('Asset Allocation'!E23))</f>
        <v>0.2205</v>
      </c>
      <c r="G23">
        <f>IF(A23="","",SUM('Asset Allocation'!B23))</f>
        <v>0.19600000000000001</v>
      </c>
      <c r="H23" t="e">
        <f t="shared" si="0"/>
        <v>#REF!</v>
      </c>
    </row>
    <row r="24" spans="1:8" x14ac:dyDescent="0.25">
      <c r="A24" t="str">
        <f>IF(Input!A25="","",Input!A25)</f>
        <v>IronBright Sustainable 50</v>
      </c>
      <c r="B24" t="e">
        <f>IF(A24="","",SUM('Asset Allocation'!F24,'Asset Allocation'!G24,'Asset Allocation'!#REF!,'Asset Allocation'!H24,'Asset Allocation'!I24,'Asset Allocation'!J24))</f>
        <v>#REF!</v>
      </c>
      <c r="C24">
        <f>IF(A24="","",SUM('Asset Allocation'!C24))</f>
        <v>0.1421</v>
      </c>
      <c r="D24">
        <f>IF(A24="","",SUM('Asset Allocation'!D24))</f>
        <v>0.14699999999999999</v>
      </c>
      <c r="F24">
        <f>IF(A24="","",SUM('Asset Allocation'!E24))</f>
        <v>0.14699999999999999</v>
      </c>
      <c r="G24">
        <f>IF(A24="","",SUM('Asset Allocation'!B24))</f>
        <v>0.29399999999999998</v>
      </c>
      <c r="H24" t="e">
        <f t="shared" si="0"/>
        <v>#REF!</v>
      </c>
    </row>
    <row r="25" spans="1:8" x14ac:dyDescent="0.25">
      <c r="A25" t="str">
        <f>IF(Input!A26="","",Input!A26)</f>
        <v>IronBright Sustainable 70</v>
      </c>
      <c r="B25" t="e">
        <f>IF(A25="","",SUM('Asset Allocation'!F25,'Asset Allocation'!G25,'Asset Allocation'!#REF!,'Asset Allocation'!H25,'Asset Allocation'!I25,'Asset Allocation'!J25))</f>
        <v>#REF!</v>
      </c>
      <c r="C25">
        <f>IF(A25="","",SUM('Asset Allocation'!C25))</f>
        <v>0.17879999999999999</v>
      </c>
      <c r="D25">
        <f>IF(A25="","",SUM('Asset Allocation'!D25))</f>
        <v>0</v>
      </c>
      <c r="F25">
        <f>IF(A25="","",SUM('Asset Allocation'!E25))</f>
        <v>9.8000000000000004E-2</v>
      </c>
      <c r="G25">
        <f>IF(A25="","",SUM('Asset Allocation'!B25))</f>
        <v>0.39200000000000002</v>
      </c>
      <c r="H25" t="e">
        <f t="shared" si="0"/>
        <v>#REF!</v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Allocation'!#REF!,'Asset Allocation'!H26,'Asset Allocation'!I26,'Asset Allocation'!J26))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Allocation'!#REF!,'Asset Allocation'!H27,'Asset Allocation'!I27,'Asset Allocation'!J27))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Allocation'!#REF!,'Asset Allocation'!H28,'Asset Allocation'!I28,'Asset Allocation'!J28))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Allocation'!#REF!,'Asset Allocation'!H29,'Asset Allocation'!I29,'Asset Allocation'!J29))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Allocation'!#REF!,'Asset Allocation'!H30,'Asset Allocation'!I30,'Asset Allocation'!J30))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Allocation'!#REF!,'Asset Allocation'!H31,'Asset Allocation'!I31,'Asset Allocation'!J31))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Allocation'!#REF!,'Asset Allocation'!H32,'Asset Allocation'!I32,'Asset Allocation'!J32))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Allocation'!#REF!,'Asset Allocation'!H33,'Asset Allocation'!I33,'Asset Allocation'!J33))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Allocation'!#REF!,'Asset Allocation'!H34,'Asset Allocation'!I34,'Asset Allocation'!J34))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Allocation'!#REF!,'Asset Allocation'!H35,'Asset Allocation'!I35,'Asset Allocation'!J35))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Allocation'!#REF!,'Asset Allocation'!H36,'Asset Allocation'!I36,'Asset Allocation'!J36))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Allocation'!#REF!,'Asset Allocation'!H37,'Asset Allocation'!I37,'Asset Allocation'!J37))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Allocation'!#REF!,'Asset Allocation'!H38,'Asset Allocation'!I38,'Asset Allocation'!J38))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Allocation'!#REF!,'Asset Allocation'!H39,'Asset Allocation'!I39,'Asset Allocation'!J39))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Allocation'!#REF!,'Asset Allocation'!H40,'Asset Allocation'!I40,'Asset Allocation'!J40))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Allocation'!#REF!,'Asset Allocation'!H41,'Asset Allocation'!I41,'Asset Allocation'!J41))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Allocation'!#REF!,'Asset Allocation'!H42,'Asset Allocation'!I42,'Asset Allocation'!J42))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Allocation'!#REF!,'Asset Allocation'!H43,'Asset Allocation'!I43,'Asset Allocation'!J43))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Allocation'!#REF!,'Asset Allocation'!H44,'Asset Allocation'!I44,'Asset Allocation'!J44))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Allocation'!#REF!,'Asset Allocation'!H45,'Asset Allocation'!I45,'Asset Allocation'!J45))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Allocation'!#REF!,'Asset Allocation'!H46,'Asset Allocation'!I46,'Asset Allocation'!J46))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Allocation'!#REF!,'Asset Allocation'!H47,'Asset Allocation'!I47,'Asset Allocation'!J47))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Allocation'!#REF!,'Asset Allocation'!H48,'Asset Allocation'!I48,'Asset Allocation'!J48))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Allocation'!#REF!,'Asset Allocation'!H49,'Asset Allocation'!I49,'Asset Allocation'!J49))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Allocation'!#REF!,'Asset Allocation'!H50,'Asset Allocation'!I50,'Asset Allocation'!J50))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IronBright 20 Core-Satellite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Allocation'!#REF!)/'Broad Asset Allocation'!B2),0)</f>
        <v>0</v>
      </c>
      <c r="E2" s="6">
        <f>IFERROR(IF(A2="","",SUM('Asset Allocation'!H2)/'Broad Asset Allocation'!B2),0)</f>
        <v>0</v>
      </c>
      <c r="F2" s="6"/>
      <c r="G2" s="6">
        <f>IFERROR(IF(A2="","",SUM('Asset Allocation'!I2)/'Broad Asset Allocation'!B2),0)</f>
        <v>0</v>
      </c>
      <c r="H2" s="6">
        <f>IFERROR(IF(A2="","",SUM('Asset Allocation'!J2)/'Broad Asset Allocation'!B2),0)</f>
        <v>0</v>
      </c>
    </row>
    <row r="3" spans="1:8" x14ac:dyDescent="0.25">
      <c r="A3" t="str">
        <f>IF(Input!A4="","",Input!A4)</f>
        <v>IronBright 30 Core-Satellite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Allocation'!#REF!)/'Broad Asset Allocation'!B3),0)</f>
        <v>0</v>
      </c>
      <c r="E3" s="6">
        <f>IFERROR(IF(A3="","",SUM('Asset Allocation'!H3)/'Broad Asset Allocation'!B3),0)</f>
        <v>0</v>
      </c>
      <c r="F3" s="6"/>
      <c r="G3" s="6">
        <f>IFERROR(IF(A3="","",SUM('Asset Allocation'!I3)/'Broad Asset Allocation'!B3),0)</f>
        <v>0</v>
      </c>
      <c r="H3" s="6">
        <f>IFERROR(IF(A3="","",SUM('Asset Allocation'!J3)/'Broad Asset Allocation'!B3),0)</f>
        <v>0</v>
      </c>
    </row>
    <row r="4" spans="1:8" x14ac:dyDescent="0.25">
      <c r="A4" t="str">
        <f>IF(Input!A5="","",Input!A5)</f>
        <v>IronBright 40 Core-Satellite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Allocation'!#REF!)/'Broad Asset Allocation'!B4),0)</f>
        <v>0</v>
      </c>
      <c r="E4" s="6">
        <f>IFERROR(IF(A4="","",SUM('Asset Allocation'!H4)/'Broad Asset Allocation'!B4),0)</f>
        <v>0</v>
      </c>
      <c r="F4" s="6"/>
      <c r="G4" s="6">
        <f>IFERROR(IF(A4="","",SUM('Asset Allocation'!I4)/'Broad Asset Allocation'!B4),0)</f>
        <v>0</v>
      </c>
      <c r="H4" s="6">
        <f>IFERROR(IF(A4="","",SUM('Asset Allocation'!J4)/'Broad Asset Allocation'!B4),0)</f>
        <v>0</v>
      </c>
    </row>
    <row r="5" spans="1:8" x14ac:dyDescent="0.25">
      <c r="A5" t="str">
        <f>IF(Input!A6="","",Input!A6)</f>
        <v>IronBright 50 Core-Satellite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Allocation'!#REF!)/'Broad Asset Allocation'!B5),0)</f>
        <v>0</v>
      </c>
      <c r="E5" s="6">
        <f>IFERROR(IF(A5="","",SUM('Asset Allocation'!H5)/'Broad Asset Allocation'!B5),0)</f>
        <v>0</v>
      </c>
      <c r="F5" s="6"/>
      <c r="G5" s="6">
        <f>IFERROR(IF(A5="","",SUM('Asset Allocation'!I5)/'Broad Asset Allocation'!B5),0)</f>
        <v>0</v>
      </c>
      <c r="H5" s="6">
        <f>IFERROR(IF(A5="","",SUM('Asset Allocation'!J5)/'Broad Asset Allocation'!B5),0)</f>
        <v>0</v>
      </c>
    </row>
    <row r="6" spans="1:8" x14ac:dyDescent="0.25">
      <c r="A6" t="str">
        <f>IF(Input!A7="","",Input!A7)</f>
        <v>IronBright 60 Core-Satellite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Allocation'!#REF!)/'Broad Asset Allocation'!B6),0)</f>
        <v>0</v>
      </c>
      <c r="E6" s="6">
        <f>IFERROR(IF(A6="","",SUM('Asset Allocation'!H6)/'Broad Asset Allocation'!B6),0)</f>
        <v>0</v>
      </c>
      <c r="F6" s="6"/>
      <c r="G6" s="6">
        <f>IFERROR(IF(A6="","",SUM('Asset Allocation'!I6)/'Broad Asset Allocation'!B6),0)</f>
        <v>0</v>
      </c>
      <c r="H6" s="6">
        <f>IFERROR(IF(A6="","",SUM('Asset Allocation'!J6)/'Broad Asset Allocation'!B6),0)</f>
        <v>0</v>
      </c>
    </row>
    <row r="7" spans="1:8" x14ac:dyDescent="0.25">
      <c r="A7" t="str">
        <f>IF(Input!A8="","",Input!A8)</f>
        <v>IronBright 70 Core-Satellite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Allocation'!#REF!)/'Broad Asset Allocation'!B7),0)</f>
        <v>0</v>
      </c>
      <c r="E7" s="6">
        <f>IFERROR(IF(A7="","",SUM('Asset Allocation'!H7)/'Broad Asset Allocation'!B7),0)</f>
        <v>0</v>
      </c>
      <c r="F7" s="6"/>
      <c r="G7" s="6">
        <f>IFERROR(IF(A7="","",SUM('Asset Allocation'!I7)/'Broad Asset Allocation'!B7),0)</f>
        <v>0</v>
      </c>
      <c r="H7" s="6">
        <f>IFERROR(IF(A7="","",SUM('Asset Allocation'!J7)/'Broad Asset Allocation'!B7),0)</f>
        <v>0</v>
      </c>
    </row>
    <row r="8" spans="1:8" x14ac:dyDescent="0.25">
      <c r="A8" t="str">
        <f>IF(Input!A9="","",Input!A9)</f>
        <v>IronBright 80 Core-Satellite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Allocation'!#REF!)/'Broad Asset Allocation'!B8),0)</f>
        <v>0</v>
      </c>
      <c r="E8" s="6">
        <f>IFERROR(IF(A8="","",SUM('Asset Allocation'!H8)/'Broad Asset Allocation'!B8),0)</f>
        <v>0</v>
      </c>
      <c r="F8" s="6"/>
      <c r="G8" s="6">
        <f>IFERROR(IF(A8="","",SUM('Asset Allocation'!I8)/'Broad Asset Allocation'!B8),0)</f>
        <v>0</v>
      </c>
      <c r="H8" s="6">
        <f>IFERROR(IF(A8="","",SUM('Asset Allocation'!J8)/'Broad Asset Allocation'!B8),0)</f>
        <v>0</v>
      </c>
    </row>
    <row r="9" spans="1:8" x14ac:dyDescent="0.25">
      <c r="A9" t="str">
        <f>IF(Input!A10="","",Input!A10)</f>
        <v>IronBright 90 Core-Satellite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Allocation'!#REF!)/'Broad Asset Allocation'!B9),0)</f>
        <v>0</v>
      </c>
      <c r="E9" s="6">
        <f>IFERROR(IF(A9="","",SUM('Asset Allocation'!H9)/'Broad Asset Allocation'!B9),0)</f>
        <v>0</v>
      </c>
      <c r="F9" s="6"/>
      <c r="G9" s="6">
        <f>IFERROR(IF(A9="","",SUM('Asset Allocation'!I9)/'Broad Asset Allocation'!B9),0)</f>
        <v>0</v>
      </c>
      <c r="H9" s="6">
        <f>IFERROR(IF(A9="","",SUM('Asset Allocation'!J9)/'Broad Asset Allocation'!B9),0)</f>
        <v>0</v>
      </c>
    </row>
    <row r="10" spans="1:8" x14ac:dyDescent="0.25">
      <c r="A10" t="str">
        <f>IF(Input!A11="","",Input!A11)</f>
        <v>IronBright 100 Core-Satellite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Allocation'!#REF!)/'Broad Asset Allocation'!B10),0)</f>
        <v>0</v>
      </c>
      <c r="E10" s="6">
        <f>IFERROR(IF(A10="","",SUM('Asset Allocation'!H10)/'Broad Asset Allocation'!B10),0)</f>
        <v>0</v>
      </c>
      <c r="F10" s="6"/>
      <c r="G10" s="6">
        <f>IFERROR(IF(A10="","",SUM('Asset Allocation'!I10)/'Broad Asset Allocation'!B10),0)</f>
        <v>0</v>
      </c>
      <c r="H10" s="6">
        <f>IFERROR(IF(A10="","",SUM('Asset Allocation'!J10)/'Broad Asset Allocation'!B10),0)</f>
        <v>0</v>
      </c>
    </row>
    <row r="11" spans="1:8" x14ac:dyDescent="0.25">
      <c r="A11" t="str">
        <f>IF(Input!A12="","",Input!A12)</f>
        <v>IronBright 20 Passive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Allocation'!#REF!)/'Broad Asset Allocation'!B11),0)</f>
        <v>0</v>
      </c>
      <c r="E11" s="6">
        <f>IFERROR(IF(A11="","",SUM('Asset Allocation'!H11)/'Broad Asset Allocation'!B11),0)</f>
        <v>0</v>
      </c>
      <c r="F11" s="6"/>
      <c r="G11" s="6">
        <f>IFERROR(IF(A11="","",SUM('Asset Allocation'!I11)/'Broad Asset Allocation'!B11),0)</f>
        <v>0</v>
      </c>
      <c r="H11" s="6">
        <f>IFERROR(IF(A11="","",SUM('Asset Allocation'!J11)/'Broad Asset Allocation'!B11),0)</f>
        <v>0</v>
      </c>
    </row>
    <row r="12" spans="1:8" x14ac:dyDescent="0.25">
      <c r="A12" t="str">
        <f>IF(Input!A13="","",Input!A13)</f>
        <v>IronBright 30 Passive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Allocation'!#REF!)/'Broad Asset Allocation'!B12),0)</f>
        <v>0</v>
      </c>
      <c r="E12" s="6">
        <f>IFERROR(IF(A12="","",SUM('Asset Allocation'!H12)/'Broad Asset Allocation'!B12),0)</f>
        <v>0</v>
      </c>
      <c r="F12" s="6"/>
      <c r="G12" s="6">
        <f>IFERROR(IF(A12="","",SUM('Asset Allocation'!I12)/'Broad Asset Allocation'!B12),0)</f>
        <v>0</v>
      </c>
      <c r="H12" s="6">
        <f>IFERROR(IF(A12="","",SUM('Asset Allocation'!J12)/'Broad Asset Allocation'!B12),0)</f>
        <v>0</v>
      </c>
    </row>
    <row r="13" spans="1:8" x14ac:dyDescent="0.25">
      <c r="A13" t="str">
        <f>IF(Input!A14="","",Input!A14)</f>
        <v>IronBright 40 Passive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Allocation'!#REF!)/'Broad Asset Allocation'!B13),0)</f>
        <v>0</v>
      </c>
      <c r="E13" s="6">
        <f>IFERROR(IF(A13="","",SUM('Asset Allocation'!H13)/'Broad Asset Allocation'!B13),0)</f>
        <v>0</v>
      </c>
      <c r="F13" s="6"/>
      <c r="G13" s="6">
        <f>IFERROR(IF(A13="","",SUM('Asset Allocation'!I13)/'Broad Asset Allocation'!B13),0)</f>
        <v>0</v>
      </c>
      <c r="H13" s="6">
        <f>IFERROR(IF(A13="","",SUM('Asset Allocation'!J13)/'Broad Asset Allocation'!B13),0)</f>
        <v>0</v>
      </c>
    </row>
    <row r="14" spans="1:8" x14ac:dyDescent="0.25">
      <c r="A14" t="str">
        <f>IF(Input!A15="","",Input!A15)</f>
        <v>IronBright 50 Passive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Allocation'!#REF!)/'Broad Asset Allocation'!B14),0)</f>
        <v>0</v>
      </c>
      <c r="E14" s="6">
        <f>IFERROR(IF(A14="","",SUM('Asset Allocation'!H14)/'Broad Asset Allocation'!B14),0)</f>
        <v>0</v>
      </c>
      <c r="F14" s="6"/>
      <c r="G14" s="6">
        <f>IFERROR(IF(A14="","",SUM('Asset Allocation'!I14)/'Broad Asset Allocation'!B14),0)</f>
        <v>0</v>
      </c>
      <c r="H14" s="6">
        <f>IFERROR(IF(A14="","",SUM('Asset Allocation'!J14)/'Broad Asset Allocation'!B14),0)</f>
        <v>0</v>
      </c>
    </row>
    <row r="15" spans="1:8" x14ac:dyDescent="0.25">
      <c r="A15" t="str">
        <f>IF(Input!A16="","",Input!A16)</f>
        <v>IronBright 60 Passive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Allocation'!#REF!)/'Broad Asset Allocation'!B15),0)</f>
        <v>0</v>
      </c>
      <c r="E15" s="6">
        <f>IFERROR(IF(A15="","",SUM('Asset Allocation'!H15)/'Broad Asset Allocation'!B15),0)</f>
        <v>0</v>
      </c>
      <c r="F15" s="6"/>
      <c r="G15" s="6">
        <f>IFERROR(IF(A15="","",SUM('Asset Allocation'!I15)/'Broad Asset Allocation'!B15),0)</f>
        <v>0</v>
      </c>
      <c r="H15" s="6">
        <f>IFERROR(IF(A15="","",SUM('Asset Allocation'!J15)/'Broad Asset Allocation'!B15),0)</f>
        <v>0</v>
      </c>
    </row>
    <row r="16" spans="1:8" x14ac:dyDescent="0.25">
      <c r="A16" t="str">
        <f>IF(Input!A17="","",Input!A17)</f>
        <v>IronBright 70 Passive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Allocation'!#REF!)/'Broad Asset Allocation'!B16),0)</f>
        <v>0</v>
      </c>
      <c r="E16" s="6">
        <f>IFERROR(IF(A16="","",SUM('Asset Allocation'!H16)/'Broad Asset Allocation'!B16),0)</f>
        <v>0</v>
      </c>
      <c r="F16" s="6"/>
      <c r="G16" s="6">
        <f>IFERROR(IF(A16="","",SUM('Asset Allocation'!I16)/'Broad Asset Allocation'!B16),0)</f>
        <v>0</v>
      </c>
      <c r="H16" s="6">
        <f>IFERROR(IF(A16="","",SUM('Asset Allocation'!J16)/'Broad Asset Allocation'!B16),0)</f>
        <v>0</v>
      </c>
    </row>
    <row r="17" spans="1:8" x14ac:dyDescent="0.25">
      <c r="A17" t="str">
        <f>IF(Input!A18="","",Input!A18)</f>
        <v>IronBright 80 Passive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Allocation'!#REF!)/'Broad Asset Allocation'!B17),0)</f>
        <v>0</v>
      </c>
      <c r="E17" s="6">
        <f>IFERROR(IF(A17="","",SUM('Asset Allocation'!H17)/'Broad Asset Allocation'!B17),0)</f>
        <v>0</v>
      </c>
      <c r="F17" s="6"/>
      <c r="G17" s="6">
        <f>IFERROR(IF(A17="","",SUM('Asset Allocation'!I17)/'Broad Asset Allocation'!B17),0)</f>
        <v>0</v>
      </c>
      <c r="H17" s="6">
        <f>IFERROR(IF(A17="","",SUM('Asset Allocation'!J17)/'Broad Asset Allocation'!B17),0)</f>
        <v>0</v>
      </c>
    </row>
    <row r="18" spans="1:8" x14ac:dyDescent="0.25">
      <c r="A18" t="str">
        <f>IF(Input!A19="","",Input!A19)</f>
        <v>IronBright 90 Passive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Allocation'!#REF!)/'Broad Asset Allocation'!B18),0)</f>
        <v>0</v>
      </c>
      <c r="E18" s="6">
        <f>IFERROR(IF(A18="","",SUM('Asset Allocation'!H18)/'Broad Asset Allocation'!B18),0)</f>
        <v>0</v>
      </c>
      <c r="F18" s="6"/>
      <c r="G18" s="6">
        <f>IFERROR(IF(A18="","",SUM('Asset Allocation'!I18)/'Broad Asset Allocation'!B18),0)</f>
        <v>0</v>
      </c>
      <c r="H18" s="6">
        <f>IFERROR(IF(A18="","",SUM('Asset Allocation'!J18)/'Broad Asset Allocation'!B18),0)</f>
        <v>0</v>
      </c>
    </row>
    <row r="19" spans="1:8" x14ac:dyDescent="0.25">
      <c r="A19" t="str">
        <f>IF(Input!A20="","",Input!A20)</f>
        <v>IronBright 100 Passive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Allocation'!#REF!)/'Broad Asset Allocation'!B19),0)</f>
        <v>0</v>
      </c>
      <c r="E19" s="6">
        <f>IFERROR(IF(A19="","",SUM('Asset Allocation'!H19)/'Broad Asset Allocation'!B19),0)</f>
        <v>0</v>
      </c>
      <c r="F19" s="6"/>
      <c r="G19" s="6">
        <f>IFERROR(IF(A19="","",SUM('Asset Allocation'!I19)/'Broad Asset Allocation'!B19),0)</f>
        <v>0</v>
      </c>
      <c r="H19" s="6">
        <f>IFERROR(IF(A19="","",SUM('Asset Allocation'!J19)/'Broad Asset Allocation'!B19),0)</f>
        <v>0</v>
      </c>
    </row>
    <row r="20" spans="1:8" x14ac:dyDescent="0.25">
      <c r="A20" t="str">
        <f>IF(Input!A21="","",Input!A21)</f>
        <v>IronBright Cautious Income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0</v>
      </c>
      <c r="D20" s="6">
        <f>IFERROR(IF(A20="","",SUM('Asset Allocation'!#REF!)/'Broad Asset Allocation'!B20),0)</f>
        <v>0</v>
      </c>
      <c r="E20" s="6">
        <f>IFERROR(IF(A20="","",SUM('Asset Allocation'!H20)/'Broad Asset Allocation'!B20),0)</f>
        <v>0</v>
      </c>
      <c r="F20" s="6"/>
      <c r="G20" s="6">
        <f>IFERROR(IF(A20="","",SUM('Asset Allocation'!I20)/'Broad Asset Allocation'!B20),0)</f>
        <v>0</v>
      </c>
      <c r="H20" s="6">
        <f>IFERROR(IF(A20="","",SUM('Asset Allocation'!J20)/'Broad Asset Allocation'!B20),0)</f>
        <v>0</v>
      </c>
    </row>
    <row r="21" spans="1:8" x14ac:dyDescent="0.25">
      <c r="A21" t="str">
        <f>IF(Input!A22="","",Input!A22)</f>
        <v>IronBright Balanced Income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Allocation'!#REF!)/'Broad Asset Allocation'!B21),0)</f>
        <v>0</v>
      </c>
      <c r="E21" s="6">
        <f>IFERROR(IF(A21="","",SUM('Asset Allocation'!H21)/'Broad Asset Allocation'!B21),0)</f>
        <v>0</v>
      </c>
      <c r="F21" s="6"/>
      <c r="G21" s="6">
        <f>IFERROR(IF(A21="","",SUM('Asset Allocation'!I21)/'Broad Asset Allocation'!B21),0)</f>
        <v>0</v>
      </c>
      <c r="H21" s="6">
        <f>IFERROR(IF(A21="","",SUM('Asset Allocation'!J21)/'Broad Asset Allocation'!B21),0)</f>
        <v>0</v>
      </c>
    </row>
    <row r="22" spans="1:8" x14ac:dyDescent="0.25">
      <c r="A22" t="str">
        <f>IF(Input!A23="","",Input!A23)</f>
        <v>IronBright Equity Income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0</v>
      </c>
      <c r="D22" s="6">
        <f>IFERROR(IF(A22="","",SUM('Asset Allocation'!#REF!)/'Broad Asset Allocation'!B22),0)</f>
        <v>0</v>
      </c>
      <c r="E22" s="6">
        <f>IFERROR(IF(A22="","",SUM('Asset Allocation'!H22)/'Broad Asset Allocation'!B22),0)</f>
        <v>0</v>
      </c>
      <c r="F22" s="6"/>
      <c r="G22" s="6">
        <f>IFERROR(IF(A22="","",SUM('Asset Allocation'!I22)/'Broad Asset Allocation'!B22),0)</f>
        <v>0</v>
      </c>
      <c r="H22" s="6">
        <f>IFERROR(IF(A22="","",SUM('Asset Allocation'!J22)/'Broad Asset Allocation'!B22),0)</f>
        <v>0</v>
      </c>
    </row>
    <row r="23" spans="1:8" x14ac:dyDescent="0.25">
      <c r="A23" t="str">
        <f>IF(Input!A24="","",Input!A24)</f>
        <v>IronBright Sustainable 30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0</v>
      </c>
      <c r="D23" s="6">
        <f>IFERROR(IF(A23="","",SUM('Asset Allocation'!#REF!)/'Broad Asset Allocation'!B23),0)</f>
        <v>0</v>
      </c>
      <c r="E23" s="6">
        <f>IFERROR(IF(A23="","",SUM('Asset Allocation'!H23)/'Broad Asset Allocation'!B23),0)</f>
        <v>0</v>
      </c>
      <c r="F23" s="6"/>
      <c r="G23" s="6">
        <f>IFERROR(IF(A23="","",SUM('Asset Allocation'!I23)/'Broad Asset Allocation'!B23),0)</f>
        <v>0</v>
      </c>
      <c r="H23" s="6">
        <f>IFERROR(IF(A23="","",SUM('Asset Allocation'!J23)/'Broad Asset Allocation'!B23),0)</f>
        <v>0</v>
      </c>
    </row>
    <row r="24" spans="1:8" x14ac:dyDescent="0.25">
      <c r="A24" t="str">
        <f>IF(Input!A25="","",Input!A25)</f>
        <v>IronBright Sustainable 50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0</v>
      </c>
      <c r="D24" s="6">
        <f>IFERROR(IF(A24="","",SUM('Asset Allocation'!#REF!)/'Broad Asset Allocation'!B24),0)</f>
        <v>0</v>
      </c>
      <c r="E24" s="6">
        <f>IFERROR(IF(A24="","",SUM('Asset Allocation'!H24)/'Broad Asset Allocation'!B24),0)</f>
        <v>0</v>
      </c>
      <c r="F24" s="6"/>
      <c r="G24" s="6">
        <f>IFERROR(IF(A24="","",SUM('Asset Allocation'!I24)/'Broad Asset Allocation'!B24),0)</f>
        <v>0</v>
      </c>
      <c r="H24" s="6">
        <f>IFERROR(IF(A24="","",SUM('Asset Allocation'!J24)/'Broad Asset Allocation'!B24),0)</f>
        <v>0</v>
      </c>
    </row>
    <row r="25" spans="1:8" x14ac:dyDescent="0.25">
      <c r="A25" t="str">
        <f>IF(Input!A26="","",Input!A26)</f>
        <v>IronBright Sustainable 70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0</v>
      </c>
      <c r="D25" s="6">
        <f>IFERROR(IF(A25="","",SUM('Asset Allocation'!#REF!)/'Broad Asset Allocation'!B25),0)</f>
        <v>0</v>
      </c>
      <c r="E25" s="6">
        <f>IFERROR(IF(A25="","",SUM('Asset Allocation'!H25)/'Broad Asset Allocation'!B25),0)</f>
        <v>0</v>
      </c>
      <c r="F25" s="6"/>
      <c r="G25" s="6">
        <f>IFERROR(IF(A25="","",SUM('Asset Allocation'!I25)/'Broad Asset Allocation'!B25),0)</f>
        <v>0</v>
      </c>
      <c r="H25" s="6">
        <f>IFERROR(IF(A25="","",SUM('Asset Allocation'!J25)/'Broad Asset Allocation'!B25),0)</f>
        <v>0</v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Allocation'!#REF!)/'Broad Asset Allocation'!B26),0)</f>
        <v/>
      </c>
      <c r="E26" s="6" t="str">
        <f>IFERROR(IF(A26="","",SUM('Asset Allocation'!H26)/'Broad Asset Allocation'!B26),0)</f>
        <v/>
      </c>
      <c r="F26" s="6"/>
      <c r="G26" s="6" t="str">
        <f>IFERROR(IF(A26="","",SUM('Asset Allocation'!I26)/'Broad Asset Allocation'!B26),0)</f>
        <v/>
      </c>
      <c r="H26" s="6" t="str">
        <f>IFERROR(IF(A26="","",SUM('Asset Allocation'!J26)/'Broad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Allocation'!#REF!)/'Broad Asset Allocation'!B27),0)</f>
        <v/>
      </c>
      <c r="E27" s="6" t="str">
        <f>IFERROR(IF(A27="","",SUM('Asset Allocation'!H27)/'Broad Asset Allocation'!B27),0)</f>
        <v/>
      </c>
      <c r="F27" s="6"/>
      <c r="G27" s="6" t="str">
        <f>IFERROR(IF(A27="","",SUM('Asset Allocation'!I27)/'Broad Asset Allocation'!B27),0)</f>
        <v/>
      </c>
      <c r="H27" s="6" t="str">
        <f>IFERROR(IF(A27="","",SUM('Asset Allocation'!J27)/'Broad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Allocation'!#REF!)/'Broad Asset Allocation'!B28),0)</f>
        <v/>
      </c>
      <c r="E28" s="6" t="str">
        <f>IFERROR(IF(A28="","",SUM('Asset Allocation'!H28)/'Broad Asset Allocation'!B28),0)</f>
        <v/>
      </c>
      <c r="F28" s="6"/>
      <c r="G28" s="6" t="str">
        <f>IFERROR(IF(A28="","",SUM('Asset Allocation'!I28)/'Broad Asset Allocation'!B28),0)</f>
        <v/>
      </c>
      <c r="H28" s="6" t="str">
        <f>IFERROR(IF(A28="","",SUM('Asset Allocation'!J28)/'Broad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Allocation'!#REF!)/'Broad Asset Allocation'!B29),0)</f>
        <v/>
      </c>
      <c r="E29" s="6" t="str">
        <f>IFERROR(IF(A29="","",SUM('Asset Allocation'!H29)/'Broad Asset Allocation'!B29),0)</f>
        <v/>
      </c>
      <c r="F29" s="6"/>
      <c r="G29" s="6" t="str">
        <f>IFERROR(IF(A29="","",SUM('Asset Allocation'!I29)/'Broad Asset Allocation'!B29),0)</f>
        <v/>
      </c>
      <c r="H29" s="6" t="str">
        <f>IFERROR(IF(A29="","",SUM('Asset Allocation'!J29)/'Broad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Allocation'!#REF!)/'Broad Asset Allocation'!B30),0)</f>
        <v/>
      </c>
      <c r="E30" s="6" t="str">
        <f>IFERROR(IF(A30="","",SUM('Asset Allocation'!H30)/'Broad Asset Allocation'!B30),0)</f>
        <v/>
      </c>
      <c r="F30" s="6"/>
      <c r="G30" s="6" t="str">
        <f>IFERROR(IF(A30="","",SUM('Asset Allocation'!I30)/'Broad Asset Allocation'!B30),0)</f>
        <v/>
      </c>
      <c r="H30" s="6" t="str">
        <f>IFERROR(IF(A30="","",SUM('Asset Allocation'!J30)/'Broad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Allocation'!#REF!)/'Broad Asset Allocation'!B31),0)</f>
        <v/>
      </c>
      <c r="E31" s="6" t="str">
        <f>IFERROR(IF(A31="","",SUM('Asset Allocation'!H31)/'Broad Asset Allocation'!B31),0)</f>
        <v/>
      </c>
      <c r="F31" s="6"/>
      <c r="G31" s="6" t="str">
        <f>IFERROR(IF(A31="","",SUM('Asset Allocation'!I31)/'Broad Asset Allocation'!B31),0)</f>
        <v/>
      </c>
      <c r="H31" s="6" t="str">
        <f>IFERROR(IF(A31="","",SUM('Asset Allocation'!J31)/'Broad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Allocation'!#REF!)/'Broad Asset Allocation'!B32),0)</f>
        <v/>
      </c>
      <c r="E32" s="6" t="str">
        <f>IFERROR(IF(A32="","",SUM('Asset Allocation'!H32)/'Broad Asset Allocation'!B32),0)</f>
        <v/>
      </c>
      <c r="F32" s="6"/>
      <c r="G32" s="6" t="str">
        <f>IFERROR(IF(A32="","",SUM('Asset Allocation'!I32)/'Broad Asset Allocation'!B32),0)</f>
        <v/>
      </c>
      <c r="H32" s="6" t="str">
        <f>IFERROR(IF(A32="","",SUM('Asset Allocation'!J32)/'Broad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Allocation'!#REF!)/'Broad Asset Allocation'!B33),0)</f>
        <v/>
      </c>
      <c r="E33" s="6" t="str">
        <f>IFERROR(IF(A33="","",SUM('Asset Allocation'!H33)/'Broad Asset Allocation'!B33),0)</f>
        <v/>
      </c>
      <c r="F33" s="6"/>
      <c r="G33" s="6" t="str">
        <f>IFERROR(IF(A33="","",SUM('Asset Allocation'!I33)/'Broad Asset Allocation'!B33),0)</f>
        <v/>
      </c>
      <c r="H33" s="6" t="str">
        <f>IFERROR(IF(A33="","",SUM('Asset Allocation'!J33)/'Broad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Allocation'!#REF!)/'Broad Asset Allocation'!B34),0)</f>
        <v/>
      </c>
      <c r="E34" s="6" t="str">
        <f>IFERROR(IF(A34="","",SUM('Asset Allocation'!H34)/'Broad Asset Allocation'!B34),0)</f>
        <v/>
      </c>
      <c r="F34" s="6"/>
      <c r="G34" s="6" t="str">
        <f>IFERROR(IF(A34="","",SUM('Asset Allocation'!I34)/'Broad Asset Allocation'!B34),0)</f>
        <v/>
      </c>
      <c r="H34" s="6" t="str">
        <f>IFERROR(IF(A34="","",SUM('Asset Allocation'!J34)/'Broad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Allocation'!#REF!)/'Broad Asset Allocation'!B35),0)</f>
        <v/>
      </c>
      <c r="E35" s="6" t="str">
        <f>IFERROR(IF(A35="","",SUM('Asset Allocation'!H35)/'Broad Asset Allocation'!B35),0)</f>
        <v/>
      </c>
      <c r="F35" s="6"/>
      <c r="G35" s="6" t="str">
        <f>IFERROR(IF(A35="","",SUM('Asset Allocation'!I35)/'Broad Asset Allocation'!B35),0)</f>
        <v/>
      </c>
      <c r="H35" s="6" t="str">
        <f>IFERROR(IF(A35="","",SUM('Asset Allocation'!J35)/'Broad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Allocation'!#REF!)/'Broad Asset Allocation'!B36),0)</f>
        <v/>
      </c>
      <c r="E36" s="6" t="str">
        <f>IFERROR(IF(A36="","",SUM('Asset Allocation'!H36)/'Broad Asset Allocation'!B36),0)</f>
        <v/>
      </c>
      <c r="F36" s="6"/>
      <c r="G36" s="6" t="str">
        <f>IFERROR(IF(A36="","",SUM('Asset Allocation'!I36)/'Broad Asset Allocation'!B36),0)</f>
        <v/>
      </c>
      <c r="H36" s="6" t="str">
        <f>IFERROR(IF(A36="","",SUM('Asset Allocation'!J36)/'Broad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Allocation'!#REF!)/'Broad Asset Allocation'!B37),0)</f>
        <v/>
      </c>
      <c r="E37" s="6" t="str">
        <f>IFERROR(IF(A37="","",SUM('Asset Allocation'!H37)/'Broad Asset Allocation'!B37),0)</f>
        <v/>
      </c>
      <c r="F37" s="6"/>
      <c r="G37" s="6" t="str">
        <f>IFERROR(IF(A37="","",SUM('Asset Allocation'!I37)/'Broad Asset Allocation'!B37),0)</f>
        <v/>
      </c>
      <c r="H37" s="6" t="str">
        <f>IFERROR(IF(A37="","",SUM('Asset Allocation'!J37)/'Broad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Allocation'!#REF!)/'Broad Asset Allocation'!B38),0)</f>
        <v/>
      </c>
      <c r="E38" s="6" t="str">
        <f>IFERROR(IF(A38="","",SUM('Asset Allocation'!H38)/'Broad Asset Allocation'!B38),0)</f>
        <v/>
      </c>
      <c r="F38" s="6"/>
      <c r="G38" s="6" t="str">
        <f>IFERROR(IF(A38="","",SUM('Asset Allocation'!I38)/'Broad Asset Allocation'!B38),0)</f>
        <v/>
      </c>
      <c r="H38" s="6" t="str">
        <f>IFERROR(IF(A38="","",SUM('Asset Allocation'!J38)/'Broad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Allocation'!#REF!)/'Broad Asset Allocation'!B39),0)</f>
        <v/>
      </c>
      <c r="E39" s="6" t="str">
        <f>IFERROR(IF(A39="","",SUM('Asset Allocation'!H39)/'Broad Asset Allocation'!B39),0)</f>
        <v/>
      </c>
      <c r="F39" s="6"/>
      <c r="G39" s="6" t="str">
        <f>IFERROR(IF(A39="","",SUM('Asset Allocation'!I39)/'Broad Asset Allocation'!B39),0)</f>
        <v/>
      </c>
      <c r="H39" s="6" t="str">
        <f>IFERROR(IF(A39="","",SUM('Asset Allocation'!J39)/'Broad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Allocation'!#REF!)/'Broad Asset Allocation'!B40),0)</f>
        <v/>
      </c>
      <c r="E40" s="6" t="str">
        <f>IFERROR(IF(A40="","",SUM('Asset Allocation'!H40)/'Broad Asset Allocation'!B40),0)</f>
        <v/>
      </c>
      <c r="F40" s="6"/>
      <c r="G40" s="6" t="str">
        <f>IFERROR(IF(A40="","",SUM('Asset Allocation'!I40)/'Broad Asset Allocation'!B40),0)</f>
        <v/>
      </c>
      <c r="H40" s="6" t="str">
        <f>IFERROR(IF(A40="","",SUM('Asset Allocation'!J40)/'Broad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Allocation'!#REF!)/'Broad Asset Allocation'!B41),0)</f>
        <v/>
      </c>
      <c r="E41" s="6" t="str">
        <f>IFERROR(IF(A41="","",SUM('Asset Allocation'!H41)/'Broad Asset Allocation'!B41),0)</f>
        <v/>
      </c>
      <c r="F41" s="6"/>
      <c r="G41" s="6" t="str">
        <f>IFERROR(IF(A41="","",SUM('Asset Allocation'!I41)/'Broad Asset Allocation'!B41),0)</f>
        <v/>
      </c>
      <c r="H41" s="6" t="str">
        <f>IFERROR(IF(A41="","",SUM('Asset Allocation'!J41)/'Broad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Allocation'!#REF!)/'Broad Asset Allocation'!B42),0)</f>
        <v/>
      </c>
      <c r="E42" s="6" t="str">
        <f>IFERROR(IF(A42="","",SUM('Asset Allocation'!H42)/'Broad Asset Allocation'!B42),0)</f>
        <v/>
      </c>
      <c r="F42" s="6"/>
      <c r="G42" s="6" t="str">
        <f>IFERROR(IF(A42="","",SUM('Asset Allocation'!I42)/'Broad Asset Allocation'!B42),0)</f>
        <v/>
      </c>
      <c r="H42" s="6" t="str">
        <f>IFERROR(IF(A42="","",SUM('Asset Allocation'!J42)/'Broad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Allocation'!#REF!)/'Broad Asset Allocation'!B43),0)</f>
        <v/>
      </c>
      <c r="E43" s="6" t="str">
        <f>IFERROR(IF(A43="","",SUM('Asset Allocation'!H43)/'Broad Asset Allocation'!B43),0)</f>
        <v/>
      </c>
      <c r="F43" s="6"/>
      <c r="G43" s="6" t="str">
        <f>IFERROR(IF(A43="","",SUM('Asset Allocation'!I43)/'Broad Asset Allocation'!B43),0)</f>
        <v/>
      </c>
      <c r="H43" s="6" t="str">
        <f>IFERROR(IF(A43="","",SUM('Asset Allocation'!J43)/'Broad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Allocation'!#REF!)/'Broad Asset Allocation'!B44),0)</f>
        <v/>
      </c>
      <c r="E44" s="6" t="str">
        <f>IFERROR(IF(A44="","",SUM('Asset Allocation'!H44)/'Broad Asset Allocation'!B44),0)</f>
        <v/>
      </c>
      <c r="F44" s="6"/>
      <c r="G44" s="6" t="str">
        <f>IFERROR(IF(A44="","",SUM('Asset Allocation'!I44)/'Broad Asset Allocation'!B44),0)</f>
        <v/>
      </c>
      <c r="H44" s="6" t="str">
        <f>IFERROR(IF(A44="","",SUM('Asset Allocation'!J44)/'Broad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Allocation'!#REF!)/'Broad Asset Allocation'!B45),0)</f>
        <v/>
      </c>
      <c r="E45" s="6" t="str">
        <f>IFERROR(IF(A45="","",SUM('Asset Allocation'!H45)/'Broad Asset Allocation'!B45),0)</f>
        <v/>
      </c>
      <c r="F45" s="6"/>
      <c r="G45" s="6" t="str">
        <f>IFERROR(IF(A45="","",SUM('Asset Allocation'!I45)/'Broad Asset Allocation'!B45),0)</f>
        <v/>
      </c>
      <c r="H45" s="6" t="str">
        <f>IFERROR(IF(A45="","",SUM('Asset Allocation'!J45)/'Broad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Allocation'!#REF!)/'Broad Asset Allocation'!B46),0)</f>
        <v/>
      </c>
      <c r="E46" s="6" t="str">
        <f>IFERROR(IF(A46="","",SUM('Asset Allocation'!H46)/'Broad Asset Allocation'!B46),0)</f>
        <v/>
      </c>
      <c r="F46" s="6"/>
      <c r="G46" s="6" t="str">
        <f>IFERROR(IF(A46="","",SUM('Asset Allocation'!I46)/'Broad Asset Allocation'!B46),0)</f>
        <v/>
      </c>
      <c r="H46" s="6" t="str">
        <f>IFERROR(IF(A46="","",SUM('Asset Allocation'!J46)/'Broad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Allocation'!#REF!)/'Broad Asset Allocation'!B47),0)</f>
        <v/>
      </c>
      <c r="E47" s="6" t="str">
        <f>IFERROR(IF(A47="","",SUM('Asset Allocation'!H47)/'Broad Asset Allocation'!B47),0)</f>
        <v/>
      </c>
      <c r="F47" s="6"/>
      <c r="G47" s="6" t="str">
        <f>IFERROR(IF(A47="","",SUM('Asset Allocation'!I47)/'Broad Asset Allocation'!B47),0)</f>
        <v/>
      </c>
      <c r="H47" s="6" t="str">
        <f>IFERROR(IF(A47="","",SUM('Asset Allocation'!J47)/'Broad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Allocation'!#REF!)/'Broad Asset Allocation'!B48),0)</f>
        <v/>
      </c>
      <c r="E48" s="6" t="str">
        <f>IFERROR(IF(A48="","",SUM('Asset Allocation'!H48)/'Broad Asset Allocation'!B48),0)</f>
        <v/>
      </c>
      <c r="F48" s="6"/>
      <c r="G48" s="6" t="str">
        <f>IFERROR(IF(A48="","",SUM('Asset Allocation'!I48)/'Broad Asset Allocation'!B48),0)</f>
        <v/>
      </c>
      <c r="H48" s="6" t="str">
        <f>IFERROR(IF(A48="","",SUM('Asset Allocation'!J48)/'Broad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Allocation'!#REF!)/'Broad Asset Allocation'!B49),0)</f>
        <v/>
      </c>
      <c r="E49" s="6" t="str">
        <f>IFERROR(IF(A49="","",SUM('Asset Allocation'!H49)/'Broad Asset Allocation'!B49),0)</f>
        <v/>
      </c>
      <c r="F49" s="6"/>
      <c r="G49" s="6" t="str">
        <f>IFERROR(IF(A49="","",SUM('Asset Allocation'!I49)/'Broad Asset Allocation'!B49),0)</f>
        <v/>
      </c>
      <c r="H49" s="6" t="str">
        <f>IFERROR(IF(A49="","",SUM('Asset Allocation'!J49)/'Broad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Allocation'!#REF!)/'Broad Asset Allocation'!B50),0)</f>
        <v/>
      </c>
      <c r="E50" s="6" t="str">
        <f>IFERROR(IF(A50="","",SUM('Asset Allocation'!H50)/'Broad Asset Allocation'!B50),0)</f>
        <v/>
      </c>
      <c r="F50" s="6"/>
      <c r="G50" s="6" t="str">
        <f>IFERROR(IF(A50="","",SUM('Asset Allocation'!I50)/'Broad Asset Allocation'!B50),0)</f>
        <v/>
      </c>
      <c r="H50" s="6" t="str">
        <f>IFERROR(IF(A50="","",SUM('Asset Allocation'!J50)/'Broad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IronBright 20 Core-Satellite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IronBright 30 Core-Satellite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IronBright 40 Core-Satellite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IronBright 50 Core-Satellite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IronBright 60 Core-Satellite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IronBright 70 Core-Satellite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IronBright 80 Core-Satellite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IronBright 90 Core-Satellite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IronBright 100 Core-Satellite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IronBright 20 Passive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IronBright 30 Passive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IronBright 40 Passive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IronBright 50 Passive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IronBright 60 Passive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IronBright 70 Passive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IronBright 80 Passive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IronBright 90 Passive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IronBright 100 Passive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IronBright Cautious Income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IronBright Balanced Income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IronBright Equity Income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IronBright Sustainable 30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IronBright Sustainable 50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IronBright Sustainable 70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IronBright 20 Core-Satellite</v>
      </c>
      <c r="C1" s="1" t="str">
        <v>IronBright 30 Core-Satellite</v>
      </c>
      <c r="D1" t="str">
        <v>IronBright 40 Core-Satellite</v>
      </c>
      <c r="E1" t="str">
        <v>IronBright 50 Core-Satellite</v>
      </c>
      <c r="F1" t="str">
        <v>IronBright 60 Core-Satellite</v>
      </c>
      <c r="G1" t="str">
        <v>IronBright 70 Core-Satellite</v>
      </c>
      <c r="H1" t="str">
        <v>IronBright 80 Core-Satellite</v>
      </c>
      <c r="I1" t="str">
        <v>IronBright 90 Core-Satellite</v>
      </c>
      <c r="J1" t="str">
        <v>IronBright 100 Core-Satellite</v>
      </c>
      <c r="K1" t="str">
        <v>IronBright 20 Passive</v>
      </c>
      <c r="L1" t="str">
        <v>IronBright 30 Passive</v>
      </c>
      <c r="M1" t="str">
        <v>IronBright 40 Passive</v>
      </c>
      <c r="N1" t="str">
        <v>IronBright 50 Passive</v>
      </c>
      <c r="O1" t="str">
        <v>IronBright 60 Passive</v>
      </c>
      <c r="P1" t="str">
        <v>IronBright 70 Passive</v>
      </c>
      <c r="Q1" t="str">
        <v>IronBright 80 Passive</v>
      </c>
      <c r="R1" t="str">
        <v>IronBright 90 Passive</v>
      </c>
      <c r="S1" t="str">
        <v>IronBright 100 Passive</v>
      </c>
      <c r="T1" t="str">
        <v>IronBright Cautious Income</v>
      </c>
      <c r="U1" t="str">
        <v>IronBright Balanced Income</v>
      </c>
      <c r="V1" t="str">
        <v>IronBright Equity Income</v>
      </c>
      <c r="W1" t="str">
        <v>IronBright Sustainable 30</v>
      </c>
      <c r="X1" t="str">
        <v>IronBright Sustainable 50</v>
      </c>
      <c r="Y1" t="str">
        <v>IronBright Sustainable 70</v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2023-09-04T22:22:55Z</dcterms:modified>
</cp:coreProperties>
</file>