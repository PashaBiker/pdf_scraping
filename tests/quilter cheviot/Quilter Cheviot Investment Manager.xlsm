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git\pdf_scraping\tests\quilter cheviot\"/>
    </mc:Choice>
  </mc:AlternateContent>
  <bookViews>
    <workbookView xWindow="1140" yWindow="1140" windowWidth="14400" windowHeight="7275" firstSheet="3" activeTab="4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3 Year Performance" sheetId="39" r:id="rId14"/>
    <sheet name="5 Year Performance" sheetId="38" r:id="rId15"/>
    <sheet name="Annual Management Charge" sheetId="37" r:id="rId16"/>
    <sheet name="Equity" sheetId="9" r:id="rId17"/>
    <sheet name="Bonds" sheetId="10" r:id="rId18"/>
    <sheet name="Direct Property" sheetId="11" r:id="rId19"/>
    <sheet name="Direct Commodities" sheetId="12" r:id="rId20"/>
    <sheet name="Absolute Return" sheetId="13" r:id="rId21"/>
    <sheet name="Cash" sheetId="14" r:id="rId22"/>
    <sheet name="No Data" sheetId="36" r:id="rId23"/>
    <sheet name="United States" sheetId="16" r:id="rId24"/>
    <sheet name="United Kingdom" sheetId="17" r:id="rId25"/>
    <sheet name="Europe ex UK" sheetId="18" r:id="rId26"/>
    <sheet name="Japan" sheetId="19" r:id="rId27"/>
    <sheet name="Pacific ex Japan" sheetId="20" r:id="rId28"/>
    <sheet name="Emerging Markets" sheetId="21" r:id="rId29"/>
    <sheet name="Global Equity" sheetId="32" r:id="rId30"/>
    <sheet name="Government Bonds" sheetId="22" r:id="rId31"/>
    <sheet name="Inflation Linked" sheetId="23" r:id="rId32"/>
    <sheet name="Investment Grade" sheetId="24" r:id="rId33"/>
    <sheet name="High Yield" sheetId="25" r:id="rId34"/>
    <sheet name="Emerging Market Debt" sheetId="26" r:id="rId35"/>
    <sheet name="Strategic Bond Fund" sheetId="27" r:id="rId36"/>
    <sheet name="Unclassified" sheetId="28" r:id="rId37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8" i="1" l="1"/>
  <c r="B4" i="1"/>
  <c r="B5" i="1"/>
  <c r="B6" i="1"/>
  <c r="B7" i="1"/>
  <c r="B3" i="1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17" i="35"/>
  <c r="A16" i="35"/>
  <c r="A15" i="35"/>
  <c r="A14" i="35"/>
  <c r="A13" i="35"/>
  <c r="A12" i="35"/>
  <c r="A11" i="35"/>
  <c r="A10" i="35"/>
  <c r="A9" i="35"/>
  <c r="A8" i="35"/>
  <c r="A7" i="35"/>
  <c r="A6" i="35"/>
  <c r="A5" i="35"/>
  <c r="A4" i="35"/>
  <c r="A3" i="35"/>
  <c r="A2" i="35"/>
  <c r="A50" i="34" l="1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B2" i="34" s="1"/>
  <c r="A50" i="8"/>
  <c r="H50" i="8" s="1"/>
  <c r="A49" i="8"/>
  <c r="H49" i="8" s="1"/>
  <c r="A48" i="8"/>
  <c r="H48" i="8" s="1"/>
  <c r="A47" i="8"/>
  <c r="H47" i="8" s="1"/>
  <c r="A46" i="8"/>
  <c r="H46" i="8" s="1"/>
  <c r="A45" i="8"/>
  <c r="H45" i="8" s="1"/>
  <c r="A44" i="8"/>
  <c r="H44" i="8" s="1"/>
  <c r="A43" i="8"/>
  <c r="H43" i="8" s="1"/>
  <c r="A42" i="8"/>
  <c r="H42" i="8" s="1"/>
  <c r="A41" i="8"/>
  <c r="H41" i="8" s="1"/>
  <c r="A40" i="8"/>
  <c r="H40" i="8" s="1"/>
  <c r="A39" i="8"/>
  <c r="H39" i="8" s="1"/>
  <c r="A38" i="8"/>
  <c r="H38" i="8" s="1"/>
  <c r="A37" i="8"/>
  <c r="H37" i="8" s="1"/>
  <c r="A36" i="8"/>
  <c r="H36" i="8" s="1"/>
  <c r="A35" i="8"/>
  <c r="H35" i="8" s="1"/>
  <c r="A34" i="8"/>
  <c r="H34" i="8" s="1"/>
  <c r="A33" i="8"/>
  <c r="H33" i="8" s="1"/>
  <c r="A32" i="8"/>
  <c r="H32" i="8" s="1"/>
  <c r="A31" i="8"/>
  <c r="H31" i="8" s="1"/>
  <c r="A30" i="8"/>
  <c r="H30" i="8" s="1"/>
  <c r="A29" i="8"/>
  <c r="H29" i="8" s="1"/>
  <c r="A28" i="8"/>
  <c r="H28" i="8" s="1"/>
  <c r="A27" i="8"/>
  <c r="H27" i="8" s="1"/>
  <c r="A26" i="8"/>
  <c r="H26" i="8" s="1"/>
  <c r="A25" i="8"/>
  <c r="H25" i="8" s="1"/>
  <c r="A24" i="8"/>
  <c r="H24" i="8" s="1"/>
  <c r="A23" i="8"/>
  <c r="H23" i="8" s="1"/>
  <c r="A22" i="8"/>
  <c r="H22" i="8" s="1"/>
  <c r="A21" i="8"/>
  <c r="H21" i="8" s="1"/>
  <c r="A20" i="8"/>
  <c r="H20" i="8" s="1"/>
  <c r="A19" i="8"/>
  <c r="H19" i="8" s="1"/>
  <c r="A18" i="8"/>
  <c r="H18" i="8" s="1"/>
  <c r="A17" i="8"/>
  <c r="H17" i="8" s="1"/>
  <c r="A16" i="8"/>
  <c r="H16" i="8" s="1"/>
  <c r="A15" i="8"/>
  <c r="H15" i="8" s="1"/>
  <c r="A14" i="8"/>
  <c r="H14" i="8" s="1"/>
  <c r="A13" i="8"/>
  <c r="H13" i="8" s="1"/>
  <c r="A12" i="8"/>
  <c r="H12" i="8" s="1"/>
  <c r="A11" i="8"/>
  <c r="H11" i="8" s="1"/>
  <c r="A10" i="8"/>
  <c r="H10" i="8" s="1"/>
  <c r="A9" i="8"/>
  <c r="H9" i="8" s="1"/>
  <c r="A8" i="8"/>
  <c r="H8" i="8" s="1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E47" i="31" l="1"/>
  <c r="G47" i="31"/>
  <c r="D47" i="31"/>
  <c r="C47" i="31"/>
  <c r="F47" i="31"/>
  <c r="G15" i="31"/>
  <c r="D15" i="31"/>
  <c r="E15" i="31"/>
  <c r="C15" i="31"/>
  <c r="F15" i="31"/>
  <c r="G39" i="31"/>
  <c r="D39" i="31"/>
  <c r="E39" i="31"/>
  <c r="C39" i="31"/>
  <c r="F39" i="31"/>
  <c r="C16" i="31"/>
  <c r="D16" i="31"/>
  <c r="E16" i="31"/>
  <c r="G16" i="31"/>
  <c r="F16" i="31"/>
  <c r="D32" i="31"/>
  <c r="C32" i="31"/>
  <c r="E32" i="31"/>
  <c r="G32" i="31"/>
  <c r="F32" i="31"/>
  <c r="E17" i="31"/>
  <c r="G17" i="31"/>
  <c r="F17" i="31"/>
  <c r="C17" i="31"/>
  <c r="D17" i="31"/>
  <c r="F41" i="31"/>
  <c r="G41" i="31"/>
  <c r="C41" i="31"/>
  <c r="E41" i="31"/>
  <c r="D41" i="31"/>
  <c r="E2" i="31"/>
  <c r="C2" i="31"/>
  <c r="F2" i="31"/>
  <c r="G2" i="31"/>
  <c r="C10" i="31"/>
  <c r="E10" i="31"/>
  <c r="F10" i="31"/>
  <c r="D10" i="31"/>
  <c r="G10" i="31"/>
  <c r="C18" i="31"/>
  <c r="E18" i="31"/>
  <c r="F18" i="31"/>
  <c r="D18" i="31"/>
  <c r="G18" i="31"/>
  <c r="F26" i="31"/>
  <c r="C26" i="31"/>
  <c r="E26" i="31"/>
  <c r="D26" i="31"/>
  <c r="G26" i="31"/>
  <c r="F34" i="31"/>
  <c r="C34" i="31"/>
  <c r="E34" i="31"/>
  <c r="D34" i="31"/>
  <c r="G34" i="31"/>
  <c r="C42" i="31"/>
  <c r="E42" i="31"/>
  <c r="F42" i="31"/>
  <c r="D42" i="31"/>
  <c r="G42" i="31"/>
  <c r="F50" i="31"/>
  <c r="C50" i="31"/>
  <c r="E50" i="31"/>
  <c r="D50" i="31"/>
  <c r="G50" i="31"/>
  <c r="C24" i="31"/>
  <c r="D24" i="31"/>
  <c r="E24" i="31"/>
  <c r="G24" i="31"/>
  <c r="F24" i="31"/>
  <c r="E9" i="31"/>
  <c r="F9" i="31"/>
  <c r="G9" i="31"/>
  <c r="C9" i="31"/>
  <c r="D9" i="31"/>
  <c r="E49" i="31"/>
  <c r="F49" i="31"/>
  <c r="G49" i="31"/>
  <c r="C49" i="31"/>
  <c r="D49" i="31"/>
  <c r="C3" i="31"/>
  <c r="D3" i="31"/>
  <c r="E3" i="31"/>
  <c r="F3" i="31"/>
  <c r="G3" i="31"/>
  <c r="C11" i="31"/>
  <c r="E11" i="31"/>
  <c r="D11" i="31"/>
  <c r="F11" i="31"/>
  <c r="G11" i="31"/>
  <c r="C19" i="31"/>
  <c r="D19" i="31"/>
  <c r="E19" i="31"/>
  <c r="F19" i="31"/>
  <c r="G19" i="31"/>
  <c r="C27" i="31"/>
  <c r="E27" i="31"/>
  <c r="D27" i="31"/>
  <c r="F27" i="31"/>
  <c r="G27" i="31"/>
  <c r="C35" i="31"/>
  <c r="E35" i="31"/>
  <c r="D35" i="31"/>
  <c r="F35" i="31"/>
  <c r="G35" i="31"/>
  <c r="C43" i="31"/>
  <c r="E43" i="31"/>
  <c r="F43" i="31"/>
  <c r="G43" i="31"/>
  <c r="D43" i="31"/>
  <c r="F4" i="31"/>
  <c r="D4" i="31"/>
  <c r="G4" i="31"/>
  <c r="C4" i="31"/>
  <c r="E4" i="31"/>
  <c r="F12" i="31"/>
  <c r="G12" i="31"/>
  <c r="C12" i="31"/>
  <c r="D12" i="31"/>
  <c r="E12" i="31"/>
  <c r="F20" i="31"/>
  <c r="G20" i="31"/>
  <c r="C20" i="31"/>
  <c r="D20" i="31"/>
  <c r="E20" i="31"/>
  <c r="F28" i="31"/>
  <c r="G28" i="31"/>
  <c r="D28" i="31"/>
  <c r="C28" i="31"/>
  <c r="E28" i="31"/>
  <c r="F36" i="31"/>
  <c r="G36" i="31"/>
  <c r="D36" i="31"/>
  <c r="C36" i="31"/>
  <c r="E36" i="31"/>
  <c r="G44" i="31"/>
  <c r="D44" i="31"/>
  <c r="C44" i="31"/>
  <c r="E44" i="31"/>
  <c r="F44" i="31"/>
  <c r="G7" i="31"/>
  <c r="D7" i="31"/>
  <c r="E7" i="31"/>
  <c r="C7" i="31"/>
  <c r="F7" i="31"/>
  <c r="G31" i="31"/>
  <c r="E31" i="31"/>
  <c r="D31" i="31"/>
  <c r="C31" i="31"/>
  <c r="F31" i="31"/>
  <c r="D48" i="31"/>
  <c r="E48" i="31"/>
  <c r="G48" i="31"/>
  <c r="C48" i="31"/>
  <c r="F48" i="31"/>
  <c r="E25" i="31"/>
  <c r="G25" i="31"/>
  <c r="C25" i="31"/>
  <c r="F25" i="31"/>
  <c r="D25" i="31"/>
  <c r="C5" i="31"/>
  <c r="D5" i="31"/>
  <c r="F5" i="31"/>
  <c r="G5" i="31"/>
  <c r="E5" i="31"/>
  <c r="C13" i="31"/>
  <c r="G13" i="31"/>
  <c r="D13" i="31"/>
  <c r="F13" i="31"/>
  <c r="E13" i="31"/>
  <c r="C21" i="31"/>
  <c r="D21" i="31"/>
  <c r="F21" i="31"/>
  <c r="G21" i="31"/>
  <c r="E21" i="31"/>
  <c r="C29" i="31"/>
  <c r="G29" i="31"/>
  <c r="D29" i="31"/>
  <c r="F29" i="31"/>
  <c r="E29" i="31"/>
  <c r="C37" i="31"/>
  <c r="G37" i="31"/>
  <c r="D37" i="31"/>
  <c r="F37" i="31"/>
  <c r="E37" i="31"/>
  <c r="C45" i="31"/>
  <c r="D45" i="31"/>
  <c r="F45" i="31"/>
  <c r="G45" i="31"/>
  <c r="E45" i="31"/>
  <c r="G23" i="31"/>
  <c r="E23" i="31"/>
  <c r="D23" i="31"/>
  <c r="C23" i="31"/>
  <c r="F23" i="31"/>
  <c r="D8" i="31"/>
  <c r="E8" i="31"/>
  <c r="F8" i="31"/>
  <c r="G8" i="31"/>
  <c r="C8" i="31"/>
  <c r="D40" i="31"/>
  <c r="C40" i="31"/>
  <c r="E40" i="31"/>
  <c r="G40" i="31"/>
  <c r="F40" i="31"/>
  <c r="E33" i="31"/>
  <c r="G33" i="31"/>
  <c r="C33" i="31"/>
  <c r="D33" i="31"/>
  <c r="F33" i="31"/>
  <c r="D6" i="31"/>
  <c r="F6" i="31"/>
  <c r="E6" i="31"/>
  <c r="G6" i="31"/>
  <c r="C6" i="31"/>
  <c r="D14" i="31"/>
  <c r="F14" i="31"/>
  <c r="E14" i="31"/>
  <c r="G14" i="31"/>
  <c r="C14" i="31"/>
  <c r="D22" i="31"/>
  <c r="F22" i="31"/>
  <c r="G22" i="31"/>
  <c r="C22" i="31"/>
  <c r="E22" i="31"/>
  <c r="D30" i="31"/>
  <c r="E30" i="31"/>
  <c r="F30" i="31"/>
  <c r="G30" i="31"/>
  <c r="C30" i="31"/>
  <c r="F38" i="31"/>
  <c r="D38" i="31"/>
  <c r="G38" i="31"/>
  <c r="E38" i="31"/>
  <c r="C38" i="31"/>
  <c r="F46" i="31"/>
  <c r="E46" i="31"/>
  <c r="G46" i="31"/>
  <c r="D46" i="31"/>
  <c r="C46" i="31"/>
  <c r="B1" i="39" a="1"/>
  <c r="B1" i="39" s="1"/>
  <c r="B1" i="38" a="1"/>
  <c r="B1" i="38" s="1"/>
  <c r="B1" i="37" a="1"/>
  <c r="B1" i="37" s="1"/>
  <c r="H13" i="7"/>
  <c r="D13" i="7"/>
  <c r="B13" i="7"/>
  <c r="C13" i="7"/>
  <c r="H21" i="7"/>
  <c r="D21" i="7"/>
  <c r="B21" i="7"/>
  <c r="C21" i="7"/>
  <c r="H29" i="7"/>
  <c r="D29" i="7"/>
  <c r="C29" i="7"/>
  <c r="B29" i="7"/>
  <c r="H37" i="7"/>
  <c r="D37" i="7"/>
  <c r="B37" i="7"/>
  <c r="C37" i="7"/>
  <c r="H45" i="7"/>
  <c r="C45" i="7"/>
  <c r="B45" i="7"/>
  <c r="D45" i="7"/>
  <c r="H9" i="7"/>
  <c r="B9" i="7"/>
  <c r="C9" i="7"/>
  <c r="D9" i="7"/>
  <c r="C14" i="7"/>
  <c r="B14" i="7"/>
  <c r="D14" i="7"/>
  <c r="H14" i="7"/>
  <c r="C22" i="7"/>
  <c r="D22" i="7"/>
  <c r="B22" i="7"/>
  <c r="H22" i="7"/>
  <c r="B30" i="7"/>
  <c r="C30" i="7"/>
  <c r="D30" i="7"/>
  <c r="H30" i="7"/>
  <c r="C38" i="7"/>
  <c r="B38" i="7"/>
  <c r="D38" i="7"/>
  <c r="H38" i="7"/>
  <c r="C46" i="7"/>
  <c r="B46" i="7"/>
  <c r="D46" i="7"/>
  <c r="H46" i="7"/>
  <c r="H23" i="7"/>
  <c r="B23" i="7"/>
  <c r="C23" i="7"/>
  <c r="D23" i="7"/>
  <c r="H47" i="7"/>
  <c r="C47" i="7"/>
  <c r="D47" i="7"/>
  <c r="B47" i="7"/>
  <c r="H15" i="7"/>
  <c r="D15" i="7"/>
  <c r="B15" i="7"/>
  <c r="C15" i="7"/>
  <c r="D31" i="7"/>
  <c r="H31" i="7"/>
  <c r="C31" i="7"/>
  <c r="B31" i="7"/>
  <c r="H39" i="7"/>
  <c r="C39" i="7"/>
  <c r="B39" i="7"/>
  <c r="D39" i="7"/>
  <c r="B8" i="7"/>
  <c r="C8" i="7"/>
  <c r="D8" i="7"/>
  <c r="H8" i="7"/>
  <c r="B16" i="7"/>
  <c r="C16" i="7"/>
  <c r="D16" i="7"/>
  <c r="H16" i="7"/>
  <c r="B24" i="7"/>
  <c r="C24" i="7"/>
  <c r="D24" i="7"/>
  <c r="H24" i="7"/>
  <c r="D32" i="7"/>
  <c r="B32" i="7"/>
  <c r="C32" i="7"/>
  <c r="H32" i="7"/>
  <c r="D40" i="7"/>
  <c r="B40" i="7"/>
  <c r="C40" i="7"/>
  <c r="H40" i="7"/>
  <c r="D48" i="7"/>
  <c r="B48" i="7"/>
  <c r="C48" i="7"/>
  <c r="H48" i="7"/>
  <c r="H17" i="7"/>
  <c r="B17" i="7"/>
  <c r="C17" i="7"/>
  <c r="D17" i="7"/>
  <c r="H25" i="7"/>
  <c r="D25" i="7"/>
  <c r="B25" i="7"/>
  <c r="C25" i="7"/>
  <c r="H33" i="7"/>
  <c r="D33" i="7"/>
  <c r="B33" i="7"/>
  <c r="C33" i="7"/>
  <c r="H41" i="7"/>
  <c r="C41" i="7"/>
  <c r="D41" i="7"/>
  <c r="B41" i="7"/>
  <c r="H49" i="7"/>
  <c r="D49" i="7"/>
  <c r="B49" i="7"/>
  <c r="C49" i="7"/>
  <c r="B10" i="7"/>
  <c r="C10" i="7"/>
  <c r="D10" i="7"/>
  <c r="H10" i="7"/>
  <c r="D18" i="7"/>
  <c r="B18" i="7"/>
  <c r="C18" i="7"/>
  <c r="H18" i="7"/>
  <c r="D26" i="7"/>
  <c r="B26" i="7"/>
  <c r="C26" i="7"/>
  <c r="H26" i="7"/>
  <c r="C34" i="7"/>
  <c r="B34" i="7"/>
  <c r="D34" i="7"/>
  <c r="H34" i="7"/>
  <c r="C42" i="7"/>
  <c r="B42" i="7"/>
  <c r="D42" i="7"/>
  <c r="H42" i="7"/>
  <c r="C50" i="7"/>
  <c r="B50" i="7"/>
  <c r="D50" i="7"/>
  <c r="H50" i="7"/>
  <c r="H11" i="7"/>
  <c r="D11" i="7"/>
  <c r="B11" i="7"/>
  <c r="C11" i="7"/>
  <c r="H19" i="7"/>
  <c r="D19" i="7"/>
  <c r="B19" i="7"/>
  <c r="C19" i="7"/>
  <c r="H27" i="7"/>
  <c r="B27" i="7"/>
  <c r="C27" i="7"/>
  <c r="D27" i="7"/>
  <c r="H35" i="7"/>
  <c r="C35" i="7"/>
  <c r="B35" i="7"/>
  <c r="D35" i="7"/>
  <c r="H43" i="7"/>
  <c r="D43" i="7"/>
  <c r="B43" i="7"/>
  <c r="C43" i="7"/>
  <c r="D12" i="7"/>
  <c r="B12" i="7"/>
  <c r="C12" i="7"/>
  <c r="H12" i="7"/>
  <c r="B20" i="7"/>
  <c r="C20" i="7"/>
  <c r="D20" i="7"/>
  <c r="H20" i="7"/>
  <c r="C28" i="7"/>
  <c r="B28" i="7"/>
  <c r="D28" i="7"/>
  <c r="H28" i="7"/>
  <c r="D36" i="7"/>
  <c r="B36" i="7"/>
  <c r="C36" i="7"/>
  <c r="H36" i="7"/>
  <c r="D44" i="7"/>
  <c r="B44" i="7"/>
  <c r="C44" i="7"/>
  <c r="H44" i="7"/>
  <c r="B12" i="4"/>
  <c r="C12" i="4"/>
  <c r="F12" i="4"/>
  <c r="G12" i="4"/>
  <c r="B44" i="4"/>
  <c r="C44" i="4"/>
  <c r="F44" i="4"/>
  <c r="G44" i="4"/>
  <c r="G13" i="4"/>
  <c r="C13" i="4"/>
  <c r="F13" i="4"/>
  <c r="B13" i="4"/>
  <c r="C45" i="4"/>
  <c r="F45" i="4"/>
  <c r="G45" i="4"/>
  <c r="B45" i="4"/>
  <c r="B14" i="4"/>
  <c r="C14" i="4"/>
  <c r="F14" i="4"/>
  <c r="G14" i="4"/>
  <c r="B46" i="4"/>
  <c r="C46" i="4"/>
  <c r="F46" i="4"/>
  <c r="G46" i="4"/>
  <c r="B20" i="4"/>
  <c r="C20" i="4"/>
  <c r="F20" i="4"/>
  <c r="G20" i="4"/>
  <c r="F5" i="4"/>
  <c r="B5" i="4"/>
  <c r="C5" i="4"/>
  <c r="H5" i="8" s="1"/>
  <c r="G5" i="4"/>
  <c r="G37" i="4"/>
  <c r="C37" i="4"/>
  <c r="B37" i="4"/>
  <c r="F37" i="4"/>
  <c r="B6" i="4"/>
  <c r="C6" i="4"/>
  <c r="H6" i="8" s="1"/>
  <c r="F6" i="4"/>
  <c r="G6" i="4"/>
  <c r="B22" i="4"/>
  <c r="C22" i="4"/>
  <c r="F22" i="4"/>
  <c r="G22" i="4"/>
  <c r="B30" i="4"/>
  <c r="C30" i="4"/>
  <c r="F30" i="4"/>
  <c r="G30" i="4"/>
  <c r="B38" i="4"/>
  <c r="C38" i="4"/>
  <c r="F38" i="4"/>
  <c r="G38" i="4"/>
  <c r="C7" i="4"/>
  <c r="H7" i="8" s="1"/>
  <c r="G7" i="4"/>
  <c r="B7" i="4"/>
  <c r="F7" i="4"/>
  <c r="G15" i="4"/>
  <c r="F15" i="4"/>
  <c r="B15" i="4"/>
  <c r="C15" i="4"/>
  <c r="G23" i="4"/>
  <c r="F23" i="4"/>
  <c r="C23" i="4"/>
  <c r="B23" i="4"/>
  <c r="G31" i="4"/>
  <c r="F31" i="4"/>
  <c r="C31" i="4"/>
  <c r="B31" i="4"/>
  <c r="G39" i="4"/>
  <c r="C39" i="4"/>
  <c r="F39" i="4"/>
  <c r="B39" i="4"/>
  <c r="G47" i="4"/>
  <c r="C47" i="4"/>
  <c r="B47" i="4"/>
  <c r="F47" i="4"/>
  <c r="B28" i="4"/>
  <c r="C28" i="4"/>
  <c r="F28" i="4"/>
  <c r="G28" i="4"/>
  <c r="G29" i="4"/>
  <c r="F29" i="4"/>
  <c r="B29" i="4"/>
  <c r="C29" i="4"/>
  <c r="B8" i="4"/>
  <c r="C8" i="4"/>
  <c r="F8" i="4"/>
  <c r="G8" i="4"/>
  <c r="B24" i="4"/>
  <c r="C24" i="4"/>
  <c r="F24" i="4"/>
  <c r="G24" i="4"/>
  <c r="B48" i="4"/>
  <c r="C48" i="4"/>
  <c r="F48" i="4"/>
  <c r="G48" i="4"/>
  <c r="G9" i="4"/>
  <c r="C9" i="4"/>
  <c r="F9" i="4"/>
  <c r="B9" i="4"/>
  <c r="F25" i="4"/>
  <c r="G25" i="4"/>
  <c r="B25" i="4"/>
  <c r="C25" i="4"/>
  <c r="F41" i="4"/>
  <c r="G41" i="4"/>
  <c r="B41" i="4"/>
  <c r="C41" i="4"/>
  <c r="B10" i="4"/>
  <c r="C10" i="4"/>
  <c r="F10" i="4"/>
  <c r="G10" i="4"/>
  <c r="B26" i="4"/>
  <c r="C26" i="4"/>
  <c r="F26" i="4"/>
  <c r="G26" i="4"/>
  <c r="B34" i="4"/>
  <c r="C34" i="4"/>
  <c r="F34" i="4"/>
  <c r="G34" i="4"/>
  <c r="B42" i="4"/>
  <c r="C42" i="4"/>
  <c r="F42" i="4"/>
  <c r="G42" i="4"/>
  <c r="B50" i="4"/>
  <c r="C50" i="4"/>
  <c r="F50" i="4"/>
  <c r="G50" i="4"/>
  <c r="B4" i="4"/>
  <c r="C4" i="4"/>
  <c r="H4" i="8" s="1"/>
  <c r="F4" i="4"/>
  <c r="G4" i="4"/>
  <c r="B36" i="4"/>
  <c r="C36" i="4"/>
  <c r="F36" i="4"/>
  <c r="G36" i="4"/>
  <c r="G21" i="4"/>
  <c r="C21" i="4"/>
  <c r="F21" i="4"/>
  <c r="B21" i="4"/>
  <c r="B16" i="4"/>
  <c r="C16" i="4"/>
  <c r="F16" i="4"/>
  <c r="G16" i="4"/>
  <c r="B32" i="4"/>
  <c r="C32" i="4"/>
  <c r="F32" i="4"/>
  <c r="G32" i="4"/>
  <c r="B40" i="4"/>
  <c r="C40" i="4"/>
  <c r="F40" i="4"/>
  <c r="G40" i="4"/>
  <c r="G17" i="4"/>
  <c r="F17" i="4"/>
  <c r="C17" i="4"/>
  <c r="B17" i="4"/>
  <c r="G33" i="4"/>
  <c r="C33" i="4"/>
  <c r="F33" i="4"/>
  <c r="B33" i="4"/>
  <c r="G49" i="4"/>
  <c r="F49" i="4"/>
  <c r="B49" i="4"/>
  <c r="C49" i="4"/>
  <c r="C2" i="4"/>
  <c r="H2" i="8" s="1"/>
  <c r="F2" i="4"/>
  <c r="B2" i="4"/>
  <c r="G2" i="4"/>
  <c r="B18" i="4"/>
  <c r="C18" i="4"/>
  <c r="F18" i="4"/>
  <c r="G18" i="4"/>
  <c r="G3" i="4"/>
  <c r="C3" i="4"/>
  <c r="H3" i="8" s="1"/>
  <c r="F3" i="4"/>
  <c r="B3" i="4"/>
  <c r="G11" i="4"/>
  <c r="F11" i="4"/>
  <c r="B11" i="4"/>
  <c r="C11" i="4"/>
  <c r="G19" i="4"/>
  <c r="F19" i="4"/>
  <c r="B19" i="4"/>
  <c r="C19" i="4"/>
  <c r="C27" i="4"/>
  <c r="G27" i="4"/>
  <c r="B27" i="4"/>
  <c r="F27" i="4"/>
  <c r="F35" i="4"/>
  <c r="G35" i="4"/>
  <c r="B35" i="4"/>
  <c r="C35" i="4"/>
  <c r="F43" i="4"/>
  <c r="G43" i="4"/>
  <c r="C43" i="4"/>
  <c r="B43" i="4"/>
  <c r="D2" i="31"/>
  <c r="H38" i="4"/>
  <c r="B1" i="36" a="1"/>
  <c r="B1" i="36" s="1"/>
  <c r="H37" i="4"/>
  <c r="H46" i="4"/>
  <c r="H45" i="4"/>
  <c r="H40" i="4"/>
  <c r="H48" i="4"/>
  <c r="H33" i="4"/>
  <c r="H41" i="4"/>
  <c r="H49" i="4"/>
  <c r="H39" i="4"/>
  <c r="H42" i="4"/>
  <c r="H50" i="4"/>
  <c r="H47" i="4"/>
  <c r="H35" i="4"/>
  <c r="H43" i="4"/>
  <c r="H36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B3" i="7" l="1"/>
  <c r="C3" i="7"/>
  <c r="D3" i="7"/>
  <c r="H3" i="7"/>
  <c r="H4" i="7"/>
  <c r="B4" i="7"/>
  <c r="C4" i="7"/>
  <c r="D4" i="7"/>
  <c r="H2" i="7"/>
  <c r="D2" i="7"/>
  <c r="C2" i="7"/>
  <c r="B2" i="7"/>
  <c r="B7" i="7"/>
  <c r="C7" i="7"/>
  <c r="D7" i="7"/>
  <c r="H7" i="7"/>
  <c r="B5" i="7"/>
  <c r="C5" i="7"/>
  <c r="D5" i="7"/>
  <c r="H5" i="7"/>
  <c r="C6" i="7"/>
  <c r="D6" i="7"/>
  <c r="B6" i="7"/>
  <c r="H6" i="7"/>
  <c r="H22" i="4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6"/>
  <c r="AW1" i="36"/>
  <c r="AV1" i="36"/>
  <c r="AU1" i="36"/>
  <c r="AT1" i="36"/>
  <c r="AS1" i="36"/>
  <c r="AR1" i="36"/>
  <c r="AQ1" i="36"/>
  <c r="AP1" i="36"/>
  <c r="AO1" i="36"/>
  <c r="AN1" i="36"/>
  <c r="AM1" i="36"/>
  <c r="AL1" i="36"/>
  <c r="AK1" i="36"/>
  <c r="AJ1" i="36"/>
  <c r="AI1" i="36"/>
  <c r="AH1" i="36"/>
  <c r="AG1" i="36"/>
  <c r="AF1" i="36"/>
  <c r="AE1" i="36"/>
  <c r="AD1" i="36"/>
  <c r="AC1" i="36"/>
  <c r="AB1" i="36"/>
  <c r="AA1" i="36"/>
  <c r="Z1" i="36"/>
  <c r="Y1" i="36"/>
  <c r="X1" i="36"/>
  <c r="W1" i="36"/>
  <c r="V1" i="36"/>
  <c r="U1" i="36"/>
  <c r="T1" i="36"/>
  <c r="S1" i="36"/>
  <c r="R1" i="36"/>
  <c r="Q1" i="36"/>
  <c r="P1" i="36"/>
  <c r="O1" i="36"/>
  <c r="N1" i="36"/>
  <c r="M1" i="36"/>
  <c r="L1" i="36"/>
  <c r="K1" i="36"/>
  <c r="J1" i="36"/>
  <c r="I1" i="36"/>
  <c r="H1" i="36"/>
  <c r="G1" i="36"/>
  <c r="F1" i="36"/>
  <c r="E1" i="36"/>
  <c r="D1" i="36"/>
  <c r="C1" i="36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37"/>
  <c r="AW1" i="37"/>
  <c r="AV1" i="37"/>
  <c r="AU1" i="37"/>
  <c r="AT1" i="37"/>
  <c r="AS1" i="37"/>
  <c r="AR1" i="37"/>
  <c r="AQ1" i="37"/>
  <c r="AP1" i="37"/>
  <c r="AO1" i="37"/>
  <c r="AN1" i="37"/>
  <c r="AM1" i="37"/>
  <c r="AL1" i="37"/>
  <c r="AK1" i="37"/>
  <c r="AJ1" i="37"/>
  <c r="AI1" i="37"/>
  <c r="AH1" i="37"/>
  <c r="AG1" i="37"/>
  <c r="AF1" i="37"/>
  <c r="AE1" i="37"/>
  <c r="AD1" i="37"/>
  <c r="AC1" i="37"/>
  <c r="AB1" i="37"/>
  <c r="AA1" i="37"/>
  <c r="Z1" i="37"/>
  <c r="Y1" i="37"/>
  <c r="X1" i="37"/>
  <c r="W1" i="37"/>
  <c r="V1" i="37"/>
  <c r="U1" i="37"/>
  <c r="T1" i="37"/>
  <c r="S1" i="37"/>
  <c r="R1" i="37"/>
  <c r="Q1" i="37"/>
  <c r="P1" i="37"/>
  <c r="O1" i="37"/>
  <c r="N1" i="37"/>
  <c r="M1" i="37"/>
  <c r="L1" i="37"/>
  <c r="K1" i="37"/>
  <c r="J1" i="37"/>
  <c r="I1" i="37"/>
  <c r="H1" i="37"/>
  <c r="G1" i="37"/>
  <c r="F1" i="37"/>
  <c r="E1" i="37"/>
  <c r="D1" i="37"/>
  <c r="C1" i="37"/>
  <c r="AX1" i="38"/>
  <c r="AW1" i="38"/>
  <c r="AV1" i="38"/>
  <c r="AU1" i="38"/>
  <c r="AT1" i="38"/>
  <c r="AS1" i="38"/>
  <c r="AR1" i="38"/>
  <c r="AQ1" i="38"/>
  <c r="AP1" i="38"/>
  <c r="AO1" i="38"/>
  <c r="AN1" i="38"/>
  <c r="AM1" i="38"/>
  <c r="AL1" i="38"/>
  <c r="AK1" i="38"/>
  <c r="AJ1" i="38"/>
  <c r="AI1" i="38"/>
  <c r="AH1" i="38"/>
  <c r="AG1" i="38"/>
  <c r="AF1" i="38"/>
  <c r="AE1" i="38"/>
  <c r="AD1" i="38"/>
  <c r="AC1" i="38"/>
  <c r="AB1" i="38"/>
  <c r="AA1" i="38"/>
  <c r="Z1" i="38"/>
  <c r="Y1" i="38"/>
  <c r="X1" i="38"/>
  <c r="W1" i="38"/>
  <c r="V1" i="38"/>
  <c r="U1" i="38"/>
  <c r="T1" i="38"/>
  <c r="S1" i="38"/>
  <c r="R1" i="38"/>
  <c r="Q1" i="38"/>
  <c r="P1" i="38"/>
  <c r="O1" i="38"/>
  <c r="N1" i="38"/>
  <c r="M1" i="38"/>
  <c r="L1" i="38"/>
  <c r="K1" i="38"/>
  <c r="J1" i="38"/>
  <c r="I1" i="38"/>
  <c r="H1" i="38"/>
  <c r="G1" i="38"/>
  <c r="F1" i="38"/>
  <c r="E1" i="38"/>
  <c r="D1" i="38"/>
  <c r="C1" i="38"/>
  <c r="AX1" i="39"/>
  <c r="AW1" i="39"/>
  <c r="AV1" i="39"/>
  <c r="AU1" i="39"/>
  <c r="AT1" i="39"/>
  <c r="AS1" i="39"/>
  <c r="AR1" i="39"/>
  <c r="AQ1" i="39"/>
  <c r="AP1" i="39"/>
  <c r="AO1" i="39"/>
  <c r="AN1" i="39"/>
  <c r="AM1" i="39"/>
  <c r="AL1" i="39"/>
  <c r="AK1" i="39"/>
  <c r="AJ1" i="39"/>
  <c r="AI1" i="39"/>
  <c r="AH1" i="39"/>
  <c r="AG1" i="39"/>
  <c r="AF1" i="39"/>
  <c r="AE1" i="39"/>
  <c r="AD1" i="39"/>
  <c r="AC1" i="39"/>
  <c r="AB1" i="39"/>
  <c r="AA1" i="39"/>
  <c r="Z1" i="39"/>
  <c r="Y1" i="39"/>
  <c r="X1" i="39"/>
  <c r="W1" i="39"/>
  <c r="V1" i="39"/>
  <c r="U1" i="39"/>
  <c r="T1" i="39"/>
  <c r="S1" i="39"/>
  <c r="R1" i="39"/>
  <c r="Q1" i="39"/>
  <c r="P1" i="39"/>
  <c r="O1" i="39"/>
  <c r="N1" i="39"/>
  <c r="M1" i="39"/>
  <c r="L1" i="39"/>
  <c r="K1" i="39"/>
  <c r="J1" i="39"/>
  <c r="I1" i="39"/>
  <c r="H1" i="39"/>
  <c r="G1" i="39"/>
  <c r="F1" i="39"/>
  <c r="E1" i="39"/>
  <c r="D1" i="39"/>
  <c r="C1" i="39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comments1.xml><?xml version="1.0" encoding="utf-8"?>
<comments xmlns="http://schemas.openxmlformats.org/spreadsheetml/2006/main">
  <authors>
    <author>26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<sst xmlns="http://schemas.openxmlformats.org/spreadsheetml/2006/main" count="90" uniqueCount="82">
  <si>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</si>
  <si>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</si>
  <si>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</si>
  <si>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</si>
  <si>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</si>
  <si>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</si>
  <si>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</si>
  <si>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</si>
  <si>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</si>
  <si>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</si>
  <si>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</si>
  <si>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</si>
  <si>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>Investment Grade</t>
  </si>
  <si>
    <t>Inflation Linked</t>
  </si>
  <si>
    <t>Direct Property</t>
  </si>
  <si>
    <t>Direct Commodities</t>
  </si>
  <si>
    <t>Strategic Bond Fund</t>
  </si>
  <si>
    <t>Global Equity</t>
  </si>
  <si>
    <t>Total Fee</t>
  </si>
  <si>
    <t>Asset allocation</t>
  </si>
  <si>
    <t>1 Month Performance</t>
  </si>
  <si>
    <t>Additional information</t>
  </si>
  <si>
    <t>Date</t>
  </si>
  <si>
    <t>Website</t>
  </si>
  <si>
    <t>PDF Name Match</t>
  </si>
  <si>
    <t>PDF Link</t>
  </si>
  <si>
    <t>No Data</t>
  </si>
  <si>
    <t>Dropdown</t>
  </si>
  <si>
    <t>MPS Global Growth Strategy</t>
  </si>
  <si>
    <t>MPS Conservative Strategy</t>
  </si>
  <si>
    <t>MPS Cautious Strategy</t>
  </si>
  <si>
    <t>MPS Growth Strategy</t>
  </si>
  <si>
    <t>MPS Income Strategy</t>
  </si>
  <si>
    <t>MPS Balanced Strategy</t>
  </si>
  <si>
    <t>Factsheet for the MPS Global Growth Strategy</t>
  </si>
  <si>
    <t>Factsheet for the MPS Conservative Strategy</t>
  </si>
  <si>
    <t>Factsheet for the MPS Cautious Strategy</t>
  </si>
  <si>
    <t>Factsheet for the MPS Growth Strategy</t>
  </si>
  <si>
    <t>Factsheet for the MPS Income Strategy</t>
  </si>
  <si>
    <t>Factsheet for the MPS Balanced Strategy</t>
  </si>
  <si>
    <t>Annual Management Charge</t>
  </si>
  <si>
    <t>Weighted Cost of Underlying Funds*</t>
  </si>
  <si>
    <t>1 Year</t>
  </si>
  <si>
    <t>North American Equities</t>
  </si>
  <si>
    <t>UK Equities</t>
  </si>
  <si>
    <t>Fixed Interest</t>
  </si>
  <si>
    <t>Alternatives</t>
  </si>
  <si>
    <t>Global Equities</t>
  </si>
  <si>
    <t>Cont'l European Equities</t>
  </si>
  <si>
    <t>Cash Products</t>
  </si>
  <si>
    <t>Emerging Market Debt</t>
  </si>
  <si>
    <t>Unclassified</t>
  </si>
  <si>
    <t>1 Year Performance</t>
  </si>
  <si>
    <t>3 Year Performance</t>
  </si>
  <si>
    <t>5 Year Performance</t>
  </si>
  <si>
    <t>High Yield</t>
  </si>
  <si>
    <t>3 Years</t>
  </si>
  <si>
    <t>5 Years</t>
  </si>
  <si>
    <t>Since Inception</t>
  </si>
  <si>
    <t>1 Year to 31/08/19</t>
  </si>
  <si>
    <t>1 Year to 31/08/20</t>
  </si>
  <si>
    <t>1 Year to 31/08/21</t>
  </si>
  <si>
    <t>1 Year to 31/08/22</t>
  </si>
  <si>
    <t>1 Year to 31/08/23</t>
  </si>
  <si>
    <t>YTD</t>
  </si>
  <si>
    <t>1 Year to 30/09/19</t>
  </si>
  <si>
    <t>1 Year to 30/09/20</t>
  </si>
  <si>
    <t>1 Year to 30/09/21</t>
  </si>
  <si>
    <t>1 Year to 30/09/22</t>
  </si>
  <si>
    <t>1 Year to 30/09/23</t>
  </si>
  <si>
    <t>1 Year to 31/10/19</t>
  </si>
  <si>
    <t>1 Year to 31/10/20</t>
  </si>
  <si>
    <t>1 Year to 31/10/21</t>
  </si>
  <si>
    <t>1 Year to 31/10/22</t>
  </si>
  <si>
    <t>1 Year to 31/10/23</t>
  </si>
  <si>
    <t>https://www.quiltercheviot.com/documents/?filters=170312%2c170309%2c170308%2c170310%2c116472&amp;Region=uk&amp;Role=fadv</t>
  </si>
  <si>
    <t>https://www.quiltercheviot.com//siteassets/documents/factsheets/qc-mps-balanced.pdf</t>
  </si>
  <si>
    <t>https://www.quiltercheviot.com//siteassets/documents/factsheets/qc-mps-conservative.pdf</t>
  </si>
  <si>
    <t>https://www.quiltercheviot.com//siteassets/documents/factsheets/qc-mps-cautious.pdf</t>
  </si>
  <si>
    <t>https://www.quiltercheviot.com//siteassets/documents/factsheets/qc-mps-global-growth.pdf</t>
  </si>
  <si>
    <t>https://www.quiltercheviot.com//siteassets/documents/factsheets/qc-mps-growth.pdf</t>
  </si>
  <si>
    <t>https://www.quiltercheviot.com//siteassets/documents/factsheets/qc-mps-income.pdf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</si>
</sst>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0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7" fillId="0" borderId="0" xfId="0" applyFont="1"/>
  </cellXfs>
  <cellStyles count="3">
    <cellStyle name="Гиперссылка" xfId="1" builtinId="8"/>
    <cellStyle name="Обычный" xfId="0" builtinId="0"/>
    <cellStyle name="Процентный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107950</xdr:rowOff>
    </xdr:from>
    <xdr:to>
      <xdr:col>3</xdr:col>
      <xdr:colOff>451524</xdr:colOff>
      <xdr:row>24</xdr:row>
      <xdr:rowOff>12941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52C24986-9426-7B90-68D2-88FD4A01CD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92100"/>
          <a:ext cx="2280324" cy="414044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24</xdr:row>
      <xdr:rowOff>133350</xdr:rowOff>
    </xdr:from>
    <xdr:to>
      <xdr:col>8</xdr:col>
      <xdr:colOff>204251</xdr:colOff>
      <xdr:row>34</xdr:row>
      <xdr:rowOff>69965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FEAF3922-7737-09B9-9E2C-553BD78AA6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4552950"/>
          <a:ext cx="5081051" cy="1778115"/>
        </a:xfrm>
        <a:prstGeom prst="rect">
          <a:avLst/>
        </a:prstGeom>
      </xdr:spPr>
    </xdr:pic>
    <xdr:clientData/>
  </xdr:twoCellAnchor>
  <xdr:twoCellAnchor editAs="oneCell">
    <xdr:from>
      <xdr:col>6</xdr:col>
      <xdr:colOff>463550</xdr:colOff>
      <xdr:row>1</xdr:row>
      <xdr:rowOff>177800</xdr:rowOff>
    </xdr:from>
    <xdr:to>
      <xdr:col>14</xdr:col>
      <xdr:colOff>139934</xdr:colOff>
      <xdr:row>17</xdr:row>
      <xdr:rowOff>171601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C2B21E30-929E-01A2-12ED-1A96196198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21150" y="361950"/>
          <a:ext cx="4553184" cy="294020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Q4"/>
  <sheetViews>
    <sheetView workbookViewId="0"/>
  </sheetViews>
  <sheetFormatPr defaultRowHeight="15" x14ac:dyDescent="0.25"/>
  <sheetData>
    <row r="1" spans="1:17" x14ac:dyDescent="0.25">
      <c r="A1" s="3" t="s">
        <v>21</v>
      </c>
      <c r="H1" s="3" t="s">
        <v>19</v>
      </c>
    </row>
    <row r="3" spans="1:17" x14ac:dyDescent="0.25">
      <c r="Q3" s="3"/>
    </row>
    <row r="4" spans="1:17" x14ac:dyDescent="0.25">
      <c r="H4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8"/>
  <sheetViews>
    <sheetView workbookViewId="0">
      <selection activeCell="B8" sqref="B8"/>
    </sheetView>
  </sheetViews>
  <sheetFormatPr defaultRowHeight="15" x14ac:dyDescent="0.25"/>
  <cols>
    <col min="1" max="1" width="19.140625" bestFit="1" customWidth="1"/>
    <col min="2" max="2" width="14.28515625" customWidth="1"/>
    <col min="3" max="3" width="16.85546875" customWidth="1"/>
  </cols>
  <sheetData>
    <row r="1" spans="1:10" x14ac:dyDescent="0.25">
      <c r="A1" s="2">
        <f ca="1">EOMONTH(TODAY(),-1)</f>
        <v>45260</v>
      </c>
      <c r="B1" s="3"/>
      <c r="C1" s="4"/>
    </row>
    <row r="2" spans="1:10" x14ac:dyDescent="0.25">
      <c r="A2" t="s">
        <v>0</v>
      </c>
      <c r="B2" s="3"/>
      <c r="C2" s="4"/>
    </row>
    <row r="3" spans="1:10" x14ac:dyDescent="0.25">
      <c r="A3" t="s">
        <v>28</v>
      </c>
      <c r="B3" t="str">
        <f>'PDF Scraping'!D2</f>
        <v>https://www.quiltercheviot.com//siteassets/documents/factsheets/qc-mps-global-growth.pdf</v>
      </c>
      <c r="J3" s="4"/>
    </row>
    <row r="4" spans="1:10" x14ac:dyDescent="0.25">
      <c r="A4" t="s">
        <v>29</v>
      </c>
      <c r="B4" t="str">
        <f>'PDF Scraping'!D3</f>
        <v>https://www.quiltercheviot.com//siteassets/documents/factsheets/qc-mps-conservative.pdf</v>
      </c>
      <c r="J4" s="4"/>
    </row>
    <row r="5" spans="1:10" x14ac:dyDescent="0.25">
      <c r="A5" t="s">
        <v>30</v>
      </c>
      <c r="B5" t="str">
        <f>'PDF Scraping'!D4</f>
        <v>https://www.quiltercheviot.com//siteassets/documents/factsheets/qc-mps-cautious.pdf</v>
      </c>
    </row>
    <row r="6" spans="1:10" x14ac:dyDescent="0.25">
      <c r="A6" t="s">
        <v>31</v>
      </c>
      <c r="B6" t="str">
        <f>'PDF Scraping'!D5</f>
        <v>https://www.quiltercheviot.com//siteassets/documents/factsheets/qc-mps-growth.pdf</v>
      </c>
    </row>
    <row r="7" spans="1:10" x14ac:dyDescent="0.25">
      <c r="A7" t="s">
        <v>32</v>
      </c>
      <c r="B7" t="str">
        <f>'PDF Scraping'!D6</f>
        <v>https://www.quiltercheviot.com//siteassets/documents/factsheets/qc-mps-income.pdf</v>
      </c>
    </row>
    <row r="8" spans="1:10" x14ac:dyDescent="0.25">
      <c r="A8" t="s">
        <v>33</v>
      </c>
      <c r="B8" t="str">
        <f>'PDF Scraping'!D7</f>
        <v>https://www.quiltercheviot.com//siteassets/documents/factsheets/qc-mps-balanced.pdf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X50"/>
  <sheetViews>
    <sheetView topLeftCell="C1" workbookViewId="0">
      <selection activeCell="E1" sqref="E1:M1"/>
    </sheetView>
  </sheetViews>
  <sheetFormatPr defaultRowHeight="15" x14ac:dyDescent="0.25"/>
  <cols>
    <col min="1" max="1" width="26.140625" bestFit="1" customWidth="1"/>
    <col min="2" max="2" width="19.140625" customWidth="1"/>
    <col min="3" max="4" width="33.140625" bestFit="1" customWidth="1"/>
    <col min="5" max="5" width="21.5703125" bestFit="1" customWidth="1"/>
    <col min="6" max="6" width="13.7109375" bestFit="1" customWidth="1"/>
  </cols>
  <sheetData>
    <row r="1" spans="1:24" x14ac:dyDescent="0.25">
      <c r="B1" t="s">
        <v>22</v>
      </c>
      <c r="C1" t="s">
        <v>40</v>
      </c>
      <c r="D1" t="s">
        <v>41</v>
      </c>
      <c r="E1" t="s">
        <v>42</v>
      </c>
      <c r="F1" t="s">
        <v>56</v>
      </c>
      <c r="G1" t="s">
        <v>57</v>
      </c>
      <c r="H1" t="s">
        <v>58</v>
      </c>
      <c r="I1" t="s">
        <v>59</v>
      </c>
      <c r="J1" t="s">
        <v>60</v>
      </c>
      <c r="K1" t="s">
        <v>61</v>
      </c>
      <c r="L1" t="s">
        <v>62</v>
      </c>
      <c r="M1" t="s">
        <v>63</v>
      </c>
      <c r="N1" t="s">
        <v>64</v>
      </c>
      <c r="O1" t="s">
        <v>65</v>
      </c>
      <c r="P1" t="s">
        <v>66</v>
      </c>
      <c r="Q1" t="s">
        <v>67</v>
      </c>
      <c r="R1" t="s">
        <v>68</v>
      </c>
      <c r="S1" t="s">
        <v>69</v>
      </c>
      <c r="T1" t="s">
        <v>70</v>
      </c>
      <c r="U1" t="s">
        <v>71</v>
      </c>
      <c r="V1" t="s">
        <v>72</v>
      </c>
      <c r="W1" t="s">
        <v>73</v>
      </c>
      <c r="X1" t="s">
        <v>74</v>
      </c>
    </row>
    <row r="2" spans="1:24" x14ac:dyDescent="0.25">
      <c r="A2" t="str">
        <f>IF(Input!A3="","",Input!A3)</f>
        <v>MPS Global Growth Strategy</v>
      </c>
      <c r="B2" s="1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</row>
    <row r="3" spans="1:24" x14ac:dyDescent="0.25">
      <c r="A3" t="str">
        <f>IF(Input!A4="","",Input!A4)</f>
        <v>MPS Conservative Strategy</v>
      </c>
      <c r="B3" s="1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</row>
    <row r="4" spans="1:24" x14ac:dyDescent="0.25">
      <c r="A4" t="str">
        <f>IF(Input!A5="","",Input!A5)</f>
        <v>MPS Cautious Strategy</v>
      </c>
      <c r="B4" s="1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</row>
    <row r="5" spans="1:24" x14ac:dyDescent="0.25">
      <c r="A5" t="str">
        <f>IF(Input!A6="","",Input!A6)</f>
        <v>MPS Growth Strategy</v>
      </c>
      <c r="B5" s="1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</row>
    <row r="6" spans="1:24" x14ac:dyDescent="0.25">
      <c r="A6" t="str">
        <f>IF(Input!A7="","",Input!A7)</f>
        <v>MPS Income Strategy</v>
      </c>
      <c r="B6" s="1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</row>
    <row r="7" spans="1:24" x14ac:dyDescent="0.25">
      <c r="A7" t="str">
        <f>IF(Input!A8="","",Input!A8)</f>
        <v>MPS Balanced Strategy</v>
      </c>
      <c r="B7" s="1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</row>
    <row r="8" spans="1:24" x14ac:dyDescent="0.25">
      <c r="A8" t="str">
        <f>IF(Input!A9="","",Input!A9)</f>
        <v/>
      </c>
      <c r="B8" s="1"/>
      <c r="C8" s="5"/>
      <c r="D8" s="5"/>
      <c r="E8" s="5"/>
      <c r="F8" s="5"/>
    </row>
    <row r="9" spans="1:24" x14ac:dyDescent="0.25">
      <c r="A9" t="str">
        <f>IF(Input!A10="","",Input!A10)</f>
        <v/>
      </c>
      <c r="B9" s="1"/>
      <c r="C9" s="5"/>
      <c r="D9" s="5"/>
      <c r="E9" s="5"/>
      <c r="F9" s="5"/>
    </row>
    <row r="10" spans="1:24" x14ac:dyDescent="0.25">
      <c r="A10" t="str">
        <f>IF(Input!A11="","",Input!A11)</f>
        <v/>
      </c>
      <c r="B10" s="1"/>
      <c r="C10" s="5"/>
      <c r="D10" s="5"/>
      <c r="E10" s="5"/>
      <c r="F10" s="5"/>
    </row>
    <row r="11" spans="1:24" x14ac:dyDescent="0.25">
      <c r="A11" t="str">
        <f>IF(Input!A12="","",Input!A12)</f>
        <v/>
      </c>
      <c r="B11" s="1"/>
      <c r="C11" s="5"/>
      <c r="D11" s="5"/>
      <c r="E11" s="5"/>
      <c r="F11" s="5"/>
    </row>
    <row r="12" spans="1:24" x14ac:dyDescent="0.25">
      <c r="A12" t="str">
        <f>IF(Input!A13="","",Input!A13)</f>
        <v/>
      </c>
      <c r="B12" s="1"/>
      <c r="C12" s="5"/>
      <c r="D12" s="5"/>
      <c r="E12" s="5"/>
      <c r="F12" s="5"/>
    </row>
    <row r="13" spans="1:24" x14ac:dyDescent="0.25">
      <c r="A13" t="str">
        <f>IF(Input!A14="","",Input!A14)</f>
        <v/>
      </c>
      <c r="B13" s="1"/>
      <c r="C13" s="5"/>
      <c r="D13" s="5"/>
      <c r="E13" s="5"/>
      <c r="F13" s="5"/>
    </row>
    <row r="14" spans="1:24" x14ac:dyDescent="0.25">
      <c r="A14" t="str">
        <f>IF(Input!A15="","",Input!A15)</f>
        <v/>
      </c>
      <c r="B14" s="1"/>
      <c r="C14" s="5"/>
      <c r="D14" s="5"/>
      <c r="E14" s="5"/>
      <c r="F14" s="5"/>
    </row>
    <row r="15" spans="1:24" x14ac:dyDescent="0.25">
      <c r="A15" t="str">
        <f>IF(Input!A16="","",Input!A16)</f>
        <v/>
      </c>
      <c r="B15" s="1"/>
      <c r="C15" s="5"/>
      <c r="D15" s="5"/>
      <c r="E15" s="5"/>
      <c r="F15" s="5"/>
    </row>
    <row r="16" spans="1:24" x14ac:dyDescent="0.25">
      <c r="A16" t="str">
        <f>IF(Input!A17="","",Input!A17)</f>
        <v/>
      </c>
      <c r="B16" s="1"/>
      <c r="C16" s="5"/>
      <c r="D16" s="5"/>
      <c r="E16" s="5"/>
      <c r="F16" s="5"/>
    </row>
    <row r="17" spans="1:6" x14ac:dyDescent="0.25">
      <c r="A17" t="str">
        <f>IF(Input!A18="","",Input!A18)</f>
        <v/>
      </c>
      <c r="B17" s="1"/>
      <c r="C17" s="5"/>
      <c r="D17" s="5"/>
      <c r="E17" s="5"/>
      <c r="F17" s="5"/>
    </row>
    <row r="18" spans="1:6" x14ac:dyDescent="0.25">
      <c r="A18" t="str">
        <f>IF(Input!A19="","",Input!A19)</f>
        <v/>
      </c>
      <c r="B18" s="1"/>
      <c r="C18" s="5"/>
      <c r="D18" s="5"/>
      <c r="E18" s="5"/>
      <c r="F18" s="5"/>
    </row>
    <row r="19" spans="1:6" x14ac:dyDescent="0.25">
      <c r="A19" t="str">
        <f>IF(Input!A20="","",Input!A20)</f>
        <v/>
      </c>
      <c r="B19" s="1"/>
      <c r="C19" s="5"/>
      <c r="D19" s="5"/>
      <c r="E19" s="5"/>
      <c r="F19" s="5"/>
    </row>
    <row r="20" spans="1:6" x14ac:dyDescent="0.25">
      <c r="A20" t="str">
        <f>IF(Input!A21="","",Input!A21)</f>
        <v/>
      </c>
      <c r="B20" s="1"/>
      <c r="C20" s="5"/>
      <c r="D20" s="5"/>
      <c r="E20" s="5"/>
      <c r="F20" s="5"/>
    </row>
    <row r="21" spans="1:6" x14ac:dyDescent="0.25">
      <c r="A21" t="str">
        <f>IF(Input!A22="","",Input!A22)</f>
        <v/>
      </c>
      <c r="B21" s="1"/>
      <c r="C21" s="5"/>
      <c r="D21" s="5"/>
      <c r="E21" s="5"/>
      <c r="F21" s="5"/>
    </row>
    <row r="22" spans="1:6" x14ac:dyDescent="0.25">
      <c r="A22" t="str">
        <f>IF(Input!A23="","",Input!A23)</f>
        <v/>
      </c>
      <c r="B22" s="1"/>
      <c r="C22" s="5"/>
      <c r="D22" s="5"/>
      <c r="E22" s="5"/>
      <c r="F22" s="5"/>
    </row>
    <row r="23" spans="1:6" x14ac:dyDescent="0.25">
      <c r="A23" t="str">
        <f>IF(Input!A24="","",Input!A24)</f>
        <v/>
      </c>
      <c r="B23" s="1"/>
      <c r="C23" s="5"/>
      <c r="D23" s="5"/>
      <c r="E23" s="5"/>
      <c r="F23" s="5"/>
    </row>
    <row r="24" spans="1:6" x14ac:dyDescent="0.25">
      <c r="A24" t="str">
        <f>IF(Input!A25="","",Input!A25)</f>
        <v/>
      </c>
      <c r="B24" s="1"/>
      <c r="C24" s="5"/>
      <c r="D24" s="5"/>
      <c r="E24" s="5"/>
      <c r="F24" s="5"/>
    </row>
    <row r="25" spans="1:6" x14ac:dyDescent="0.25">
      <c r="A25" t="str">
        <f>IF(Input!A26="","",Input!A26)</f>
        <v/>
      </c>
      <c r="B25" s="7"/>
      <c r="C25" s="5"/>
    </row>
    <row r="26" spans="1:6" x14ac:dyDescent="0.25">
      <c r="A26" t="str">
        <f>IF(Input!A27="","",Input!A27)</f>
        <v/>
      </c>
      <c r="B26" s="7"/>
      <c r="C26" s="5"/>
    </row>
    <row r="27" spans="1:6" x14ac:dyDescent="0.25">
      <c r="A27" t="str">
        <f>IF(Input!A28="","",Input!A28)</f>
        <v/>
      </c>
      <c r="B27" s="7"/>
      <c r="C27" s="5"/>
    </row>
    <row r="28" spans="1:6" x14ac:dyDescent="0.25">
      <c r="A28" t="str">
        <f>IF(Input!A29="","",Input!A29)</f>
        <v/>
      </c>
      <c r="B28" s="7"/>
      <c r="C28" s="5"/>
    </row>
    <row r="29" spans="1:6" x14ac:dyDescent="0.25">
      <c r="A29" t="str">
        <f>IF(Input!A30="","",Input!A30)</f>
        <v/>
      </c>
      <c r="B29" s="7"/>
      <c r="C29" s="5"/>
    </row>
    <row r="30" spans="1:6" x14ac:dyDescent="0.25">
      <c r="A30" t="str">
        <f>IF(Input!A31="","",Input!A31)</f>
        <v/>
      </c>
      <c r="B30" s="7"/>
      <c r="C30" s="5"/>
    </row>
    <row r="31" spans="1:6" x14ac:dyDescent="0.25">
      <c r="A31" t="str">
        <f>IF(Input!A32="","",Input!A32)</f>
        <v/>
      </c>
      <c r="B31" s="7"/>
      <c r="C31" s="5"/>
    </row>
    <row r="32" spans="1:6" x14ac:dyDescent="0.25">
      <c r="A32" t="str">
        <f>IF(Input!A33="","",Input!A33)</f>
        <v/>
      </c>
      <c r="B32" s="7"/>
      <c r="C32" s="5"/>
    </row>
    <row r="33" spans="1:3" x14ac:dyDescent="0.25">
      <c r="A33" t="str">
        <f>IF(Input!A34="","",Input!A34)</f>
        <v/>
      </c>
      <c r="B33" s="7"/>
      <c r="C33" s="5"/>
    </row>
    <row r="34" spans="1:3" x14ac:dyDescent="0.25">
      <c r="A34" t="str">
        <f>IF(Input!A35="","",Input!A35)</f>
        <v/>
      </c>
      <c r="B34" s="7"/>
      <c r="C34" s="5"/>
    </row>
    <row r="35" spans="1:3" x14ac:dyDescent="0.25">
      <c r="A35" t="str">
        <f>IF(Input!A36="","",Input!A36)</f>
        <v/>
      </c>
    </row>
    <row r="36" spans="1:3" x14ac:dyDescent="0.25">
      <c r="A36" t="str">
        <f>IF(Input!A37="","",Input!A37)</f>
        <v/>
      </c>
    </row>
    <row r="37" spans="1:3" x14ac:dyDescent="0.25">
      <c r="A37" t="str">
        <f>IF(Input!A38="","",Input!A38)</f>
        <v/>
      </c>
    </row>
    <row r="38" spans="1:3" x14ac:dyDescent="0.25">
      <c r="A38" t="str">
        <f>IF(Input!A39="","",Input!A39)</f>
        <v/>
      </c>
    </row>
    <row r="39" spans="1:3" x14ac:dyDescent="0.25">
      <c r="A39" t="str">
        <f>IF(Input!A40="","",Input!A40)</f>
        <v/>
      </c>
    </row>
    <row r="40" spans="1:3" x14ac:dyDescent="0.25">
      <c r="A40" t="str">
        <f>IF(Input!A41="","",Input!A41)</f>
        <v/>
      </c>
    </row>
    <row r="41" spans="1:3" x14ac:dyDescent="0.25">
      <c r="A41" t="str">
        <f>IF(Input!A42="","",Input!A42)</f>
        <v/>
      </c>
    </row>
    <row r="42" spans="1:3" x14ac:dyDescent="0.25">
      <c r="A42" t="str">
        <f>IF(Input!A43="","",Input!A43)</f>
        <v/>
      </c>
    </row>
    <row r="43" spans="1:3" x14ac:dyDescent="0.25">
      <c r="A43" t="str">
        <f>IF(Input!A44="","",Input!A44)</f>
        <v/>
      </c>
    </row>
    <row r="44" spans="1:3" x14ac:dyDescent="0.25">
      <c r="A44" t="str">
        <f>IF(Input!A45="","",Input!A45)</f>
        <v/>
      </c>
    </row>
    <row r="45" spans="1:3" x14ac:dyDescent="0.25">
      <c r="A45" t="str">
        <f>IF(Input!A46="","",Input!A46)</f>
        <v/>
      </c>
    </row>
    <row r="46" spans="1:3" x14ac:dyDescent="0.25">
      <c r="A46" t="str">
        <f>IF(Input!A47="","",Input!A47)</f>
        <v/>
      </c>
    </row>
    <row r="47" spans="1:3" x14ac:dyDescent="0.25">
      <c r="A47" t="str">
        <f>IF(Input!A48="","",Input!A48)</f>
        <v/>
      </c>
    </row>
    <row r="48" spans="1:3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AD50"/>
  <sheetViews>
    <sheetView workbookViewId="0">
      <selection activeCell="B2" sqref="B2"/>
    </sheetView>
  </sheetViews>
  <sheetFormatPr defaultRowHeight="15" x14ac:dyDescent="0.25"/>
  <cols>
    <col min="1" max="1" width="24.42578125" bestFit="1" customWidth="1"/>
    <col min="2" max="2" width="21.28515625" bestFit="1" customWidth="1"/>
    <col min="3" max="3" width="10.140625" bestFit="1" customWidth="1"/>
    <col min="4" max="4" width="12.140625" bestFit="1" customWidth="1"/>
    <col min="5" max="5" width="10.7109375" bestFit="1" customWidth="1"/>
    <col min="6" max="6" width="13.28515625" bestFit="1" customWidth="1"/>
    <col min="7" max="7" width="21.42578125" bestFit="1" customWidth="1"/>
    <col min="8" max="8" width="12.5703125" bestFit="1" customWidth="1"/>
    <col min="9" max="9" width="8.5703125" bestFit="1" customWidth="1"/>
    <col min="10" max="10" width="6.140625" bestFit="1" customWidth="1"/>
    <col min="11" max="11" width="5.5703125" bestFit="1" customWidth="1"/>
    <col min="12" max="12" width="13" bestFit="1" customWidth="1"/>
    <col min="13" max="13" width="14.140625" bestFit="1" customWidth="1"/>
    <col min="14" max="14" width="5.85546875" bestFit="1" customWidth="1"/>
    <col min="15" max="15" width="22.42578125" bestFit="1" customWidth="1"/>
    <col min="16" max="16" width="13.140625" bestFit="1" customWidth="1"/>
    <col min="17" max="17" width="11.85546875" bestFit="1" customWidth="1"/>
    <col min="18" max="18" width="6.140625" bestFit="1" customWidth="1"/>
    <col min="19" max="19" width="18.140625" bestFit="1" customWidth="1"/>
    <col min="20" max="20" width="15.85546875" bestFit="1" customWidth="1"/>
    <col min="21" max="21" width="20.5703125" bestFit="1" customWidth="1"/>
    <col min="22" max="22" width="27.5703125" bestFit="1" customWidth="1"/>
    <col min="23" max="23" width="24.140625" bestFit="1" customWidth="1"/>
    <col min="24" max="24" width="24.7109375" bestFit="1" customWidth="1"/>
    <col min="25" max="25" width="9.85546875" bestFit="1" customWidth="1"/>
    <col min="26" max="26" width="18.42578125" bestFit="1" customWidth="1"/>
    <col min="27" max="27" width="18.140625" bestFit="1" customWidth="1"/>
    <col min="28" max="28" width="21.42578125" bestFit="1" customWidth="1"/>
    <col min="29" max="29" width="18.42578125" bestFit="1" customWidth="1"/>
    <col min="30" max="30" width="21.5703125" bestFit="1" customWidth="1"/>
  </cols>
  <sheetData>
    <row r="1" spans="1:30" x14ac:dyDescent="0.25">
      <c r="B1" s="5" t="s">
        <v>43</v>
      </c>
      <c r="C1" s="5" t="s">
        <v>44</v>
      </c>
      <c r="D1" s="5" t="s">
        <v>45</v>
      </c>
      <c r="E1" s="5" t="s">
        <v>46</v>
      </c>
      <c r="F1" s="5" t="s">
        <v>47</v>
      </c>
      <c r="G1" s="5" t="s">
        <v>48</v>
      </c>
      <c r="H1" s="5" t="s">
        <v>49</v>
      </c>
    </row>
    <row r="2" spans="1:30" x14ac:dyDescent="0.25">
      <c r="A2" t="str">
        <f>IF(Input!A3="","",Input!A3)</f>
        <v>MPS Global Growth Strategy</v>
      </c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T2" s="5"/>
      <c r="U2" s="5"/>
      <c r="V2" s="5"/>
    </row>
    <row r="3" spans="1:30" x14ac:dyDescent="0.25">
      <c r="A3" t="str">
        <f>IF(Input!A4="","",Input!A4)</f>
        <v>MPS Conservative Strategy</v>
      </c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</row>
    <row r="4" spans="1:30" x14ac:dyDescent="0.25">
      <c r="A4" t="str">
        <f>IF(Input!A5="","",Input!A5)</f>
        <v>MPS Cautious Strategy</v>
      </c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</row>
    <row r="5" spans="1:30" x14ac:dyDescent="0.25">
      <c r="A5" t="str">
        <f>IF(Input!A6="","",Input!A6)</f>
        <v>MPS Growth Strategy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</row>
    <row r="6" spans="1:30" x14ac:dyDescent="0.25">
      <c r="A6" t="str">
        <f>IF(Input!A7="","",Input!A7)</f>
        <v>MPS Income Strategy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</row>
    <row r="7" spans="1:30" x14ac:dyDescent="0.25">
      <c r="A7" t="str">
        <f>IF(Input!A8="","",Input!A8)</f>
        <v>MPS Balanced Strategy</v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AD7" s="5"/>
    </row>
    <row r="8" spans="1:30" x14ac:dyDescent="0.25">
      <c r="A8" t="str">
        <f>IF(Input!A9="","",Input!A9)</f>
        <v/>
      </c>
      <c r="B8" s="5"/>
      <c r="C8" s="5"/>
      <c r="D8" s="5"/>
      <c r="E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</row>
    <row r="9" spans="1:30" x14ac:dyDescent="0.25">
      <c r="A9" t="str">
        <f>IF(Input!A10="","",Input!A10)</f>
        <v/>
      </c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</row>
    <row r="10" spans="1:30" x14ac:dyDescent="0.25">
      <c r="A10" t="str">
        <f>IF(Input!A11="","",Input!A11)</f>
        <v/>
      </c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</row>
    <row r="11" spans="1:30" x14ac:dyDescent="0.25">
      <c r="A11" t="str">
        <f>IF(Input!A12="","",Input!A12)</f>
        <v/>
      </c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S11" s="5"/>
      <c r="T11" s="5"/>
    </row>
    <row r="12" spans="1:30" x14ac:dyDescent="0.25">
      <c r="A12" t="str">
        <f>IF(Input!A13="","",Input!A13)</f>
        <v/>
      </c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</row>
    <row r="13" spans="1:30" x14ac:dyDescent="0.25">
      <c r="A13" t="str">
        <f>IF(Input!A14="","",Input!A14)</f>
        <v/>
      </c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</row>
    <row r="14" spans="1:30" x14ac:dyDescent="0.25">
      <c r="A14" t="str">
        <f>IF(Input!A15="","",Input!A15)</f>
        <v/>
      </c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</row>
    <row r="15" spans="1:30" x14ac:dyDescent="0.25">
      <c r="A15" t="str">
        <f>IF(Input!A16="","",Input!A16)</f>
        <v/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</row>
    <row r="16" spans="1:30" x14ac:dyDescent="0.25">
      <c r="A16" t="str">
        <f>IF(Input!A17="","",Input!A17)</f>
        <v/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Q16" s="5"/>
      <c r="R16" s="5"/>
      <c r="S16" s="5"/>
      <c r="T16" s="5"/>
    </row>
    <row r="17" spans="1:29" x14ac:dyDescent="0.25">
      <c r="A17" t="str">
        <f>IF(Input!A18="","",Input!A18)</f>
        <v/>
      </c>
      <c r="B17" s="5"/>
      <c r="C17" s="5"/>
      <c r="D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T17" s="5"/>
      <c r="W17" s="5"/>
      <c r="Y17" s="5"/>
      <c r="Z17" s="5"/>
      <c r="AB17" s="5"/>
    </row>
    <row r="18" spans="1:29" x14ac:dyDescent="0.25">
      <c r="A18" t="str">
        <f>IF(Input!A19="","",Input!A19)</f>
        <v/>
      </c>
      <c r="B18" s="5"/>
      <c r="C18" s="5"/>
      <c r="D18" s="5"/>
      <c r="H18" s="5"/>
      <c r="I18" s="5"/>
      <c r="J18" s="5"/>
      <c r="K18" s="5"/>
      <c r="L18" s="5"/>
      <c r="M18" s="5"/>
      <c r="N18" s="5"/>
      <c r="O18" s="5"/>
      <c r="Q18" s="5"/>
      <c r="R18" s="5"/>
      <c r="T18" s="5"/>
      <c r="U18" s="5"/>
      <c r="Z18" s="5"/>
    </row>
    <row r="19" spans="1:29" x14ac:dyDescent="0.25">
      <c r="A19" t="str">
        <f>IF(Input!A20="","",Input!A20)</f>
        <v/>
      </c>
      <c r="B19" s="5"/>
      <c r="D19" s="5"/>
      <c r="E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T19" s="5"/>
      <c r="U19" s="5"/>
      <c r="W19" s="5"/>
      <c r="X19" s="5"/>
      <c r="Y19" s="5"/>
    </row>
    <row r="20" spans="1:29" x14ac:dyDescent="0.25">
      <c r="A20" t="str">
        <f>IF(Input!A21="","",Input!A21)</f>
        <v/>
      </c>
      <c r="B20" s="5"/>
      <c r="E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T20" s="5"/>
      <c r="W20" s="5"/>
      <c r="X20" s="5"/>
      <c r="Y20" s="5"/>
      <c r="AB20" s="5"/>
    </row>
    <row r="21" spans="1:29" x14ac:dyDescent="0.25">
      <c r="A21" t="str">
        <f>IF(Input!A22="","",Input!A22)</f>
        <v/>
      </c>
      <c r="B21" s="5"/>
      <c r="C21" s="5"/>
      <c r="D21" s="5"/>
      <c r="E21" s="5"/>
      <c r="H21" s="5"/>
      <c r="J21" s="5"/>
      <c r="K21" s="5"/>
      <c r="L21" s="5"/>
      <c r="M21" s="5"/>
      <c r="N21" s="5"/>
      <c r="O21" s="5"/>
      <c r="P21" s="5"/>
      <c r="Q21" s="5"/>
      <c r="R21" s="5"/>
      <c r="T21" s="5"/>
      <c r="U21" s="5"/>
      <c r="W21" s="5"/>
      <c r="X21" s="5"/>
      <c r="Y21" s="5"/>
    </row>
    <row r="22" spans="1:29" x14ac:dyDescent="0.25">
      <c r="A22" t="str">
        <f>IF(Input!A23="","",Input!A23)</f>
        <v/>
      </c>
      <c r="B22" s="5"/>
      <c r="C22" s="5"/>
      <c r="D22" s="5"/>
      <c r="H22" s="5"/>
      <c r="I22" s="5"/>
      <c r="J22" s="5"/>
      <c r="K22" s="5"/>
      <c r="L22" s="5"/>
      <c r="M22" s="5"/>
      <c r="N22" s="5"/>
      <c r="O22" s="5"/>
      <c r="Q22" s="5"/>
      <c r="R22" s="5"/>
      <c r="T22" s="5"/>
      <c r="U22" s="5"/>
      <c r="Z22" s="5"/>
    </row>
    <row r="23" spans="1:29" x14ac:dyDescent="0.25">
      <c r="A23" t="str">
        <f>IF(Input!A24="","",Input!A24)</f>
        <v/>
      </c>
      <c r="B23" s="5"/>
      <c r="C23" s="5"/>
      <c r="D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T23" s="5"/>
      <c r="U23" s="5"/>
      <c r="Y23" s="5"/>
      <c r="AB23" s="5"/>
    </row>
    <row r="24" spans="1:29" x14ac:dyDescent="0.25">
      <c r="A24" t="str">
        <f>IF(Input!A25="","",Input!A25)</f>
        <v/>
      </c>
      <c r="B24" s="5"/>
      <c r="C24" s="5"/>
      <c r="D24" s="5"/>
      <c r="E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T24" s="5"/>
      <c r="U24" s="5"/>
      <c r="Y24" s="5"/>
    </row>
    <row r="25" spans="1:29" x14ac:dyDescent="0.25">
      <c r="A25" t="str">
        <f>IF(Input!A26="","",Input!A26)</f>
        <v/>
      </c>
      <c r="E25" s="5"/>
      <c r="H25" s="5"/>
      <c r="K25" s="5"/>
      <c r="L25" s="5"/>
      <c r="N25" s="5"/>
      <c r="O25" s="5"/>
      <c r="P25" s="5"/>
      <c r="R25" s="5"/>
      <c r="U25" s="5"/>
      <c r="W25" s="5"/>
      <c r="AB25" s="5"/>
    </row>
    <row r="26" spans="1:29" x14ac:dyDescent="0.25">
      <c r="A26" t="str">
        <f>IF(Input!A27="","",Input!A27)</f>
        <v/>
      </c>
      <c r="E26" s="5"/>
      <c r="H26" s="5"/>
      <c r="K26" s="5"/>
      <c r="L26" s="5"/>
      <c r="N26" s="5"/>
      <c r="O26" s="5"/>
      <c r="P26" s="5"/>
      <c r="R26" s="5"/>
      <c r="U26" s="5"/>
      <c r="W26" s="5"/>
      <c r="AB26" s="5"/>
    </row>
    <row r="27" spans="1:29" x14ac:dyDescent="0.25">
      <c r="A27" t="str">
        <f>IF(Input!A28="","",Input!A28)</f>
        <v/>
      </c>
      <c r="B27" s="5"/>
      <c r="E27" s="5"/>
      <c r="H27" s="5"/>
      <c r="K27" s="5"/>
      <c r="L27" s="5"/>
      <c r="N27" s="5"/>
      <c r="P27" s="5"/>
      <c r="R27" s="5"/>
      <c r="U27" s="5"/>
      <c r="W27" s="5"/>
      <c r="AB27" s="5"/>
    </row>
    <row r="28" spans="1:29" x14ac:dyDescent="0.25">
      <c r="A28" t="str">
        <f>IF(Input!A29="","",Input!A29)</f>
        <v/>
      </c>
      <c r="B28" s="5"/>
      <c r="E28" s="5"/>
      <c r="H28" s="5"/>
      <c r="L28" s="5"/>
      <c r="N28" s="5"/>
      <c r="P28" s="5"/>
      <c r="R28" s="5"/>
      <c r="U28" s="5"/>
      <c r="W28" s="5"/>
      <c r="AB28" s="5"/>
      <c r="AC28" s="5"/>
    </row>
    <row r="29" spans="1:29" x14ac:dyDescent="0.25">
      <c r="A29" t="str">
        <f>IF(Input!A30="","",Input!A30)</f>
        <v/>
      </c>
      <c r="C29" s="5"/>
      <c r="G29" s="5"/>
      <c r="I29" s="5"/>
      <c r="J29" s="5"/>
      <c r="K29" s="5"/>
      <c r="L29" s="5"/>
      <c r="N29" s="5"/>
      <c r="O29" s="5"/>
      <c r="P29" s="5"/>
      <c r="S29" s="5"/>
      <c r="T29" s="5"/>
    </row>
    <row r="30" spans="1:29" x14ac:dyDescent="0.25">
      <c r="A30" t="str">
        <f>IF(Input!A31="","",Input!A31)</f>
        <v/>
      </c>
      <c r="E30" s="5"/>
      <c r="G30" s="5"/>
      <c r="I30" s="5"/>
      <c r="J30" s="5"/>
      <c r="L30" s="5"/>
      <c r="N30" s="5"/>
      <c r="O30" s="5"/>
      <c r="P30" s="5"/>
      <c r="R30" s="5"/>
      <c r="S30" s="5"/>
      <c r="T30" s="5"/>
    </row>
    <row r="31" spans="1:29" x14ac:dyDescent="0.25">
      <c r="A31" t="str">
        <f>IF(Input!A32="","",Input!A32)</f>
        <v/>
      </c>
      <c r="E31" s="5"/>
      <c r="G31" s="5"/>
      <c r="H31" s="5"/>
      <c r="I31" s="5"/>
      <c r="L31" s="5"/>
      <c r="N31" s="5"/>
      <c r="O31" s="5"/>
      <c r="P31" s="5"/>
      <c r="Q31" s="5"/>
      <c r="S31" s="5"/>
      <c r="T31" s="5"/>
    </row>
    <row r="32" spans="1:29" x14ac:dyDescent="0.25">
      <c r="A32" t="str">
        <f>IF(Input!A33="","",Input!A33)</f>
        <v/>
      </c>
      <c r="E32" s="5"/>
      <c r="G32" s="5"/>
      <c r="H32" s="5"/>
      <c r="L32" s="5"/>
      <c r="N32" s="5"/>
      <c r="O32" s="5"/>
      <c r="P32" s="5"/>
      <c r="Q32" s="5"/>
      <c r="R32" s="5"/>
      <c r="S32" s="5"/>
      <c r="T32" s="5"/>
    </row>
    <row r="33" spans="1:27" x14ac:dyDescent="0.25">
      <c r="A33" t="str">
        <f>IF(Input!A34="","",Input!A34)</f>
        <v/>
      </c>
      <c r="E33" s="5"/>
      <c r="G33" s="5"/>
      <c r="H33" s="5"/>
      <c r="L33" s="5"/>
      <c r="N33" s="5"/>
      <c r="O33" s="5"/>
      <c r="P33" s="5"/>
      <c r="Q33" s="5"/>
      <c r="R33" s="5"/>
      <c r="S33" s="5"/>
      <c r="T33" s="5"/>
    </row>
    <row r="34" spans="1:27" x14ac:dyDescent="0.25">
      <c r="A34" t="str">
        <f>IF(Input!A35="","",Input!A35)</f>
        <v/>
      </c>
      <c r="B34" s="5"/>
      <c r="D34" s="5"/>
      <c r="E34" s="5"/>
      <c r="G34" s="5"/>
      <c r="H34" s="5"/>
      <c r="N34" s="5"/>
      <c r="P34" s="5"/>
      <c r="Q34" s="5"/>
      <c r="R34" s="5"/>
      <c r="S34" s="5"/>
      <c r="AA34" s="5"/>
    </row>
    <row r="35" spans="1:27" x14ac:dyDescent="0.25">
      <c r="A35" t="str">
        <f>IF(Input!A36="","",Input!A36)</f>
        <v/>
      </c>
    </row>
    <row r="36" spans="1:27" x14ac:dyDescent="0.25">
      <c r="A36" t="str">
        <f>IF(Input!A37="","",Input!A37)</f>
        <v/>
      </c>
    </row>
    <row r="37" spans="1:27" x14ac:dyDescent="0.25">
      <c r="A37" t="str">
        <f>IF(Input!A38="","",Input!A38)</f>
        <v/>
      </c>
    </row>
    <row r="38" spans="1:27" x14ac:dyDescent="0.25">
      <c r="A38" t="str">
        <f>IF(Input!A39="","",Input!A39)</f>
        <v/>
      </c>
    </row>
    <row r="39" spans="1:27" x14ac:dyDescent="0.25">
      <c r="A39" t="str">
        <f>IF(Input!A40="","",Input!A40)</f>
        <v/>
      </c>
    </row>
    <row r="40" spans="1:27" x14ac:dyDescent="0.25">
      <c r="A40" t="str">
        <f>IF(Input!A41="","",Input!A41)</f>
        <v/>
      </c>
    </row>
    <row r="41" spans="1:27" x14ac:dyDescent="0.25">
      <c r="A41" t="str">
        <f>IF(Input!A42="","",Input!A42)</f>
        <v/>
      </c>
    </row>
    <row r="42" spans="1:27" x14ac:dyDescent="0.25">
      <c r="A42" t="str">
        <f>IF(Input!A43="","",Input!A43)</f>
        <v/>
      </c>
    </row>
    <row r="43" spans="1:27" x14ac:dyDescent="0.25">
      <c r="A43" t="str">
        <f>IF(Input!A44="","",Input!A44)</f>
        <v/>
      </c>
    </row>
    <row r="44" spans="1:27" x14ac:dyDescent="0.25">
      <c r="A44" t="str">
        <f>IF(Input!A45="","",Input!A45)</f>
        <v/>
      </c>
    </row>
    <row r="45" spans="1:27" x14ac:dyDescent="0.25">
      <c r="A45" t="str">
        <f>IF(Input!A46="","",Input!A46)</f>
        <v/>
      </c>
    </row>
    <row r="46" spans="1:27" x14ac:dyDescent="0.25">
      <c r="A46" t="str">
        <f>IF(Input!A47="","",Input!A47)</f>
        <v/>
      </c>
    </row>
    <row r="47" spans="1:27" x14ac:dyDescent="0.25">
      <c r="A47" t="str">
        <f>IF(Input!A48="","",Input!A48)</f>
        <v/>
      </c>
    </row>
    <row r="48" spans="1:27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tabColor theme="5" tint="0.79998168889431442"/>
  </sheetPr>
  <dimension ref="A1:E50"/>
  <sheetViews>
    <sheetView tabSelected="1" topLeftCell="C1" workbookViewId="0">
      <selection activeCell="M6" sqref="M6"/>
    </sheetView>
  </sheetViews>
  <sheetFormatPr defaultRowHeight="15" x14ac:dyDescent="0.25"/>
  <cols>
    <col min="1" max="1" width="19.5703125" bestFit="1" customWidth="1"/>
    <col min="2" max="2" width="117.28515625" bestFit="1" customWidth="1"/>
    <col min="3" max="3" width="42.28515625" bestFit="1" customWidth="1"/>
    <col min="4" max="4" width="86.5703125" style="8" bestFit="1" customWidth="1"/>
  </cols>
  <sheetData>
    <row r="1" spans="1:5" x14ac:dyDescent="0.25">
      <c r="A1" t="s">
        <v>0</v>
      </c>
      <c r="B1" t="s">
        <v>23</v>
      </c>
      <c r="C1" t="s">
        <v>24</v>
      </c>
      <c r="D1" s="8" t="s">
        <v>25</v>
      </c>
      <c r="E1" s="3" t="s">
        <v>27</v>
      </c>
    </row>
    <row r="2" spans="1:5" x14ac:dyDescent="0.25">
      <c r="A2" t="str">
        <f>IF(Input!A3="","",Input!A3)</f>
        <v>MPS Global Growth Strategy</v>
      </c>
      <c r="B2" t="s">
        <v>75</v>
      </c>
      <c r="C2" t="s">
        <v>34</v>
      </c>
      <c r="D2" s="8" t="s">
        <v>79</v>
      </c>
    </row>
    <row r="3" spans="1:5" x14ac:dyDescent="0.25">
      <c r="A3" t="str">
        <f>IF(Input!A4="","",Input!A4)</f>
        <v>MPS Conservative Strategy</v>
      </c>
      <c r="B3" t="s">
        <v>75</v>
      </c>
      <c r="C3" t="s">
        <v>35</v>
      </c>
      <c r="D3" s="8" t="s">
        <v>77</v>
      </c>
    </row>
    <row r="4" spans="1:5" x14ac:dyDescent="0.25">
      <c r="A4" t="str">
        <f>IF(Input!A5="","",Input!A5)</f>
        <v>MPS Cautious Strategy</v>
      </c>
      <c r="B4" t="s">
        <v>75</v>
      </c>
      <c r="C4" t="s">
        <v>36</v>
      </c>
      <c r="D4" s="8" t="s">
        <v>78</v>
      </c>
    </row>
    <row r="5" spans="1:5" x14ac:dyDescent="0.25">
      <c r="A5" t="str">
        <f>IF(Input!A6="","",Input!A6)</f>
        <v>MPS Growth Strategy</v>
      </c>
      <c r="B5" t="s">
        <v>75</v>
      </c>
      <c r="C5" t="s">
        <v>37</v>
      </c>
      <c r="D5" s="8" t="s">
        <v>80</v>
      </c>
    </row>
    <row r="6" spans="1:5" x14ac:dyDescent="0.25">
      <c r="A6" t="str">
        <f>IF(Input!A7="","",Input!A7)</f>
        <v>MPS Income Strategy</v>
      </c>
      <c r="B6" t="s">
        <v>75</v>
      </c>
      <c r="C6" t="s">
        <v>38</v>
      </c>
      <c r="D6" s="8" t="s">
        <v>81</v>
      </c>
    </row>
    <row r="7" spans="1:5" x14ac:dyDescent="0.25">
      <c r="A7" t="str">
        <f>IF(Input!A8="","",Input!A8)</f>
        <v>MPS Balanced Strategy</v>
      </c>
      <c r="B7" t="s">
        <v>75</v>
      </c>
      <c r="C7" t="s">
        <v>39</v>
      </c>
      <c r="D7" s="8" t="s">
        <v>76</v>
      </c>
    </row>
    <row r="8" spans="1:5" x14ac:dyDescent="0.25">
      <c r="A8" t="str">
        <f>IF(Input!A9="","",Input!A9)</f>
        <v/>
      </c>
    </row>
    <row r="9" spans="1:5" x14ac:dyDescent="0.25">
      <c r="A9" t="str">
        <f>IF(Input!A10="","",Input!A10)</f>
        <v/>
      </c>
    </row>
    <row r="10" spans="1:5" x14ac:dyDescent="0.25">
      <c r="A10" t="str">
        <f>IF(Input!A11="","",Input!A11)</f>
        <v/>
      </c>
    </row>
    <row r="11" spans="1:5" x14ac:dyDescent="0.25">
      <c r="A11" t="str">
        <f>IF(Input!A12="","",Input!A12)</f>
        <v/>
      </c>
    </row>
    <row r="12" spans="1:5" x14ac:dyDescent="0.25">
      <c r="A12" t="str">
        <f>IF(Input!A13="","",Input!A13)</f>
        <v/>
      </c>
    </row>
    <row r="13" spans="1:5" x14ac:dyDescent="0.25">
      <c r="A13" t="str">
        <f>IF(Input!A14="","",Input!A14)</f>
        <v/>
      </c>
    </row>
    <row r="14" spans="1:5" x14ac:dyDescent="0.25">
      <c r="A14" t="str">
        <f>IF(Input!A15="","",Input!A15)</f>
        <v/>
      </c>
    </row>
    <row r="15" spans="1:5" x14ac:dyDescent="0.25">
      <c r="A15" t="str">
        <f>IF(Input!A16="","",Input!A16)</f>
        <v/>
      </c>
    </row>
    <row r="16" spans="1:5" x14ac:dyDescent="0.25">
      <c r="A16" t="str">
        <f>IF(Input!A17="","",Input!A17)</f>
        <v/>
      </c>
    </row>
    <row r="17" spans="1:1" x14ac:dyDescent="0.25">
      <c r="A17" t="str">
        <f>IF(Input!A18="","",Input!A18)</f>
        <v/>
      </c>
    </row>
    <row r="18" spans="1:1" x14ac:dyDescent="0.25">
      <c r="A18" t="str">
        <f>IF(Input!A19="","",Input!A19)</f>
        <v/>
      </c>
    </row>
    <row r="19" spans="1:1" x14ac:dyDescent="0.25">
      <c r="A19" t="str">
        <f>IF(Input!A20="","",Input!A20)</f>
        <v/>
      </c>
    </row>
    <row r="20" spans="1:1" x14ac:dyDescent="0.25">
      <c r="A20" t="str">
        <f>IF(Input!A21="","",Input!A21)</f>
        <v/>
      </c>
    </row>
    <row r="21" spans="1:1" x14ac:dyDescent="0.25">
      <c r="A21" t="str">
        <f>IF(Input!A22="","",Input!A22)</f>
        <v/>
      </c>
    </row>
    <row r="22" spans="1:1" x14ac:dyDescent="0.25">
      <c r="A22" t="str">
        <f>IF(Input!A23="","",Input!A23)</f>
        <v/>
      </c>
    </row>
    <row r="23" spans="1:1" x14ac:dyDescent="0.25">
      <c r="A23" t="str">
        <f>IF(Input!A24="","",Input!A24)</f>
        <v/>
      </c>
    </row>
    <row r="24" spans="1:1" x14ac:dyDescent="0.25">
      <c r="A24" t="str">
        <f>IF(Input!A25="","",Input!A25)</f>
        <v/>
      </c>
    </row>
    <row r="25" spans="1:1" x14ac:dyDescent="0.25">
      <c r="A25" t="str">
        <f>IF(Input!A26="","",Input!A26)</f>
        <v/>
      </c>
    </row>
    <row r="26" spans="1:1" x14ac:dyDescent="0.25">
      <c r="A26" t="str">
        <f>IF(Input!A27="","",Input!A27)</f>
        <v/>
      </c>
    </row>
    <row r="27" spans="1:1" x14ac:dyDescent="0.25">
      <c r="A27" t="str">
        <f>IF(Input!A28="","",Input!A28)</f>
        <v/>
      </c>
    </row>
    <row r="28" spans="1:1" x14ac:dyDescent="0.25">
      <c r="A28" t="str">
        <f>IF(Input!A29="","",Input!A29)</f>
        <v/>
      </c>
    </row>
    <row r="29" spans="1:1" x14ac:dyDescent="0.25">
      <c r="A29" t="str">
        <f>IF(Input!A30="","",Input!A30)</f>
        <v/>
      </c>
    </row>
    <row r="30" spans="1:1" x14ac:dyDescent="0.25">
      <c r="A30" t="str">
        <f>IF(Input!A31="","",Input!A31)</f>
        <v/>
      </c>
    </row>
    <row r="31" spans="1:1" x14ac:dyDescent="0.25">
      <c r="A31" t="str">
        <f>IF(Input!A32="","",Input!A32)</f>
        <v/>
      </c>
    </row>
    <row r="32" spans="1:1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A1:B50"/>
  <sheetViews>
    <sheetView workbookViewId="0">
      <selection activeCell="Z1" sqref="Z1:AA1048576"/>
    </sheetView>
  </sheetViews>
  <sheetFormatPr defaultRowHeight="15" x14ac:dyDescent="0.25"/>
  <cols>
    <col min="2" max="2" width="10.42578125" bestFit="1" customWidth="1"/>
  </cols>
  <sheetData>
    <row r="1" spans="1:2" x14ac:dyDescent="0.25">
      <c r="B1" t="s">
        <v>22</v>
      </c>
    </row>
    <row r="2" spans="1:2" x14ac:dyDescent="0.25">
      <c r="A2" t="str">
        <f>IF(Input!A3="","",Input!A3)</f>
        <v>MPS Global Growth Strategy</v>
      </c>
      <c r="B2" s="1" t="e">
        <f>IF(A2="","",EOMONTH(DATE(YEAR(IF(A2="","",'Additional Information'!B2)),MONTH(IF(A2="","",'Additional Information'!B2)),DAY(IF(A2="","",'Additional Information'!B2))),-1))</f>
        <v>#NUM!</v>
      </c>
    </row>
    <row r="3" spans="1:2" x14ac:dyDescent="0.25">
      <c r="A3" t="str">
        <f>IF(Input!A4="","",Input!A4)</f>
        <v>MPS Conservative Strategy</v>
      </c>
      <c r="B3" s="1" t="e">
        <f>IF(A3="","",EOMONTH(DATE(YEAR(IF(A3="","",'Additional Information'!B3)),MONTH(IF(A3="","",'Additional Information'!B3)),DAY(IF(A3="","",'Additional Information'!B3))),-1))</f>
        <v>#NUM!</v>
      </c>
    </row>
    <row r="4" spans="1:2" x14ac:dyDescent="0.25">
      <c r="A4" t="str">
        <f>IF(Input!A5="","",Input!A5)</f>
        <v>MPS Cautious Strategy</v>
      </c>
      <c r="B4" s="1" t="e">
        <f>IF(A4="","",EOMONTH(DATE(YEAR(IF(A4="","",'Additional Information'!B4)),MONTH(IF(A4="","",'Additional Information'!B4)),DAY(IF(A4="","",'Additional Information'!B4))),-1))</f>
        <v>#NUM!</v>
      </c>
    </row>
    <row r="5" spans="1:2" x14ac:dyDescent="0.25">
      <c r="A5" t="str">
        <f>IF(Input!A6="","",Input!A6)</f>
        <v>MPS Growth Strategy</v>
      </c>
      <c r="B5" s="1" t="e">
        <f>IF(A5="","",EOMONTH(DATE(YEAR(IF(A5="","",'Additional Information'!B5)),MONTH(IF(A5="","",'Additional Information'!B5)),DAY(IF(A5="","",'Additional Information'!B5))),-1))</f>
        <v>#NUM!</v>
      </c>
    </row>
    <row r="6" spans="1:2" x14ac:dyDescent="0.25">
      <c r="A6" t="str">
        <f>IF(Input!A7="","",Input!A7)</f>
        <v>MPS Income Strategy</v>
      </c>
      <c r="B6" s="1" t="e">
        <f>IF(A6="","",EOMONTH(DATE(YEAR(IF(A6="","",'Additional Information'!B6)),MONTH(IF(A6="","",'Additional Information'!B6)),DAY(IF(A6="","",'Additional Information'!B6))),-1))</f>
        <v>#NUM!</v>
      </c>
    </row>
    <row r="7" spans="1:2" x14ac:dyDescent="0.25">
      <c r="A7" t="str">
        <f>IF(Input!A8="","",Input!A8)</f>
        <v>MPS Balanced Strategy</v>
      </c>
      <c r="B7" s="1" t="e">
        <f>IF(A7="","",EOMONTH(DATE(YEAR(IF(A7="","",'Additional Information'!B7)),MONTH(IF(A7="","",'Additional Information'!B7)),DAY(IF(A7="","",'Additional Information'!B7))),-1))</f>
        <v>#NUM!</v>
      </c>
    </row>
    <row r="8" spans="1:2" x14ac:dyDescent="0.25">
      <c r="A8" t="str">
        <f>IF(Input!A9="","",Input!A9)</f>
        <v/>
      </c>
      <c r="B8" s="1" t="str">
        <f>IF(A8="","",EOMONTH(DATE(YEAR(IF(A8="","",'Additional Information'!B8)),MONTH(IF(A8="","",'Additional Information'!B8)),DAY(IF(A8="","",'Additional Information'!B8))),-1))</f>
        <v/>
      </c>
    </row>
    <row r="9" spans="1:2" x14ac:dyDescent="0.25">
      <c r="A9" t="str">
        <f>IF(Input!A10="","",Input!A10)</f>
        <v/>
      </c>
      <c r="B9" s="1" t="str">
        <f>IF(A9="","",EOMONTH(DATE(YEAR(IF(A9="","",'Additional Information'!B9)),MONTH(IF(A9="","",'Additional Information'!B9)),DAY(IF(A9="","",'Additional Information'!B9))),-1))</f>
        <v/>
      </c>
    </row>
    <row r="10" spans="1:2" x14ac:dyDescent="0.25">
      <c r="A10" t="str">
        <f>IF(Input!A11="","",Input!A11)</f>
        <v/>
      </c>
      <c r="B10" s="1" t="str">
        <f>IF(A10="","",EOMONTH(DATE(YEAR(IF(A10="","",'Additional Information'!B10)),MONTH(IF(A10="","",'Additional Information'!B10)),DAY(IF(A10="","",'Additional Information'!B10))),-1))</f>
        <v/>
      </c>
    </row>
    <row r="11" spans="1:2" x14ac:dyDescent="0.25">
      <c r="A11" t="str">
        <f>IF(Input!A12="","",Input!A12)</f>
        <v/>
      </c>
      <c r="B11" s="1" t="str">
        <f>IF(A11="","",EOMONTH(DATE(YEAR(IF(A11="","",'Additional Information'!B11)),MONTH(IF(A11="","",'Additional Information'!B11)),DAY(IF(A11="","",'Additional Information'!B11))),-1))</f>
        <v/>
      </c>
    </row>
    <row r="12" spans="1:2" x14ac:dyDescent="0.25">
      <c r="A12" t="str">
        <f>IF(Input!A13="","",Input!A13)</f>
        <v/>
      </c>
      <c r="B12" s="1" t="str">
        <f>IF(A12="","",EOMONTH(DATE(YEAR(IF(A12="","",'Additional Information'!B12)),MONTH(IF(A12="","",'Additional Information'!B12)),DAY(IF(A12="","",'Additional Information'!B12))),-1))</f>
        <v/>
      </c>
    </row>
    <row r="13" spans="1:2" x14ac:dyDescent="0.25">
      <c r="A13" t="str">
        <f>IF(Input!A14="","",Input!A14)</f>
        <v/>
      </c>
      <c r="B13" s="1" t="str">
        <f>IF(A13="","",EOMONTH(DATE(YEAR(IF(A13="","",'Additional Information'!B13)),MONTH(IF(A13="","",'Additional Information'!B13)),DAY(IF(A13="","",'Additional Information'!B13))),-1))</f>
        <v/>
      </c>
    </row>
    <row r="14" spans="1:2" x14ac:dyDescent="0.25">
      <c r="A14" t="str">
        <f>IF(Input!A15="","",Input!A15)</f>
        <v/>
      </c>
      <c r="B14" s="1" t="str">
        <f>IF(A14="","",EOMONTH(DATE(YEAR(IF(A14="","",'Additional Information'!B14)),MONTH(IF(A14="","",'Additional Information'!B14)),DAY(IF(A14="","",'Additional Information'!B14))),-1))</f>
        <v/>
      </c>
    </row>
    <row r="15" spans="1:2" x14ac:dyDescent="0.25">
      <c r="A15" t="str">
        <f>IF(Input!A16="","",Input!A16)</f>
        <v/>
      </c>
      <c r="B15" s="1" t="str">
        <f>IF(A15="","",EOMONTH(DATE(YEAR(IF(A15="","",'Additional Information'!B15)),MONTH(IF(A15="","",'Additional Information'!B15)),DAY(IF(A15="","",'Additional Information'!B15))),-1))</f>
        <v/>
      </c>
    </row>
    <row r="16" spans="1:2" x14ac:dyDescent="0.25">
      <c r="A16" t="str">
        <f>IF(Input!A17="","",Input!A17)</f>
        <v/>
      </c>
      <c r="B16" s="1" t="str">
        <f>IF(A16="","",EOMONTH(DATE(YEAR(IF(A16="","",'Additional Information'!B16)),MONTH(IF(A16="","",'Additional Information'!B16)),DAY(IF(A16="","",'Additional Information'!B16))),-1))</f>
        <v/>
      </c>
    </row>
    <row r="17" spans="1:2" x14ac:dyDescent="0.25">
      <c r="A17" t="str">
        <f>IF(Input!A18="","",Input!A18)</f>
        <v/>
      </c>
      <c r="B17" s="1" t="str">
        <f>IF(A17="","",EOMONTH(DATE(YEAR(IF(A17="","",'Additional Information'!B17)),MONTH(IF(A17="","",'Additional Information'!B17)),DAY(IF(A17="","",'Additional Information'!B17))),-1))</f>
        <v/>
      </c>
    </row>
    <row r="18" spans="1:2" x14ac:dyDescent="0.25">
      <c r="A18" t="str">
        <f>IF(Input!A19="","",Input!A19)</f>
        <v/>
      </c>
      <c r="B18" s="1" t="str">
        <f>IF(A18="","",EOMONTH(DATE(YEAR(IF(A18="","",'Additional Information'!B18)),MONTH(IF(A18="","",'Additional Information'!B18)),DAY(IF(A18="","",'Additional Information'!B18))),-1))</f>
        <v/>
      </c>
    </row>
    <row r="19" spans="1:2" x14ac:dyDescent="0.25">
      <c r="A19" t="str">
        <f>IF(Input!A20="","",Input!A20)</f>
        <v/>
      </c>
      <c r="B19" s="1" t="str">
        <f>IF(A19="","",EOMONTH(DATE(YEAR(IF(A19="","",'Additional Information'!B19)),MONTH(IF(A19="","",'Additional Information'!B19)),DAY(IF(A19="","",'Additional Information'!B19))),-1))</f>
        <v/>
      </c>
    </row>
    <row r="20" spans="1:2" x14ac:dyDescent="0.25">
      <c r="A20" t="str">
        <f>IF(Input!A21="","",Input!A21)</f>
        <v/>
      </c>
      <c r="B20" s="1" t="str">
        <f>IF(A20="","",EOMONTH(DATE(YEAR(IF(A20="","",'Additional Information'!B20)),MONTH(IF(A20="","",'Additional Information'!B20)),DAY(IF(A20="","",'Additional Information'!B20))),-1))</f>
        <v/>
      </c>
    </row>
    <row r="21" spans="1:2" x14ac:dyDescent="0.25">
      <c r="A21" t="str">
        <f>IF(Input!A22="","",Input!A22)</f>
        <v/>
      </c>
      <c r="B21" s="1" t="str">
        <f>IF(A21="","",EOMONTH(DATE(YEAR(IF(A21="","",'Additional Information'!B21)),MONTH(IF(A21="","",'Additional Information'!B21)),DAY(IF(A21="","",'Additional Information'!B21))),-1))</f>
        <v/>
      </c>
    </row>
    <row r="22" spans="1:2" x14ac:dyDescent="0.25">
      <c r="A22" t="str">
        <f>IF(Input!A23="","",Input!A23)</f>
        <v/>
      </c>
      <c r="B22" s="1" t="str">
        <f>IF(A22="","",EOMONTH(DATE(YEAR(IF(A22="","",'Additional Information'!B22)),MONTH(IF(A22="","",'Additional Information'!B22)),DAY(IF(A22="","",'Additional Information'!B22))),-1))</f>
        <v/>
      </c>
    </row>
    <row r="23" spans="1:2" x14ac:dyDescent="0.25">
      <c r="A23" t="str">
        <f>IF(Input!A24="","",Input!A24)</f>
        <v/>
      </c>
      <c r="B23" s="1" t="str">
        <f>IF(A23="","",EOMONTH(DATE(YEAR(IF(A23="","",'Additional Information'!B23)),MONTH(IF(A23="","",'Additional Information'!B23)),DAY(IF(A23="","",'Additional Information'!B23))),-1))</f>
        <v/>
      </c>
    </row>
    <row r="24" spans="1:2" x14ac:dyDescent="0.25">
      <c r="A24" t="str">
        <f>IF(Input!A25="","",Input!A25)</f>
        <v/>
      </c>
      <c r="B24" s="1" t="str">
        <f>IF(A24="","",EOMONTH(DATE(YEAR(IF(A24="","",'Additional Information'!B24)),MONTH(IF(A24="","",'Additional Information'!B24)),DAY(IF(A24="","",'Additional Information'!B24))),-1))</f>
        <v/>
      </c>
    </row>
    <row r="25" spans="1:2" x14ac:dyDescent="0.25">
      <c r="A25" t="str">
        <f>IF(Input!A26="","",Input!A26)</f>
        <v/>
      </c>
      <c r="B25" s="1" t="str">
        <f>IF(A25="","",EOMONTH(DATE(YEAR(IF(A25="","",'Additional Information'!B25)),MONTH(IF(A25="","",'Additional Information'!B25)),DAY(IF(A25="","",'Additional Information'!B25))),-1))</f>
        <v/>
      </c>
    </row>
    <row r="26" spans="1:2" x14ac:dyDescent="0.25">
      <c r="A26" t="str">
        <f>IF(Input!A27="","",Input!A27)</f>
        <v/>
      </c>
      <c r="B26" s="1" t="str">
        <f>IF(A26="","",EOMONTH(DATE(YEAR(IF(A26="","",'Additional Information'!B26)),MONTH(IF(A26="","",'Additional Information'!B26)),DAY(IF(A26="","",'Additional Information'!B26))),-1))</f>
        <v/>
      </c>
    </row>
    <row r="27" spans="1:2" x14ac:dyDescent="0.25">
      <c r="A27" t="str">
        <f>IF(Input!A28="","",Input!A28)</f>
        <v/>
      </c>
      <c r="B27" s="1" t="str">
        <f>IF(A27="","",EOMONTH(DATE(YEAR(IF(A27="","",'Additional Information'!B27)),MONTH(IF(A27="","",'Additional Information'!B27)),DAY(IF(A27="","",'Additional Information'!B27))),-1))</f>
        <v/>
      </c>
    </row>
    <row r="28" spans="1:2" x14ac:dyDescent="0.25">
      <c r="A28" t="str">
        <f>IF(Input!A29="","",Input!A29)</f>
        <v/>
      </c>
      <c r="B28" s="1" t="str">
        <f>IF(A28="","",EOMONTH(DATE(YEAR(IF(A28="","",'Additional Information'!B28)),MONTH(IF(A28="","",'Additional Information'!B28)),DAY(IF(A28="","",'Additional Information'!B28))),-1))</f>
        <v/>
      </c>
    </row>
    <row r="29" spans="1:2" x14ac:dyDescent="0.25">
      <c r="A29" t="str">
        <f>IF(Input!A30="","",Input!A30)</f>
        <v/>
      </c>
      <c r="B29" s="1" t="str">
        <f>IF(A29="","",EOMONTH(DATE(YEAR(IF(A29="","",'Additional Information'!B29)),MONTH(IF(A29="","",'Additional Information'!B29)),DAY(IF(A29="","",'Additional Information'!B29))),-1))</f>
        <v/>
      </c>
    </row>
    <row r="30" spans="1:2" x14ac:dyDescent="0.25">
      <c r="A30" t="str">
        <f>IF(Input!A31="","",Input!A31)</f>
        <v/>
      </c>
      <c r="B30" s="1" t="str">
        <f>IF(A30="","",EOMONTH(DATE(YEAR(IF(A30="","",'Additional Information'!B30)),MONTH(IF(A30="","",'Additional Information'!B30)),DAY(IF(A30="","",'Additional Information'!B30))),-1))</f>
        <v/>
      </c>
    </row>
    <row r="31" spans="1:2" x14ac:dyDescent="0.25">
      <c r="A31" t="str">
        <f>IF(Input!A32="","",Input!A32)</f>
        <v/>
      </c>
      <c r="B31" s="1" t="str">
        <f>IF(A31="","",EOMONTH(DATE(YEAR(IF(A31="","",'Additional Information'!B31)),MONTH(IF(A31="","",'Additional Information'!B31)),DAY(IF(A31="","",'Additional Information'!B31))),-1))</f>
        <v/>
      </c>
    </row>
    <row r="32" spans="1:2" x14ac:dyDescent="0.25">
      <c r="A32" t="str">
        <f>IF(Input!A33="","",Input!A33)</f>
        <v/>
      </c>
      <c r="B32" s="1" t="str">
        <f>IF(A32="","",EOMONTH(DATE(YEAR(IF(A32="","",'Additional Information'!B32)),MONTH(IF(A32="","",'Additional Information'!B32)),DAY(IF(A32="","",'Additional Information'!B32))),-1))</f>
        <v/>
      </c>
    </row>
    <row r="33" spans="1:2" x14ac:dyDescent="0.25">
      <c r="A33" t="str">
        <f>IF(Input!A34="","",Input!A34)</f>
        <v/>
      </c>
      <c r="B33" s="1" t="str">
        <f>IF(A33="","",EOMONTH(DATE(YEAR(IF(A33="","",'Additional Information'!B33)),MONTH(IF(A33="","",'Additional Information'!B33)),DAY(IF(A33="","",'Additional Information'!B33))),-1))</f>
        <v/>
      </c>
    </row>
    <row r="34" spans="1:2" x14ac:dyDescent="0.25">
      <c r="A34" t="str">
        <f>IF(Input!A35="","",Input!A35)</f>
        <v/>
      </c>
      <c r="B34" s="1" t="str">
        <f>IF(A34="","",EOMONTH(DATE(YEAR(IF(A34="","",'Additional Information'!B34)),MONTH(IF(A34="","",'Additional Information'!B34)),DAY(IF(A34="","",'Additional Information'!B34))),-1))</f>
        <v/>
      </c>
    </row>
    <row r="35" spans="1:2" x14ac:dyDescent="0.25">
      <c r="A35" t="str">
        <f>IF(Input!A36="","",Input!A36)</f>
        <v/>
      </c>
      <c r="B35" s="1" t="str">
        <f>IF(A35="","",EOMONTH(DATE(YEAR(IF(A35="","",'Additional Information'!B35)),MONTH(IF(A35="","",'Additional Information'!B35)),DAY(IF(A35="","",'Additional Information'!B35))),-1))</f>
        <v/>
      </c>
    </row>
    <row r="36" spans="1:2" x14ac:dyDescent="0.25">
      <c r="A36" t="str">
        <f>IF(Input!A37="","",Input!A37)</f>
        <v/>
      </c>
      <c r="B36" s="1" t="str">
        <f>IF(A36="","",EOMONTH(DATE(YEAR(IF(A36="","",'Additional Information'!B36)),MONTH(IF(A36="","",'Additional Information'!B36)),DAY(IF(A36="","",'Additional Information'!B36))),-1))</f>
        <v/>
      </c>
    </row>
    <row r="37" spans="1:2" x14ac:dyDescent="0.25">
      <c r="A37" t="str">
        <f>IF(Input!A38="","",Input!A38)</f>
        <v/>
      </c>
      <c r="B37" s="1" t="str">
        <f>IF(A37="","",EOMONTH(DATE(YEAR(IF(A37="","",'Additional Information'!B37)),MONTH(IF(A37="","",'Additional Information'!B37)),DAY(IF(A37="","",'Additional Information'!B37))),-1))</f>
        <v/>
      </c>
    </row>
    <row r="38" spans="1:2" x14ac:dyDescent="0.25">
      <c r="A38" t="str">
        <f>IF(Input!A39="","",Input!A39)</f>
        <v/>
      </c>
      <c r="B38" s="1" t="str">
        <f>IF(A38="","",EOMONTH(DATE(YEAR(IF(A38="","",'Additional Information'!B38)),MONTH(IF(A38="","",'Additional Information'!B38)),DAY(IF(A38="","",'Additional Information'!B38))),-1))</f>
        <v/>
      </c>
    </row>
    <row r="39" spans="1:2" x14ac:dyDescent="0.25">
      <c r="A39" t="str">
        <f>IF(Input!A40="","",Input!A40)</f>
        <v/>
      </c>
      <c r="B39" s="1" t="str">
        <f>IF(A39="","",EOMONTH(DATE(YEAR(IF(A39="","",'Additional Information'!B39)),MONTH(IF(A39="","",'Additional Information'!B39)),DAY(IF(A39="","",'Additional Information'!B39))),-1))</f>
        <v/>
      </c>
    </row>
    <row r="40" spans="1:2" x14ac:dyDescent="0.25">
      <c r="A40" t="str">
        <f>IF(Input!A41="","",Input!A41)</f>
        <v/>
      </c>
      <c r="B40" s="1" t="str">
        <f>IF(A40="","",EOMONTH(DATE(YEAR(IF(A40="","",'Additional Information'!B40)),MONTH(IF(A40="","",'Additional Information'!B40)),DAY(IF(A40="","",'Additional Information'!B40))),-1))</f>
        <v/>
      </c>
    </row>
    <row r="41" spans="1:2" x14ac:dyDescent="0.25">
      <c r="A41" t="str">
        <f>IF(Input!A42="","",Input!A42)</f>
        <v/>
      </c>
      <c r="B41" s="1" t="str">
        <f>IF(A41="","",EOMONTH(DATE(YEAR(IF(A41="","",'Additional Information'!B41)),MONTH(IF(A41="","",'Additional Information'!B41)),DAY(IF(A41="","",'Additional Information'!B41))),-1))</f>
        <v/>
      </c>
    </row>
    <row r="42" spans="1:2" x14ac:dyDescent="0.25">
      <c r="A42" t="str">
        <f>IF(Input!A43="","",Input!A43)</f>
        <v/>
      </c>
      <c r="B42" s="1" t="str">
        <f>IF(A42="","",EOMONTH(DATE(YEAR(IF(A42="","",'Additional Information'!B42)),MONTH(IF(A42="","",'Additional Information'!B42)),DAY(IF(A42="","",'Additional Information'!B42))),-1))</f>
        <v/>
      </c>
    </row>
    <row r="43" spans="1:2" x14ac:dyDescent="0.25">
      <c r="A43" t="str">
        <f>IF(Input!A44="","",Input!A44)</f>
        <v/>
      </c>
      <c r="B43" s="1" t="str">
        <f>IF(A43="","",EOMONTH(DATE(YEAR(IF(A43="","",'Additional Information'!B43)),MONTH(IF(A43="","",'Additional Information'!B43)),DAY(IF(A43="","",'Additional Information'!B43))),-1))</f>
        <v/>
      </c>
    </row>
    <row r="44" spans="1:2" x14ac:dyDescent="0.25">
      <c r="A44" t="str">
        <f>IF(Input!A45="","",Input!A45)</f>
        <v/>
      </c>
      <c r="B44" s="1" t="str">
        <f>IF(A44="","",EOMONTH(DATE(YEAR(IF(A44="","",'Additional Information'!B44)),MONTH(IF(A44="","",'Additional Information'!B44)),DAY(IF(A44="","",'Additional Information'!B44))),-1))</f>
        <v/>
      </c>
    </row>
    <row r="45" spans="1:2" x14ac:dyDescent="0.25">
      <c r="A45" t="str">
        <f>IF(Input!A46="","",Input!A46)</f>
        <v/>
      </c>
      <c r="B45" s="1" t="str">
        <f>IF(A45="","",EOMONTH(DATE(YEAR(IF(A45="","",'Additional Information'!B45)),MONTH(IF(A45="","",'Additional Information'!B45)),DAY(IF(A45="","",'Additional Information'!B45))),-1))</f>
        <v/>
      </c>
    </row>
    <row r="46" spans="1:2" x14ac:dyDescent="0.25">
      <c r="A46" t="str">
        <f>IF(Input!A47="","",Input!A47)</f>
        <v/>
      </c>
      <c r="B46" s="1" t="str">
        <f>IF(A46="","",EOMONTH(DATE(YEAR(IF(A46="","",'Additional Information'!B46)),MONTH(IF(A46="","",'Additional Information'!B46)),DAY(IF(A46="","",'Additional Information'!B46))),-1))</f>
        <v/>
      </c>
    </row>
    <row r="47" spans="1:2" x14ac:dyDescent="0.25">
      <c r="A47" t="str">
        <f>IF(Input!A48="","",Input!A48)</f>
        <v/>
      </c>
      <c r="B47" s="1" t="str">
        <f>IF(A47="","",EOMONTH(DATE(YEAR(IF(A47="","",'Additional Information'!B47)),MONTH(IF(A47="","",'Additional Information'!B47)),DAY(IF(A47="","",'Additional Information'!B47))),-1))</f>
        <v/>
      </c>
    </row>
    <row r="48" spans="1:2" x14ac:dyDescent="0.25">
      <c r="A48" t="str">
        <f>IF(Input!A49="","",Input!A49)</f>
        <v/>
      </c>
      <c r="B48" s="1" t="str">
        <f>IF(A48="","",EOMONTH(DATE(YEAR(IF(A48="","",'Additional Information'!B48)),MONTH(IF(A48="","",'Additional Information'!B48)),DAY(IF(A48="","",'Additional Information'!B48))),-1))</f>
        <v/>
      </c>
    </row>
    <row r="49" spans="1:2" x14ac:dyDescent="0.25">
      <c r="A49" t="str">
        <f>IF(Input!A50="","",Input!A50)</f>
        <v/>
      </c>
      <c r="B49" s="1" t="str">
        <f>IF(A49="","",EOMONTH(DATE(YEAR(IF(A49="","",'Additional Information'!B49)),MONTH(IF(A49="","",'Additional Information'!B49)),DAY(IF(A49="","",'Additional Information'!B49))),-1))</f>
        <v/>
      </c>
    </row>
    <row r="50" spans="1:2" x14ac:dyDescent="0.25">
      <c r="A50" t="str">
        <f>IF(Input!A51="","",Input!A51)</f>
        <v/>
      </c>
      <c r="B50" s="1" t="str">
        <f>IF(A50="","",EOMONTH(DATE(YEAR(IF(A50="","",'Additional Information'!B50)),MONTH(IF(A50="","",'Additional Information'!B50)),DAY(IF(A50="","",'Additional Information'!B50))),-1))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G50"/>
  <sheetViews>
    <sheetView workbookViewId="0">
      <selection activeCell="I1" sqref="I1:I1048576"/>
    </sheetView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7" x14ac:dyDescent="0.25">
      <c r="B1" t="s">
        <v>20</v>
      </c>
      <c r="C1" t="s">
        <v>52</v>
      </c>
      <c r="D1" t="s">
        <v>18</v>
      </c>
      <c r="E1" t="s">
        <v>40</v>
      </c>
      <c r="F1" t="s">
        <v>53</v>
      </c>
      <c r="G1" t="s">
        <v>54</v>
      </c>
    </row>
    <row r="2" spans="1:7" x14ac:dyDescent="0.25">
      <c r="A2" t="str">
        <f>IF(Input!A3="","",Input!A3)</f>
        <v>MPS Global Growth Strategy</v>
      </c>
      <c r="C2" t="str">
        <f>IF(A2="","",IF(OR('Additional Information'!E2="",'Additional Information'!E2="-"),"",'Additional Information'!E2))</f>
        <v/>
      </c>
      <c r="D2" s="5">
        <f>IF(A2="","",SUM('Additional Information'!C2,'Additional Information'!D2))</f>
        <v>0</v>
      </c>
      <c r="E2">
        <f>IF(A2="","",SUM('Additional Information'!C2))</f>
        <v>0</v>
      </c>
      <c r="F2" t="str">
        <f>IF(A2="","",IF(OR('Additional Information'!F2="",'Additional Information'!F2="-"),"",'Additional Information'!F2))</f>
        <v/>
      </c>
      <c r="G2" t="str">
        <f>IF(A2="","",IF(OR('Additional Information'!G2="",'Additional Information'!G2="-"),"",'Additional Information'!G2))</f>
        <v/>
      </c>
    </row>
    <row r="3" spans="1:7" x14ac:dyDescent="0.25">
      <c r="A3" t="str">
        <f>IF(Input!A4="","",Input!A4)</f>
        <v>MPS Conservative Strategy</v>
      </c>
      <c r="C3" t="str">
        <f>IF(A3="","",IF(OR('Additional Information'!E3="",'Additional Information'!E3="-"),"",'Additional Information'!E3))</f>
        <v/>
      </c>
      <c r="D3" s="5">
        <f>IF(A3="","",SUM('Additional Information'!C3,'Additional Information'!D3))</f>
        <v>0</v>
      </c>
      <c r="E3">
        <f>IF(A3="","",SUM('Additional Information'!C3))</f>
        <v>0</v>
      </c>
      <c r="F3" t="str">
        <f>IF(A3="","",IF(OR('Additional Information'!F3="",'Additional Information'!F3="-"),"",'Additional Information'!F3))</f>
        <v/>
      </c>
      <c r="G3" t="str">
        <f>IF(A3="","",IF(OR('Additional Information'!G3="",'Additional Information'!G3="-"),"",'Additional Information'!G3))</f>
        <v/>
      </c>
    </row>
    <row r="4" spans="1:7" x14ac:dyDescent="0.25">
      <c r="A4" t="str">
        <f>IF(Input!A5="","",Input!A5)</f>
        <v>MPS Cautious Strategy</v>
      </c>
      <c r="C4" t="str">
        <f>IF(A4="","",IF(OR('Additional Information'!E4="",'Additional Information'!E4="-"),"",'Additional Information'!E4))</f>
        <v/>
      </c>
      <c r="D4" s="5">
        <f>IF(A4="","",SUM('Additional Information'!C4,'Additional Information'!D4))</f>
        <v>0</v>
      </c>
      <c r="E4">
        <f>IF(A4="","",SUM('Additional Information'!C4))</f>
        <v>0</v>
      </c>
      <c r="F4" t="str">
        <f>IF(A4="","",IF(OR('Additional Information'!F4="",'Additional Information'!F4="-"),"",'Additional Information'!F4))</f>
        <v/>
      </c>
      <c r="G4" t="str">
        <f>IF(A4="","",IF(OR('Additional Information'!G4="",'Additional Information'!G4="-"),"",'Additional Information'!G4))</f>
        <v/>
      </c>
    </row>
    <row r="5" spans="1:7" x14ac:dyDescent="0.25">
      <c r="A5" t="str">
        <f>IF(Input!A6="","",Input!A6)</f>
        <v>MPS Growth Strategy</v>
      </c>
      <c r="C5" t="str">
        <f>IF(A5="","",IF(OR('Additional Information'!E5="",'Additional Information'!E5="-"),"",'Additional Information'!E5))</f>
        <v/>
      </c>
      <c r="D5" s="5">
        <f>IF(A5="","",SUM('Additional Information'!C5,'Additional Information'!D5))</f>
        <v>0</v>
      </c>
      <c r="E5">
        <f>IF(A5="","",SUM('Additional Information'!C5))</f>
        <v>0</v>
      </c>
      <c r="F5" t="str">
        <f>IF(A5="","",IF(OR('Additional Information'!F5="",'Additional Information'!F5="-"),"",'Additional Information'!F5))</f>
        <v/>
      </c>
      <c r="G5" t="str">
        <f>IF(A5="","",IF(OR('Additional Information'!G5="",'Additional Information'!G5="-"),"",'Additional Information'!G5))</f>
        <v/>
      </c>
    </row>
    <row r="6" spans="1:7" x14ac:dyDescent="0.25">
      <c r="A6" t="str">
        <f>IF(Input!A7="","",Input!A7)</f>
        <v>MPS Income Strategy</v>
      </c>
      <c r="C6" t="str">
        <f>IF(A6="","",IF(OR('Additional Information'!E6="",'Additional Information'!E6="-"),"",'Additional Information'!E6))</f>
        <v/>
      </c>
      <c r="D6" s="5">
        <f>IF(A6="","",SUM('Additional Information'!C6,'Additional Information'!D6))</f>
        <v>0</v>
      </c>
      <c r="E6">
        <f>IF(A6="","",SUM('Additional Information'!C6))</f>
        <v>0</v>
      </c>
      <c r="F6" t="str">
        <f>IF(A6="","",IF(OR('Additional Information'!F6="",'Additional Information'!F6="-"),"",'Additional Information'!F6))</f>
        <v/>
      </c>
      <c r="G6" t="str">
        <f>IF(A6="","",IF(OR('Additional Information'!G6="",'Additional Information'!G6="-"),"",'Additional Information'!G6))</f>
        <v/>
      </c>
    </row>
    <row r="7" spans="1:7" x14ac:dyDescent="0.25">
      <c r="A7" t="str">
        <f>IF(Input!A8="","",Input!A8)</f>
        <v>MPS Balanced Strategy</v>
      </c>
      <c r="C7" t="str">
        <f>IF(A7="","",IF(OR('Additional Information'!E7="",'Additional Information'!E7="-"),"",'Additional Information'!E7))</f>
        <v/>
      </c>
      <c r="D7" s="5">
        <f>IF(A7="","",SUM('Additional Information'!C7,'Additional Information'!D7))</f>
        <v>0</v>
      </c>
      <c r="E7">
        <f>IF(A7="","",SUM('Additional Information'!C7))</f>
        <v>0</v>
      </c>
      <c r="F7" t="str">
        <f>IF(A7="","",IF(OR('Additional Information'!F7="",'Additional Information'!F7="-"),"",'Additional Information'!F7))</f>
        <v/>
      </c>
      <c r="G7" t="str">
        <f>IF(A7="","",IF(OR('Additional Information'!G7="",'Additional Information'!G7="-"),"",'Additional Information'!G7))</f>
        <v/>
      </c>
    </row>
    <row r="8" spans="1:7" x14ac:dyDescent="0.25">
      <c r="A8" t="str">
        <f>IF(Input!A9="","",Input!A9)</f>
        <v/>
      </c>
      <c r="C8" t="str">
        <f>IF(A8="","",IF(OR('Additional Information'!E8="",'Additional Information'!E8="-"),"",'Additional Information'!E8))</f>
        <v/>
      </c>
      <c r="D8" s="5" t="str">
        <f>IF(A8="","",SUM('Additional Information'!C8,'Additional Information'!D8))</f>
        <v/>
      </c>
      <c r="E8" t="str">
        <f>IF(A8="","",SUM('Additional Information'!C8))</f>
        <v/>
      </c>
      <c r="F8" t="str">
        <f>IF(A8="","",IF(OR('Additional Information'!F8="",'Additional Information'!F8="-"),"",'Additional Information'!F8))</f>
        <v/>
      </c>
      <c r="G8" t="str">
        <f>IF(A8="","",IF(OR('Additional Information'!G8="",'Additional Information'!G8="-"),"",'Additional Information'!G8))</f>
        <v/>
      </c>
    </row>
    <row r="9" spans="1:7" x14ac:dyDescent="0.25">
      <c r="A9" t="str">
        <f>IF(Input!A10="","",Input!A10)</f>
        <v/>
      </c>
      <c r="C9" t="str">
        <f>IF(A9="","",IF(OR('Additional Information'!E9="",'Additional Information'!E9="-"),"",'Additional Information'!E9))</f>
        <v/>
      </c>
      <c r="D9" s="5" t="str">
        <f>IF(A9="","",SUM('Additional Information'!C9,'Additional Information'!D9))</f>
        <v/>
      </c>
      <c r="E9" t="str">
        <f>IF(A9="","",SUM('Additional Information'!C9))</f>
        <v/>
      </c>
      <c r="F9" t="str">
        <f>IF(A9="","",IF(OR('Additional Information'!F9="",'Additional Information'!F9="-"),"",'Additional Information'!F9))</f>
        <v/>
      </c>
      <c r="G9" t="str">
        <f>IF(A9="","",IF(OR('Additional Information'!G9="",'Additional Information'!G9="-"),"",'Additional Information'!G9))</f>
        <v/>
      </c>
    </row>
    <row r="10" spans="1:7" x14ac:dyDescent="0.25">
      <c r="A10" t="str">
        <f>IF(Input!A11="","",Input!A11)</f>
        <v/>
      </c>
      <c r="C10" t="str">
        <f>IF(A10="","",IF(OR('Additional Information'!E10="",'Additional Information'!E10="-"),"",'Additional Information'!E10))</f>
        <v/>
      </c>
      <c r="D10" s="5" t="str">
        <f>IF(A10="","",SUM('Additional Information'!C10,'Additional Information'!D10))</f>
        <v/>
      </c>
      <c r="E10" t="str">
        <f>IF(A10="","",SUM('Additional Information'!C10))</f>
        <v/>
      </c>
      <c r="F10" t="str">
        <f>IF(A10="","",IF(OR('Additional Information'!F10="",'Additional Information'!F10="-"),"",'Additional Information'!F10))</f>
        <v/>
      </c>
      <c r="G10" t="str">
        <f>IF(A10="","",IF(OR('Additional Information'!G10="",'Additional Information'!G10="-"),"",'Additional Information'!G10))</f>
        <v/>
      </c>
    </row>
    <row r="11" spans="1:7" x14ac:dyDescent="0.25">
      <c r="A11" t="str">
        <f>IF(Input!A12="","",Input!A12)</f>
        <v/>
      </c>
      <c r="C11" t="str">
        <f>IF(A11="","",IF(OR('Additional Information'!E11="",'Additional Information'!E11="-"),"",'Additional Information'!E11))</f>
        <v/>
      </c>
      <c r="D11" s="5" t="str">
        <f>IF(A11="","",SUM('Additional Information'!C11,'Additional Information'!D11))</f>
        <v/>
      </c>
      <c r="E11" t="str">
        <f>IF(A11="","",SUM('Additional Information'!C11))</f>
        <v/>
      </c>
      <c r="F11" t="str">
        <f>IF(A11="","",IF(OR('Additional Information'!F11="",'Additional Information'!F11="-"),"",'Additional Information'!F11))</f>
        <v/>
      </c>
      <c r="G11" t="str">
        <f>IF(A11="","",IF(OR('Additional Information'!G11="",'Additional Information'!G11="-"),"",'Additional Information'!G11))</f>
        <v/>
      </c>
    </row>
    <row r="12" spans="1:7" x14ac:dyDescent="0.25">
      <c r="A12" t="str">
        <f>IF(Input!A13="","",Input!A13)</f>
        <v/>
      </c>
      <c r="C12" t="str">
        <f>IF(A12="","",IF(OR('Additional Information'!E12="",'Additional Information'!E12="-"),"",'Additional Information'!E12))</f>
        <v/>
      </c>
      <c r="D12" s="5" t="str">
        <f>IF(A12="","",SUM('Additional Information'!C12,'Additional Information'!D12))</f>
        <v/>
      </c>
      <c r="E12" t="str">
        <f>IF(A12="","",SUM('Additional Information'!C12))</f>
        <v/>
      </c>
      <c r="F12" t="str">
        <f>IF(A12="","",IF(OR('Additional Information'!F12="",'Additional Information'!F12="-"),"",'Additional Information'!F12))</f>
        <v/>
      </c>
      <c r="G12" t="str">
        <f>IF(A12="","",IF(OR('Additional Information'!G12="",'Additional Information'!G12="-"),"",'Additional Information'!G12))</f>
        <v/>
      </c>
    </row>
    <row r="13" spans="1:7" x14ac:dyDescent="0.25">
      <c r="A13" t="str">
        <f>IF(Input!A14="","",Input!A14)</f>
        <v/>
      </c>
      <c r="C13" t="str">
        <f>IF(A13="","",IF(OR('Additional Information'!E13="",'Additional Information'!E13="-"),"",'Additional Information'!E13))</f>
        <v/>
      </c>
      <c r="D13" s="5" t="str">
        <f>IF(A13="","",SUM('Additional Information'!C13,'Additional Information'!D13))</f>
        <v/>
      </c>
      <c r="E13" t="str">
        <f>IF(A13="","",SUM('Additional Information'!C13))</f>
        <v/>
      </c>
      <c r="F13" t="str">
        <f>IF(A13="","",IF(OR('Additional Information'!F13="",'Additional Information'!F13="-"),"",'Additional Information'!F13))</f>
        <v/>
      </c>
      <c r="G13" t="str">
        <f>IF(A13="","",IF(OR('Additional Information'!G13="",'Additional Information'!G13="-"),"",'Additional Information'!G13))</f>
        <v/>
      </c>
    </row>
    <row r="14" spans="1:7" x14ac:dyDescent="0.25">
      <c r="A14" t="str">
        <f>IF(Input!A15="","",Input!A15)</f>
        <v/>
      </c>
      <c r="C14" t="str">
        <f>IF(A14="","",IF(OR('Additional Information'!E14="",'Additional Information'!E14="-"),"",'Additional Information'!E14))</f>
        <v/>
      </c>
      <c r="D14" s="5" t="str">
        <f>IF(A14="","",SUM('Additional Information'!C14,'Additional Information'!D14))</f>
        <v/>
      </c>
      <c r="E14" t="str">
        <f>IF(A14="","",SUM('Additional Information'!C14))</f>
        <v/>
      </c>
      <c r="F14" t="str">
        <f>IF(A14="","",IF(OR('Additional Information'!F14="",'Additional Information'!F14="-"),"",'Additional Information'!F14))</f>
        <v/>
      </c>
      <c r="G14" t="str">
        <f>IF(A14="","",IF(OR('Additional Information'!G14="",'Additional Information'!G14="-"),"",'Additional Information'!G14))</f>
        <v/>
      </c>
    </row>
    <row r="15" spans="1:7" x14ac:dyDescent="0.25">
      <c r="A15" t="str">
        <f>IF(Input!A16="","",Input!A16)</f>
        <v/>
      </c>
      <c r="C15" t="str">
        <f>IF(A15="","",IF(OR('Additional Information'!E15="",'Additional Information'!E15="-"),"",'Additional Information'!E15))</f>
        <v/>
      </c>
      <c r="D15" s="5" t="str">
        <f>IF(A15="","",SUM('Additional Information'!C15,'Additional Information'!D15))</f>
        <v/>
      </c>
      <c r="E15" t="str">
        <f>IF(A15="","",SUM('Additional Information'!C15))</f>
        <v/>
      </c>
      <c r="F15" t="str">
        <f>IF(A15="","",IF(OR('Additional Information'!F15="",'Additional Information'!F15="-"),"",'Additional Information'!F15))</f>
        <v/>
      </c>
      <c r="G15" t="str">
        <f>IF(A15="","",IF(OR('Additional Information'!G15="",'Additional Information'!G15="-"),"",'Additional Information'!G15))</f>
        <v/>
      </c>
    </row>
    <row r="16" spans="1:7" x14ac:dyDescent="0.25">
      <c r="A16" t="str">
        <f>IF(Input!A17="","",Input!A17)</f>
        <v/>
      </c>
      <c r="C16" t="str">
        <f>IF(A16="","",IF(OR('Additional Information'!E16="",'Additional Information'!E16="-"),"",'Additional Information'!E16))</f>
        <v/>
      </c>
      <c r="D16" s="5" t="str">
        <f>IF(A16="","",SUM('Additional Information'!C16,'Additional Information'!D16))</f>
        <v/>
      </c>
      <c r="E16" t="str">
        <f>IF(A16="","",SUM('Additional Information'!C16))</f>
        <v/>
      </c>
      <c r="F16" t="str">
        <f>IF(A16="","",IF(OR('Additional Information'!F16="",'Additional Information'!F16="-"),"",'Additional Information'!F16))</f>
        <v/>
      </c>
      <c r="G16" t="str">
        <f>IF(A16="","",IF(OR('Additional Information'!G16="",'Additional Information'!G16="-"),"",'Additional Information'!G16))</f>
        <v/>
      </c>
    </row>
    <row r="17" spans="1:7" x14ac:dyDescent="0.25">
      <c r="A17" t="str">
        <f>IF(Input!A18="","",Input!A18)</f>
        <v/>
      </c>
      <c r="C17" t="str">
        <f>IF(A17="","",IF(OR('Additional Information'!E17="",'Additional Information'!E17="-"),"",'Additional Information'!E17))</f>
        <v/>
      </c>
      <c r="D17" s="5" t="str">
        <f>IF(A17="","",SUM('Additional Information'!C17,'Additional Information'!D17))</f>
        <v/>
      </c>
      <c r="E17" t="str">
        <f>IF(A17="","",SUM('Additional Information'!C17))</f>
        <v/>
      </c>
      <c r="F17" t="str">
        <f>IF(A17="","",IF(OR('Additional Information'!F17="",'Additional Information'!F17="-"),"",'Additional Information'!F17))</f>
        <v/>
      </c>
      <c r="G17" t="str">
        <f>IF(A17="","",IF(OR('Additional Information'!G17="",'Additional Information'!G17="-"),"",'Additional Information'!G17))</f>
        <v/>
      </c>
    </row>
    <row r="18" spans="1:7" x14ac:dyDescent="0.25">
      <c r="A18" t="str">
        <f>IF(Input!A19="","",Input!A19)</f>
        <v/>
      </c>
      <c r="C18" t="str">
        <f>IF(A18="","",IF(OR('Additional Information'!E18="",'Additional Information'!E18="-"),"",'Additional Information'!E18))</f>
        <v/>
      </c>
      <c r="D18" s="5" t="str">
        <f>IF(A18="","",SUM('Additional Information'!C18,'Additional Information'!D18))</f>
        <v/>
      </c>
      <c r="E18" t="str">
        <f>IF(A18="","",SUM('Additional Information'!C18))</f>
        <v/>
      </c>
      <c r="F18" t="str">
        <f>IF(A18="","",IF(OR('Additional Information'!F18="",'Additional Information'!F18="-"),"",'Additional Information'!F18))</f>
        <v/>
      </c>
      <c r="G18" t="str">
        <f>IF(A18="","",IF(OR('Additional Information'!G18="",'Additional Information'!G18="-"),"",'Additional Information'!G18))</f>
        <v/>
      </c>
    </row>
    <row r="19" spans="1:7" x14ac:dyDescent="0.25">
      <c r="A19" t="str">
        <f>IF(Input!A20="","",Input!A20)</f>
        <v/>
      </c>
      <c r="C19" t="str">
        <f>IF(A19="","",IF(OR('Additional Information'!E19="",'Additional Information'!E19="-"),"",'Additional Information'!E19))</f>
        <v/>
      </c>
      <c r="D19" s="5" t="str">
        <f>IF(A19="","",SUM('Additional Information'!C19,'Additional Information'!D19))</f>
        <v/>
      </c>
      <c r="E19" t="str">
        <f>IF(A19="","",SUM('Additional Information'!C19))</f>
        <v/>
      </c>
      <c r="F19" t="str">
        <f>IF(A19="","",IF(OR('Additional Information'!F19="",'Additional Information'!F19="-"),"",'Additional Information'!F19))</f>
        <v/>
      </c>
      <c r="G19" t="str">
        <f>IF(A19="","",IF(OR('Additional Information'!G19="",'Additional Information'!G19="-"),"",'Additional Information'!G19))</f>
        <v/>
      </c>
    </row>
    <row r="20" spans="1:7" x14ac:dyDescent="0.25">
      <c r="A20" t="str">
        <f>IF(Input!A21="","",Input!A21)</f>
        <v/>
      </c>
      <c r="C20" t="str">
        <f>IF(A20="","",IF(OR('Additional Information'!E20="",'Additional Information'!E20="-"),"",'Additional Information'!E20))</f>
        <v/>
      </c>
      <c r="D20" s="5" t="str">
        <f>IF(A20="","",SUM('Additional Information'!C20,'Additional Information'!D20))</f>
        <v/>
      </c>
      <c r="E20" t="str">
        <f>IF(A20="","",SUM('Additional Information'!C20))</f>
        <v/>
      </c>
      <c r="F20" t="str">
        <f>IF(A20="","",IF(OR('Additional Information'!F20="",'Additional Information'!F20="-"),"",'Additional Information'!F20))</f>
        <v/>
      </c>
      <c r="G20" t="str">
        <f>IF(A20="","",IF(OR('Additional Information'!G20="",'Additional Information'!G20="-"),"",'Additional Information'!G20))</f>
        <v/>
      </c>
    </row>
    <row r="21" spans="1:7" x14ac:dyDescent="0.25">
      <c r="A21" t="str">
        <f>IF(Input!A22="","",Input!A22)</f>
        <v/>
      </c>
      <c r="C21" t="str">
        <f>IF(A21="","",IF(OR('Additional Information'!E21="",'Additional Information'!E21="-"),"",'Additional Information'!E21))</f>
        <v/>
      </c>
      <c r="D21" s="5" t="str">
        <f>IF(A21="","",SUM('Additional Information'!C21,'Additional Information'!D21))</f>
        <v/>
      </c>
      <c r="E21" t="str">
        <f>IF(A21="","",SUM('Additional Information'!C21))</f>
        <v/>
      </c>
      <c r="F21" t="str">
        <f>IF(A21="","",IF(OR('Additional Information'!F21="",'Additional Information'!F21="-"),"",'Additional Information'!F21))</f>
        <v/>
      </c>
      <c r="G21" t="str">
        <f>IF(A21="","",IF(OR('Additional Information'!G21="",'Additional Information'!G21="-"),"",'Additional Information'!G21))</f>
        <v/>
      </c>
    </row>
    <row r="22" spans="1:7" x14ac:dyDescent="0.25">
      <c r="A22" t="str">
        <f>IF(Input!A23="","",Input!A23)</f>
        <v/>
      </c>
      <c r="C22" t="str">
        <f>IF(A22="","",IF(OR('Additional Information'!E22="",'Additional Information'!E22="-"),"",'Additional Information'!E22))</f>
        <v/>
      </c>
      <c r="D22" s="5" t="str">
        <f>IF(A22="","",SUM('Additional Information'!C22,'Additional Information'!D22))</f>
        <v/>
      </c>
      <c r="E22" t="str">
        <f>IF(A22="","",SUM('Additional Information'!C22))</f>
        <v/>
      </c>
      <c r="F22" t="str">
        <f>IF(A22="","",IF(OR('Additional Information'!F22="",'Additional Information'!F22="-"),"",'Additional Information'!F22))</f>
        <v/>
      </c>
      <c r="G22" t="str">
        <f>IF(A22="","",IF(OR('Additional Information'!G22="",'Additional Information'!G22="-"),"",'Additional Information'!G22))</f>
        <v/>
      </c>
    </row>
    <row r="23" spans="1:7" x14ac:dyDescent="0.25">
      <c r="A23" t="str">
        <f>IF(Input!A24="","",Input!A24)</f>
        <v/>
      </c>
      <c r="C23" t="str">
        <f>IF(A23="","",IF(OR('Additional Information'!E23="",'Additional Information'!E23="-"),"",'Additional Information'!E23))</f>
        <v/>
      </c>
      <c r="D23" s="5" t="str">
        <f>IF(A23="","",SUM('Additional Information'!C23,'Additional Information'!D23))</f>
        <v/>
      </c>
      <c r="E23" t="str">
        <f>IF(A23="","",SUM('Additional Information'!C23))</f>
        <v/>
      </c>
      <c r="F23" t="str">
        <f>IF(A23="","",IF(OR('Additional Information'!F23="",'Additional Information'!F23="-"),"",'Additional Information'!F23))</f>
        <v/>
      </c>
      <c r="G23" t="str">
        <f>IF(A23="","",IF(OR('Additional Information'!G23="",'Additional Information'!G23="-"),"",'Additional Information'!G23))</f>
        <v/>
      </c>
    </row>
    <row r="24" spans="1:7" x14ac:dyDescent="0.25">
      <c r="A24" t="str">
        <f>IF(Input!A25="","",Input!A25)</f>
        <v/>
      </c>
      <c r="C24" t="str">
        <f>IF(A24="","",IF(OR('Additional Information'!E24="",'Additional Information'!E24="-"),"",'Additional Information'!E24))</f>
        <v/>
      </c>
      <c r="D24" s="5" t="str">
        <f>IF(A24="","",SUM('Additional Information'!C24,'Additional Information'!D24))</f>
        <v/>
      </c>
      <c r="E24" t="str">
        <f>IF(A24="","",SUM('Additional Information'!C24))</f>
        <v/>
      </c>
      <c r="F24" t="str">
        <f>IF(A24="","",IF(OR('Additional Information'!F24="",'Additional Information'!F24="-"),"",'Additional Information'!F24))</f>
        <v/>
      </c>
      <c r="G24" t="str">
        <f>IF(A24="","",IF(OR('Additional Information'!G24="",'Additional Information'!G24="-"),"",'Additional Information'!G24))</f>
        <v/>
      </c>
    </row>
    <row r="25" spans="1:7" x14ac:dyDescent="0.25">
      <c r="A25" t="str">
        <f>IF(Input!A26="","",Input!A26)</f>
        <v/>
      </c>
      <c r="C25" t="str">
        <f>IF(A25="","",IF(OR('Additional Information'!E25="",'Additional Information'!E25="-"),"",'Additional Information'!E25))</f>
        <v/>
      </c>
      <c r="D25" s="5" t="str">
        <f>IF(A25="","",SUM('Additional Information'!C25,'Additional Information'!D25))</f>
        <v/>
      </c>
      <c r="E25" t="str">
        <f>IF(A25="","",SUM('Additional Information'!C25))</f>
        <v/>
      </c>
      <c r="F25" t="str">
        <f>IF(A25="","",IF(OR('Additional Information'!F25="",'Additional Information'!F25="-"),"",'Additional Information'!F25))</f>
        <v/>
      </c>
      <c r="G25" t="str">
        <f>IF(A25="","",IF(OR('Additional Information'!G25="",'Additional Information'!G25="-"),"",'Additional Information'!G25))</f>
        <v/>
      </c>
    </row>
    <row r="26" spans="1:7" x14ac:dyDescent="0.25">
      <c r="A26" t="str">
        <f>IF(Input!A27="","",Input!A27)</f>
        <v/>
      </c>
      <c r="C26" t="str">
        <f>IF(A26="","",IF(OR('Additional Information'!E26="",'Additional Information'!E26="-"),"",'Additional Information'!E26))</f>
        <v/>
      </c>
      <c r="D26" s="5" t="str">
        <f>IF(A26="","",SUM('Additional Information'!C26,'Additional Information'!D26))</f>
        <v/>
      </c>
      <c r="E26" t="str">
        <f>IF(A26="","",SUM('Additional Information'!C26))</f>
        <v/>
      </c>
      <c r="F26" t="str">
        <f>IF(A26="","",IF(OR('Additional Information'!F26="",'Additional Information'!F26="-"),"",'Additional Information'!F26))</f>
        <v/>
      </c>
      <c r="G26" t="str">
        <f>IF(A26="","",IF(OR('Additional Information'!G26="",'Additional Information'!G26="-"),"",'Additional Information'!G26))</f>
        <v/>
      </c>
    </row>
    <row r="27" spans="1:7" x14ac:dyDescent="0.25">
      <c r="A27" t="str">
        <f>IF(Input!A28="","",Input!A28)</f>
        <v/>
      </c>
      <c r="C27" t="str">
        <f>IF(A27="","",IF(OR('Additional Information'!E27="",'Additional Information'!E27="-"),"",'Additional Information'!E27))</f>
        <v/>
      </c>
      <c r="D27" s="5" t="str">
        <f>IF(A27="","",SUM('Additional Information'!C27,'Additional Information'!D27))</f>
        <v/>
      </c>
      <c r="E27" t="str">
        <f>IF(A27="","",SUM('Additional Information'!C27))</f>
        <v/>
      </c>
      <c r="F27" t="str">
        <f>IF(A27="","",IF(OR('Additional Information'!F27="",'Additional Information'!F27="-"),"",'Additional Information'!F27))</f>
        <v/>
      </c>
      <c r="G27" t="str">
        <f>IF(A27="","",IF(OR('Additional Information'!G27="",'Additional Information'!G27="-"),"",'Additional Information'!G27))</f>
        <v/>
      </c>
    </row>
    <row r="28" spans="1:7" x14ac:dyDescent="0.25">
      <c r="A28" t="str">
        <f>IF(Input!A29="","",Input!A29)</f>
        <v/>
      </c>
      <c r="C28" t="str">
        <f>IF(A28="","",IF(OR('Additional Information'!E28="",'Additional Information'!E28="-"),"",'Additional Information'!E28))</f>
        <v/>
      </c>
      <c r="D28" s="5" t="str">
        <f>IF(A28="","",SUM('Additional Information'!C28,'Additional Information'!D28))</f>
        <v/>
      </c>
      <c r="E28" t="str">
        <f>IF(A28="","",SUM('Additional Information'!C28))</f>
        <v/>
      </c>
      <c r="F28" t="str">
        <f>IF(A28="","",IF(OR('Additional Information'!F28="",'Additional Information'!F28="-"),"",'Additional Information'!F28))</f>
        <v/>
      </c>
      <c r="G28" t="str">
        <f>IF(A28="","",IF(OR('Additional Information'!G28="",'Additional Information'!G28="-"),"",'Additional Information'!G28))</f>
        <v/>
      </c>
    </row>
    <row r="29" spans="1:7" x14ac:dyDescent="0.25">
      <c r="A29" t="str">
        <f>IF(Input!A30="","",Input!A30)</f>
        <v/>
      </c>
      <c r="C29" t="str">
        <f>IF(A29="","",IF(OR('Additional Information'!E29="",'Additional Information'!E29="-"),"",'Additional Information'!E29))</f>
        <v/>
      </c>
      <c r="D29" s="5" t="str">
        <f>IF(A29="","",SUM('Additional Information'!C29,'Additional Information'!D29))</f>
        <v/>
      </c>
      <c r="E29" t="str">
        <f>IF(A29="","",SUM('Additional Information'!C29))</f>
        <v/>
      </c>
      <c r="F29" t="str">
        <f>IF(A29="","",IF(OR('Additional Information'!F29="",'Additional Information'!F29="-"),"",'Additional Information'!F29))</f>
        <v/>
      </c>
      <c r="G29" t="str">
        <f>IF(A29="","",IF(OR('Additional Information'!G29="",'Additional Information'!G29="-"),"",'Additional Information'!G29))</f>
        <v/>
      </c>
    </row>
    <row r="30" spans="1:7" x14ac:dyDescent="0.25">
      <c r="A30" t="str">
        <f>IF(Input!A31="","",Input!A31)</f>
        <v/>
      </c>
      <c r="C30" t="str">
        <f>IF(A30="","",IF(OR('Additional Information'!E30="",'Additional Information'!E30="-"),"",'Additional Information'!E30))</f>
        <v/>
      </c>
      <c r="D30" s="5" t="str">
        <f>IF(A30="","",SUM('Additional Information'!C30,'Additional Information'!D30))</f>
        <v/>
      </c>
      <c r="E30" t="str">
        <f>IF(A30="","",SUM('Additional Information'!C30))</f>
        <v/>
      </c>
      <c r="F30" t="str">
        <f>IF(A30="","",IF(OR('Additional Information'!F30="",'Additional Information'!F30="-"),"",'Additional Information'!F30))</f>
        <v/>
      </c>
      <c r="G30" t="str">
        <f>IF(A30="","",IF(OR('Additional Information'!G30="",'Additional Information'!G30="-"),"",'Additional Information'!G30))</f>
        <v/>
      </c>
    </row>
    <row r="31" spans="1:7" x14ac:dyDescent="0.25">
      <c r="A31" t="str">
        <f>IF(Input!A32="","",Input!A32)</f>
        <v/>
      </c>
      <c r="C31" t="str">
        <f>IF(A31="","",IF(OR('Additional Information'!E31="",'Additional Information'!E31="-"),"",'Additional Information'!E31))</f>
        <v/>
      </c>
      <c r="D31" s="5" t="str">
        <f>IF(A31="","",SUM('Additional Information'!C31,'Additional Information'!D31))</f>
        <v/>
      </c>
      <c r="E31" t="str">
        <f>IF(A31="","",SUM('Additional Information'!C31))</f>
        <v/>
      </c>
      <c r="F31" t="str">
        <f>IF(A31="","",IF(OR('Additional Information'!F31="",'Additional Information'!F31="-"),"",'Additional Information'!F31))</f>
        <v/>
      </c>
      <c r="G31" t="str">
        <f>IF(A31="","",IF(OR('Additional Information'!G31="",'Additional Information'!G31="-"),"",'Additional Information'!G31))</f>
        <v/>
      </c>
    </row>
    <row r="32" spans="1:7" x14ac:dyDescent="0.25">
      <c r="A32" t="str">
        <f>IF(Input!A33="","",Input!A33)</f>
        <v/>
      </c>
      <c r="C32" t="str">
        <f>IF(A32="","",IF(OR('Additional Information'!E32="",'Additional Information'!E32="-"),"",'Additional Information'!E32))</f>
        <v/>
      </c>
      <c r="D32" s="5" t="str">
        <f>IF(A32="","",SUM('Additional Information'!C32,'Additional Information'!D32))</f>
        <v/>
      </c>
      <c r="E32" t="str">
        <f>IF(A32="","",SUM('Additional Information'!C32))</f>
        <v/>
      </c>
      <c r="F32" t="str">
        <f>IF(A32="","",IF(OR('Additional Information'!F32="",'Additional Information'!F32="-"),"",'Additional Information'!F32))</f>
        <v/>
      </c>
      <c r="G32" t="str">
        <f>IF(A32="","",IF(OR('Additional Information'!G32="",'Additional Information'!G32="-"),"",'Additional Information'!G32))</f>
        <v/>
      </c>
    </row>
    <row r="33" spans="1:7" x14ac:dyDescent="0.25">
      <c r="A33" t="str">
        <f>IF(Input!A34="","",Input!A34)</f>
        <v/>
      </c>
      <c r="C33" t="str">
        <f>IF(A33="","",IF(OR('Additional Information'!E33="",'Additional Information'!E33="-"),"",'Additional Information'!E33))</f>
        <v/>
      </c>
      <c r="D33" s="5" t="str">
        <f>IF(A33="","",SUM('Additional Information'!C33,'Additional Information'!D33))</f>
        <v/>
      </c>
      <c r="E33" t="str">
        <f>IF(A33="","",SUM('Additional Information'!C33))</f>
        <v/>
      </c>
      <c r="F33" t="str">
        <f>IF(A33="","",IF(OR('Additional Information'!F33="",'Additional Information'!F33="-"),"",'Additional Information'!F33))</f>
        <v/>
      </c>
      <c r="G33" t="str">
        <f>IF(A33="","",IF(OR('Additional Information'!G33="",'Additional Information'!G33="-"),"",'Additional Information'!G33))</f>
        <v/>
      </c>
    </row>
    <row r="34" spans="1:7" x14ac:dyDescent="0.25">
      <c r="A34" t="str">
        <f>IF(Input!A35="","",Input!A35)</f>
        <v/>
      </c>
      <c r="C34" t="str">
        <f>IF(A34="","",IF(OR('Additional Information'!E34="",'Additional Information'!E34="-"),"",'Additional Information'!E34))</f>
        <v/>
      </c>
      <c r="D34" s="5" t="str">
        <f>IF(A34="","",SUM('Additional Information'!C34,'Additional Information'!D34))</f>
        <v/>
      </c>
      <c r="E34" t="str">
        <f>IF(A34="","",SUM('Additional Information'!C34))</f>
        <v/>
      </c>
      <c r="F34" t="str">
        <f>IF(A34="","",IF(OR('Additional Information'!F34="",'Additional Information'!F34="-"),"",'Additional Information'!F34))</f>
        <v/>
      </c>
      <c r="G34" t="str">
        <f>IF(A34="","",IF(OR('Additional Information'!G34="",'Additional Information'!G34="-"),"",'Additional Information'!G34))</f>
        <v/>
      </c>
    </row>
    <row r="35" spans="1:7" x14ac:dyDescent="0.25">
      <c r="A35" t="str">
        <f>IF(Input!A36="","",Input!A36)</f>
        <v/>
      </c>
      <c r="C35" t="str">
        <f>IF(A35="","",IF(OR('Additional Information'!E35="",'Additional Information'!E35="-"),"",'Additional Information'!E35))</f>
        <v/>
      </c>
      <c r="D35" s="5" t="str">
        <f>IF(A35="","",SUM('Additional Information'!C35,'Additional Information'!D35))</f>
        <v/>
      </c>
      <c r="E35" t="str">
        <f>IF(A35="","",SUM('Additional Information'!C35))</f>
        <v/>
      </c>
      <c r="F35" t="str">
        <f>IF(A35="","",IF(OR('Additional Information'!F35="",'Additional Information'!F35="-"),"",'Additional Information'!F35))</f>
        <v/>
      </c>
      <c r="G35" t="str">
        <f>IF(A35="","",IF(OR('Additional Information'!G35="",'Additional Information'!G35="-"),"",'Additional Information'!G35))</f>
        <v/>
      </c>
    </row>
    <row r="36" spans="1:7" x14ac:dyDescent="0.25">
      <c r="A36" t="str">
        <f>IF(Input!A37="","",Input!A37)</f>
        <v/>
      </c>
      <c r="C36" t="str">
        <f>IF(A36="","",IF(OR('Additional Information'!E36="",'Additional Information'!E36="-"),"",'Additional Information'!E36))</f>
        <v/>
      </c>
      <c r="D36" s="5" t="str">
        <f>IF(A36="","",SUM('Additional Information'!C36,'Additional Information'!D36))</f>
        <v/>
      </c>
      <c r="E36" t="str">
        <f>IF(A36="","",SUM('Additional Information'!C36))</f>
        <v/>
      </c>
      <c r="F36" t="str">
        <f>IF(A36="","",IF(OR('Additional Information'!F36="",'Additional Information'!F36="-"),"",'Additional Information'!F36))</f>
        <v/>
      </c>
      <c r="G36" t="str">
        <f>IF(A36="","",IF(OR('Additional Information'!G36="",'Additional Information'!G36="-"),"",'Additional Information'!G36))</f>
        <v/>
      </c>
    </row>
    <row r="37" spans="1:7" x14ac:dyDescent="0.25">
      <c r="A37" t="str">
        <f>IF(Input!A38="","",Input!A38)</f>
        <v/>
      </c>
      <c r="C37" t="str">
        <f>IF(A37="","",IF(OR('Additional Information'!E37="",'Additional Information'!E37="-"),"",'Additional Information'!E37))</f>
        <v/>
      </c>
      <c r="D37" s="5" t="str">
        <f>IF(A37="","",SUM('Additional Information'!C37,'Additional Information'!D37))</f>
        <v/>
      </c>
      <c r="E37" t="str">
        <f>IF(A37="","",SUM('Additional Information'!C37))</f>
        <v/>
      </c>
      <c r="F37" t="str">
        <f>IF(A37="","",IF(OR('Additional Information'!F37="",'Additional Information'!F37="-"),"",'Additional Information'!F37))</f>
        <v/>
      </c>
      <c r="G37" t="str">
        <f>IF(A37="","",IF(OR('Additional Information'!G37="",'Additional Information'!G37="-"),"",'Additional Information'!G37))</f>
        <v/>
      </c>
    </row>
    <row r="38" spans="1:7" x14ac:dyDescent="0.25">
      <c r="A38" t="str">
        <f>IF(Input!A39="","",Input!A39)</f>
        <v/>
      </c>
      <c r="C38" t="str">
        <f>IF(A38="","",IF(OR('Additional Information'!E38="",'Additional Information'!E38="-"),"",'Additional Information'!E38))</f>
        <v/>
      </c>
      <c r="D38" s="5" t="str">
        <f>IF(A38="","",SUM('Additional Information'!C38,'Additional Information'!D38))</f>
        <v/>
      </c>
      <c r="E38" t="str">
        <f>IF(A38="","",SUM('Additional Information'!C38))</f>
        <v/>
      </c>
      <c r="F38" t="str">
        <f>IF(A38="","",IF(OR('Additional Information'!F38="",'Additional Information'!F38="-"),"",'Additional Information'!F38))</f>
        <v/>
      </c>
      <c r="G38" t="str">
        <f>IF(A38="","",IF(OR('Additional Information'!G38="",'Additional Information'!G38="-"),"",'Additional Information'!G38))</f>
        <v/>
      </c>
    </row>
    <row r="39" spans="1:7" x14ac:dyDescent="0.25">
      <c r="A39" t="str">
        <f>IF(Input!A40="","",Input!A40)</f>
        <v/>
      </c>
      <c r="C39" t="str">
        <f>IF(A39="","",IF(OR('Additional Information'!E39="",'Additional Information'!E39="-"),"",'Additional Information'!E39))</f>
        <v/>
      </c>
      <c r="D39" s="5" t="str">
        <f>IF(A39="","",SUM('Additional Information'!C39,'Additional Information'!D39))</f>
        <v/>
      </c>
      <c r="E39" t="str">
        <f>IF(A39="","",SUM('Additional Information'!C39))</f>
        <v/>
      </c>
      <c r="F39" t="str">
        <f>IF(A39="","",IF(OR('Additional Information'!F39="",'Additional Information'!F39="-"),"",'Additional Information'!F39))</f>
        <v/>
      </c>
      <c r="G39" t="str">
        <f>IF(A39="","",IF(OR('Additional Information'!G39="",'Additional Information'!G39="-"),"",'Additional Information'!G39))</f>
        <v/>
      </c>
    </row>
    <row r="40" spans="1:7" x14ac:dyDescent="0.25">
      <c r="A40" t="str">
        <f>IF(Input!A41="","",Input!A41)</f>
        <v/>
      </c>
      <c r="C40" t="str">
        <f>IF(A40="","",IF(OR('Additional Information'!E40="",'Additional Information'!E40="-"),"",'Additional Information'!E40))</f>
        <v/>
      </c>
      <c r="D40" s="5" t="str">
        <f>IF(A40="","",SUM('Additional Information'!C40,'Additional Information'!D40))</f>
        <v/>
      </c>
      <c r="E40" t="str">
        <f>IF(A40="","",SUM('Additional Information'!C40))</f>
        <v/>
      </c>
      <c r="F40" t="str">
        <f>IF(A40="","",IF(OR('Additional Information'!F40="",'Additional Information'!F40="-"),"",'Additional Information'!F40))</f>
        <v/>
      </c>
      <c r="G40" t="str">
        <f>IF(A40="","",IF(OR('Additional Information'!G40="",'Additional Information'!G40="-"),"",'Additional Information'!G40))</f>
        <v/>
      </c>
    </row>
    <row r="41" spans="1:7" x14ac:dyDescent="0.25">
      <c r="A41" t="str">
        <f>IF(Input!A42="","",Input!A42)</f>
        <v/>
      </c>
      <c r="C41" t="str">
        <f>IF(A41="","",IF(OR('Additional Information'!E41="",'Additional Information'!E41="-"),"",'Additional Information'!E41))</f>
        <v/>
      </c>
      <c r="D41" s="5" t="str">
        <f>IF(A41="","",SUM('Additional Information'!C41,'Additional Information'!D41))</f>
        <v/>
      </c>
      <c r="E41" t="str">
        <f>IF(A41="","",SUM('Additional Information'!C41))</f>
        <v/>
      </c>
      <c r="F41" t="str">
        <f>IF(A41="","",IF(OR('Additional Information'!F41="",'Additional Information'!F41="-"),"",'Additional Information'!F41))</f>
        <v/>
      </c>
      <c r="G41" t="str">
        <f>IF(A41="","",IF(OR('Additional Information'!G41="",'Additional Information'!G41="-"),"",'Additional Information'!G41))</f>
        <v/>
      </c>
    </row>
    <row r="42" spans="1:7" x14ac:dyDescent="0.25">
      <c r="A42" t="str">
        <f>IF(Input!A43="","",Input!A43)</f>
        <v/>
      </c>
      <c r="C42" t="str">
        <f>IF(A42="","",IF(OR('Additional Information'!E42="",'Additional Information'!E42="-"),"",'Additional Information'!E42))</f>
        <v/>
      </c>
      <c r="D42" s="5" t="str">
        <f>IF(A42="","",SUM('Additional Information'!C42,'Additional Information'!D42))</f>
        <v/>
      </c>
      <c r="E42" t="str">
        <f>IF(A42="","",SUM('Additional Information'!C42))</f>
        <v/>
      </c>
      <c r="F42" t="str">
        <f>IF(A42="","",IF(OR('Additional Information'!F42="",'Additional Information'!F42="-"),"",'Additional Information'!F42))</f>
        <v/>
      </c>
      <c r="G42" t="str">
        <f>IF(A42="","",IF(OR('Additional Information'!G42="",'Additional Information'!G42="-"),"",'Additional Information'!G42))</f>
        <v/>
      </c>
    </row>
    <row r="43" spans="1:7" x14ac:dyDescent="0.25">
      <c r="A43" t="str">
        <f>IF(Input!A44="","",Input!A44)</f>
        <v/>
      </c>
      <c r="C43" t="str">
        <f>IF(A43="","",IF(OR('Additional Information'!E43="",'Additional Information'!E43="-"),"",'Additional Information'!E43))</f>
        <v/>
      </c>
      <c r="D43" s="5" t="str">
        <f>IF(A43="","",SUM('Additional Information'!C43,'Additional Information'!D43))</f>
        <v/>
      </c>
      <c r="E43" t="str">
        <f>IF(A43="","",SUM('Additional Information'!C43))</f>
        <v/>
      </c>
      <c r="F43" t="str">
        <f>IF(A43="","",IF(OR('Additional Information'!F43="",'Additional Information'!F43="-"),"",'Additional Information'!F43))</f>
        <v/>
      </c>
      <c r="G43" t="str">
        <f>IF(A43="","",IF(OR('Additional Information'!G43="",'Additional Information'!G43="-"),"",'Additional Information'!G43))</f>
        <v/>
      </c>
    </row>
    <row r="44" spans="1:7" x14ac:dyDescent="0.25">
      <c r="A44" t="str">
        <f>IF(Input!A45="","",Input!A45)</f>
        <v/>
      </c>
      <c r="C44" t="str">
        <f>IF(A44="","",IF(OR('Additional Information'!E44="",'Additional Information'!E44="-"),"",'Additional Information'!E44))</f>
        <v/>
      </c>
      <c r="D44" s="5" t="str">
        <f>IF(A44="","",SUM('Additional Information'!C44,'Additional Information'!D44))</f>
        <v/>
      </c>
      <c r="E44" t="str">
        <f>IF(A44="","",SUM('Additional Information'!C44))</f>
        <v/>
      </c>
      <c r="F44" t="str">
        <f>IF(A44="","",IF(OR('Additional Information'!F44="",'Additional Information'!F44="-"),"",'Additional Information'!F44))</f>
        <v/>
      </c>
      <c r="G44" t="str">
        <f>IF(A44="","",IF(OR('Additional Information'!G44="",'Additional Information'!G44="-"),"",'Additional Information'!G44))</f>
        <v/>
      </c>
    </row>
    <row r="45" spans="1:7" x14ac:dyDescent="0.25">
      <c r="A45" t="str">
        <f>IF(Input!A46="","",Input!A46)</f>
        <v/>
      </c>
      <c r="C45" t="str">
        <f>IF(A45="","",IF(OR('Additional Information'!E45="",'Additional Information'!E45="-"),"",'Additional Information'!E45))</f>
        <v/>
      </c>
      <c r="D45" s="5" t="str">
        <f>IF(A45="","",SUM('Additional Information'!C45,'Additional Information'!D45))</f>
        <v/>
      </c>
      <c r="E45" t="str">
        <f>IF(A45="","",SUM('Additional Information'!C45))</f>
        <v/>
      </c>
      <c r="F45" t="str">
        <f>IF(A45="","",IF(OR('Additional Information'!F45="",'Additional Information'!F45="-"),"",'Additional Information'!F45))</f>
        <v/>
      </c>
      <c r="G45" t="str">
        <f>IF(A45="","",IF(OR('Additional Information'!G45="",'Additional Information'!G45="-"),"",'Additional Information'!G45))</f>
        <v/>
      </c>
    </row>
    <row r="46" spans="1:7" x14ac:dyDescent="0.25">
      <c r="A46" t="str">
        <f>IF(Input!A47="","",Input!A47)</f>
        <v/>
      </c>
      <c r="C46" t="str">
        <f>IF(A46="","",IF(OR('Additional Information'!E46="",'Additional Information'!E46="-"),"",'Additional Information'!E46))</f>
        <v/>
      </c>
      <c r="D46" s="5" t="str">
        <f>IF(A46="","",SUM('Additional Information'!C46,'Additional Information'!D46))</f>
        <v/>
      </c>
      <c r="E46" t="str">
        <f>IF(A46="","",SUM('Additional Information'!C46))</f>
        <v/>
      </c>
      <c r="F46" t="str">
        <f>IF(A46="","",IF(OR('Additional Information'!F46="",'Additional Information'!F46="-"),"",'Additional Information'!F46))</f>
        <v/>
      </c>
      <c r="G46" t="str">
        <f>IF(A46="","",IF(OR('Additional Information'!G46="",'Additional Information'!G46="-"),"",'Additional Information'!G46))</f>
        <v/>
      </c>
    </row>
    <row r="47" spans="1:7" x14ac:dyDescent="0.25">
      <c r="A47" t="str">
        <f>IF(Input!A48="","",Input!A48)</f>
        <v/>
      </c>
      <c r="C47" t="str">
        <f>IF(A47="","",IF(OR('Additional Information'!E47="",'Additional Information'!E47="-"),"",'Additional Information'!E47))</f>
        <v/>
      </c>
      <c r="D47" s="5" t="str">
        <f>IF(A47="","",SUM('Additional Information'!C47,'Additional Information'!D47))</f>
        <v/>
      </c>
      <c r="E47" t="str">
        <f>IF(A47="","",SUM('Additional Information'!C47))</f>
        <v/>
      </c>
      <c r="F47" t="str">
        <f>IF(A47="","",IF(OR('Additional Information'!F47="",'Additional Information'!F47="-"),"",'Additional Information'!F47))</f>
        <v/>
      </c>
      <c r="G47" t="str">
        <f>IF(A47="","",IF(OR('Additional Information'!G47="",'Additional Information'!G47="-"),"",'Additional Information'!G47))</f>
        <v/>
      </c>
    </row>
    <row r="48" spans="1:7" x14ac:dyDescent="0.25">
      <c r="A48" t="str">
        <f>IF(Input!A49="","",Input!A49)</f>
        <v/>
      </c>
      <c r="C48" t="str">
        <f>IF(A48="","",IF(OR('Additional Information'!E48="",'Additional Information'!E48="-"),"",'Additional Information'!E48))</f>
        <v/>
      </c>
      <c r="D48" s="5" t="str">
        <f>IF(A48="","",SUM('Additional Information'!C48,'Additional Information'!D48))</f>
        <v/>
      </c>
      <c r="E48" t="str">
        <f>IF(A48="","",SUM('Additional Information'!C48))</f>
        <v/>
      </c>
      <c r="F48" t="str">
        <f>IF(A48="","",IF(OR('Additional Information'!F48="",'Additional Information'!F48="-"),"",'Additional Information'!F48))</f>
        <v/>
      </c>
      <c r="G48" t="str">
        <f>IF(A48="","",IF(OR('Additional Information'!G48="",'Additional Information'!G48="-"),"",'Additional Information'!G48))</f>
        <v/>
      </c>
    </row>
    <row r="49" spans="1:7" x14ac:dyDescent="0.25">
      <c r="A49" t="str">
        <f>IF(Input!A50="","",Input!A50)</f>
        <v/>
      </c>
      <c r="C49" t="str">
        <f>IF(A49="","",IF(OR('Additional Information'!E49="",'Additional Information'!E49="-"),"",'Additional Information'!E49))</f>
        <v/>
      </c>
      <c r="D49" s="5" t="str">
        <f>IF(A49="","",SUM('Additional Information'!C49,'Additional Information'!D49))</f>
        <v/>
      </c>
      <c r="E49" t="str">
        <f>IF(A49="","",SUM('Additional Information'!C49))</f>
        <v/>
      </c>
      <c r="F49" t="str">
        <f>IF(A49="","",IF(OR('Additional Information'!F49="",'Additional Information'!F49="-"),"",'Additional Information'!F49))</f>
        <v/>
      </c>
      <c r="G49" t="str">
        <f>IF(A49="","",IF(OR('Additional Information'!G49="",'Additional Information'!G49="-"),"",'Additional Information'!G49))</f>
        <v/>
      </c>
    </row>
    <row r="50" spans="1:7" x14ac:dyDescent="0.25">
      <c r="A50" t="str">
        <f>IF(Input!A51="","",Input!A51)</f>
        <v/>
      </c>
      <c r="C50" t="str">
        <f>IF(A50="","",IF(OR('Additional Information'!E50="",'Additional Information'!E50="-"),"",'Additional Information'!E50))</f>
        <v/>
      </c>
      <c r="D50" s="5" t="str">
        <f>IF(A50="","",SUM('Additional Information'!C50,'Additional Information'!D50))</f>
        <v/>
      </c>
      <c r="E50" t="str">
        <f>IF(A50="","",SUM('Additional Information'!C50))</f>
        <v/>
      </c>
      <c r="F50" t="str">
        <f>IF(A50="","",IF(OR('Additional Information'!F50="",'Additional Information'!F50="-"),"",'Additional Information'!F50))</f>
        <v/>
      </c>
      <c r="G50" t="str">
        <f>IF(A50="","",IF(OR('Additional Information'!G50="",'Additional Information'!G50="-"),"",'Additional Information'!G50))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H50"/>
  <sheetViews>
    <sheetView zoomScale="90" zoomScaleNormal="90" workbookViewId="0">
      <selection activeCell="J1" sqref="J1:J1048576"/>
    </sheetView>
  </sheetViews>
  <sheetFormatPr defaultRowHeight="15" x14ac:dyDescent="0.25"/>
  <cols>
    <col min="1" max="1" width="39.5703125" bestFit="1" customWidth="1"/>
    <col min="5" max="5" width="11.85546875" bestFit="1" customWidth="1"/>
    <col min="6" max="6" width="14.42578125" bestFit="1" customWidth="1"/>
  </cols>
  <sheetData>
    <row r="1" spans="1:8" x14ac:dyDescent="0.25">
      <c r="B1" t="s">
        <v>2</v>
      </c>
      <c r="C1" t="s">
        <v>3</v>
      </c>
      <c r="D1" t="s">
        <v>14</v>
      </c>
      <c r="E1" t="s">
        <v>15</v>
      </c>
      <c r="F1" t="s">
        <v>1</v>
      </c>
      <c r="G1" t="s">
        <v>4</v>
      </c>
      <c r="H1" t="s">
        <v>26</v>
      </c>
    </row>
    <row r="2" spans="1:8" x14ac:dyDescent="0.25">
      <c r="A2" t="str">
        <f>IF(Input!A3="","",Input!A3)</f>
        <v>MPS Global Growth Strategy</v>
      </c>
      <c r="B2">
        <f>IF(A2="","",SUM('Asset Allocation'!B2,'Asset Allocation'!C2,'Asset Allocation'!F2,'Asset Allocation'!G2))</f>
        <v>0</v>
      </c>
      <c r="C2">
        <f>IF(A2="","",SUM('Asset Allocation'!D2))</f>
        <v>0</v>
      </c>
      <c r="F2">
        <f>IF(A2="","",SUM('Asset Allocation'!E2))</f>
        <v>0</v>
      </c>
      <c r="G2">
        <f>IF(A2="","",SUM('Asset Allocation'!H2))</f>
        <v>0</v>
      </c>
      <c r="H2">
        <f t="shared" ref="H2:H50" si="0">IF(A2="","",1-SUM(B2:G2))</f>
        <v>1</v>
      </c>
    </row>
    <row r="3" spans="1:8" x14ac:dyDescent="0.25">
      <c r="A3" t="str">
        <f>IF(Input!A4="","",Input!A4)</f>
        <v>MPS Conservative Strategy</v>
      </c>
      <c r="B3">
        <f>IF(A3="","",SUM('Asset Allocation'!B3,'Asset Allocation'!C3,'Asset Allocation'!F3,'Asset Allocation'!G3))</f>
        <v>0</v>
      </c>
      <c r="C3">
        <f>IF(A3="","",SUM('Asset Allocation'!D3))</f>
        <v>0</v>
      </c>
      <c r="F3">
        <f>IF(A3="","",SUM('Asset Allocation'!E3))</f>
        <v>0</v>
      </c>
      <c r="G3">
        <f>IF(A3="","",SUM('Asset Allocation'!H3))</f>
        <v>0</v>
      </c>
      <c r="H3">
        <f t="shared" si="0"/>
        <v>1</v>
      </c>
    </row>
    <row r="4" spans="1:8" x14ac:dyDescent="0.25">
      <c r="A4" t="str">
        <f>IF(Input!A5="","",Input!A5)</f>
        <v>MPS Cautious Strategy</v>
      </c>
      <c r="B4">
        <f>IF(A4="","",SUM('Asset Allocation'!B4,'Asset Allocation'!C4,'Asset Allocation'!F4,'Asset Allocation'!G4))</f>
        <v>0</v>
      </c>
      <c r="C4">
        <f>IF(A4="","",SUM('Asset Allocation'!D4))</f>
        <v>0</v>
      </c>
      <c r="F4">
        <f>IF(A4="","",SUM('Asset Allocation'!E4))</f>
        <v>0</v>
      </c>
      <c r="G4">
        <f>IF(A4="","",SUM('Asset Allocation'!H4))</f>
        <v>0</v>
      </c>
      <c r="H4">
        <f t="shared" si="0"/>
        <v>1</v>
      </c>
    </row>
    <row r="5" spans="1:8" x14ac:dyDescent="0.25">
      <c r="A5" t="str">
        <f>IF(Input!A6="","",Input!A6)</f>
        <v>MPS Growth Strategy</v>
      </c>
      <c r="B5">
        <f>IF(A5="","",SUM('Asset Allocation'!B5,'Asset Allocation'!C5,'Asset Allocation'!F5,'Asset Allocation'!G5))</f>
        <v>0</v>
      </c>
      <c r="C5">
        <f>IF(A5="","",SUM('Asset Allocation'!D5))</f>
        <v>0</v>
      </c>
      <c r="F5">
        <f>IF(A5="","",SUM('Asset Allocation'!E5))</f>
        <v>0</v>
      </c>
      <c r="G5">
        <f>IF(A5="","",SUM('Asset Allocation'!H5))</f>
        <v>0</v>
      </c>
      <c r="H5">
        <f t="shared" si="0"/>
        <v>1</v>
      </c>
    </row>
    <row r="6" spans="1:8" x14ac:dyDescent="0.25">
      <c r="A6" t="str">
        <f>IF(Input!A7="","",Input!A7)</f>
        <v>MPS Income Strategy</v>
      </c>
      <c r="B6">
        <f>IF(A6="","",SUM('Asset Allocation'!B6,'Asset Allocation'!C6,'Asset Allocation'!F6,'Asset Allocation'!G6))</f>
        <v>0</v>
      </c>
      <c r="C6">
        <f>IF(A6="","",SUM('Asset Allocation'!D6))</f>
        <v>0</v>
      </c>
      <c r="F6">
        <f>IF(A6="","",SUM('Asset Allocation'!E6))</f>
        <v>0</v>
      </c>
      <c r="G6">
        <f>IF(A6="","",SUM('Asset Allocation'!H6))</f>
        <v>0</v>
      </c>
      <c r="H6">
        <f t="shared" si="0"/>
        <v>1</v>
      </c>
    </row>
    <row r="7" spans="1:8" x14ac:dyDescent="0.25">
      <c r="A7" t="str">
        <f>IF(Input!A8="","",Input!A8)</f>
        <v>MPS Balanced Strategy</v>
      </c>
      <c r="B7">
        <f>IF(A7="","",SUM('Asset Allocation'!B7,'Asset Allocation'!C7,'Asset Allocation'!F7,'Asset Allocation'!G7))</f>
        <v>0</v>
      </c>
      <c r="C7">
        <f>IF(A7="","",SUM('Asset Allocation'!D7))</f>
        <v>0</v>
      </c>
      <c r="F7">
        <f>IF(A7="","",SUM('Asset Allocation'!E7))</f>
        <v>0</v>
      </c>
      <c r="G7">
        <f>IF(A7="","",SUM('Asset Allocation'!H7))</f>
        <v>0</v>
      </c>
      <c r="H7">
        <f t="shared" si="0"/>
        <v>1</v>
      </c>
    </row>
    <row r="8" spans="1:8" x14ac:dyDescent="0.25">
      <c r="A8" t="str">
        <f>IF(Input!A9="","",Input!A9)</f>
        <v/>
      </c>
      <c r="B8" t="str">
        <f>IF(A8="","",SUM('Asset Allocation'!B8,'Asset Allocation'!C8,'Asset Allocation'!F8,'Asset Allocation'!G8))</f>
        <v/>
      </c>
      <c r="C8" t="str">
        <f>IF(A8="","",SUM('Asset Allocation'!D8))</f>
        <v/>
      </c>
      <c r="F8" t="str">
        <f>IF(A8="","",SUM('Asset Allocation'!E8))</f>
        <v/>
      </c>
      <c r="G8" t="str">
        <f>IF(A8="","",SUM('Asset Allocation'!H8))</f>
        <v/>
      </c>
      <c r="H8" t="str">
        <f t="shared" si="0"/>
        <v/>
      </c>
    </row>
    <row r="9" spans="1:8" x14ac:dyDescent="0.25">
      <c r="A9" t="str">
        <f>IF(Input!A10="","",Input!A10)</f>
        <v/>
      </c>
      <c r="B9" t="str">
        <f>IF(A9="","",SUM('Asset Allocation'!B9,'Asset Allocation'!C9,'Asset Allocation'!F9,'Asset Allocation'!G9))</f>
        <v/>
      </c>
      <c r="C9" t="str">
        <f>IF(A9="","",SUM('Asset Allocation'!D9))</f>
        <v/>
      </c>
      <c r="F9" t="str">
        <f>IF(A9="","",SUM('Asset Allocation'!E9))</f>
        <v/>
      </c>
      <c r="G9" t="str">
        <f>IF(A9="","",SUM('Asset Allocation'!H9))</f>
        <v/>
      </c>
      <c r="H9" t="str">
        <f t="shared" si="0"/>
        <v/>
      </c>
    </row>
    <row r="10" spans="1:8" x14ac:dyDescent="0.25">
      <c r="A10" t="str">
        <f>IF(Input!A11="","",Input!A11)</f>
        <v/>
      </c>
      <c r="B10" t="str">
        <f>IF(A10="","",SUM('Asset Allocation'!B10,'Asset Allocation'!C10,'Asset Allocation'!F10,'Asset Allocation'!G10))</f>
        <v/>
      </c>
      <c r="C10" t="str">
        <f>IF(A10="","",SUM('Asset Allocation'!D10))</f>
        <v/>
      </c>
      <c r="F10" t="str">
        <f>IF(A10="","",SUM('Asset Allocation'!E10))</f>
        <v/>
      </c>
      <c r="G10" t="str">
        <f>IF(A10="","",SUM('Asset Allocation'!H10))</f>
        <v/>
      </c>
      <c r="H10" t="str">
        <f t="shared" si="0"/>
        <v/>
      </c>
    </row>
    <row r="11" spans="1:8" x14ac:dyDescent="0.25">
      <c r="A11" t="str">
        <f>IF(Input!A12="","",Input!A12)</f>
        <v/>
      </c>
      <c r="B11" t="str">
        <f>IF(A11="","",SUM('Asset Allocation'!B11,'Asset Allocation'!C11,'Asset Allocation'!F11,'Asset Allocation'!G11))</f>
        <v/>
      </c>
      <c r="C11" t="str">
        <f>IF(A11="","",SUM('Asset Allocation'!D11))</f>
        <v/>
      </c>
      <c r="F11" t="str">
        <f>IF(A11="","",SUM('Asset Allocation'!E11))</f>
        <v/>
      </c>
      <c r="G11" t="str">
        <f>IF(A11="","",SUM('Asset Allocation'!H11))</f>
        <v/>
      </c>
      <c r="H11" t="str">
        <f t="shared" si="0"/>
        <v/>
      </c>
    </row>
    <row r="12" spans="1:8" x14ac:dyDescent="0.25">
      <c r="A12" t="str">
        <f>IF(Input!A13="","",Input!A13)</f>
        <v/>
      </c>
      <c r="B12" t="str">
        <f>IF(A12="","",SUM('Asset Allocation'!B12,'Asset Allocation'!C12,'Asset Allocation'!F12,'Asset Allocation'!G12))</f>
        <v/>
      </c>
      <c r="C12" t="str">
        <f>IF(A12="","",SUM('Asset Allocation'!D12))</f>
        <v/>
      </c>
      <c r="F12" t="str">
        <f>IF(A12="","",SUM('Asset Allocation'!E12))</f>
        <v/>
      </c>
      <c r="G12" t="str">
        <f>IF(A12="","",SUM('Asset Allocation'!H12))</f>
        <v/>
      </c>
      <c r="H12" t="str">
        <f t="shared" si="0"/>
        <v/>
      </c>
    </row>
    <row r="13" spans="1:8" x14ac:dyDescent="0.25">
      <c r="A13" t="str">
        <f>IF(Input!A14="","",Input!A14)</f>
        <v/>
      </c>
      <c r="B13" t="str">
        <f>IF(A13="","",SUM('Asset Allocation'!B13,'Asset Allocation'!C13,'Asset Allocation'!F13,'Asset Allocation'!G13))</f>
        <v/>
      </c>
      <c r="C13" t="str">
        <f>IF(A13="","",SUM('Asset Allocation'!D13))</f>
        <v/>
      </c>
      <c r="F13" t="str">
        <f>IF(A13="","",SUM('Asset Allocation'!E13))</f>
        <v/>
      </c>
      <c r="G13" t="str">
        <f>IF(A13="","",SUM('Asset Allocation'!H13))</f>
        <v/>
      </c>
      <c r="H13" t="str">
        <f t="shared" si="0"/>
        <v/>
      </c>
    </row>
    <row r="14" spans="1:8" x14ac:dyDescent="0.25">
      <c r="A14" t="str">
        <f>IF(Input!A15="","",Input!A15)</f>
        <v/>
      </c>
      <c r="B14" t="str">
        <f>IF(A14="","",SUM('Asset Allocation'!B14,'Asset Allocation'!C14,'Asset Allocation'!F14,'Asset Allocation'!G14))</f>
        <v/>
      </c>
      <c r="C14" t="str">
        <f>IF(A14="","",SUM('Asset Allocation'!D14))</f>
        <v/>
      </c>
      <c r="F14" t="str">
        <f>IF(A14="","",SUM('Asset Allocation'!E14))</f>
        <v/>
      </c>
      <c r="G14" t="str">
        <f>IF(A14="","",SUM('Asset Allocation'!H14))</f>
        <v/>
      </c>
      <c r="H14" t="str">
        <f t="shared" si="0"/>
        <v/>
      </c>
    </row>
    <row r="15" spans="1:8" x14ac:dyDescent="0.25">
      <c r="A15" t="str">
        <f>IF(Input!A16="","",Input!A16)</f>
        <v/>
      </c>
      <c r="B15" t="str">
        <f>IF(A15="","",SUM('Asset Allocation'!B15,'Asset Allocation'!C15,'Asset Allocation'!F15,'Asset Allocation'!G15))</f>
        <v/>
      </c>
      <c r="C15" t="str">
        <f>IF(A15="","",SUM('Asset Allocation'!D15))</f>
        <v/>
      </c>
      <c r="F15" t="str">
        <f>IF(A15="","",SUM('Asset Allocation'!E15))</f>
        <v/>
      </c>
      <c r="G15" t="str">
        <f>IF(A15="","",SUM('Asset Allocation'!H15))</f>
        <v/>
      </c>
      <c r="H15" t="str">
        <f t="shared" si="0"/>
        <v/>
      </c>
    </row>
    <row r="16" spans="1:8" x14ac:dyDescent="0.25">
      <c r="A16" t="str">
        <f>IF(Input!A17="","",Input!A17)</f>
        <v/>
      </c>
      <c r="B16" t="str">
        <f>IF(A16="","",SUM('Asset Allocation'!B16,'Asset Allocation'!C16,'Asset Allocation'!F16,'Asset Allocation'!G16))</f>
        <v/>
      </c>
      <c r="C16" t="str">
        <f>IF(A16="","",SUM('Asset Allocation'!D16))</f>
        <v/>
      </c>
      <c r="F16" t="str">
        <f>IF(A16="","",SUM('Asset Allocation'!E16))</f>
        <v/>
      </c>
      <c r="G16" t="str">
        <f>IF(A16="","",SUM('Asset Allocation'!H16))</f>
        <v/>
      </c>
      <c r="H16" t="str">
        <f t="shared" si="0"/>
        <v/>
      </c>
    </row>
    <row r="17" spans="1:8" x14ac:dyDescent="0.25">
      <c r="A17" t="str">
        <f>IF(Input!A18="","",Input!A18)</f>
        <v/>
      </c>
      <c r="B17" t="str">
        <f>IF(A17="","",SUM('Asset Allocation'!B17,'Asset Allocation'!C17,'Asset Allocation'!F17,'Asset Allocation'!G17))</f>
        <v/>
      </c>
      <c r="C17" t="str">
        <f>IF(A17="","",SUM('Asset Allocation'!D17))</f>
        <v/>
      </c>
      <c r="F17" t="str">
        <f>IF(A17="","",SUM('Asset Allocation'!E17))</f>
        <v/>
      </c>
      <c r="G17" t="str">
        <f>IF(A17="","",SUM('Asset Allocation'!H17))</f>
        <v/>
      </c>
      <c r="H17" t="str">
        <f t="shared" si="0"/>
        <v/>
      </c>
    </row>
    <row r="18" spans="1:8" x14ac:dyDescent="0.25">
      <c r="A18" t="str">
        <f>IF(Input!A19="","",Input!A19)</f>
        <v/>
      </c>
      <c r="B18" t="str">
        <f>IF(A18="","",SUM('Asset Allocation'!B18,'Asset Allocation'!C18,'Asset Allocation'!F18,'Asset Allocation'!G18))</f>
        <v/>
      </c>
      <c r="C18" t="str">
        <f>IF(A18="","",SUM('Asset Allocation'!D18))</f>
        <v/>
      </c>
      <c r="F18" t="str">
        <f>IF(A18="","",SUM('Asset Allocation'!E18))</f>
        <v/>
      </c>
      <c r="G18" t="str">
        <f>IF(A18="","",SUM('Asset Allocation'!H18))</f>
        <v/>
      </c>
      <c r="H18" t="str">
        <f t="shared" si="0"/>
        <v/>
      </c>
    </row>
    <row r="19" spans="1:8" x14ac:dyDescent="0.25">
      <c r="A19" t="str">
        <f>IF(Input!A20="","",Input!A20)</f>
        <v/>
      </c>
      <c r="B19" t="str">
        <f>IF(A19="","",SUM('Asset Allocation'!B19,'Asset Allocation'!C19,'Asset Allocation'!F19,'Asset Allocation'!G19))</f>
        <v/>
      </c>
      <c r="C19" t="str">
        <f>IF(A19="","",SUM('Asset Allocation'!D19))</f>
        <v/>
      </c>
      <c r="F19" t="str">
        <f>IF(A19="","",SUM('Asset Allocation'!E19))</f>
        <v/>
      </c>
      <c r="G19" t="str">
        <f>IF(A19="","",SUM('Asset Allocation'!H19))</f>
        <v/>
      </c>
      <c r="H19" t="str">
        <f t="shared" si="0"/>
        <v/>
      </c>
    </row>
    <row r="20" spans="1:8" x14ac:dyDescent="0.25">
      <c r="A20" t="str">
        <f>IF(Input!A21="","",Input!A21)</f>
        <v/>
      </c>
      <c r="B20" t="str">
        <f>IF(A20="","",SUM('Asset Allocation'!B20,'Asset Allocation'!C20,'Asset Allocation'!F20,'Asset Allocation'!G20))</f>
        <v/>
      </c>
      <c r="C20" t="str">
        <f>IF(A20="","",SUM('Asset Allocation'!D20))</f>
        <v/>
      </c>
      <c r="F20" t="str">
        <f>IF(A20="","",SUM('Asset Allocation'!E20))</f>
        <v/>
      </c>
      <c r="G20" t="str">
        <f>IF(A20="","",SUM('Asset Allocation'!H20))</f>
        <v/>
      </c>
      <c r="H20" t="str">
        <f t="shared" si="0"/>
        <v/>
      </c>
    </row>
    <row r="21" spans="1:8" x14ac:dyDescent="0.25">
      <c r="A21" t="str">
        <f>IF(Input!A22="","",Input!A22)</f>
        <v/>
      </c>
      <c r="B21" t="str">
        <f>IF(A21="","",SUM('Asset Allocation'!B21,'Asset Allocation'!C21,'Asset Allocation'!F21,'Asset Allocation'!G21))</f>
        <v/>
      </c>
      <c r="C21" t="str">
        <f>IF(A21="","",SUM('Asset Allocation'!D21))</f>
        <v/>
      </c>
      <c r="F21" t="str">
        <f>IF(A21="","",SUM('Asset Allocation'!E21))</f>
        <v/>
      </c>
      <c r="G21" t="str">
        <f>IF(A21="","",SUM('Asset Allocation'!H21))</f>
        <v/>
      </c>
      <c r="H21" t="str">
        <f t="shared" si="0"/>
        <v/>
      </c>
    </row>
    <row r="22" spans="1:8" x14ac:dyDescent="0.25">
      <c r="A22" t="str">
        <f>IF(Input!A23="","",Input!A23)</f>
        <v/>
      </c>
      <c r="B22" t="str">
        <f>IF(A22="","",SUM('Asset Allocation'!B22,'Asset Allocation'!C22,'Asset Allocation'!F22,'Asset Allocation'!G22))</f>
        <v/>
      </c>
      <c r="C22" t="str">
        <f>IF(A22="","",SUM('Asset Allocation'!D22))</f>
        <v/>
      </c>
      <c r="F22" t="str">
        <f>IF(A22="","",SUM('Asset Allocation'!E22))</f>
        <v/>
      </c>
      <c r="G22" t="str">
        <f>IF(A22="","",SUM('Asset Allocation'!H22))</f>
        <v/>
      </c>
      <c r="H22" t="str">
        <f t="shared" si="0"/>
        <v/>
      </c>
    </row>
    <row r="23" spans="1:8" x14ac:dyDescent="0.25">
      <c r="A23" t="str">
        <f>IF(Input!A24="","",Input!A24)</f>
        <v/>
      </c>
      <c r="B23" t="str">
        <f>IF(A23="","",SUM('Asset Allocation'!B23,'Asset Allocation'!C23,'Asset Allocation'!F23,'Asset Allocation'!G23))</f>
        <v/>
      </c>
      <c r="C23" t="str">
        <f>IF(A23="","",SUM('Asset Allocation'!D23))</f>
        <v/>
      </c>
      <c r="F23" t="str">
        <f>IF(A23="","",SUM('Asset Allocation'!E23))</f>
        <v/>
      </c>
      <c r="G23" t="str">
        <f>IF(A23="","",SUM('Asset Allocation'!H23))</f>
        <v/>
      </c>
      <c r="H23" t="str">
        <f t="shared" si="0"/>
        <v/>
      </c>
    </row>
    <row r="24" spans="1:8" x14ac:dyDescent="0.25">
      <c r="A24" t="str">
        <f>IF(Input!A25="","",Input!A25)</f>
        <v/>
      </c>
      <c r="B24" t="str">
        <f>IF(A24="","",SUM('Asset Allocation'!B24,'Asset Allocation'!C24,'Asset Allocation'!F24,'Asset Allocation'!G24))</f>
        <v/>
      </c>
      <c r="C24" t="str">
        <f>IF(A24="","",SUM('Asset Allocation'!D24))</f>
        <v/>
      </c>
      <c r="F24" t="str">
        <f>IF(A24="","",SUM('Asset Allocation'!E24))</f>
        <v/>
      </c>
      <c r="G24" t="str">
        <f>IF(A24="","",SUM('Asset Allocation'!H24))</f>
        <v/>
      </c>
      <c r="H24" t="str">
        <f t="shared" si="0"/>
        <v/>
      </c>
    </row>
    <row r="25" spans="1:8" x14ac:dyDescent="0.25">
      <c r="A25" t="str">
        <f>IF(Input!A26="","",Input!A26)</f>
        <v/>
      </c>
      <c r="B25" t="str">
        <f>IF(A25="","",SUM('Asset Allocation'!B25,'Asset Allocation'!C25,'Asset Allocation'!F25,'Asset Allocation'!G25))</f>
        <v/>
      </c>
      <c r="C25" t="str">
        <f>IF(A25="","",SUM('Asset Allocation'!D25))</f>
        <v/>
      </c>
      <c r="F25" t="str">
        <f>IF(A25="","",SUM('Asset Allocation'!E25))</f>
        <v/>
      </c>
      <c r="G25" t="str">
        <f>IF(A25="","",SUM('Asset Allocation'!H25))</f>
        <v/>
      </c>
      <c r="H25" t="str">
        <f t="shared" si="0"/>
        <v/>
      </c>
    </row>
    <row r="26" spans="1:8" x14ac:dyDescent="0.25">
      <c r="A26" t="str">
        <f>IF(Input!A27="","",Input!A27)</f>
        <v/>
      </c>
      <c r="B26" t="str">
        <f>IF(A26="","",SUM('Asset Allocation'!B26,'Asset Allocation'!C26,'Asset Allocation'!F26,'Asset Allocation'!G26))</f>
        <v/>
      </c>
      <c r="C26" t="str">
        <f>IF(A26="","",SUM('Asset Allocation'!D26))</f>
        <v/>
      </c>
      <c r="F26" t="str">
        <f>IF(A26="","",SUM('Asset Allocation'!E26))</f>
        <v/>
      </c>
      <c r="G26" t="str">
        <f>IF(A26="","",SUM('Asset Allocation'!H26))</f>
        <v/>
      </c>
      <c r="H26" t="str">
        <f t="shared" si="0"/>
        <v/>
      </c>
    </row>
    <row r="27" spans="1:8" x14ac:dyDescent="0.25">
      <c r="A27" t="str">
        <f>IF(Input!A28="","",Input!A28)</f>
        <v/>
      </c>
      <c r="B27" t="str">
        <f>IF(A27="","",SUM('Asset Allocation'!B27,'Asset Allocation'!C27,'Asset Allocation'!F27,'Asset Allocation'!G27))</f>
        <v/>
      </c>
      <c r="C27" t="str">
        <f>IF(A27="","",SUM('Asset Allocation'!D27))</f>
        <v/>
      </c>
      <c r="F27" t="str">
        <f>IF(A27="","",SUM('Asset Allocation'!E27))</f>
        <v/>
      </c>
      <c r="G27" t="str">
        <f>IF(A27="","",SUM('Asset Allocation'!H27))</f>
        <v/>
      </c>
      <c r="H27" t="str">
        <f t="shared" si="0"/>
        <v/>
      </c>
    </row>
    <row r="28" spans="1:8" x14ac:dyDescent="0.25">
      <c r="A28" t="str">
        <f>IF(Input!A29="","",Input!A29)</f>
        <v/>
      </c>
      <c r="B28" t="str">
        <f>IF(A28="","",SUM('Asset Allocation'!B28,'Asset Allocation'!C28,'Asset Allocation'!F28,'Asset Allocation'!G28))</f>
        <v/>
      </c>
      <c r="C28" t="str">
        <f>IF(A28="","",SUM('Asset Allocation'!D28))</f>
        <v/>
      </c>
      <c r="F28" t="str">
        <f>IF(A28="","",SUM('Asset Allocation'!E28))</f>
        <v/>
      </c>
      <c r="G28" t="str">
        <f>IF(A28="","",SUM('Asset Allocation'!H28))</f>
        <v/>
      </c>
      <c r="H28" t="str">
        <f t="shared" si="0"/>
        <v/>
      </c>
    </row>
    <row r="29" spans="1:8" x14ac:dyDescent="0.25">
      <c r="A29" t="str">
        <f>IF(Input!A30="","",Input!A30)</f>
        <v/>
      </c>
      <c r="B29" t="str">
        <f>IF(A29="","",SUM('Asset Allocation'!B29,'Asset Allocation'!C29,'Asset Allocation'!F29,'Asset Allocation'!G29))</f>
        <v/>
      </c>
      <c r="C29" t="str">
        <f>IF(A29="","",SUM('Asset Allocation'!D29))</f>
        <v/>
      </c>
      <c r="F29" t="str">
        <f>IF(A29="","",SUM('Asset Allocation'!E29))</f>
        <v/>
      </c>
      <c r="G29" t="str">
        <f>IF(A29="","",SUM('Asset Allocation'!H29))</f>
        <v/>
      </c>
      <c r="H29" t="str">
        <f t="shared" si="0"/>
        <v/>
      </c>
    </row>
    <row r="30" spans="1:8" x14ac:dyDescent="0.25">
      <c r="A30" t="str">
        <f>IF(Input!A31="","",Input!A31)</f>
        <v/>
      </c>
      <c r="B30" t="str">
        <f>IF(A30="","",SUM('Asset Allocation'!B30,'Asset Allocation'!C30,'Asset Allocation'!F30,'Asset Allocation'!G30))</f>
        <v/>
      </c>
      <c r="C30" t="str">
        <f>IF(A30="","",SUM('Asset Allocation'!D30))</f>
        <v/>
      </c>
      <c r="F30" t="str">
        <f>IF(A30="","",SUM('Asset Allocation'!E30))</f>
        <v/>
      </c>
      <c r="G30" t="str">
        <f>IF(A30="","",SUM('Asset Allocation'!H30))</f>
        <v/>
      </c>
      <c r="H30" t="str">
        <f t="shared" si="0"/>
        <v/>
      </c>
    </row>
    <row r="31" spans="1:8" x14ac:dyDescent="0.25">
      <c r="A31" t="str">
        <f>IF(Input!A32="","",Input!A32)</f>
        <v/>
      </c>
      <c r="B31" t="str">
        <f>IF(A31="","",SUM('Asset Allocation'!B31,'Asset Allocation'!C31,'Asset Allocation'!F31,'Asset Allocation'!G31))</f>
        <v/>
      </c>
      <c r="C31" t="str">
        <f>IF(A31="","",SUM('Asset Allocation'!D31))</f>
        <v/>
      </c>
      <c r="F31" t="str">
        <f>IF(A31="","",SUM('Asset Allocation'!E31))</f>
        <v/>
      </c>
      <c r="G31" t="str">
        <f>IF(A31="","",SUM('Asset Allocation'!H31))</f>
        <v/>
      </c>
      <c r="H31" t="str">
        <f t="shared" si="0"/>
        <v/>
      </c>
    </row>
    <row r="32" spans="1:8" x14ac:dyDescent="0.25">
      <c r="A32" t="str">
        <f>IF(Input!A33="","",Input!A33)</f>
        <v/>
      </c>
      <c r="B32" t="str">
        <f>IF(A32="","",SUM('Asset Allocation'!B32,'Asset Allocation'!C32,'Asset Allocation'!F32,'Asset Allocation'!G32))</f>
        <v/>
      </c>
      <c r="C32" t="str">
        <f>IF(A32="","",SUM('Asset Allocation'!D32))</f>
        <v/>
      </c>
      <c r="F32" t="str">
        <f>IF(A32="","",SUM('Asset Allocation'!E32))</f>
        <v/>
      </c>
      <c r="G32" t="str">
        <f>IF(A32="","",SUM('Asset Allocation'!H32))</f>
        <v/>
      </c>
      <c r="H32" t="str">
        <f t="shared" si="0"/>
        <v/>
      </c>
    </row>
    <row r="33" spans="1:8" x14ac:dyDescent="0.25">
      <c r="A33" t="str">
        <f>IF(Input!A34="","",Input!A34)</f>
        <v/>
      </c>
      <c r="B33" t="str">
        <f>IF(A33="","",SUM('Asset Allocation'!B33,'Asset Allocation'!C33,'Asset Allocation'!F33,'Asset Allocation'!G33))</f>
        <v/>
      </c>
      <c r="C33" t="str">
        <f>IF(A33="","",SUM('Asset Allocation'!D33))</f>
        <v/>
      </c>
      <c r="F33" t="str">
        <f>IF(A33="","",SUM('Asset Allocation'!E33))</f>
        <v/>
      </c>
      <c r="G33" t="str">
        <f>IF(A33="","",SUM('Asset Allocation'!H33))</f>
        <v/>
      </c>
      <c r="H33" t="str">
        <f t="shared" si="0"/>
        <v/>
      </c>
    </row>
    <row r="34" spans="1:8" x14ac:dyDescent="0.25">
      <c r="A34" t="str">
        <f>IF(Input!A35="","",Input!A35)</f>
        <v/>
      </c>
      <c r="B34" t="str">
        <f>IF(A34="","",SUM('Asset Allocation'!B34,'Asset Allocation'!C34,'Asset Allocation'!F34,'Asset Allocation'!G34))</f>
        <v/>
      </c>
      <c r="C34" t="str">
        <f>IF(A34="","",SUM('Asset Allocation'!D34))</f>
        <v/>
      </c>
      <c r="F34" t="str">
        <f>IF(A34="","",SUM('Asset Allocation'!E34))</f>
        <v/>
      </c>
      <c r="G34" t="str">
        <f>IF(A34="","",SUM('Asset Allocation'!H34))</f>
        <v/>
      </c>
      <c r="H34" t="str">
        <f t="shared" si="0"/>
        <v/>
      </c>
    </row>
    <row r="35" spans="1:8" x14ac:dyDescent="0.25">
      <c r="A35" t="str">
        <f>IF(Input!A36="","",Input!A36)</f>
        <v/>
      </c>
      <c r="B35" t="str">
        <f>IF(A35="","",SUM('Asset Allocation'!B35,'Asset Allocation'!C35,'Asset Allocation'!F35,'Asset Allocation'!G35))</f>
        <v/>
      </c>
      <c r="C35" t="str">
        <f>IF(A35="","",SUM('Asset Allocation'!D35))</f>
        <v/>
      </c>
      <c r="F35" t="str">
        <f>IF(A35="","",SUM('Asset Allocation'!E35))</f>
        <v/>
      </c>
      <c r="G35" t="str">
        <f>IF(A35="","",SUM('Asset Allocation'!H35))</f>
        <v/>
      </c>
      <c r="H35" t="str">
        <f t="shared" si="0"/>
        <v/>
      </c>
    </row>
    <row r="36" spans="1:8" x14ac:dyDescent="0.25">
      <c r="A36" t="str">
        <f>IF(Input!A37="","",Input!A37)</f>
        <v/>
      </c>
      <c r="B36" t="str">
        <f>IF(A36="","",SUM('Asset Allocation'!B36,'Asset Allocation'!C36,'Asset Allocation'!F36,'Asset Allocation'!G36))</f>
        <v/>
      </c>
      <c r="C36" t="str">
        <f>IF(A36="","",SUM('Asset Allocation'!D36))</f>
        <v/>
      </c>
      <c r="F36" t="str">
        <f>IF(A36="","",SUM('Asset Allocation'!E36))</f>
        <v/>
      </c>
      <c r="G36" t="str">
        <f>IF(A36="","",SUM('Asset Allocation'!H36))</f>
        <v/>
      </c>
      <c r="H36" t="str">
        <f t="shared" si="0"/>
        <v/>
      </c>
    </row>
    <row r="37" spans="1:8" x14ac:dyDescent="0.25">
      <c r="A37" t="str">
        <f>IF(Input!A38="","",Input!A38)</f>
        <v/>
      </c>
      <c r="B37" t="str">
        <f>IF(A37="","",SUM('Asset Allocation'!B37,'Asset Allocation'!C37,'Asset Allocation'!F37,'Asset Allocation'!G37))</f>
        <v/>
      </c>
      <c r="C37" t="str">
        <f>IF(A37="","",SUM('Asset Allocation'!D37))</f>
        <v/>
      </c>
      <c r="F37" t="str">
        <f>IF(A37="","",SUM('Asset Allocation'!E37))</f>
        <v/>
      </c>
      <c r="G37" t="str">
        <f>IF(A37="","",SUM('Asset Allocation'!H37))</f>
        <v/>
      </c>
      <c r="H37" t="str">
        <f t="shared" si="0"/>
        <v/>
      </c>
    </row>
    <row r="38" spans="1:8" x14ac:dyDescent="0.25">
      <c r="A38" t="str">
        <f>IF(Input!A39="","",Input!A39)</f>
        <v/>
      </c>
      <c r="B38" t="str">
        <f>IF(A38="","",SUM('Asset Allocation'!B38,'Asset Allocation'!C38,'Asset Allocation'!F38,'Asset Allocation'!G38))</f>
        <v/>
      </c>
      <c r="C38" t="str">
        <f>IF(A38="","",SUM('Asset Allocation'!D38))</f>
        <v/>
      </c>
      <c r="F38" t="str">
        <f>IF(A38="","",SUM('Asset Allocation'!E38))</f>
        <v/>
      </c>
      <c r="G38" t="str">
        <f>IF(A38="","",SUM('Asset Allocation'!H38))</f>
        <v/>
      </c>
      <c r="H38" t="str">
        <f t="shared" si="0"/>
        <v/>
      </c>
    </row>
    <row r="39" spans="1:8" x14ac:dyDescent="0.25">
      <c r="A39" t="str">
        <f>IF(Input!A40="","",Input!A40)</f>
        <v/>
      </c>
      <c r="B39" t="str">
        <f>IF(A39="","",SUM('Asset Allocation'!B39,'Asset Allocation'!C39,'Asset Allocation'!F39,'Asset Allocation'!G39))</f>
        <v/>
      </c>
      <c r="C39" t="str">
        <f>IF(A39="","",SUM('Asset Allocation'!D39))</f>
        <v/>
      </c>
      <c r="F39" t="str">
        <f>IF(A39="","",SUM('Asset Allocation'!E39))</f>
        <v/>
      </c>
      <c r="G39" t="str">
        <f>IF(A39="","",SUM('Asset Allocation'!H39))</f>
        <v/>
      </c>
      <c r="H39" t="str">
        <f t="shared" si="0"/>
        <v/>
      </c>
    </row>
    <row r="40" spans="1:8" x14ac:dyDescent="0.25">
      <c r="A40" t="str">
        <f>IF(Input!A41="","",Input!A41)</f>
        <v/>
      </c>
      <c r="B40" t="str">
        <f>IF(A40="","",SUM('Asset Allocation'!B40,'Asset Allocation'!C40,'Asset Allocation'!F40,'Asset Allocation'!G40))</f>
        <v/>
      </c>
      <c r="C40" t="str">
        <f>IF(A40="","",SUM('Asset Allocation'!D40))</f>
        <v/>
      </c>
      <c r="F40" t="str">
        <f>IF(A40="","",SUM('Asset Allocation'!E40))</f>
        <v/>
      </c>
      <c r="G40" t="str">
        <f>IF(A40="","",SUM('Asset Allocation'!H40))</f>
        <v/>
      </c>
      <c r="H40" t="str">
        <f t="shared" si="0"/>
        <v/>
      </c>
    </row>
    <row r="41" spans="1:8" x14ac:dyDescent="0.25">
      <c r="A41" t="str">
        <f>IF(Input!A42="","",Input!A42)</f>
        <v/>
      </c>
      <c r="B41" t="str">
        <f>IF(A41="","",SUM('Asset Allocation'!B41,'Asset Allocation'!C41,'Asset Allocation'!F41,'Asset Allocation'!G41))</f>
        <v/>
      </c>
      <c r="C41" t="str">
        <f>IF(A41="","",SUM('Asset Allocation'!D41))</f>
        <v/>
      </c>
      <c r="F41" t="str">
        <f>IF(A41="","",SUM('Asset Allocation'!E41))</f>
        <v/>
      </c>
      <c r="G41" t="str">
        <f>IF(A41="","",SUM('Asset Allocation'!H41))</f>
        <v/>
      </c>
      <c r="H41" t="str">
        <f t="shared" si="0"/>
        <v/>
      </c>
    </row>
    <row r="42" spans="1:8" x14ac:dyDescent="0.25">
      <c r="A42" t="str">
        <f>IF(Input!A43="","",Input!A43)</f>
        <v/>
      </c>
      <c r="B42" t="str">
        <f>IF(A42="","",SUM('Asset Allocation'!B42,'Asset Allocation'!C42,'Asset Allocation'!F42,'Asset Allocation'!G42))</f>
        <v/>
      </c>
      <c r="C42" t="str">
        <f>IF(A42="","",SUM('Asset Allocation'!D42))</f>
        <v/>
      </c>
      <c r="F42" t="str">
        <f>IF(A42="","",SUM('Asset Allocation'!E42))</f>
        <v/>
      </c>
      <c r="G42" t="str">
        <f>IF(A42="","",SUM('Asset Allocation'!H42))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IF(A43="","",SUM('Asset Allocation'!B43,'Asset Allocation'!C43,'Asset Allocation'!F43,'Asset Allocation'!G43))</f>
        <v/>
      </c>
      <c r="C43" t="str">
        <f>IF(A43="","",SUM('Asset Allocation'!D43))</f>
        <v/>
      </c>
      <c r="F43" t="str">
        <f>IF(A43="","",SUM('Asset Allocation'!E43))</f>
        <v/>
      </c>
      <c r="G43" t="str">
        <f>IF(A43="","",SUM('Asset Allocation'!H43))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IF(A44="","",SUM('Asset Allocation'!B44,'Asset Allocation'!C44,'Asset Allocation'!F44,'Asset Allocation'!G44))</f>
        <v/>
      </c>
      <c r="C44" t="str">
        <f>IF(A44="","",SUM('Asset Allocation'!D44))</f>
        <v/>
      </c>
      <c r="F44" t="str">
        <f>IF(A44="","",SUM('Asset Allocation'!E44))</f>
        <v/>
      </c>
      <c r="G44" t="str">
        <f>IF(A44="","",SUM('Asset Allocation'!H44))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IF(A45="","",SUM('Asset Allocation'!B45,'Asset Allocation'!C45,'Asset Allocation'!F45,'Asset Allocation'!G45))</f>
        <v/>
      </c>
      <c r="C45" t="str">
        <f>IF(A45="","",SUM('Asset Allocation'!D45))</f>
        <v/>
      </c>
      <c r="F45" t="str">
        <f>IF(A45="","",SUM('Asset Allocation'!E45))</f>
        <v/>
      </c>
      <c r="G45" t="str">
        <f>IF(A45="","",SUM('Asset Allocation'!H45))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IF(A46="","",SUM('Asset Allocation'!B46,'Asset Allocation'!C46,'Asset Allocation'!F46,'Asset Allocation'!G46))</f>
        <v/>
      </c>
      <c r="C46" t="str">
        <f>IF(A46="","",SUM('Asset Allocation'!D46))</f>
        <v/>
      </c>
      <c r="F46" t="str">
        <f>IF(A46="","",SUM('Asset Allocation'!E46))</f>
        <v/>
      </c>
      <c r="G46" t="str">
        <f>IF(A46="","",SUM('Asset Allocation'!H46))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IF(A47="","",SUM('Asset Allocation'!B47,'Asset Allocation'!C47,'Asset Allocation'!F47,'Asset Allocation'!G47))</f>
        <v/>
      </c>
      <c r="C47" t="str">
        <f>IF(A47="","",SUM('Asset Allocation'!D47))</f>
        <v/>
      </c>
      <c r="F47" t="str">
        <f>IF(A47="","",SUM('Asset Allocation'!E47))</f>
        <v/>
      </c>
      <c r="G47" t="str">
        <f>IF(A47="","",SUM('Asset Allocation'!H47))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IF(A48="","",SUM('Asset Allocation'!B48,'Asset Allocation'!C48,'Asset Allocation'!F48,'Asset Allocation'!G48))</f>
        <v/>
      </c>
      <c r="C48" t="str">
        <f>IF(A48="","",SUM('Asset Allocation'!D48))</f>
        <v/>
      </c>
      <c r="F48" t="str">
        <f>IF(A48="","",SUM('Asset Allocation'!E48))</f>
        <v/>
      </c>
      <c r="G48" t="str">
        <f>IF(A48="","",SUM('Asset Allocation'!H48))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IF(A49="","",SUM('Asset Allocation'!B49,'Asset Allocation'!C49,'Asset Allocation'!F49,'Asset Allocation'!G49))</f>
        <v/>
      </c>
      <c r="C49" t="str">
        <f>IF(A49="","",SUM('Asset Allocation'!D49))</f>
        <v/>
      </c>
      <c r="F49" t="str">
        <f>IF(A49="","",SUM('Asset Allocation'!E49))</f>
        <v/>
      </c>
      <c r="G49" t="str">
        <f>IF(A49="","",SUM('Asset Allocation'!H49))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IF(A50="","",SUM('Asset Allocation'!B50,'Asset Allocation'!C50,'Asset Allocation'!F50,'Asset Allocation'!G50))</f>
        <v/>
      </c>
      <c r="C50" t="str">
        <f>IF(A50="","",SUM('Asset Allocation'!D50))</f>
        <v/>
      </c>
      <c r="F50" t="str">
        <f>IF(A50="","",SUM('Asset Allocation'!E50))</f>
        <v/>
      </c>
      <c r="G50" t="str">
        <f>IF(A50="","",SUM('Asset Allocation'!H50))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19.140625" bestFit="1" customWidth="1"/>
    <col min="2" max="7" width="8.85546875" bestFit="1" customWidth="1"/>
    <col min="8" max="8" width="17.5703125" bestFit="1" customWidth="1"/>
  </cols>
  <sheetData>
    <row r="1" spans="1:8" x14ac:dyDescent="0.2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17</v>
      </c>
    </row>
    <row r="2" spans="1:8" x14ac:dyDescent="0.25">
      <c r="A2" t="str">
        <f>IF(Input!A3="","",Input!A3)</f>
        <v>MPS Global Growth Strategy</v>
      </c>
      <c r="B2" s="6">
        <f>IFERROR(IF(A2="","",SUM('Asset Allocation'!B2)/'Broad Asset Allocation'!B2),0)</f>
        <v>0</v>
      </c>
      <c r="C2" s="6">
        <f>IFERROR(IF(A2="","",SUM('Asset Allocation'!C2)/'Broad Asset Allocation'!B2),0)</f>
        <v>0</v>
      </c>
      <c r="D2" s="6">
        <f>IFERROR(IF(A2="","",SUM('Asset Allocation'!G2)/'Broad Asset Allocation'!B2),0)</f>
        <v>0</v>
      </c>
      <c r="E2" s="6"/>
      <c r="F2" s="6"/>
      <c r="G2" s="6"/>
      <c r="H2" s="6">
        <f>IFERROR(IF(A2="","",SUM('Asset Allocation'!F2)/'Broad Asset Allocation'!B2),0)</f>
        <v>0</v>
      </c>
    </row>
    <row r="3" spans="1:8" x14ac:dyDescent="0.25">
      <c r="A3" t="str">
        <f>IF(Input!A4="","",Input!A4)</f>
        <v>MPS Conservative Strategy</v>
      </c>
      <c r="B3" s="6">
        <f>IFERROR(IF(A3="","",SUM('Asset Allocation'!B3)/'Broad Asset Allocation'!B3),0)</f>
        <v>0</v>
      </c>
      <c r="C3" s="6">
        <f>IFERROR(IF(A3="","",SUM('Asset Allocation'!C3)/'Broad Asset Allocation'!B3),0)</f>
        <v>0</v>
      </c>
      <c r="D3" s="6">
        <f>IFERROR(IF(A3="","",SUM('Asset Allocation'!G3)/'Broad Asset Allocation'!B3),0)</f>
        <v>0</v>
      </c>
      <c r="E3" s="6"/>
      <c r="F3" s="6"/>
      <c r="G3" s="6"/>
      <c r="H3" s="6">
        <f>IFERROR(IF(A3="","",SUM('Asset Allocation'!F3)/'Broad Asset Allocation'!B3),0)</f>
        <v>0</v>
      </c>
    </row>
    <row r="4" spans="1:8" x14ac:dyDescent="0.25">
      <c r="A4" t="str">
        <f>IF(Input!A5="","",Input!A5)</f>
        <v>MPS Cautious Strategy</v>
      </c>
      <c r="B4" s="6">
        <f>IFERROR(IF(A4="","",SUM('Asset Allocation'!B4)/'Broad Asset Allocation'!B4),0)</f>
        <v>0</v>
      </c>
      <c r="C4" s="6">
        <f>IFERROR(IF(A4="","",SUM('Asset Allocation'!C4)/'Broad Asset Allocation'!B4),0)</f>
        <v>0</v>
      </c>
      <c r="D4" s="6">
        <f>IFERROR(IF(A4="","",SUM('Asset Allocation'!G4)/'Broad Asset Allocation'!B4),0)</f>
        <v>0</v>
      </c>
      <c r="E4" s="6"/>
      <c r="F4" s="6"/>
      <c r="G4" s="6"/>
      <c r="H4" s="6">
        <f>IFERROR(IF(A4="","",SUM('Asset Allocation'!F4)/'Broad Asset Allocation'!B4),0)</f>
        <v>0</v>
      </c>
    </row>
    <row r="5" spans="1:8" x14ac:dyDescent="0.25">
      <c r="A5" t="str">
        <f>IF(Input!A6="","",Input!A6)</f>
        <v>MPS Growth Strategy</v>
      </c>
      <c r="B5" s="6">
        <f>IFERROR(IF(A5="","",SUM('Asset Allocation'!B5)/'Broad Asset Allocation'!B5),0)</f>
        <v>0</v>
      </c>
      <c r="C5" s="6">
        <f>IFERROR(IF(A5="","",SUM('Asset Allocation'!C5)/'Broad Asset Allocation'!B5),0)</f>
        <v>0</v>
      </c>
      <c r="D5" s="6">
        <f>IFERROR(IF(A5="","",SUM('Asset Allocation'!G5)/'Broad Asset Allocation'!B5),0)</f>
        <v>0</v>
      </c>
      <c r="E5" s="6"/>
      <c r="F5" s="6"/>
      <c r="G5" s="6"/>
      <c r="H5" s="6">
        <f>IFERROR(IF(A5="","",SUM('Asset Allocation'!F5)/'Broad Asset Allocation'!B5),0)</f>
        <v>0</v>
      </c>
    </row>
    <row r="6" spans="1:8" x14ac:dyDescent="0.25">
      <c r="A6" t="str">
        <f>IF(Input!A7="","",Input!A7)</f>
        <v>MPS Income Strategy</v>
      </c>
      <c r="B6" s="6">
        <f>IFERROR(IF(A6="","",SUM('Asset Allocation'!B6)/'Broad Asset Allocation'!B6),0)</f>
        <v>0</v>
      </c>
      <c r="C6" s="6">
        <f>IFERROR(IF(A6="","",SUM('Asset Allocation'!C6)/'Broad Asset Allocation'!B6),0)</f>
        <v>0</v>
      </c>
      <c r="D6" s="6">
        <f>IFERROR(IF(A6="","",SUM('Asset Allocation'!G6)/'Broad Asset Allocation'!B6),0)</f>
        <v>0</v>
      </c>
      <c r="E6" s="6"/>
      <c r="F6" s="6"/>
      <c r="G6" s="6"/>
      <c r="H6" s="6">
        <f>IFERROR(IF(A6="","",SUM('Asset Allocation'!F6)/'Broad Asset Allocation'!B6),0)</f>
        <v>0</v>
      </c>
    </row>
    <row r="7" spans="1:8" x14ac:dyDescent="0.25">
      <c r="A7" t="str">
        <f>IF(Input!A8="","",Input!A8)</f>
        <v>MPS Balanced Strategy</v>
      </c>
      <c r="B7" s="6">
        <f>IFERROR(IF(A7="","",SUM('Asset Allocation'!B7)/'Broad Asset Allocation'!B7),0)</f>
        <v>0</v>
      </c>
      <c r="C7" s="6">
        <f>IFERROR(IF(A7="","",SUM('Asset Allocation'!C7)/'Broad Asset Allocation'!B7),0)</f>
        <v>0</v>
      </c>
      <c r="D7" s="6">
        <f>IFERROR(IF(A7="","",SUM('Asset Allocation'!G7)/'Broad Asset Allocation'!B7),0)</f>
        <v>0</v>
      </c>
      <c r="E7" s="6"/>
      <c r="F7" s="6"/>
      <c r="G7" s="6"/>
      <c r="H7" s="6">
        <f>IFERROR(IF(A7="","",SUM('Asset Allocation'!F7)/'Broad Asset Allocation'!B7),0)</f>
        <v>0</v>
      </c>
    </row>
    <row r="8" spans="1:8" x14ac:dyDescent="0.25">
      <c r="A8" t="str">
        <f>IF(Input!A9="","",Input!A9)</f>
        <v/>
      </c>
      <c r="B8" s="6" t="str">
        <f>IFERROR(IF(A8="","",SUM('Asset Allocation'!B8)/'Broad Asset Allocation'!B8),0)</f>
        <v/>
      </c>
      <c r="C8" s="6" t="str">
        <f>IFERROR(IF(A8="","",SUM('Asset Allocation'!C8)/'Broad Asset Allocation'!B8),0)</f>
        <v/>
      </c>
      <c r="D8" s="6" t="str">
        <f>IFERROR(IF(A8="","",SUM('Asset Allocation'!G8)/'Broad Asset Allocation'!B8),0)</f>
        <v/>
      </c>
      <c r="E8" s="6"/>
      <c r="F8" s="6"/>
      <c r="G8" s="6"/>
      <c r="H8" s="6" t="str">
        <f>IFERROR(IF(A8="","",SUM('Asset Allocation'!F8)/'Broad Asset Allocation'!B8),0)</f>
        <v/>
      </c>
    </row>
    <row r="9" spans="1:8" x14ac:dyDescent="0.25">
      <c r="A9" t="str">
        <f>IF(Input!A10="","",Input!A10)</f>
        <v/>
      </c>
      <c r="B9" s="6" t="str">
        <f>IFERROR(IF(A9="","",SUM('Asset Allocation'!B9)/'Broad Asset Allocation'!B9),0)</f>
        <v/>
      </c>
      <c r="C9" s="6" t="str">
        <f>IFERROR(IF(A9="","",SUM('Asset Allocation'!C9)/'Broad Asset Allocation'!B9),0)</f>
        <v/>
      </c>
      <c r="D9" s="6" t="str">
        <f>IFERROR(IF(A9="","",SUM('Asset Allocation'!G9)/'Broad Asset Allocation'!B9),0)</f>
        <v/>
      </c>
      <c r="E9" s="6"/>
      <c r="F9" s="6"/>
      <c r="G9" s="6"/>
      <c r="H9" s="6" t="str">
        <f>IFERROR(IF(A9="","",SUM('Asset Allocation'!F9)/'Broad Asset Allocation'!B9),0)</f>
        <v/>
      </c>
    </row>
    <row r="10" spans="1:8" x14ac:dyDescent="0.25">
      <c r="A10" t="str">
        <f>IF(Input!A11="","",Input!A11)</f>
        <v/>
      </c>
      <c r="B10" s="6" t="str">
        <f>IFERROR(IF(A10="","",SUM('Asset Allocation'!B10)/'Broad Asset Allocation'!B10),0)</f>
        <v/>
      </c>
      <c r="C10" s="6" t="str">
        <f>IFERROR(IF(A10="","",SUM('Asset Allocation'!C10)/'Broad Asset Allocation'!B10),0)</f>
        <v/>
      </c>
      <c r="D10" s="6" t="str">
        <f>IFERROR(IF(A10="","",SUM('Asset Allocation'!G10)/'Broad Asset Allocation'!B10),0)</f>
        <v/>
      </c>
      <c r="E10" s="6"/>
      <c r="F10" s="6"/>
      <c r="G10" s="6"/>
      <c r="H10" s="6" t="str">
        <f>IFERROR(IF(A10="","",SUM('Asset Allocation'!F10)/'Broad Asset Allocation'!B10),0)</f>
        <v/>
      </c>
    </row>
    <row r="11" spans="1:8" x14ac:dyDescent="0.25">
      <c r="A11" t="str">
        <f>IF(Input!A12="","",Input!A12)</f>
        <v/>
      </c>
      <c r="B11" s="6" t="str">
        <f>IFERROR(IF(A11="","",SUM('Asset Allocation'!B11)/'Broad Asset Allocation'!B11),0)</f>
        <v/>
      </c>
      <c r="C11" s="6" t="str">
        <f>IFERROR(IF(A11="","",SUM('Asset Allocation'!C11)/'Broad Asset Allocation'!B11),0)</f>
        <v/>
      </c>
      <c r="D11" s="6" t="str">
        <f>IFERROR(IF(A11="","",SUM('Asset Allocation'!G11)/'Broad Asset Allocation'!B11),0)</f>
        <v/>
      </c>
      <c r="E11" s="6"/>
      <c r="F11" s="6"/>
      <c r="G11" s="6"/>
      <c r="H11" s="6" t="str">
        <f>IFERROR(IF(A11="","",SUM('Asset Allocation'!F11)/'Broad Asset Allocation'!B11),0)</f>
        <v/>
      </c>
    </row>
    <row r="12" spans="1:8" x14ac:dyDescent="0.25">
      <c r="A12" t="str">
        <f>IF(Input!A13="","",Input!A13)</f>
        <v/>
      </c>
      <c r="B12" s="6" t="str">
        <f>IFERROR(IF(A12="","",SUM('Asset Allocation'!B12)/'Broad Asset Allocation'!B12),0)</f>
        <v/>
      </c>
      <c r="C12" s="6" t="str">
        <f>IFERROR(IF(A12="","",SUM('Asset Allocation'!C12)/'Broad Asset Allocation'!B12),0)</f>
        <v/>
      </c>
      <c r="D12" s="6" t="str">
        <f>IFERROR(IF(A12="","",SUM('Asset Allocation'!G12)/'Broad Asset Allocation'!B12),0)</f>
        <v/>
      </c>
      <c r="E12" s="6"/>
      <c r="F12" s="6"/>
      <c r="G12" s="6"/>
      <c r="H12" s="6" t="str">
        <f>IFERROR(IF(A12="","",SUM('Asset Allocation'!F12)/'Broad Asset Allocation'!B12),0)</f>
        <v/>
      </c>
    </row>
    <row r="13" spans="1:8" x14ac:dyDescent="0.25">
      <c r="A13" t="str">
        <f>IF(Input!A14="","",Input!A14)</f>
        <v/>
      </c>
      <c r="B13" s="6" t="str">
        <f>IFERROR(IF(A13="","",SUM('Asset Allocation'!B13)/'Broad Asset Allocation'!B13),0)</f>
        <v/>
      </c>
      <c r="C13" s="6" t="str">
        <f>IFERROR(IF(A13="","",SUM('Asset Allocation'!C13)/'Broad Asset Allocation'!B13),0)</f>
        <v/>
      </c>
      <c r="D13" s="6" t="str">
        <f>IFERROR(IF(A13="","",SUM('Asset Allocation'!G13)/'Broad Asset Allocation'!B13),0)</f>
        <v/>
      </c>
      <c r="E13" s="6"/>
      <c r="F13" s="6"/>
      <c r="G13" s="6"/>
      <c r="H13" s="6" t="str">
        <f>IFERROR(IF(A13="","",SUM('Asset Allocation'!F13)/'Broad Asset Allocation'!B13),0)</f>
        <v/>
      </c>
    </row>
    <row r="14" spans="1:8" x14ac:dyDescent="0.25">
      <c r="A14" t="str">
        <f>IF(Input!A15="","",Input!A15)</f>
        <v/>
      </c>
      <c r="B14" s="6" t="str">
        <f>IFERROR(IF(A14="","",SUM('Asset Allocation'!B14)/'Broad Asset Allocation'!B14),0)</f>
        <v/>
      </c>
      <c r="C14" s="6" t="str">
        <f>IFERROR(IF(A14="","",SUM('Asset Allocation'!C14)/'Broad Asset Allocation'!B14),0)</f>
        <v/>
      </c>
      <c r="D14" s="6" t="str">
        <f>IFERROR(IF(A14="","",SUM('Asset Allocation'!G14)/'Broad Asset Allocation'!B14),0)</f>
        <v/>
      </c>
      <c r="E14" s="6"/>
      <c r="F14" s="6"/>
      <c r="G14" s="6"/>
      <c r="H14" s="6" t="str">
        <f>IFERROR(IF(A14="","",SUM('Asset Allocation'!F14)/'Broad Asset Allocation'!B14),0)</f>
        <v/>
      </c>
    </row>
    <row r="15" spans="1:8" x14ac:dyDescent="0.25">
      <c r="A15" t="str">
        <f>IF(Input!A16="","",Input!A16)</f>
        <v/>
      </c>
      <c r="B15" s="6" t="str">
        <f>IFERROR(IF(A15="","",SUM('Asset Allocation'!B15)/'Broad Asset Allocation'!B15),0)</f>
        <v/>
      </c>
      <c r="C15" s="6" t="str">
        <f>IFERROR(IF(A15="","",SUM('Asset Allocation'!C15)/'Broad Asset Allocation'!B15),0)</f>
        <v/>
      </c>
      <c r="D15" s="6" t="str">
        <f>IFERROR(IF(A15="","",SUM('Asset Allocation'!G15)/'Broad Asset Allocation'!B15),0)</f>
        <v/>
      </c>
      <c r="E15" s="6"/>
      <c r="F15" s="6"/>
      <c r="G15" s="6"/>
      <c r="H15" s="6" t="str">
        <f>IFERROR(IF(A15="","",SUM('Asset Allocation'!F15)/'Broad Asset Allocation'!B15),0)</f>
        <v/>
      </c>
    </row>
    <row r="16" spans="1:8" x14ac:dyDescent="0.25">
      <c r="A16" t="str">
        <f>IF(Input!A17="","",Input!A17)</f>
        <v/>
      </c>
      <c r="B16" s="6" t="str">
        <f>IFERROR(IF(A16="","",SUM('Asset Allocation'!B16)/'Broad Asset Allocation'!B16),0)</f>
        <v/>
      </c>
      <c r="C16" s="6" t="str">
        <f>IFERROR(IF(A16="","",SUM('Asset Allocation'!C16)/'Broad Asset Allocation'!B16),0)</f>
        <v/>
      </c>
      <c r="D16" s="6" t="str">
        <f>IFERROR(IF(A16="","",SUM('Asset Allocation'!G16)/'Broad Asset Allocation'!B16),0)</f>
        <v/>
      </c>
      <c r="E16" s="6"/>
      <c r="F16" s="6"/>
      <c r="G16" s="6"/>
      <c r="H16" s="6" t="str">
        <f>IFERROR(IF(A16="","",SUM('Asset Allocation'!F16)/'Broad Asset Allocation'!B16),0)</f>
        <v/>
      </c>
    </row>
    <row r="17" spans="1:8" x14ac:dyDescent="0.25">
      <c r="A17" t="str">
        <f>IF(Input!A18="","",Input!A18)</f>
        <v/>
      </c>
      <c r="B17" s="6" t="str">
        <f>IFERROR(IF(A17="","",SUM('Asset Allocation'!B17)/'Broad Asset Allocation'!B17),0)</f>
        <v/>
      </c>
      <c r="C17" s="6" t="str">
        <f>IFERROR(IF(A17="","",SUM('Asset Allocation'!C17)/'Broad Asset Allocation'!B17),0)</f>
        <v/>
      </c>
      <c r="D17" s="6" t="str">
        <f>IFERROR(IF(A17="","",SUM('Asset Allocation'!G17)/'Broad Asset Allocation'!B17),0)</f>
        <v/>
      </c>
      <c r="E17" s="6"/>
      <c r="F17" s="6"/>
      <c r="G17" s="6"/>
      <c r="H17" s="6" t="str">
        <f>IFERROR(IF(A17="","",SUM('Asset Allocation'!F17)/'Broad Asset Allocation'!B17),0)</f>
        <v/>
      </c>
    </row>
    <row r="18" spans="1:8" x14ac:dyDescent="0.25">
      <c r="A18" t="str">
        <f>IF(Input!A19="","",Input!A19)</f>
        <v/>
      </c>
      <c r="B18" s="6" t="str">
        <f>IFERROR(IF(A18="","",SUM('Asset Allocation'!B18)/'Broad Asset Allocation'!B18),0)</f>
        <v/>
      </c>
      <c r="C18" s="6" t="str">
        <f>IFERROR(IF(A18="","",SUM('Asset Allocation'!C18)/'Broad Asset Allocation'!B18),0)</f>
        <v/>
      </c>
      <c r="D18" s="6" t="str">
        <f>IFERROR(IF(A18="","",SUM('Asset Allocation'!G18)/'Broad Asset Allocation'!B18),0)</f>
        <v/>
      </c>
      <c r="E18" s="6"/>
      <c r="F18" s="6"/>
      <c r="G18" s="6"/>
      <c r="H18" s="6" t="str">
        <f>IFERROR(IF(A18="","",SUM('Asset Allocation'!F18)/'Broad Asset Allocation'!B18),0)</f>
        <v/>
      </c>
    </row>
    <row r="19" spans="1:8" x14ac:dyDescent="0.25">
      <c r="A19" t="str">
        <f>IF(Input!A20="","",Input!A20)</f>
        <v/>
      </c>
      <c r="B19" s="6" t="str">
        <f>IFERROR(IF(A19="","",SUM('Asset Allocation'!B19)/'Broad Asset Allocation'!B19),0)</f>
        <v/>
      </c>
      <c r="C19" s="6" t="str">
        <f>IFERROR(IF(A19="","",SUM('Asset Allocation'!C19)/'Broad Asset Allocation'!B19),0)</f>
        <v/>
      </c>
      <c r="D19" s="6" t="str">
        <f>IFERROR(IF(A19="","",SUM('Asset Allocation'!G19)/'Broad Asset Allocation'!B19),0)</f>
        <v/>
      </c>
      <c r="E19" s="6"/>
      <c r="F19" s="6"/>
      <c r="G19" s="6"/>
      <c r="H19" s="6" t="str">
        <f>IFERROR(IF(A19="","",SUM('Asset Allocation'!F19)/'Broad Asset Allocation'!B19),0)</f>
        <v/>
      </c>
    </row>
    <row r="20" spans="1:8" x14ac:dyDescent="0.25">
      <c r="A20" t="str">
        <f>IF(Input!A21="","",Input!A21)</f>
        <v/>
      </c>
      <c r="B20" s="6" t="str">
        <f>IFERROR(IF(A20="","",SUM('Asset Allocation'!B20)/'Broad Asset Allocation'!B20),0)</f>
        <v/>
      </c>
      <c r="C20" s="6" t="str">
        <f>IFERROR(IF(A20="","",SUM('Asset Allocation'!C20)/'Broad Asset Allocation'!B20),0)</f>
        <v/>
      </c>
      <c r="D20" s="6" t="str">
        <f>IFERROR(IF(A20="","",SUM('Asset Allocation'!G20)/'Broad Asset Allocation'!B20),0)</f>
        <v/>
      </c>
      <c r="E20" s="6"/>
      <c r="F20" s="6"/>
      <c r="G20" s="6"/>
      <c r="H20" s="6" t="str">
        <f>IFERROR(IF(A20="","",SUM('Asset Allocation'!F20)/'Broad Asset Allocation'!B20),0)</f>
        <v/>
      </c>
    </row>
    <row r="21" spans="1:8" x14ac:dyDescent="0.25">
      <c r="A21" t="str">
        <f>IF(Input!A22="","",Input!A22)</f>
        <v/>
      </c>
      <c r="B21" s="6" t="str">
        <f>IFERROR(IF(A21="","",SUM('Asset Allocation'!B21)/'Broad Asset Allocation'!B21),0)</f>
        <v/>
      </c>
      <c r="C21" s="6" t="str">
        <f>IFERROR(IF(A21="","",SUM('Asset Allocation'!C21)/'Broad Asset Allocation'!B21),0)</f>
        <v/>
      </c>
      <c r="D21" s="6" t="str">
        <f>IFERROR(IF(A21="","",SUM('Asset Allocation'!G21)/'Broad Asset Allocation'!B21),0)</f>
        <v/>
      </c>
      <c r="E21" s="6"/>
      <c r="F21" s="6"/>
      <c r="G21" s="6"/>
      <c r="H21" s="6" t="str">
        <f>IFERROR(IF(A21="","",SUM('Asset Allocation'!F21)/'Broad Asset Allocation'!B21),0)</f>
        <v/>
      </c>
    </row>
    <row r="22" spans="1:8" x14ac:dyDescent="0.25">
      <c r="A22" t="str">
        <f>IF(Input!A23="","",Input!A23)</f>
        <v/>
      </c>
      <c r="B22" s="6" t="str">
        <f>IFERROR(IF(A22="","",SUM('Asset Allocation'!B22)/'Broad Asset Allocation'!B22),0)</f>
        <v/>
      </c>
      <c r="C22" s="6" t="str">
        <f>IFERROR(IF(A22="","",SUM('Asset Allocation'!C22)/'Broad Asset Allocation'!B22),0)</f>
        <v/>
      </c>
      <c r="D22" s="6" t="str">
        <f>IFERROR(IF(A22="","",SUM('Asset Allocation'!G22)/'Broad Asset Allocation'!B22),0)</f>
        <v/>
      </c>
      <c r="E22" s="6"/>
      <c r="F22" s="6"/>
      <c r="G22" s="6"/>
      <c r="H22" s="6" t="str">
        <f>IFERROR(IF(A22="","",SUM('Asset Allocation'!F22)/'Broad Asset Allocation'!B22),0)</f>
        <v/>
      </c>
    </row>
    <row r="23" spans="1:8" x14ac:dyDescent="0.25">
      <c r="A23" t="str">
        <f>IF(Input!A24="","",Input!A24)</f>
        <v/>
      </c>
      <c r="B23" s="6" t="str">
        <f>IFERROR(IF(A23="","",SUM('Asset Allocation'!B23)/'Broad Asset Allocation'!B23),0)</f>
        <v/>
      </c>
      <c r="C23" s="6" t="str">
        <f>IFERROR(IF(A23="","",SUM('Asset Allocation'!C23)/'Broad Asset Allocation'!B23),0)</f>
        <v/>
      </c>
      <c r="D23" s="6" t="str">
        <f>IFERROR(IF(A23="","",SUM('Asset Allocation'!G23)/'Broad Asset Allocation'!B23),0)</f>
        <v/>
      </c>
      <c r="E23" s="6"/>
      <c r="F23" s="6"/>
      <c r="G23" s="6"/>
      <c r="H23" s="6" t="str">
        <f>IFERROR(IF(A23="","",SUM('Asset Allocation'!F23)/'Broad Asset Allocation'!B23),0)</f>
        <v/>
      </c>
    </row>
    <row r="24" spans="1:8" x14ac:dyDescent="0.25">
      <c r="A24" t="str">
        <f>IF(Input!A25="","",Input!A25)</f>
        <v/>
      </c>
      <c r="B24" s="6" t="str">
        <f>IFERROR(IF(A24="","",SUM('Asset Allocation'!B24)/'Broad Asset Allocation'!B24),0)</f>
        <v/>
      </c>
      <c r="C24" s="6" t="str">
        <f>IFERROR(IF(A24="","",SUM('Asset Allocation'!C24)/'Broad Asset Allocation'!B24),0)</f>
        <v/>
      </c>
      <c r="D24" s="6" t="str">
        <f>IFERROR(IF(A24="","",SUM('Asset Allocation'!G24)/'Broad Asset Allocation'!B24),0)</f>
        <v/>
      </c>
      <c r="E24" s="6"/>
      <c r="F24" s="6"/>
      <c r="G24" s="6"/>
      <c r="H24" s="6" t="str">
        <f>IFERROR(IF(A24="","",SUM('Asset Allocation'!F24)/'Broad Asset Allocation'!B24),0)</f>
        <v/>
      </c>
    </row>
    <row r="25" spans="1:8" x14ac:dyDescent="0.25">
      <c r="A25" t="str">
        <f>IF(Input!A26="","",Input!A26)</f>
        <v/>
      </c>
      <c r="B25" s="6" t="str">
        <f>IFERROR(IF(A25="","",SUM('Asset Allocation'!B25)/'Broad Asset Allocation'!B25),0)</f>
        <v/>
      </c>
      <c r="C25" s="6" t="str">
        <f>IFERROR(IF(A25="","",SUM('Asset Allocation'!C25)/'Broad Asset Allocation'!B25),0)</f>
        <v/>
      </c>
      <c r="D25" s="6" t="str">
        <f>IFERROR(IF(A25="","",SUM('Asset Allocation'!G25)/'Broad Asset Allocation'!B25),0)</f>
        <v/>
      </c>
      <c r="E25" s="6"/>
      <c r="F25" s="6"/>
      <c r="G25" s="6"/>
      <c r="H25" s="6" t="str">
        <f>IFERROR(IF(A25="","",SUM('Asset Allocation'!F25)/'Broad Asset Allocation'!B25),0)</f>
        <v/>
      </c>
    </row>
    <row r="26" spans="1:8" x14ac:dyDescent="0.25">
      <c r="A26" t="str">
        <f>IF(Input!A27="","",Input!A27)</f>
        <v/>
      </c>
      <c r="B26" s="6" t="str">
        <f>IFERROR(IF(A26="","",SUM('Asset Allocation'!B26)/'Broad Asset Allocation'!B26),0)</f>
        <v/>
      </c>
      <c r="C26" s="6" t="str">
        <f>IFERROR(IF(A26="","",SUM('Asset Allocation'!C26)/'Broad Asset Allocation'!B26),0)</f>
        <v/>
      </c>
      <c r="D26" s="6" t="str">
        <f>IFERROR(IF(A26="","",SUM('Asset Allocation'!G26)/'Broad Asset Allocation'!B26),0)</f>
        <v/>
      </c>
      <c r="E26" s="6"/>
      <c r="F26" s="6"/>
      <c r="G26" s="6"/>
      <c r="H26" s="6" t="str">
        <f>IFERROR(IF(A26="","",SUM('Asset Allocation'!F26)/'Broad Asset Allocation'!B26),0)</f>
        <v/>
      </c>
    </row>
    <row r="27" spans="1:8" x14ac:dyDescent="0.25">
      <c r="A27" t="str">
        <f>IF(Input!A28="","",Input!A28)</f>
        <v/>
      </c>
      <c r="B27" s="6" t="str">
        <f>IFERROR(IF(A27="","",SUM('Asset Allocation'!B27)/'Broad Asset Allocation'!B27),0)</f>
        <v/>
      </c>
      <c r="C27" s="6" t="str">
        <f>IFERROR(IF(A27="","",SUM('Asset Allocation'!C27)/'Broad Asset Allocation'!B27),0)</f>
        <v/>
      </c>
      <c r="D27" s="6" t="str">
        <f>IFERROR(IF(A27="","",SUM('Asset Allocation'!G27)/'Broad Asset Allocation'!B27),0)</f>
        <v/>
      </c>
      <c r="E27" s="6"/>
      <c r="F27" s="6"/>
      <c r="G27" s="6"/>
      <c r="H27" s="6" t="str">
        <f>IFERROR(IF(A27="","",SUM('Asset Allocation'!F27)/'Broad Asset Allocation'!B27),0)</f>
        <v/>
      </c>
    </row>
    <row r="28" spans="1:8" x14ac:dyDescent="0.25">
      <c r="A28" t="str">
        <f>IF(Input!A29="","",Input!A29)</f>
        <v/>
      </c>
      <c r="B28" s="6" t="str">
        <f>IFERROR(IF(A28="","",SUM('Asset Allocation'!B28)/'Broad Asset Allocation'!B28),0)</f>
        <v/>
      </c>
      <c r="C28" s="6" t="str">
        <f>IFERROR(IF(A28="","",SUM('Asset Allocation'!C28)/'Broad Asset Allocation'!B28),0)</f>
        <v/>
      </c>
      <c r="D28" s="6" t="str">
        <f>IFERROR(IF(A28="","",SUM('Asset Allocation'!G28)/'Broad Asset Allocation'!B28),0)</f>
        <v/>
      </c>
      <c r="E28" s="6"/>
      <c r="F28" s="6"/>
      <c r="G28" s="6"/>
      <c r="H28" s="6" t="str">
        <f>IFERROR(IF(A28="","",SUM('Asset Allocation'!F28)/'Broad Asset Allocation'!B28),0)</f>
        <v/>
      </c>
    </row>
    <row r="29" spans="1:8" x14ac:dyDescent="0.25">
      <c r="A29" t="str">
        <f>IF(Input!A30="","",Input!A30)</f>
        <v/>
      </c>
      <c r="B29" s="6" t="str">
        <f>IFERROR(IF(A29="","",SUM('Asset Allocation'!B29)/'Broad Asset Allocation'!B29),0)</f>
        <v/>
      </c>
      <c r="C29" s="6" t="str">
        <f>IFERROR(IF(A29="","",SUM('Asset Allocation'!C29)/'Broad Asset Allocation'!B29),0)</f>
        <v/>
      </c>
      <c r="D29" s="6" t="str">
        <f>IFERROR(IF(A29="","",SUM('Asset Allocation'!G29)/'Broad Asset Allocation'!B29),0)</f>
        <v/>
      </c>
      <c r="E29" s="6"/>
      <c r="F29" s="6"/>
      <c r="G29" s="6"/>
      <c r="H29" s="6" t="str">
        <f>IFERROR(IF(A29="","",SUM('Asset Allocation'!F29)/'Broad Asset Allocation'!B29),0)</f>
        <v/>
      </c>
    </row>
    <row r="30" spans="1:8" x14ac:dyDescent="0.25">
      <c r="A30" t="str">
        <f>IF(Input!A31="","",Input!A31)</f>
        <v/>
      </c>
      <c r="B30" s="6" t="str">
        <f>IFERROR(IF(A30="","",SUM('Asset Allocation'!B30)/'Broad Asset Allocation'!B30),0)</f>
        <v/>
      </c>
      <c r="C30" s="6" t="str">
        <f>IFERROR(IF(A30="","",SUM('Asset Allocation'!C30)/'Broad Asset Allocation'!B30),0)</f>
        <v/>
      </c>
      <c r="D30" s="6" t="str">
        <f>IFERROR(IF(A30="","",SUM('Asset Allocation'!G30)/'Broad Asset Allocation'!B30),0)</f>
        <v/>
      </c>
      <c r="E30" s="6"/>
      <c r="F30" s="6"/>
      <c r="G30" s="6"/>
      <c r="H30" s="6" t="str">
        <f>IFERROR(IF(A30="","",SUM('Asset Allocation'!F30)/'Broad Asset Allocation'!B30),0)</f>
        <v/>
      </c>
    </row>
    <row r="31" spans="1:8" x14ac:dyDescent="0.25">
      <c r="A31" t="str">
        <f>IF(Input!A32="","",Input!A32)</f>
        <v/>
      </c>
      <c r="B31" s="6" t="str">
        <f>IFERROR(IF(A31="","",SUM('Asset Allocation'!B31)/'Broad Asset Allocation'!B31),0)</f>
        <v/>
      </c>
      <c r="C31" s="6" t="str">
        <f>IFERROR(IF(A31="","",SUM('Asset Allocation'!C31)/'Broad Asset Allocation'!B31),0)</f>
        <v/>
      </c>
      <c r="D31" s="6" t="str">
        <f>IFERROR(IF(A31="","",SUM('Asset Allocation'!G31)/'Broad Asset Allocation'!B31),0)</f>
        <v/>
      </c>
      <c r="E31" s="6"/>
      <c r="F31" s="6"/>
      <c r="G31" s="6"/>
      <c r="H31" s="6" t="str">
        <f>IFERROR(IF(A31="","",SUM('Asset Allocation'!F31)/'Broad Asset Allocation'!B31),0)</f>
        <v/>
      </c>
    </row>
    <row r="32" spans="1:8" x14ac:dyDescent="0.25">
      <c r="A32" t="str">
        <f>IF(Input!A33="","",Input!A33)</f>
        <v/>
      </c>
      <c r="B32" s="6" t="str">
        <f>IFERROR(IF(A32="","",SUM('Asset Allocation'!B32)/'Broad Asset Allocation'!B32),0)</f>
        <v/>
      </c>
      <c r="C32" s="6" t="str">
        <f>IFERROR(IF(A32="","",SUM('Asset Allocation'!C32)/'Broad Asset Allocation'!B32),0)</f>
        <v/>
      </c>
      <c r="D32" s="6" t="str">
        <f>IFERROR(IF(A32="","",SUM('Asset Allocation'!G32)/'Broad Asset Allocation'!B32),0)</f>
        <v/>
      </c>
      <c r="E32" s="6"/>
      <c r="F32" s="6"/>
      <c r="G32" s="6"/>
      <c r="H32" s="6" t="str">
        <f>IFERROR(IF(A32="","",SUM('Asset Allocation'!F32)/'Broad Asset Allocation'!B32),0)</f>
        <v/>
      </c>
    </row>
    <row r="33" spans="1:8" x14ac:dyDescent="0.25">
      <c r="A33" t="str">
        <f>IF(Input!A34="","",Input!A34)</f>
        <v/>
      </c>
      <c r="B33" s="6" t="str">
        <f>IFERROR(IF(A33="","",SUM('Asset Allocation'!B33)/'Broad Asset Allocation'!B33),0)</f>
        <v/>
      </c>
      <c r="C33" s="6" t="str">
        <f>IFERROR(IF(A33="","",SUM('Asset Allocation'!C33)/'Broad Asset Allocation'!B33),0)</f>
        <v/>
      </c>
      <c r="D33" s="6" t="str">
        <f>IFERROR(IF(A33="","",SUM('Asset Allocation'!G33)/'Broad Asset Allocation'!B33),0)</f>
        <v/>
      </c>
      <c r="E33" s="6"/>
      <c r="F33" s="6"/>
      <c r="G33" s="6"/>
      <c r="H33" s="6" t="str">
        <f>IFERROR(IF(A33="","",SUM('Asset Allocation'!F33)/'Broad Asset Allocation'!B33),0)</f>
        <v/>
      </c>
    </row>
    <row r="34" spans="1:8" x14ac:dyDescent="0.25">
      <c r="A34" t="str">
        <f>IF(Input!A35="","",Input!A35)</f>
        <v/>
      </c>
      <c r="B34" s="6" t="str">
        <f>IFERROR(IF(A34="","",SUM('Asset Allocation'!B34)/'Broad Asset Allocation'!B34),0)</f>
        <v/>
      </c>
      <c r="C34" s="6" t="str">
        <f>IFERROR(IF(A34="","",SUM('Asset Allocation'!C34)/'Broad Asset Allocation'!B34),0)</f>
        <v/>
      </c>
      <c r="D34" s="6" t="str">
        <f>IFERROR(IF(A34="","",SUM('Asset Allocation'!G34)/'Broad Asset Allocation'!B34),0)</f>
        <v/>
      </c>
      <c r="E34" s="6"/>
      <c r="F34" s="6"/>
      <c r="G34" s="6"/>
      <c r="H34" s="6" t="str">
        <f>IFERROR(IF(A34="","",SUM('Asset Allocation'!F34)/'Broad Asset Allocation'!B34),0)</f>
        <v/>
      </c>
    </row>
    <row r="35" spans="1:8" x14ac:dyDescent="0.25">
      <c r="A35" t="str">
        <f>IF(Input!A36="","",Input!A36)</f>
        <v/>
      </c>
      <c r="B35" s="6" t="str">
        <f>IFERROR(IF(A35="","",SUM('Asset Allocation'!B35)/'Broad Asset Allocation'!B35),0)</f>
        <v/>
      </c>
      <c r="C35" s="6" t="str">
        <f>IFERROR(IF(A35="","",SUM('Asset Allocation'!C35)/'Broad Asset Allocation'!B35),0)</f>
        <v/>
      </c>
      <c r="D35" s="6" t="str">
        <f>IFERROR(IF(A35="","",SUM('Asset Allocation'!G35)/'Broad Asset Allocation'!B35),0)</f>
        <v/>
      </c>
      <c r="E35" s="6"/>
      <c r="F35" s="6"/>
      <c r="G35" s="6"/>
      <c r="H35" s="6" t="str">
        <f>IFERROR(IF(A35="","",SUM('Asset Allocation'!F35)/'Broad Asset Allocation'!B35),0)</f>
        <v/>
      </c>
    </row>
    <row r="36" spans="1:8" x14ac:dyDescent="0.25">
      <c r="A36" t="str">
        <f>IF(Input!A37="","",Input!A37)</f>
        <v/>
      </c>
      <c r="B36" s="6" t="str">
        <f>IFERROR(IF(A36="","",SUM('Asset Allocation'!B36)/'Broad Asset Allocation'!B36),0)</f>
        <v/>
      </c>
      <c r="C36" s="6" t="str">
        <f>IFERROR(IF(A36="","",SUM('Asset Allocation'!C36)/'Broad Asset Allocation'!B36),0)</f>
        <v/>
      </c>
      <c r="D36" s="6" t="str">
        <f>IFERROR(IF(A36="","",SUM('Asset Allocation'!G36)/'Broad Asset Allocation'!B36),0)</f>
        <v/>
      </c>
      <c r="E36" s="6"/>
      <c r="F36" s="6"/>
      <c r="G36" s="6"/>
      <c r="H36" s="6" t="str">
        <f>IFERROR(IF(A36="","",SUM('Asset Allocation'!F36)/'Broad Asset Allocation'!B36),0)</f>
        <v/>
      </c>
    </row>
    <row r="37" spans="1:8" x14ac:dyDescent="0.25">
      <c r="A37" t="str">
        <f>IF(Input!A38="","",Input!A38)</f>
        <v/>
      </c>
      <c r="B37" s="6" t="str">
        <f>IFERROR(IF(A37="","",SUM('Asset Allocation'!B37)/'Broad Asset Allocation'!B37),0)</f>
        <v/>
      </c>
      <c r="C37" s="6" t="str">
        <f>IFERROR(IF(A37="","",SUM('Asset Allocation'!C37)/'Broad Asset Allocation'!B37),0)</f>
        <v/>
      </c>
      <c r="D37" s="6" t="str">
        <f>IFERROR(IF(A37="","",SUM('Asset Allocation'!G37)/'Broad Asset Allocation'!B37),0)</f>
        <v/>
      </c>
      <c r="E37" s="6"/>
      <c r="F37" s="6"/>
      <c r="G37" s="6"/>
      <c r="H37" s="6" t="str">
        <f>IFERROR(IF(A37="","",SUM('Asset Allocation'!F37)/'Broad Asset Allocation'!B37),0)</f>
        <v/>
      </c>
    </row>
    <row r="38" spans="1:8" x14ac:dyDescent="0.25">
      <c r="A38" t="str">
        <f>IF(Input!A39="","",Input!A39)</f>
        <v/>
      </c>
      <c r="B38" s="6" t="str">
        <f>IFERROR(IF(A38="","",SUM('Asset Allocation'!B38)/'Broad Asset Allocation'!B38),0)</f>
        <v/>
      </c>
      <c r="C38" s="6" t="str">
        <f>IFERROR(IF(A38="","",SUM('Asset Allocation'!C38)/'Broad Asset Allocation'!B38),0)</f>
        <v/>
      </c>
      <c r="D38" s="6" t="str">
        <f>IFERROR(IF(A38="","",SUM('Asset Allocation'!G38)/'Broad Asset Allocation'!B38),0)</f>
        <v/>
      </c>
      <c r="E38" s="6"/>
      <c r="F38" s="6"/>
      <c r="G38" s="6"/>
      <c r="H38" s="6" t="str">
        <f>IFERROR(IF(A38="","",SUM('Asset Allocation'!F38)/'Broad Asset Allocation'!B38),0)</f>
        <v/>
      </c>
    </row>
    <row r="39" spans="1:8" x14ac:dyDescent="0.25">
      <c r="A39" t="str">
        <f>IF(Input!A40="","",Input!A40)</f>
        <v/>
      </c>
      <c r="B39" s="6" t="str">
        <f>IFERROR(IF(A39="","",SUM('Asset Allocation'!B39)/'Broad Asset Allocation'!B39),0)</f>
        <v/>
      </c>
      <c r="C39" s="6" t="str">
        <f>IFERROR(IF(A39="","",SUM('Asset Allocation'!C39)/'Broad Asset Allocation'!B39),0)</f>
        <v/>
      </c>
      <c r="D39" s="6" t="str">
        <f>IFERROR(IF(A39="","",SUM('Asset Allocation'!G39)/'Broad Asset Allocation'!B39),0)</f>
        <v/>
      </c>
      <c r="E39" s="6"/>
      <c r="F39" s="6"/>
      <c r="G39" s="6"/>
      <c r="H39" s="6" t="str">
        <f>IFERROR(IF(A39="","",SUM('Asset Allocation'!F39)/'Broad Asset Allocation'!B39),0)</f>
        <v/>
      </c>
    </row>
    <row r="40" spans="1:8" x14ac:dyDescent="0.25">
      <c r="A40" t="str">
        <f>IF(Input!A41="","",Input!A41)</f>
        <v/>
      </c>
      <c r="B40" s="6" t="str">
        <f>IFERROR(IF(A40="","",SUM('Asset Allocation'!B40)/'Broad Asset Allocation'!B40),0)</f>
        <v/>
      </c>
      <c r="C40" s="6" t="str">
        <f>IFERROR(IF(A40="","",SUM('Asset Allocation'!C40)/'Broad Asset Allocation'!B40),0)</f>
        <v/>
      </c>
      <c r="D40" s="6" t="str">
        <f>IFERROR(IF(A40="","",SUM('Asset Allocation'!G40)/'Broad Asset Allocation'!B40),0)</f>
        <v/>
      </c>
      <c r="E40" s="6"/>
      <c r="F40" s="6"/>
      <c r="G40" s="6"/>
      <c r="H40" s="6" t="str">
        <f>IFERROR(IF(A40="","",SUM('Asset Allocation'!F40)/'Broad Asset Allocation'!B40),0)</f>
        <v/>
      </c>
    </row>
    <row r="41" spans="1:8" x14ac:dyDescent="0.25">
      <c r="A41" t="str">
        <f>IF(Input!A42="","",Input!A42)</f>
        <v/>
      </c>
      <c r="B41" s="6" t="str">
        <f>IFERROR(IF(A41="","",SUM('Asset Allocation'!B41)/'Broad Asset Allocation'!B41),0)</f>
        <v/>
      </c>
      <c r="C41" s="6" t="str">
        <f>IFERROR(IF(A41="","",SUM('Asset Allocation'!C41)/'Broad Asset Allocation'!B41),0)</f>
        <v/>
      </c>
      <c r="D41" s="6" t="str">
        <f>IFERROR(IF(A41="","",SUM('Asset Allocation'!G41)/'Broad Asset Allocation'!B41),0)</f>
        <v/>
      </c>
      <c r="E41" s="6"/>
      <c r="F41" s="6"/>
      <c r="G41" s="6"/>
      <c r="H41" s="6" t="str">
        <f>IFERROR(IF(A41="","",SUM('Asset Allocation'!F41)/'Broad Asset Allocation'!B41),0)</f>
        <v/>
      </c>
    </row>
    <row r="42" spans="1:8" x14ac:dyDescent="0.25">
      <c r="A42" t="str">
        <f>IF(Input!A43="","",Input!A43)</f>
        <v/>
      </c>
      <c r="B42" s="6" t="str">
        <f>IFERROR(IF(A42="","",SUM('Asset Allocation'!B42)/'Broad Asset Allocation'!B42),0)</f>
        <v/>
      </c>
      <c r="C42" s="6" t="str">
        <f>IFERROR(IF(A42="","",SUM('Asset Allocation'!C42)/'Broad Asset Allocation'!B42),0)</f>
        <v/>
      </c>
      <c r="D42" s="6" t="str">
        <f>IFERROR(IF(A42="","",SUM('Asset Allocation'!G42)/'Broad Asset Allocation'!B42),0)</f>
        <v/>
      </c>
      <c r="E42" s="6"/>
      <c r="F42" s="6"/>
      <c r="G42" s="6"/>
      <c r="H42" s="6" t="str">
        <f>IFERROR(IF(A42="","",SUM('Asset Allocation'!F42)/'Broad Asset Allocation'!B42),0)</f>
        <v/>
      </c>
    </row>
    <row r="43" spans="1:8" x14ac:dyDescent="0.25">
      <c r="A43" t="str">
        <f>IF(Input!A44="","",Input!A44)</f>
        <v/>
      </c>
      <c r="B43" s="6" t="str">
        <f>IFERROR(IF(A43="","",SUM('Asset Allocation'!B43)/'Broad Asset Allocation'!B43),0)</f>
        <v/>
      </c>
      <c r="C43" s="6" t="str">
        <f>IFERROR(IF(A43="","",SUM('Asset Allocation'!C43)/'Broad Asset Allocation'!B43),0)</f>
        <v/>
      </c>
      <c r="D43" s="6" t="str">
        <f>IFERROR(IF(A43="","",SUM('Asset Allocation'!G43)/'Broad Asset Allocation'!B43),0)</f>
        <v/>
      </c>
      <c r="E43" s="6"/>
      <c r="F43" s="6"/>
      <c r="G43" s="6"/>
      <c r="H43" s="6" t="str">
        <f>IFERROR(IF(A43="","",SUM('Asset Allocation'!F43)/'Broad Asset Allocation'!B43),0)</f>
        <v/>
      </c>
    </row>
    <row r="44" spans="1:8" x14ac:dyDescent="0.25">
      <c r="A44" t="str">
        <f>IF(Input!A45="","",Input!A45)</f>
        <v/>
      </c>
      <c r="B44" s="6" t="str">
        <f>IFERROR(IF(A44="","",SUM('Asset Allocation'!B44)/'Broad Asset Allocation'!B44),0)</f>
        <v/>
      </c>
      <c r="C44" s="6" t="str">
        <f>IFERROR(IF(A44="","",SUM('Asset Allocation'!C44)/'Broad Asset Allocation'!B44),0)</f>
        <v/>
      </c>
      <c r="D44" s="6" t="str">
        <f>IFERROR(IF(A44="","",SUM('Asset Allocation'!G44)/'Broad Asset Allocation'!B44),0)</f>
        <v/>
      </c>
      <c r="E44" s="6"/>
      <c r="F44" s="6"/>
      <c r="G44" s="6"/>
      <c r="H44" s="6" t="str">
        <f>IFERROR(IF(A44="","",SUM('Asset Allocation'!F44)/'Broad Asset Allocation'!B44),0)</f>
        <v/>
      </c>
    </row>
    <row r="45" spans="1:8" x14ac:dyDescent="0.25">
      <c r="A45" t="str">
        <f>IF(Input!A46="","",Input!A46)</f>
        <v/>
      </c>
      <c r="B45" s="6" t="str">
        <f>IFERROR(IF(A45="","",SUM('Asset Allocation'!B45)/'Broad Asset Allocation'!B45),0)</f>
        <v/>
      </c>
      <c r="C45" s="6" t="str">
        <f>IFERROR(IF(A45="","",SUM('Asset Allocation'!C45)/'Broad Asset Allocation'!B45),0)</f>
        <v/>
      </c>
      <c r="D45" s="6" t="str">
        <f>IFERROR(IF(A45="","",SUM('Asset Allocation'!G45)/'Broad Asset Allocation'!B45),0)</f>
        <v/>
      </c>
      <c r="E45" s="6"/>
      <c r="F45" s="6"/>
      <c r="G45" s="6"/>
      <c r="H45" s="6" t="str">
        <f>IFERROR(IF(A45="","",SUM('Asset Allocation'!F45)/'Broad Asset Allocation'!B45),0)</f>
        <v/>
      </c>
    </row>
    <row r="46" spans="1:8" x14ac:dyDescent="0.25">
      <c r="A46" t="str">
        <f>IF(Input!A47="","",Input!A47)</f>
        <v/>
      </c>
      <c r="B46" s="6" t="str">
        <f>IFERROR(IF(A46="","",SUM('Asset Allocation'!B46)/'Broad Asset Allocation'!B46),0)</f>
        <v/>
      </c>
      <c r="C46" s="6" t="str">
        <f>IFERROR(IF(A46="","",SUM('Asset Allocation'!C46)/'Broad Asset Allocation'!B46),0)</f>
        <v/>
      </c>
      <c r="D46" s="6" t="str">
        <f>IFERROR(IF(A46="","",SUM('Asset Allocation'!G46)/'Broad Asset Allocation'!B46),0)</f>
        <v/>
      </c>
      <c r="E46" s="6"/>
      <c r="F46" s="6"/>
      <c r="G46" s="6"/>
      <c r="H46" s="6" t="str">
        <f>IFERROR(IF(A46="","",SUM('Asset Allocation'!F46)/'Broad Asset Allocation'!B46),0)</f>
        <v/>
      </c>
    </row>
    <row r="47" spans="1:8" x14ac:dyDescent="0.25">
      <c r="A47" t="str">
        <f>IF(Input!A48="","",Input!A48)</f>
        <v/>
      </c>
      <c r="B47" s="6" t="str">
        <f>IFERROR(IF(A47="","",SUM('Asset Allocation'!B47)/'Broad Asset Allocation'!B47),0)</f>
        <v/>
      </c>
      <c r="C47" s="6" t="str">
        <f>IFERROR(IF(A47="","",SUM('Asset Allocation'!C47)/'Broad Asset Allocation'!B47),0)</f>
        <v/>
      </c>
      <c r="D47" s="6" t="str">
        <f>IFERROR(IF(A47="","",SUM('Asset Allocation'!G47)/'Broad Asset Allocation'!B47),0)</f>
        <v/>
      </c>
      <c r="E47" s="6"/>
      <c r="F47" s="6"/>
      <c r="G47" s="6"/>
      <c r="H47" s="6" t="str">
        <f>IFERROR(IF(A47="","",SUM('Asset Allocation'!F47)/'Broad Asset Allocation'!B47),0)</f>
        <v/>
      </c>
    </row>
    <row r="48" spans="1:8" x14ac:dyDescent="0.25">
      <c r="A48" t="str">
        <f>IF(Input!A49="","",Input!A49)</f>
        <v/>
      </c>
      <c r="B48" s="6" t="str">
        <f>IFERROR(IF(A48="","",SUM('Asset Allocation'!B48)/'Broad Asset Allocation'!B48),0)</f>
        <v/>
      </c>
      <c r="C48" s="6" t="str">
        <f>IFERROR(IF(A48="","",SUM('Asset Allocation'!C48)/'Broad Asset Allocation'!B48),0)</f>
        <v/>
      </c>
      <c r="D48" s="6" t="str">
        <f>IFERROR(IF(A48="","",SUM('Asset Allocation'!G48)/'Broad Asset Allocation'!B48),0)</f>
        <v/>
      </c>
      <c r="E48" s="6"/>
      <c r="F48" s="6"/>
      <c r="G48" s="6"/>
      <c r="H48" s="6" t="str">
        <f>IFERROR(IF(A48="","",SUM('Asset Allocation'!F48)/'Broad Asset Allocation'!B48),0)</f>
        <v/>
      </c>
    </row>
    <row r="49" spans="1:8" x14ac:dyDescent="0.25">
      <c r="A49" t="str">
        <f>IF(Input!A50="","",Input!A50)</f>
        <v/>
      </c>
      <c r="B49" s="6" t="str">
        <f>IFERROR(IF(A49="","",SUM('Asset Allocation'!B49)/'Broad Asset Allocation'!B49),0)</f>
        <v/>
      </c>
      <c r="C49" s="6" t="str">
        <f>IFERROR(IF(A49="","",SUM('Asset Allocation'!C49)/'Broad Asset Allocation'!B49),0)</f>
        <v/>
      </c>
      <c r="D49" s="6" t="str">
        <f>IFERROR(IF(A49="","",SUM('Asset Allocation'!G49)/'Broad Asset Allocation'!B49),0)</f>
        <v/>
      </c>
      <c r="E49" s="6"/>
      <c r="F49" s="6"/>
      <c r="G49" s="6"/>
      <c r="H49" s="6" t="str">
        <f>IFERROR(IF(A49="","",SUM('Asset Allocation'!F49)/'Broad Asset Allocation'!B49),0)</f>
        <v/>
      </c>
    </row>
    <row r="50" spans="1:8" x14ac:dyDescent="0.25">
      <c r="A50" t="str">
        <f>IF(Input!A51="","",Input!A51)</f>
        <v/>
      </c>
      <c r="B50" s="6" t="str">
        <f>IFERROR(IF(A50="","",SUM('Asset Allocation'!B50)/'Broad Asset Allocation'!B50),0)</f>
        <v/>
      </c>
      <c r="C50" s="6" t="str">
        <f>IFERROR(IF(A50="","",SUM('Asset Allocation'!C50)/'Broad Asset Allocation'!B50),0)</f>
        <v/>
      </c>
      <c r="D50" s="6" t="str">
        <f>IFERROR(IF(A50="","",SUM('Asset Allocation'!G50)/'Broad Asset Allocation'!B50),0)</f>
        <v/>
      </c>
      <c r="E50" s="6"/>
      <c r="F50" s="6"/>
      <c r="G50" s="6"/>
      <c r="H50" s="6" t="str">
        <f>IFERROR(IF(A50="","",SUM('Asset Allocation'!F50)/'Broad Asset Allocation'!B50),0)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sheetData>
    <row r="1" spans="1:8" x14ac:dyDescent="0.25">
      <c r="B1" t="s">
        <v>11</v>
      </c>
      <c r="C1" t="s">
        <v>13</v>
      </c>
      <c r="D1" t="s">
        <v>12</v>
      </c>
      <c r="E1" t="s">
        <v>55</v>
      </c>
      <c r="F1" t="s">
        <v>50</v>
      </c>
      <c r="G1" t="s">
        <v>16</v>
      </c>
      <c r="H1" t="s">
        <v>51</v>
      </c>
    </row>
    <row r="2" spans="1:8" x14ac:dyDescent="0.25">
      <c r="A2" t="str">
        <f>IF(Input!A3="","",Input!A3)</f>
        <v>MPS Global Growth Strategy</v>
      </c>
      <c r="H2">
        <f>IFERROR(IF(A2="","",SUM('Asset Allocation'!D2)/'Broad Asset Allocation'!C2),0)</f>
        <v>0</v>
      </c>
    </row>
    <row r="3" spans="1:8" x14ac:dyDescent="0.25">
      <c r="A3" t="str">
        <f>IF(Input!A4="","",Input!A4)</f>
        <v>MPS Conservative Strategy</v>
      </c>
      <c r="H3">
        <f>IFERROR(IF(A3="","",SUM('Asset Allocation'!D3)/'Broad Asset Allocation'!C3),0)</f>
        <v>0</v>
      </c>
    </row>
    <row r="4" spans="1:8" x14ac:dyDescent="0.25">
      <c r="A4" t="str">
        <f>IF(Input!A5="","",Input!A5)</f>
        <v>MPS Cautious Strategy</v>
      </c>
      <c r="H4">
        <f>IFERROR(IF(A4="","",SUM('Asset Allocation'!D4)/'Broad Asset Allocation'!C4),0)</f>
        <v>0</v>
      </c>
    </row>
    <row r="5" spans="1:8" x14ac:dyDescent="0.25">
      <c r="A5" t="str">
        <f>IF(Input!A6="","",Input!A6)</f>
        <v>MPS Growth Strategy</v>
      </c>
      <c r="H5">
        <f>IFERROR(IF(A5="","",SUM('Asset Allocation'!D5)/'Broad Asset Allocation'!C5),0)</f>
        <v>0</v>
      </c>
    </row>
    <row r="6" spans="1:8" x14ac:dyDescent="0.25">
      <c r="A6" t="str">
        <f>IF(Input!A7="","",Input!A7)</f>
        <v>MPS Income Strategy</v>
      </c>
      <c r="H6">
        <f>IFERROR(IF(A6="","",SUM('Asset Allocation'!D6)/'Broad Asset Allocation'!C6),0)</f>
        <v>0</v>
      </c>
    </row>
    <row r="7" spans="1:8" x14ac:dyDescent="0.25">
      <c r="A7" t="str">
        <f>IF(Input!A8="","",Input!A8)</f>
        <v>MPS Balanced Strategy</v>
      </c>
      <c r="H7">
        <f>IFERROR(IF(A7="","",SUM('Asset Allocation'!D7)/'Broad Asset Allocation'!C7),0)</f>
        <v>0</v>
      </c>
    </row>
    <row r="8" spans="1:8" x14ac:dyDescent="0.25">
      <c r="A8" t="str">
        <f>IF(Input!A9="","",Input!A9)</f>
        <v/>
      </c>
      <c r="H8" t="str">
        <f>IFERROR(IF(A8="","",SUM('Asset Allocation'!D8)/'Broad Asset Allocation'!C8),0)</f>
        <v/>
      </c>
    </row>
    <row r="9" spans="1:8" x14ac:dyDescent="0.25">
      <c r="A9" t="str">
        <f>IF(Input!A10="","",Input!A10)</f>
        <v/>
      </c>
      <c r="H9" t="str">
        <f>IFERROR(IF(A9="","",SUM('Asset Allocation'!D9)/'Broad Asset Allocation'!C9),0)</f>
        <v/>
      </c>
    </row>
    <row r="10" spans="1:8" x14ac:dyDescent="0.25">
      <c r="A10" t="str">
        <f>IF(Input!A11="","",Input!A11)</f>
        <v/>
      </c>
      <c r="H10" t="str">
        <f>IFERROR(IF(A10="","",SUM('Asset Allocation'!D10)/'Broad Asset Allocation'!C10),0)</f>
        <v/>
      </c>
    </row>
    <row r="11" spans="1:8" x14ac:dyDescent="0.25">
      <c r="A11" t="str">
        <f>IF(Input!A12="","",Input!A12)</f>
        <v/>
      </c>
      <c r="H11" t="str">
        <f>IFERROR(IF(A11="","",SUM('Asset Allocation'!D11)/'Broad Asset Allocation'!C11),0)</f>
        <v/>
      </c>
    </row>
    <row r="12" spans="1:8" x14ac:dyDescent="0.25">
      <c r="A12" t="str">
        <f>IF(Input!A13="","",Input!A13)</f>
        <v/>
      </c>
      <c r="H12" t="str">
        <f>IFERROR(IF(A12="","",SUM('Asset Allocation'!D12)/'Broad Asset Allocation'!C12),0)</f>
        <v/>
      </c>
    </row>
    <row r="13" spans="1:8" x14ac:dyDescent="0.25">
      <c r="A13" t="str">
        <f>IF(Input!A14="","",Input!A14)</f>
        <v/>
      </c>
      <c r="H13" t="str">
        <f>IFERROR(IF(A13="","",SUM('Asset Allocation'!D13)/'Broad Asset Allocation'!C13),0)</f>
        <v/>
      </c>
    </row>
    <row r="14" spans="1:8" x14ac:dyDescent="0.25">
      <c r="A14" t="str">
        <f>IF(Input!A15="","",Input!A15)</f>
        <v/>
      </c>
      <c r="H14" t="str">
        <f>IFERROR(IF(A14="","",SUM('Asset Allocation'!D14)/'Broad Asset Allocation'!C14),0)</f>
        <v/>
      </c>
    </row>
    <row r="15" spans="1:8" x14ac:dyDescent="0.25">
      <c r="A15" t="str">
        <f>IF(Input!A16="","",Input!A16)</f>
        <v/>
      </c>
      <c r="H15" t="str">
        <f>IFERROR(IF(A15="","",SUM('Asset Allocation'!D15)/'Broad Asset Allocation'!C15),0)</f>
        <v/>
      </c>
    </row>
    <row r="16" spans="1:8" x14ac:dyDescent="0.25">
      <c r="A16" t="str">
        <f>IF(Input!A17="","",Input!A17)</f>
        <v/>
      </c>
      <c r="H16" t="str">
        <f>IFERROR(IF(A16="","",SUM('Asset Allocation'!D16)/'Broad Asset Allocation'!C16),0)</f>
        <v/>
      </c>
    </row>
    <row r="17" spans="1:8" x14ac:dyDescent="0.25">
      <c r="A17" t="str">
        <f>IF(Input!A18="","",Input!A18)</f>
        <v/>
      </c>
      <c r="H17" t="str">
        <f>IFERROR(IF(A17="","",SUM('Asset Allocation'!D17)/'Broad Asset Allocation'!C17),0)</f>
        <v/>
      </c>
    </row>
    <row r="18" spans="1:8" x14ac:dyDescent="0.25">
      <c r="A18" t="str">
        <f>IF(Input!A19="","",Input!A19)</f>
        <v/>
      </c>
      <c r="H18" t="str">
        <f>IFERROR(IF(A18="","",SUM('Asset Allocation'!D18)/'Broad Asset Allocation'!C18),0)</f>
        <v/>
      </c>
    </row>
    <row r="19" spans="1:8" x14ac:dyDescent="0.25">
      <c r="A19" t="str">
        <f>IF(Input!A20="","",Input!A20)</f>
        <v/>
      </c>
      <c r="H19" t="str">
        <f>IFERROR(IF(A19="","",SUM('Asset Allocation'!D19)/'Broad Asset Allocation'!C19),0)</f>
        <v/>
      </c>
    </row>
    <row r="20" spans="1:8" x14ac:dyDescent="0.25">
      <c r="A20" t="str">
        <f>IF(Input!A21="","",Input!A21)</f>
        <v/>
      </c>
      <c r="H20" t="str">
        <f>IFERROR(IF(A20="","",SUM('Asset Allocation'!D20)/'Broad Asset Allocation'!C20),0)</f>
        <v/>
      </c>
    </row>
    <row r="21" spans="1:8" x14ac:dyDescent="0.25">
      <c r="A21" t="str">
        <f>IF(Input!A22="","",Input!A22)</f>
        <v/>
      </c>
      <c r="H21" t="str">
        <f>IFERROR(IF(A21="","",SUM('Asset Allocation'!D21)/'Broad Asset Allocation'!C21),0)</f>
        <v/>
      </c>
    </row>
    <row r="22" spans="1:8" x14ac:dyDescent="0.25">
      <c r="A22" t="str">
        <f>IF(Input!A23="","",Input!A23)</f>
        <v/>
      </c>
      <c r="H22" t="str">
        <f>IFERROR(IF(A22="","",SUM('Asset Allocation'!D22)/'Broad Asset Allocation'!C22),0)</f>
        <v/>
      </c>
    </row>
    <row r="23" spans="1:8" x14ac:dyDescent="0.25">
      <c r="A23" t="str">
        <f>IF(Input!A24="","",Input!A24)</f>
        <v/>
      </c>
      <c r="H23" t="str">
        <f>IFERROR(IF(A23="","",SUM('Asset Allocation'!D23)/'Broad Asset Allocation'!C23),0)</f>
        <v/>
      </c>
    </row>
    <row r="24" spans="1:8" x14ac:dyDescent="0.25">
      <c r="A24" t="str">
        <f>IF(Input!A25="","",Input!A25)</f>
        <v/>
      </c>
      <c r="H24" t="str">
        <f>IFERROR(IF(A24="","",SUM('Asset Allocation'!D24)/'Broad Asset Allocation'!C24),0)</f>
        <v/>
      </c>
    </row>
    <row r="25" spans="1:8" x14ac:dyDescent="0.25">
      <c r="A25" t="str">
        <f>IF(Input!A26="","",Input!A26)</f>
        <v/>
      </c>
      <c r="H25" t="str">
        <f>IFERROR(IF(A25="","",SUM('Asset Allocation'!D25)/'Broad Asset Allocation'!C25),0)</f>
        <v/>
      </c>
    </row>
    <row r="26" spans="1:8" x14ac:dyDescent="0.25">
      <c r="A26" t="str">
        <f>IF(Input!A27="","",Input!A27)</f>
        <v/>
      </c>
      <c r="H26" t="str">
        <f>IFERROR(IF(A26="","",SUM('Asset Allocation'!D26)/'Broad Asset Allocation'!C26),0)</f>
        <v/>
      </c>
    </row>
    <row r="27" spans="1:8" x14ac:dyDescent="0.25">
      <c r="A27" t="str">
        <f>IF(Input!A28="","",Input!A28)</f>
        <v/>
      </c>
      <c r="H27" t="str">
        <f>IFERROR(IF(A27="","",SUM('Asset Allocation'!D27)/'Broad Asset Allocation'!C27),0)</f>
        <v/>
      </c>
    </row>
    <row r="28" spans="1:8" x14ac:dyDescent="0.25">
      <c r="A28" t="str">
        <f>IF(Input!A29="","",Input!A29)</f>
        <v/>
      </c>
      <c r="H28" t="str">
        <f>IFERROR(IF(A28="","",SUM('Asset Allocation'!D28)/'Broad Asset Allocation'!C28),0)</f>
        <v/>
      </c>
    </row>
    <row r="29" spans="1:8" x14ac:dyDescent="0.25">
      <c r="A29" t="str">
        <f>IF(Input!A30="","",Input!A30)</f>
        <v/>
      </c>
      <c r="H29" t="str">
        <f>IFERROR(IF(A29="","",SUM('Asset Allocation'!D29)/'Broad Asset Allocation'!C29),0)</f>
        <v/>
      </c>
    </row>
    <row r="30" spans="1:8" x14ac:dyDescent="0.25">
      <c r="A30" t="str">
        <f>IF(Input!A31="","",Input!A31)</f>
        <v/>
      </c>
      <c r="H30" t="str">
        <f>IFERROR(IF(A30="","",SUM('Asset Allocation'!D30)/'Broad Asset Allocation'!C30),0)</f>
        <v/>
      </c>
    </row>
    <row r="31" spans="1:8" x14ac:dyDescent="0.25">
      <c r="A31" t="str">
        <f>IF(Input!A32="","",Input!A32)</f>
        <v/>
      </c>
      <c r="H31" t="str">
        <f>IFERROR(IF(A31="","",SUM('Asset Allocation'!D31)/'Broad Asset Allocation'!C31),0)</f>
        <v/>
      </c>
    </row>
    <row r="32" spans="1:8" x14ac:dyDescent="0.25">
      <c r="A32" t="str">
        <f>IF(Input!A33="","",Input!A33)</f>
        <v/>
      </c>
      <c r="H32" t="str">
        <f>IFERROR(IF(A32="","",SUM('Asset Allocation'!D32)/'Broad Asset Allocation'!C32),0)</f>
        <v/>
      </c>
    </row>
    <row r="33" spans="1:8" x14ac:dyDescent="0.25">
      <c r="A33" t="str">
        <f>IF(Input!A34="","",Input!A34)</f>
        <v/>
      </c>
      <c r="H33" t="str">
        <f>IFERROR(IF(A33="","",SUM('Asset Allocation'!D33)/'Broad Asset Allocation'!C33),0)</f>
        <v/>
      </c>
    </row>
    <row r="34" spans="1:8" x14ac:dyDescent="0.25">
      <c r="A34" t="str">
        <f>IF(Input!A35="","",Input!A35)</f>
        <v/>
      </c>
      <c r="H34" t="str">
        <f>IFERROR(IF(A34="","",SUM('Asset Allocation'!D34)/'Broad Asset Allocation'!C34),0)</f>
        <v/>
      </c>
    </row>
    <row r="35" spans="1:8" x14ac:dyDescent="0.25">
      <c r="A35" t="str">
        <f>IF(Input!A36="","",Input!A36)</f>
        <v/>
      </c>
      <c r="H35" t="str">
        <f>IFERROR(IF(A35="","",SUM('Asset Allocation'!D35)/'Broad Asset Allocation'!C35),0)</f>
        <v/>
      </c>
    </row>
    <row r="36" spans="1:8" x14ac:dyDescent="0.25">
      <c r="A36" t="str">
        <f>IF(Input!A37="","",Input!A37)</f>
        <v/>
      </c>
      <c r="H36" t="str">
        <f>IFERROR(IF(A36="","",SUM('Asset Allocation'!D36)/'Broad Asset Allocation'!C36),0)</f>
        <v/>
      </c>
    </row>
    <row r="37" spans="1:8" x14ac:dyDescent="0.25">
      <c r="A37" t="str">
        <f>IF(Input!A38="","",Input!A38)</f>
        <v/>
      </c>
      <c r="H37" t="str">
        <f>IFERROR(IF(A37="","",SUM('Asset Allocation'!D37)/'Broad Asset Allocation'!C37),0)</f>
        <v/>
      </c>
    </row>
    <row r="38" spans="1:8" x14ac:dyDescent="0.25">
      <c r="A38" t="str">
        <f>IF(Input!A39="","",Input!A39)</f>
        <v/>
      </c>
      <c r="H38" t="str">
        <f>IFERROR(IF(A38="","",SUM('Asset Allocation'!D38)/'Broad Asset Allocation'!C38),0)</f>
        <v/>
      </c>
    </row>
    <row r="39" spans="1:8" x14ac:dyDescent="0.25">
      <c r="A39" t="str">
        <f>IF(Input!A40="","",Input!A40)</f>
        <v/>
      </c>
      <c r="H39" t="str">
        <f>IFERROR(IF(A39="","",SUM('Asset Allocation'!D39)/'Broad Asset Allocation'!C39),0)</f>
        <v/>
      </c>
    </row>
    <row r="40" spans="1:8" x14ac:dyDescent="0.25">
      <c r="A40" t="str">
        <f>IF(Input!A41="","",Input!A41)</f>
        <v/>
      </c>
      <c r="H40" t="str">
        <f>IFERROR(IF(A40="","",SUM('Asset Allocation'!D40)/'Broad Asset Allocation'!C40),0)</f>
        <v/>
      </c>
    </row>
    <row r="41" spans="1:8" x14ac:dyDescent="0.25">
      <c r="A41" t="str">
        <f>IF(Input!A42="","",Input!A42)</f>
        <v/>
      </c>
      <c r="H41" t="str">
        <f>IFERROR(IF(A41="","",SUM('Asset Allocation'!D41)/'Broad Asset Allocation'!C41),0)</f>
        <v/>
      </c>
    </row>
    <row r="42" spans="1:8" x14ac:dyDescent="0.25">
      <c r="A42" t="str">
        <f>IF(Input!A43="","",Input!A43)</f>
        <v/>
      </c>
      <c r="H42" t="str">
        <f>IFERROR(IF(A42="","",SUM('Asset Allocation'!D42)/'Broad Asset Allocation'!C42),0)</f>
        <v/>
      </c>
    </row>
    <row r="43" spans="1:8" x14ac:dyDescent="0.25">
      <c r="A43" t="str">
        <f>IF(Input!A44="","",Input!A44)</f>
        <v/>
      </c>
      <c r="H43" t="str">
        <f>IFERROR(IF(A43="","",SUM('Asset Allocation'!D43)/'Broad Asset Allocation'!C43),0)</f>
        <v/>
      </c>
    </row>
    <row r="44" spans="1:8" x14ac:dyDescent="0.25">
      <c r="A44" t="str">
        <f>IF(Input!A45="","",Input!A45)</f>
        <v/>
      </c>
      <c r="H44" t="str">
        <f>IFERROR(IF(A44="","",SUM('Asset Allocation'!D44)/'Broad Asset Allocation'!C44),0)</f>
        <v/>
      </c>
    </row>
    <row r="45" spans="1:8" x14ac:dyDescent="0.25">
      <c r="A45" t="str">
        <f>IF(Input!A46="","",Input!A46)</f>
        <v/>
      </c>
      <c r="H45" t="str">
        <f>IFERROR(IF(A45="","",SUM('Asset Allocation'!D45)/'Broad Asset Allocation'!C45),0)</f>
        <v/>
      </c>
    </row>
    <row r="46" spans="1:8" x14ac:dyDescent="0.25">
      <c r="A46" t="str">
        <f>IF(Input!A47="","",Input!A47)</f>
        <v/>
      </c>
      <c r="H46" t="str">
        <f>IFERROR(IF(A46="","",SUM('Asset Allocation'!D46)/'Broad Asset Allocation'!C46),0)</f>
        <v/>
      </c>
    </row>
    <row r="47" spans="1:8" x14ac:dyDescent="0.25">
      <c r="A47" t="str">
        <f>IF(Input!A48="","",Input!A48)</f>
        <v/>
      </c>
      <c r="H47" t="str">
        <f>IFERROR(IF(A47="","",SUM('Asset Allocation'!D47)/'Broad Asset Allocation'!C47),0)</f>
        <v/>
      </c>
    </row>
    <row r="48" spans="1:8" x14ac:dyDescent="0.25">
      <c r="A48" t="str">
        <f>IF(Input!A49="","",Input!A49)</f>
        <v/>
      </c>
      <c r="H48" t="str">
        <f>IFERROR(IF(A48="","",SUM('Asset Allocation'!D48)/'Broad Asset Allocation'!C48),0)</f>
        <v/>
      </c>
    </row>
    <row r="49" spans="1:8" x14ac:dyDescent="0.25">
      <c r="A49" t="str">
        <f>IF(Input!A50="","",Input!A50)</f>
        <v/>
      </c>
      <c r="H49" t="str">
        <f>IFERROR(IF(A49="","",SUM('Asset Allocation'!D49)/'Broad Asset Allocation'!C49),0)</f>
        <v/>
      </c>
    </row>
    <row r="50" spans="1:8" x14ac:dyDescent="0.25">
      <c r="A50" t="str">
        <f>IF(Input!A51="","",Input!A51)</f>
        <v/>
      </c>
      <c r="H50" t="str">
        <f>IFERROR(IF(A50="","",SUM('Asset Allocation'!D50)/'Broad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MPS Global Growth Strategy</v>
      </c>
      <c r="C1" s="1" t="str">
        <v>MPS Conservative Strategy</v>
      </c>
      <c r="D1" t="str">
        <v>MPS Cautious Strategy</v>
      </c>
      <c r="E1" t="str">
        <v>MPS Growth Strategy</v>
      </c>
      <c r="F1" t="str">
        <v>MPS Income Strategy</v>
      </c>
      <c r="G1" t="str">
        <v>MPS Balanced Strategy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MPS Global Growth Strategy</v>
      </c>
      <c r="C1" s="1" t="str">
        <v>MPS Conservative Strategy</v>
      </c>
      <c r="D1" t="str">
        <v>MPS Cautious Strategy</v>
      </c>
      <c r="E1" t="str">
        <v>MPS Growth Strategy</v>
      </c>
      <c r="F1" t="str">
        <v>MPS Income Strategy</v>
      </c>
      <c r="G1" t="str">
        <v>MPS Balanced Strategy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MPS Global Growth Strategy</v>
      </c>
      <c r="C1" s="1" t="str">
        <v>MPS Conservative Strategy</v>
      </c>
      <c r="D1" t="str">
        <v>MPS Cautious Strategy</v>
      </c>
      <c r="E1" t="str">
        <v>MPS Growth Strategy</v>
      </c>
      <c r="F1" t="str">
        <v>MPS Income Strategy</v>
      </c>
      <c r="G1" t="str">
        <v>MPS Balanced Strategy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MPS Global Growth Strategy</v>
      </c>
      <c r="C1" s="1" t="str">
        <v>MPS Conservative Strategy</v>
      </c>
      <c r="D1" t="str">
        <v>MPS Cautious Strategy</v>
      </c>
      <c r="E1" t="str">
        <v>MPS Growth Strategy</v>
      </c>
      <c r="F1" t="str">
        <v>MPS Income Strategy</v>
      </c>
      <c r="G1" t="str">
        <v>MPS Balanced Strategy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MPS Global Growth Strategy</v>
      </c>
      <c r="C1" s="1" t="str">
        <v>MPS Conservative Strategy</v>
      </c>
      <c r="D1" t="str">
        <v>MPS Cautious Strategy</v>
      </c>
      <c r="E1" t="str">
        <v>MPS Growth Strategy</v>
      </c>
      <c r="F1" t="str">
        <v>MPS Income Strategy</v>
      </c>
      <c r="G1" t="str">
        <v>MPS Balanced Strategy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MPS Global Growth Strategy</v>
      </c>
      <c r="C1" s="1" t="str">
        <v>MPS Conservative Strategy</v>
      </c>
      <c r="D1" t="str">
        <v>MPS Cautious Strategy</v>
      </c>
      <c r="E1" t="str">
        <v>MPS Growth Strategy</v>
      </c>
      <c r="F1" t="str">
        <v>MPS Income Strategy</v>
      </c>
      <c r="G1" t="str">
        <v>MPS Balanced Strategy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MPS Global Growth Strategy</v>
      </c>
      <c r="C1" s="1" t="str">
        <v>MPS Conservative Strategy</v>
      </c>
      <c r="D1" t="str">
        <v>MPS Cautious Strategy</v>
      </c>
      <c r="E1" t="str">
        <v>MPS Growth Strategy</v>
      </c>
      <c r="F1" t="str">
        <v>MPS Income Strategy</v>
      </c>
      <c r="G1" t="str">
        <v>MPS Balanced Strategy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MPS Global Growth Strategy</v>
      </c>
      <c r="C1" s="1" t="str">
        <v>MPS Conservative Strategy</v>
      </c>
      <c r="D1" t="str">
        <v>MPS Cautious Strategy</v>
      </c>
      <c r="E1" t="str">
        <v>MPS Growth Strategy</v>
      </c>
      <c r="F1" t="str">
        <v>MPS Income Strategy</v>
      </c>
      <c r="G1" t="str">
        <v>MPS Balanced Strategy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MPS Global Growth Strategy</v>
      </c>
      <c r="C1" s="1" t="str">
        <v>MPS Conservative Strategy</v>
      </c>
      <c r="D1" t="str">
        <v>MPS Cautious Strategy</v>
      </c>
      <c r="E1" t="str">
        <v>MPS Growth Strategy</v>
      </c>
      <c r="F1" t="str">
        <v>MPS Income Strategy</v>
      </c>
      <c r="G1" t="str">
        <v>MPS Balanced Strategy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MPS Global Growth Strategy</v>
      </c>
      <c r="C1" s="1" t="str">
        <v>MPS Conservative Strategy</v>
      </c>
      <c r="D1" t="str">
        <v>MPS Cautious Strategy</v>
      </c>
      <c r="E1" t="str">
        <v>MPS Growth Strategy</v>
      </c>
      <c r="F1" t="str">
        <v>MPS Income Strategy</v>
      </c>
      <c r="G1" t="str">
        <v>MPS Balanced Strategy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MPS Global Growth Strategy</v>
      </c>
      <c r="C1" s="1" t="str">
        <v>MPS Conservative Strategy</v>
      </c>
      <c r="D1" t="str">
        <v>MPS Cautious Strategy</v>
      </c>
      <c r="E1" t="str">
        <v>MPS Growth Strategy</v>
      </c>
      <c r="F1" t="str">
        <v>MPS Income Strategy</v>
      </c>
      <c r="G1" t="str">
        <v>MPS Balanced Strategy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MPS Global Growth Strategy</v>
      </c>
      <c r="C1" s="1" t="str">
        <v>MPS Conservative Strategy</v>
      </c>
      <c r="D1" t="str">
        <v>MPS Cautious Strategy</v>
      </c>
      <c r="E1" t="str">
        <v>MPS Growth Strategy</v>
      </c>
      <c r="F1" t="str">
        <v>MPS Income Strategy</v>
      </c>
      <c r="G1" t="str">
        <v>MPS Balanced Strategy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MPS Global Growth Strategy</v>
      </c>
      <c r="C1" s="1" t="str">
        <v>MPS Conservative Strategy</v>
      </c>
      <c r="D1" t="str">
        <v>MPS Cautious Strategy</v>
      </c>
      <c r="E1" t="str">
        <v>MPS Growth Strategy</v>
      </c>
      <c r="F1" t="str">
        <v>MPS Income Strategy</v>
      </c>
      <c r="G1" t="str">
        <v>MPS Balanced Strategy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MPS Global Growth Strategy</v>
      </c>
      <c r="C1" s="1" t="str">
        <v>MPS Conservative Strategy</v>
      </c>
      <c r="D1" t="str">
        <v>MPS Cautious Strategy</v>
      </c>
      <c r="E1" t="str">
        <v>MPS Growth Strategy</v>
      </c>
      <c r="F1" t="str">
        <v>MPS Income Strategy</v>
      </c>
      <c r="G1" t="str">
        <v>MPS Balanced Strategy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MPS Global Growth Strategy</v>
      </c>
      <c r="C1" s="1" t="str">
        <v>MPS Conservative Strategy</v>
      </c>
      <c r="D1" t="str">
        <v>MPS Cautious Strategy</v>
      </c>
      <c r="E1" t="str">
        <v>MPS Growth Strategy</v>
      </c>
      <c r="F1" t="str">
        <v>MPS Income Strategy</v>
      </c>
      <c r="G1" t="str">
        <v>MPS Balanced Strategy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MPS Global Growth Strategy</v>
      </c>
      <c r="C1" s="1" t="str">
        <v>MPS Conservative Strategy</v>
      </c>
      <c r="D1" t="str">
        <v>MPS Cautious Strategy</v>
      </c>
      <c r="E1" t="str">
        <v>MPS Growth Strategy</v>
      </c>
      <c r="F1" t="str">
        <v>MPS Income Strategy</v>
      </c>
      <c r="G1" t="str">
        <v>MPS Balanced Strategy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MPS Global Growth Strategy</v>
      </c>
      <c r="C1" s="1" t="str">
        <v>MPS Conservative Strategy</v>
      </c>
      <c r="D1" t="str">
        <v>MPS Cautious Strategy</v>
      </c>
      <c r="E1" t="str">
        <v>MPS Growth Strategy</v>
      </c>
      <c r="F1" t="str">
        <v>MPS Income Strategy</v>
      </c>
      <c r="G1" t="str">
        <v>MPS Balanced Strategy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MPS Global Growth Strategy</v>
      </c>
      <c r="C1" s="1" t="str">
        <v>MPS Conservative Strategy</v>
      </c>
      <c r="D1" t="str">
        <v>MPS Cautious Strategy</v>
      </c>
      <c r="E1" t="str">
        <v>MPS Growth Strategy</v>
      </c>
      <c r="F1" t="str">
        <v>MPS Income Strategy</v>
      </c>
      <c r="G1" t="str">
        <v>MPS Balanced Strategy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MPS Global Growth Strategy</v>
      </c>
      <c r="C1" s="1" t="str">
        <v>MPS Conservative Strategy</v>
      </c>
      <c r="D1" t="str">
        <v>MPS Cautious Strategy</v>
      </c>
      <c r="E1" t="str">
        <v>MPS Growth Strategy</v>
      </c>
      <c r="F1" t="str">
        <v>MPS Income Strategy</v>
      </c>
      <c r="G1" t="str">
        <v>MPS Balanced Strategy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MPS Global Growth Strategy</v>
      </c>
      <c r="C1" s="1" t="str">
        <v>MPS Conservative Strategy</v>
      </c>
      <c r="D1" t="str">
        <v>MPS Cautious Strategy</v>
      </c>
      <c r="E1" t="str">
        <v>MPS Growth Strategy</v>
      </c>
      <c r="F1" t="str">
        <v>MPS Income Strategy</v>
      </c>
      <c r="G1" t="str">
        <v>MPS Balanced Strategy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MPS Global Growth Strategy</v>
      </c>
      <c r="C1" s="1" t="str">
        <v>MPS Conservative Strategy</v>
      </c>
      <c r="D1" t="str">
        <v>MPS Cautious Strategy</v>
      </c>
      <c r="E1" t="str">
        <v>MPS Growth Strategy</v>
      </c>
      <c r="F1" t="str">
        <v>MPS Income Strategy</v>
      </c>
      <c r="G1" t="str">
        <v>MPS Balanced Strategy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MPS Global Growth Strategy</v>
      </c>
      <c r="C1" s="1" t="str">
        <v>MPS Conservative Strategy</v>
      </c>
      <c r="D1" t="str">
        <v>MPS Cautious Strategy</v>
      </c>
      <c r="E1" t="str">
        <v>MPS Growth Strategy</v>
      </c>
      <c r="F1" t="str">
        <v>MPS Income Strategy</v>
      </c>
      <c r="G1" t="str">
        <v>MPS Balanced Strategy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MPS Global Growth Strategy</v>
      </c>
      <c r="C1" s="1" t="str">
        <v>MPS Conservative Strategy</v>
      </c>
      <c r="D1" t="str">
        <v>MPS Cautious Strategy</v>
      </c>
      <c r="E1" t="str">
        <v>MPS Growth Strategy</v>
      </c>
      <c r="F1" t="str">
        <v>MPS Income Strategy</v>
      </c>
      <c r="G1" t="str">
        <v>MPS Balanced Strategy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MPS Global Growth Strategy</v>
      </c>
      <c r="C1" s="1" t="str">
        <v>MPS Conservative Strategy</v>
      </c>
      <c r="D1" t="str">
        <v>MPS Cautious Strategy</v>
      </c>
      <c r="E1" t="str">
        <v>MPS Growth Strategy</v>
      </c>
      <c r="F1" t="str">
        <v>MPS Income Strategy</v>
      </c>
      <c r="G1" t="str">
        <v>MPS Balanced Strategy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MPS Global Growth Strategy</v>
      </c>
      <c r="C1" s="1" t="str">
        <v>MPS Conservative Strategy</v>
      </c>
      <c r="D1" t="str">
        <v>MPS Cautious Strategy</v>
      </c>
      <c r="E1" t="str">
        <v>MPS Growth Strategy</v>
      </c>
      <c r="F1" t="str">
        <v>MPS Income Strategy</v>
      </c>
      <c r="G1" t="str">
        <v>MPS Balanced Strategy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MPS Global Growth Strategy</v>
      </c>
      <c r="C1" s="1" t="str">
        <v>MPS Conservative Strategy</v>
      </c>
      <c r="D1" t="str">
        <v>MPS Cautious Strategy</v>
      </c>
      <c r="E1" t="str">
        <v>MPS Growth Strategy</v>
      </c>
      <c r="F1" t="str">
        <v>MPS Income Strategy</v>
      </c>
      <c r="G1" t="str">
        <v>MPS Balanced Strategy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MPS Global Growth Strategy</v>
      </c>
      <c r="C1" s="1" t="str">
        <v>MPS Conservative Strategy</v>
      </c>
      <c r="D1" t="str">
        <v>MPS Cautious Strategy</v>
      </c>
      <c r="E1" t="str">
        <v>MPS Growth Strategy</v>
      </c>
      <c r="F1" t="str">
        <v>MPS Income Strategy</v>
      </c>
      <c r="G1" t="str">
        <v>MPS Balanced Strategy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37</vt:i4>
      </vt:variant>
    </vt:vector>
  </HeadingPairs>
  <TitlesOfParts>
    <vt:vector size="37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3 Year Performance</vt:lpstr>
      <vt:lpstr>5 Year Performance</vt:lpstr>
      <vt:lpstr>Annual Management Charge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High Yield</vt:lpstr>
      <vt:lpstr>Emerging Market Debt</vt:lpstr>
      <vt:lpstr>Strategic Bond Fund</vt:lpstr>
      <vt:lpstr>Unclassified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2023-12-17T23:43:14Z</dcterms:modified>
</cp:coreProperties>
</file>