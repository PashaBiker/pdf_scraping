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tests\aj_new\"/>
    </mc:Choice>
  </mc:AlternateContent>
  <bookViews>
    <workbookView xWindow="765" yWindow="765" windowWidth="14400" windowHeight="7275" firstSheet="1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C45" i="7" l="1"/>
  <c r="G45" i="7"/>
  <c r="B45" i="7"/>
  <c r="D45" i="7"/>
  <c r="E45" i="7"/>
  <c r="F45" i="7"/>
  <c r="E46" i="7"/>
  <c r="F46" i="7"/>
  <c r="B46" i="7"/>
  <c r="G46" i="7"/>
  <c r="C46" i="7"/>
  <c r="D46" i="7"/>
  <c r="G39" i="7"/>
  <c r="D39" i="7"/>
  <c r="E39" i="7"/>
  <c r="B39" i="7"/>
  <c r="C39" i="7"/>
  <c r="F39" i="7"/>
  <c r="G40" i="7"/>
  <c r="B40" i="7"/>
  <c r="E40" i="7"/>
  <c r="C40" i="7"/>
  <c r="D40" i="7"/>
  <c r="F40" i="7"/>
  <c r="C49" i="7"/>
  <c r="D49" i="7"/>
  <c r="G49" i="7"/>
  <c r="B49" i="7"/>
  <c r="E49" i="7"/>
  <c r="F49" i="7"/>
  <c r="E34" i="7"/>
  <c r="D34" i="7"/>
  <c r="F34" i="7"/>
  <c r="B34" i="7"/>
  <c r="C34" i="7"/>
  <c r="G34" i="7"/>
  <c r="E42" i="7"/>
  <c r="F42" i="7"/>
  <c r="B42" i="7"/>
  <c r="G42" i="7"/>
  <c r="C42" i="7"/>
  <c r="D42" i="7"/>
  <c r="E50" i="7"/>
  <c r="F50" i="7"/>
  <c r="B50" i="7"/>
  <c r="G50" i="7"/>
  <c r="C50" i="7"/>
  <c r="D50" i="7"/>
  <c r="C37" i="7"/>
  <c r="F37" i="7"/>
  <c r="G37" i="7"/>
  <c r="B37" i="7"/>
  <c r="D37" i="7"/>
  <c r="E37" i="7"/>
  <c r="G47" i="7"/>
  <c r="B47" i="7"/>
  <c r="D47" i="7"/>
  <c r="F47" i="7"/>
  <c r="E47" i="7"/>
  <c r="C47" i="7"/>
  <c r="D32" i="7"/>
  <c r="E32" i="7"/>
  <c r="F32" i="7"/>
  <c r="B32" i="7"/>
  <c r="C32" i="7"/>
  <c r="G32" i="7"/>
  <c r="E48" i="7"/>
  <c r="G48" i="7"/>
  <c r="B48" i="7"/>
  <c r="D48" i="7"/>
  <c r="C48" i="7"/>
  <c r="F48" i="7"/>
  <c r="C41" i="7"/>
  <c r="F41" i="7"/>
  <c r="G41" i="7"/>
  <c r="B41" i="7"/>
  <c r="D41" i="7"/>
  <c r="E41" i="7"/>
  <c r="G35" i="7"/>
  <c r="D35" i="7"/>
  <c r="E35" i="7"/>
  <c r="C35" i="7"/>
  <c r="B35" i="7"/>
  <c r="F35" i="7"/>
  <c r="G43" i="7"/>
  <c r="B43" i="7"/>
  <c r="D43" i="7"/>
  <c r="E43" i="7"/>
  <c r="F43" i="7"/>
  <c r="C43" i="7"/>
  <c r="E38" i="7"/>
  <c r="F38" i="7"/>
  <c r="B38" i="7"/>
  <c r="D38" i="7"/>
  <c r="G38" i="7"/>
  <c r="C38" i="7"/>
  <c r="G31" i="7"/>
  <c r="E31" i="7"/>
  <c r="C31" i="7"/>
  <c r="B31" i="7"/>
  <c r="D31" i="7"/>
  <c r="F31" i="7"/>
  <c r="C33" i="7"/>
  <c r="D33" i="7"/>
  <c r="F33" i="7"/>
  <c r="B33" i="7"/>
  <c r="E33" i="7"/>
  <c r="G33" i="7"/>
  <c r="D36" i="7"/>
  <c r="B36" i="7"/>
  <c r="C36" i="7"/>
  <c r="E36" i="7"/>
  <c r="F36" i="7"/>
  <c r="G36" i="7"/>
  <c r="G44" i="7"/>
  <c r="B44" i="7"/>
  <c r="E44" i="7"/>
  <c r="C44" i="7"/>
  <c r="D44" i="7"/>
  <c r="F44" i="7"/>
  <c r="B30" i="4"/>
  <c r="E30" i="7" s="1"/>
  <c r="G30" i="4"/>
  <c r="C30" i="4"/>
  <c r="H30" i="8" s="1"/>
  <c r="D30" i="4"/>
  <c r="C7" i="4"/>
  <c r="H7" i="8" s="1"/>
  <c r="D7" i="4"/>
  <c r="G7" i="4"/>
  <c r="B7" i="4"/>
  <c r="C31" i="4"/>
  <c r="D31" i="4"/>
  <c r="G31" i="4"/>
  <c r="B31" i="4"/>
  <c r="B24" i="4"/>
  <c r="G24" i="4"/>
  <c r="C24" i="4"/>
  <c r="H24" i="8" s="1"/>
  <c r="D24" i="4"/>
  <c r="B32" i="4"/>
  <c r="C32" i="4"/>
  <c r="G32" i="4"/>
  <c r="D32" i="4"/>
  <c r="C25" i="4"/>
  <c r="H25" i="8" s="1"/>
  <c r="D25" i="4"/>
  <c r="G25" i="4"/>
  <c r="B25" i="4"/>
  <c r="C33" i="4"/>
  <c r="D33" i="4"/>
  <c r="G33" i="4"/>
  <c r="B33" i="4"/>
  <c r="G2" i="4"/>
  <c r="D2" i="4"/>
  <c r="B2" i="4"/>
  <c r="C2" i="4"/>
  <c r="H2" i="8" s="1"/>
  <c r="B10" i="4"/>
  <c r="C10" i="4"/>
  <c r="H10" i="8" s="1"/>
  <c r="D10" i="4"/>
  <c r="G10" i="4"/>
  <c r="B18" i="4"/>
  <c r="C18" i="4"/>
  <c r="H18" i="8" s="1"/>
  <c r="D18" i="4"/>
  <c r="G18" i="4"/>
  <c r="B26" i="4"/>
  <c r="G26" i="4"/>
  <c r="C26" i="4"/>
  <c r="H26" i="8" s="1"/>
  <c r="D26" i="4"/>
  <c r="B34" i="4"/>
  <c r="D34" i="4"/>
  <c r="G34" i="4"/>
  <c r="C34" i="4"/>
  <c r="B42" i="4"/>
  <c r="D42" i="4"/>
  <c r="G42" i="4"/>
  <c r="C42" i="4"/>
  <c r="B50" i="4"/>
  <c r="D50" i="4"/>
  <c r="C50" i="4"/>
  <c r="G50" i="4"/>
  <c r="C3" i="4"/>
  <c r="H3" i="8" s="1"/>
  <c r="D3" i="4"/>
  <c r="G3" i="4"/>
  <c r="B3" i="4"/>
  <c r="C11" i="4"/>
  <c r="H11" i="8" s="1"/>
  <c r="D11" i="4"/>
  <c r="G11" i="4"/>
  <c r="B11" i="4"/>
  <c r="C19" i="4"/>
  <c r="H19" i="8" s="1"/>
  <c r="D19" i="4"/>
  <c r="G19" i="4"/>
  <c r="B19" i="4"/>
  <c r="C27" i="4"/>
  <c r="H27" i="8" s="1"/>
  <c r="D27" i="4"/>
  <c r="G27" i="4"/>
  <c r="B27" i="4"/>
  <c r="C35" i="4"/>
  <c r="D35" i="4"/>
  <c r="G35" i="4"/>
  <c r="B35" i="4"/>
  <c r="C43" i="4"/>
  <c r="D43" i="4"/>
  <c r="G43" i="4"/>
  <c r="B43" i="4"/>
  <c r="B14" i="4"/>
  <c r="C14" i="4"/>
  <c r="H14" i="8" s="1"/>
  <c r="D14" i="4"/>
  <c r="G14" i="4"/>
  <c r="B46" i="4"/>
  <c r="C46" i="4"/>
  <c r="D46" i="4"/>
  <c r="G46" i="4"/>
  <c r="C23" i="4"/>
  <c r="H23" i="8" s="1"/>
  <c r="D23" i="4"/>
  <c r="G23" i="4"/>
  <c r="B23" i="4"/>
  <c r="C47" i="4"/>
  <c r="D47" i="4"/>
  <c r="G47" i="4"/>
  <c r="B47" i="4"/>
  <c r="B8" i="4"/>
  <c r="C8" i="4"/>
  <c r="H8" i="8" s="1"/>
  <c r="D8" i="4"/>
  <c r="G8" i="4"/>
  <c r="B40" i="4"/>
  <c r="C40" i="4"/>
  <c r="D40" i="4"/>
  <c r="G40" i="4"/>
  <c r="C9" i="4"/>
  <c r="H9" i="8" s="1"/>
  <c r="D9" i="4"/>
  <c r="G9" i="4"/>
  <c r="B9" i="4"/>
  <c r="C41" i="4"/>
  <c r="D41" i="4"/>
  <c r="G41" i="4"/>
  <c r="B41" i="4"/>
  <c r="B4" i="4"/>
  <c r="G4" i="4"/>
  <c r="C4" i="4"/>
  <c r="H4" i="8" s="1"/>
  <c r="D4" i="4"/>
  <c r="B12" i="4"/>
  <c r="C12" i="4"/>
  <c r="H12" i="8" s="1"/>
  <c r="G12" i="4"/>
  <c r="D12" i="4"/>
  <c r="B20" i="4"/>
  <c r="G20" i="4"/>
  <c r="C20" i="4"/>
  <c r="H20" i="8" s="1"/>
  <c r="D20" i="4"/>
  <c r="B28" i="4"/>
  <c r="G28" i="4"/>
  <c r="C28" i="4"/>
  <c r="H28" i="8" s="1"/>
  <c r="D28" i="4"/>
  <c r="B36" i="4"/>
  <c r="G36" i="4"/>
  <c r="C36" i="4"/>
  <c r="D36" i="4"/>
  <c r="B44" i="4"/>
  <c r="C44" i="4"/>
  <c r="G44" i="4"/>
  <c r="D44" i="4"/>
  <c r="B6" i="4"/>
  <c r="G6" i="4"/>
  <c r="C6" i="4"/>
  <c r="H6" i="8" s="1"/>
  <c r="D6" i="4"/>
  <c r="B22" i="4"/>
  <c r="G22" i="4"/>
  <c r="C22" i="4"/>
  <c r="H22" i="8" s="1"/>
  <c r="D22" i="4"/>
  <c r="B38" i="4"/>
  <c r="C38" i="4"/>
  <c r="D38" i="4"/>
  <c r="G38" i="4"/>
  <c r="C15" i="4"/>
  <c r="H15" i="8" s="1"/>
  <c r="D15" i="4"/>
  <c r="G15" i="4"/>
  <c r="B15" i="4"/>
  <c r="C39" i="4"/>
  <c r="D39" i="4"/>
  <c r="G39" i="4"/>
  <c r="B39" i="4"/>
  <c r="B16" i="4"/>
  <c r="G16" i="4"/>
  <c r="C16" i="4"/>
  <c r="H16" i="8" s="1"/>
  <c r="D16" i="4"/>
  <c r="B48" i="4"/>
  <c r="C48" i="4"/>
  <c r="G48" i="4"/>
  <c r="D48" i="4"/>
  <c r="C17" i="4"/>
  <c r="H17" i="8" s="1"/>
  <c r="D17" i="4"/>
  <c r="G17" i="4"/>
  <c r="B17" i="4"/>
  <c r="C49" i="4"/>
  <c r="D49" i="4"/>
  <c r="G49" i="4"/>
  <c r="B49" i="4"/>
  <c r="C5" i="4"/>
  <c r="H5" i="8" s="1"/>
  <c r="D5" i="4"/>
  <c r="G5" i="4"/>
  <c r="B5" i="4"/>
  <c r="C13" i="4"/>
  <c r="H13" i="8" s="1"/>
  <c r="D13" i="4"/>
  <c r="G13" i="4"/>
  <c r="B13" i="4"/>
  <c r="C21" i="4"/>
  <c r="H21" i="8" s="1"/>
  <c r="D21" i="4"/>
  <c r="G21" i="4"/>
  <c r="B21" i="4"/>
  <c r="C29" i="4"/>
  <c r="H29" i="8" s="1"/>
  <c r="D29" i="4"/>
  <c r="G29" i="4"/>
  <c r="B29" i="4"/>
  <c r="C37" i="4"/>
  <c r="D37" i="4"/>
  <c r="G37" i="4"/>
  <c r="B37" i="4"/>
  <c r="C45" i="4"/>
  <c r="D45" i="4"/>
  <c r="G45" i="4"/>
  <c r="B45" i="4"/>
  <c r="D6" i="31"/>
  <c r="F6" i="31"/>
  <c r="G6" i="31"/>
  <c r="C6" i="31"/>
  <c r="D14" i="31"/>
  <c r="G14" i="31"/>
  <c r="F14" i="31"/>
  <c r="C14" i="31"/>
  <c r="D22" i="31"/>
  <c r="G22" i="31"/>
  <c r="F22" i="31"/>
  <c r="C22" i="31"/>
  <c r="D30" i="31"/>
  <c r="F30" i="31"/>
  <c r="G30" i="31"/>
  <c r="C30" i="31"/>
  <c r="D38" i="31"/>
  <c r="G38" i="31"/>
  <c r="F38" i="31"/>
  <c r="C38" i="31"/>
  <c r="D7" i="31"/>
  <c r="F7" i="31"/>
  <c r="C7" i="31"/>
  <c r="G7" i="31"/>
  <c r="C15" i="31"/>
  <c r="F15" i="31"/>
  <c r="D15" i="31"/>
  <c r="G15" i="31"/>
  <c r="F23" i="31"/>
  <c r="C23" i="31"/>
  <c r="D23" i="31"/>
  <c r="G23" i="31"/>
  <c r="F31" i="31"/>
  <c r="C31" i="31"/>
  <c r="D31" i="31"/>
  <c r="G31" i="31"/>
  <c r="C39" i="31"/>
  <c r="D39" i="31"/>
  <c r="F39" i="31"/>
  <c r="G39" i="31"/>
  <c r="C47" i="31"/>
  <c r="F47" i="31"/>
  <c r="D47" i="31"/>
  <c r="G47" i="31"/>
  <c r="D8" i="31"/>
  <c r="F8" i="31"/>
  <c r="G8" i="31"/>
  <c r="C8" i="31"/>
  <c r="D16" i="31"/>
  <c r="F16" i="31"/>
  <c r="G16" i="31"/>
  <c r="C16" i="31"/>
  <c r="D24" i="31"/>
  <c r="F24" i="31"/>
  <c r="G24" i="31"/>
  <c r="C24" i="31"/>
  <c r="D32" i="31"/>
  <c r="G32" i="31"/>
  <c r="F32" i="31"/>
  <c r="C32" i="31"/>
  <c r="D40" i="31"/>
  <c r="F40" i="31"/>
  <c r="G40" i="31"/>
  <c r="C40" i="31"/>
  <c r="D48" i="31"/>
  <c r="G48" i="31"/>
  <c r="F48" i="31"/>
  <c r="C48" i="31"/>
  <c r="C9" i="31"/>
  <c r="D9" i="31"/>
  <c r="F9" i="31"/>
  <c r="G9" i="31"/>
  <c r="D17" i="31"/>
  <c r="G17" i="31"/>
  <c r="C17" i="31"/>
  <c r="F17" i="31"/>
  <c r="C25" i="31"/>
  <c r="D25" i="31"/>
  <c r="G25" i="31"/>
  <c r="F25" i="31"/>
  <c r="C33" i="31"/>
  <c r="D33" i="31"/>
  <c r="G33" i="31"/>
  <c r="F33" i="31"/>
  <c r="C41" i="31"/>
  <c r="D41" i="31"/>
  <c r="F41" i="31"/>
  <c r="G41" i="31"/>
  <c r="D49" i="31"/>
  <c r="C49" i="31"/>
  <c r="F49" i="31"/>
  <c r="G49" i="31"/>
  <c r="D2" i="31"/>
  <c r="G2" i="31"/>
  <c r="F2" i="31"/>
  <c r="C2" i="31"/>
  <c r="D10" i="31"/>
  <c r="G10" i="31"/>
  <c r="F10" i="31"/>
  <c r="C10" i="31"/>
  <c r="D18" i="31"/>
  <c r="G18" i="31"/>
  <c r="F18" i="31"/>
  <c r="C18" i="31"/>
  <c r="D26" i="31"/>
  <c r="G26" i="31"/>
  <c r="F26" i="31"/>
  <c r="C26" i="31"/>
  <c r="D34" i="31"/>
  <c r="F34" i="31"/>
  <c r="G34" i="31"/>
  <c r="C34" i="31"/>
  <c r="D42" i="31"/>
  <c r="G42" i="31"/>
  <c r="F42" i="31"/>
  <c r="C42" i="31"/>
  <c r="D50" i="31"/>
  <c r="F50" i="31"/>
  <c r="G50" i="31"/>
  <c r="C50" i="31"/>
  <c r="C3" i="31"/>
  <c r="D3" i="31"/>
  <c r="G3" i="31"/>
  <c r="F3" i="31"/>
  <c r="C11" i="31"/>
  <c r="D11" i="31"/>
  <c r="F11" i="31"/>
  <c r="G11" i="31"/>
  <c r="C19" i="31"/>
  <c r="F19" i="31"/>
  <c r="D19" i="31"/>
  <c r="G19" i="31"/>
  <c r="C43" i="31"/>
  <c r="F43" i="31"/>
  <c r="G43" i="31"/>
  <c r="D43" i="31"/>
  <c r="D12" i="31"/>
  <c r="F12" i="31"/>
  <c r="G12" i="31"/>
  <c r="C12" i="31"/>
  <c r="D28" i="31"/>
  <c r="F28" i="31"/>
  <c r="G28" i="31"/>
  <c r="C28" i="31"/>
  <c r="D36" i="31"/>
  <c r="G36" i="31"/>
  <c r="F36" i="31"/>
  <c r="C36" i="31"/>
  <c r="D44" i="31"/>
  <c r="F44" i="31"/>
  <c r="G44" i="31"/>
  <c r="C44" i="31"/>
  <c r="F27" i="31"/>
  <c r="C27" i="31"/>
  <c r="D27" i="31"/>
  <c r="G27" i="31"/>
  <c r="F35" i="31"/>
  <c r="C35" i="31"/>
  <c r="D35" i="31"/>
  <c r="G35" i="31"/>
  <c r="D4" i="31"/>
  <c r="G4" i="31"/>
  <c r="F4" i="31"/>
  <c r="C4" i="31"/>
  <c r="D20" i="31"/>
  <c r="F20" i="31"/>
  <c r="G20" i="31"/>
  <c r="C20" i="31"/>
  <c r="F5" i="31"/>
  <c r="C5" i="31"/>
  <c r="D5" i="31"/>
  <c r="G5" i="31"/>
  <c r="G13" i="31"/>
  <c r="C13" i="31"/>
  <c r="D13" i="31"/>
  <c r="F13" i="31"/>
  <c r="C21" i="31"/>
  <c r="D21" i="31"/>
  <c r="G21" i="31"/>
  <c r="F21" i="31"/>
  <c r="C29" i="31"/>
  <c r="D29" i="31"/>
  <c r="G29" i="31"/>
  <c r="F29" i="31"/>
  <c r="D37" i="31"/>
  <c r="G37" i="31"/>
  <c r="C37" i="31"/>
  <c r="F37" i="31"/>
  <c r="D45" i="31"/>
  <c r="C45" i="31"/>
  <c r="F45" i="31"/>
  <c r="G45" i="31"/>
  <c r="D46" i="31"/>
  <c r="F46" i="31"/>
  <c r="G46" i="31"/>
  <c r="C46" i="31"/>
  <c r="B1" i="38" a="1"/>
  <c r="B1" i="38" s="1"/>
  <c r="B1" i="39" a="1"/>
  <c r="B1" i="39" s="1"/>
  <c r="B1" i="37" a="1"/>
  <c r="B1" i="37" s="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G30" i="7" l="1"/>
  <c r="C30" i="7"/>
  <c r="B30" i="7"/>
  <c r="F30" i="7"/>
  <c r="D30" i="7"/>
  <c r="E5" i="7"/>
  <c r="F5" i="7"/>
  <c r="G5" i="7"/>
  <c r="B5" i="7"/>
  <c r="C5" i="7"/>
  <c r="D5" i="7"/>
  <c r="B11" i="7"/>
  <c r="D11" i="7"/>
  <c r="E11" i="7"/>
  <c r="C11" i="7"/>
  <c r="F11" i="7"/>
  <c r="G11" i="7"/>
  <c r="D7" i="7"/>
  <c r="B7" i="7"/>
  <c r="E7" i="7"/>
  <c r="C7" i="7"/>
  <c r="G7" i="7"/>
  <c r="F7" i="7"/>
  <c r="G2" i="7"/>
  <c r="E2" i="7"/>
  <c r="F2" i="7"/>
  <c r="D2" i="7"/>
  <c r="C2" i="7"/>
  <c r="B2" i="7"/>
  <c r="C16" i="7"/>
  <c r="G16" i="7"/>
  <c r="D16" i="7"/>
  <c r="E16" i="7"/>
  <c r="F16" i="7"/>
  <c r="B16" i="7"/>
  <c r="C28" i="7"/>
  <c r="D28" i="7"/>
  <c r="F28" i="7"/>
  <c r="E28" i="7"/>
  <c r="G28" i="7"/>
  <c r="B28" i="7"/>
  <c r="E17" i="7"/>
  <c r="F17" i="7"/>
  <c r="G17" i="7"/>
  <c r="B17" i="7"/>
  <c r="C17" i="7"/>
  <c r="D17" i="7"/>
  <c r="E25" i="7"/>
  <c r="F25" i="7"/>
  <c r="G25" i="7"/>
  <c r="B25" i="7"/>
  <c r="C25" i="7"/>
  <c r="D25" i="7"/>
  <c r="C12" i="7"/>
  <c r="F12" i="7"/>
  <c r="G12" i="7"/>
  <c r="D12" i="7"/>
  <c r="E12" i="7"/>
  <c r="B12" i="7"/>
  <c r="E29" i="7"/>
  <c r="F29" i="7"/>
  <c r="G29" i="7"/>
  <c r="B29" i="7"/>
  <c r="C29" i="7"/>
  <c r="D29" i="7"/>
  <c r="B23" i="7"/>
  <c r="C23" i="7"/>
  <c r="D23" i="7"/>
  <c r="G23" i="7"/>
  <c r="E23" i="7"/>
  <c r="F23" i="7"/>
  <c r="D19" i="7"/>
  <c r="B19" i="7"/>
  <c r="C19" i="7"/>
  <c r="E19" i="7"/>
  <c r="F19" i="7"/>
  <c r="G19" i="7"/>
  <c r="E21" i="7"/>
  <c r="F21" i="7"/>
  <c r="G21" i="7"/>
  <c r="C21" i="7"/>
  <c r="D21" i="7"/>
  <c r="B21" i="7"/>
  <c r="D15" i="7"/>
  <c r="B15" i="7"/>
  <c r="C15" i="7"/>
  <c r="E15" i="7"/>
  <c r="F15" i="7"/>
  <c r="G15" i="7"/>
  <c r="B27" i="7"/>
  <c r="C27" i="7"/>
  <c r="D27" i="7"/>
  <c r="F27" i="7"/>
  <c r="G27" i="7"/>
  <c r="E27" i="7"/>
  <c r="G22" i="7"/>
  <c r="B22" i="7"/>
  <c r="C22" i="7"/>
  <c r="D22" i="7"/>
  <c r="E22" i="7"/>
  <c r="F22" i="7"/>
  <c r="G18" i="7"/>
  <c r="B18" i="7"/>
  <c r="C18" i="7"/>
  <c r="E18" i="7"/>
  <c r="D18" i="7"/>
  <c r="F18" i="7"/>
  <c r="C24" i="7"/>
  <c r="D24" i="7"/>
  <c r="F24" i="7"/>
  <c r="E24" i="7"/>
  <c r="G24" i="7"/>
  <c r="B24" i="7"/>
  <c r="E13" i="7"/>
  <c r="F13" i="7"/>
  <c r="G13" i="7"/>
  <c r="D13" i="7"/>
  <c r="C13" i="7"/>
  <c r="B13" i="7"/>
  <c r="E9" i="7"/>
  <c r="F9" i="7"/>
  <c r="G9" i="7"/>
  <c r="D9" i="7"/>
  <c r="B9" i="7"/>
  <c r="C9" i="7"/>
  <c r="D3" i="7"/>
  <c r="B3" i="7"/>
  <c r="E3" i="7"/>
  <c r="C3" i="7"/>
  <c r="G3" i="7"/>
  <c r="F3" i="7"/>
  <c r="G6" i="7"/>
  <c r="B6" i="7"/>
  <c r="C6" i="7"/>
  <c r="E6" i="7"/>
  <c r="F6" i="7"/>
  <c r="D6" i="7"/>
  <c r="C20" i="7"/>
  <c r="G20" i="7"/>
  <c r="D20" i="7"/>
  <c r="E20" i="7"/>
  <c r="F20" i="7"/>
  <c r="B20" i="7"/>
  <c r="C4" i="7"/>
  <c r="D4" i="7"/>
  <c r="E4" i="7"/>
  <c r="F4" i="7"/>
  <c r="G4" i="7"/>
  <c r="B4" i="7"/>
  <c r="C8" i="7"/>
  <c r="F8" i="7"/>
  <c r="D8" i="7"/>
  <c r="G8" i="7"/>
  <c r="E8" i="7"/>
  <c r="B8" i="7"/>
  <c r="G14" i="7"/>
  <c r="C14" i="7"/>
  <c r="B14" i="7"/>
  <c r="F14" i="7"/>
  <c r="D14" i="7"/>
  <c r="E14" i="7"/>
  <c r="G26" i="7"/>
  <c r="B26" i="7"/>
  <c r="E26" i="7"/>
  <c r="F26" i="7"/>
  <c r="C26" i="7"/>
  <c r="D26" i="7"/>
  <c r="G10" i="7"/>
  <c r="C10" i="7"/>
  <c r="B10" i="7"/>
  <c r="F10" i="7"/>
  <c r="D10" i="7"/>
  <c r="E10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<sst xmlns="http://schemas.openxmlformats.org/spreadsheetml/2006/main" count="173" uniqueCount="86">
  <si>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</si>
  <si>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</si>
  <si>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</si>
  <si>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</si>
  <si>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</si>
  <si>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</si>
  <si>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</si>
  <si>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</si>
  <si>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</si>
  <si>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</si>
  <si>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</si>
  <si>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</si>
  <si>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</si>
  <si>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</si>
  <si>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</si>
  <si>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</si>
  <si>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</si>
  <si>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</si>
  <si>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</si>
  <si>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</si>
  <si>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</si>
  <si>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</si>
  <si>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</si>
  <si>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</si>
  <si>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</si>
  <si>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</si>
  <si>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</si>
  <si>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</si>
  <si>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Ongoing charges figure (OCF)</t>
  </si>
  <si>
    <t>UK corporate bonds</t>
  </si>
  <si>
    <t>*Be careful as "Other" is listed multiple times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</si>
  <si>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</si>
  <si>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</si>
  <si>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</si>
  <si>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</si>
  <si>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</si>
  <si>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</si>
  <si>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</si>
  <si>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Passive MPS 1</t>
  </si>
  <si>
    <t>Passive MPS 2</t>
  </si>
  <si>
    <t>Passive MPS 3</t>
  </si>
  <si>
    <t>Passive MPS 4</t>
  </si>
  <si>
    <t>Passive MPS 5</t>
  </si>
  <si>
    <t>Passive MPS 6</t>
  </si>
  <si>
    <t>Active MPS 1</t>
  </si>
  <si>
    <t>Active MPS 2</t>
  </si>
  <si>
    <t>Active MPS 3</t>
  </si>
  <si>
    <t>Active MPS 4</t>
  </si>
  <si>
    <t>Active MPS 5</t>
  </si>
  <si>
    <t>Active MPS 6</t>
  </si>
  <si>
    <t>Pactive MPS 1</t>
  </si>
  <si>
    <t>Pactive MPS 2</t>
  </si>
  <si>
    <t>Pactive MPS 3</t>
  </si>
  <si>
    <t>Pactive MPS 4</t>
  </si>
  <si>
    <t>Pactive MPS 5</t>
  </si>
  <si>
    <t>Pactive MPS 6</t>
  </si>
  <si>
    <t>Responsible MPS 1</t>
  </si>
  <si>
    <t>Responsible MPS 2</t>
  </si>
  <si>
    <t>Responsible MPS 3</t>
  </si>
  <si>
    <t>Responsible MPS 4</t>
  </si>
  <si>
    <t>Responsible MPS 5</t>
  </si>
  <si>
    <t>Responsible MPS 6</t>
  </si>
  <si>
    <t>https://www.investcentre.co.uk/support/infocentre?categories[145]=145</t>
  </si>
  <si>
    <t>Monthly factsheets - MPS</t>
  </si>
  <si>
    <t>1 Year</t>
  </si>
  <si>
    <t>2 Year</t>
  </si>
  <si>
    <t>3 Year</t>
  </si>
  <si>
    <t>4 Year</t>
  </si>
  <si>
    <t>5 Year</t>
  </si>
  <si>
    <t>UK equity</t>
  </si>
  <si>
    <t>North America equity</t>
  </si>
  <si>
    <t>Europe ex-UK equity</t>
  </si>
  <si>
    <t>Asia Pacific ex-Japan equity</t>
  </si>
  <si>
    <t>Japan equity</t>
  </si>
  <si>
    <t>Emerging Markets equity</t>
  </si>
  <si>
    <t>UK government bonds</t>
  </si>
  <si>
    <t>International bonds</t>
  </si>
  <si>
    <t>Property</t>
  </si>
  <si>
    <t>Cash equivalent</t>
  </si>
  <si>
    <t>Passive Income MPS 1</t>
  </si>
  <si>
    <t>Passive Income MPS 2</t>
  </si>
  <si>
    <t>Active Income MPS 1</t>
  </si>
  <si>
    <t>Active Income MPS 2</t>
  </si>
  <si>
    <t>https://www.investcentre.co.uk/literature/monthly-factsheets-mps</t>
  </si>
  <si>
    <t>Ultra-short-dated bonds</t>
  </si>
  <si>
    <t>Money Market 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</si>
</sst>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2" fillId="2" borderId="0" xfId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139700</xdr:rowOff>
    </xdr:from>
    <xdr:to>
      <xdr:col>6</xdr:col>
      <xdr:colOff>216733</xdr:colOff>
      <xdr:row>14</xdr:row>
      <xdr:rowOff>63500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4C482A4-0BA2-A2B5-6E93-B9075C1BA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23850"/>
          <a:ext cx="3874333" cy="2317750"/>
        </a:xfrm>
        <a:prstGeom prst="rect">
          <a:avLst/>
        </a:prstGeom>
      </xdr:spPr>
    </xdr:pic>
    <xdr:clientData/>
  </xdr:twoCellAnchor>
  <xdr:twoCellAnchor editAs="oneCell">
    <xdr:from>
      <xdr:col>0</xdr:col>
      <xdr:colOff>82550</xdr:colOff>
      <xdr:row>15</xdr:row>
      <xdr:rowOff>95250</xdr:rowOff>
    </xdr:from>
    <xdr:to>
      <xdr:col>6</xdr:col>
      <xdr:colOff>343191</xdr:colOff>
      <xdr:row>27</xdr:row>
      <xdr:rowOff>25533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234E7B9-69F6-D301-FB81-096035C16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550" y="2857500"/>
          <a:ext cx="3918241" cy="2140083"/>
        </a:xfrm>
        <a:prstGeom prst="rect">
          <a:avLst/>
        </a:prstGeom>
      </xdr:spPr>
    </xdr:pic>
    <xdr:clientData/>
  </xdr:twoCellAnchor>
  <xdr:twoCellAnchor editAs="oneCell">
    <xdr:from>
      <xdr:col>6</xdr:col>
      <xdr:colOff>596900</xdr:colOff>
      <xdr:row>1</xdr:row>
      <xdr:rowOff>88900</xdr:rowOff>
    </xdr:from>
    <xdr:to>
      <xdr:col>12</xdr:col>
      <xdr:colOff>355776</xdr:colOff>
      <xdr:row>25</xdr:row>
      <xdr:rowOff>114528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3F3921-06DA-B4EA-E7FC-6F26C540B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54500" y="273050"/>
          <a:ext cx="3416476" cy="44452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investcentre.co.uk/literature/monthly-factsheets-mps" TargetMode="External"/><Relationship Id="rId1" Type="http://schemas.openxmlformats.org/officeDocument/2006/relationships/hyperlink" Target="https://www.investcentre.co.uk/literature/monthly-factsheets-mp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6"/>
  <sheetViews>
    <sheetView topLeftCell="A4" workbookViewId="0">
      <selection activeCell="Q11" sqref="Q11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  <row r="6" spans="1:17" x14ac:dyDescent="0.25">
      <c r="N6" s="9" t="s">
        <v>30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1"/>
  <sheetViews>
    <sheetView workbookViewId="0">
      <selection activeCell="P10" sqref="P10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38</v>
      </c>
      <c r="B3" t="str">
        <f>'PDF Scraping'!D2</f>
        <v>https://www.investcentre.co.uk/literature/monthly-factsheets-mps</v>
      </c>
      <c r="J3" s="4"/>
    </row>
    <row r="4" spans="1:10" x14ac:dyDescent="0.25">
      <c r="A4" t="s">
        <v>39</v>
      </c>
      <c r="J4" s="4"/>
    </row>
    <row r="5" spans="1:10" x14ac:dyDescent="0.25">
      <c r="A5" t="s">
        <v>40</v>
      </c>
    </row>
    <row r="6" spans="1:10" x14ac:dyDescent="0.25">
      <c r="A6" t="s">
        <v>41</v>
      </c>
    </row>
    <row r="7" spans="1:10" x14ac:dyDescent="0.25">
      <c r="A7" t="s">
        <v>42</v>
      </c>
    </row>
    <row r="8" spans="1:10" x14ac:dyDescent="0.25">
      <c r="A8" t="s">
        <v>43</v>
      </c>
    </row>
    <row r="9" spans="1:10" x14ac:dyDescent="0.25">
      <c r="A9" t="s">
        <v>79</v>
      </c>
    </row>
    <row r="10" spans="1:10" x14ac:dyDescent="0.25">
      <c r="A10" t="s">
        <v>80</v>
      </c>
    </row>
    <row r="11" spans="1:10" x14ac:dyDescent="0.25">
      <c r="A11" t="s">
        <v>44</v>
      </c>
    </row>
    <row r="12" spans="1:10" x14ac:dyDescent="0.25">
      <c r="A12" t="s">
        <v>45</v>
      </c>
    </row>
    <row r="13" spans="1:10" x14ac:dyDescent="0.25">
      <c r="A13" t="s">
        <v>46</v>
      </c>
    </row>
    <row r="14" spans="1:10" x14ac:dyDescent="0.25">
      <c r="A14" t="s">
        <v>47</v>
      </c>
    </row>
    <row r="15" spans="1:10" x14ac:dyDescent="0.25">
      <c r="A15" t="s">
        <v>48</v>
      </c>
    </row>
    <row r="16" spans="1:10" x14ac:dyDescent="0.25">
      <c r="A16" t="s">
        <v>49</v>
      </c>
    </row>
    <row r="17" spans="1:1" x14ac:dyDescent="0.25">
      <c r="A17" t="s">
        <v>81</v>
      </c>
    </row>
    <row r="18" spans="1:1" x14ac:dyDescent="0.25">
      <c r="A18" t="s">
        <v>82</v>
      </c>
    </row>
    <row r="19" spans="1:1" x14ac:dyDescent="0.25">
      <c r="A19" t="s">
        <v>50</v>
      </c>
    </row>
    <row r="20" spans="1:1" x14ac:dyDescent="0.25">
      <c r="A20" t="s">
        <v>51</v>
      </c>
    </row>
    <row r="21" spans="1:1" x14ac:dyDescent="0.25">
      <c r="A21" t="s">
        <v>52</v>
      </c>
    </row>
    <row r="22" spans="1:1" x14ac:dyDescent="0.25">
      <c r="A22" t="s">
        <v>53</v>
      </c>
    </row>
    <row r="23" spans="1:1" x14ac:dyDescent="0.25">
      <c r="A23" t="s">
        <v>54</v>
      </c>
    </row>
    <row r="24" spans="1:1" x14ac:dyDescent="0.25">
      <c r="A24" t="s">
        <v>55</v>
      </c>
    </row>
    <row r="25" spans="1:1" x14ac:dyDescent="0.25">
      <c r="A25" t="s">
        <v>56</v>
      </c>
    </row>
    <row r="26" spans="1:1" x14ac:dyDescent="0.25">
      <c r="A26" t="s">
        <v>57</v>
      </c>
    </row>
    <row r="27" spans="1:1" x14ac:dyDescent="0.25">
      <c r="A27" t="s">
        <v>58</v>
      </c>
    </row>
    <row r="28" spans="1:1" x14ac:dyDescent="0.25">
      <c r="A28" t="s">
        <v>59</v>
      </c>
    </row>
    <row r="29" spans="1:1" x14ac:dyDescent="0.25">
      <c r="A29" t="s">
        <v>60</v>
      </c>
    </row>
    <row r="30" spans="1:1" x14ac:dyDescent="0.25">
      <c r="A30" t="s">
        <v>61</v>
      </c>
    </row>
    <row r="31" spans="1:1" x14ac:dyDescent="0.25">
      <c r="A31" t="s">
        <v>85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S14" sqref="S14"/>
    </sheetView>
  </sheetViews>
  <sheetFormatPr defaultRowHeight="15" x14ac:dyDescent="0.25"/>
  <cols>
    <col min="1" max="1" width="26.140625" bestFit="1" customWidth="1"/>
    <col min="2" max="2" width="19.140625" customWidth="1"/>
    <col min="3" max="3" width="27.28515625" bestFit="1" customWidth="1"/>
    <col min="4" max="5" width="6.85546875" bestFit="1" customWidth="1"/>
    <col min="6" max="8" width="7.140625" bestFit="1" customWidth="1"/>
  </cols>
  <sheetData>
    <row r="1" spans="1:9" x14ac:dyDescent="0.25">
      <c r="B1" t="s">
        <v>22</v>
      </c>
      <c r="C1" t="s">
        <v>28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</row>
    <row r="2" spans="1:9" x14ac:dyDescent="0.25">
      <c r="A2" t="str">
        <f>IF(Input!A3="","",Input!A3)</f>
        <v>Passive MPS 1</v>
      </c>
      <c r="B2" s="1">
        <v>45260</v>
      </c>
      <c r="C2" s="5">
        <v>2.8000000000000004E-3</v>
      </c>
      <c r="D2" s="5">
        <v>1.3600000000000001E-2</v>
      </c>
      <c r="E2" s="5">
        <v>-2.5899999999999999E-2</v>
      </c>
      <c r="F2" s="5">
        <v>1.7500000000000002E-2</v>
      </c>
      <c r="G2" s="5">
        <v>5.2199999999999996E-2</v>
      </c>
      <c r="H2" s="5">
        <v>0.1411</v>
      </c>
      <c r="I2" s="5"/>
    </row>
    <row r="3" spans="1:9" x14ac:dyDescent="0.25">
      <c r="A3" t="str">
        <f>IF(Input!A4="","",Input!A4)</f>
        <v>Passive MPS 2</v>
      </c>
      <c r="B3" s="1">
        <v>45260</v>
      </c>
      <c r="C3" s="5">
        <v>2.8000000000000004E-3</v>
      </c>
      <c r="D3" s="5">
        <v>2.3E-2</v>
      </c>
      <c r="E3" s="5">
        <v>-1.29E-2</v>
      </c>
      <c r="F3" s="5">
        <v>5.5999999999999994E-2</v>
      </c>
      <c r="G3" s="5">
        <v>0.10249999999999999</v>
      </c>
      <c r="H3" s="5">
        <v>0.21249999999999999</v>
      </c>
      <c r="I3" s="5"/>
    </row>
    <row r="4" spans="1:9" x14ac:dyDescent="0.25">
      <c r="A4" t="str">
        <f>IF(Input!A5="","",Input!A5)</f>
        <v>Passive MPS 3</v>
      </c>
      <c r="B4" s="1">
        <v>45260</v>
      </c>
      <c r="C4" s="5">
        <v>2.8999999999999998E-3</v>
      </c>
      <c r="D4" s="5">
        <v>2.2799999999999997E-2</v>
      </c>
      <c r="E4" s="5">
        <v>2.5499999999999998E-2</v>
      </c>
      <c r="F4" s="5">
        <v>0.1229</v>
      </c>
      <c r="G4" s="5">
        <v>0.18010000000000001</v>
      </c>
      <c r="H4" s="5">
        <v>0.31940000000000002</v>
      </c>
      <c r="I4" s="5"/>
    </row>
    <row r="5" spans="1:9" x14ac:dyDescent="0.25">
      <c r="A5" t="str">
        <f>IF(Input!A6="","",Input!A6)</f>
        <v>Passive MPS 4</v>
      </c>
      <c r="B5" s="1">
        <v>45260</v>
      </c>
      <c r="C5" s="5">
        <v>2.8000000000000004E-3</v>
      </c>
      <c r="D5" s="5">
        <v>2.5600000000000001E-2</v>
      </c>
      <c r="E5" s="5">
        <v>3.3500000000000002E-2</v>
      </c>
      <c r="F5" s="5">
        <v>0.17120000000000002</v>
      </c>
      <c r="G5" s="5">
        <v>0.22620000000000001</v>
      </c>
      <c r="H5" s="5">
        <v>0.37479999999999997</v>
      </c>
      <c r="I5" s="5"/>
    </row>
    <row r="6" spans="1:9" x14ac:dyDescent="0.25">
      <c r="A6" t="str">
        <f>IF(Input!A7="","",Input!A7)</f>
        <v>Passive MPS 5</v>
      </c>
      <c r="B6" s="1">
        <v>45260</v>
      </c>
      <c r="C6" s="5">
        <v>2.8000000000000004E-3</v>
      </c>
      <c r="D6" s="5">
        <v>2.75E-2</v>
      </c>
      <c r="E6" s="5">
        <v>6.4899999999999999E-2</v>
      </c>
      <c r="F6" s="5">
        <v>0.23319999999999999</v>
      </c>
      <c r="G6" s="5">
        <v>0.30149999999999999</v>
      </c>
      <c r="H6" s="5">
        <v>0.46200000000000002</v>
      </c>
      <c r="I6" s="5"/>
    </row>
    <row r="7" spans="1:9" x14ac:dyDescent="0.25">
      <c r="A7" t="str">
        <f>IF(Input!A8="","",Input!A8)</f>
        <v>Passive MPS 6</v>
      </c>
      <c r="B7" s="1">
        <v>45260</v>
      </c>
      <c r="C7" s="5">
        <v>2.8999999999999998E-3</v>
      </c>
      <c r="D7" s="5">
        <v>3.0000000000000001E-3</v>
      </c>
      <c r="E7" s="5">
        <v>3.2899999999999999E-2</v>
      </c>
      <c r="F7" s="5">
        <v>0.21429999999999999</v>
      </c>
      <c r="G7" s="5">
        <v>0.30820000000000003</v>
      </c>
      <c r="H7" s="5">
        <v>0.45090000000000002</v>
      </c>
      <c r="I7" s="5"/>
    </row>
    <row r="8" spans="1:9" x14ac:dyDescent="0.25">
      <c r="A8" t="str">
        <f>IF(Input!A9="","",Input!A9)</f>
        <v>Passive Income MPS 1</v>
      </c>
      <c r="B8" s="1">
        <v>45260</v>
      </c>
      <c r="C8" s="5">
        <v>3.8E-3</v>
      </c>
      <c r="D8" s="5">
        <v>1.6000000000000001E-3</v>
      </c>
      <c r="E8" s="5">
        <v>4.0199999999999993E-2</v>
      </c>
      <c r="F8" s="5">
        <v>0.11560000000000001</v>
      </c>
      <c r="G8" s="5">
        <v>0.13519999999999999</v>
      </c>
      <c r="H8" s="5">
        <v>0.2324</v>
      </c>
      <c r="I8" s="5"/>
    </row>
    <row r="9" spans="1:9" x14ac:dyDescent="0.25">
      <c r="A9" t="str">
        <f>IF(Input!A10="","",Input!A10)</f>
        <v>Passive Income MPS 2</v>
      </c>
      <c r="B9" s="1">
        <v>45260</v>
      </c>
      <c r="C9" s="5">
        <v>4.3E-3</v>
      </c>
      <c r="D9" s="5">
        <v>2.8000000000000004E-3</v>
      </c>
      <c r="E9" s="5">
        <v>6.1399999999999996E-2</v>
      </c>
      <c r="F9" s="5">
        <v>0.18109999999999998</v>
      </c>
      <c r="G9" s="5">
        <v>0.1106</v>
      </c>
      <c r="H9" s="5">
        <v>0.20710000000000001</v>
      </c>
      <c r="I9" s="5"/>
    </row>
    <row r="10" spans="1:9" x14ac:dyDescent="0.25">
      <c r="A10" t="str">
        <f>IF(Input!A11="","",Input!A11)</f>
        <v>Active MPS 1</v>
      </c>
      <c r="B10" s="1">
        <v>45260</v>
      </c>
      <c r="C10" s="5">
        <v>5.6000000000000008E-3</v>
      </c>
      <c r="D10" s="5">
        <v>1.44E-2</v>
      </c>
      <c r="E10" s="5">
        <v>-3.7900000000000003E-2</v>
      </c>
      <c r="F10" s="5">
        <v>8.9999999999999998E-4</v>
      </c>
      <c r="G10" s="5">
        <v>3.1699999999999999E-2</v>
      </c>
      <c r="H10" s="5">
        <v>0.1082</v>
      </c>
      <c r="I10" s="5"/>
    </row>
    <row r="11" spans="1:9" x14ac:dyDescent="0.25">
      <c r="A11" t="str">
        <f>IF(Input!A12="","",Input!A12)</f>
        <v>Active MPS 2</v>
      </c>
      <c r="B11" s="1">
        <v>45260</v>
      </c>
      <c r="C11" s="5">
        <v>6.7000000000000002E-3</v>
      </c>
      <c r="D11" s="5">
        <v>2.3700000000000002E-2</v>
      </c>
      <c r="E11" s="5">
        <v>-2.53E-2</v>
      </c>
      <c r="F11" s="5">
        <v>3.95E-2</v>
      </c>
      <c r="G11" s="5">
        <v>8.0500000000000002E-2</v>
      </c>
      <c r="H11" s="5">
        <v>0.17649999999999999</v>
      </c>
      <c r="I11" s="5"/>
    </row>
    <row r="12" spans="1:9" x14ac:dyDescent="0.25">
      <c r="A12" t="str">
        <f>IF(Input!A13="","",Input!A13)</f>
        <v>Active MPS 3</v>
      </c>
      <c r="B12" s="1">
        <v>45260</v>
      </c>
      <c r="C12" s="5">
        <v>7.8000000000000005E-3</v>
      </c>
      <c r="D12" s="5">
        <v>2.9900000000000003E-2</v>
      </c>
      <c r="E12" s="5">
        <v>7.6E-3</v>
      </c>
      <c r="F12" s="5">
        <v>0.1009</v>
      </c>
      <c r="G12" s="5">
        <v>0.159</v>
      </c>
      <c r="H12" s="5">
        <v>0.27699999999999997</v>
      </c>
      <c r="I12" s="5"/>
    </row>
    <row r="13" spans="1:9" x14ac:dyDescent="0.25">
      <c r="A13" t="str">
        <f>IF(Input!A14="","",Input!A14)</f>
        <v>Active MPS 4</v>
      </c>
      <c r="B13" s="1">
        <v>45260</v>
      </c>
      <c r="C13" s="5">
        <v>8.3999999999999995E-3</v>
      </c>
      <c r="D13" s="5">
        <v>2.2799999999999997E-2</v>
      </c>
      <c r="E13" s="5">
        <v>-9.7000000000000003E-3</v>
      </c>
      <c r="F13" s="5">
        <v>0.1066</v>
      </c>
      <c r="G13" s="5">
        <v>0.1613</v>
      </c>
      <c r="H13" s="5">
        <v>0.28539999999999999</v>
      </c>
      <c r="I13" s="5"/>
    </row>
    <row r="14" spans="1:9" x14ac:dyDescent="0.25">
      <c r="A14" t="str">
        <f>IF(Input!A15="","",Input!A15)</f>
        <v>Active MPS 5</v>
      </c>
      <c r="B14" s="1">
        <v>45260</v>
      </c>
      <c r="C14" s="5">
        <v>8.8999999999999999E-3</v>
      </c>
      <c r="D14" s="5">
        <v>2.1600000000000001E-2</v>
      </c>
      <c r="E14" s="5">
        <v>4.0000000000000001E-3</v>
      </c>
      <c r="F14" s="5">
        <v>0.14849999999999999</v>
      </c>
      <c r="G14" s="5">
        <v>0.2218</v>
      </c>
      <c r="H14" s="5">
        <v>0.36119999999999997</v>
      </c>
      <c r="I14" s="5"/>
    </row>
    <row r="15" spans="1:9" x14ac:dyDescent="0.25">
      <c r="A15" t="str">
        <f>IF(Input!A16="","",Input!A16)</f>
        <v>Active MPS 6</v>
      </c>
      <c r="B15" s="1">
        <v>45260</v>
      </c>
      <c r="C15" s="5">
        <v>9.1000000000000004E-3</v>
      </c>
      <c r="D15" s="5">
        <v>7.0999999999999995E-3</v>
      </c>
      <c r="E15" s="5">
        <v>7.1999999999999998E-3</v>
      </c>
      <c r="F15" s="5">
        <v>0.1641</v>
      </c>
      <c r="G15" s="5">
        <v>0.27739999999999998</v>
      </c>
      <c r="H15" s="5">
        <v>0.41220000000000001</v>
      </c>
      <c r="I15" s="5"/>
    </row>
    <row r="16" spans="1:9" x14ac:dyDescent="0.25">
      <c r="A16" t="str">
        <f>IF(Input!A17="","",Input!A17)</f>
        <v>Active Income MPS 1</v>
      </c>
      <c r="B16" s="1">
        <v>45260</v>
      </c>
      <c r="C16" s="5">
        <v>7.3000000000000001E-3</v>
      </c>
      <c r="D16" s="5">
        <v>1.21E-2</v>
      </c>
      <c r="E16" s="5">
        <v>1.0200000000000001E-2</v>
      </c>
      <c r="F16" s="5">
        <v>9.5600000000000004E-2</v>
      </c>
      <c r="G16" s="5">
        <v>0.12119999999999999</v>
      </c>
      <c r="H16" s="5">
        <v>0.24480000000000002</v>
      </c>
      <c r="I16" s="5"/>
    </row>
    <row r="17" spans="1:9" x14ac:dyDescent="0.25">
      <c r="A17" t="str">
        <f>IF(Input!A18="","",Input!A18)</f>
        <v>Active Income MPS 2</v>
      </c>
      <c r="B17" s="1">
        <v>45260</v>
      </c>
      <c r="C17" s="5">
        <v>8.1000000000000013E-3</v>
      </c>
      <c r="D17" s="5">
        <v>1.46E-2</v>
      </c>
      <c r="E17" s="5">
        <v>3.1899999999999998E-2</v>
      </c>
      <c r="F17" s="5">
        <v>0.15810000000000002</v>
      </c>
      <c r="G17" s="5">
        <v>0.12130000000000001</v>
      </c>
      <c r="H17" s="5">
        <v>0.26539999999999997</v>
      </c>
      <c r="I17" s="5"/>
    </row>
    <row r="18" spans="1:9" x14ac:dyDescent="0.25">
      <c r="A18" t="str">
        <f>IF(Input!A19="","",Input!A19)</f>
        <v>Pactive MPS 1</v>
      </c>
      <c r="B18" s="1">
        <v>45260</v>
      </c>
      <c r="C18" s="5">
        <v>5.1000000000000004E-3</v>
      </c>
      <c r="D18" s="5">
        <v>1.1000000000000001E-2</v>
      </c>
      <c r="E18" s="5">
        <v>-3.7000000000000005E-2</v>
      </c>
      <c r="F18" s="5">
        <v>-1.1999999999999999E-3</v>
      </c>
      <c r="G18" s="5">
        <v>2.98E-2</v>
      </c>
      <c r="H18" s="5"/>
      <c r="I18" s="5"/>
    </row>
    <row r="19" spans="1:9" x14ac:dyDescent="0.25">
      <c r="A19" t="str">
        <f>IF(Input!A20="","",Input!A20)</f>
        <v>Pactive MPS 2</v>
      </c>
      <c r="B19" s="1">
        <v>45260</v>
      </c>
      <c r="C19" s="5">
        <v>5.6000000000000008E-3</v>
      </c>
      <c r="D19" s="5">
        <v>2.07E-2</v>
      </c>
      <c r="E19" s="5">
        <v>-2.2200000000000001E-2</v>
      </c>
      <c r="F19" s="5">
        <v>3.8300000000000001E-2</v>
      </c>
      <c r="G19" s="5">
        <v>8.0600000000000005E-2</v>
      </c>
      <c r="H19" s="5"/>
      <c r="I19" s="5"/>
    </row>
    <row r="20" spans="1:9" x14ac:dyDescent="0.25">
      <c r="A20" t="str">
        <f>IF(Input!A21="","",Input!A21)</f>
        <v>Pactive MPS 3</v>
      </c>
      <c r="B20" s="1">
        <v>45260</v>
      </c>
      <c r="C20" s="5">
        <v>6.1999999999999998E-3</v>
      </c>
      <c r="D20" s="5">
        <v>2.41E-2</v>
      </c>
      <c r="E20" s="5">
        <v>1.66E-2</v>
      </c>
      <c r="F20" s="5">
        <v>0.1018</v>
      </c>
      <c r="G20" s="5">
        <v>0.15890000000000001</v>
      </c>
      <c r="H20" s="5"/>
      <c r="I20" s="5"/>
    </row>
    <row r="21" spans="1:9" x14ac:dyDescent="0.25">
      <c r="A21" t="str">
        <f>IF(Input!A22="","",Input!A22)</f>
        <v>Pactive MPS 4</v>
      </c>
      <c r="B21" s="1">
        <v>45260</v>
      </c>
      <c r="C21" s="5">
        <v>6.5000000000000006E-3</v>
      </c>
      <c r="D21" s="5">
        <v>2.0799999999999999E-2</v>
      </c>
      <c r="E21" s="5">
        <v>1.37E-2</v>
      </c>
      <c r="F21" s="5">
        <v>0.13250000000000001</v>
      </c>
      <c r="G21" s="5">
        <v>0.18600000000000003</v>
      </c>
      <c r="H21" s="5"/>
      <c r="I21" s="5"/>
    </row>
    <row r="22" spans="1:9" x14ac:dyDescent="0.25">
      <c r="A22" t="str">
        <f>IF(Input!A23="","",Input!A23)</f>
        <v>Pactive MPS 5</v>
      </c>
      <c r="B22" s="1">
        <v>45260</v>
      </c>
      <c r="C22" s="5">
        <v>6.7000000000000002E-3</v>
      </c>
      <c r="D22" s="5">
        <v>2.1899999999999999E-2</v>
      </c>
      <c r="E22" s="5">
        <v>3.5200000000000002E-2</v>
      </c>
      <c r="F22" s="5">
        <v>0.18329999999999999</v>
      </c>
      <c r="G22" s="5">
        <v>0.25269999999999998</v>
      </c>
      <c r="H22" s="5"/>
      <c r="I22" s="5"/>
    </row>
    <row r="23" spans="1:9" x14ac:dyDescent="0.25">
      <c r="A23" t="str">
        <f>IF(Input!A24="","",Input!A24)</f>
        <v>Pactive MPS 6</v>
      </c>
      <c r="B23" s="1">
        <v>45260</v>
      </c>
      <c r="C23" s="5">
        <v>6.8000000000000005E-3</v>
      </c>
      <c r="D23" s="5">
        <v>2.5999999999999999E-3</v>
      </c>
      <c r="E23" s="5">
        <v>1.2E-2</v>
      </c>
      <c r="F23" s="5">
        <v>0.17620000000000002</v>
      </c>
      <c r="G23" s="5">
        <v>0.28089999999999998</v>
      </c>
      <c r="H23" s="5"/>
      <c r="I23" s="5"/>
    </row>
    <row r="24" spans="1:9" x14ac:dyDescent="0.25">
      <c r="A24" t="str">
        <f>IF(Input!A25="","",Input!A25)</f>
        <v>Responsible MPS 1</v>
      </c>
      <c r="B24" s="1">
        <v>45260</v>
      </c>
      <c r="C24" s="5">
        <v>3.8E-3</v>
      </c>
      <c r="D24" s="5">
        <v>2.2799999999999997E-2</v>
      </c>
      <c r="E24" s="5">
        <v>-6.2800000000000009E-2</v>
      </c>
      <c r="F24" s="5"/>
      <c r="G24" s="5"/>
      <c r="H24" s="5"/>
      <c r="I24" s="5"/>
    </row>
    <row r="25" spans="1:9" x14ac:dyDescent="0.25">
      <c r="A25" t="str">
        <f>IF(Input!A26="","",Input!A26)</f>
        <v>Responsible MPS 2</v>
      </c>
      <c r="B25" s="1">
        <v>45260</v>
      </c>
      <c r="C25" s="5">
        <v>3.9000000000000003E-3</v>
      </c>
      <c r="D25" s="5">
        <v>2.2499999999999999E-2</v>
      </c>
      <c r="E25" s="5">
        <v>-6.4699999999999994E-2</v>
      </c>
      <c r="F25" s="5"/>
      <c r="G25" s="5"/>
      <c r="H25" s="5"/>
      <c r="I25" s="5"/>
    </row>
    <row r="26" spans="1:9" x14ac:dyDescent="0.25">
      <c r="A26" t="str">
        <f>IF(Input!A27="","",Input!A27)</f>
        <v>Responsible MPS 3</v>
      </c>
      <c r="B26" s="1">
        <v>45260</v>
      </c>
      <c r="C26" s="5">
        <v>4.0000000000000001E-3</v>
      </c>
      <c r="D26" s="5">
        <v>1.3600000000000001E-2</v>
      </c>
      <c r="E26" s="5">
        <v>6.0299999999999999E-2</v>
      </c>
      <c r="F26" s="5"/>
      <c r="G26" s="5"/>
      <c r="H26" s="5"/>
      <c r="I26" s="5"/>
    </row>
    <row r="27" spans="1:9" x14ac:dyDescent="0.25">
      <c r="A27" t="str">
        <f>IF(Input!A28="","",Input!A28)</f>
        <v>Responsible MPS 4</v>
      </c>
      <c r="B27" s="1">
        <v>45260</v>
      </c>
      <c r="C27" s="5">
        <v>4.0999999999999995E-3</v>
      </c>
      <c r="D27" s="5">
        <v>2.2599999999999999E-2</v>
      </c>
      <c r="E27" s="5">
        <v>7.4800000000000005E-2</v>
      </c>
      <c r="F27" s="5"/>
      <c r="G27" s="5"/>
      <c r="H27" s="5"/>
      <c r="I27" s="5"/>
    </row>
    <row r="28" spans="1:9" x14ac:dyDescent="0.25">
      <c r="A28" t="str">
        <f>IF(Input!A29="","",Input!A29)</f>
        <v>Responsible MPS 5</v>
      </c>
      <c r="B28" s="1">
        <v>45260</v>
      </c>
      <c r="C28" s="5">
        <v>4.4000000000000003E-3</v>
      </c>
      <c r="D28" s="5">
        <v>1.3500000000000002E-2</v>
      </c>
      <c r="E28" s="5">
        <v>4.6900000000000004E-2</v>
      </c>
      <c r="F28" s="5"/>
      <c r="G28" s="5"/>
      <c r="H28" s="5"/>
      <c r="I28" s="5"/>
    </row>
    <row r="29" spans="1:9" x14ac:dyDescent="0.25">
      <c r="A29" t="str">
        <f>IF(Input!A30="","",Input!A30)</f>
        <v>Responsible MPS 6</v>
      </c>
      <c r="B29" s="1">
        <v>45260</v>
      </c>
      <c r="C29" s="5">
        <v>4.4000000000000003E-3</v>
      </c>
      <c r="D29" s="5">
        <v>-8.1000000000000013E-3</v>
      </c>
      <c r="E29" s="5">
        <v>-7.6499999999999999E-2</v>
      </c>
      <c r="F29" s="5"/>
      <c r="G29" s="5"/>
      <c r="H29" s="5"/>
      <c r="I29" s="5"/>
    </row>
    <row r="30" spans="1:9" x14ac:dyDescent="0.25">
      <c r="A30" t="str">
        <f>IF(Input!A31="","",Input!A31)</f>
        <v>Money Market MPS</v>
      </c>
      <c r="B30" s="1">
        <v>45260</v>
      </c>
      <c r="C30" s="5">
        <v>1E-3</v>
      </c>
    </row>
    <row r="31" spans="1:9" x14ac:dyDescent="0.25">
      <c r="A31" t="str">
        <f>IF(Input!A32="","",Input!A32)</f>
        <v/>
      </c>
      <c r="B31" s="1"/>
      <c r="C31" s="5"/>
    </row>
    <row r="32" spans="1:9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F50"/>
  <sheetViews>
    <sheetView tabSelected="1" workbookViewId="0">
      <selection activeCell="H32" sqref="H32"/>
    </sheetView>
  </sheetViews>
  <sheetFormatPr defaultRowHeight="15" x14ac:dyDescent="0.25"/>
  <cols>
    <col min="1" max="1" width="22.7109375" bestFit="1" customWidth="1"/>
    <col min="2" max="2" width="9.5703125" bestFit="1" customWidth="1"/>
    <col min="3" max="3" width="20.28515625" bestFit="1" customWidth="1"/>
    <col min="4" max="4" width="19.42578125" bestFit="1" customWidth="1"/>
    <col min="5" max="5" width="25.85546875" bestFit="1" customWidth="1"/>
    <col min="6" max="6" width="12.140625" bestFit="1" customWidth="1"/>
    <col min="7" max="7" width="23.42578125" bestFit="1" customWidth="1"/>
    <col min="8" max="8" width="20.85546875" bestFit="1" customWidth="1"/>
    <col min="9" max="9" width="18.5703125" bestFit="1" customWidth="1"/>
    <col min="10" max="10" width="18.7109375" bestFit="1" customWidth="1"/>
    <col min="11" max="11" width="8.7109375" bestFit="1" customWidth="1"/>
    <col min="12" max="12" width="15.28515625" bestFit="1" customWidth="1"/>
    <col min="13" max="13" width="7.140625" bestFit="1" customWidth="1"/>
    <col min="14" max="14" width="22.7109375" bestFit="1" customWidth="1"/>
    <col min="15" max="15" width="8.140625" bestFit="1" customWidth="1"/>
    <col min="16" max="16" width="30.28515625" bestFit="1" customWidth="1"/>
    <col min="17" max="17" width="26.140625" bestFit="1" customWidth="1"/>
    <col min="18" max="18" width="17.42578125" bestFit="1" customWidth="1"/>
    <col min="19" max="19" width="11.28515625" bestFit="1" customWidth="1"/>
    <col min="20" max="20" width="11.140625" bestFit="1" customWidth="1"/>
    <col min="21" max="21" width="17.140625" bestFit="1" customWidth="1"/>
    <col min="22" max="22" width="14" bestFit="1" customWidth="1"/>
    <col min="23" max="23" width="25.5703125" bestFit="1" customWidth="1"/>
    <col min="24" max="24" width="16.85546875" bestFit="1" customWidth="1"/>
    <col min="25" max="25" width="20.5703125" bestFit="1" customWidth="1"/>
    <col min="26" max="26" width="18.5703125" bestFit="1" customWidth="1"/>
    <col min="27" max="27" width="26.140625" bestFit="1" customWidth="1"/>
    <col min="28" max="28" width="4.7109375" bestFit="1" customWidth="1"/>
    <col min="29" max="29" width="17.28515625" bestFit="1" customWidth="1"/>
    <col min="30" max="30" width="11.85546875" bestFit="1" customWidth="1"/>
    <col min="31" max="31" width="13.5703125" bestFit="1" customWidth="1"/>
    <col min="32" max="32" width="4.85546875" bestFit="1" customWidth="1"/>
  </cols>
  <sheetData>
    <row r="1" spans="1:32" x14ac:dyDescent="0.25"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29</v>
      </c>
      <c r="J1" t="s">
        <v>76</v>
      </c>
      <c r="K1" t="s">
        <v>77</v>
      </c>
      <c r="L1" t="s">
        <v>78</v>
      </c>
      <c r="M1" t="s">
        <v>4</v>
      </c>
      <c r="N1" t="s">
        <v>84</v>
      </c>
    </row>
    <row r="2" spans="1:32" x14ac:dyDescent="0.25">
      <c r="A2" t="str">
        <f>IF(Input!A3="","",Input!A3)</f>
        <v>Passive MPS 1</v>
      </c>
      <c r="B2" s="5">
        <v>0.06</v>
      </c>
      <c r="C2" s="5">
        <v>7.0000000000000007E-2</v>
      </c>
      <c r="D2" s="5"/>
      <c r="E2" s="5"/>
      <c r="F2" s="5">
        <v>0.04</v>
      </c>
      <c r="G2" s="5">
        <v>0.05</v>
      </c>
      <c r="H2" s="5">
        <v>0.1</v>
      </c>
      <c r="I2" s="5">
        <v>0.17</v>
      </c>
      <c r="J2" s="5">
        <v>0.28000000000000003</v>
      </c>
      <c r="K2" s="5">
        <v>0.05</v>
      </c>
      <c r="L2" s="5">
        <v>0.16</v>
      </c>
      <c r="M2" s="5">
        <v>0.02</v>
      </c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</row>
    <row r="3" spans="1:32" x14ac:dyDescent="0.25">
      <c r="A3" t="str">
        <f>IF(Input!A4="","",Input!A4)</f>
        <v>Passive MPS 2</v>
      </c>
      <c r="B3" s="5">
        <v>0.12</v>
      </c>
      <c r="C3" s="5">
        <v>0.13</v>
      </c>
      <c r="D3" s="5"/>
      <c r="E3" s="5"/>
      <c r="F3" s="5">
        <v>0.06</v>
      </c>
      <c r="G3" s="5">
        <v>0.09</v>
      </c>
      <c r="H3" s="5">
        <v>0.06</v>
      </c>
      <c r="I3" s="5">
        <v>0.14000000000000001</v>
      </c>
      <c r="J3" s="5">
        <v>0.25</v>
      </c>
      <c r="K3" s="5">
        <v>0.05</v>
      </c>
      <c r="L3" s="5">
        <v>0.08</v>
      </c>
      <c r="M3" s="5">
        <v>0.02</v>
      </c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</row>
    <row r="4" spans="1:32" x14ac:dyDescent="0.25">
      <c r="A4" t="str">
        <f>IF(Input!A5="","",Input!A5)</f>
        <v>Passive MPS 3</v>
      </c>
      <c r="B4" s="5">
        <v>0.16</v>
      </c>
      <c r="C4" s="5">
        <v>0.14000000000000001</v>
      </c>
      <c r="D4" s="5"/>
      <c r="E4" s="5">
        <v>7.0000000000000007E-2</v>
      </c>
      <c r="F4" s="5">
        <v>0.06</v>
      </c>
      <c r="G4" s="5">
        <v>0.12</v>
      </c>
      <c r="H4" s="5">
        <v>0.03</v>
      </c>
      <c r="I4" s="5">
        <v>0.1</v>
      </c>
      <c r="J4" s="5">
        <v>0.21</v>
      </c>
      <c r="K4" s="5">
        <v>0.05</v>
      </c>
      <c r="L4" s="5">
        <v>0.04</v>
      </c>
      <c r="M4" s="5">
        <v>0.02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</row>
    <row r="5" spans="1:32" x14ac:dyDescent="0.25">
      <c r="A5" t="str">
        <f>IF(Input!A6="","",Input!A6)</f>
        <v>Passive MPS 4</v>
      </c>
      <c r="B5" s="5">
        <v>0.2</v>
      </c>
      <c r="C5" s="5">
        <v>0.2</v>
      </c>
      <c r="D5" s="5">
        <v>0.03</v>
      </c>
      <c r="E5" s="5">
        <v>0.08</v>
      </c>
      <c r="F5" s="5">
        <v>0.05</v>
      </c>
      <c r="G5" s="5">
        <v>0.14000000000000001</v>
      </c>
      <c r="H5" s="5"/>
      <c r="I5" s="5">
        <v>0.08</v>
      </c>
      <c r="J5" s="5">
        <v>0.17</v>
      </c>
      <c r="K5" s="5">
        <v>0.03</v>
      </c>
      <c r="L5" s="5"/>
      <c r="M5" s="5">
        <v>0.02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</row>
    <row r="6" spans="1:32" x14ac:dyDescent="0.25">
      <c r="A6" t="str">
        <f>IF(Input!A7="","",Input!A7)</f>
        <v>Passive MPS 5</v>
      </c>
      <c r="B6" s="5">
        <v>0.25</v>
      </c>
      <c r="C6" s="5">
        <v>0.24</v>
      </c>
      <c r="D6" s="5">
        <v>0.05</v>
      </c>
      <c r="E6" s="5">
        <v>0.1</v>
      </c>
      <c r="F6" s="5">
        <v>0.04</v>
      </c>
      <c r="G6" s="5">
        <v>0.17</v>
      </c>
      <c r="H6" s="5"/>
      <c r="I6" s="5"/>
      <c r="J6" s="5">
        <v>0.1</v>
      </c>
      <c r="K6" s="5">
        <v>0.03</v>
      </c>
      <c r="L6" s="5"/>
      <c r="M6" s="5">
        <v>0.02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</row>
    <row r="7" spans="1:32" x14ac:dyDescent="0.25">
      <c r="A7" t="str">
        <f>IF(Input!A8="","",Input!A8)</f>
        <v>Passive MPS 6</v>
      </c>
      <c r="B7" s="5">
        <v>0.23</v>
      </c>
      <c r="C7" s="5">
        <v>0.13</v>
      </c>
      <c r="D7" s="5">
        <v>0.05</v>
      </c>
      <c r="E7" s="5">
        <v>0.08</v>
      </c>
      <c r="F7" s="5">
        <v>0.03</v>
      </c>
      <c r="G7" s="5">
        <v>0.36</v>
      </c>
      <c r="H7" s="5"/>
      <c r="I7" s="5"/>
      <c r="J7" s="5">
        <v>7.0000000000000007E-2</v>
      </c>
      <c r="K7" s="5">
        <v>0.03</v>
      </c>
      <c r="L7" s="5"/>
      <c r="M7" s="5">
        <v>0.02</v>
      </c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</row>
    <row r="8" spans="1:32" x14ac:dyDescent="0.25">
      <c r="A8" t="str">
        <f>IF(Input!A9="","",Input!A9)</f>
        <v>Passive Income MPS 1</v>
      </c>
      <c r="B8" s="5">
        <v>0.16</v>
      </c>
      <c r="C8" s="5">
        <v>0.14000000000000001</v>
      </c>
      <c r="D8" s="5"/>
      <c r="E8" s="5">
        <v>7.0000000000000007E-2</v>
      </c>
      <c r="F8" s="5">
        <v>0.06</v>
      </c>
      <c r="G8" s="5">
        <v>0.12</v>
      </c>
      <c r="H8" s="5">
        <v>0.03</v>
      </c>
      <c r="I8" s="5">
        <v>0.1</v>
      </c>
      <c r="J8" s="5">
        <v>0.21</v>
      </c>
      <c r="K8" s="5">
        <v>0.05</v>
      </c>
      <c r="L8" s="5">
        <v>0.04</v>
      </c>
      <c r="M8" s="5">
        <v>0.02</v>
      </c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</row>
    <row r="9" spans="1:32" x14ac:dyDescent="0.25">
      <c r="A9" t="str">
        <f>IF(Input!A10="","",Input!A10)</f>
        <v>Passive Income MPS 2</v>
      </c>
      <c r="B9" s="5">
        <v>0.25</v>
      </c>
      <c r="C9" s="5">
        <v>0.24</v>
      </c>
      <c r="D9" s="5">
        <v>0.05</v>
      </c>
      <c r="E9" s="5">
        <v>0.1</v>
      </c>
      <c r="F9" s="5">
        <v>0.04</v>
      </c>
      <c r="G9" s="5">
        <v>0.17</v>
      </c>
      <c r="H9" s="5"/>
      <c r="I9" s="5"/>
      <c r="J9" s="5">
        <v>0.1</v>
      </c>
      <c r="K9" s="5">
        <v>0.03</v>
      </c>
      <c r="L9" s="5"/>
      <c r="M9" s="5">
        <v>0.02</v>
      </c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</row>
    <row r="10" spans="1:32" x14ac:dyDescent="0.25">
      <c r="A10" t="str">
        <f>IF(Input!A11="","",Input!A11)</f>
        <v>Active MPS 1</v>
      </c>
      <c r="B10" s="5">
        <v>0.06</v>
      </c>
      <c r="C10" s="5">
        <v>7.0000000000000007E-2</v>
      </c>
      <c r="D10" s="5"/>
      <c r="E10" s="5"/>
      <c r="F10" s="5">
        <v>0.04</v>
      </c>
      <c r="G10" s="5">
        <v>0.05</v>
      </c>
      <c r="H10" s="5">
        <v>0.1</v>
      </c>
      <c r="I10" s="5">
        <v>0.17</v>
      </c>
      <c r="J10" s="5">
        <v>0.28000000000000003</v>
      </c>
      <c r="K10" s="5">
        <v>0.05</v>
      </c>
      <c r="L10" s="5">
        <v>0.16</v>
      </c>
      <c r="M10" s="5">
        <v>0.02</v>
      </c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1:32" x14ac:dyDescent="0.25">
      <c r="A11" t="str">
        <f>IF(Input!A12="","",Input!A12)</f>
        <v>Active MPS 2</v>
      </c>
      <c r="B11" s="5">
        <v>0.12</v>
      </c>
      <c r="C11" s="5">
        <v>0.13</v>
      </c>
      <c r="D11" s="5"/>
      <c r="E11" s="5"/>
      <c r="F11" s="5">
        <v>0.06</v>
      </c>
      <c r="G11" s="5">
        <v>0.09</v>
      </c>
      <c r="H11" s="5">
        <v>0.06</v>
      </c>
      <c r="I11" s="5">
        <v>0.14000000000000001</v>
      </c>
      <c r="J11" s="5">
        <v>0.25</v>
      </c>
      <c r="K11" s="5">
        <v>0.05</v>
      </c>
      <c r="L11" s="5">
        <v>0.08</v>
      </c>
      <c r="M11" s="5">
        <v>0.02</v>
      </c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</row>
    <row r="12" spans="1:32" x14ac:dyDescent="0.25">
      <c r="A12" t="str">
        <f>IF(Input!A13="","",Input!A13)</f>
        <v>Active MPS 3</v>
      </c>
      <c r="B12" s="5">
        <v>0.16</v>
      </c>
      <c r="C12" s="5">
        <v>0.14000000000000001</v>
      </c>
      <c r="D12" s="5"/>
      <c r="E12" s="5">
        <v>7.0000000000000007E-2</v>
      </c>
      <c r="F12" s="5">
        <v>0.06</v>
      </c>
      <c r="G12" s="5">
        <v>0.12</v>
      </c>
      <c r="H12" s="5">
        <v>0.03</v>
      </c>
      <c r="I12" s="5">
        <v>0.1</v>
      </c>
      <c r="J12" s="5">
        <v>0.21</v>
      </c>
      <c r="K12" s="5">
        <v>0.05</v>
      </c>
      <c r="L12" s="5">
        <v>0.04</v>
      </c>
      <c r="M12" s="5">
        <v>0.02</v>
      </c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</row>
    <row r="13" spans="1:32" x14ac:dyDescent="0.25">
      <c r="A13" t="str">
        <f>IF(Input!A14="","",Input!A14)</f>
        <v>Active MPS 4</v>
      </c>
      <c r="B13" s="5">
        <v>0.2</v>
      </c>
      <c r="C13" s="5">
        <v>0.2</v>
      </c>
      <c r="D13" s="5">
        <v>0.03</v>
      </c>
      <c r="E13" s="5">
        <v>0.08</v>
      </c>
      <c r="F13" s="5">
        <v>0.05</v>
      </c>
      <c r="G13" s="5">
        <v>0.14000000000000001</v>
      </c>
      <c r="H13" s="5"/>
      <c r="I13" s="5">
        <v>0.08</v>
      </c>
      <c r="J13" s="5">
        <v>0.17</v>
      </c>
      <c r="K13" s="5">
        <v>0.03</v>
      </c>
      <c r="L13" s="5"/>
      <c r="M13" s="5">
        <v>0.02</v>
      </c>
      <c r="O13" s="5"/>
      <c r="P13" s="5"/>
      <c r="Q13" s="5"/>
      <c r="R13" s="5"/>
      <c r="S13" s="5"/>
      <c r="T13" s="5"/>
    </row>
    <row r="14" spans="1:32" x14ac:dyDescent="0.25">
      <c r="A14" t="str">
        <f>IF(Input!A15="","",Input!A15)</f>
        <v>Active MPS 5</v>
      </c>
      <c r="B14" s="5">
        <v>0.25</v>
      </c>
      <c r="C14" s="5">
        <v>0.24</v>
      </c>
      <c r="D14" s="5">
        <v>0.05</v>
      </c>
      <c r="E14" s="5">
        <v>0.1</v>
      </c>
      <c r="F14" s="5">
        <v>0.04</v>
      </c>
      <c r="G14" s="5">
        <v>0.17</v>
      </c>
      <c r="H14" s="5"/>
      <c r="I14" s="5"/>
      <c r="J14" s="5">
        <v>0.1</v>
      </c>
      <c r="K14" s="5">
        <v>0.03</v>
      </c>
      <c r="L14" s="5"/>
      <c r="M14" s="5">
        <v>0.02</v>
      </c>
      <c r="O14" s="5"/>
      <c r="P14" s="5"/>
      <c r="Q14" s="5"/>
      <c r="R14" s="5"/>
      <c r="S14" s="5"/>
      <c r="T14" s="5"/>
    </row>
    <row r="15" spans="1:32" x14ac:dyDescent="0.25">
      <c r="A15" t="str">
        <f>IF(Input!A16="","",Input!A16)</f>
        <v>Active MPS 6</v>
      </c>
      <c r="B15" s="5">
        <v>0.23</v>
      </c>
      <c r="C15" s="5">
        <v>0.13</v>
      </c>
      <c r="D15" s="5">
        <v>0.05</v>
      </c>
      <c r="E15" s="5">
        <v>0.17</v>
      </c>
      <c r="F15" s="5">
        <v>0.03</v>
      </c>
      <c r="G15" s="5">
        <v>0.27</v>
      </c>
      <c r="H15" s="5"/>
      <c r="I15" s="5"/>
      <c r="J15" s="5">
        <v>7.0000000000000007E-2</v>
      </c>
      <c r="K15" s="5">
        <v>0.03</v>
      </c>
      <c r="L15" s="5"/>
      <c r="M15" s="5">
        <v>0.02</v>
      </c>
      <c r="O15" s="5"/>
      <c r="P15" s="5"/>
      <c r="Q15" s="5"/>
      <c r="R15" s="5"/>
      <c r="S15" s="5"/>
      <c r="T15" s="5"/>
    </row>
    <row r="16" spans="1:32" x14ac:dyDescent="0.25">
      <c r="A16" t="str">
        <f>IF(Input!A17="","",Input!A17)</f>
        <v>Active Income MPS 1</v>
      </c>
      <c r="B16" s="5">
        <v>0.16</v>
      </c>
      <c r="C16" s="5">
        <v>0.14000000000000001</v>
      </c>
      <c r="D16" s="5"/>
      <c r="E16" s="5">
        <v>7.0000000000000007E-2</v>
      </c>
      <c r="F16" s="5">
        <v>0.06</v>
      </c>
      <c r="G16" s="5">
        <v>0.12</v>
      </c>
      <c r="H16" s="5">
        <v>0.03</v>
      </c>
      <c r="I16" s="5">
        <v>0.1</v>
      </c>
      <c r="J16" s="5">
        <v>0.21</v>
      </c>
      <c r="K16" s="5">
        <v>0.05</v>
      </c>
      <c r="L16" s="5">
        <v>0.04</v>
      </c>
      <c r="M16" s="5">
        <v>0.02</v>
      </c>
      <c r="O16" s="5"/>
      <c r="Q16" s="5"/>
      <c r="R16" s="5"/>
      <c r="S16" s="5"/>
      <c r="T16" s="5"/>
    </row>
    <row r="17" spans="1:29" x14ac:dyDescent="0.25">
      <c r="A17" t="str">
        <f>IF(Input!A18="","",Input!A18)</f>
        <v>Active Income MPS 2</v>
      </c>
      <c r="B17" s="5">
        <v>0.25</v>
      </c>
      <c r="C17" s="5">
        <v>0.24</v>
      </c>
      <c r="D17" s="5">
        <v>0.05</v>
      </c>
      <c r="E17" s="5">
        <v>0.1</v>
      </c>
      <c r="F17" s="5">
        <v>0.04</v>
      </c>
      <c r="G17" s="5">
        <v>0.17</v>
      </c>
      <c r="H17" s="5"/>
      <c r="I17" s="5"/>
      <c r="J17" s="5">
        <v>0.1</v>
      </c>
      <c r="K17" s="5">
        <v>0.03</v>
      </c>
      <c r="L17" s="5"/>
      <c r="M17" s="5">
        <v>0.02</v>
      </c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Pactive MPS 1</v>
      </c>
      <c r="B18" s="5">
        <v>5.9400000000000001E-2</v>
      </c>
      <c r="C18" s="5">
        <v>6.93E-2</v>
      </c>
      <c r="D18" s="5"/>
      <c r="F18" s="5">
        <v>3.9599999999999996E-2</v>
      </c>
      <c r="G18" s="5">
        <v>4.9500000000000002E-2</v>
      </c>
      <c r="H18" s="5">
        <v>9.9000000000000005E-2</v>
      </c>
      <c r="I18" s="5">
        <v>0.16829999999999998</v>
      </c>
      <c r="J18" s="5">
        <v>0.2772</v>
      </c>
      <c r="K18" s="5">
        <v>4.9500000000000002E-2</v>
      </c>
      <c r="L18" s="5">
        <v>0.08</v>
      </c>
      <c r="M18" s="5">
        <v>0.1082</v>
      </c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Pactive MPS 2</v>
      </c>
      <c r="B19" s="5">
        <v>0.1188</v>
      </c>
      <c r="C19" s="5">
        <v>0.12869999999999998</v>
      </c>
      <c r="D19" s="5"/>
      <c r="E19" s="5"/>
      <c r="F19" s="5">
        <v>5.9400000000000001E-2</v>
      </c>
      <c r="G19" s="5">
        <v>8.9099999999999999E-2</v>
      </c>
      <c r="H19" s="5">
        <v>5.9400000000000001E-2</v>
      </c>
      <c r="I19" s="5">
        <v>0.1386</v>
      </c>
      <c r="J19" s="5">
        <v>0.2475</v>
      </c>
      <c r="K19" s="5">
        <v>4.9500000000000002E-2</v>
      </c>
      <c r="L19" s="5">
        <v>0.04</v>
      </c>
      <c r="M19" s="5">
        <v>6.9000000000000006E-2</v>
      </c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Pactive MPS 3</v>
      </c>
      <c r="B20" s="5">
        <v>0.15839999999999999</v>
      </c>
      <c r="C20" s="5">
        <v>0.1386</v>
      </c>
      <c r="E20" s="5">
        <v>4.4800000000000006E-2</v>
      </c>
      <c r="F20" s="5">
        <v>5.9400000000000001E-2</v>
      </c>
      <c r="G20" s="5">
        <v>0.14330000000000001</v>
      </c>
      <c r="H20" s="5">
        <v>2.9700000000000001E-2</v>
      </c>
      <c r="I20" s="5">
        <v>9.9000000000000005E-2</v>
      </c>
      <c r="J20" s="5">
        <v>0.2079</v>
      </c>
      <c r="K20" s="5">
        <v>4.9500000000000002E-2</v>
      </c>
      <c r="L20" s="5">
        <v>0.02</v>
      </c>
      <c r="M20" s="5">
        <v>4.9400000000000006E-2</v>
      </c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Pactive MPS 4</v>
      </c>
      <c r="B21" s="5">
        <v>0.19800000000000001</v>
      </c>
      <c r="C21" s="5">
        <v>0.19800000000000001</v>
      </c>
      <c r="D21" s="5">
        <v>2.9700000000000001E-2</v>
      </c>
      <c r="E21" s="5">
        <v>7.980000000000001E-2</v>
      </c>
      <c r="F21" s="5">
        <v>4.9500000000000002E-2</v>
      </c>
      <c r="G21" s="5">
        <v>0.13800000000000001</v>
      </c>
      <c r="H21" s="5"/>
      <c r="I21" s="5">
        <v>7.9199999999999993E-2</v>
      </c>
      <c r="J21" s="5">
        <v>0.16829999999999998</v>
      </c>
      <c r="K21" s="5">
        <v>2.9700000000000001E-2</v>
      </c>
      <c r="L21" s="5"/>
      <c r="M21" s="5">
        <v>2.98E-2</v>
      </c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Pactive MPS 5</v>
      </c>
      <c r="B22" s="5">
        <v>0.2475</v>
      </c>
      <c r="C22" s="5">
        <v>0.23760000000000001</v>
      </c>
      <c r="D22" s="5">
        <v>4.9500000000000002E-2</v>
      </c>
      <c r="E22" s="5">
        <v>0.11470000000000001</v>
      </c>
      <c r="F22" s="5">
        <v>3.9599999999999996E-2</v>
      </c>
      <c r="G22" s="5">
        <v>0.15259999999999999</v>
      </c>
      <c r="H22" s="5"/>
      <c r="I22" s="5"/>
      <c r="J22" s="5">
        <v>9.7799999999999998E-2</v>
      </c>
      <c r="K22" s="5">
        <v>2.9700000000000001E-2</v>
      </c>
      <c r="L22" s="5"/>
      <c r="M22" s="5">
        <v>2.98E-2</v>
      </c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Pactive MPS 6</v>
      </c>
      <c r="B23" s="5">
        <v>0.22769999999999999</v>
      </c>
      <c r="C23" s="5">
        <v>0.12869999999999998</v>
      </c>
      <c r="D23" s="5">
        <v>4.9500000000000002E-2</v>
      </c>
      <c r="E23" s="5">
        <v>0.20920000000000002</v>
      </c>
      <c r="F23" s="5">
        <v>2.9700000000000001E-2</v>
      </c>
      <c r="G23" s="5">
        <v>0.22640000000000002</v>
      </c>
      <c r="H23" s="5"/>
      <c r="I23" s="5"/>
      <c r="J23" s="5">
        <v>6.93E-2</v>
      </c>
      <c r="K23" s="5">
        <v>2.9700000000000001E-2</v>
      </c>
      <c r="L23" s="5"/>
      <c r="M23" s="5">
        <v>2.98E-2</v>
      </c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Responsible MPS 1</v>
      </c>
      <c r="B24" s="5">
        <v>6.25E-2</v>
      </c>
      <c r="C24" s="5">
        <v>0.06</v>
      </c>
      <c r="D24" s="5">
        <v>1.2500000000000001E-2</v>
      </c>
      <c r="E24" s="5">
        <v>7.4999999999999997E-3</v>
      </c>
      <c r="F24" s="5">
        <v>0.01</v>
      </c>
      <c r="G24" s="5">
        <v>0.06</v>
      </c>
      <c r="H24" s="5">
        <v>0.1</v>
      </c>
      <c r="I24" s="5">
        <v>0.17</v>
      </c>
      <c r="J24" s="5">
        <v>0.28499999999999998</v>
      </c>
      <c r="K24" s="5">
        <v>4.7500000000000001E-2</v>
      </c>
      <c r="L24" s="5">
        <v>0.16</v>
      </c>
      <c r="M24" s="5">
        <v>2.5000000000000001E-2</v>
      </c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Responsible MPS 2</v>
      </c>
      <c r="B25" s="5">
        <v>0.1125</v>
      </c>
      <c r="C25" s="5">
        <v>0.12</v>
      </c>
      <c r="D25" s="5">
        <v>1.2500000000000001E-2</v>
      </c>
      <c r="E25" s="5">
        <v>7.4999999999999997E-3</v>
      </c>
      <c r="F25" s="5">
        <v>0.04</v>
      </c>
      <c r="G25" s="5">
        <v>0.1</v>
      </c>
      <c r="H25" s="5">
        <v>0.06</v>
      </c>
      <c r="I25" s="5">
        <v>0.14000000000000001</v>
      </c>
      <c r="J25" s="5">
        <v>0.255</v>
      </c>
      <c r="K25" s="5">
        <v>4.7500000000000001E-2</v>
      </c>
      <c r="L25" s="5">
        <v>0.08</v>
      </c>
      <c r="M25" s="5">
        <v>2.5000000000000001E-2</v>
      </c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Responsible MPS 3</v>
      </c>
      <c r="B26" s="5">
        <v>0.16250000000000001</v>
      </c>
      <c r="C26" s="5">
        <v>0.14000000000000001</v>
      </c>
      <c r="D26" s="5">
        <v>1.2500000000000001E-2</v>
      </c>
      <c r="E26" s="5">
        <v>2.75E-2</v>
      </c>
      <c r="F26" s="5">
        <v>0.06</v>
      </c>
      <c r="G26" s="5">
        <v>0.15</v>
      </c>
      <c r="H26" s="5">
        <v>0.03</v>
      </c>
      <c r="I26" s="5">
        <v>0.1</v>
      </c>
      <c r="J26" s="5">
        <v>0.20499999999999999</v>
      </c>
      <c r="K26" s="5">
        <v>4.7500000000000001E-2</v>
      </c>
      <c r="L26" s="5">
        <v>0.04</v>
      </c>
      <c r="M26" s="5">
        <v>2.5000000000000001E-2</v>
      </c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Responsible MPS 4</v>
      </c>
      <c r="B27" s="5">
        <v>0.20250000000000001</v>
      </c>
      <c r="C27" s="5">
        <v>0.2</v>
      </c>
      <c r="D27" s="5">
        <v>4.2500000000000003E-2</v>
      </c>
      <c r="E27" s="5">
        <v>2.75E-2</v>
      </c>
      <c r="F27" s="5">
        <v>0.05</v>
      </c>
      <c r="G27" s="5">
        <v>0.18</v>
      </c>
      <c r="H27" s="5"/>
      <c r="I27" s="5">
        <v>0.08</v>
      </c>
      <c r="J27" s="5">
        <v>0.16500000000000001</v>
      </c>
      <c r="K27" s="5">
        <v>2.75E-2</v>
      </c>
      <c r="L27" s="5"/>
      <c r="M27" s="5">
        <v>2.5000000000000001E-2</v>
      </c>
      <c r="O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Responsible MPS 5</v>
      </c>
      <c r="B28" s="5">
        <v>0.2525</v>
      </c>
      <c r="C28" s="5">
        <v>0.24</v>
      </c>
      <c r="D28" s="5">
        <v>5.2499999999999998E-2</v>
      </c>
      <c r="E28" s="5">
        <v>2.75E-2</v>
      </c>
      <c r="F28" s="5">
        <v>0.04</v>
      </c>
      <c r="G28" s="5">
        <v>0.23</v>
      </c>
      <c r="H28" s="5"/>
      <c r="J28" s="5">
        <v>0.105</v>
      </c>
      <c r="K28" s="5">
        <v>2.75E-2</v>
      </c>
      <c r="L28" s="5"/>
      <c r="M28" s="5">
        <v>2.5000000000000001E-2</v>
      </c>
      <c r="O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Responsible MPS 6</v>
      </c>
      <c r="B29" s="5">
        <v>0.23250000000000001</v>
      </c>
      <c r="C29" s="5">
        <v>0.13</v>
      </c>
      <c r="D29" s="5">
        <v>5.2499999999999998E-2</v>
      </c>
      <c r="E29" s="5">
        <v>8.7499999999999994E-2</v>
      </c>
      <c r="F29" s="5">
        <v>0.04</v>
      </c>
      <c r="G29" s="5">
        <v>0.34</v>
      </c>
      <c r="I29" s="5"/>
      <c r="J29" s="5">
        <v>6.5000000000000002E-2</v>
      </c>
      <c r="K29" s="5">
        <v>2.75E-2</v>
      </c>
      <c r="L29" s="5"/>
      <c r="M29" s="5">
        <v>2.5000000000000001E-2</v>
      </c>
      <c r="O29" s="5"/>
      <c r="P29" s="5"/>
      <c r="S29" s="5"/>
      <c r="T29" s="5"/>
    </row>
    <row r="30" spans="1:29" x14ac:dyDescent="0.25">
      <c r="A30" t="str">
        <f>IF(Input!A31="","",Input!A31)</f>
        <v>Money Market MPS</v>
      </c>
      <c r="E30" s="5"/>
      <c r="G30" s="5"/>
      <c r="I30" s="5"/>
      <c r="J30" s="5"/>
      <c r="L30" s="5">
        <v>0.79</v>
      </c>
      <c r="M30" s="5">
        <v>0.02</v>
      </c>
      <c r="N30" s="5">
        <v>0.19</v>
      </c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D30" sqref="D30"/>
    </sheetView>
  </sheetViews>
  <sheetFormatPr defaultRowHeight="15" x14ac:dyDescent="0.25"/>
  <cols>
    <col min="1" max="1" width="20.5703125" bestFit="1" customWidth="1"/>
    <col min="2" max="2" width="68" bestFit="1" customWidth="1"/>
    <col min="3" max="3" width="23.85546875" bestFit="1" customWidth="1"/>
    <col min="4" max="4" width="63.285156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Passive MPS 1</v>
      </c>
      <c r="B2" t="s">
        <v>62</v>
      </c>
      <c r="C2" t="s">
        <v>63</v>
      </c>
      <c r="D2" s="8" t="s">
        <v>83</v>
      </c>
    </row>
    <row r="3" spans="1:5" x14ac:dyDescent="0.25">
      <c r="A3" t="str">
        <f>IF(Input!A4="","",Input!A4)</f>
        <v>Passive MPS 2</v>
      </c>
      <c r="B3" t="s">
        <v>62</v>
      </c>
      <c r="C3" t="s">
        <v>63</v>
      </c>
      <c r="D3" s="8" t="s">
        <v>83</v>
      </c>
    </row>
    <row r="4" spans="1:5" x14ac:dyDescent="0.25">
      <c r="A4" t="str">
        <f>IF(Input!A5="","",Input!A5)</f>
        <v>Passive MPS 3</v>
      </c>
      <c r="B4" t="s">
        <v>62</v>
      </c>
      <c r="C4" t="s">
        <v>63</v>
      </c>
      <c r="D4" s="8" t="s">
        <v>83</v>
      </c>
    </row>
    <row r="5" spans="1:5" x14ac:dyDescent="0.25">
      <c r="A5" t="str">
        <f>IF(Input!A6="","",Input!A6)</f>
        <v>Passive MPS 4</v>
      </c>
      <c r="B5" t="s">
        <v>62</v>
      </c>
      <c r="C5" t="s">
        <v>63</v>
      </c>
      <c r="D5" s="8" t="s">
        <v>83</v>
      </c>
    </row>
    <row r="6" spans="1:5" x14ac:dyDescent="0.25">
      <c r="A6" t="str">
        <f>IF(Input!A7="","",Input!A7)</f>
        <v>Passive MPS 5</v>
      </c>
      <c r="B6" t="s">
        <v>62</v>
      </c>
      <c r="C6" t="s">
        <v>63</v>
      </c>
      <c r="D6" s="8" t="s">
        <v>83</v>
      </c>
    </row>
    <row r="7" spans="1:5" x14ac:dyDescent="0.25">
      <c r="A7" t="str">
        <f>IF(Input!A8="","",Input!A8)</f>
        <v>Passive MPS 6</v>
      </c>
      <c r="B7" t="s">
        <v>62</v>
      </c>
      <c r="C7" t="s">
        <v>63</v>
      </c>
      <c r="D7" s="8" t="s">
        <v>83</v>
      </c>
    </row>
    <row r="8" spans="1:5" x14ac:dyDescent="0.25">
      <c r="A8" t="str">
        <f>IF(Input!A9="","",Input!A9)</f>
        <v>Passive Income MPS 1</v>
      </c>
      <c r="B8" t="s">
        <v>62</v>
      </c>
      <c r="C8" t="s">
        <v>63</v>
      </c>
      <c r="D8" s="8" t="s">
        <v>83</v>
      </c>
    </row>
    <row r="9" spans="1:5" x14ac:dyDescent="0.25">
      <c r="A9" t="str">
        <f>IF(Input!A10="","",Input!A10)</f>
        <v>Passive Income MPS 2</v>
      </c>
      <c r="B9" t="s">
        <v>62</v>
      </c>
      <c r="C9" t="s">
        <v>63</v>
      </c>
      <c r="D9" s="8" t="s">
        <v>83</v>
      </c>
    </row>
    <row r="10" spans="1:5" x14ac:dyDescent="0.25">
      <c r="A10" t="str">
        <f>IF(Input!A11="","",Input!A11)</f>
        <v>Active MPS 1</v>
      </c>
      <c r="B10" t="s">
        <v>62</v>
      </c>
      <c r="C10" t="s">
        <v>63</v>
      </c>
      <c r="D10" s="8" t="s">
        <v>83</v>
      </c>
    </row>
    <row r="11" spans="1:5" x14ac:dyDescent="0.25">
      <c r="A11" t="str">
        <f>IF(Input!A12="","",Input!A12)</f>
        <v>Active MPS 2</v>
      </c>
      <c r="B11" t="s">
        <v>62</v>
      </c>
      <c r="C11" t="s">
        <v>63</v>
      </c>
      <c r="D11" s="8" t="s">
        <v>83</v>
      </c>
    </row>
    <row r="12" spans="1:5" x14ac:dyDescent="0.25">
      <c r="A12" t="str">
        <f>IF(Input!A13="","",Input!A13)</f>
        <v>Active MPS 3</v>
      </c>
      <c r="B12" t="s">
        <v>62</v>
      </c>
      <c r="C12" t="s">
        <v>63</v>
      </c>
      <c r="D12" s="8" t="s">
        <v>83</v>
      </c>
    </row>
    <row r="13" spans="1:5" x14ac:dyDescent="0.25">
      <c r="A13" t="str">
        <f>IF(Input!A14="","",Input!A14)</f>
        <v>Active MPS 4</v>
      </c>
      <c r="B13" t="s">
        <v>62</v>
      </c>
      <c r="C13" t="s">
        <v>63</v>
      </c>
      <c r="D13" s="8" t="s">
        <v>83</v>
      </c>
    </row>
    <row r="14" spans="1:5" x14ac:dyDescent="0.25">
      <c r="A14" t="str">
        <f>IF(Input!A15="","",Input!A15)</f>
        <v>Active MPS 5</v>
      </c>
      <c r="B14" t="s">
        <v>62</v>
      </c>
      <c r="C14" t="s">
        <v>63</v>
      </c>
      <c r="D14" s="8" t="s">
        <v>83</v>
      </c>
    </row>
    <row r="15" spans="1:5" x14ac:dyDescent="0.25">
      <c r="A15" t="str">
        <f>IF(Input!A16="","",Input!A16)</f>
        <v>Active MPS 6</v>
      </c>
      <c r="B15" t="s">
        <v>62</v>
      </c>
      <c r="C15" t="s">
        <v>63</v>
      </c>
      <c r="D15" s="8" t="s">
        <v>83</v>
      </c>
    </row>
    <row r="16" spans="1:5" x14ac:dyDescent="0.25">
      <c r="A16" t="str">
        <f>IF(Input!A17="","",Input!A17)</f>
        <v>Active Income MPS 1</v>
      </c>
      <c r="B16" t="s">
        <v>62</v>
      </c>
      <c r="C16" t="s">
        <v>63</v>
      </c>
      <c r="D16" s="8" t="s">
        <v>83</v>
      </c>
    </row>
    <row r="17" spans="1:4" x14ac:dyDescent="0.25">
      <c r="A17" t="str">
        <f>IF(Input!A18="","",Input!A18)</f>
        <v>Active Income MPS 2</v>
      </c>
      <c r="B17" t="s">
        <v>62</v>
      </c>
      <c r="C17" t="s">
        <v>63</v>
      </c>
      <c r="D17" s="8" t="s">
        <v>83</v>
      </c>
    </row>
    <row r="18" spans="1:4" x14ac:dyDescent="0.25">
      <c r="A18" t="str">
        <f>IF(Input!A19="","",Input!A19)</f>
        <v>Pactive MPS 1</v>
      </c>
      <c r="B18" t="s">
        <v>62</v>
      </c>
      <c r="C18" t="s">
        <v>63</v>
      </c>
      <c r="D18" s="8" t="s">
        <v>83</v>
      </c>
    </row>
    <row r="19" spans="1:4" x14ac:dyDescent="0.25">
      <c r="A19" t="str">
        <f>IF(Input!A20="","",Input!A20)</f>
        <v>Pactive MPS 2</v>
      </c>
      <c r="B19" t="s">
        <v>62</v>
      </c>
      <c r="C19" t="s">
        <v>63</v>
      </c>
      <c r="D19" s="8" t="s">
        <v>83</v>
      </c>
    </row>
    <row r="20" spans="1:4" x14ac:dyDescent="0.25">
      <c r="A20" t="str">
        <f>IF(Input!A21="","",Input!A21)</f>
        <v>Pactive MPS 3</v>
      </c>
      <c r="B20" t="s">
        <v>62</v>
      </c>
      <c r="C20" t="s">
        <v>63</v>
      </c>
      <c r="D20" s="8" t="s">
        <v>83</v>
      </c>
    </row>
    <row r="21" spans="1:4" x14ac:dyDescent="0.25">
      <c r="A21" t="str">
        <f>IF(Input!A22="","",Input!A22)</f>
        <v>Pactive MPS 4</v>
      </c>
      <c r="B21" t="s">
        <v>62</v>
      </c>
      <c r="C21" t="s">
        <v>63</v>
      </c>
      <c r="D21" s="8" t="s">
        <v>83</v>
      </c>
    </row>
    <row r="22" spans="1:4" x14ac:dyDescent="0.25">
      <c r="A22" t="str">
        <f>IF(Input!A23="","",Input!A23)</f>
        <v>Pactive MPS 5</v>
      </c>
      <c r="B22" t="s">
        <v>62</v>
      </c>
      <c r="C22" t="s">
        <v>63</v>
      </c>
      <c r="D22" s="8" t="s">
        <v>83</v>
      </c>
    </row>
    <row r="23" spans="1:4" x14ac:dyDescent="0.25">
      <c r="A23" t="str">
        <f>IF(Input!A24="","",Input!A24)</f>
        <v>Pactive MPS 6</v>
      </c>
      <c r="B23" t="s">
        <v>62</v>
      </c>
      <c r="C23" t="s">
        <v>63</v>
      </c>
      <c r="D23" s="8" t="s">
        <v>83</v>
      </c>
    </row>
    <row r="24" spans="1:4" x14ac:dyDescent="0.25">
      <c r="A24" t="str">
        <f>IF(Input!A25="","",Input!A25)</f>
        <v>Responsible MPS 1</v>
      </c>
      <c r="B24" t="s">
        <v>62</v>
      </c>
      <c r="C24" t="s">
        <v>63</v>
      </c>
      <c r="D24" s="8" t="s">
        <v>83</v>
      </c>
    </row>
    <row r="25" spans="1:4" x14ac:dyDescent="0.25">
      <c r="A25" t="str">
        <f>IF(Input!A26="","",Input!A26)</f>
        <v>Responsible MPS 2</v>
      </c>
      <c r="B25" t="s">
        <v>62</v>
      </c>
      <c r="C25" t="s">
        <v>63</v>
      </c>
      <c r="D25" s="8" t="s">
        <v>83</v>
      </c>
    </row>
    <row r="26" spans="1:4" x14ac:dyDescent="0.25">
      <c r="A26" t="str">
        <f>IF(Input!A27="","",Input!A27)</f>
        <v>Responsible MPS 3</v>
      </c>
      <c r="B26" t="s">
        <v>62</v>
      </c>
      <c r="C26" t="s">
        <v>63</v>
      </c>
      <c r="D26" s="8" t="s">
        <v>83</v>
      </c>
    </row>
    <row r="27" spans="1:4" x14ac:dyDescent="0.25">
      <c r="A27" t="str">
        <f>IF(Input!A28="","",Input!A28)</f>
        <v>Responsible MPS 4</v>
      </c>
      <c r="B27" t="s">
        <v>62</v>
      </c>
      <c r="C27" t="s">
        <v>63</v>
      </c>
      <c r="D27" s="8" t="s">
        <v>83</v>
      </c>
    </row>
    <row r="28" spans="1:4" x14ac:dyDescent="0.25">
      <c r="A28" t="str">
        <f>IF(Input!A29="","",Input!A29)</f>
        <v>Responsible MPS 5</v>
      </c>
      <c r="B28" t="s">
        <v>62</v>
      </c>
      <c r="C28" t="s">
        <v>63</v>
      </c>
      <c r="D28" s="8" t="s">
        <v>83</v>
      </c>
    </row>
    <row r="29" spans="1:4" x14ac:dyDescent="0.25">
      <c r="A29" t="str">
        <f>IF(Input!A30="","",Input!A30)</f>
        <v>Responsible MPS 6</v>
      </c>
      <c r="B29" t="s">
        <v>62</v>
      </c>
      <c r="C29" t="s">
        <v>63</v>
      </c>
      <c r="D29" s="10" t="s">
        <v>83</v>
      </c>
    </row>
    <row r="30" spans="1:4" x14ac:dyDescent="0.25">
      <c r="A30" t="str">
        <f>IF(Input!A31="","",Input!A31)</f>
        <v>Money Market MPS</v>
      </c>
      <c r="B30" t="s">
        <v>62</v>
      </c>
      <c r="C30" t="s">
        <v>63</v>
      </c>
      <c r="D30" s="10" t="s">
        <v>83</v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hyperlinks>
    <hyperlink ref="D29" r:id="rId1"/>
    <hyperlink ref="D30" r:id="rId2"/>
  </hyperlinks>
  <pageMargins left="0.7" right="0.7" top="0.75" bottom="0.75" header="0.3" footer="0.3"/>
  <pageSetup paperSize="9" orientation="portrait"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Passive MPS 1</v>
      </c>
      <c r="B2" s="1">
        <f>IF(A2="","",DATE(YEAR(IF(A2="","",'Additional Information'!B2)),MONTH(IF(A2="","",'Additional Information'!B2)),DAY(IF(A2="","",'Additional Information'!B2))))</f>
        <v>45260</v>
      </c>
    </row>
    <row r="3" spans="1:2" x14ac:dyDescent="0.25">
      <c r="A3" t="str">
        <f>IF(Input!A4="","",Input!A4)</f>
        <v>Passive MPS 2</v>
      </c>
      <c r="B3" s="1">
        <f>IF(A3="","",DATE(YEAR(IF(A3="","",'Additional Information'!B3)),MONTH(IF(A3="","",'Additional Information'!B3)),DAY(IF(A3="","",'Additional Information'!B3))))</f>
        <v>45260</v>
      </c>
    </row>
    <row r="4" spans="1:2" x14ac:dyDescent="0.25">
      <c r="A4" t="str">
        <f>IF(Input!A5="","",Input!A5)</f>
        <v>Passive MPS 3</v>
      </c>
      <c r="B4" s="1">
        <f>IF(A4="","",DATE(YEAR(IF(A4="","",'Additional Information'!B4)),MONTH(IF(A4="","",'Additional Information'!B4)),DAY(IF(A4="","",'Additional Information'!B4))))</f>
        <v>45260</v>
      </c>
    </row>
    <row r="5" spans="1:2" x14ac:dyDescent="0.25">
      <c r="A5" t="str">
        <f>IF(Input!A6="","",Input!A6)</f>
        <v>Passive MPS 4</v>
      </c>
      <c r="B5" s="1">
        <f>IF(A5="","",DATE(YEAR(IF(A5="","",'Additional Information'!B5)),MONTH(IF(A5="","",'Additional Information'!B5)),DAY(IF(A5="","",'Additional Information'!B5))))</f>
        <v>45260</v>
      </c>
    </row>
    <row r="6" spans="1:2" x14ac:dyDescent="0.25">
      <c r="A6" t="str">
        <f>IF(Input!A7="","",Input!A7)</f>
        <v>Passive MPS 5</v>
      </c>
      <c r="B6" s="1">
        <f>IF(A6="","",DATE(YEAR(IF(A6="","",'Additional Information'!B6)),MONTH(IF(A6="","",'Additional Information'!B6)),DAY(IF(A6="","",'Additional Information'!B6))))</f>
        <v>45260</v>
      </c>
    </row>
    <row r="7" spans="1:2" x14ac:dyDescent="0.25">
      <c r="A7" t="str">
        <f>IF(Input!A8="","",Input!A8)</f>
        <v>Passive MPS 6</v>
      </c>
      <c r="B7" s="1">
        <f>IF(A7="","",DATE(YEAR(IF(A7="","",'Additional Information'!B7)),MONTH(IF(A7="","",'Additional Information'!B7)),DAY(IF(A7="","",'Additional Information'!B7))))</f>
        <v>45260</v>
      </c>
    </row>
    <row r="8" spans="1:2" x14ac:dyDescent="0.25">
      <c r="A8" t="str">
        <f>IF(Input!A9="","",Input!A9)</f>
        <v>Passive Income MPS 1</v>
      </c>
      <c r="B8" s="1">
        <f>IF(A8="","",DATE(YEAR(IF(A8="","",'Additional Information'!B8)),MONTH(IF(A8="","",'Additional Information'!B8)),DAY(IF(A8="","",'Additional Information'!B8))))</f>
        <v>45260</v>
      </c>
    </row>
    <row r="9" spans="1:2" x14ac:dyDescent="0.25">
      <c r="A9" t="str">
        <f>IF(Input!A10="","",Input!A10)</f>
        <v>Passive Income MPS 2</v>
      </c>
      <c r="B9" s="1">
        <f>IF(A9="","",DATE(YEAR(IF(A9="","",'Additional Information'!B9)),MONTH(IF(A9="","",'Additional Information'!B9)),DAY(IF(A9="","",'Additional Information'!B9))))</f>
        <v>45260</v>
      </c>
    </row>
    <row r="10" spans="1:2" x14ac:dyDescent="0.25">
      <c r="A10" t="str">
        <f>IF(Input!A11="","",Input!A11)</f>
        <v>Active MPS 1</v>
      </c>
      <c r="B10" s="1">
        <f>IF(A10="","",DATE(YEAR(IF(A10="","",'Additional Information'!B10)),MONTH(IF(A10="","",'Additional Information'!B10)),DAY(IF(A10="","",'Additional Information'!B10))))</f>
        <v>45260</v>
      </c>
    </row>
    <row r="11" spans="1:2" x14ac:dyDescent="0.25">
      <c r="A11" t="str">
        <f>IF(Input!A12="","",Input!A12)</f>
        <v>Active MPS 2</v>
      </c>
      <c r="B11" s="1">
        <f>IF(A11="","",DATE(YEAR(IF(A11="","",'Additional Information'!B11)),MONTH(IF(A11="","",'Additional Information'!B11)),DAY(IF(A11="","",'Additional Information'!B11))))</f>
        <v>45260</v>
      </c>
    </row>
    <row r="12" spans="1:2" x14ac:dyDescent="0.25">
      <c r="A12" t="str">
        <f>IF(Input!A13="","",Input!A13)</f>
        <v>Active MPS 3</v>
      </c>
      <c r="B12" s="1">
        <f>IF(A12="","",DATE(YEAR(IF(A12="","",'Additional Information'!B12)),MONTH(IF(A12="","",'Additional Information'!B12)),DAY(IF(A12="","",'Additional Information'!B12))))</f>
        <v>45260</v>
      </c>
    </row>
    <row r="13" spans="1:2" x14ac:dyDescent="0.25">
      <c r="A13" t="str">
        <f>IF(Input!A14="","",Input!A14)</f>
        <v>Active MPS 4</v>
      </c>
      <c r="B13" s="1">
        <f>IF(A13="","",DATE(YEAR(IF(A13="","",'Additional Information'!B13)),MONTH(IF(A13="","",'Additional Information'!B13)),DAY(IF(A13="","",'Additional Information'!B13))))</f>
        <v>45260</v>
      </c>
    </row>
    <row r="14" spans="1:2" x14ac:dyDescent="0.25">
      <c r="A14" t="str">
        <f>IF(Input!A15="","",Input!A15)</f>
        <v>Active MPS 5</v>
      </c>
      <c r="B14" s="1">
        <f>IF(A14="","",DATE(YEAR(IF(A14="","",'Additional Information'!B14)),MONTH(IF(A14="","",'Additional Information'!B14)),DAY(IF(A14="","",'Additional Information'!B14))))</f>
        <v>45260</v>
      </c>
    </row>
    <row r="15" spans="1:2" x14ac:dyDescent="0.25">
      <c r="A15" t="str">
        <f>IF(Input!A16="","",Input!A16)</f>
        <v>Active MPS 6</v>
      </c>
      <c r="B15" s="1">
        <f>IF(A15="","",DATE(YEAR(IF(A15="","",'Additional Information'!B15)),MONTH(IF(A15="","",'Additional Information'!B15)),DAY(IF(A15="","",'Additional Information'!B15))))</f>
        <v>45260</v>
      </c>
    </row>
    <row r="16" spans="1:2" x14ac:dyDescent="0.25">
      <c r="A16" t="str">
        <f>IF(Input!A17="","",Input!A17)</f>
        <v>Active Income MPS 1</v>
      </c>
      <c r="B16" s="1">
        <f>IF(A16="","",DATE(YEAR(IF(A16="","",'Additional Information'!B16)),MONTH(IF(A16="","",'Additional Information'!B16)),DAY(IF(A16="","",'Additional Information'!B16))))</f>
        <v>45260</v>
      </c>
    </row>
    <row r="17" spans="1:2" x14ac:dyDescent="0.25">
      <c r="A17" t="str">
        <f>IF(Input!A18="","",Input!A18)</f>
        <v>Active Income MPS 2</v>
      </c>
      <c r="B17" s="1">
        <f>IF(A17="","",DATE(YEAR(IF(A17="","",'Additional Information'!B17)),MONTH(IF(A17="","",'Additional Information'!B17)),DAY(IF(A17="","",'Additional Information'!B17))))</f>
        <v>45260</v>
      </c>
    </row>
    <row r="18" spans="1:2" x14ac:dyDescent="0.25">
      <c r="A18" t="str">
        <f>IF(Input!A19="","",Input!A19)</f>
        <v>Pactive MPS 1</v>
      </c>
      <c r="B18" s="1">
        <f>IF(A18="","",DATE(YEAR(IF(A18="","",'Additional Information'!B18)),MONTH(IF(A18="","",'Additional Information'!B18)),DAY(IF(A18="","",'Additional Information'!B18))))</f>
        <v>45260</v>
      </c>
    </row>
    <row r="19" spans="1:2" x14ac:dyDescent="0.25">
      <c r="A19" t="str">
        <f>IF(Input!A20="","",Input!A20)</f>
        <v>Pactive MPS 2</v>
      </c>
      <c r="B19" s="1">
        <f>IF(A19="","",DATE(YEAR(IF(A19="","",'Additional Information'!B19)),MONTH(IF(A19="","",'Additional Information'!B19)),DAY(IF(A19="","",'Additional Information'!B19))))</f>
        <v>45260</v>
      </c>
    </row>
    <row r="20" spans="1:2" x14ac:dyDescent="0.25">
      <c r="A20" t="str">
        <f>IF(Input!A21="","",Input!A21)</f>
        <v>Pactive MPS 3</v>
      </c>
      <c r="B20" s="1">
        <f>IF(A20="","",DATE(YEAR(IF(A20="","",'Additional Information'!B20)),MONTH(IF(A20="","",'Additional Information'!B20)),DAY(IF(A20="","",'Additional Information'!B20))))</f>
        <v>45260</v>
      </c>
    </row>
    <row r="21" spans="1:2" x14ac:dyDescent="0.25">
      <c r="A21" t="str">
        <f>IF(Input!A22="","",Input!A22)</f>
        <v>Pactive MPS 4</v>
      </c>
      <c r="B21" s="1">
        <f>IF(A21="","",DATE(YEAR(IF(A21="","",'Additional Information'!B21)),MONTH(IF(A21="","",'Additional Information'!B21)),DAY(IF(A21="","",'Additional Information'!B21))))</f>
        <v>45260</v>
      </c>
    </row>
    <row r="22" spans="1:2" x14ac:dyDescent="0.25">
      <c r="A22" t="str">
        <f>IF(Input!A23="","",Input!A23)</f>
        <v>Pactive MPS 5</v>
      </c>
      <c r="B22" s="1">
        <f>IF(A22="","",DATE(YEAR(IF(A22="","",'Additional Information'!B22)),MONTH(IF(A22="","",'Additional Information'!B22)),DAY(IF(A22="","",'Additional Information'!B22))))</f>
        <v>45260</v>
      </c>
    </row>
    <row r="23" spans="1:2" x14ac:dyDescent="0.25">
      <c r="A23" t="str">
        <f>IF(Input!A24="","",Input!A24)</f>
        <v>Pactive MPS 6</v>
      </c>
      <c r="B23" s="1">
        <f>IF(A23="","",DATE(YEAR(IF(A23="","",'Additional Information'!B23)),MONTH(IF(A23="","",'Additional Information'!B23)),DAY(IF(A23="","",'Additional Information'!B23))))</f>
        <v>45260</v>
      </c>
    </row>
    <row r="24" spans="1:2" x14ac:dyDescent="0.25">
      <c r="A24" t="str">
        <f>IF(Input!A25="","",Input!A25)</f>
        <v>Responsible MPS 1</v>
      </c>
      <c r="B24" s="1">
        <f>IF(A24="","",DATE(YEAR(IF(A24="","",'Additional Information'!B24)),MONTH(IF(A24="","",'Additional Information'!B24)),DAY(IF(A24="","",'Additional Information'!B24))))</f>
        <v>45260</v>
      </c>
    </row>
    <row r="25" spans="1:2" x14ac:dyDescent="0.25">
      <c r="A25" t="str">
        <f>IF(Input!A26="","",Input!A26)</f>
        <v>Responsible MPS 2</v>
      </c>
      <c r="B25" s="1">
        <f>IF(A25="","",DATE(YEAR(IF(A25="","",'Additional Information'!B25)),MONTH(IF(A25="","",'Additional Information'!B25)),DAY(IF(A25="","",'Additional Information'!B25))))</f>
        <v>45260</v>
      </c>
    </row>
    <row r="26" spans="1:2" x14ac:dyDescent="0.25">
      <c r="A26" t="str">
        <f>IF(Input!A27="","",Input!A27)</f>
        <v>Responsible MPS 3</v>
      </c>
      <c r="B26" s="1">
        <f>IF(A26="","",DATE(YEAR(IF(A26="","",'Additional Information'!B26)),MONTH(IF(A26="","",'Additional Information'!B26)),DAY(IF(A26="","",'Additional Information'!B26))))</f>
        <v>45260</v>
      </c>
    </row>
    <row r="27" spans="1:2" x14ac:dyDescent="0.25">
      <c r="A27" t="str">
        <f>IF(Input!A28="","",Input!A28)</f>
        <v>Responsible MPS 4</v>
      </c>
      <c r="B27" s="1">
        <f>IF(A27="","",DATE(YEAR(IF(A27="","",'Additional Information'!B27)),MONTH(IF(A27="","",'Additional Information'!B27)),DAY(IF(A27="","",'Additional Information'!B27))))</f>
        <v>45260</v>
      </c>
    </row>
    <row r="28" spans="1:2" x14ac:dyDescent="0.25">
      <c r="A28" t="str">
        <f>IF(Input!A29="","",Input!A29)</f>
        <v>Responsible MPS 5</v>
      </c>
      <c r="B28" s="1">
        <f>IF(A28="","",DATE(YEAR(IF(A28="","",'Additional Information'!B28)),MONTH(IF(A28="","",'Additional Information'!B28)),DAY(IF(A28="","",'Additional Information'!B28))))</f>
        <v>45260</v>
      </c>
    </row>
    <row r="29" spans="1:2" x14ac:dyDescent="0.25">
      <c r="A29" t="str">
        <f>IF(Input!A30="","",Input!A30)</f>
        <v>Responsible MPS 6</v>
      </c>
      <c r="B29" s="1">
        <f>IF(A29="","",DATE(YEAR(IF(A29="","",'Additional Information'!B29)),MONTH(IF(A29="","",'Additional Information'!B29)),DAY(IF(A29="","",'Additional Information'!B29))))</f>
        <v>45260</v>
      </c>
    </row>
    <row r="30" spans="1:2" x14ac:dyDescent="0.25">
      <c r="A30" t="str">
        <f>IF(Input!A31="","",Input!A31)</f>
        <v>Money Market MPS</v>
      </c>
      <c r="B30" s="1">
        <f>IF(A30="","",DATE(YEAR(IF(A30="","",'Additional Information'!B30)),MONTH(IF(A30="","",'Additional Information'!B30)),DAY(IF(A30="","",'Additional Information'!B30))))</f>
        <v>45260</v>
      </c>
    </row>
    <row r="31" spans="1:2" x14ac:dyDescent="0.25">
      <c r="A31" t="str">
        <f>IF(Input!A32="","",Input!A32)</f>
        <v/>
      </c>
      <c r="B31" s="1" t="str">
        <f>IF(A31="","",DATE(YEAR(IF(A31="","",'Additional Information'!B31)),MONTH(IF(A31="","",'Additional Information'!B31)),DAY(IF(A31="","",'Additional Information'!B31))))</f>
        <v/>
      </c>
    </row>
    <row r="32" spans="1:2" x14ac:dyDescent="0.25">
      <c r="A32" t="str">
        <f>IF(Input!A33="","",Input!A33)</f>
        <v/>
      </c>
      <c r="B32" s="1" t="str">
        <f>IF(A32="","",DATE(YEAR(IF(A32="","",'Additional Information'!B32)),MONTH(IF(A32="","",'Additional Information'!B32)),DAY(IF(A32="","",'Additional Information'!B32))))</f>
        <v/>
      </c>
    </row>
    <row r="33" spans="1:2" x14ac:dyDescent="0.25">
      <c r="A33" t="str">
        <f>IF(Input!A34="","",Input!A34)</f>
        <v/>
      </c>
      <c r="B33" s="1" t="str">
        <f>IF(A33="","",DATE(YEAR(IF(A33="","",'Additional Information'!B33)),MONTH(IF(A33="","",'Additional Information'!B33)),DAY(IF(A33="","",'Additional Information'!B33))))</f>
        <v/>
      </c>
    </row>
    <row r="34" spans="1:2" x14ac:dyDescent="0.25">
      <c r="A34" t="str">
        <f>IF(Input!A35="","",Input!A35)</f>
        <v/>
      </c>
      <c r="B34" s="1" t="str">
        <f>IF(A34="","",DATE(YEAR(IF(A34="","",'Additional Information'!B34)),MONTH(IF(A34="","",'Additional Information'!B34)),DAY(IF(A34="","",'Additional Information'!B34))))</f>
        <v/>
      </c>
    </row>
    <row r="35" spans="1:2" x14ac:dyDescent="0.2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2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2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2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2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2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2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2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2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2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2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2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2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2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2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2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34</v>
      </c>
      <c r="D1" t="s">
        <v>18</v>
      </c>
      <c r="E1" t="s">
        <v>31</v>
      </c>
      <c r="F1" t="s">
        <v>35</v>
      </c>
      <c r="G1" t="s">
        <v>36</v>
      </c>
    </row>
    <row r="2" spans="1:7" x14ac:dyDescent="0.25">
      <c r="A2" t="str">
        <f>IF(Input!A3="","",Input!A3)</f>
        <v>Passive MPS 1</v>
      </c>
      <c r="C2">
        <f>IF(A2="","",IF('Additional Information'!D2="","",'Additional Information'!D2))</f>
        <v>1.3600000000000001E-2</v>
      </c>
      <c r="D2" s="5">
        <f>IF(A2="","",SUM('Additional Information'!C2))</f>
        <v>2.8000000000000004E-3</v>
      </c>
      <c r="F2">
        <f>IF(A2="","",IF('Additional Information'!F2="","",'Additional Information'!F2))</f>
        <v>1.7500000000000002E-2</v>
      </c>
      <c r="G2">
        <f>IF(A2="","",IF('Additional Information'!H2="","",'Additional Information'!H2))</f>
        <v>0.1411</v>
      </c>
    </row>
    <row r="3" spans="1:7" x14ac:dyDescent="0.25">
      <c r="A3" t="str">
        <f>IF(Input!A4="","",Input!A4)</f>
        <v>Passive MPS 2</v>
      </c>
      <c r="C3">
        <f>IF(A3="","",IF('Additional Information'!D3="","",'Additional Information'!D3))</f>
        <v>2.3E-2</v>
      </c>
      <c r="D3" s="5">
        <f>IF(A3="","",SUM('Additional Information'!C3))</f>
        <v>2.8000000000000004E-3</v>
      </c>
      <c r="F3">
        <f>IF(A3="","",IF('Additional Information'!F3="","",'Additional Information'!F3))</f>
        <v>5.5999999999999994E-2</v>
      </c>
      <c r="G3">
        <f>IF(A3="","",IF('Additional Information'!H3="","",'Additional Information'!H3))</f>
        <v>0.21249999999999999</v>
      </c>
    </row>
    <row r="4" spans="1:7" x14ac:dyDescent="0.25">
      <c r="A4" t="str">
        <f>IF(Input!A5="","",Input!A5)</f>
        <v>Passive MPS 3</v>
      </c>
      <c r="C4">
        <f>IF(A4="","",IF('Additional Information'!D4="","",'Additional Information'!D4))</f>
        <v>2.2799999999999997E-2</v>
      </c>
      <c r="D4" s="5">
        <f>IF(A4="","",SUM('Additional Information'!C4))</f>
        <v>2.8999999999999998E-3</v>
      </c>
      <c r="F4">
        <f>IF(A4="","",IF('Additional Information'!F4="","",'Additional Information'!F4))</f>
        <v>0.1229</v>
      </c>
      <c r="G4">
        <f>IF(A4="","",IF('Additional Information'!H4="","",'Additional Information'!H4))</f>
        <v>0.31940000000000002</v>
      </c>
    </row>
    <row r="5" spans="1:7" x14ac:dyDescent="0.25">
      <c r="A5" t="str">
        <f>IF(Input!A6="","",Input!A6)</f>
        <v>Passive MPS 4</v>
      </c>
      <c r="C5">
        <f>IF(A5="","",IF('Additional Information'!D5="","",'Additional Information'!D5))</f>
        <v>2.5600000000000001E-2</v>
      </c>
      <c r="D5" s="5">
        <f>IF(A5="","",SUM('Additional Information'!C5))</f>
        <v>2.8000000000000004E-3</v>
      </c>
      <c r="F5">
        <f>IF(A5="","",IF('Additional Information'!F5="","",'Additional Information'!F5))</f>
        <v>0.17120000000000002</v>
      </c>
      <c r="G5">
        <f>IF(A5="","",IF('Additional Information'!H5="","",'Additional Information'!H5))</f>
        <v>0.37479999999999997</v>
      </c>
    </row>
    <row r="6" spans="1:7" x14ac:dyDescent="0.25">
      <c r="A6" t="str">
        <f>IF(Input!A7="","",Input!A7)</f>
        <v>Passive MPS 5</v>
      </c>
      <c r="C6">
        <f>IF(A6="","",IF('Additional Information'!D6="","",'Additional Information'!D6))</f>
        <v>2.75E-2</v>
      </c>
      <c r="D6" s="5">
        <f>IF(A6="","",SUM('Additional Information'!C6))</f>
        <v>2.8000000000000004E-3</v>
      </c>
      <c r="F6">
        <f>IF(A6="","",IF('Additional Information'!F6="","",'Additional Information'!F6))</f>
        <v>0.23319999999999999</v>
      </c>
      <c r="G6">
        <f>IF(A6="","",IF('Additional Information'!H6="","",'Additional Information'!H6))</f>
        <v>0.46200000000000002</v>
      </c>
    </row>
    <row r="7" spans="1:7" x14ac:dyDescent="0.25">
      <c r="A7" t="str">
        <f>IF(Input!A8="","",Input!A8)</f>
        <v>Passive MPS 6</v>
      </c>
      <c r="C7">
        <f>IF(A7="","",IF('Additional Information'!D7="","",'Additional Information'!D7))</f>
        <v>3.0000000000000001E-3</v>
      </c>
      <c r="D7" s="5">
        <f>IF(A7="","",SUM('Additional Information'!C7))</f>
        <v>2.8999999999999998E-3</v>
      </c>
      <c r="F7">
        <f>IF(A7="","",IF('Additional Information'!F7="","",'Additional Information'!F7))</f>
        <v>0.21429999999999999</v>
      </c>
      <c r="G7">
        <f>IF(A7="","",IF('Additional Information'!H7="","",'Additional Information'!H7))</f>
        <v>0.45090000000000002</v>
      </c>
    </row>
    <row r="8" spans="1:7" x14ac:dyDescent="0.25">
      <c r="A8" t="str">
        <f>IF(Input!A9="","",Input!A9)</f>
        <v>Passive Income MPS 1</v>
      </c>
      <c r="C8">
        <f>IF(A8="","",IF('Additional Information'!D8="","",'Additional Information'!D8))</f>
        <v>1.6000000000000001E-3</v>
      </c>
      <c r="D8" s="5">
        <f>IF(A8="","",SUM('Additional Information'!C8))</f>
        <v>3.8E-3</v>
      </c>
      <c r="F8">
        <f>IF(A8="","",IF('Additional Information'!F8="","",'Additional Information'!F8))</f>
        <v>0.11560000000000001</v>
      </c>
      <c r="G8">
        <f>IF(A8="","",IF('Additional Information'!H8="","",'Additional Information'!H8))</f>
        <v>0.2324</v>
      </c>
    </row>
    <row r="9" spans="1:7" x14ac:dyDescent="0.25">
      <c r="A9" t="str">
        <f>IF(Input!A10="","",Input!A10)</f>
        <v>Passive Income MPS 2</v>
      </c>
      <c r="C9">
        <f>IF(A9="","",IF('Additional Information'!D9="","",'Additional Information'!D9))</f>
        <v>2.8000000000000004E-3</v>
      </c>
      <c r="D9" s="5">
        <f>IF(A9="","",SUM('Additional Information'!C9))</f>
        <v>4.3E-3</v>
      </c>
      <c r="F9">
        <f>IF(A9="","",IF('Additional Information'!F9="","",'Additional Information'!F9))</f>
        <v>0.18109999999999998</v>
      </c>
      <c r="G9">
        <f>IF(A9="","",IF('Additional Information'!H9="","",'Additional Information'!H9))</f>
        <v>0.20710000000000001</v>
      </c>
    </row>
    <row r="10" spans="1:7" x14ac:dyDescent="0.25">
      <c r="A10" t="str">
        <f>IF(Input!A11="","",Input!A11)</f>
        <v>Active MPS 1</v>
      </c>
      <c r="C10">
        <f>IF(A10="","",IF('Additional Information'!D10="","",'Additional Information'!D10))</f>
        <v>1.44E-2</v>
      </c>
      <c r="D10" s="5">
        <f>IF(A10="","",SUM('Additional Information'!C10))</f>
        <v>5.6000000000000008E-3</v>
      </c>
      <c r="F10">
        <f>IF(A10="","",IF('Additional Information'!F10="","",'Additional Information'!F10))</f>
        <v>8.9999999999999998E-4</v>
      </c>
      <c r="G10">
        <f>IF(A10="","",IF('Additional Information'!H10="","",'Additional Information'!H10))</f>
        <v>0.1082</v>
      </c>
    </row>
    <row r="11" spans="1:7" x14ac:dyDescent="0.25">
      <c r="A11" t="str">
        <f>IF(Input!A12="","",Input!A12)</f>
        <v>Active MPS 2</v>
      </c>
      <c r="C11">
        <f>IF(A11="","",IF('Additional Information'!D11="","",'Additional Information'!D11))</f>
        <v>2.3700000000000002E-2</v>
      </c>
      <c r="D11" s="5">
        <f>IF(A11="","",SUM('Additional Information'!C11))</f>
        <v>6.7000000000000002E-3</v>
      </c>
      <c r="F11">
        <f>IF(A11="","",IF('Additional Information'!F11="","",'Additional Information'!F11))</f>
        <v>3.95E-2</v>
      </c>
      <c r="G11">
        <f>IF(A11="","",IF('Additional Information'!H11="","",'Additional Information'!H11))</f>
        <v>0.17649999999999999</v>
      </c>
    </row>
    <row r="12" spans="1:7" x14ac:dyDescent="0.25">
      <c r="A12" t="str">
        <f>IF(Input!A13="","",Input!A13)</f>
        <v>Active MPS 3</v>
      </c>
      <c r="C12">
        <f>IF(A12="","",IF('Additional Information'!D12="","",'Additional Information'!D12))</f>
        <v>2.9900000000000003E-2</v>
      </c>
      <c r="D12" s="5">
        <f>IF(A12="","",SUM('Additional Information'!C12))</f>
        <v>7.8000000000000005E-3</v>
      </c>
      <c r="F12">
        <f>IF(A12="","",IF('Additional Information'!F12="","",'Additional Information'!F12))</f>
        <v>0.1009</v>
      </c>
      <c r="G12">
        <f>IF(A12="","",IF('Additional Information'!H12="","",'Additional Information'!H12))</f>
        <v>0.27699999999999997</v>
      </c>
    </row>
    <row r="13" spans="1:7" x14ac:dyDescent="0.25">
      <c r="A13" t="str">
        <f>IF(Input!A14="","",Input!A14)</f>
        <v>Active MPS 4</v>
      </c>
      <c r="C13">
        <f>IF(A13="","",IF('Additional Information'!D13="","",'Additional Information'!D13))</f>
        <v>2.2799999999999997E-2</v>
      </c>
      <c r="D13" s="5">
        <f>IF(A13="","",SUM('Additional Information'!C13))</f>
        <v>8.3999999999999995E-3</v>
      </c>
      <c r="F13">
        <f>IF(A13="","",IF('Additional Information'!F13="","",'Additional Information'!F13))</f>
        <v>0.1066</v>
      </c>
      <c r="G13">
        <f>IF(A13="","",IF('Additional Information'!H13="","",'Additional Information'!H13))</f>
        <v>0.28539999999999999</v>
      </c>
    </row>
    <row r="14" spans="1:7" x14ac:dyDescent="0.25">
      <c r="A14" t="str">
        <f>IF(Input!A15="","",Input!A15)</f>
        <v>Active MPS 5</v>
      </c>
      <c r="C14">
        <f>IF(A14="","",IF('Additional Information'!D14="","",'Additional Information'!D14))</f>
        <v>2.1600000000000001E-2</v>
      </c>
      <c r="D14" s="5">
        <f>IF(A14="","",SUM('Additional Information'!C14))</f>
        <v>8.8999999999999999E-3</v>
      </c>
      <c r="F14">
        <f>IF(A14="","",IF('Additional Information'!F14="","",'Additional Information'!F14))</f>
        <v>0.14849999999999999</v>
      </c>
      <c r="G14">
        <f>IF(A14="","",IF('Additional Information'!H14="","",'Additional Information'!H14))</f>
        <v>0.36119999999999997</v>
      </c>
    </row>
    <row r="15" spans="1:7" x14ac:dyDescent="0.25">
      <c r="A15" t="str">
        <f>IF(Input!A16="","",Input!A16)</f>
        <v>Active MPS 6</v>
      </c>
      <c r="C15">
        <f>IF(A15="","",IF('Additional Information'!D15="","",'Additional Information'!D15))</f>
        <v>7.0999999999999995E-3</v>
      </c>
      <c r="D15" s="5">
        <f>IF(A15="","",SUM('Additional Information'!C15))</f>
        <v>9.1000000000000004E-3</v>
      </c>
      <c r="F15">
        <f>IF(A15="","",IF('Additional Information'!F15="","",'Additional Information'!F15))</f>
        <v>0.1641</v>
      </c>
      <c r="G15">
        <f>IF(A15="","",IF('Additional Information'!H15="","",'Additional Information'!H15))</f>
        <v>0.41220000000000001</v>
      </c>
    </row>
    <row r="16" spans="1:7" x14ac:dyDescent="0.25">
      <c r="A16" t="str">
        <f>IF(Input!A17="","",Input!A17)</f>
        <v>Active Income MPS 1</v>
      </c>
      <c r="C16">
        <f>IF(A16="","",IF('Additional Information'!D16="","",'Additional Information'!D16))</f>
        <v>1.21E-2</v>
      </c>
      <c r="D16" s="5">
        <f>IF(A16="","",SUM('Additional Information'!C16))</f>
        <v>7.3000000000000001E-3</v>
      </c>
      <c r="F16">
        <f>IF(A16="","",IF('Additional Information'!F16="","",'Additional Information'!F16))</f>
        <v>9.5600000000000004E-2</v>
      </c>
      <c r="G16">
        <f>IF(A16="","",IF('Additional Information'!H16="","",'Additional Information'!H16))</f>
        <v>0.24480000000000002</v>
      </c>
    </row>
    <row r="17" spans="1:7" x14ac:dyDescent="0.25">
      <c r="A17" t="str">
        <f>IF(Input!A18="","",Input!A18)</f>
        <v>Active Income MPS 2</v>
      </c>
      <c r="C17">
        <f>IF(A17="","",IF('Additional Information'!D17="","",'Additional Information'!D17))</f>
        <v>1.46E-2</v>
      </c>
      <c r="D17" s="5">
        <f>IF(A17="","",SUM('Additional Information'!C17))</f>
        <v>8.1000000000000013E-3</v>
      </c>
      <c r="F17">
        <f>IF(A17="","",IF('Additional Information'!F17="","",'Additional Information'!F17))</f>
        <v>0.15810000000000002</v>
      </c>
      <c r="G17">
        <f>IF(A17="","",IF('Additional Information'!H17="","",'Additional Information'!H17))</f>
        <v>0.26539999999999997</v>
      </c>
    </row>
    <row r="18" spans="1:7" x14ac:dyDescent="0.25">
      <c r="A18" t="str">
        <f>IF(Input!A19="","",Input!A19)</f>
        <v>Pactive MPS 1</v>
      </c>
      <c r="C18">
        <f>IF(A18="","",IF('Additional Information'!D18="","",'Additional Information'!D18))</f>
        <v>1.1000000000000001E-2</v>
      </c>
      <c r="D18" s="5">
        <f>IF(A18="","",SUM('Additional Information'!C18))</f>
        <v>5.1000000000000004E-3</v>
      </c>
      <c r="F18">
        <f>IF(A18="","",IF('Additional Information'!F18="","",'Additional Information'!F18))</f>
        <v>-1.1999999999999999E-3</v>
      </c>
      <c r="G18" t="str">
        <f>IF(A18="","",IF('Additional Information'!H18="","",'Additional Information'!H18))</f>
        <v/>
      </c>
    </row>
    <row r="19" spans="1:7" x14ac:dyDescent="0.25">
      <c r="A19" t="str">
        <f>IF(Input!A20="","",Input!A20)</f>
        <v>Pactive MPS 2</v>
      </c>
      <c r="C19">
        <f>IF(A19="","",IF('Additional Information'!D19="","",'Additional Information'!D19))</f>
        <v>2.07E-2</v>
      </c>
      <c r="D19" s="5">
        <f>IF(A19="","",SUM('Additional Information'!C19))</f>
        <v>5.6000000000000008E-3</v>
      </c>
      <c r="F19">
        <f>IF(A19="","",IF('Additional Information'!F19="","",'Additional Information'!F19))</f>
        <v>3.8300000000000001E-2</v>
      </c>
      <c r="G19" t="str">
        <f>IF(A19="","",IF('Additional Information'!H19="","",'Additional Information'!H19))</f>
        <v/>
      </c>
    </row>
    <row r="20" spans="1:7" x14ac:dyDescent="0.25">
      <c r="A20" t="str">
        <f>IF(Input!A21="","",Input!A21)</f>
        <v>Pactive MPS 3</v>
      </c>
      <c r="C20">
        <f>IF(A20="","",IF('Additional Information'!D20="","",'Additional Information'!D20))</f>
        <v>2.41E-2</v>
      </c>
      <c r="D20" s="5">
        <f>IF(A20="","",SUM('Additional Information'!C20))</f>
        <v>6.1999999999999998E-3</v>
      </c>
      <c r="F20">
        <f>IF(A20="","",IF('Additional Information'!F20="","",'Additional Information'!F20))</f>
        <v>0.1018</v>
      </c>
      <c r="G20" t="str">
        <f>IF(A20="","",IF('Additional Information'!H20="","",'Additional Information'!H20))</f>
        <v/>
      </c>
    </row>
    <row r="21" spans="1:7" x14ac:dyDescent="0.25">
      <c r="A21" t="str">
        <f>IF(Input!A22="","",Input!A22)</f>
        <v>Pactive MPS 4</v>
      </c>
      <c r="C21">
        <f>IF(A21="","",IF('Additional Information'!D21="","",'Additional Information'!D21))</f>
        <v>2.0799999999999999E-2</v>
      </c>
      <c r="D21" s="5">
        <f>IF(A21="","",SUM('Additional Information'!C21))</f>
        <v>6.5000000000000006E-3</v>
      </c>
      <c r="F21">
        <f>IF(A21="","",IF('Additional Information'!F21="","",'Additional Information'!F21))</f>
        <v>0.13250000000000001</v>
      </c>
      <c r="G21" t="str">
        <f>IF(A21="","",IF('Additional Information'!H21="","",'Additional Information'!H21))</f>
        <v/>
      </c>
    </row>
    <row r="22" spans="1:7" x14ac:dyDescent="0.25">
      <c r="A22" t="str">
        <f>IF(Input!A23="","",Input!A23)</f>
        <v>Pactive MPS 5</v>
      </c>
      <c r="C22">
        <f>IF(A22="","",IF('Additional Information'!D22="","",'Additional Information'!D22))</f>
        <v>2.1899999999999999E-2</v>
      </c>
      <c r="D22" s="5">
        <f>IF(A22="","",SUM('Additional Information'!C22))</f>
        <v>6.7000000000000002E-3</v>
      </c>
      <c r="F22">
        <f>IF(A22="","",IF('Additional Information'!F22="","",'Additional Information'!F22))</f>
        <v>0.18329999999999999</v>
      </c>
      <c r="G22" t="str">
        <f>IF(A22="","",IF('Additional Information'!H22="","",'Additional Information'!H22))</f>
        <v/>
      </c>
    </row>
    <row r="23" spans="1:7" x14ac:dyDescent="0.25">
      <c r="A23" t="str">
        <f>IF(Input!A24="","",Input!A24)</f>
        <v>Pactive MPS 6</v>
      </c>
      <c r="C23">
        <f>IF(A23="","",IF('Additional Information'!D23="","",'Additional Information'!D23))</f>
        <v>2.5999999999999999E-3</v>
      </c>
      <c r="D23" s="5">
        <f>IF(A23="","",SUM('Additional Information'!C23))</f>
        <v>6.8000000000000005E-3</v>
      </c>
      <c r="F23">
        <f>IF(A23="","",IF('Additional Information'!F23="","",'Additional Information'!F23))</f>
        <v>0.17620000000000002</v>
      </c>
      <c r="G23" t="str">
        <f>IF(A23="","",IF('Additional Information'!H23="","",'Additional Information'!H23))</f>
        <v/>
      </c>
    </row>
    <row r="24" spans="1:7" x14ac:dyDescent="0.25">
      <c r="A24" t="str">
        <f>IF(Input!A25="","",Input!A25)</f>
        <v>Responsible MPS 1</v>
      </c>
      <c r="C24">
        <f>IF(A24="","",IF('Additional Information'!D24="","",'Additional Information'!D24))</f>
        <v>2.2799999999999997E-2</v>
      </c>
      <c r="D24" s="5">
        <f>IF(A24="","",SUM('Additional Information'!C24))</f>
        <v>3.8E-3</v>
      </c>
      <c r="F24" t="str">
        <f>IF(A24="","",IF('Additional Information'!F24="","",'Additional Information'!F24))</f>
        <v/>
      </c>
      <c r="G24" t="str">
        <f>IF(A24="","",IF('Additional Information'!H24="","",'Additional Information'!H24))</f>
        <v/>
      </c>
    </row>
    <row r="25" spans="1:7" x14ac:dyDescent="0.25">
      <c r="A25" t="str">
        <f>IF(Input!A26="","",Input!A26)</f>
        <v>Responsible MPS 2</v>
      </c>
      <c r="C25">
        <f>IF(A25="","",IF('Additional Information'!D25="","",'Additional Information'!D25))</f>
        <v>2.2499999999999999E-2</v>
      </c>
      <c r="D25" s="5">
        <f>IF(A25="","",SUM('Additional Information'!C25))</f>
        <v>3.9000000000000003E-3</v>
      </c>
      <c r="F25" t="str">
        <f>IF(A25="","",IF('Additional Information'!F25="","",'Additional Information'!F25))</f>
        <v/>
      </c>
      <c r="G25" t="str">
        <f>IF(A25="","",IF('Additional Information'!H25="","",'Additional Information'!H25))</f>
        <v/>
      </c>
    </row>
    <row r="26" spans="1:7" x14ac:dyDescent="0.25">
      <c r="A26" t="str">
        <f>IF(Input!A27="","",Input!A27)</f>
        <v>Responsible MPS 3</v>
      </c>
      <c r="C26">
        <f>IF(A26="","",IF('Additional Information'!D26="","",'Additional Information'!D26))</f>
        <v>1.3600000000000001E-2</v>
      </c>
      <c r="D26" s="5">
        <f>IF(A26="","",SUM('Additional Information'!C26))</f>
        <v>4.0000000000000001E-3</v>
      </c>
      <c r="F26" t="str">
        <f>IF(A26="","",IF('Additional Information'!F26="","",'Additional Information'!F26))</f>
        <v/>
      </c>
      <c r="G26" t="str">
        <f>IF(A26="","",IF('Additional Information'!H26="","",'Additional Information'!H26))</f>
        <v/>
      </c>
    </row>
    <row r="27" spans="1:7" x14ac:dyDescent="0.25">
      <c r="A27" t="str">
        <f>IF(Input!A28="","",Input!A28)</f>
        <v>Responsible MPS 4</v>
      </c>
      <c r="C27">
        <f>IF(A27="","",IF('Additional Information'!D27="","",'Additional Information'!D27))</f>
        <v>2.2599999999999999E-2</v>
      </c>
      <c r="D27" s="5">
        <f>IF(A27="","",SUM('Additional Information'!C27))</f>
        <v>4.0999999999999995E-3</v>
      </c>
      <c r="F27" t="str">
        <f>IF(A27="","",IF('Additional Information'!F27="","",'Additional Information'!F27))</f>
        <v/>
      </c>
      <c r="G27" t="str">
        <f>IF(A27="","",IF('Additional Information'!H27="","",'Additional Information'!H27))</f>
        <v/>
      </c>
    </row>
    <row r="28" spans="1:7" x14ac:dyDescent="0.25">
      <c r="A28" t="str">
        <f>IF(Input!A29="","",Input!A29)</f>
        <v>Responsible MPS 5</v>
      </c>
      <c r="C28">
        <f>IF(A28="","",IF('Additional Information'!D28="","",'Additional Information'!D28))</f>
        <v>1.3500000000000002E-2</v>
      </c>
      <c r="D28" s="5">
        <f>IF(A28="","",SUM('Additional Information'!C28))</f>
        <v>4.4000000000000003E-3</v>
      </c>
      <c r="F28" t="str">
        <f>IF(A28="","",IF('Additional Information'!F28="","",'Additional Information'!F28))</f>
        <v/>
      </c>
      <c r="G28" t="str">
        <f>IF(A28="","",IF('Additional Information'!H28="","",'Additional Information'!H28))</f>
        <v/>
      </c>
    </row>
    <row r="29" spans="1:7" x14ac:dyDescent="0.25">
      <c r="A29" t="str">
        <f>IF(Input!A30="","",Input!A30)</f>
        <v>Responsible MPS 6</v>
      </c>
      <c r="C29">
        <f>IF(A29="","",IF('Additional Information'!D29="","",'Additional Information'!D29))</f>
        <v>-8.1000000000000013E-3</v>
      </c>
      <c r="D29" s="5">
        <f>IF(A29="","",SUM('Additional Information'!C29))</f>
        <v>4.4000000000000003E-3</v>
      </c>
      <c r="F29" t="str">
        <f>IF(A29="","",IF('Additional Information'!F29="","",'Additional Information'!F29))</f>
        <v/>
      </c>
      <c r="G29" t="str">
        <f>IF(A29="","",IF('Additional Information'!H29="","",'Additional Information'!H29))</f>
        <v/>
      </c>
    </row>
    <row r="30" spans="1:7" x14ac:dyDescent="0.25">
      <c r="A30" t="str">
        <f>IF(Input!A31="","",Input!A31)</f>
        <v>Money Market MPS</v>
      </c>
      <c r="C30" t="str">
        <f>IF(A30="","",IF('Additional Information'!D30="","",'Additional Information'!D30))</f>
        <v/>
      </c>
      <c r="D30" s="5">
        <f>IF(A30="","",SUM('Additional Information'!C30))</f>
        <v>1E-3</v>
      </c>
      <c r="F30" t="str">
        <f>IF(A30="","",IF('Additional Information'!F30="","",'Additional Information'!F30))</f>
        <v/>
      </c>
      <c r="G30" t="str">
        <f>IF(A30="","",IF('Additional Information'!H30="","",'Additional Information'!H30))</f>
        <v/>
      </c>
    </row>
    <row r="31" spans="1:7" x14ac:dyDescent="0.25">
      <c r="A31" t="str">
        <f>IF(Input!A32="","",Input!A32)</f>
        <v/>
      </c>
      <c r="C31" t="str">
        <f>IF(A31="","",IF('Additional Information'!D31="","",'Additional Information'!D31))</f>
        <v/>
      </c>
      <c r="D31" s="5" t="str">
        <f>IF(A31="","",SUM('Additional Information'!C31))</f>
        <v/>
      </c>
      <c r="F31" t="str">
        <f>IF(A31="","",IF('Additional Information'!F31="","",'Additional Information'!F31))</f>
        <v/>
      </c>
      <c r="G31" t="str">
        <f>IF(A31="","",IF('Additional Information'!H31="","",'Additional Information'!H31))</f>
        <v/>
      </c>
    </row>
    <row r="32" spans="1:7" x14ac:dyDescent="0.25">
      <c r="A32" t="str">
        <f>IF(Input!A33="","",Input!A33)</f>
        <v/>
      </c>
      <c r="C32" t="str">
        <f>IF(A32="","",IF('Additional Information'!D32="","",'Additional Information'!D32))</f>
        <v/>
      </c>
      <c r="D32" s="5" t="str">
        <f>IF(A32="","",SUM('Additional Information'!C32))</f>
        <v/>
      </c>
      <c r="F32" t="str">
        <f>IF(A32="","",IF('Additional Information'!F32="","",'Additional Information'!F32))</f>
        <v/>
      </c>
      <c r="G32" t="str">
        <f>IF(A32="","",IF('Additional Information'!H32="","",'Additional Information'!H32))</f>
        <v/>
      </c>
    </row>
    <row r="33" spans="1:7" x14ac:dyDescent="0.25">
      <c r="A33" t="str">
        <f>IF(Input!A34="","",Input!A34)</f>
        <v/>
      </c>
      <c r="C33" t="str">
        <f>IF(A33="","",IF('Additional Information'!D33="","",'Additional Information'!D33))</f>
        <v/>
      </c>
      <c r="D33" s="5" t="str">
        <f>IF(A33="","",SUM('Additional Information'!C33))</f>
        <v/>
      </c>
      <c r="F33" t="str">
        <f>IF(A33="","",IF('Additional Information'!F33="","",'Additional Information'!F33))</f>
        <v/>
      </c>
      <c r="G33" t="str">
        <f>IF(A33="","",IF('Additional Information'!H33="","",'Additional Information'!H33))</f>
        <v/>
      </c>
    </row>
    <row r="34" spans="1:7" x14ac:dyDescent="0.25">
      <c r="A34" t="str">
        <f>IF(Input!A35="","",Input!A35)</f>
        <v/>
      </c>
      <c r="C34" t="str">
        <f>IF(A34="","",IF('Additional Information'!D34="","",'Additional Information'!D34))</f>
        <v/>
      </c>
      <c r="D34" s="5" t="str">
        <f>IF(A34="","",SUM('Additional Information'!C34))</f>
        <v/>
      </c>
      <c r="F34" t="str">
        <f>IF(A34="","",IF('Additional Information'!F34="","",'Additional Information'!F34))</f>
        <v/>
      </c>
      <c r="G34" t="str">
        <f>IF(A34="","",IF('Additional Information'!H34="","",'Additional Information'!H34))</f>
        <v/>
      </c>
    </row>
    <row r="35" spans="1:7" x14ac:dyDescent="0.25">
      <c r="A35" t="str">
        <f>IF(Input!A36="","",Input!A36)</f>
        <v/>
      </c>
      <c r="C35" t="str">
        <f>IF(A35="","",IF('Additional Information'!D35="","",'Additional Information'!D35))</f>
        <v/>
      </c>
      <c r="D35" s="5" t="str">
        <f>IF(A35="","",SUM('Additional Information'!C35))</f>
        <v/>
      </c>
      <c r="F35" t="str">
        <f>IF(A35="","",IF('Additional Information'!F35="","",'Additional Information'!F35))</f>
        <v/>
      </c>
      <c r="G35" t="str">
        <f>IF(A35="","",IF('Additional Information'!H35="","",'Additional Information'!H35))</f>
        <v/>
      </c>
    </row>
    <row r="36" spans="1:7" x14ac:dyDescent="0.25">
      <c r="A36" t="str">
        <f>IF(Input!A37="","",Input!A37)</f>
        <v/>
      </c>
      <c r="C36" t="str">
        <f>IF(A36="","",IF('Additional Information'!D36="","",'Additional Information'!D36))</f>
        <v/>
      </c>
      <c r="D36" s="5" t="str">
        <f>IF(A36="","",SUM('Additional Information'!C36))</f>
        <v/>
      </c>
      <c r="F36" t="str">
        <f>IF(A36="","",IF('Additional Information'!F36="","",'Additional Information'!F36))</f>
        <v/>
      </c>
      <c r="G36" t="str">
        <f>IF(A36="","",IF('Additional Information'!H36="","",'Additional Information'!H36))</f>
        <v/>
      </c>
    </row>
    <row r="37" spans="1:7" x14ac:dyDescent="0.25">
      <c r="A37" t="str">
        <f>IF(Input!A38="","",Input!A38)</f>
        <v/>
      </c>
      <c r="C37" t="str">
        <f>IF(A37="","",IF('Additional Information'!D37="","",'Additional Information'!D37))</f>
        <v/>
      </c>
      <c r="D37" s="5" t="str">
        <f>IF(A37="","",SUM('Additional Information'!C37))</f>
        <v/>
      </c>
      <c r="F37" t="str">
        <f>IF(A37="","",IF('Additional Information'!F37="","",'Additional Information'!F37))</f>
        <v/>
      </c>
      <c r="G37" t="str">
        <f>IF(A37="","",IF('Additional Information'!H37="","",'Additional Information'!H37))</f>
        <v/>
      </c>
    </row>
    <row r="38" spans="1:7" x14ac:dyDescent="0.25">
      <c r="A38" t="str">
        <f>IF(Input!A39="","",Input!A39)</f>
        <v/>
      </c>
      <c r="C38" t="str">
        <f>IF(A38="","",IF('Additional Information'!D38="","",'Additional Information'!D38))</f>
        <v/>
      </c>
      <c r="D38" s="5" t="str">
        <f>IF(A38="","",SUM('Additional Information'!C38))</f>
        <v/>
      </c>
      <c r="F38" t="str">
        <f>IF(A38="","",IF('Additional Information'!F38="","",'Additional Information'!F38))</f>
        <v/>
      </c>
      <c r="G38" t="str">
        <f>IF(A38="","",IF('Additional Information'!H38="","",'Additional Information'!H38))</f>
        <v/>
      </c>
    </row>
    <row r="39" spans="1:7" x14ac:dyDescent="0.25">
      <c r="A39" t="str">
        <f>IF(Input!A40="","",Input!A40)</f>
        <v/>
      </c>
      <c r="C39" t="str">
        <f>IF(A39="","",IF('Additional Information'!D39="","",'Additional Information'!D39))</f>
        <v/>
      </c>
      <c r="D39" s="5" t="str">
        <f>IF(A39="","",SUM('Additional Information'!C39))</f>
        <v/>
      </c>
      <c r="F39" t="str">
        <f>IF(A39="","",IF('Additional Information'!F39="","",'Additional Information'!F39))</f>
        <v/>
      </c>
      <c r="G39" t="str">
        <f>IF(A39="","",IF('Additional Information'!H39="","",'Additional Information'!H39))</f>
        <v/>
      </c>
    </row>
    <row r="40" spans="1:7" x14ac:dyDescent="0.25">
      <c r="A40" t="str">
        <f>IF(Input!A41="","",Input!A41)</f>
        <v/>
      </c>
      <c r="C40" t="str">
        <f>IF(A40="","",IF('Additional Information'!D40="","",'Additional Information'!D40))</f>
        <v/>
      </c>
      <c r="D40" s="5" t="str">
        <f>IF(A40="","",SUM('Additional Information'!C40))</f>
        <v/>
      </c>
      <c r="F40" t="str">
        <f>IF(A40="","",IF('Additional Information'!F40="","",'Additional Information'!F40))</f>
        <v/>
      </c>
      <c r="G40" t="str">
        <f>IF(A40="","",IF('Additional Information'!H40="","",'Additional Information'!H40))</f>
        <v/>
      </c>
    </row>
    <row r="41" spans="1:7" x14ac:dyDescent="0.25">
      <c r="A41" t="str">
        <f>IF(Input!A42="","",Input!A42)</f>
        <v/>
      </c>
      <c r="C41" t="str">
        <f>IF(A41="","",IF('Additional Information'!D41="","",'Additional Information'!D41))</f>
        <v/>
      </c>
      <c r="D41" s="5" t="str">
        <f>IF(A41="","",SUM('Additional Information'!C41))</f>
        <v/>
      </c>
      <c r="F41" t="str">
        <f>IF(A41="","",IF('Additional Information'!F41="","",'Additional Information'!F41))</f>
        <v/>
      </c>
      <c r="G41" t="str">
        <f>IF(A41="","",IF('Additional Information'!H41="","",'Additional Information'!H41))</f>
        <v/>
      </c>
    </row>
    <row r="42" spans="1:7" x14ac:dyDescent="0.25">
      <c r="A42" t="str">
        <f>IF(Input!A43="","",Input!A43)</f>
        <v/>
      </c>
      <c r="C42" t="str">
        <f>IF(A42="","",IF('Additional Information'!D42="","",'Additional Information'!D42))</f>
        <v/>
      </c>
      <c r="D42" s="5" t="str">
        <f>IF(A42="","",SUM('Additional Information'!C42))</f>
        <v/>
      </c>
      <c r="F42" t="str">
        <f>IF(A42="","",IF('Additional Information'!F42="","",'Additional Information'!F42))</f>
        <v/>
      </c>
      <c r="G42" t="str">
        <f>IF(A42="","",IF('Additional Information'!H42="","",'Additional Information'!H42))</f>
        <v/>
      </c>
    </row>
    <row r="43" spans="1:7" x14ac:dyDescent="0.25">
      <c r="A43" t="str">
        <f>IF(Input!A44="","",Input!A44)</f>
        <v/>
      </c>
      <c r="C43" t="str">
        <f>IF(A43="","",IF('Additional Information'!D43="","",'Additional Information'!D43))</f>
        <v/>
      </c>
      <c r="D43" s="5" t="str">
        <f>IF(A43="","",SUM('Additional Information'!C43))</f>
        <v/>
      </c>
      <c r="F43" t="str">
        <f>IF(A43="","",IF('Additional Information'!F43="","",'Additional Information'!F43))</f>
        <v/>
      </c>
      <c r="G43" t="str">
        <f>IF(A43="","",IF('Additional Information'!H43="","",'Additional Information'!H43))</f>
        <v/>
      </c>
    </row>
    <row r="44" spans="1:7" x14ac:dyDescent="0.25">
      <c r="A44" t="str">
        <f>IF(Input!A45="","",Input!A45)</f>
        <v/>
      </c>
      <c r="C44" t="str">
        <f>IF(A44="","",IF('Additional Information'!D44="","",'Additional Information'!D44))</f>
        <v/>
      </c>
      <c r="D44" s="5" t="str">
        <f>IF(A44="","",SUM('Additional Information'!C44))</f>
        <v/>
      </c>
      <c r="F44" t="str">
        <f>IF(A44="","",IF('Additional Information'!F44="","",'Additional Information'!F44))</f>
        <v/>
      </c>
      <c r="G44" t="str">
        <f>IF(A44="","",IF('Additional Information'!H44="","",'Additional Information'!H44))</f>
        <v/>
      </c>
    </row>
    <row r="45" spans="1:7" x14ac:dyDescent="0.25">
      <c r="A45" t="str">
        <f>IF(Input!A46="","",Input!A46)</f>
        <v/>
      </c>
      <c r="C45" t="str">
        <f>IF(A45="","",IF('Additional Information'!D45="","",'Additional Information'!D45))</f>
        <v/>
      </c>
      <c r="D45" s="5" t="str">
        <f>IF(A45="","",SUM('Additional Information'!C45))</f>
        <v/>
      </c>
      <c r="F45" t="str">
        <f>IF(A45="","",IF('Additional Information'!F45="","",'Additional Information'!F45))</f>
        <v/>
      </c>
      <c r="G45" t="str">
        <f>IF(A45="","",IF('Additional Information'!H45="","",'Additional Information'!H45))</f>
        <v/>
      </c>
    </row>
    <row r="46" spans="1:7" x14ac:dyDescent="0.25">
      <c r="A46" t="str">
        <f>IF(Input!A47="","",Input!A47)</f>
        <v/>
      </c>
      <c r="C46" t="str">
        <f>IF(A46="","",IF('Additional Information'!D46="","",'Additional Information'!D46))</f>
        <v/>
      </c>
      <c r="D46" s="5" t="str">
        <f>IF(A46="","",SUM('Additional Information'!C46))</f>
        <v/>
      </c>
      <c r="F46" t="str">
        <f>IF(A46="","",IF('Additional Information'!F46="","",'Additional Information'!F46))</f>
        <v/>
      </c>
      <c r="G46" t="str">
        <f>IF(A46="","",IF('Additional Information'!H46="","",'Additional Information'!H46))</f>
        <v/>
      </c>
    </row>
    <row r="47" spans="1:7" x14ac:dyDescent="0.25">
      <c r="A47" t="str">
        <f>IF(Input!A48="","",Input!A48)</f>
        <v/>
      </c>
      <c r="C47" t="str">
        <f>IF(A47="","",IF('Additional Information'!D47="","",'Additional Information'!D47))</f>
        <v/>
      </c>
      <c r="D47" s="5" t="str">
        <f>IF(A47="","",SUM('Additional Information'!C47))</f>
        <v/>
      </c>
      <c r="F47" t="str">
        <f>IF(A47="","",IF('Additional Information'!F47="","",'Additional Information'!F47))</f>
        <v/>
      </c>
      <c r="G47" t="str">
        <f>IF(A47="","",IF('Additional Information'!H47="","",'Additional Information'!H47))</f>
        <v/>
      </c>
    </row>
    <row r="48" spans="1:7" x14ac:dyDescent="0.25">
      <c r="A48" t="str">
        <f>IF(Input!A49="","",Input!A49)</f>
        <v/>
      </c>
      <c r="C48" t="str">
        <f>IF(A48="","",IF('Additional Information'!D48="","",'Additional Information'!D48))</f>
        <v/>
      </c>
      <c r="D48" s="5" t="str">
        <f>IF(A48="","",SUM('Additional Information'!C48))</f>
        <v/>
      </c>
      <c r="F48" t="str">
        <f>IF(A48="","",IF('Additional Information'!F48="","",'Additional Information'!F48))</f>
        <v/>
      </c>
      <c r="G48" t="str">
        <f>IF(A48="","",IF('Additional Information'!H48="","",'Additional Information'!H48))</f>
        <v/>
      </c>
    </row>
    <row r="49" spans="1:7" x14ac:dyDescent="0.25">
      <c r="A49" t="str">
        <f>IF(Input!A50="","",Input!A50)</f>
        <v/>
      </c>
      <c r="C49" t="str">
        <f>IF(A49="","",IF('Additional Information'!D49="","",'Additional Information'!D49))</f>
        <v/>
      </c>
      <c r="D49" s="5" t="str">
        <f>IF(A49="","",SUM('Additional Information'!C49))</f>
        <v/>
      </c>
      <c r="F49" t="str">
        <f>IF(A49="","",IF('Additional Information'!F49="","",'Additional Information'!F49))</f>
        <v/>
      </c>
      <c r="G49" t="str">
        <f>IF(A49="","",IF('Additional Information'!H49="","",'Additional Information'!H49))</f>
        <v/>
      </c>
    </row>
    <row r="50" spans="1:7" x14ac:dyDescent="0.25">
      <c r="A50" t="str">
        <f>IF(Input!A51="","",Input!A51)</f>
        <v/>
      </c>
      <c r="C50" t="str">
        <f>IF(A50="","",IF('Additional Information'!D50="","",'Additional Information'!D50))</f>
        <v/>
      </c>
      <c r="D50" s="5" t="str">
        <f>IF(A50="","",SUM('Additional Information'!C50))</f>
        <v/>
      </c>
      <c r="F50" t="str">
        <f>IF(A50="","",IF('Additional Information'!F50="","",'Additional Information'!F50))</f>
        <v/>
      </c>
      <c r="G50" t="str">
        <f>IF(A50="","",IF('Additional Information'!H50="","",'Additional Information'!H50))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Passive MPS 1</v>
      </c>
      <c r="B2">
        <f>IF(A2="","",SUM('Asset Allocation'!B2,'Asset Allocation'!C2,'Asset Allocation'!D2,'Asset Allocation'!E2,'Asset Allocation'!F2,'Asset Allocation'!G2))</f>
        <v>0.22000000000000003</v>
      </c>
      <c r="C2">
        <f>IF(A2="","",SUM('Asset Allocation'!H2,'Asset Allocation'!I2,'Asset Allocation'!J2))</f>
        <v>0.55000000000000004</v>
      </c>
      <c r="D2">
        <f>IF(A2="","",SUM('Asset Allocation'!K2))</f>
        <v>0.05</v>
      </c>
      <c r="G2">
        <f>IF(A2="","",SUM('Asset Allocation'!L2,'Asset Allocation'!M2))</f>
        <v>0.18</v>
      </c>
      <c r="H2">
        <f t="shared" ref="H2:H50" si="0">IF(A2="","",1-SUM(B2:G2))</f>
        <v>0</v>
      </c>
    </row>
    <row r="3" spans="1:8" x14ac:dyDescent="0.25">
      <c r="A3" t="str">
        <f>IF(Input!A4="","",Input!A4)</f>
        <v>Passive MPS 2</v>
      </c>
      <c r="B3">
        <f>IF(A3="","",SUM('Asset Allocation'!B3,'Asset Allocation'!C3,'Asset Allocation'!D3,'Asset Allocation'!E3,'Asset Allocation'!F3,'Asset Allocation'!G3))</f>
        <v>0.4</v>
      </c>
      <c r="C3">
        <f>IF(A3="","",SUM('Asset Allocation'!H3,'Asset Allocation'!I3,'Asset Allocation'!J3))</f>
        <v>0.45</v>
      </c>
      <c r="D3">
        <f>IF(A3="","",SUM('Asset Allocation'!K3))</f>
        <v>0.05</v>
      </c>
      <c r="G3">
        <f>IF(A3="","",SUM('Asset Allocation'!L3,'Asset Allocation'!M3))</f>
        <v>0.1</v>
      </c>
      <c r="H3">
        <f t="shared" si="0"/>
        <v>-2.2204460492503131E-16</v>
      </c>
    </row>
    <row r="4" spans="1:8" x14ac:dyDescent="0.25">
      <c r="A4" t="str">
        <f>IF(Input!A5="","",Input!A5)</f>
        <v>Passive MPS 3</v>
      </c>
      <c r="B4">
        <f>IF(A4="","",SUM('Asset Allocation'!B4,'Asset Allocation'!C4,'Asset Allocation'!D4,'Asset Allocation'!E4,'Asset Allocation'!F4,'Asset Allocation'!G4))</f>
        <v>0.55000000000000004</v>
      </c>
      <c r="C4">
        <f>IF(A4="","",SUM('Asset Allocation'!H4,'Asset Allocation'!I4,'Asset Allocation'!J4))</f>
        <v>0.33999999999999997</v>
      </c>
      <c r="D4">
        <f>IF(A4="","",SUM('Asset Allocation'!K4))</f>
        <v>0.05</v>
      </c>
      <c r="G4">
        <f>IF(A4="","",SUM('Asset Allocation'!L4,'Asset Allocation'!M4))</f>
        <v>0.06</v>
      </c>
      <c r="H4">
        <f t="shared" si="0"/>
        <v>0</v>
      </c>
    </row>
    <row r="5" spans="1:8" x14ac:dyDescent="0.25">
      <c r="A5" t="str">
        <f>IF(Input!A6="","",Input!A6)</f>
        <v>Passive MPS 4</v>
      </c>
      <c r="B5">
        <f>IF(A5="","",SUM('Asset Allocation'!B5,'Asset Allocation'!C5,'Asset Allocation'!D5,'Asset Allocation'!E5,'Asset Allocation'!F5,'Asset Allocation'!G5))</f>
        <v>0.70000000000000007</v>
      </c>
      <c r="C5">
        <f>IF(A5="","",SUM('Asset Allocation'!H5,'Asset Allocation'!I5,'Asset Allocation'!J5))</f>
        <v>0.25</v>
      </c>
      <c r="D5">
        <f>IF(A5="","",SUM('Asset Allocation'!K5))</f>
        <v>0.03</v>
      </c>
      <c r="G5">
        <f>IF(A5="","",SUM('Asset Allocation'!L5,'Asset Allocation'!M5))</f>
        <v>0.02</v>
      </c>
      <c r="H5">
        <f t="shared" si="0"/>
        <v>0</v>
      </c>
    </row>
    <row r="6" spans="1:8" x14ac:dyDescent="0.25">
      <c r="A6" t="str">
        <f>IF(Input!A7="","",Input!A7)</f>
        <v>Passive MPS 5</v>
      </c>
      <c r="B6">
        <f>IF(A6="","",SUM('Asset Allocation'!B6,'Asset Allocation'!C6,'Asset Allocation'!D6,'Asset Allocation'!E6,'Asset Allocation'!F6,'Asset Allocation'!G6))</f>
        <v>0.85000000000000009</v>
      </c>
      <c r="C6">
        <f>IF(A6="","",SUM('Asset Allocation'!H6,'Asset Allocation'!I6,'Asset Allocation'!J6))</f>
        <v>0.1</v>
      </c>
      <c r="D6">
        <f>IF(A6="","",SUM('Asset Allocation'!K6))</f>
        <v>0.03</v>
      </c>
      <c r="G6">
        <f>IF(A6="","",SUM('Asset Allocation'!L6,'Asset Allocation'!M6))</f>
        <v>0.02</v>
      </c>
      <c r="H6">
        <f t="shared" si="0"/>
        <v>0</v>
      </c>
    </row>
    <row r="7" spans="1:8" x14ac:dyDescent="0.25">
      <c r="A7" t="str">
        <f>IF(Input!A8="","",Input!A8)</f>
        <v>Passive MPS 6</v>
      </c>
      <c r="B7">
        <f>IF(A7="","",SUM('Asset Allocation'!B7,'Asset Allocation'!C7,'Asset Allocation'!D7,'Asset Allocation'!E7,'Asset Allocation'!F7,'Asset Allocation'!G7))</f>
        <v>0.88</v>
      </c>
      <c r="C7">
        <f>IF(A7="","",SUM('Asset Allocation'!H7,'Asset Allocation'!I7,'Asset Allocation'!J7))</f>
        <v>7.0000000000000007E-2</v>
      </c>
      <c r="D7">
        <f>IF(A7="","",SUM('Asset Allocation'!K7))</f>
        <v>0.03</v>
      </c>
      <c r="G7">
        <f>IF(A7="","",SUM('Asset Allocation'!L7,'Asset Allocation'!M7))</f>
        <v>0.02</v>
      </c>
      <c r="H7">
        <f t="shared" si="0"/>
        <v>0</v>
      </c>
    </row>
    <row r="8" spans="1:8" x14ac:dyDescent="0.25">
      <c r="A8" t="str">
        <f>IF(Input!A9="","",Input!A9)</f>
        <v>Passive Income MPS 1</v>
      </c>
      <c r="B8">
        <f>IF(A8="","",SUM('Asset Allocation'!B8,'Asset Allocation'!C8,'Asset Allocation'!D8,'Asset Allocation'!E8,'Asset Allocation'!F8,'Asset Allocation'!G8))</f>
        <v>0.55000000000000004</v>
      </c>
      <c r="C8">
        <f>IF(A8="","",SUM('Asset Allocation'!H8,'Asset Allocation'!I8,'Asset Allocation'!J8))</f>
        <v>0.33999999999999997</v>
      </c>
      <c r="D8">
        <f>IF(A8="","",SUM('Asset Allocation'!K8))</f>
        <v>0.05</v>
      </c>
      <c r="G8">
        <f>IF(A8="","",SUM('Asset Allocation'!L8,'Asset Allocation'!M8))</f>
        <v>0.06</v>
      </c>
      <c r="H8">
        <f t="shared" si="0"/>
        <v>0</v>
      </c>
    </row>
    <row r="9" spans="1:8" x14ac:dyDescent="0.25">
      <c r="A9" t="str">
        <f>IF(Input!A10="","",Input!A10)</f>
        <v>Passive Income MPS 2</v>
      </c>
      <c r="B9">
        <f>IF(A9="","",SUM('Asset Allocation'!B9,'Asset Allocation'!C9,'Asset Allocation'!D9,'Asset Allocation'!E9,'Asset Allocation'!F9,'Asset Allocation'!G9))</f>
        <v>0.85000000000000009</v>
      </c>
      <c r="C9">
        <f>IF(A9="","",SUM('Asset Allocation'!H9,'Asset Allocation'!I9,'Asset Allocation'!J9))</f>
        <v>0.1</v>
      </c>
      <c r="D9">
        <f>IF(A9="","",SUM('Asset Allocation'!K9))</f>
        <v>0.03</v>
      </c>
      <c r="G9">
        <f>IF(A9="","",SUM('Asset Allocation'!L9,'Asset Allocation'!M9))</f>
        <v>0.02</v>
      </c>
      <c r="H9">
        <f t="shared" si="0"/>
        <v>0</v>
      </c>
    </row>
    <row r="10" spans="1:8" x14ac:dyDescent="0.25">
      <c r="A10" t="str">
        <f>IF(Input!A11="","",Input!A11)</f>
        <v>Active MPS 1</v>
      </c>
      <c r="B10">
        <f>IF(A10="","",SUM('Asset Allocation'!B10,'Asset Allocation'!C10,'Asset Allocation'!D10,'Asset Allocation'!E10,'Asset Allocation'!F10,'Asset Allocation'!G10))</f>
        <v>0.22000000000000003</v>
      </c>
      <c r="C10">
        <f>IF(A10="","",SUM('Asset Allocation'!H10,'Asset Allocation'!I10,'Asset Allocation'!J10))</f>
        <v>0.55000000000000004</v>
      </c>
      <c r="D10">
        <f>IF(A10="","",SUM('Asset Allocation'!K10))</f>
        <v>0.05</v>
      </c>
      <c r="G10">
        <f>IF(A10="","",SUM('Asset Allocation'!L10,'Asset Allocation'!M10))</f>
        <v>0.18</v>
      </c>
      <c r="H10">
        <f t="shared" si="0"/>
        <v>0</v>
      </c>
    </row>
    <row r="11" spans="1:8" x14ac:dyDescent="0.25">
      <c r="A11" t="str">
        <f>IF(Input!A12="","",Input!A12)</f>
        <v>Active MPS 2</v>
      </c>
      <c r="B11">
        <f>IF(A11="","",SUM('Asset Allocation'!B11,'Asset Allocation'!C11,'Asset Allocation'!D11,'Asset Allocation'!E11,'Asset Allocation'!F11,'Asset Allocation'!G11))</f>
        <v>0.4</v>
      </c>
      <c r="C11">
        <f>IF(A11="","",SUM('Asset Allocation'!H11,'Asset Allocation'!I11,'Asset Allocation'!J11))</f>
        <v>0.45</v>
      </c>
      <c r="D11">
        <f>IF(A11="","",SUM('Asset Allocation'!K11))</f>
        <v>0.05</v>
      </c>
      <c r="G11">
        <f>IF(A11="","",SUM('Asset Allocation'!L11,'Asset Allocation'!M11))</f>
        <v>0.1</v>
      </c>
      <c r="H11">
        <f t="shared" si="0"/>
        <v>-2.2204460492503131E-16</v>
      </c>
    </row>
    <row r="12" spans="1:8" x14ac:dyDescent="0.25">
      <c r="A12" t="str">
        <f>IF(Input!A13="","",Input!A13)</f>
        <v>Active MPS 3</v>
      </c>
      <c r="B12">
        <f>IF(A12="","",SUM('Asset Allocation'!B12,'Asset Allocation'!C12,'Asset Allocation'!D12,'Asset Allocation'!E12,'Asset Allocation'!F12,'Asset Allocation'!G12))</f>
        <v>0.55000000000000004</v>
      </c>
      <c r="C12">
        <f>IF(A12="","",SUM('Asset Allocation'!H12,'Asset Allocation'!I12,'Asset Allocation'!J12))</f>
        <v>0.33999999999999997</v>
      </c>
      <c r="D12">
        <f>IF(A12="","",SUM('Asset Allocation'!K12))</f>
        <v>0.05</v>
      </c>
      <c r="G12">
        <f>IF(A12="","",SUM('Asset Allocation'!L12,'Asset Allocation'!M12))</f>
        <v>0.06</v>
      </c>
      <c r="H12">
        <f t="shared" si="0"/>
        <v>0</v>
      </c>
    </row>
    <row r="13" spans="1:8" x14ac:dyDescent="0.25">
      <c r="A13" t="str">
        <f>IF(Input!A14="","",Input!A14)</f>
        <v>Active MPS 4</v>
      </c>
      <c r="B13">
        <f>IF(A13="","",SUM('Asset Allocation'!B13,'Asset Allocation'!C13,'Asset Allocation'!D13,'Asset Allocation'!E13,'Asset Allocation'!F13,'Asset Allocation'!G13))</f>
        <v>0.70000000000000007</v>
      </c>
      <c r="C13">
        <f>IF(A13="","",SUM('Asset Allocation'!H13,'Asset Allocation'!I13,'Asset Allocation'!J13))</f>
        <v>0.25</v>
      </c>
      <c r="D13">
        <f>IF(A13="","",SUM('Asset Allocation'!K13))</f>
        <v>0.03</v>
      </c>
      <c r="G13">
        <f>IF(A13="","",SUM('Asset Allocation'!L13,'Asset Allocation'!M13))</f>
        <v>0.02</v>
      </c>
      <c r="H13">
        <f t="shared" si="0"/>
        <v>0</v>
      </c>
    </row>
    <row r="14" spans="1:8" x14ac:dyDescent="0.25">
      <c r="A14" t="str">
        <f>IF(Input!A15="","",Input!A15)</f>
        <v>Active MPS 5</v>
      </c>
      <c r="B14">
        <f>IF(A14="","",SUM('Asset Allocation'!B14,'Asset Allocation'!C14,'Asset Allocation'!D14,'Asset Allocation'!E14,'Asset Allocation'!F14,'Asset Allocation'!G14))</f>
        <v>0.85000000000000009</v>
      </c>
      <c r="C14">
        <f>IF(A14="","",SUM('Asset Allocation'!H14,'Asset Allocation'!I14,'Asset Allocation'!J14))</f>
        <v>0.1</v>
      </c>
      <c r="D14">
        <f>IF(A14="","",SUM('Asset Allocation'!K14))</f>
        <v>0.03</v>
      </c>
      <c r="G14">
        <f>IF(A14="","",SUM('Asset Allocation'!L14,'Asset Allocation'!M14))</f>
        <v>0.02</v>
      </c>
      <c r="H14">
        <f t="shared" si="0"/>
        <v>0</v>
      </c>
    </row>
    <row r="15" spans="1:8" x14ac:dyDescent="0.25">
      <c r="A15" t="str">
        <f>IF(Input!A16="","",Input!A16)</f>
        <v>Active MPS 6</v>
      </c>
      <c r="B15">
        <f>IF(A15="","",SUM('Asset Allocation'!B15,'Asset Allocation'!C15,'Asset Allocation'!D15,'Asset Allocation'!E15,'Asset Allocation'!F15,'Asset Allocation'!G15))</f>
        <v>0.88</v>
      </c>
      <c r="C15">
        <f>IF(A15="","",SUM('Asset Allocation'!H15,'Asset Allocation'!I15,'Asset Allocation'!J15))</f>
        <v>7.0000000000000007E-2</v>
      </c>
      <c r="D15">
        <f>IF(A15="","",SUM('Asset Allocation'!K15))</f>
        <v>0.03</v>
      </c>
      <c r="G15">
        <f>IF(A15="","",SUM('Asset Allocation'!L15,'Asset Allocation'!M15))</f>
        <v>0.02</v>
      </c>
      <c r="H15">
        <f t="shared" si="0"/>
        <v>0</v>
      </c>
    </row>
    <row r="16" spans="1:8" x14ac:dyDescent="0.25">
      <c r="A16" t="str">
        <f>IF(Input!A17="","",Input!A17)</f>
        <v>Active Income MPS 1</v>
      </c>
      <c r="B16">
        <f>IF(A16="","",SUM('Asset Allocation'!B16,'Asset Allocation'!C16,'Asset Allocation'!D16,'Asset Allocation'!E16,'Asset Allocation'!F16,'Asset Allocation'!G16))</f>
        <v>0.55000000000000004</v>
      </c>
      <c r="C16">
        <f>IF(A16="","",SUM('Asset Allocation'!H16,'Asset Allocation'!I16,'Asset Allocation'!J16))</f>
        <v>0.33999999999999997</v>
      </c>
      <c r="D16">
        <f>IF(A16="","",SUM('Asset Allocation'!K16))</f>
        <v>0.05</v>
      </c>
      <c r="G16">
        <f>IF(A16="","",SUM('Asset Allocation'!L16,'Asset Allocation'!M16))</f>
        <v>0.06</v>
      </c>
      <c r="H16">
        <f t="shared" si="0"/>
        <v>0</v>
      </c>
    </row>
    <row r="17" spans="1:8" x14ac:dyDescent="0.25">
      <c r="A17" t="str">
        <f>IF(Input!A18="","",Input!A18)</f>
        <v>Active Income MPS 2</v>
      </c>
      <c r="B17">
        <f>IF(A17="","",SUM('Asset Allocation'!B17,'Asset Allocation'!C17,'Asset Allocation'!D17,'Asset Allocation'!E17,'Asset Allocation'!F17,'Asset Allocation'!G17))</f>
        <v>0.85000000000000009</v>
      </c>
      <c r="C17">
        <f>IF(A17="","",SUM('Asset Allocation'!H17,'Asset Allocation'!I17,'Asset Allocation'!J17))</f>
        <v>0.1</v>
      </c>
      <c r="D17">
        <f>IF(A17="","",SUM('Asset Allocation'!K17))</f>
        <v>0.03</v>
      </c>
      <c r="G17">
        <f>IF(A17="","",SUM('Asset Allocation'!L17,'Asset Allocation'!M17))</f>
        <v>0.02</v>
      </c>
      <c r="H17">
        <f t="shared" si="0"/>
        <v>0</v>
      </c>
    </row>
    <row r="18" spans="1:8" x14ac:dyDescent="0.25">
      <c r="A18" t="str">
        <f>IF(Input!A19="","",Input!A19)</f>
        <v>Pactive MPS 1</v>
      </c>
      <c r="B18">
        <f>IF(A18="","",SUM('Asset Allocation'!B18,'Asset Allocation'!C18,'Asset Allocation'!D18,'Asset Allocation'!E18,'Asset Allocation'!F18,'Asset Allocation'!G18))</f>
        <v>0.21779999999999999</v>
      </c>
      <c r="C18">
        <f>IF(A18="","",SUM('Asset Allocation'!H18,'Asset Allocation'!I18,'Asset Allocation'!J18))</f>
        <v>0.54449999999999998</v>
      </c>
      <c r="D18">
        <f>IF(A18="","",SUM('Asset Allocation'!K18))</f>
        <v>4.9500000000000002E-2</v>
      </c>
      <c r="G18">
        <f>IF(A18="","",SUM('Asset Allocation'!L18,'Asset Allocation'!M18))</f>
        <v>0.18820000000000001</v>
      </c>
      <c r="H18">
        <f t="shared" si="0"/>
        <v>0</v>
      </c>
    </row>
    <row r="19" spans="1:8" x14ac:dyDescent="0.25">
      <c r="A19" t="str">
        <f>IF(Input!A20="","",Input!A20)</f>
        <v>Pactive MPS 2</v>
      </c>
      <c r="B19">
        <f>IF(A19="","",SUM('Asset Allocation'!B19,'Asset Allocation'!C19,'Asset Allocation'!D19,'Asset Allocation'!E19,'Asset Allocation'!F19,'Asset Allocation'!G19))</f>
        <v>0.39600000000000002</v>
      </c>
      <c r="C19">
        <f>IF(A19="","",SUM('Asset Allocation'!H19,'Asset Allocation'!I19,'Asset Allocation'!J19))</f>
        <v>0.44550000000000001</v>
      </c>
      <c r="D19">
        <f>IF(A19="","",SUM('Asset Allocation'!K19))</f>
        <v>4.9500000000000002E-2</v>
      </c>
      <c r="G19">
        <f>IF(A19="","",SUM('Asset Allocation'!L19,'Asset Allocation'!M19))</f>
        <v>0.10900000000000001</v>
      </c>
      <c r="H19">
        <f t="shared" si="0"/>
        <v>0</v>
      </c>
    </row>
    <row r="20" spans="1:8" x14ac:dyDescent="0.25">
      <c r="A20" t="str">
        <f>IF(Input!A21="","",Input!A21)</f>
        <v>Pactive MPS 3</v>
      </c>
      <c r="B20">
        <f>IF(A20="","",SUM('Asset Allocation'!B20,'Asset Allocation'!C20,'Asset Allocation'!D20,'Asset Allocation'!E20,'Asset Allocation'!F20,'Asset Allocation'!G20))</f>
        <v>0.54449999999999998</v>
      </c>
      <c r="C20">
        <f>IF(A20="","",SUM('Asset Allocation'!H20,'Asset Allocation'!I20,'Asset Allocation'!J20))</f>
        <v>0.33660000000000001</v>
      </c>
      <c r="D20">
        <f>IF(A20="","",SUM('Asset Allocation'!K20))</f>
        <v>4.9500000000000002E-2</v>
      </c>
      <c r="G20">
        <f>IF(A20="","",SUM('Asset Allocation'!L20,'Asset Allocation'!M20))</f>
        <v>6.9400000000000003E-2</v>
      </c>
      <c r="H20">
        <f t="shared" si="0"/>
        <v>0</v>
      </c>
    </row>
    <row r="21" spans="1:8" x14ac:dyDescent="0.25">
      <c r="A21" t="str">
        <f>IF(Input!A22="","",Input!A22)</f>
        <v>Pactive MPS 4</v>
      </c>
      <c r="B21">
        <f>IF(A21="","",SUM('Asset Allocation'!B21,'Asset Allocation'!C21,'Asset Allocation'!D21,'Asset Allocation'!E21,'Asset Allocation'!F21,'Asset Allocation'!G21))</f>
        <v>0.69300000000000006</v>
      </c>
      <c r="C21">
        <f>IF(A21="","",SUM('Asset Allocation'!H21,'Asset Allocation'!I21,'Asset Allocation'!J21))</f>
        <v>0.24749999999999997</v>
      </c>
      <c r="D21">
        <f>IF(A21="","",SUM('Asset Allocation'!K21))</f>
        <v>2.9700000000000001E-2</v>
      </c>
      <c r="G21">
        <f>IF(A21="","",SUM('Asset Allocation'!L21,'Asset Allocation'!M21))</f>
        <v>2.98E-2</v>
      </c>
      <c r="H21">
        <f t="shared" si="0"/>
        <v>0</v>
      </c>
    </row>
    <row r="22" spans="1:8" x14ac:dyDescent="0.25">
      <c r="A22" t="str">
        <f>IF(Input!A23="","",Input!A23)</f>
        <v>Pactive MPS 5</v>
      </c>
      <c r="B22">
        <f>IF(A22="","",SUM('Asset Allocation'!B22,'Asset Allocation'!C22,'Asset Allocation'!D22,'Asset Allocation'!E22,'Asset Allocation'!F22,'Asset Allocation'!G22))</f>
        <v>0.84149999999999991</v>
      </c>
      <c r="C22">
        <f>IF(A22="","",SUM('Asset Allocation'!H22,'Asset Allocation'!I22,'Asset Allocation'!J22))</f>
        <v>9.7799999999999998E-2</v>
      </c>
      <c r="D22">
        <f>IF(A22="","",SUM('Asset Allocation'!K22))</f>
        <v>2.9700000000000001E-2</v>
      </c>
      <c r="G22">
        <f>IF(A22="","",SUM('Asset Allocation'!L22,'Asset Allocation'!M22))</f>
        <v>2.98E-2</v>
      </c>
      <c r="H22">
        <f t="shared" si="0"/>
        <v>1.2000000000000899E-3</v>
      </c>
    </row>
    <row r="23" spans="1:8" x14ac:dyDescent="0.25">
      <c r="A23" t="str">
        <f>IF(Input!A24="","",Input!A24)</f>
        <v>Pactive MPS 6</v>
      </c>
      <c r="B23">
        <f>IF(A23="","",SUM('Asset Allocation'!B23,'Asset Allocation'!C23,'Asset Allocation'!D23,'Asset Allocation'!E23,'Asset Allocation'!F23,'Asset Allocation'!G23))</f>
        <v>0.87119999999999997</v>
      </c>
      <c r="C23">
        <f>IF(A23="","",SUM('Asset Allocation'!H23,'Asset Allocation'!I23,'Asset Allocation'!J23))</f>
        <v>6.93E-2</v>
      </c>
      <c r="D23">
        <f>IF(A23="","",SUM('Asset Allocation'!K23))</f>
        <v>2.9700000000000001E-2</v>
      </c>
      <c r="G23">
        <f>IF(A23="","",SUM('Asset Allocation'!L23,'Asset Allocation'!M23))</f>
        <v>2.98E-2</v>
      </c>
      <c r="H23">
        <f t="shared" si="0"/>
        <v>0</v>
      </c>
    </row>
    <row r="24" spans="1:8" x14ac:dyDescent="0.25">
      <c r="A24" t="str">
        <f>IF(Input!A25="","",Input!A25)</f>
        <v>Responsible MPS 1</v>
      </c>
      <c r="B24">
        <f>IF(A24="","",SUM('Asset Allocation'!B24,'Asset Allocation'!C24,'Asset Allocation'!D24,'Asset Allocation'!E24,'Asset Allocation'!F24,'Asset Allocation'!G24))</f>
        <v>0.21250000000000002</v>
      </c>
      <c r="C24">
        <f>IF(A24="","",SUM('Asset Allocation'!H24,'Asset Allocation'!I24,'Asset Allocation'!J24))</f>
        <v>0.55499999999999994</v>
      </c>
      <c r="D24">
        <f>IF(A24="","",SUM('Asset Allocation'!K24))</f>
        <v>4.7500000000000001E-2</v>
      </c>
      <c r="G24">
        <f>IF(A24="","",SUM('Asset Allocation'!L24,'Asset Allocation'!M24))</f>
        <v>0.185</v>
      </c>
      <c r="H24">
        <f t="shared" si="0"/>
        <v>0</v>
      </c>
    </row>
    <row r="25" spans="1:8" x14ac:dyDescent="0.25">
      <c r="A25" t="str">
        <f>IF(Input!A26="","",Input!A26)</f>
        <v>Responsible MPS 2</v>
      </c>
      <c r="B25">
        <f>IF(A25="","",SUM('Asset Allocation'!B25,'Asset Allocation'!C25,'Asset Allocation'!D25,'Asset Allocation'!E25,'Asset Allocation'!F25,'Asset Allocation'!G25))</f>
        <v>0.39249999999999996</v>
      </c>
      <c r="C25">
        <f>IF(A25="","",SUM('Asset Allocation'!H25,'Asset Allocation'!I25,'Asset Allocation'!J25))</f>
        <v>0.45500000000000002</v>
      </c>
      <c r="D25">
        <f>IF(A25="","",SUM('Asset Allocation'!K25))</f>
        <v>4.7500000000000001E-2</v>
      </c>
      <c r="G25">
        <f>IF(A25="","",SUM('Asset Allocation'!L25,'Asset Allocation'!M25))</f>
        <v>0.10500000000000001</v>
      </c>
      <c r="H25">
        <f t="shared" si="0"/>
        <v>1.1102230246251565E-16</v>
      </c>
    </row>
    <row r="26" spans="1:8" x14ac:dyDescent="0.25">
      <c r="A26" t="str">
        <f>IF(Input!A27="","",Input!A27)</f>
        <v>Responsible MPS 3</v>
      </c>
      <c r="B26">
        <f>IF(A26="","",SUM('Asset Allocation'!B26,'Asset Allocation'!C26,'Asset Allocation'!D26,'Asset Allocation'!E26,'Asset Allocation'!F26,'Asset Allocation'!G26))</f>
        <v>0.55249999999999999</v>
      </c>
      <c r="C26">
        <f>IF(A26="","",SUM('Asset Allocation'!H26,'Asset Allocation'!I26,'Asset Allocation'!J26))</f>
        <v>0.33499999999999996</v>
      </c>
      <c r="D26">
        <f>IF(A26="","",SUM('Asset Allocation'!K26))</f>
        <v>4.7500000000000001E-2</v>
      </c>
      <c r="G26">
        <f>IF(A26="","",SUM('Asset Allocation'!L26,'Asset Allocation'!M26))</f>
        <v>6.5000000000000002E-2</v>
      </c>
      <c r="H26">
        <f t="shared" si="0"/>
        <v>0</v>
      </c>
    </row>
    <row r="27" spans="1:8" x14ac:dyDescent="0.25">
      <c r="A27" t="str">
        <f>IF(Input!A28="","",Input!A28)</f>
        <v>Responsible MPS 4</v>
      </c>
      <c r="B27">
        <f>IF(A27="","",SUM('Asset Allocation'!B27,'Asset Allocation'!C27,'Asset Allocation'!D27,'Asset Allocation'!E27,'Asset Allocation'!F27,'Asset Allocation'!G27))</f>
        <v>0.70250000000000012</v>
      </c>
      <c r="C27">
        <f>IF(A27="","",SUM('Asset Allocation'!H27,'Asset Allocation'!I27,'Asset Allocation'!J27))</f>
        <v>0.245</v>
      </c>
      <c r="D27">
        <f>IF(A27="","",SUM('Asset Allocation'!K27))</f>
        <v>2.75E-2</v>
      </c>
      <c r="G27">
        <f>IF(A27="","",SUM('Asset Allocation'!L27,'Asset Allocation'!M27))</f>
        <v>2.5000000000000001E-2</v>
      </c>
      <c r="H27">
        <f t="shared" si="0"/>
        <v>0</v>
      </c>
    </row>
    <row r="28" spans="1:8" x14ac:dyDescent="0.25">
      <c r="A28" t="str">
        <f>IF(Input!A29="","",Input!A29)</f>
        <v>Responsible MPS 5</v>
      </c>
      <c r="B28">
        <f>IF(A28="","",SUM('Asset Allocation'!B28,'Asset Allocation'!C28,'Asset Allocation'!D28,'Asset Allocation'!E28,'Asset Allocation'!F28,'Asset Allocation'!G28))</f>
        <v>0.84250000000000003</v>
      </c>
      <c r="C28">
        <f>IF(A28="","",SUM('Asset Allocation'!H28,'Asset Allocation'!I28,'Asset Allocation'!J28))</f>
        <v>0.105</v>
      </c>
      <c r="D28">
        <f>IF(A28="","",SUM('Asset Allocation'!K28))</f>
        <v>2.75E-2</v>
      </c>
      <c r="G28">
        <f>IF(A28="","",SUM('Asset Allocation'!L28,'Asset Allocation'!M28))</f>
        <v>2.5000000000000001E-2</v>
      </c>
      <c r="H28">
        <f t="shared" si="0"/>
        <v>0</v>
      </c>
    </row>
    <row r="29" spans="1:8" x14ac:dyDescent="0.25">
      <c r="A29" t="str">
        <f>IF(Input!A30="","",Input!A30)</f>
        <v>Responsible MPS 6</v>
      </c>
      <c r="B29">
        <f>IF(A29="","",SUM('Asset Allocation'!B29,'Asset Allocation'!C29,'Asset Allocation'!D29,'Asset Allocation'!E29,'Asset Allocation'!F29,'Asset Allocation'!G29))</f>
        <v>0.88250000000000006</v>
      </c>
      <c r="C29">
        <f>IF(A29="","",SUM('Asset Allocation'!H29,'Asset Allocation'!I29,'Asset Allocation'!J29))</f>
        <v>6.5000000000000002E-2</v>
      </c>
      <c r="D29">
        <f>IF(A29="","",SUM('Asset Allocation'!K29))</f>
        <v>2.75E-2</v>
      </c>
      <c r="G29">
        <f>IF(A29="","",SUM('Asset Allocation'!L29,'Asset Allocation'!M29))</f>
        <v>2.5000000000000001E-2</v>
      </c>
      <c r="H29">
        <f t="shared" si="0"/>
        <v>0</v>
      </c>
    </row>
    <row r="30" spans="1:8" x14ac:dyDescent="0.25">
      <c r="A30" t="str">
        <f>IF(Input!A31="","",Input!A31)</f>
        <v>Money Market MPS</v>
      </c>
      <c r="B30">
        <f>IF(A30="","",SUM('Asset Allocation'!B30,'Asset Allocation'!C30,'Asset Allocation'!D30,'Asset Allocation'!E30,'Asset Allocation'!F30,'Asset Allocation'!G30))</f>
        <v>0</v>
      </c>
      <c r="C30">
        <f>IF(A30="","",SUM('Asset Allocation'!H30,'Asset Allocation'!I30,'Asset Allocation'!J30))</f>
        <v>0</v>
      </c>
      <c r="D30">
        <f>IF(A30="","",SUM('Asset Allocation'!K30))</f>
        <v>0</v>
      </c>
      <c r="G30">
        <f>IF(A30="","",SUM('Asset Allocation'!L30,'Asset Allocation'!M30))</f>
        <v>0.81</v>
      </c>
      <c r="H30">
        <f t="shared" si="0"/>
        <v>0.18999999999999995</v>
      </c>
    </row>
    <row r="31" spans="1:8" x14ac:dyDescent="0.25">
      <c r="A31" t="str">
        <f>IF(Input!A32="","",Input!A32)</f>
        <v/>
      </c>
      <c r="B31" t="str">
        <f>IF(A31="","",SUM('Asset Allocation'!B31,'Asset Allocation'!C31,'Asset Allocation'!D31,'Asset Allocation'!E31,'Asset Allocation'!F31,'Asset Allocation'!G31))</f>
        <v/>
      </c>
      <c r="C31" t="str">
        <f>IF(A31="","",SUM('Asset Allocation'!H31,'Asset Allocation'!I31,'Asset Allocation'!J31))</f>
        <v/>
      </c>
      <c r="D31" t="str">
        <f>IF(A31="","",SUM('Asset Allocation'!K31))</f>
        <v/>
      </c>
      <c r="G31" t="str">
        <f>IF(A31="","",SUM('Asset Allocation'!L31,'Asset Allocation'!M31))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Allocation'!B32,'Asset Allocation'!C32,'Asset Allocation'!D32,'Asset Allocation'!E32,'Asset Allocation'!F32,'Asset Allocation'!G32))</f>
        <v/>
      </c>
      <c r="C32" t="str">
        <f>IF(A32="","",SUM('Asset Allocation'!H32,'Asset Allocation'!I32,'Asset Allocation'!J32))</f>
        <v/>
      </c>
      <c r="D32" t="str">
        <f>IF(A32="","",SUM('Asset Allocation'!K32))</f>
        <v/>
      </c>
      <c r="G32" t="str">
        <f>IF(A32="","",SUM('Asset Allocation'!L32,'Asset Allocation'!M32))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Allocation'!B33,'Asset Allocation'!C33,'Asset Allocation'!D33,'Asset Allocation'!E33,'Asset Allocation'!F33,'Asset Allocation'!G33))</f>
        <v/>
      </c>
      <c r="C33" t="str">
        <f>IF(A33="","",SUM('Asset Allocation'!H33,'Asset Allocation'!I33,'Asset Allocation'!J33))</f>
        <v/>
      </c>
      <c r="D33" t="str">
        <f>IF(A33="","",SUM('Asset Allocation'!K33))</f>
        <v/>
      </c>
      <c r="G33" t="str">
        <f>IF(A33="","",SUM('Asset Allocation'!L33,'Asset Allocation'!M33))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Allocation'!B34,'Asset Allocation'!C34,'Asset Allocation'!D34,'Asset Allocation'!E34,'Asset Allocation'!F34,'Asset Allocation'!G34))</f>
        <v/>
      </c>
      <c r="C34" t="str">
        <f>IF(A34="","",SUM('Asset Allocation'!H34,'Asset Allocation'!I34,'Asset Allocation'!J34))</f>
        <v/>
      </c>
      <c r="D34" t="str">
        <f>IF(A34="","",SUM('Asset Allocation'!K34))</f>
        <v/>
      </c>
      <c r="G34" t="str">
        <f>IF(A34="","",SUM('Asset Allocation'!L34,'Asset Allocation'!M34))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Allocation'!B35,'Asset Allocation'!C35,'Asset Allocation'!D35,'Asset Allocation'!E35,'Asset Allocation'!F35,'Asset Allocation'!G35))</f>
        <v/>
      </c>
      <c r="C35" t="str">
        <f>IF(A35="","",SUM('Asset Allocation'!H35,'Asset Allocation'!I35,'Asset Allocation'!J35))</f>
        <v/>
      </c>
      <c r="D35" t="str">
        <f>IF(A35="","",SUM('Asset Allocation'!K35))</f>
        <v/>
      </c>
      <c r="G35" t="str">
        <f>IF(A35="","",SUM('Asset Allocation'!L35,'Asset Allocation'!M35))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Allocation'!B36,'Asset Allocation'!C36,'Asset Allocation'!D36,'Asset Allocation'!E36,'Asset Allocation'!F36,'Asset Allocation'!G36))</f>
        <v/>
      </c>
      <c r="C36" t="str">
        <f>IF(A36="","",SUM('Asset Allocation'!H36,'Asset Allocation'!I36,'Asset Allocation'!J36))</f>
        <v/>
      </c>
      <c r="D36" t="str">
        <f>IF(A36="","",SUM('Asset Allocation'!K36))</f>
        <v/>
      </c>
      <c r="G36" t="str">
        <f>IF(A36="","",SUM('Asset Allocation'!L36,'Asset Allocation'!M36))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Allocation'!B37,'Asset Allocation'!C37,'Asset Allocation'!D37,'Asset Allocation'!E37,'Asset Allocation'!F37,'Asset Allocation'!G37))</f>
        <v/>
      </c>
      <c r="C37" t="str">
        <f>IF(A37="","",SUM('Asset Allocation'!H37,'Asset Allocation'!I37,'Asset Allocation'!J37))</f>
        <v/>
      </c>
      <c r="D37" t="str">
        <f>IF(A37="","",SUM('Asset Allocation'!K37))</f>
        <v/>
      </c>
      <c r="G37" t="str">
        <f>IF(A37="","",SUM('Asset Allocation'!L37,'Asset Allocation'!M37))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Allocation'!B38,'Asset Allocation'!C38,'Asset Allocation'!D38,'Asset Allocation'!E38,'Asset Allocation'!F38,'Asset Allocation'!G38))</f>
        <v/>
      </c>
      <c r="C38" t="str">
        <f>IF(A38="","",SUM('Asset Allocation'!H38,'Asset Allocation'!I38,'Asset Allocation'!J38))</f>
        <v/>
      </c>
      <c r="D38" t="str">
        <f>IF(A38="","",SUM('Asset Allocation'!K38))</f>
        <v/>
      </c>
      <c r="G38" t="str">
        <f>IF(A38="","",SUM('Asset Allocation'!L38,'Asset Allocation'!M38))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Allocation'!B39,'Asset Allocation'!C39,'Asset Allocation'!D39,'Asset Allocation'!E39,'Asset Allocation'!F39,'Asset Allocation'!G39))</f>
        <v/>
      </c>
      <c r="C39" t="str">
        <f>IF(A39="","",SUM('Asset Allocation'!H39,'Asset Allocation'!I39,'Asset Allocation'!J39))</f>
        <v/>
      </c>
      <c r="D39" t="str">
        <f>IF(A39="","",SUM('Asset Allocation'!K39))</f>
        <v/>
      </c>
      <c r="G39" t="str">
        <f>IF(A39="","",SUM('Asset Allocation'!L39,'Asset Allocation'!M39))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Allocation'!B40,'Asset Allocation'!C40,'Asset Allocation'!D40,'Asset Allocation'!E40,'Asset Allocation'!F40,'Asset Allocation'!G40))</f>
        <v/>
      </c>
      <c r="C40" t="str">
        <f>IF(A40="","",SUM('Asset Allocation'!H40,'Asset Allocation'!I40,'Asset Allocation'!J40))</f>
        <v/>
      </c>
      <c r="D40" t="str">
        <f>IF(A40="","",SUM('Asset Allocation'!K40))</f>
        <v/>
      </c>
      <c r="G40" t="str">
        <f>IF(A40="","",SUM('Asset Allocation'!L40,'Asset Allocation'!M40))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Allocation'!B41,'Asset Allocation'!C41,'Asset Allocation'!D41,'Asset Allocation'!E41,'Asset Allocation'!F41,'Asset Allocation'!G41))</f>
        <v/>
      </c>
      <c r="C41" t="str">
        <f>IF(A41="","",SUM('Asset Allocation'!H41,'Asset Allocation'!I41,'Asset Allocation'!J41))</f>
        <v/>
      </c>
      <c r="D41" t="str">
        <f>IF(A41="","",SUM('Asset Allocation'!K41))</f>
        <v/>
      </c>
      <c r="G41" t="str">
        <f>IF(A41="","",SUM('Asset Allocation'!L41,'Asset Allocation'!M41))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Allocation'!B42,'Asset Allocation'!C42,'Asset Allocation'!D42,'Asset Allocation'!E42,'Asset Allocation'!F42,'Asset Allocation'!G42))</f>
        <v/>
      </c>
      <c r="C42" t="str">
        <f>IF(A42="","",SUM('Asset Allocation'!H42,'Asset Allocation'!I42,'Asset Allocation'!J42))</f>
        <v/>
      </c>
      <c r="D42" t="str">
        <f>IF(A42="","",SUM('Asset Allocation'!K42))</f>
        <v/>
      </c>
      <c r="G42" t="str">
        <f>IF(A42="","",SUM('Asset Allocation'!L42,'Asset Allocation'!M42))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Allocation'!B43,'Asset Allocation'!C43,'Asset Allocation'!D43,'Asset Allocation'!E43,'Asset Allocation'!F43,'Asset Allocation'!G43))</f>
        <v/>
      </c>
      <c r="C43" t="str">
        <f>IF(A43="","",SUM('Asset Allocation'!H43,'Asset Allocation'!I43,'Asset Allocation'!J43))</f>
        <v/>
      </c>
      <c r="D43" t="str">
        <f>IF(A43="","",SUM('Asset Allocation'!K43))</f>
        <v/>
      </c>
      <c r="G43" t="str">
        <f>IF(A43="","",SUM('Asset Allocation'!L43,'Asset Allocation'!M43))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Allocation'!B44,'Asset Allocation'!C44,'Asset Allocation'!D44,'Asset Allocation'!E44,'Asset Allocation'!F44,'Asset Allocation'!G44))</f>
        <v/>
      </c>
      <c r="C44" t="str">
        <f>IF(A44="","",SUM('Asset Allocation'!H44,'Asset Allocation'!I44,'Asset Allocation'!J44))</f>
        <v/>
      </c>
      <c r="D44" t="str">
        <f>IF(A44="","",SUM('Asset Allocation'!K44))</f>
        <v/>
      </c>
      <c r="G44" t="str">
        <f>IF(A44="","",SUM('Asset Allocation'!L44,'Asset Allocation'!M44))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Allocation'!B45,'Asset Allocation'!C45,'Asset Allocation'!D45,'Asset Allocation'!E45,'Asset Allocation'!F45,'Asset Allocation'!G45))</f>
        <v/>
      </c>
      <c r="C45" t="str">
        <f>IF(A45="","",SUM('Asset Allocation'!H45,'Asset Allocation'!I45,'Asset Allocation'!J45))</f>
        <v/>
      </c>
      <c r="D45" t="str">
        <f>IF(A45="","",SUM('Asset Allocation'!K45))</f>
        <v/>
      </c>
      <c r="G45" t="str">
        <f>IF(A45="","",SUM('Asset Allocation'!L45,'Asset Allocation'!M45))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Allocation'!B46,'Asset Allocation'!C46,'Asset Allocation'!D46,'Asset Allocation'!E46,'Asset Allocation'!F46,'Asset Allocation'!G46))</f>
        <v/>
      </c>
      <c r="C46" t="str">
        <f>IF(A46="","",SUM('Asset Allocation'!H46,'Asset Allocation'!I46,'Asset Allocation'!J46))</f>
        <v/>
      </c>
      <c r="D46" t="str">
        <f>IF(A46="","",SUM('Asset Allocation'!K46))</f>
        <v/>
      </c>
      <c r="G46" t="str">
        <f>IF(A46="","",SUM('Asset Allocation'!L46,'Asset Allocation'!M46))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Allocation'!B47,'Asset Allocation'!C47,'Asset Allocation'!D47,'Asset Allocation'!E47,'Asset Allocation'!F47,'Asset Allocation'!G47))</f>
        <v/>
      </c>
      <c r="C47" t="str">
        <f>IF(A47="","",SUM('Asset Allocation'!H47,'Asset Allocation'!I47,'Asset Allocation'!J47))</f>
        <v/>
      </c>
      <c r="D47" t="str">
        <f>IF(A47="","",SUM('Asset Allocation'!K47))</f>
        <v/>
      </c>
      <c r="G47" t="str">
        <f>IF(A47="","",SUM('Asset Allocation'!L47,'Asset Allocation'!M47))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Allocation'!B48,'Asset Allocation'!C48,'Asset Allocation'!D48,'Asset Allocation'!E48,'Asset Allocation'!F48,'Asset Allocation'!G48))</f>
        <v/>
      </c>
      <c r="C48" t="str">
        <f>IF(A48="","",SUM('Asset Allocation'!H48,'Asset Allocation'!I48,'Asset Allocation'!J48))</f>
        <v/>
      </c>
      <c r="D48" t="str">
        <f>IF(A48="","",SUM('Asset Allocation'!K48))</f>
        <v/>
      </c>
      <c r="G48" t="str">
        <f>IF(A48="","",SUM('Asset Allocation'!L48,'Asset Allocation'!M48))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Allocation'!B49,'Asset Allocation'!C49,'Asset Allocation'!D49,'Asset Allocation'!E49,'Asset Allocation'!F49,'Asset Allocation'!G49))</f>
        <v/>
      </c>
      <c r="C49" t="str">
        <f>IF(A49="","",SUM('Asset Allocation'!H49,'Asset Allocation'!I49,'Asset Allocation'!J49))</f>
        <v/>
      </c>
      <c r="D49" t="str">
        <f>IF(A49="","",SUM('Asset Allocation'!K49))</f>
        <v/>
      </c>
      <c r="G49" t="str">
        <f>IF(A49="","",SUM('Asset Allocation'!L49,'Asset Allocation'!M49))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Allocation'!B50,'Asset Allocation'!C50,'Asset Allocation'!D50,'Asset Allocation'!E50,'Asset Allocation'!F50,'Asset Allocation'!G50))</f>
        <v/>
      </c>
      <c r="C50" t="str">
        <f>IF(A50="","",SUM('Asset Allocation'!H50,'Asset Allocation'!I50,'Asset Allocation'!J50))</f>
        <v/>
      </c>
      <c r="D50" t="str">
        <f>IF(A50="","",SUM('Asset Allocation'!K50))</f>
        <v/>
      </c>
      <c r="G50" t="str">
        <f>IF(A50="","",SUM('Asset Allocation'!L50,'Asset Allocation'!M50))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Passive MPS 1</v>
      </c>
      <c r="B2" s="6">
        <f>IFERROR(IF(A2="","",SUM('Asset Allocation'!C2)/'Broad Asset Allocation'!B2),0)</f>
        <v>0.31818181818181818</v>
      </c>
      <c r="C2" s="6">
        <f>IFERROR(IF(A2="","",SUM('Asset Allocation'!B2)/'Broad Asset Allocation'!B2),0)</f>
        <v>0.27272727272727271</v>
      </c>
      <c r="D2" s="6">
        <f>IFERROR(IF(A2="","",SUM('Asset Allocation'!D2)/'Broad Asset Allocation'!B2),0)</f>
        <v>0</v>
      </c>
      <c r="E2" s="6">
        <f>IFERROR(IF(A2="","",SUM('Asset Allocation'!F2)/'Broad Asset Allocation'!B2),0)</f>
        <v>0.1818181818181818</v>
      </c>
      <c r="F2" s="6">
        <f>IFERROR(IF(A2="","",SUM('Asset Allocation'!E2)/'Broad Asset Allocation'!B2),0)</f>
        <v>0</v>
      </c>
      <c r="G2" s="6">
        <f>IFERROR(IF(A2="","",SUM('Asset Allocation'!G2)/'Broad Asset Allocation'!B2),0)</f>
        <v>0.22727272727272727</v>
      </c>
      <c r="H2" s="6"/>
    </row>
    <row r="3" spans="1:8" x14ac:dyDescent="0.25">
      <c r="A3" t="str">
        <f>IF(Input!A4="","",Input!A4)</f>
        <v>Passive MPS 2</v>
      </c>
      <c r="B3" s="6">
        <f>IFERROR(IF(A3="","",SUM('Asset Allocation'!C3)/'Broad Asset Allocation'!B3),0)</f>
        <v>0.32500000000000001</v>
      </c>
      <c r="C3" s="6">
        <f>IFERROR(IF(A3="","",SUM('Asset Allocation'!B3)/'Broad Asset Allocation'!B3),0)</f>
        <v>0.3</v>
      </c>
      <c r="D3" s="6">
        <f>IFERROR(IF(A3="","",SUM('Asset Allocation'!D3)/'Broad Asset Allocation'!B3),0)</f>
        <v>0</v>
      </c>
      <c r="E3" s="6">
        <f>IFERROR(IF(A3="","",SUM('Asset Allocation'!F3)/'Broad Asset Allocation'!B3),0)</f>
        <v>0.15</v>
      </c>
      <c r="F3" s="6">
        <f>IFERROR(IF(A3="","",SUM('Asset Allocation'!E3)/'Broad Asset Allocation'!B3),0)</f>
        <v>0</v>
      </c>
      <c r="G3" s="6">
        <f>IFERROR(IF(A3="","",SUM('Asset Allocation'!G3)/'Broad Asset Allocation'!B3),0)</f>
        <v>0.22499999999999998</v>
      </c>
      <c r="H3" s="6"/>
    </row>
    <row r="4" spans="1:8" x14ac:dyDescent="0.25">
      <c r="A4" t="str">
        <f>IF(Input!A5="","",Input!A5)</f>
        <v>Passive MPS 3</v>
      </c>
      <c r="B4" s="6">
        <f>IFERROR(IF(A4="","",SUM('Asset Allocation'!C4)/'Broad Asset Allocation'!B4),0)</f>
        <v>0.25454545454545457</v>
      </c>
      <c r="C4" s="6">
        <f>IFERROR(IF(A4="","",SUM('Asset Allocation'!B4)/'Broad Asset Allocation'!B4),0)</f>
        <v>0.29090909090909089</v>
      </c>
      <c r="D4" s="6">
        <f>IFERROR(IF(A4="","",SUM('Asset Allocation'!D4)/'Broad Asset Allocation'!B4),0)</f>
        <v>0</v>
      </c>
      <c r="E4" s="6">
        <f>IFERROR(IF(A4="","",SUM('Asset Allocation'!F4)/'Broad Asset Allocation'!B4),0)</f>
        <v>0.10909090909090907</v>
      </c>
      <c r="F4" s="6">
        <f>IFERROR(IF(A4="","",SUM('Asset Allocation'!E4)/'Broad Asset Allocation'!B4),0)</f>
        <v>0.12727272727272729</v>
      </c>
      <c r="G4" s="6">
        <f>IFERROR(IF(A4="","",SUM('Asset Allocation'!G4)/'Broad Asset Allocation'!B4),0)</f>
        <v>0.21818181818181814</v>
      </c>
      <c r="H4" s="6"/>
    </row>
    <row r="5" spans="1:8" x14ac:dyDescent="0.25">
      <c r="A5" t="str">
        <f>IF(Input!A6="","",Input!A6)</f>
        <v>Passive MPS 4</v>
      </c>
      <c r="B5" s="6">
        <f>IFERROR(IF(A5="","",SUM('Asset Allocation'!C5)/'Broad Asset Allocation'!B5),0)</f>
        <v>0.2857142857142857</v>
      </c>
      <c r="C5" s="6">
        <f>IFERROR(IF(A5="","",SUM('Asset Allocation'!B5)/'Broad Asset Allocation'!B5),0)</f>
        <v>0.2857142857142857</v>
      </c>
      <c r="D5" s="6">
        <f>IFERROR(IF(A5="","",SUM('Asset Allocation'!D5)/'Broad Asset Allocation'!B5),0)</f>
        <v>4.2857142857142851E-2</v>
      </c>
      <c r="E5" s="6">
        <f>IFERROR(IF(A5="","",SUM('Asset Allocation'!F5)/'Broad Asset Allocation'!B5),0)</f>
        <v>7.1428571428571425E-2</v>
      </c>
      <c r="F5" s="6">
        <f>IFERROR(IF(A5="","",SUM('Asset Allocation'!E5)/'Broad Asset Allocation'!B5),0)</f>
        <v>0.11428571428571428</v>
      </c>
      <c r="G5" s="6">
        <f>IFERROR(IF(A5="","",SUM('Asset Allocation'!G5)/'Broad Asset Allocation'!B5),0)</f>
        <v>0.2</v>
      </c>
      <c r="H5" s="6"/>
    </row>
    <row r="6" spans="1:8" x14ac:dyDescent="0.25">
      <c r="A6" t="str">
        <f>IF(Input!A7="","",Input!A7)</f>
        <v>Passive MPS 5</v>
      </c>
      <c r="B6" s="6">
        <f>IFERROR(IF(A6="","",SUM('Asset Allocation'!C6)/'Broad Asset Allocation'!B6),0)</f>
        <v>0.28235294117647053</v>
      </c>
      <c r="C6" s="6">
        <f>IFERROR(IF(A6="","",SUM('Asset Allocation'!B6)/'Broad Asset Allocation'!B6),0)</f>
        <v>0.29411764705882348</v>
      </c>
      <c r="D6" s="6">
        <f>IFERROR(IF(A6="","",SUM('Asset Allocation'!D6)/'Broad Asset Allocation'!B6),0)</f>
        <v>5.8823529411764705E-2</v>
      </c>
      <c r="E6" s="6">
        <f>IFERROR(IF(A6="","",SUM('Asset Allocation'!F6)/'Broad Asset Allocation'!B6),0)</f>
        <v>4.7058823529411764E-2</v>
      </c>
      <c r="F6" s="6">
        <f>IFERROR(IF(A6="","",SUM('Asset Allocation'!E6)/'Broad Asset Allocation'!B6),0)</f>
        <v>0.11764705882352941</v>
      </c>
      <c r="G6" s="6">
        <f>IFERROR(IF(A6="","",SUM('Asset Allocation'!G6)/'Broad Asset Allocation'!B6),0)</f>
        <v>0.19999999999999998</v>
      </c>
      <c r="H6" s="6"/>
    </row>
    <row r="7" spans="1:8" x14ac:dyDescent="0.25">
      <c r="A7" t="str">
        <f>IF(Input!A8="","",Input!A8)</f>
        <v>Passive MPS 6</v>
      </c>
      <c r="B7" s="6">
        <f>IFERROR(IF(A7="","",SUM('Asset Allocation'!C7)/'Broad Asset Allocation'!B7),0)</f>
        <v>0.14772727272727273</v>
      </c>
      <c r="C7" s="6">
        <f>IFERROR(IF(A7="","",SUM('Asset Allocation'!B7)/'Broad Asset Allocation'!B7),0)</f>
        <v>0.26136363636363635</v>
      </c>
      <c r="D7" s="6">
        <f>IFERROR(IF(A7="","",SUM('Asset Allocation'!D7)/'Broad Asset Allocation'!B7),0)</f>
        <v>5.6818181818181823E-2</v>
      </c>
      <c r="E7" s="6">
        <f>IFERROR(IF(A7="","",SUM('Asset Allocation'!F7)/'Broad Asset Allocation'!B7),0)</f>
        <v>3.4090909090909088E-2</v>
      </c>
      <c r="F7" s="6">
        <f>IFERROR(IF(A7="","",SUM('Asset Allocation'!E7)/'Broad Asset Allocation'!B7),0)</f>
        <v>9.0909090909090912E-2</v>
      </c>
      <c r="G7" s="6">
        <f>IFERROR(IF(A7="","",SUM('Asset Allocation'!G7)/'Broad Asset Allocation'!B7),0)</f>
        <v>0.40909090909090906</v>
      </c>
      <c r="H7" s="6"/>
    </row>
    <row r="8" spans="1:8" x14ac:dyDescent="0.25">
      <c r="A8" t="str">
        <f>IF(Input!A9="","",Input!A9)</f>
        <v>Passive Income MPS 1</v>
      </c>
      <c r="B8" s="6">
        <f>IFERROR(IF(A8="","",SUM('Asset Allocation'!C8)/'Broad Asset Allocation'!B8),0)</f>
        <v>0.25454545454545457</v>
      </c>
      <c r="C8" s="6">
        <f>IFERROR(IF(A8="","",SUM('Asset Allocation'!B8)/'Broad Asset Allocation'!B8),0)</f>
        <v>0.29090909090909089</v>
      </c>
      <c r="D8" s="6">
        <f>IFERROR(IF(A8="","",SUM('Asset Allocation'!D8)/'Broad Asset Allocation'!B8),0)</f>
        <v>0</v>
      </c>
      <c r="E8" s="6">
        <f>IFERROR(IF(A8="","",SUM('Asset Allocation'!F8)/'Broad Asset Allocation'!B8),0)</f>
        <v>0.10909090909090907</v>
      </c>
      <c r="F8" s="6">
        <f>IFERROR(IF(A8="","",SUM('Asset Allocation'!E8)/'Broad Asset Allocation'!B8),0)</f>
        <v>0.12727272727272729</v>
      </c>
      <c r="G8" s="6">
        <f>IFERROR(IF(A8="","",SUM('Asset Allocation'!G8)/'Broad Asset Allocation'!B8),0)</f>
        <v>0.21818181818181814</v>
      </c>
      <c r="H8" s="6"/>
    </row>
    <row r="9" spans="1:8" x14ac:dyDescent="0.25">
      <c r="A9" t="str">
        <f>IF(Input!A10="","",Input!A10)</f>
        <v>Passive Income MPS 2</v>
      </c>
      <c r="B9" s="6">
        <f>IFERROR(IF(A9="","",SUM('Asset Allocation'!C9)/'Broad Asset Allocation'!B9),0)</f>
        <v>0.28235294117647053</v>
      </c>
      <c r="C9" s="6">
        <f>IFERROR(IF(A9="","",SUM('Asset Allocation'!B9)/'Broad Asset Allocation'!B9),0)</f>
        <v>0.29411764705882348</v>
      </c>
      <c r="D9" s="6">
        <f>IFERROR(IF(A9="","",SUM('Asset Allocation'!D9)/'Broad Asset Allocation'!B9),0)</f>
        <v>5.8823529411764705E-2</v>
      </c>
      <c r="E9" s="6">
        <f>IFERROR(IF(A9="","",SUM('Asset Allocation'!F9)/'Broad Asset Allocation'!B9),0)</f>
        <v>4.7058823529411764E-2</v>
      </c>
      <c r="F9" s="6">
        <f>IFERROR(IF(A9="","",SUM('Asset Allocation'!E9)/'Broad Asset Allocation'!B9),0)</f>
        <v>0.11764705882352941</v>
      </c>
      <c r="G9" s="6">
        <f>IFERROR(IF(A9="","",SUM('Asset Allocation'!G9)/'Broad Asset Allocation'!B9),0)</f>
        <v>0.19999999999999998</v>
      </c>
      <c r="H9" s="6"/>
    </row>
    <row r="10" spans="1:8" x14ac:dyDescent="0.25">
      <c r="A10" t="str">
        <f>IF(Input!A11="","",Input!A11)</f>
        <v>Active MPS 1</v>
      </c>
      <c r="B10" s="6">
        <f>IFERROR(IF(A10="","",SUM('Asset Allocation'!C10)/'Broad Asset Allocation'!B10),0)</f>
        <v>0.31818181818181818</v>
      </c>
      <c r="C10" s="6">
        <f>IFERROR(IF(A10="","",SUM('Asset Allocation'!B10)/'Broad Asset Allocation'!B10),0)</f>
        <v>0.27272727272727271</v>
      </c>
      <c r="D10" s="6">
        <f>IFERROR(IF(A10="","",SUM('Asset Allocation'!D10)/'Broad Asset Allocation'!B10),0)</f>
        <v>0</v>
      </c>
      <c r="E10" s="6">
        <f>IFERROR(IF(A10="","",SUM('Asset Allocation'!F10)/'Broad Asset Allocation'!B10),0)</f>
        <v>0.1818181818181818</v>
      </c>
      <c r="F10" s="6">
        <f>IFERROR(IF(A10="","",SUM('Asset Allocation'!E10)/'Broad Asset Allocation'!B10),0)</f>
        <v>0</v>
      </c>
      <c r="G10" s="6">
        <f>IFERROR(IF(A10="","",SUM('Asset Allocation'!G10)/'Broad Asset Allocation'!B10),0)</f>
        <v>0.22727272727272727</v>
      </c>
      <c r="H10" s="6"/>
    </row>
    <row r="11" spans="1:8" x14ac:dyDescent="0.25">
      <c r="A11" t="str">
        <f>IF(Input!A12="","",Input!A12)</f>
        <v>Active MPS 2</v>
      </c>
      <c r="B11" s="6">
        <f>IFERROR(IF(A11="","",SUM('Asset Allocation'!C11)/'Broad Asset Allocation'!B11),0)</f>
        <v>0.32500000000000001</v>
      </c>
      <c r="C11" s="6">
        <f>IFERROR(IF(A11="","",SUM('Asset Allocation'!B11)/'Broad Asset Allocation'!B11),0)</f>
        <v>0.3</v>
      </c>
      <c r="D11" s="6">
        <f>IFERROR(IF(A11="","",SUM('Asset Allocation'!D11)/'Broad Asset Allocation'!B11),0)</f>
        <v>0</v>
      </c>
      <c r="E11" s="6">
        <f>IFERROR(IF(A11="","",SUM('Asset Allocation'!F11)/'Broad Asset Allocation'!B11),0)</f>
        <v>0.15</v>
      </c>
      <c r="F11" s="6">
        <f>IFERROR(IF(A11="","",SUM('Asset Allocation'!E11)/'Broad Asset Allocation'!B11),0)</f>
        <v>0</v>
      </c>
      <c r="G11" s="6">
        <f>IFERROR(IF(A11="","",SUM('Asset Allocation'!G11)/'Broad Asset Allocation'!B11),0)</f>
        <v>0.22499999999999998</v>
      </c>
      <c r="H11" s="6"/>
    </row>
    <row r="12" spans="1:8" x14ac:dyDescent="0.25">
      <c r="A12" t="str">
        <f>IF(Input!A13="","",Input!A13)</f>
        <v>Active MPS 3</v>
      </c>
      <c r="B12" s="6">
        <f>IFERROR(IF(A12="","",SUM('Asset Allocation'!C12)/'Broad Asset Allocation'!B12),0)</f>
        <v>0.25454545454545457</v>
      </c>
      <c r="C12" s="6">
        <f>IFERROR(IF(A12="","",SUM('Asset Allocation'!B12)/'Broad Asset Allocation'!B12),0)</f>
        <v>0.29090909090909089</v>
      </c>
      <c r="D12" s="6">
        <f>IFERROR(IF(A12="","",SUM('Asset Allocation'!D12)/'Broad Asset Allocation'!B12),0)</f>
        <v>0</v>
      </c>
      <c r="E12" s="6">
        <f>IFERROR(IF(A12="","",SUM('Asset Allocation'!F12)/'Broad Asset Allocation'!B12),0)</f>
        <v>0.10909090909090907</v>
      </c>
      <c r="F12" s="6">
        <f>IFERROR(IF(A12="","",SUM('Asset Allocation'!E12)/'Broad Asset Allocation'!B12),0)</f>
        <v>0.12727272727272729</v>
      </c>
      <c r="G12" s="6">
        <f>IFERROR(IF(A12="","",SUM('Asset Allocation'!G12)/'Broad Asset Allocation'!B12),0)</f>
        <v>0.21818181818181814</v>
      </c>
      <c r="H12" s="6"/>
    </row>
    <row r="13" spans="1:8" x14ac:dyDescent="0.25">
      <c r="A13" t="str">
        <f>IF(Input!A14="","",Input!A14)</f>
        <v>Active MPS 4</v>
      </c>
      <c r="B13" s="6">
        <f>IFERROR(IF(A13="","",SUM('Asset Allocation'!C13)/'Broad Asset Allocation'!B13),0)</f>
        <v>0.2857142857142857</v>
      </c>
      <c r="C13" s="6">
        <f>IFERROR(IF(A13="","",SUM('Asset Allocation'!B13)/'Broad Asset Allocation'!B13),0)</f>
        <v>0.2857142857142857</v>
      </c>
      <c r="D13" s="6">
        <f>IFERROR(IF(A13="","",SUM('Asset Allocation'!D13)/'Broad Asset Allocation'!B13),0)</f>
        <v>4.2857142857142851E-2</v>
      </c>
      <c r="E13" s="6">
        <f>IFERROR(IF(A13="","",SUM('Asset Allocation'!F13)/'Broad Asset Allocation'!B13),0)</f>
        <v>7.1428571428571425E-2</v>
      </c>
      <c r="F13" s="6">
        <f>IFERROR(IF(A13="","",SUM('Asset Allocation'!E13)/'Broad Asset Allocation'!B13),0)</f>
        <v>0.11428571428571428</v>
      </c>
      <c r="G13" s="6">
        <f>IFERROR(IF(A13="","",SUM('Asset Allocation'!G13)/'Broad Asset Allocation'!B13),0)</f>
        <v>0.2</v>
      </c>
      <c r="H13" s="6"/>
    </row>
    <row r="14" spans="1:8" x14ac:dyDescent="0.25">
      <c r="A14" t="str">
        <f>IF(Input!A15="","",Input!A15)</f>
        <v>Active MPS 5</v>
      </c>
      <c r="B14" s="6">
        <f>IFERROR(IF(A14="","",SUM('Asset Allocation'!C14)/'Broad Asset Allocation'!B14),0)</f>
        <v>0.28235294117647053</v>
      </c>
      <c r="C14" s="6">
        <f>IFERROR(IF(A14="","",SUM('Asset Allocation'!B14)/'Broad Asset Allocation'!B14),0)</f>
        <v>0.29411764705882348</v>
      </c>
      <c r="D14" s="6">
        <f>IFERROR(IF(A14="","",SUM('Asset Allocation'!D14)/'Broad Asset Allocation'!B14),0)</f>
        <v>5.8823529411764705E-2</v>
      </c>
      <c r="E14" s="6">
        <f>IFERROR(IF(A14="","",SUM('Asset Allocation'!F14)/'Broad Asset Allocation'!B14),0)</f>
        <v>4.7058823529411764E-2</v>
      </c>
      <c r="F14" s="6">
        <f>IFERROR(IF(A14="","",SUM('Asset Allocation'!E14)/'Broad Asset Allocation'!B14),0)</f>
        <v>0.11764705882352941</v>
      </c>
      <c r="G14" s="6">
        <f>IFERROR(IF(A14="","",SUM('Asset Allocation'!G14)/'Broad Asset Allocation'!B14),0)</f>
        <v>0.19999999999999998</v>
      </c>
      <c r="H14" s="6"/>
    </row>
    <row r="15" spans="1:8" x14ac:dyDescent="0.25">
      <c r="A15" t="str">
        <f>IF(Input!A16="","",Input!A16)</f>
        <v>Active MPS 6</v>
      </c>
      <c r="B15" s="6">
        <f>IFERROR(IF(A15="","",SUM('Asset Allocation'!C15)/'Broad Asset Allocation'!B15),0)</f>
        <v>0.14772727272727273</v>
      </c>
      <c r="C15" s="6">
        <f>IFERROR(IF(A15="","",SUM('Asset Allocation'!B15)/'Broad Asset Allocation'!B15),0)</f>
        <v>0.26136363636363635</v>
      </c>
      <c r="D15" s="6">
        <f>IFERROR(IF(A15="","",SUM('Asset Allocation'!D15)/'Broad Asset Allocation'!B15),0)</f>
        <v>5.6818181818181823E-2</v>
      </c>
      <c r="E15" s="6">
        <f>IFERROR(IF(A15="","",SUM('Asset Allocation'!F15)/'Broad Asset Allocation'!B15),0)</f>
        <v>3.4090909090909088E-2</v>
      </c>
      <c r="F15" s="6">
        <f>IFERROR(IF(A15="","",SUM('Asset Allocation'!E15)/'Broad Asset Allocation'!B15),0)</f>
        <v>0.1931818181818182</v>
      </c>
      <c r="G15" s="6">
        <f>IFERROR(IF(A15="","",SUM('Asset Allocation'!G15)/'Broad Asset Allocation'!B15),0)</f>
        <v>0.30681818181818182</v>
      </c>
      <c r="H15" s="6"/>
    </row>
    <row r="16" spans="1:8" x14ac:dyDescent="0.25">
      <c r="A16" t="str">
        <f>IF(Input!A17="","",Input!A17)</f>
        <v>Active Income MPS 1</v>
      </c>
      <c r="B16" s="6">
        <f>IFERROR(IF(A16="","",SUM('Asset Allocation'!C16)/'Broad Asset Allocation'!B16),0)</f>
        <v>0.25454545454545457</v>
      </c>
      <c r="C16" s="6">
        <f>IFERROR(IF(A16="","",SUM('Asset Allocation'!B16)/'Broad Asset Allocation'!B16),0)</f>
        <v>0.29090909090909089</v>
      </c>
      <c r="D16" s="6">
        <f>IFERROR(IF(A16="","",SUM('Asset Allocation'!D16)/'Broad Asset Allocation'!B16),0)</f>
        <v>0</v>
      </c>
      <c r="E16" s="6">
        <f>IFERROR(IF(A16="","",SUM('Asset Allocation'!F16)/'Broad Asset Allocation'!B16),0)</f>
        <v>0.10909090909090907</v>
      </c>
      <c r="F16" s="6">
        <f>IFERROR(IF(A16="","",SUM('Asset Allocation'!E16)/'Broad Asset Allocation'!B16),0)</f>
        <v>0.12727272727272729</v>
      </c>
      <c r="G16" s="6">
        <f>IFERROR(IF(A16="","",SUM('Asset Allocation'!G16)/'Broad Asset Allocation'!B16),0)</f>
        <v>0.21818181818181814</v>
      </c>
      <c r="H16" s="6"/>
    </row>
    <row r="17" spans="1:8" x14ac:dyDescent="0.25">
      <c r="A17" t="str">
        <f>IF(Input!A18="","",Input!A18)</f>
        <v>Active Income MPS 2</v>
      </c>
      <c r="B17" s="6">
        <f>IFERROR(IF(A17="","",SUM('Asset Allocation'!C17)/'Broad Asset Allocation'!B17),0)</f>
        <v>0.28235294117647053</v>
      </c>
      <c r="C17" s="6">
        <f>IFERROR(IF(A17="","",SUM('Asset Allocation'!B17)/'Broad Asset Allocation'!B17),0)</f>
        <v>0.29411764705882348</v>
      </c>
      <c r="D17" s="6">
        <f>IFERROR(IF(A17="","",SUM('Asset Allocation'!D17)/'Broad Asset Allocation'!B17),0)</f>
        <v>5.8823529411764705E-2</v>
      </c>
      <c r="E17" s="6">
        <f>IFERROR(IF(A17="","",SUM('Asset Allocation'!F17)/'Broad Asset Allocation'!B17),0)</f>
        <v>4.7058823529411764E-2</v>
      </c>
      <c r="F17" s="6">
        <f>IFERROR(IF(A17="","",SUM('Asset Allocation'!E17)/'Broad Asset Allocation'!B17),0)</f>
        <v>0.11764705882352941</v>
      </c>
      <c r="G17" s="6">
        <f>IFERROR(IF(A17="","",SUM('Asset Allocation'!G17)/'Broad Asset Allocation'!B17),0)</f>
        <v>0.19999999999999998</v>
      </c>
      <c r="H17" s="6"/>
    </row>
    <row r="18" spans="1:8" x14ac:dyDescent="0.25">
      <c r="A18" t="str">
        <f>IF(Input!A19="","",Input!A19)</f>
        <v>Pactive MPS 1</v>
      </c>
      <c r="B18" s="6">
        <f>IFERROR(IF(A18="","",SUM('Asset Allocation'!C18)/'Broad Asset Allocation'!B18),0)</f>
        <v>0.31818181818181818</v>
      </c>
      <c r="C18" s="6">
        <f>IFERROR(IF(A18="","",SUM('Asset Allocation'!B18)/'Broad Asset Allocation'!B18),0)</f>
        <v>0.27272727272727276</v>
      </c>
      <c r="D18" s="6">
        <f>IFERROR(IF(A18="","",SUM('Asset Allocation'!D18)/'Broad Asset Allocation'!B18),0)</f>
        <v>0</v>
      </c>
      <c r="E18" s="6">
        <f>IFERROR(IF(A18="","",SUM('Asset Allocation'!F18)/'Broad Asset Allocation'!B18),0)</f>
        <v>0.1818181818181818</v>
      </c>
      <c r="F18" s="6">
        <f>IFERROR(IF(A18="","",SUM('Asset Allocation'!E18)/'Broad Asset Allocation'!B18),0)</f>
        <v>0</v>
      </c>
      <c r="G18" s="6">
        <f>IFERROR(IF(A18="","",SUM('Asset Allocation'!G18)/'Broad Asset Allocation'!B18),0)</f>
        <v>0.22727272727272729</v>
      </c>
      <c r="H18" s="6"/>
    </row>
    <row r="19" spans="1:8" x14ac:dyDescent="0.25">
      <c r="A19" t="str">
        <f>IF(Input!A20="","",Input!A20)</f>
        <v>Pactive MPS 2</v>
      </c>
      <c r="B19" s="6">
        <f>IFERROR(IF(A19="","",SUM('Asset Allocation'!C19)/'Broad Asset Allocation'!B19),0)</f>
        <v>0.32499999999999996</v>
      </c>
      <c r="C19" s="6">
        <f>IFERROR(IF(A19="","",SUM('Asset Allocation'!B19)/'Broad Asset Allocation'!B19),0)</f>
        <v>0.3</v>
      </c>
      <c r="D19" s="6">
        <f>IFERROR(IF(A19="","",SUM('Asset Allocation'!D19)/'Broad Asset Allocation'!B19),0)</f>
        <v>0</v>
      </c>
      <c r="E19" s="6">
        <f>IFERROR(IF(A19="","",SUM('Asset Allocation'!F19)/'Broad Asset Allocation'!B19),0)</f>
        <v>0.15</v>
      </c>
      <c r="F19" s="6">
        <f>IFERROR(IF(A19="","",SUM('Asset Allocation'!E19)/'Broad Asset Allocation'!B19),0)</f>
        <v>0</v>
      </c>
      <c r="G19" s="6">
        <f>IFERROR(IF(A19="","",SUM('Asset Allocation'!G19)/'Broad Asset Allocation'!B19),0)</f>
        <v>0.22499999999999998</v>
      </c>
      <c r="H19" s="6"/>
    </row>
    <row r="20" spans="1:8" x14ac:dyDescent="0.25">
      <c r="A20" t="str">
        <f>IF(Input!A21="","",Input!A21)</f>
        <v>Pactive MPS 3</v>
      </c>
      <c r="B20" s="6">
        <f>IFERROR(IF(A20="","",SUM('Asset Allocation'!C20)/'Broad Asset Allocation'!B20),0)</f>
        <v>0.25454545454545457</v>
      </c>
      <c r="C20" s="6">
        <f>IFERROR(IF(A20="","",SUM('Asset Allocation'!B20)/'Broad Asset Allocation'!B20),0)</f>
        <v>0.29090909090909089</v>
      </c>
      <c r="D20" s="6">
        <f>IFERROR(IF(A20="","",SUM('Asset Allocation'!D20)/'Broad Asset Allocation'!B20),0)</f>
        <v>0</v>
      </c>
      <c r="E20" s="6">
        <f>IFERROR(IF(A20="","",SUM('Asset Allocation'!F20)/'Broad Asset Allocation'!B20),0)</f>
        <v>0.1090909090909091</v>
      </c>
      <c r="F20" s="6">
        <f>IFERROR(IF(A20="","",SUM('Asset Allocation'!E20)/'Broad Asset Allocation'!B20),0)</f>
        <v>8.2277318640955013E-2</v>
      </c>
      <c r="G20" s="6">
        <f>IFERROR(IF(A20="","",SUM('Asset Allocation'!G20)/'Broad Asset Allocation'!B20),0)</f>
        <v>0.26317722681359046</v>
      </c>
      <c r="H20" s="6"/>
    </row>
    <row r="21" spans="1:8" x14ac:dyDescent="0.25">
      <c r="A21" t="str">
        <f>IF(Input!A22="","",Input!A22)</f>
        <v>Pactive MPS 4</v>
      </c>
      <c r="B21" s="6">
        <f>IFERROR(IF(A21="","",SUM('Asset Allocation'!C21)/'Broad Asset Allocation'!B21),0)</f>
        <v>0.2857142857142857</v>
      </c>
      <c r="C21" s="6">
        <f>IFERROR(IF(A21="","",SUM('Asset Allocation'!B21)/'Broad Asset Allocation'!B21),0)</f>
        <v>0.2857142857142857</v>
      </c>
      <c r="D21" s="6">
        <f>IFERROR(IF(A21="","",SUM('Asset Allocation'!D21)/'Broad Asset Allocation'!B21),0)</f>
        <v>4.2857142857142858E-2</v>
      </c>
      <c r="E21" s="6">
        <f>IFERROR(IF(A21="","",SUM('Asset Allocation'!F21)/'Broad Asset Allocation'!B21),0)</f>
        <v>7.1428571428571425E-2</v>
      </c>
      <c r="F21" s="6">
        <f>IFERROR(IF(A21="","",SUM('Asset Allocation'!E21)/'Broad Asset Allocation'!B21),0)</f>
        <v>0.11515151515151516</v>
      </c>
      <c r="G21" s="6">
        <f>IFERROR(IF(A21="","",SUM('Asset Allocation'!G21)/'Broad Asset Allocation'!B21),0)</f>
        <v>0.19913419913419914</v>
      </c>
      <c r="H21" s="6"/>
    </row>
    <row r="22" spans="1:8" x14ac:dyDescent="0.25">
      <c r="A22" t="str">
        <f>IF(Input!A23="","",Input!A23)</f>
        <v>Pactive MPS 5</v>
      </c>
      <c r="B22" s="6">
        <f>IFERROR(IF(A22="","",SUM('Asset Allocation'!C22)/'Broad Asset Allocation'!B22),0)</f>
        <v>0.28235294117647064</v>
      </c>
      <c r="C22" s="6">
        <f>IFERROR(IF(A22="","",SUM('Asset Allocation'!B22)/'Broad Asset Allocation'!B22),0)</f>
        <v>0.29411764705882354</v>
      </c>
      <c r="D22" s="6">
        <f>IFERROR(IF(A22="","",SUM('Asset Allocation'!D22)/'Broad Asset Allocation'!B22),0)</f>
        <v>5.8823529411764712E-2</v>
      </c>
      <c r="E22" s="6">
        <f>IFERROR(IF(A22="","",SUM('Asset Allocation'!F22)/'Broad Asset Allocation'!B22),0)</f>
        <v>4.7058823529411764E-2</v>
      </c>
      <c r="F22" s="6">
        <f>IFERROR(IF(A22="","",SUM('Asset Allocation'!E22)/'Broad Asset Allocation'!B22),0)</f>
        <v>0.13630421865715986</v>
      </c>
      <c r="G22" s="6">
        <f>IFERROR(IF(A22="","",SUM('Asset Allocation'!G22)/'Broad Asset Allocation'!B22),0)</f>
        <v>0.18134284016636959</v>
      </c>
      <c r="H22" s="6"/>
    </row>
    <row r="23" spans="1:8" x14ac:dyDescent="0.25">
      <c r="A23" t="str">
        <f>IF(Input!A24="","",Input!A24)</f>
        <v>Pactive MPS 6</v>
      </c>
      <c r="B23" s="6">
        <f>IFERROR(IF(A23="","",SUM('Asset Allocation'!C23)/'Broad Asset Allocation'!B23),0)</f>
        <v>0.14772727272727271</v>
      </c>
      <c r="C23" s="6">
        <f>IFERROR(IF(A23="","",SUM('Asset Allocation'!B23)/'Broad Asset Allocation'!B23),0)</f>
        <v>0.26136363636363635</v>
      </c>
      <c r="D23" s="6">
        <f>IFERROR(IF(A23="","",SUM('Asset Allocation'!D23)/'Broad Asset Allocation'!B23),0)</f>
        <v>5.6818181818181823E-2</v>
      </c>
      <c r="E23" s="6">
        <f>IFERROR(IF(A23="","",SUM('Asset Allocation'!F23)/'Broad Asset Allocation'!B23),0)</f>
        <v>3.4090909090909095E-2</v>
      </c>
      <c r="F23" s="6">
        <f>IFERROR(IF(A23="","",SUM('Asset Allocation'!E23)/'Broad Asset Allocation'!B23),0)</f>
        <v>0.24012855831037652</v>
      </c>
      <c r="G23" s="6">
        <f>IFERROR(IF(A23="","",SUM('Asset Allocation'!G23)/'Broad Asset Allocation'!B23),0)</f>
        <v>0.25987144168962356</v>
      </c>
      <c r="H23" s="6"/>
    </row>
    <row r="24" spans="1:8" x14ac:dyDescent="0.25">
      <c r="A24" t="str">
        <f>IF(Input!A25="","",Input!A25)</f>
        <v>Responsible MPS 1</v>
      </c>
      <c r="B24" s="6">
        <f>IFERROR(IF(A24="","",SUM('Asset Allocation'!C24)/'Broad Asset Allocation'!B24),0)</f>
        <v>0.28235294117647053</v>
      </c>
      <c r="C24" s="6">
        <f>IFERROR(IF(A24="","",SUM('Asset Allocation'!B24)/'Broad Asset Allocation'!B24),0)</f>
        <v>0.29411764705882348</v>
      </c>
      <c r="D24" s="6">
        <f>IFERROR(IF(A24="","",SUM('Asset Allocation'!D24)/'Broad Asset Allocation'!B24),0)</f>
        <v>5.8823529411764705E-2</v>
      </c>
      <c r="E24" s="6">
        <f>IFERROR(IF(A24="","",SUM('Asset Allocation'!F24)/'Broad Asset Allocation'!B24),0)</f>
        <v>4.7058823529411764E-2</v>
      </c>
      <c r="F24" s="6">
        <f>IFERROR(IF(A24="","",SUM('Asset Allocation'!E24)/'Broad Asset Allocation'!B24),0)</f>
        <v>3.5294117647058816E-2</v>
      </c>
      <c r="G24" s="6">
        <f>IFERROR(IF(A24="","",SUM('Asset Allocation'!G24)/'Broad Asset Allocation'!B24),0)</f>
        <v>0.28235294117647053</v>
      </c>
      <c r="H24" s="6"/>
    </row>
    <row r="25" spans="1:8" x14ac:dyDescent="0.25">
      <c r="A25" t="str">
        <f>IF(Input!A26="","",Input!A26)</f>
        <v>Responsible MPS 2</v>
      </c>
      <c r="B25" s="6">
        <f>IFERROR(IF(A25="","",SUM('Asset Allocation'!C25)/'Broad Asset Allocation'!B25),0)</f>
        <v>0.30573248407643316</v>
      </c>
      <c r="C25" s="6">
        <f>IFERROR(IF(A25="","",SUM('Asset Allocation'!B25)/'Broad Asset Allocation'!B25),0)</f>
        <v>0.2866242038216561</v>
      </c>
      <c r="D25" s="6">
        <f>IFERROR(IF(A25="","",SUM('Asset Allocation'!D25)/'Broad Asset Allocation'!B25),0)</f>
        <v>3.184713375796179E-2</v>
      </c>
      <c r="E25" s="6">
        <f>IFERROR(IF(A25="","",SUM('Asset Allocation'!F25)/'Broad Asset Allocation'!B25),0)</f>
        <v>0.10191082802547773</v>
      </c>
      <c r="F25" s="6">
        <f>IFERROR(IF(A25="","",SUM('Asset Allocation'!E25)/'Broad Asset Allocation'!B25),0)</f>
        <v>1.9108280254777073E-2</v>
      </c>
      <c r="G25" s="6">
        <f>IFERROR(IF(A25="","",SUM('Asset Allocation'!G25)/'Broad Asset Allocation'!B25),0)</f>
        <v>0.25477707006369432</v>
      </c>
      <c r="H25" s="6"/>
    </row>
    <row r="26" spans="1:8" x14ac:dyDescent="0.25">
      <c r="A26" t="str">
        <f>IF(Input!A27="","",Input!A27)</f>
        <v>Responsible MPS 3</v>
      </c>
      <c r="B26" s="6">
        <f>IFERROR(IF(A26="","",SUM('Asset Allocation'!C26)/'Broad Asset Allocation'!B26),0)</f>
        <v>0.25339366515837108</v>
      </c>
      <c r="C26" s="6">
        <f>IFERROR(IF(A26="","",SUM('Asset Allocation'!B26)/'Broad Asset Allocation'!B26),0)</f>
        <v>0.29411764705882354</v>
      </c>
      <c r="D26" s="6">
        <f>IFERROR(IF(A26="","",SUM('Asset Allocation'!D26)/'Broad Asset Allocation'!B26),0)</f>
        <v>2.2624434389140274E-2</v>
      </c>
      <c r="E26" s="6">
        <f>IFERROR(IF(A26="","",SUM('Asset Allocation'!F26)/'Broad Asset Allocation'!B26),0)</f>
        <v>0.10859728506787331</v>
      </c>
      <c r="F26" s="6">
        <f>IFERROR(IF(A26="","",SUM('Asset Allocation'!E26)/'Broad Asset Allocation'!B26),0)</f>
        <v>4.9773755656108601E-2</v>
      </c>
      <c r="G26" s="6">
        <f>IFERROR(IF(A26="","",SUM('Asset Allocation'!G26)/'Broad Asset Allocation'!B26),0)</f>
        <v>0.27149321266968324</v>
      </c>
      <c r="H26" s="6"/>
    </row>
    <row r="27" spans="1:8" x14ac:dyDescent="0.25">
      <c r="A27" t="str">
        <f>IF(Input!A28="","",Input!A28)</f>
        <v>Responsible MPS 4</v>
      </c>
      <c r="B27" s="6">
        <f>IFERROR(IF(A27="","",SUM('Asset Allocation'!C27)/'Broad Asset Allocation'!B27),0)</f>
        <v>0.28469750889679712</v>
      </c>
      <c r="C27" s="6">
        <f>IFERROR(IF(A27="","",SUM('Asset Allocation'!B27)/'Broad Asset Allocation'!B27),0)</f>
        <v>0.28825622775800708</v>
      </c>
      <c r="D27" s="6">
        <f>IFERROR(IF(A27="","",SUM('Asset Allocation'!D27)/'Broad Asset Allocation'!B27),0)</f>
        <v>6.0498220640569388E-2</v>
      </c>
      <c r="E27" s="6">
        <f>IFERROR(IF(A27="","",SUM('Asset Allocation'!F27)/'Broad Asset Allocation'!B27),0)</f>
        <v>7.1174377224199281E-2</v>
      </c>
      <c r="F27" s="6">
        <f>IFERROR(IF(A27="","",SUM('Asset Allocation'!E27)/'Broad Asset Allocation'!B27),0)</f>
        <v>3.91459074733096E-2</v>
      </c>
      <c r="G27" s="6">
        <f>IFERROR(IF(A27="","",SUM('Asset Allocation'!G27)/'Broad Asset Allocation'!B27),0)</f>
        <v>0.25622775800711739</v>
      </c>
      <c r="H27" s="6"/>
    </row>
    <row r="28" spans="1:8" x14ac:dyDescent="0.25">
      <c r="A28" t="str">
        <f>IF(Input!A29="","",Input!A29)</f>
        <v>Responsible MPS 5</v>
      </c>
      <c r="B28" s="6">
        <f>IFERROR(IF(A28="","",SUM('Asset Allocation'!C28)/'Broad Asset Allocation'!B28),0)</f>
        <v>0.28486646884272993</v>
      </c>
      <c r="C28" s="6">
        <f>IFERROR(IF(A28="","",SUM('Asset Allocation'!B28)/'Broad Asset Allocation'!B28),0)</f>
        <v>0.29970326409495546</v>
      </c>
      <c r="D28" s="6">
        <f>IFERROR(IF(A28="","",SUM('Asset Allocation'!D28)/'Broad Asset Allocation'!B28),0)</f>
        <v>6.2314540059347175E-2</v>
      </c>
      <c r="E28" s="6">
        <f>IFERROR(IF(A28="","",SUM('Asset Allocation'!F28)/'Broad Asset Allocation'!B28),0)</f>
        <v>4.7477744807121663E-2</v>
      </c>
      <c r="F28" s="6">
        <f>IFERROR(IF(A28="","",SUM('Asset Allocation'!E28)/'Broad Asset Allocation'!B28),0)</f>
        <v>3.2640949554896138E-2</v>
      </c>
      <c r="G28" s="6">
        <f>IFERROR(IF(A28="","",SUM('Asset Allocation'!G28)/'Broad Asset Allocation'!B28),0)</f>
        <v>0.27299703264094954</v>
      </c>
      <c r="H28" s="6"/>
    </row>
    <row r="29" spans="1:8" x14ac:dyDescent="0.25">
      <c r="A29" t="str">
        <f>IF(Input!A30="","",Input!A30)</f>
        <v>Responsible MPS 6</v>
      </c>
      <c r="B29" s="6">
        <f>IFERROR(IF(A29="","",SUM('Asset Allocation'!C29)/'Broad Asset Allocation'!B29),0)</f>
        <v>0.14730878186968838</v>
      </c>
      <c r="C29" s="6">
        <f>IFERROR(IF(A29="","",SUM('Asset Allocation'!B29)/'Broad Asset Allocation'!B29),0)</f>
        <v>0.26345609065155806</v>
      </c>
      <c r="D29" s="6">
        <f>IFERROR(IF(A29="","",SUM('Asset Allocation'!D29)/'Broad Asset Allocation'!B29),0)</f>
        <v>5.9490084985835689E-2</v>
      </c>
      <c r="E29" s="6">
        <f>IFERROR(IF(A29="","",SUM('Asset Allocation'!F29)/'Broad Asset Allocation'!B29),0)</f>
        <v>4.5325779036827191E-2</v>
      </c>
      <c r="F29" s="6">
        <f>IFERROR(IF(A29="","",SUM('Asset Allocation'!E29)/'Broad Asset Allocation'!B29),0)</f>
        <v>9.9150141643059478E-2</v>
      </c>
      <c r="G29" s="6">
        <f>IFERROR(IF(A29="","",SUM('Asset Allocation'!G29)/'Broad Asset Allocation'!B29),0)</f>
        <v>0.38526912181303113</v>
      </c>
      <c r="H29" s="6"/>
    </row>
    <row r="30" spans="1:8" x14ac:dyDescent="0.25">
      <c r="A30" t="str">
        <f>IF(Input!A31="","",Input!A31)</f>
        <v>Money Market MPS</v>
      </c>
      <c r="B30" s="6">
        <f>IFERROR(IF(A30="","",SUM('Asset Allocation'!C30)/'Broad Asset Allocation'!B30),0)</f>
        <v>0</v>
      </c>
      <c r="C30" s="6">
        <f>IFERROR(IF(A30="","",SUM('Asset Allocation'!B30)/'Broad Asset Allocation'!B30),0)</f>
        <v>0</v>
      </c>
      <c r="D30" s="6">
        <f>IFERROR(IF(A30="","",SUM('Asset Allocation'!D30)/'Broad Asset Allocation'!B30),0)</f>
        <v>0</v>
      </c>
      <c r="E30" s="6">
        <f>IFERROR(IF(A30="","",SUM('Asset Allocation'!F30)/'Broad Asset Allocation'!B30),0)</f>
        <v>0</v>
      </c>
      <c r="F30" s="6">
        <f>IFERROR(IF(A30="","",SUM('Asset Allocation'!E30)/'Broad Asset Allocation'!B30),0)</f>
        <v>0</v>
      </c>
      <c r="G30" s="6">
        <f>IFERROR(IF(A30="","",SUM('Asset Allocation'!G30)/'Broad Asset Allocation'!B30),0)</f>
        <v>0</v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Allocation'!C31)/'Broad Asset Allocation'!B31),0)</f>
        <v/>
      </c>
      <c r="C31" s="6" t="str">
        <f>IFERROR(IF(A31="","",SUM('Asset Allocation'!B31)/'Broad Asset Allocation'!B31),0)</f>
        <v/>
      </c>
      <c r="D31" s="6" t="str">
        <f>IFERROR(IF(A31="","",SUM('Asset Allocation'!D31)/'Broad Asset Allocation'!B31),0)</f>
        <v/>
      </c>
      <c r="E31" s="6" t="str">
        <f>IFERROR(IF(A31="","",SUM('Asset Allocation'!F31)/'Broad Asset Allocation'!B31),0)</f>
        <v/>
      </c>
      <c r="F31" s="6" t="str">
        <f>IFERROR(IF(A31="","",SUM('Asset Allocation'!E31)/'Broad Asset Allocation'!B31),0)</f>
        <v/>
      </c>
      <c r="G31" s="6" t="str">
        <f>IFERROR(IF(A31="","",SUM('Asset Allocation'!G31)/'Broad Asset Allocation'!B31),0)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Allocation'!C32)/'Broad Asset Allocation'!B32),0)</f>
        <v/>
      </c>
      <c r="C32" s="6" t="str">
        <f>IFERROR(IF(A32="","",SUM('Asset Allocation'!B32)/'Broad Asset Allocation'!B32),0)</f>
        <v/>
      </c>
      <c r="D32" s="6" t="str">
        <f>IFERROR(IF(A32="","",SUM('Asset Allocation'!D32)/'Broad Asset Allocation'!B32),0)</f>
        <v/>
      </c>
      <c r="E32" s="6" t="str">
        <f>IFERROR(IF(A32="","",SUM('Asset Allocation'!F32)/'Broad Asset Allocation'!B32),0)</f>
        <v/>
      </c>
      <c r="F32" s="6" t="str">
        <f>IFERROR(IF(A32="","",SUM('Asset Allocation'!E32)/'Broad Asset Allocation'!B32),0)</f>
        <v/>
      </c>
      <c r="G32" s="6" t="str">
        <f>IFERROR(IF(A32="","",SUM('Asset Allocation'!G32)/'Broad Asset Allocation'!B32),0)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Allocation'!C33)/'Broad Asset Allocation'!B33),0)</f>
        <v/>
      </c>
      <c r="C33" s="6" t="str">
        <f>IFERROR(IF(A33="","",SUM('Asset Allocation'!B33)/'Broad Asset Allocation'!B33),0)</f>
        <v/>
      </c>
      <c r="D33" s="6" t="str">
        <f>IFERROR(IF(A33="","",SUM('Asset Allocation'!D33)/'Broad Asset Allocation'!B33),0)</f>
        <v/>
      </c>
      <c r="E33" s="6" t="str">
        <f>IFERROR(IF(A33="","",SUM('Asset Allocation'!F33)/'Broad Asset Allocation'!B33),0)</f>
        <v/>
      </c>
      <c r="F33" s="6" t="str">
        <f>IFERROR(IF(A33="","",SUM('Asset Allocation'!E33)/'Broad Asset Allocation'!B33),0)</f>
        <v/>
      </c>
      <c r="G33" s="6" t="str">
        <f>IFERROR(IF(A33="","",SUM('Asset Allocation'!G33)/'Broad Asset Allocation'!B33),0)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Allocation'!C34)/'Broad Asset Allocation'!B34),0)</f>
        <v/>
      </c>
      <c r="C34" s="6" t="str">
        <f>IFERROR(IF(A34="","",SUM('Asset Allocation'!B34)/'Broad Asset Allocation'!B34),0)</f>
        <v/>
      </c>
      <c r="D34" s="6" t="str">
        <f>IFERROR(IF(A34="","",SUM('Asset Allocation'!D34)/'Broad Asset Allocation'!B34),0)</f>
        <v/>
      </c>
      <c r="E34" s="6" t="str">
        <f>IFERROR(IF(A34="","",SUM('Asset Allocation'!F34)/'Broad Asset Allocation'!B34),0)</f>
        <v/>
      </c>
      <c r="F34" s="6" t="str">
        <f>IFERROR(IF(A34="","",SUM('Asset Allocation'!E34)/'Broad Asset Allocation'!B34),0)</f>
        <v/>
      </c>
      <c r="G34" s="6" t="str">
        <f>IFERROR(IF(A34="","",SUM('Asset Allocation'!G34)/'Broad Asset Allocation'!B34),0)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Allocation'!C35)/'Broad Asset Allocation'!B35),0)</f>
        <v/>
      </c>
      <c r="C35" s="6" t="str">
        <f>IFERROR(IF(A35="","",SUM('Asset Allocation'!B35)/'Broad Asset Allocation'!B35),0)</f>
        <v/>
      </c>
      <c r="D35" s="6" t="str">
        <f>IFERROR(IF(A35="","",SUM('Asset Allocation'!D35)/'Broad Asset Allocation'!B35),0)</f>
        <v/>
      </c>
      <c r="E35" s="6" t="str">
        <f>IFERROR(IF(A35="","",SUM('Asset Allocation'!F35)/'Broad Asset Allocation'!B35),0)</f>
        <v/>
      </c>
      <c r="F35" s="6" t="str">
        <f>IFERROR(IF(A35="","",SUM('Asset Allocation'!E35)/'Broad Asset Allocation'!B35),0)</f>
        <v/>
      </c>
      <c r="G35" s="6" t="str">
        <f>IFERROR(IF(A35="","",SUM('Asset Allocation'!G35)/'Broad Asset Allocation'!B35),0)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Allocation'!C36)/'Broad Asset Allocation'!B36),0)</f>
        <v/>
      </c>
      <c r="C36" s="6" t="str">
        <f>IFERROR(IF(A36="","",SUM('Asset Allocation'!B36)/'Broad Asset Allocation'!B36),0)</f>
        <v/>
      </c>
      <c r="D36" s="6" t="str">
        <f>IFERROR(IF(A36="","",SUM('Asset Allocation'!D36)/'Broad Asset Allocation'!B36),0)</f>
        <v/>
      </c>
      <c r="E36" s="6" t="str">
        <f>IFERROR(IF(A36="","",SUM('Asset Allocation'!F36)/'Broad Asset Allocation'!B36),0)</f>
        <v/>
      </c>
      <c r="F36" s="6" t="str">
        <f>IFERROR(IF(A36="","",SUM('Asset Allocation'!E36)/'Broad Asset Allocation'!B36),0)</f>
        <v/>
      </c>
      <c r="G36" s="6" t="str">
        <f>IFERROR(IF(A36="","",SUM('Asset Allocation'!G36)/'Broad Asset Allocation'!B36),0)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Allocation'!C37)/'Broad Asset Allocation'!B37),0)</f>
        <v/>
      </c>
      <c r="C37" s="6" t="str">
        <f>IFERROR(IF(A37="","",SUM('Asset Allocation'!B37)/'Broad Asset Allocation'!B37),0)</f>
        <v/>
      </c>
      <c r="D37" s="6" t="str">
        <f>IFERROR(IF(A37="","",SUM('Asset Allocation'!D37)/'Broad Asset Allocation'!B37),0)</f>
        <v/>
      </c>
      <c r="E37" s="6" t="str">
        <f>IFERROR(IF(A37="","",SUM('Asset Allocation'!F37)/'Broad Asset Allocation'!B37),0)</f>
        <v/>
      </c>
      <c r="F37" s="6" t="str">
        <f>IFERROR(IF(A37="","",SUM('Asset Allocation'!E37)/'Broad Asset Allocation'!B37),0)</f>
        <v/>
      </c>
      <c r="G37" s="6" t="str">
        <f>IFERROR(IF(A37="","",SUM('Asset Allocation'!G37)/'Broad Asset Allocation'!B37),0)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Allocation'!C38)/'Broad Asset Allocation'!B38),0)</f>
        <v/>
      </c>
      <c r="C38" s="6" t="str">
        <f>IFERROR(IF(A38="","",SUM('Asset Allocation'!B38)/'Broad Asset Allocation'!B38),0)</f>
        <v/>
      </c>
      <c r="D38" s="6" t="str">
        <f>IFERROR(IF(A38="","",SUM('Asset Allocation'!D38)/'Broad Asset Allocation'!B38),0)</f>
        <v/>
      </c>
      <c r="E38" s="6" t="str">
        <f>IFERROR(IF(A38="","",SUM('Asset Allocation'!F38)/'Broad Asset Allocation'!B38),0)</f>
        <v/>
      </c>
      <c r="F38" s="6" t="str">
        <f>IFERROR(IF(A38="","",SUM('Asset Allocation'!E38)/'Broad Asset Allocation'!B38),0)</f>
        <v/>
      </c>
      <c r="G38" s="6" t="str">
        <f>IFERROR(IF(A38="","",SUM('Asset Allocation'!G38)/'Broad Asset Allocation'!B38),0)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Allocation'!C39)/'Broad Asset Allocation'!B39),0)</f>
        <v/>
      </c>
      <c r="C39" s="6" t="str">
        <f>IFERROR(IF(A39="","",SUM('Asset Allocation'!B39)/'Broad Asset Allocation'!B39),0)</f>
        <v/>
      </c>
      <c r="D39" s="6" t="str">
        <f>IFERROR(IF(A39="","",SUM('Asset Allocation'!D39)/'Broad Asset Allocation'!B39),0)</f>
        <v/>
      </c>
      <c r="E39" s="6" t="str">
        <f>IFERROR(IF(A39="","",SUM('Asset Allocation'!F39)/'Broad Asset Allocation'!B39),0)</f>
        <v/>
      </c>
      <c r="F39" s="6" t="str">
        <f>IFERROR(IF(A39="","",SUM('Asset Allocation'!E39)/'Broad Asset Allocation'!B39),0)</f>
        <v/>
      </c>
      <c r="G39" s="6" t="str">
        <f>IFERROR(IF(A39="","",SUM('Asset Allocation'!G39)/'Broad Asset Allocation'!B39),0)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Allocation'!C40)/'Broad Asset Allocation'!B40),0)</f>
        <v/>
      </c>
      <c r="C40" s="6" t="str">
        <f>IFERROR(IF(A40="","",SUM('Asset Allocation'!B40)/'Broad Asset Allocation'!B40),0)</f>
        <v/>
      </c>
      <c r="D40" s="6" t="str">
        <f>IFERROR(IF(A40="","",SUM('Asset Allocation'!D40)/'Broad Asset Allocation'!B40),0)</f>
        <v/>
      </c>
      <c r="E40" s="6" t="str">
        <f>IFERROR(IF(A40="","",SUM('Asset Allocation'!F40)/'Broad Asset Allocation'!B40),0)</f>
        <v/>
      </c>
      <c r="F40" s="6" t="str">
        <f>IFERROR(IF(A40="","",SUM('Asset Allocation'!E40)/'Broad Asset Allocation'!B40),0)</f>
        <v/>
      </c>
      <c r="G40" s="6" t="str">
        <f>IFERROR(IF(A40="","",SUM('Asset Allocation'!G40)/'Broad Asset Allocation'!B40),0)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Allocation'!C41)/'Broad Asset Allocation'!B41),0)</f>
        <v/>
      </c>
      <c r="C41" s="6" t="str">
        <f>IFERROR(IF(A41="","",SUM('Asset Allocation'!B41)/'Broad Asset Allocation'!B41),0)</f>
        <v/>
      </c>
      <c r="D41" s="6" t="str">
        <f>IFERROR(IF(A41="","",SUM('Asset Allocation'!D41)/'Broad Asset Allocation'!B41),0)</f>
        <v/>
      </c>
      <c r="E41" s="6" t="str">
        <f>IFERROR(IF(A41="","",SUM('Asset Allocation'!F41)/'Broad Asset Allocation'!B41),0)</f>
        <v/>
      </c>
      <c r="F41" s="6" t="str">
        <f>IFERROR(IF(A41="","",SUM('Asset Allocation'!E41)/'Broad Asset Allocation'!B41),0)</f>
        <v/>
      </c>
      <c r="G41" s="6" t="str">
        <f>IFERROR(IF(A41="","",SUM('Asset Allocation'!G41)/'Broad Asset Allocation'!B41),0)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Allocation'!C42)/'Broad Asset Allocation'!B42),0)</f>
        <v/>
      </c>
      <c r="C42" s="6" t="str">
        <f>IFERROR(IF(A42="","",SUM('Asset Allocation'!B42)/'Broad Asset Allocation'!B42),0)</f>
        <v/>
      </c>
      <c r="D42" s="6" t="str">
        <f>IFERROR(IF(A42="","",SUM('Asset Allocation'!D42)/'Broad Asset Allocation'!B42),0)</f>
        <v/>
      </c>
      <c r="E42" s="6" t="str">
        <f>IFERROR(IF(A42="","",SUM('Asset Allocation'!F42)/'Broad Asset Allocation'!B42),0)</f>
        <v/>
      </c>
      <c r="F42" s="6" t="str">
        <f>IFERROR(IF(A42="","",SUM('Asset Allocation'!E42)/'Broad Asset Allocation'!B42),0)</f>
        <v/>
      </c>
      <c r="G42" s="6" t="str">
        <f>IFERROR(IF(A42="","",SUM('Asset Allocation'!G42)/'Broad Asset Allocation'!B42),0)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Allocation'!C43)/'Broad Asset Allocation'!B43),0)</f>
        <v/>
      </c>
      <c r="C43" s="6" t="str">
        <f>IFERROR(IF(A43="","",SUM('Asset Allocation'!B43)/'Broad Asset Allocation'!B43),0)</f>
        <v/>
      </c>
      <c r="D43" s="6" t="str">
        <f>IFERROR(IF(A43="","",SUM('Asset Allocation'!D43)/'Broad Asset Allocation'!B43),0)</f>
        <v/>
      </c>
      <c r="E43" s="6" t="str">
        <f>IFERROR(IF(A43="","",SUM('Asset Allocation'!F43)/'Broad Asset Allocation'!B43),0)</f>
        <v/>
      </c>
      <c r="F43" s="6" t="str">
        <f>IFERROR(IF(A43="","",SUM('Asset Allocation'!E43)/'Broad Asset Allocation'!B43),0)</f>
        <v/>
      </c>
      <c r="G43" s="6" t="str">
        <f>IFERROR(IF(A43="","",SUM('Asset Allocation'!G43)/'Broad Asset Allocation'!B43),0)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Allocation'!C44)/'Broad Asset Allocation'!B44),0)</f>
        <v/>
      </c>
      <c r="C44" s="6" t="str">
        <f>IFERROR(IF(A44="","",SUM('Asset Allocation'!B44)/'Broad Asset Allocation'!B44),0)</f>
        <v/>
      </c>
      <c r="D44" s="6" t="str">
        <f>IFERROR(IF(A44="","",SUM('Asset Allocation'!D44)/'Broad Asset Allocation'!B44),0)</f>
        <v/>
      </c>
      <c r="E44" s="6" t="str">
        <f>IFERROR(IF(A44="","",SUM('Asset Allocation'!F44)/'Broad Asset Allocation'!B44),0)</f>
        <v/>
      </c>
      <c r="F44" s="6" t="str">
        <f>IFERROR(IF(A44="","",SUM('Asset Allocation'!E44)/'Broad Asset Allocation'!B44),0)</f>
        <v/>
      </c>
      <c r="G44" s="6" t="str">
        <f>IFERROR(IF(A44="","",SUM('Asset Allocation'!G44)/'Broad Asset Allocation'!B44),0)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Allocation'!C45)/'Broad Asset Allocation'!B45),0)</f>
        <v/>
      </c>
      <c r="C45" s="6" t="str">
        <f>IFERROR(IF(A45="","",SUM('Asset Allocation'!B45)/'Broad Asset Allocation'!B45),0)</f>
        <v/>
      </c>
      <c r="D45" s="6" t="str">
        <f>IFERROR(IF(A45="","",SUM('Asset Allocation'!D45)/'Broad Asset Allocation'!B45),0)</f>
        <v/>
      </c>
      <c r="E45" s="6" t="str">
        <f>IFERROR(IF(A45="","",SUM('Asset Allocation'!F45)/'Broad Asset Allocation'!B45),0)</f>
        <v/>
      </c>
      <c r="F45" s="6" t="str">
        <f>IFERROR(IF(A45="","",SUM('Asset Allocation'!E45)/'Broad Asset Allocation'!B45),0)</f>
        <v/>
      </c>
      <c r="G45" s="6" t="str">
        <f>IFERROR(IF(A45="","",SUM('Asset Allocation'!G45)/'Broad Asset Allocation'!B45),0)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Allocation'!C46)/'Broad Asset Allocation'!B46),0)</f>
        <v/>
      </c>
      <c r="C46" s="6" t="str">
        <f>IFERROR(IF(A46="","",SUM('Asset Allocation'!B46)/'Broad Asset Allocation'!B46),0)</f>
        <v/>
      </c>
      <c r="D46" s="6" t="str">
        <f>IFERROR(IF(A46="","",SUM('Asset Allocation'!D46)/'Broad Asset Allocation'!B46),0)</f>
        <v/>
      </c>
      <c r="E46" s="6" t="str">
        <f>IFERROR(IF(A46="","",SUM('Asset Allocation'!F46)/'Broad Asset Allocation'!B46),0)</f>
        <v/>
      </c>
      <c r="F46" s="6" t="str">
        <f>IFERROR(IF(A46="","",SUM('Asset Allocation'!E46)/'Broad Asset Allocation'!B46),0)</f>
        <v/>
      </c>
      <c r="G46" s="6" t="str">
        <f>IFERROR(IF(A46="","",SUM('Asset Allocation'!G46)/'Broad Asset Allocation'!B46),0)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Allocation'!C47)/'Broad Asset Allocation'!B47),0)</f>
        <v/>
      </c>
      <c r="C47" s="6" t="str">
        <f>IFERROR(IF(A47="","",SUM('Asset Allocation'!B47)/'Broad Asset Allocation'!B47),0)</f>
        <v/>
      </c>
      <c r="D47" s="6" t="str">
        <f>IFERROR(IF(A47="","",SUM('Asset Allocation'!D47)/'Broad Asset Allocation'!B47),0)</f>
        <v/>
      </c>
      <c r="E47" s="6" t="str">
        <f>IFERROR(IF(A47="","",SUM('Asset Allocation'!F47)/'Broad Asset Allocation'!B47),0)</f>
        <v/>
      </c>
      <c r="F47" s="6" t="str">
        <f>IFERROR(IF(A47="","",SUM('Asset Allocation'!E47)/'Broad Asset Allocation'!B47),0)</f>
        <v/>
      </c>
      <c r="G47" s="6" t="str">
        <f>IFERROR(IF(A47="","",SUM('Asset Allocation'!G47)/'Broad Asset Allocation'!B47),0)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Allocation'!C48)/'Broad Asset Allocation'!B48),0)</f>
        <v/>
      </c>
      <c r="C48" s="6" t="str">
        <f>IFERROR(IF(A48="","",SUM('Asset Allocation'!B48)/'Broad Asset Allocation'!B48),0)</f>
        <v/>
      </c>
      <c r="D48" s="6" t="str">
        <f>IFERROR(IF(A48="","",SUM('Asset Allocation'!D48)/'Broad Asset Allocation'!B48),0)</f>
        <v/>
      </c>
      <c r="E48" s="6" t="str">
        <f>IFERROR(IF(A48="","",SUM('Asset Allocation'!F48)/'Broad Asset Allocation'!B48),0)</f>
        <v/>
      </c>
      <c r="F48" s="6" t="str">
        <f>IFERROR(IF(A48="","",SUM('Asset Allocation'!E48)/'Broad Asset Allocation'!B48),0)</f>
        <v/>
      </c>
      <c r="G48" s="6" t="str">
        <f>IFERROR(IF(A48="","",SUM('Asset Allocation'!G48)/'Broad Asset Allocation'!B48),0)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Allocation'!C49)/'Broad Asset Allocation'!B49),0)</f>
        <v/>
      </c>
      <c r="C49" s="6" t="str">
        <f>IFERROR(IF(A49="","",SUM('Asset Allocation'!B49)/'Broad Asset Allocation'!B49),0)</f>
        <v/>
      </c>
      <c r="D49" s="6" t="str">
        <f>IFERROR(IF(A49="","",SUM('Asset Allocation'!D49)/'Broad Asset Allocation'!B49),0)</f>
        <v/>
      </c>
      <c r="E49" s="6" t="str">
        <f>IFERROR(IF(A49="","",SUM('Asset Allocation'!F49)/'Broad Asset Allocation'!B49),0)</f>
        <v/>
      </c>
      <c r="F49" s="6" t="str">
        <f>IFERROR(IF(A49="","",SUM('Asset Allocation'!E49)/'Broad Asset Allocation'!B49),0)</f>
        <v/>
      </c>
      <c r="G49" s="6" t="str">
        <f>IFERROR(IF(A49="","",SUM('Asset Allocation'!G49)/'Broad Asset Allocation'!B49),0)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Allocation'!C50)/'Broad Asset Allocation'!B50),0)</f>
        <v/>
      </c>
      <c r="C50" s="6" t="str">
        <f>IFERROR(IF(A50="","",SUM('Asset Allocation'!B50)/'Broad Asset Allocation'!B50),0)</f>
        <v/>
      </c>
      <c r="D50" s="6" t="str">
        <f>IFERROR(IF(A50="","",SUM('Asset Allocation'!D50)/'Broad Asset Allocation'!B50),0)</f>
        <v/>
      </c>
      <c r="E50" s="6" t="str">
        <f>IFERROR(IF(A50="","",SUM('Asset Allocation'!F50)/'Broad Asset Allocation'!B50),0)</f>
        <v/>
      </c>
      <c r="F50" s="6" t="str">
        <f>IFERROR(IF(A50="","",SUM('Asset Allocation'!E50)/'Broad Asset Allocation'!B50),0)</f>
        <v/>
      </c>
      <c r="G50" s="6" t="str">
        <f>IFERROR(IF(A50="","",SUM('Asset Allocation'!G50)/'Broad Asset Allocation'!B50),0)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37</v>
      </c>
      <c r="F1" t="s">
        <v>32</v>
      </c>
      <c r="G1" t="s">
        <v>16</v>
      </c>
      <c r="H1" t="s">
        <v>33</v>
      </c>
    </row>
    <row r="2" spans="1:8" x14ac:dyDescent="0.25">
      <c r="A2" t="str">
        <f>IF(Input!A3="","",Input!A3)</f>
        <v>Passive MPS 1</v>
      </c>
      <c r="H2">
        <f>IFERROR(IF(A2="","",SUM('Asset Allocation'!H2,'Asset Allocation'!I2,'Asset Allocation'!J2)/'Broad Asset Allocation'!C2),0)</f>
        <v>1</v>
      </c>
    </row>
    <row r="3" spans="1:8" x14ac:dyDescent="0.25">
      <c r="A3" t="str">
        <f>IF(Input!A4="","",Input!A4)</f>
        <v>Passive MPS 2</v>
      </c>
      <c r="H3">
        <f>IFERROR(IF(A3="","",SUM('Asset Allocation'!H3,'Asset Allocation'!I3,'Asset Allocation'!J3)/'Broad Asset Allocation'!C3),0)</f>
        <v>1</v>
      </c>
    </row>
    <row r="4" spans="1:8" x14ac:dyDescent="0.25">
      <c r="A4" t="str">
        <f>IF(Input!A5="","",Input!A5)</f>
        <v>Passive MPS 3</v>
      </c>
      <c r="H4">
        <f>IFERROR(IF(A4="","",SUM('Asset Allocation'!H4,'Asset Allocation'!I4,'Asset Allocation'!J4)/'Broad Asset Allocation'!C4),0)</f>
        <v>1</v>
      </c>
    </row>
    <row r="5" spans="1:8" x14ac:dyDescent="0.25">
      <c r="A5" t="str">
        <f>IF(Input!A6="","",Input!A6)</f>
        <v>Passive MPS 4</v>
      </c>
      <c r="H5">
        <f>IFERROR(IF(A5="","",SUM('Asset Allocation'!H5,'Asset Allocation'!I5,'Asset Allocation'!J5)/'Broad Asset Allocation'!C5),0)</f>
        <v>1</v>
      </c>
    </row>
    <row r="6" spans="1:8" x14ac:dyDescent="0.25">
      <c r="A6" t="str">
        <f>IF(Input!A7="","",Input!A7)</f>
        <v>Passive MPS 5</v>
      </c>
      <c r="H6">
        <f>IFERROR(IF(A6="","",SUM('Asset Allocation'!H6,'Asset Allocation'!I6,'Asset Allocation'!J6)/'Broad Asset Allocation'!C6),0)</f>
        <v>1</v>
      </c>
    </row>
    <row r="7" spans="1:8" x14ac:dyDescent="0.25">
      <c r="A7" t="str">
        <f>IF(Input!A8="","",Input!A8)</f>
        <v>Passive MPS 6</v>
      </c>
      <c r="H7">
        <f>IFERROR(IF(A7="","",SUM('Asset Allocation'!H7,'Asset Allocation'!I7,'Asset Allocation'!J7)/'Broad Asset Allocation'!C7),0)</f>
        <v>1</v>
      </c>
    </row>
    <row r="8" spans="1:8" x14ac:dyDescent="0.25">
      <c r="A8" t="str">
        <f>IF(Input!A9="","",Input!A9)</f>
        <v>Passive Income MPS 1</v>
      </c>
      <c r="H8">
        <f>IFERROR(IF(A8="","",SUM('Asset Allocation'!H8,'Asset Allocation'!I8,'Asset Allocation'!J8)/'Broad Asset Allocation'!C8),0)</f>
        <v>1</v>
      </c>
    </row>
    <row r="9" spans="1:8" x14ac:dyDescent="0.25">
      <c r="A9" t="str">
        <f>IF(Input!A10="","",Input!A10)</f>
        <v>Passive Income MPS 2</v>
      </c>
      <c r="H9">
        <f>IFERROR(IF(A9="","",SUM('Asset Allocation'!H9,'Asset Allocation'!I9,'Asset Allocation'!J9)/'Broad Asset Allocation'!C9),0)</f>
        <v>1</v>
      </c>
    </row>
    <row r="10" spans="1:8" x14ac:dyDescent="0.25">
      <c r="A10" t="str">
        <f>IF(Input!A11="","",Input!A11)</f>
        <v>Active MPS 1</v>
      </c>
      <c r="H10">
        <f>IFERROR(IF(A10="","",SUM('Asset Allocation'!H10,'Asset Allocation'!I10,'Asset Allocation'!J10)/'Broad Asset Allocation'!C10),0)</f>
        <v>1</v>
      </c>
    </row>
    <row r="11" spans="1:8" x14ac:dyDescent="0.25">
      <c r="A11" t="str">
        <f>IF(Input!A12="","",Input!A12)</f>
        <v>Active MPS 2</v>
      </c>
      <c r="H11">
        <f>IFERROR(IF(A11="","",SUM('Asset Allocation'!H11,'Asset Allocation'!I11,'Asset Allocation'!J11)/'Broad Asset Allocation'!C11),0)</f>
        <v>1</v>
      </c>
    </row>
    <row r="12" spans="1:8" x14ac:dyDescent="0.25">
      <c r="A12" t="str">
        <f>IF(Input!A13="","",Input!A13)</f>
        <v>Active MPS 3</v>
      </c>
      <c r="H12">
        <f>IFERROR(IF(A12="","",SUM('Asset Allocation'!H12,'Asset Allocation'!I12,'Asset Allocation'!J12)/'Broad Asset Allocation'!C12),0)</f>
        <v>1</v>
      </c>
    </row>
    <row r="13" spans="1:8" x14ac:dyDescent="0.25">
      <c r="A13" t="str">
        <f>IF(Input!A14="","",Input!A14)</f>
        <v>Active MPS 4</v>
      </c>
      <c r="H13">
        <f>IFERROR(IF(A13="","",SUM('Asset Allocation'!H13,'Asset Allocation'!I13,'Asset Allocation'!J13)/'Broad Asset Allocation'!C13),0)</f>
        <v>1</v>
      </c>
    </row>
    <row r="14" spans="1:8" x14ac:dyDescent="0.25">
      <c r="A14" t="str">
        <f>IF(Input!A15="","",Input!A15)</f>
        <v>Active MPS 5</v>
      </c>
      <c r="H14">
        <f>IFERROR(IF(A14="","",SUM('Asset Allocation'!H14,'Asset Allocation'!I14,'Asset Allocation'!J14)/'Broad Asset Allocation'!C14),0)</f>
        <v>1</v>
      </c>
    </row>
    <row r="15" spans="1:8" x14ac:dyDescent="0.25">
      <c r="A15" t="str">
        <f>IF(Input!A16="","",Input!A16)</f>
        <v>Active MPS 6</v>
      </c>
      <c r="H15">
        <f>IFERROR(IF(A15="","",SUM('Asset Allocation'!H15,'Asset Allocation'!I15,'Asset Allocation'!J15)/'Broad Asset Allocation'!C15),0)</f>
        <v>1</v>
      </c>
    </row>
    <row r="16" spans="1:8" x14ac:dyDescent="0.25">
      <c r="A16" t="str">
        <f>IF(Input!A17="","",Input!A17)</f>
        <v>Active Income MPS 1</v>
      </c>
      <c r="H16">
        <f>IFERROR(IF(A16="","",SUM('Asset Allocation'!H16,'Asset Allocation'!I16,'Asset Allocation'!J16)/'Broad Asset Allocation'!C16),0)</f>
        <v>1</v>
      </c>
    </row>
    <row r="17" spans="1:8" x14ac:dyDescent="0.25">
      <c r="A17" t="str">
        <f>IF(Input!A18="","",Input!A18)</f>
        <v>Active Income MPS 2</v>
      </c>
      <c r="H17">
        <f>IFERROR(IF(A17="","",SUM('Asset Allocation'!H17,'Asset Allocation'!I17,'Asset Allocation'!J17)/'Broad Asset Allocation'!C17),0)</f>
        <v>1</v>
      </c>
    </row>
    <row r="18" spans="1:8" x14ac:dyDescent="0.25">
      <c r="A18" t="str">
        <f>IF(Input!A19="","",Input!A19)</f>
        <v>Pactive MPS 1</v>
      </c>
      <c r="H18">
        <f>IFERROR(IF(A18="","",SUM('Asset Allocation'!H18,'Asset Allocation'!I18,'Asset Allocation'!J18)/'Broad Asset Allocation'!C18),0)</f>
        <v>1</v>
      </c>
    </row>
    <row r="19" spans="1:8" x14ac:dyDescent="0.25">
      <c r="A19" t="str">
        <f>IF(Input!A20="","",Input!A20)</f>
        <v>Pactive MPS 2</v>
      </c>
      <c r="H19">
        <f>IFERROR(IF(A19="","",SUM('Asset Allocation'!H19,'Asset Allocation'!I19,'Asset Allocation'!J19)/'Broad Asset Allocation'!C19),0)</f>
        <v>1</v>
      </c>
    </row>
    <row r="20" spans="1:8" x14ac:dyDescent="0.25">
      <c r="A20" t="str">
        <f>IF(Input!A21="","",Input!A21)</f>
        <v>Pactive MPS 3</v>
      </c>
      <c r="H20">
        <f>IFERROR(IF(A20="","",SUM('Asset Allocation'!H20,'Asset Allocation'!I20,'Asset Allocation'!J20)/'Broad Asset Allocation'!C20),0)</f>
        <v>1</v>
      </c>
    </row>
    <row r="21" spans="1:8" x14ac:dyDescent="0.25">
      <c r="A21" t="str">
        <f>IF(Input!A22="","",Input!A22)</f>
        <v>Pactive MPS 4</v>
      </c>
      <c r="H21">
        <f>IFERROR(IF(A21="","",SUM('Asset Allocation'!H21,'Asset Allocation'!I21,'Asset Allocation'!J21)/'Broad Asset Allocation'!C21),0)</f>
        <v>1</v>
      </c>
    </row>
    <row r="22" spans="1:8" x14ac:dyDescent="0.25">
      <c r="A22" t="str">
        <f>IF(Input!A23="","",Input!A23)</f>
        <v>Pactive MPS 5</v>
      </c>
      <c r="H22">
        <f>IFERROR(IF(A22="","",SUM('Asset Allocation'!H22,'Asset Allocation'!I22,'Asset Allocation'!J22)/'Broad Asset Allocation'!C22),0)</f>
        <v>1</v>
      </c>
    </row>
    <row r="23" spans="1:8" x14ac:dyDescent="0.25">
      <c r="A23" t="str">
        <f>IF(Input!A24="","",Input!A24)</f>
        <v>Pactive MPS 6</v>
      </c>
      <c r="H23">
        <f>IFERROR(IF(A23="","",SUM('Asset Allocation'!H23,'Asset Allocation'!I23,'Asset Allocation'!J23)/'Broad Asset Allocation'!C23),0)</f>
        <v>1</v>
      </c>
    </row>
    <row r="24" spans="1:8" x14ac:dyDescent="0.25">
      <c r="A24" t="str">
        <f>IF(Input!A25="","",Input!A25)</f>
        <v>Responsible MPS 1</v>
      </c>
      <c r="H24">
        <f>IFERROR(IF(A24="","",SUM('Asset Allocation'!H24,'Asset Allocation'!I24,'Asset Allocation'!J24)/'Broad Asset Allocation'!C24),0)</f>
        <v>1</v>
      </c>
    </row>
    <row r="25" spans="1:8" x14ac:dyDescent="0.25">
      <c r="A25" t="str">
        <f>IF(Input!A26="","",Input!A26)</f>
        <v>Responsible MPS 2</v>
      </c>
      <c r="H25">
        <f>IFERROR(IF(A25="","",SUM('Asset Allocation'!H25,'Asset Allocation'!I25,'Asset Allocation'!J25)/'Broad Asset Allocation'!C25),0)</f>
        <v>1</v>
      </c>
    </row>
    <row r="26" spans="1:8" x14ac:dyDescent="0.25">
      <c r="A26" t="str">
        <f>IF(Input!A27="","",Input!A27)</f>
        <v>Responsible MPS 3</v>
      </c>
      <c r="H26">
        <f>IFERROR(IF(A26="","",SUM('Asset Allocation'!H26,'Asset Allocation'!I26,'Asset Allocation'!J26)/'Broad Asset Allocation'!C26),0)</f>
        <v>1</v>
      </c>
    </row>
    <row r="27" spans="1:8" x14ac:dyDescent="0.25">
      <c r="A27" t="str">
        <f>IF(Input!A28="","",Input!A28)</f>
        <v>Responsible MPS 4</v>
      </c>
      <c r="H27">
        <f>IFERROR(IF(A27="","",SUM('Asset Allocation'!H27,'Asset Allocation'!I27,'Asset Allocation'!J27)/'Broad Asset Allocation'!C27),0)</f>
        <v>1</v>
      </c>
    </row>
    <row r="28" spans="1:8" x14ac:dyDescent="0.25">
      <c r="A28" t="str">
        <f>IF(Input!A29="","",Input!A29)</f>
        <v>Responsible MPS 5</v>
      </c>
      <c r="H28">
        <f>IFERROR(IF(A28="","",SUM('Asset Allocation'!H28,'Asset Allocation'!I28,'Asset Allocation'!J28)/'Broad Asset Allocation'!C28),0)</f>
        <v>1</v>
      </c>
    </row>
    <row r="29" spans="1:8" x14ac:dyDescent="0.25">
      <c r="A29" t="str">
        <f>IF(Input!A30="","",Input!A30)</f>
        <v>Responsible MPS 6</v>
      </c>
      <c r="H29">
        <f>IFERROR(IF(A29="","",SUM('Asset Allocation'!H29,'Asset Allocation'!I29,'Asset Allocation'!J29)/'Broad Asset Allocation'!C29),0)</f>
        <v>1</v>
      </c>
    </row>
    <row r="30" spans="1:8" x14ac:dyDescent="0.25">
      <c r="A30" t="str">
        <f>IF(Input!A31="","",Input!A31)</f>
        <v>Money Market MPS</v>
      </c>
      <c r="H30">
        <f>IFERROR(IF(A30="","",SUM('Asset Allocation'!H30,'Asset Allocation'!I30,'Asset Allocation'!J30)/'Broad Asset Allocation'!C30),0)</f>
        <v>0</v>
      </c>
    </row>
    <row r="31" spans="1:8" x14ac:dyDescent="0.25">
      <c r="A31" t="str">
        <f>IF(Input!A32="","",Input!A32)</f>
        <v/>
      </c>
      <c r="H31" t="str">
        <f>IFERROR(IF(A31="","",SUM('Asset Allocation'!H31,'Asset Allocation'!I31,'Asset Allocation'!J31)/'Broad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Allocation'!H32,'Asset Allocation'!I32,'Asset Allocation'!J32)/'Broad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Allocation'!H33,'Asset Allocation'!I33,'Asset Allocation'!J33)/'Broad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Allocation'!H34,'Asset Allocation'!I34,'Asset Allocation'!J34)/'Broad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Allocation'!H35,'Asset Allocation'!I35,'Asset Allocation'!J35)/'Broad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Allocation'!H36,'Asset Allocation'!I36,'Asset Allocation'!J36)/'Broad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Allocation'!H37,'Asset Allocation'!I37,'Asset Allocation'!J37)/'Broad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Allocation'!H38,'Asset Allocation'!I38,'Asset Allocation'!J38)/'Broad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Allocation'!H39,'Asset Allocation'!I39,'Asset Allocation'!J39)/'Broad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Allocation'!H40,'Asset Allocation'!I40,'Asset Allocation'!J40)/'Broad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Allocation'!H41,'Asset Allocation'!I41,'Asset Allocation'!J41)/'Broad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Allocation'!H42,'Asset Allocation'!I42,'Asset Allocation'!J42)/'Broad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Allocation'!H43,'Asset Allocation'!I43,'Asset Allocation'!J43)/'Broad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Allocation'!H44,'Asset Allocation'!I44,'Asset Allocation'!J44)/'Broad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Allocation'!H45,'Asset Allocation'!I45,'Asset Allocation'!J45)/'Broad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Allocation'!H46,'Asset Allocation'!I46,'Asset Allocation'!J46)/'Broad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Allocation'!H47,'Asset Allocation'!I47,'Asset Allocation'!J47)/'Broad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Allocation'!H48,'Asset Allocation'!I48,'Asset Allocation'!J48)/'Broad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Allocation'!H49,'Asset Allocation'!I49,'Asset Allocation'!J49)/'Broad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Allocation'!H50,'Asset Allocation'!I50,'Asset Allocation'!J50)/'Broad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Money Market MPS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2023-12-26T21:47:38Z</dcterms:modified>
</cp:coreProperties>
</file>