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\pdf_scraping\tests\abrdn\"/>
    </mc:Choice>
  </mc:AlternateContent>
  <bookViews>
    <workbookView xWindow="-105" yWindow="-105" windowWidth="19425" windowHeight="11025" firstSheet="1" activeTab="4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3 Year Performance" sheetId="39" r:id="rId14"/>
    <sheet name="5 Year Performance" sheetId="38" r:id="rId15"/>
    <sheet name="Annual Management Charge" sheetId="37" r:id="rId16"/>
    <sheet name="Equity" sheetId="9" r:id="rId17"/>
    <sheet name="Bonds" sheetId="10" r:id="rId18"/>
    <sheet name="Direct Property" sheetId="11" r:id="rId19"/>
    <sheet name="Direct Commodities" sheetId="12" r:id="rId20"/>
    <sheet name="Absolute Return" sheetId="13" r:id="rId21"/>
    <sheet name="Cash" sheetId="14" r:id="rId22"/>
    <sheet name="No Data" sheetId="36" r:id="rId23"/>
    <sheet name="United States" sheetId="16" r:id="rId24"/>
    <sheet name="United Kingdom" sheetId="17" r:id="rId25"/>
    <sheet name="Europe ex UK" sheetId="18" r:id="rId26"/>
    <sheet name="Japan" sheetId="19" r:id="rId27"/>
    <sheet name="Pacific ex Japan" sheetId="20" r:id="rId28"/>
    <sheet name="Emerging Markets" sheetId="21" r:id="rId29"/>
    <sheet name="Global Equity" sheetId="32" r:id="rId30"/>
    <sheet name="Government Bonds" sheetId="22" r:id="rId31"/>
    <sheet name="Inflation Linked" sheetId="23" r:id="rId32"/>
    <sheet name="Investment Grade" sheetId="24" r:id="rId33"/>
    <sheet name="High Yield" sheetId="25" r:id="rId34"/>
    <sheet name="Emerging Market Debt" sheetId="26" r:id="rId35"/>
    <sheet name="Strategic Bond Fund" sheetId="27" r:id="rId36"/>
    <sheet name="Unclassified" sheetId="28" r:id="rId3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A3" i="35"/>
  <c r="A2" i="35"/>
  <c r="A2" i="31" l="1"/>
  <c r="A3" i="31"/>
  <c r="A4" i="31"/>
  <c r="A5" i="31"/>
  <c r="A6" i="31"/>
  <c r="A7" i="31"/>
  <c r="A8" i="31"/>
  <c r="A9" i="31"/>
  <c r="A10" i="31"/>
  <c r="A11" i="31"/>
  <c r="A12" i="31"/>
  <c r="A13" i="31"/>
  <c r="A14" i="31"/>
  <c r="A15" i="31"/>
  <c r="A16" i="31"/>
  <c r="A17" i="31"/>
  <c r="A18" i="31"/>
  <c r="A19" i="31"/>
  <c r="A20" i="31"/>
  <c r="A21" i="31"/>
  <c r="A22" i="31"/>
  <c r="A23" i="31"/>
  <c r="A24" i="31"/>
  <c r="A25" i="31"/>
  <c r="A26" i="31"/>
  <c r="A27" i="31"/>
  <c r="A28" i="31"/>
  <c r="A29" i="31"/>
  <c r="A30" i="31"/>
  <c r="A31" i="31"/>
  <c r="A32" i="31"/>
  <c r="A33" i="31"/>
  <c r="A34" i="31"/>
  <c r="A35" i="31"/>
  <c r="A36" i="31"/>
  <c r="A37" i="31"/>
  <c r="A38" i="31"/>
  <c r="A39" i="31"/>
  <c r="A40" i="31"/>
  <c r="A41" i="31"/>
  <c r="A42" i="31"/>
  <c r="A43" i="31"/>
  <c r="A44" i="31"/>
  <c r="A45" i="31"/>
  <c r="A46" i="31"/>
  <c r="A47" i="31"/>
  <c r="A48" i="31"/>
  <c r="A49" i="31"/>
  <c r="A50" i="31"/>
  <c r="A50" i="34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B2" i="34" l="1"/>
  <c r="C49" i="31"/>
  <c r="E49" i="31"/>
  <c r="F49" i="31"/>
  <c r="D49" i="31"/>
  <c r="B49" i="31"/>
  <c r="G49" i="31"/>
  <c r="C41" i="31"/>
  <c r="E41" i="31"/>
  <c r="D41" i="31"/>
  <c r="F41" i="31"/>
  <c r="B41" i="31"/>
  <c r="G41" i="31"/>
  <c r="C33" i="31"/>
  <c r="E33" i="31"/>
  <c r="F33" i="31"/>
  <c r="D33" i="31"/>
  <c r="G33" i="31"/>
  <c r="B33" i="31"/>
  <c r="C25" i="31"/>
  <c r="F25" i="31"/>
  <c r="D25" i="31"/>
  <c r="E25" i="31"/>
  <c r="G25" i="31"/>
  <c r="B25" i="31"/>
  <c r="F17" i="31"/>
  <c r="C17" i="31"/>
  <c r="D17" i="31"/>
  <c r="E17" i="31"/>
  <c r="G17" i="31"/>
  <c r="B17" i="31"/>
  <c r="B9" i="31"/>
  <c r="C9" i="31"/>
  <c r="E9" i="31"/>
  <c r="F9" i="31"/>
  <c r="D9" i="31"/>
  <c r="G9" i="31"/>
  <c r="F48" i="31"/>
  <c r="G48" i="31"/>
  <c r="B48" i="31"/>
  <c r="C48" i="31"/>
  <c r="D48" i="31"/>
  <c r="E48" i="31"/>
  <c r="F40" i="31"/>
  <c r="G40" i="31"/>
  <c r="B40" i="31"/>
  <c r="C40" i="31"/>
  <c r="D40" i="31"/>
  <c r="E40" i="31"/>
  <c r="F32" i="31"/>
  <c r="G32" i="31"/>
  <c r="C32" i="31"/>
  <c r="E32" i="31"/>
  <c r="B32" i="31"/>
  <c r="D32" i="31"/>
  <c r="F24" i="31"/>
  <c r="G24" i="31"/>
  <c r="C24" i="31"/>
  <c r="E24" i="31"/>
  <c r="B24" i="31"/>
  <c r="D24" i="31"/>
  <c r="F16" i="31"/>
  <c r="G16" i="31"/>
  <c r="E16" i="31"/>
  <c r="B16" i="31"/>
  <c r="C16" i="31"/>
  <c r="D16" i="31"/>
  <c r="F8" i="31"/>
  <c r="G8" i="31"/>
  <c r="C8" i="31"/>
  <c r="E8" i="31"/>
  <c r="B8" i="31"/>
  <c r="D8" i="31"/>
  <c r="D47" i="31"/>
  <c r="E47" i="31"/>
  <c r="G47" i="31"/>
  <c r="B47" i="31"/>
  <c r="C47" i="31"/>
  <c r="F47" i="31"/>
  <c r="D39" i="31"/>
  <c r="E39" i="31"/>
  <c r="G39" i="31"/>
  <c r="B39" i="31"/>
  <c r="C39" i="31"/>
  <c r="F39" i="31"/>
  <c r="D31" i="31"/>
  <c r="E31" i="31"/>
  <c r="G31" i="31"/>
  <c r="B31" i="31"/>
  <c r="C31" i="31"/>
  <c r="F31" i="31"/>
  <c r="D23" i="31"/>
  <c r="E23" i="31"/>
  <c r="G23" i="31"/>
  <c r="B23" i="31"/>
  <c r="C23" i="31"/>
  <c r="F23" i="31"/>
  <c r="D15" i="31"/>
  <c r="E15" i="31"/>
  <c r="G15" i="31"/>
  <c r="B15" i="31"/>
  <c r="C15" i="31"/>
  <c r="F15" i="31"/>
  <c r="D7" i="31"/>
  <c r="E7" i="31"/>
  <c r="F7" i="31"/>
  <c r="G7" i="31"/>
  <c r="B7" i="31"/>
  <c r="C7" i="31"/>
  <c r="B46" i="31"/>
  <c r="C46" i="31"/>
  <c r="E46" i="31"/>
  <c r="G46" i="31"/>
  <c r="F46" i="31"/>
  <c r="D46" i="31"/>
  <c r="B38" i="31"/>
  <c r="C38" i="31"/>
  <c r="E38" i="31"/>
  <c r="G38" i="31"/>
  <c r="F38" i="31"/>
  <c r="D38" i="31"/>
  <c r="B30" i="31"/>
  <c r="C30" i="31"/>
  <c r="E30" i="31"/>
  <c r="F30" i="31"/>
  <c r="G30" i="31"/>
  <c r="D30" i="31"/>
  <c r="B22" i="31"/>
  <c r="C22" i="31"/>
  <c r="E22" i="31"/>
  <c r="F22" i="31"/>
  <c r="G22" i="31"/>
  <c r="D22" i="31"/>
  <c r="B14" i="31"/>
  <c r="C14" i="31"/>
  <c r="E14" i="31"/>
  <c r="G14" i="31"/>
  <c r="F14" i="31"/>
  <c r="D14" i="31"/>
  <c r="B6" i="31"/>
  <c r="C6" i="31"/>
  <c r="D6" i="31"/>
  <c r="E6" i="31"/>
  <c r="F6" i="31"/>
  <c r="G6" i="31"/>
  <c r="C45" i="31"/>
  <c r="D45" i="31"/>
  <c r="E45" i="31"/>
  <c r="F45" i="31"/>
  <c r="G45" i="31"/>
  <c r="B45" i="31"/>
  <c r="C37" i="31"/>
  <c r="D37" i="31"/>
  <c r="E37" i="31"/>
  <c r="F37" i="31"/>
  <c r="B37" i="31"/>
  <c r="G37" i="31"/>
  <c r="C29" i="31"/>
  <c r="E29" i="31"/>
  <c r="G29" i="31"/>
  <c r="D29" i="31"/>
  <c r="F29" i="31"/>
  <c r="B29" i="31"/>
  <c r="C21" i="31"/>
  <c r="E21" i="31"/>
  <c r="F21" i="31"/>
  <c r="G21" i="31"/>
  <c r="D21" i="31"/>
  <c r="B21" i="31"/>
  <c r="C13" i="31"/>
  <c r="G13" i="31"/>
  <c r="D13" i="31"/>
  <c r="E13" i="31"/>
  <c r="F13" i="31"/>
  <c r="B13" i="31"/>
  <c r="B5" i="31"/>
  <c r="C5" i="31"/>
  <c r="E5" i="31"/>
  <c r="G5" i="31"/>
  <c r="D5" i="31"/>
  <c r="F5" i="31"/>
  <c r="F44" i="31"/>
  <c r="G44" i="31"/>
  <c r="C44" i="31"/>
  <c r="D44" i="31"/>
  <c r="B44" i="31"/>
  <c r="E44" i="31"/>
  <c r="F36" i="31"/>
  <c r="G36" i="31"/>
  <c r="C36" i="31"/>
  <c r="D36" i="31"/>
  <c r="B36" i="31"/>
  <c r="E36" i="31"/>
  <c r="F28" i="31"/>
  <c r="G28" i="31"/>
  <c r="D28" i="31"/>
  <c r="B28" i="31"/>
  <c r="C28" i="31"/>
  <c r="E28" i="31"/>
  <c r="F20" i="31"/>
  <c r="G20" i="31"/>
  <c r="B20" i="31"/>
  <c r="C20" i="31"/>
  <c r="D20" i="31"/>
  <c r="E20" i="31"/>
  <c r="F12" i="31"/>
  <c r="G12" i="31"/>
  <c r="C12" i="31"/>
  <c r="D12" i="31"/>
  <c r="B12" i="31"/>
  <c r="E12" i="31"/>
  <c r="F4" i="31"/>
  <c r="G4" i="31"/>
  <c r="E4" i="31"/>
  <c r="B4" i="31"/>
  <c r="C4" i="31"/>
  <c r="D4" i="31"/>
  <c r="D43" i="31"/>
  <c r="E43" i="31"/>
  <c r="G43" i="31"/>
  <c r="B43" i="31"/>
  <c r="C43" i="31"/>
  <c r="F43" i="31"/>
  <c r="D35" i="31"/>
  <c r="E35" i="31"/>
  <c r="G35" i="31"/>
  <c r="C35" i="31"/>
  <c r="B35" i="31"/>
  <c r="F35" i="31"/>
  <c r="D27" i="31"/>
  <c r="E27" i="31"/>
  <c r="G27" i="31"/>
  <c r="C27" i="31"/>
  <c r="B27" i="31"/>
  <c r="F27" i="31"/>
  <c r="D19" i="31"/>
  <c r="E19" i="31"/>
  <c r="G19" i="31"/>
  <c r="B19" i="31"/>
  <c r="C19" i="31"/>
  <c r="F19" i="31"/>
  <c r="D11" i="31"/>
  <c r="E11" i="31"/>
  <c r="F11" i="31"/>
  <c r="G11" i="31"/>
  <c r="C11" i="31"/>
  <c r="B11" i="31"/>
  <c r="D3" i="31"/>
  <c r="E3" i="31"/>
  <c r="F3" i="31"/>
  <c r="G3" i="31"/>
  <c r="B3" i="31"/>
  <c r="C3" i="31"/>
  <c r="B50" i="31"/>
  <c r="C50" i="31"/>
  <c r="E50" i="31"/>
  <c r="F50" i="31"/>
  <c r="G50" i="31"/>
  <c r="D50" i="31"/>
  <c r="B42" i="31"/>
  <c r="C42" i="31"/>
  <c r="E42" i="31"/>
  <c r="F42" i="31"/>
  <c r="G42" i="31"/>
  <c r="D42" i="31"/>
  <c r="B34" i="31"/>
  <c r="C34" i="31"/>
  <c r="E34" i="31"/>
  <c r="F34" i="31"/>
  <c r="G34" i="31"/>
  <c r="D34" i="31"/>
  <c r="B26" i="31"/>
  <c r="C26" i="31"/>
  <c r="E26" i="31"/>
  <c r="G26" i="31"/>
  <c r="F26" i="31"/>
  <c r="D26" i="31"/>
  <c r="B18" i="31"/>
  <c r="C18" i="31"/>
  <c r="E18" i="31"/>
  <c r="G18" i="31"/>
  <c r="F18" i="31"/>
  <c r="D18" i="31"/>
  <c r="B10" i="31"/>
  <c r="C10" i="31"/>
  <c r="D10" i="31"/>
  <c r="E10" i="31"/>
  <c r="F10" i="31"/>
  <c r="G10" i="31"/>
  <c r="C2" i="31"/>
  <c r="B2" i="31"/>
  <c r="G2" i="31"/>
  <c r="F2" i="31"/>
  <c r="B1" i="38" a="1"/>
  <c r="B1" i="38" s="1"/>
  <c r="B1" i="39" a="1"/>
  <c r="B1" i="39" s="1"/>
  <c r="E2" i="31"/>
  <c r="D2" i="31"/>
  <c r="B1" i="37" a="1"/>
  <c r="B1" i="37" s="1"/>
  <c r="B29" i="8"/>
  <c r="C29" i="8"/>
  <c r="D29" i="8"/>
  <c r="E29" i="8"/>
  <c r="F29" i="8"/>
  <c r="B37" i="8"/>
  <c r="C37" i="8"/>
  <c r="D37" i="8"/>
  <c r="E37" i="8"/>
  <c r="F37" i="8"/>
  <c r="B45" i="8"/>
  <c r="D45" i="8"/>
  <c r="C45" i="8"/>
  <c r="E45" i="8"/>
  <c r="F45" i="8"/>
  <c r="C22" i="8"/>
  <c r="D22" i="8"/>
  <c r="E22" i="8"/>
  <c r="F22" i="8"/>
  <c r="B22" i="8"/>
  <c r="C30" i="8"/>
  <c r="F30" i="8"/>
  <c r="D30" i="8"/>
  <c r="E30" i="8"/>
  <c r="B30" i="8"/>
  <c r="C38" i="8"/>
  <c r="F38" i="8"/>
  <c r="D38" i="8"/>
  <c r="E38" i="8"/>
  <c r="B38" i="8"/>
  <c r="C46" i="8"/>
  <c r="F46" i="8"/>
  <c r="D46" i="8"/>
  <c r="E46" i="8"/>
  <c r="B46" i="8"/>
  <c r="E23" i="8"/>
  <c r="F23" i="8"/>
  <c r="D23" i="8"/>
  <c r="C23" i="8"/>
  <c r="B23" i="8"/>
  <c r="E31" i="8"/>
  <c r="F31" i="8"/>
  <c r="D31" i="8"/>
  <c r="B31" i="8"/>
  <c r="C31" i="8"/>
  <c r="E39" i="8"/>
  <c r="F39" i="8"/>
  <c r="C39" i="8"/>
  <c r="B39" i="8"/>
  <c r="D39" i="8"/>
  <c r="E47" i="8"/>
  <c r="F47" i="8"/>
  <c r="D47" i="8"/>
  <c r="B47" i="8"/>
  <c r="C47" i="8"/>
  <c r="B24" i="8"/>
  <c r="C24" i="8"/>
  <c r="D24" i="8"/>
  <c r="E24" i="8"/>
  <c r="F24" i="8"/>
  <c r="B32" i="8"/>
  <c r="F32" i="8"/>
  <c r="C32" i="8"/>
  <c r="E32" i="8"/>
  <c r="D32" i="8"/>
  <c r="B40" i="8"/>
  <c r="F40" i="8"/>
  <c r="C40" i="8"/>
  <c r="D40" i="8"/>
  <c r="E40" i="8"/>
  <c r="F48" i="8"/>
  <c r="B48" i="8"/>
  <c r="E48" i="8"/>
  <c r="C48" i="8"/>
  <c r="D48" i="8"/>
  <c r="D25" i="8"/>
  <c r="B25" i="8"/>
  <c r="C25" i="8"/>
  <c r="E25" i="8"/>
  <c r="F25" i="8"/>
  <c r="B33" i="8"/>
  <c r="C33" i="8"/>
  <c r="D33" i="8"/>
  <c r="E33" i="8"/>
  <c r="F33" i="8"/>
  <c r="B41" i="8"/>
  <c r="D41" i="8"/>
  <c r="C41" i="8"/>
  <c r="E41" i="8"/>
  <c r="F41" i="8"/>
  <c r="B49" i="8"/>
  <c r="D49" i="8"/>
  <c r="C49" i="8"/>
  <c r="E49" i="8"/>
  <c r="F49" i="8"/>
  <c r="C26" i="8"/>
  <c r="B26" i="8"/>
  <c r="D26" i="8"/>
  <c r="E26" i="8"/>
  <c r="F26" i="8"/>
  <c r="C34" i="8"/>
  <c r="F34" i="8"/>
  <c r="B34" i="8"/>
  <c r="D34" i="8"/>
  <c r="E34" i="8"/>
  <c r="C42" i="8"/>
  <c r="F42" i="8"/>
  <c r="B42" i="8"/>
  <c r="D42" i="8"/>
  <c r="E42" i="8"/>
  <c r="C50" i="8"/>
  <c r="F50" i="8"/>
  <c r="D50" i="8"/>
  <c r="E50" i="8"/>
  <c r="B50" i="8"/>
  <c r="E27" i="8"/>
  <c r="F27" i="8"/>
  <c r="D27" i="8"/>
  <c r="B27" i="8"/>
  <c r="C27" i="8"/>
  <c r="E35" i="8"/>
  <c r="F35" i="8"/>
  <c r="D35" i="8"/>
  <c r="C35" i="8"/>
  <c r="B35" i="8"/>
  <c r="E43" i="8"/>
  <c r="F43" i="8"/>
  <c r="D43" i="8"/>
  <c r="B43" i="8"/>
  <c r="C43" i="8"/>
  <c r="F28" i="8"/>
  <c r="B28" i="8"/>
  <c r="C28" i="8"/>
  <c r="D28" i="8"/>
  <c r="E28" i="8"/>
  <c r="B36" i="8"/>
  <c r="F36" i="8"/>
  <c r="C36" i="8"/>
  <c r="D36" i="8"/>
  <c r="E36" i="8"/>
  <c r="B44" i="8"/>
  <c r="C44" i="8"/>
  <c r="E44" i="8"/>
  <c r="D44" i="8"/>
  <c r="F44" i="8"/>
  <c r="F22" i="7"/>
  <c r="G22" i="7"/>
  <c r="H22" i="7"/>
  <c r="B22" i="7"/>
  <c r="C22" i="7"/>
  <c r="D22" i="7"/>
  <c r="E22" i="7"/>
  <c r="F30" i="7"/>
  <c r="G30" i="7"/>
  <c r="D30" i="7"/>
  <c r="E30" i="7"/>
  <c r="H30" i="7"/>
  <c r="B30" i="7"/>
  <c r="C30" i="7"/>
  <c r="F38" i="7"/>
  <c r="G38" i="7"/>
  <c r="H38" i="7"/>
  <c r="E38" i="7"/>
  <c r="B38" i="7"/>
  <c r="C38" i="7"/>
  <c r="D38" i="7"/>
  <c r="F46" i="7"/>
  <c r="G46" i="7"/>
  <c r="H46" i="7"/>
  <c r="D46" i="7"/>
  <c r="E46" i="7"/>
  <c r="B46" i="7"/>
  <c r="C46" i="7"/>
  <c r="G23" i="7"/>
  <c r="H23" i="7"/>
  <c r="E23" i="7"/>
  <c r="F23" i="7"/>
  <c r="B23" i="7"/>
  <c r="C23" i="7"/>
  <c r="D23" i="7"/>
  <c r="G31" i="7"/>
  <c r="H31" i="7"/>
  <c r="B31" i="7"/>
  <c r="C31" i="7"/>
  <c r="D31" i="7"/>
  <c r="E31" i="7"/>
  <c r="F31" i="7"/>
  <c r="G39" i="7"/>
  <c r="H39" i="7"/>
  <c r="B39" i="7"/>
  <c r="E39" i="7"/>
  <c r="C39" i="7"/>
  <c r="D39" i="7"/>
  <c r="F39" i="7"/>
  <c r="G47" i="7"/>
  <c r="H47" i="7"/>
  <c r="B47" i="7"/>
  <c r="F47" i="7"/>
  <c r="C47" i="7"/>
  <c r="D47" i="7"/>
  <c r="E47" i="7"/>
  <c r="H24" i="7"/>
  <c r="B24" i="7"/>
  <c r="C24" i="7"/>
  <c r="G24" i="7"/>
  <c r="D24" i="7"/>
  <c r="E24" i="7"/>
  <c r="F24" i="7"/>
  <c r="H32" i="7"/>
  <c r="F32" i="7"/>
  <c r="B32" i="7"/>
  <c r="C32" i="7"/>
  <c r="G32" i="7"/>
  <c r="D32" i="7"/>
  <c r="E32" i="7"/>
  <c r="H40" i="7"/>
  <c r="G40" i="7"/>
  <c r="B40" i="7"/>
  <c r="C40" i="7"/>
  <c r="D40" i="7"/>
  <c r="E40" i="7"/>
  <c r="F40" i="7"/>
  <c r="H48" i="7"/>
  <c r="F48" i="7"/>
  <c r="B48" i="7"/>
  <c r="C48" i="7"/>
  <c r="D48" i="7"/>
  <c r="E48" i="7"/>
  <c r="G48" i="7"/>
  <c r="B25" i="7"/>
  <c r="G25" i="7"/>
  <c r="C25" i="7"/>
  <c r="D25" i="7"/>
  <c r="E25" i="7"/>
  <c r="F25" i="7"/>
  <c r="H25" i="7"/>
  <c r="B33" i="7"/>
  <c r="H33" i="7"/>
  <c r="C33" i="7"/>
  <c r="D33" i="7"/>
  <c r="G33" i="7"/>
  <c r="E33" i="7"/>
  <c r="F33" i="7"/>
  <c r="B41" i="7"/>
  <c r="C41" i="7"/>
  <c r="D41" i="7"/>
  <c r="G41" i="7"/>
  <c r="H41" i="7"/>
  <c r="E41" i="7"/>
  <c r="F41" i="7"/>
  <c r="B49" i="7"/>
  <c r="D49" i="7"/>
  <c r="C49" i="7"/>
  <c r="G49" i="7"/>
  <c r="H49" i="7"/>
  <c r="E49" i="7"/>
  <c r="F49" i="7"/>
  <c r="B26" i="7"/>
  <c r="C26" i="7"/>
  <c r="D26" i="7"/>
  <c r="E26" i="7"/>
  <c r="F26" i="7"/>
  <c r="G26" i="7"/>
  <c r="H26" i="7"/>
  <c r="B34" i="7"/>
  <c r="C34" i="7"/>
  <c r="D34" i="7"/>
  <c r="E34" i="7"/>
  <c r="F34" i="7"/>
  <c r="G34" i="7"/>
  <c r="H34" i="7"/>
  <c r="B42" i="7"/>
  <c r="C42" i="7"/>
  <c r="E42" i="7"/>
  <c r="H42" i="7"/>
  <c r="D42" i="7"/>
  <c r="F42" i="7"/>
  <c r="G42" i="7"/>
  <c r="B50" i="7"/>
  <c r="C50" i="7"/>
  <c r="D50" i="7"/>
  <c r="E50" i="7"/>
  <c r="F50" i="7"/>
  <c r="G50" i="7"/>
  <c r="H50" i="7"/>
  <c r="C27" i="7"/>
  <c r="D27" i="7"/>
  <c r="B27" i="7"/>
  <c r="E27" i="7"/>
  <c r="F27" i="7"/>
  <c r="G27" i="7"/>
  <c r="H27" i="7"/>
  <c r="C35" i="7"/>
  <c r="D35" i="7"/>
  <c r="E35" i="7"/>
  <c r="F35" i="7"/>
  <c r="G35" i="7"/>
  <c r="H35" i="7"/>
  <c r="B35" i="7"/>
  <c r="C43" i="7"/>
  <c r="D43" i="7"/>
  <c r="E43" i="7"/>
  <c r="F43" i="7"/>
  <c r="G43" i="7"/>
  <c r="H43" i="7"/>
  <c r="B43" i="7"/>
  <c r="D28" i="7"/>
  <c r="E28" i="7"/>
  <c r="F28" i="7"/>
  <c r="G28" i="7"/>
  <c r="B28" i="7"/>
  <c r="C28" i="7"/>
  <c r="H28" i="7"/>
  <c r="D36" i="7"/>
  <c r="E36" i="7"/>
  <c r="B36" i="7"/>
  <c r="F36" i="7"/>
  <c r="G36" i="7"/>
  <c r="C36" i="7"/>
  <c r="H36" i="7"/>
  <c r="D44" i="7"/>
  <c r="E44" i="7"/>
  <c r="G44" i="7"/>
  <c r="C44" i="7"/>
  <c r="F44" i="7"/>
  <c r="H44" i="7"/>
  <c r="B44" i="7"/>
  <c r="E29" i="7"/>
  <c r="F29" i="7"/>
  <c r="G29" i="7"/>
  <c r="H29" i="7"/>
  <c r="B29" i="7"/>
  <c r="C29" i="7"/>
  <c r="D29" i="7"/>
  <c r="E37" i="7"/>
  <c r="F37" i="7"/>
  <c r="D37" i="7"/>
  <c r="G37" i="7"/>
  <c r="H37" i="7"/>
  <c r="C37" i="7"/>
  <c r="B37" i="7"/>
  <c r="E45" i="7"/>
  <c r="F45" i="7"/>
  <c r="C45" i="7"/>
  <c r="G45" i="7"/>
  <c r="H45" i="7"/>
  <c r="B45" i="7"/>
  <c r="D45" i="7"/>
  <c r="B15" i="4"/>
  <c r="C15" i="4"/>
  <c r="B23" i="4"/>
  <c r="C23" i="4"/>
  <c r="B31" i="4"/>
  <c r="C31" i="4"/>
  <c r="B39" i="4"/>
  <c r="C39" i="4"/>
  <c r="B47" i="4"/>
  <c r="C47" i="4"/>
  <c r="B8" i="4"/>
  <c r="C8" i="4"/>
  <c r="B24" i="4"/>
  <c r="C24" i="4"/>
  <c r="B32" i="4"/>
  <c r="C32" i="4"/>
  <c r="B40" i="4"/>
  <c r="C40" i="4"/>
  <c r="B48" i="4"/>
  <c r="C48" i="4"/>
  <c r="C33" i="4"/>
  <c r="B33" i="4"/>
  <c r="C41" i="4"/>
  <c r="B41" i="4"/>
  <c r="C49" i="4"/>
  <c r="B49" i="4"/>
  <c r="C9" i="4"/>
  <c r="B9" i="4"/>
  <c r="C18" i="4"/>
  <c r="B18" i="4"/>
  <c r="C26" i="4"/>
  <c r="B26" i="4"/>
  <c r="C34" i="4"/>
  <c r="B34" i="4"/>
  <c r="C42" i="4"/>
  <c r="B42" i="4"/>
  <c r="C50" i="4"/>
  <c r="B50" i="4"/>
  <c r="C17" i="4"/>
  <c r="B17" i="4"/>
  <c r="C3" i="4"/>
  <c r="B3" i="4"/>
  <c r="C11" i="4"/>
  <c r="B11" i="4"/>
  <c r="C19" i="4"/>
  <c r="B19" i="4"/>
  <c r="C27" i="4"/>
  <c r="B27" i="4"/>
  <c r="C35" i="4"/>
  <c r="B35" i="4"/>
  <c r="C43" i="4"/>
  <c r="B43" i="4"/>
  <c r="C25" i="4"/>
  <c r="B25" i="4"/>
  <c r="C4" i="4"/>
  <c r="B4" i="4"/>
  <c r="C12" i="4"/>
  <c r="B12" i="4"/>
  <c r="C20" i="4"/>
  <c r="B20" i="4"/>
  <c r="C28" i="4"/>
  <c r="B28" i="4"/>
  <c r="C36" i="4"/>
  <c r="B36" i="4"/>
  <c r="C44" i="4"/>
  <c r="B44" i="4"/>
  <c r="B7" i="4"/>
  <c r="C7" i="4"/>
  <c r="C10" i="4"/>
  <c r="B10" i="4"/>
  <c r="C5" i="4"/>
  <c r="B5" i="4"/>
  <c r="C13" i="4"/>
  <c r="B13" i="4"/>
  <c r="C21" i="4"/>
  <c r="B21" i="4"/>
  <c r="C29" i="4"/>
  <c r="B29" i="4"/>
  <c r="C37" i="4"/>
  <c r="B37" i="4"/>
  <c r="C45" i="4"/>
  <c r="B45" i="4"/>
  <c r="B16" i="4"/>
  <c r="C16" i="4"/>
  <c r="C2" i="4"/>
  <c r="B2" i="4"/>
  <c r="C6" i="4"/>
  <c r="B6" i="4"/>
  <c r="C14" i="4"/>
  <c r="B14" i="4"/>
  <c r="C22" i="4"/>
  <c r="B22" i="4"/>
  <c r="C30" i="4"/>
  <c r="B30" i="4"/>
  <c r="C38" i="4"/>
  <c r="B38" i="4"/>
  <c r="C46" i="4"/>
  <c r="B46" i="4"/>
  <c r="D16" i="4"/>
  <c r="H24" i="4"/>
  <c r="D24" i="4"/>
  <c r="H32" i="4"/>
  <c r="D32" i="4"/>
  <c r="H40" i="4"/>
  <c r="D40" i="4"/>
  <c r="H48" i="4"/>
  <c r="D48" i="4"/>
  <c r="D17" i="4"/>
  <c r="H25" i="4"/>
  <c r="D25" i="4"/>
  <c r="H33" i="4"/>
  <c r="D33" i="4"/>
  <c r="H41" i="4"/>
  <c r="D41" i="4"/>
  <c r="H49" i="4"/>
  <c r="D49" i="4"/>
  <c r="D8" i="4"/>
  <c r="D18" i="4"/>
  <c r="H26" i="4"/>
  <c r="D26" i="4"/>
  <c r="H34" i="4"/>
  <c r="D34" i="4"/>
  <c r="H42" i="4"/>
  <c r="D42" i="4"/>
  <c r="H50" i="4"/>
  <c r="D50" i="4"/>
  <c r="D3" i="4"/>
  <c r="D11" i="4"/>
  <c r="D19" i="4"/>
  <c r="H27" i="4"/>
  <c r="D27" i="4"/>
  <c r="H35" i="4"/>
  <c r="D35" i="4"/>
  <c r="H43" i="4"/>
  <c r="D43" i="4"/>
  <c r="D10" i="4"/>
  <c r="D4" i="4"/>
  <c r="D12" i="4"/>
  <c r="D20" i="4"/>
  <c r="H28" i="4"/>
  <c r="D28" i="4"/>
  <c r="H36" i="4"/>
  <c r="D36" i="4"/>
  <c r="H44" i="4"/>
  <c r="D44" i="4"/>
  <c r="D9" i="4"/>
  <c r="D13" i="4"/>
  <c r="D21" i="4"/>
  <c r="H29" i="4"/>
  <c r="D29" i="4"/>
  <c r="H37" i="4"/>
  <c r="D37" i="4"/>
  <c r="H45" i="4"/>
  <c r="D45" i="4"/>
  <c r="D6" i="4"/>
  <c r="D14" i="4"/>
  <c r="H22" i="4"/>
  <c r="D22" i="4"/>
  <c r="H30" i="4"/>
  <c r="D30" i="4"/>
  <c r="H38" i="4"/>
  <c r="D38" i="4"/>
  <c r="H46" i="4"/>
  <c r="D46" i="4"/>
  <c r="D2" i="4"/>
  <c r="D5" i="4"/>
  <c r="D7" i="4"/>
  <c r="D15" i="4"/>
  <c r="H23" i="4"/>
  <c r="D23" i="4"/>
  <c r="H31" i="4"/>
  <c r="D31" i="4"/>
  <c r="H39" i="4"/>
  <c r="D39" i="4"/>
  <c r="H47" i="4"/>
  <c r="D47" i="4"/>
  <c r="B1" i="17" a="1"/>
  <c r="B1" i="17" s="1"/>
  <c r="B1" i="36" a="1"/>
  <c r="B1" i="36" s="1"/>
  <c r="F40" i="4"/>
  <c r="G40" i="4"/>
  <c r="G9" i="4"/>
  <c r="F9" i="4"/>
  <c r="F17" i="4"/>
  <c r="G17" i="4"/>
  <c r="G25" i="4"/>
  <c r="F25" i="4"/>
  <c r="F33" i="4"/>
  <c r="G33" i="4"/>
  <c r="G41" i="4"/>
  <c r="F41" i="4"/>
  <c r="G49" i="4"/>
  <c r="F49" i="4"/>
  <c r="F18" i="4"/>
  <c r="G18" i="4"/>
  <c r="F26" i="4"/>
  <c r="G26" i="4"/>
  <c r="F34" i="4"/>
  <c r="G34" i="4"/>
  <c r="F42" i="4"/>
  <c r="G42" i="4"/>
  <c r="F50" i="4"/>
  <c r="G50" i="4"/>
  <c r="F16" i="4"/>
  <c r="G16" i="4"/>
  <c r="F3" i="4"/>
  <c r="G3" i="4"/>
  <c r="F11" i="4"/>
  <c r="G11" i="4"/>
  <c r="G19" i="4"/>
  <c r="F19" i="4"/>
  <c r="F27" i="4"/>
  <c r="G27" i="4"/>
  <c r="F35" i="4"/>
  <c r="G35" i="4"/>
  <c r="F43" i="4"/>
  <c r="G43" i="4"/>
  <c r="F8" i="4"/>
  <c r="G8" i="4"/>
  <c r="F4" i="4"/>
  <c r="G4" i="4"/>
  <c r="F12" i="4"/>
  <c r="G12" i="4"/>
  <c r="F20" i="4"/>
  <c r="G20" i="4"/>
  <c r="F28" i="4"/>
  <c r="G28" i="4"/>
  <c r="F36" i="4"/>
  <c r="G36" i="4"/>
  <c r="F44" i="4"/>
  <c r="G44" i="4"/>
  <c r="F48" i="4"/>
  <c r="G48" i="4"/>
  <c r="F5" i="4"/>
  <c r="G5" i="4"/>
  <c r="F13" i="4"/>
  <c r="G13" i="4"/>
  <c r="F21" i="4"/>
  <c r="G21" i="4"/>
  <c r="F29" i="4"/>
  <c r="G29" i="4"/>
  <c r="G37" i="4"/>
  <c r="F37" i="4"/>
  <c r="G45" i="4"/>
  <c r="F45" i="4"/>
  <c r="F32" i="4"/>
  <c r="G32" i="4"/>
  <c r="F10" i="4"/>
  <c r="G10" i="4"/>
  <c r="F6" i="4"/>
  <c r="G6" i="4"/>
  <c r="F14" i="4"/>
  <c r="G14" i="4"/>
  <c r="F22" i="4"/>
  <c r="G22" i="4"/>
  <c r="F30" i="4"/>
  <c r="G30" i="4"/>
  <c r="F38" i="4"/>
  <c r="G38" i="4"/>
  <c r="F46" i="4"/>
  <c r="G46" i="4"/>
  <c r="F24" i="4"/>
  <c r="G24" i="4"/>
  <c r="F7" i="4"/>
  <c r="G7" i="4"/>
  <c r="F15" i="4"/>
  <c r="G15" i="4"/>
  <c r="F23" i="4"/>
  <c r="G23" i="4"/>
  <c r="G31" i="4"/>
  <c r="F31" i="4"/>
  <c r="F39" i="4"/>
  <c r="G39" i="4"/>
  <c r="F47" i="4"/>
  <c r="G47" i="4"/>
  <c r="B1" i="5" a="1"/>
  <c r="B1" i="5" s="1"/>
  <c r="B1" i="26" a="1"/>
  <c r="B1" i="26" s="1"/>
  <c r="B1" i="11" a="1"/>
  <c r="B1" i="11" s="1"/>
  <c r="B1" i="20" a="1"/>
  <c r="B1" i="20" s="1"/>
  <c r="B1" i="27" a="1"/>
  <c r="B1" i="27" s="1"/>
  <c r="B1" i="24" a="1"/>
  <c r="B1" i="24" s="1"/>
  <c r="B1" i="18" a="1"/>
  <c r="B1" i="18" s="1"/>
  <c r="B1" i="19" a="1"/>
  <c r="B1" i="19" s="1"/>
  <c r="B1" i="12" a="1"/>
  <c r="B1" i="12" s="1"/>
  <c r="B1" i="21" a="1"/>
  <c r="B1" i="21" s="1"/>
  <c r="B1" i="28" a="1"/>
  <c r="B1" i="28" s="1"/>
  <c r="B1" i="9" a="1"/>
  <c r="B1" i="9" s="1"/>
  <c r="B1" i="13" a="1"/>
  <c r="B1" i="13" s="1"/>
  <c r="B1" i="32" a="1"/>
  <c r="B1" i="32" s="1"/>
  <c r="B1" i="14" a="1"/>
  <c r="B1" i="14" s="1"/>
  <c r="B1" i="22" a="1"/>
  <c r="B1" i="22" s="1"/>
  <c r="B1" i="25" a="1"/>
  <c r="B1" i="25" s="1"/>
  <c r="B1" i="10" a="1"/>
  <c r="B1" i="10" s="1"/>
  <c r="B1" i="2" a="1"/>
  <c r="B1" i="2" s="1"/>
  <c r="B1" i="16" a="1"/>
  <c r="B1" i="16" s="1"/>
  <c r="B1" i="23" a="1"/>
  <c r="B1" i="23" s="1"/>
  <c r="B1" i="33" a="1"/>
  <c r="B1" i="33" s="1"/>
  <c r="F2" i="4"/>
  <c r="G2" i="4"/>
  <c r="A1" i="1"/>
  <c r="D2" i="8" l="1"/>
  <c r="F2" i="8"/>
  <c r="B6" i="7"/>
  <c r="C6" i="7"/>
  <c r="D6" i="7"/>
  <c r="E6" i="7"/>
  <c r="F6" i="7"/>
  <c r="G6" i="7"/>
  <c r="H6" i="7"/>
  <c r="B5" i="7"/>
  <c r="C5" i="7"/>
  <c r="D5" i="7"/>
  <c r="E5" i="7"/>
  <c r="F5" i="7"/>
  <c r="H5" i="7"/>
  <c r="G5" i="7"/>
  <c r="H4" i="7"/>
  <c r="G4" i="7"/>
  <c r="B4" i="7"/>
  <c r="C4" i="7"/>
  <c r="D4" i="7"/>
  <c r="E4" i="7"/>
  <c r="F4" i="7"/>
  <c r="E17" i="7"/>
  <c r="F17" i="7"/>
  <c r="G17" i="7"/>
  <c r="H17" i="7"/>
  <c r="D17" i="7"/>
  <c r="B17" i="7"/>
  <c r="C17" i="7"/>
  <c r="B6" i="8"/>
  <c r="C6" i="8"/>
  <c r="D6" i="8"/>
  <c r="E6" i="8"/>
  <c r="F6" i="8"/>
  <c r="F5" i="8"/>
  <c r="B5" i="8"/>
  <c r="C5" i="8"/>
  <c r="D5" i="8"/>
  <c r="E5" i="8"/>
  <c r="D4" i="8"/>
  <c r="E4" i="8"/>
  <c r="F4" i="8"/>
  <c r="B4" i="8"/>
  <c r="C4" i="8"/>
  <c r="F17" i="8"/>
  <c r="B17" i="8"/>
  <c r="E17" i="8"/>
  <c r="C17" i="8"/>
  <c r="D17" i="8"/>
  <c r="C2" i="7"/>
  <c r="B2" i="7"/>
  <c r="H2" i="7"/>
  <c r="G2" i="7"/>
  <c r="F2" i="7"/>
  <c r="D2" i="7"/>
  <c r="E2" i="7"/>
  <c r="F10" i="7"/>
  <c r="G10" i="7"/>
  <c r="H10" i="7"/>
  <c r="B10" i="7"/>
  <c r="E10" i="7"/>
  <c r="C10" i="7"/>
  <c r="D10" i="7"/>
  <c r="G19" i="7"/>
  <c r="F19" i="7"/>
  <c r="H19" i="7"/>
  <c r="B19" i="7"/>
  <c r="C19" i="7"/>
  <c r="D19" i="7"/>
  <c r="E19" i="7"/>
  <c r="F18" i="7"/>
  <c r="G18" i="7"/>
  <c r="H18" i="7"/>
  <c r="E18" i="7"/>
  <c r="B18" i="7"/>
  <c r="C18" i="7"/>
  <c r="D18" i="7"/>
  <c r="C2" i="8"/>
  <c r="E2" i="8"/>
  <c r="B10" i="8"/>
  <c r="C10" i="8"/>
  <c r="D10" i="8"/>
  <c r="E10" i="8"/>
  <c r="F10" i="8"/>
  <c r="B19" i="8"/>
  <c r="C19" i="8"/>
  <c r="D19" i="8"/>
  <c r="E19" i="8"/>
  <c r="F19" i="8"/>
  <c r="B18" i="8"/>
  <c r="C18" i="8"/>
  <c r="D18" i="8"/>
  <c r="E18" i="8"/>
  <c r="F18" i="8"/>
  <c r="D16" i="8"/>
  <c r="E16" i="8"/>
  <c r="F16" i="8"/>
  <c r="B16" i="8"/>
  <c r="C16" i="8"/>
  <c r="B21" i="7"/>
  <c r="C21" i="7"/>
  <c r="D21" i="7"/>
  <c r="H21" i="7"/>
  <c r="E21" i="7"/>
  <c r="F21" i="7"/>
  <c r="G21" i="7"/>
  <c r="B7" i="8"/>
  <c r="C7" i="8"/>
  <c r="D7" i="8"/>
  <c r="E7" i="8"/>
  <c r="F7" i="8"/>
  <c r="H20" i="7"/>
  <c r="B20" i="7"/>
  <c r="C20" i="7"/>
  <c r="D20" i="7"/>
  <c r="G20" i="7"/>
  <c r="E20" i="7"/>
  <c r="F20" i="7"/>
  <c r="G11" i="7"/>
  <c r="F11" i="7"/>
  <c r="H11" i="7"/>
  <c r="B11" i="7"/>
  <c r="C11" i="7"/>
  <c r="D11" i="7"/>
  <c r="E11" i="7"/>
  <c r="E9" i="7"/>
  <c r="F9" i="7"/>
  <c r="G9" i="7"/>
  <c r="H9" i="7"/>
  <c r="D9" i="7"/>
  <c r="B9" i="7"/>
  <c r="C9" i="7"/>
  <c r="D8" i="8"/>
  <c r="E8" i="8"/>
  <c r="F8" i="8"/>
  <c r="C8" i="8"/>
  <c r="B8" i="8"/>
  <c r="D16" i="7"/>
  <c r="E16" i="7"/>
  <c r="C16" i="7"/>
  <c r="F16" i="7"/>
  <c r="G16" i="7"/>
  <c r="H16" i="7"/>
  <c r="B16" i="7"/>
  <c r="F21" i="8"/>
  <c r="B21" i="8"/>
  <c r="C21" i="8"/>
  <c r="D21" i="8"/>
  <c r="E21" i="8"/>
  <c r="C7" i="7"/>
  <c r="D7" i="7"/>
  <c r="E7" i="7"/>
  <c r="F7" i="7"/>
  <c r="G7" i="7"/>
  <c r="H7" i="7"/>
  <c r="B7" i="7"/>
  <c r="D20" i="8"/>
  <c r="E20" i="8"/>
  <c r="F20" i="8"/>
  <c r="C20" i="8"/>
  <c r="B20" i="8"/>
  <c r="B11" i="8"/>
  <c r="C11" i="8"/>
  <c r="D11" i="8"/>
  <c r="E11" i="8"/>
  <c r="F11" i="8"/>
  <c r="F9" i="8"/>
  <c r="B9" i="8"/>
  <c r="C9" i="8"/>
  <c r="D9" i="8"/>
  <c r="E9" i="8"/>
  <c r="D8" i="7"/>
  <c r="E8" i="7"/>
  <c r="F8" i="7"/>
  <c r="C8" i="7"/>
  <c r="G8" i="7"/>
  <c r="H8" i="7"/>
  <c r="B8" i="7"/>
  <c r="B14" i="7"/>
  <c r="C14" i="7"/>
  <c r="D14" i="7"/>
  <c r="E14" i="7"/>
  <c r="F14" i="7"/>
  <c r="G14" i="7"/>
  <c r="H14" i="7"/>
  <c r="B13" i="7"/>
  <c r="C13" i="7"/>
  <c r="H13" i="7"/>
  <c r="D13" i="7"/>
  <c r="E13" i="7"/>
  <c r="F13" i="7"/>
  <c r="G13" i="7"/>
  <c r="H12" i="7"/>
  <c r="B12" i="7"/>
  <c r="C12" i="7"/>
  <c r="D12" i="7"/>
  <c r="G12" i="7"/>
  <c r="E12" i="7"/>
  <c r="F12" i="7"/>
  <c r="G3" i="7"/>
  <c r="H3" i="7"/>
  <c r="B3" i="7"/>
  <c r="C3" i="7"/>
  <c r="F3" i="7"/>
  <c r="D3" i="7"/>
  <c r="E3" i="7"/>
  <c r="B15" i="8"/>
  <c r="C15" i="8"/>
  <c r="D15" i="8"/>
  <c r="E15" i="8"/>
  <c r="F15" i="8"/>
  <c r="B14" i="8"/>
  <c r="C14" i="8"/>
  <c r="D14" i="8"/>
  <c r="E14" i="8"/>
  <c r="F14" i="8"/>
  <c r="F13" i="8"/>
  <c r="B13" i="8"/>
  <c r="C13" i="8"/>
  <c r="D13" i="8"/>
  <c r="E13" i="8"/>
  <c r="D12" i="8"/>
  <c r="E12" i="8"/>
  <c r="F12" i="8"/>
  <c r="B12" i="8"/>
  <c r="C12" i="8"/>
  <c r="B3" i="8"/>
  <c r="C3" i="8"/>
  <c r="D3" i="8"/>
  <c r="E3" i="8"/>
  <c r="F3" i="8"/>
  <c r="C15" i="7"/>
  <c r="D15" i="7"/>
  <c r="E15" i="7"/>
  <c r="F15" i="7"/>
  <c r="G15" i="7"/>
  <c r="B15" i="7"/>
  <c r="H15" i="7"/>
  <c r="H16" i="4"/>
  <c r="H13" i="4"/>
  <c r="H12" i="4"/>
  <c r="H18" i="4"/>
  <c r="H6" i="4"/>
  <c r="H10" i="4"/>
  <c r="H7" i="4"/>
  <c r="H14" i="4"/>
  <c r="H4" i="4"/>
  <c r="H17" i="4"/>
  <c r="H8" i="4"/>
  <c r="H20" i="4"/>
  <c r="H11" i="4"/>
  <c r="H9" i="4"/>
  <c r="H15" i="4"/>
  <c r="H21" i="4"/>
  <c r="H3" i="4"/>
  <c r="H5" i="4"/>
  <c r="H19" i="4"/>
  <c r="H2" i="4"/>
  <c r="B2" i="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38"/>
  <c r="AW1" i="38"/>
  <c r="AV1" i="38"/>
  <c r="AU1" i="38"/>
  <c r="AT1" i="38"/>
  <c r="AS1" i="38"/>
  <c r="AR1" i="38"/>
  <c r="AQ1" i="38"/>
  <c r="AP1" i="38"/>
  <c r="AO1" i="38"/>
  <c r="AN1" i="38"/>
  <c r="AM1" i="38"/>
  <c r="AL1" i="38"/>
  <c r="AK1" i="38"/>
  <c r="AJ1" i="38"/>
  <c r="AI1" i="38"/>
  <c r="AH1" i="38"/>
  <c r="AG1" i="38"/>
  <c r="AF1" i="38"/>
  <c r="AE1" i="38"/>
  <c r="AD1" i="38"/>
  <c r="AC1" i="38"/>
  <c r="AB1" i="38"/>
  <c r="AA1" i="38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1" i="38"/>
  <c r="F1" i="38"/>
  <c r="E1" i="38"/>
  <c r="D1" i="38"/>
  <c r="C1" i="38"/>
  <c r="AX1" i="39"/>
  <c r="AW1" i="39"/>
  <c r="AV1" i="39"/>
  <c r="AU1" i="39"/>
  <c r="AT1" i="39"/>
  <c r="AS1" i="39"/>
  <c r="AR1" i="39"/>
  <c r="AQ1" i="39"/>
  <c r="AP1" i="39"/>
  <c r="AO1" i="39"/>
  <c r="AN1" i="39"/>
  <c r="AM1" i="39"/>
  <c r="AL1" i="39"/>
  <c r="AK1" i="39"/>
  <c r="AJ1" i="39"/>
  <c r="AI1" i="39"/>
  <c r="AH1" i="39"/>
  <c r="AG1" i="39"/>
  <c r="AF1" i="39"/>
  <c r="AE1" i="39"/>
  <c r="AD1" i="39"/>
  <c r="AC1" i="39"/>
  <c r="AB1" i="39"/>
  <c r="AA1" i="39"/>
  <c r="Z1" i="39"/>
  <c r="Y1" i="39"/>
  <c r="X1" i="39"/>
  <c r="W1" i="39"/>
  <c r="V1" i="39"/>
  <c r="U1" i="39"/>
  <c r="T1" i="39"/>
  <c r="S1" i="39"/>
  <c r="R1" i="39"/>
  <c r="Q1" i="39"/>
  <c r="P1" i="39"/>
  <c r="O1" i="39"/>
  <c r="N1" i="39"/>
  <c r="M1" i="39"/>
  <c r="L1" i="39"/>
  <c r="K1" i="39"/>
  <c r="J1" i="39"/>
  <c r="I1" i="39"/>
  <c r="H1" i="39"/>
  <c r="G1" i="39"/>
  <c r="F1" i="39"/>
  <c r="E1" i="39"/>
  <c r="D1" i="39"/>
  <c r="C1" i="3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<sst xmlns="http://schemas.openxmlformats.org/spreadsheetml/2006/main" count="168" uniqueCount="143">
  <si>
    <t>Model</t>
  </si>
  <si>
    <t>Factsheet location</t>
  </si>
  <si>
    <t>Absolute Return</t>
  </si>
  <si>
    <t>UK Equity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</si>
  <si>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</si>
  <si>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</si>
  <si>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</si>
  <si>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</si>
  <si>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</si>
  <si>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</si>
  <si>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</si>
  <si>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</si>
  <si>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</si>
  <si>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</si>
  <si>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</si>
  <si>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</si>
  <si>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</si>
  <si>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</si>
  <si>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</si>
  <si>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</si>
  <si>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</si>
  <si>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</si>
  <si>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North American Equity</t>
  </si>
  <si>
    <t>abrdn MPS - Portfolio 5</t>
  </si>
  <si>
    <t>abrdn MPS - Portfolio 1</t>
  </si>
  <si>
    <t>abrdn MPS - Portfolio 2</t>
  </si>
  <si>
    <t>abrdn MPS - Portfolio 3</t>
  </si>
  <si>
    <t>abrdn MPS - Portfolio 4</t>
  </si>
  <si>
    <t>abrdn Index MPS - Portfolio 5</t>
  </si>
  <si>
    <t>abrdn Index MPS - Portfolio 1</t>
  </si>
  <si>
    <t>abrdn Index MPS - Portfolio 2</t>
  </si>
  <si>
    <t>abrdn Index MPS - Portfolio 3</t>
  </si>
  <si>
    <t>abrdn Index MPS - Portfolio 4</t>
  </si>
  <si>
    <t>Sustainable MPS - Portfolio 5</t>
  </si>
  <si>
    <t>Sustainable MPS - Portfolio 1</t>
  </si>
  <si>
    <t>Sustainable MPS - Portfolio 2</t>
  </si>
  <si>
    <t>Sustainable MPS - Portfolio 3</t>
  </si>
  <si>
    <t>Sustainable MPS - Portfolio 4</t>
  </si>
  <si>
    <t>Sustainable Index MPS - Portfolio 5</t>
  </si>
  <si>
    <t>Sustainable Index MPS - Portfolio 1</t>
  </si>
  <si>
    <t>Sustainable Index MPS - Portfolio 2</t>
  </si>
  <si>
    <t>Sustainable Index MPS - Portfolio 3</t>
  </si>
  <si>
    <t>Sustainable Index MPS - Portfolio 4</t>
  </si>
  <si>
    <t>UK Government Bonds</t>
  </si>
  <si>
    <t xml:space="preserve">Global Government Bonds </t>
  </si>
  <si>
    <t>EM Debt</t>
  </si>
  <si>
    <t>EM Debt HC (£-hedged)</t>
  </si>
  <si>
    <t>EM Debt LC</t>
  </si>
  <si>
    <t>Global Index-Linked Government Bonds</t>
  </si>
  <si>
    <t>UK Corporate Bonds</t>
  </si>
  <si>
    <t>Global Corporate Bonds</t>
  </si>
  <si>
    <t>Global High Yield</t>
  </si>
  <si>
    <t>European Equity</t>
  </si>
  <si>
    <t>Asian Equities</t>
  </si>
  <si>
    <t>Japanese Equity</t>
  </si>
  <si>
    <t>Emerging Market Equities</t>
  </si>
  <si>
    <t>Global Infrastructure</t>
  </si>
  <si>
    <t>Alternative Strategy Funds</t>
  </si>
  <si>
    <t>Global REITs</t>
  </si>
  <si>
    <t>Liquidity</t>
  </si>
  <si>
    <t>Asset allocation</t>
  </si>
  <si>
    <t>Additional infirmation</t>
  </si>
  <si>
    <t>Inception date</t>
  </si>
  <si>
    <t>Yield1</t>
  </si>
  <si>
    <t>Annual management fee</t>
  </si>
  <si>
    <t>Underlying OCF</t>
  </si>
  <si>
    <t>1 Month Performance</t>
  </si>
  <si>
    <t>Global Government Bonds</t>
  </si>
  <si>
    <t>Global Inflation-Linked Gov Bonds</t>
  </si>
  <si>
    <t>Global IG Corporate Bonds (£-hedged)</t>
  </si>
  <si>
    <t>Global REITS</t>
  </si>
  <si>
    <t>Global Index-Linked Gov Bonds</t>
  </si>
  <si>
    <t>Date</t>
  </si>
  <si>
    <t>PDF Name Match</t>
  </si>
  <si>
    <t>PDF Link</t>
  </si>
  <si>
    <t>Website</t>
  </si>
  <si>
    <t>No Data</t>
  </si>
  <si>
    <t>old structure</t>
  </si>
  <si>
    <t>Global High Yield Bonds</t>
  </si>
  <si>
    <t>UK Equities</t>
  </si>
  <si>
    <t>North American Equities</t>
  </si>
  <si>
    <t>European Equities</t>
  </si>
  <si>
    <t>Developed Asian Equities</t>
  </si>
  <si>
    <t>Japanese Equities</t>
  </si>
  <si>
    <t>Global Inflation-Linked Government Bonds</t>
  </si>
  <si>
    <t>Emerging Market Debt</t>
  </si>
  <si>
    <t>Emerging Market Debt (HC and LC)</t>
  </si>
  <si>
    <t>Global Equities</t>
  </si>
  <si>
    <t>Annual Management Charge</t>
  </si>
  <si>
    <t>Unclassified</t>
  </si>
  <si>
    <t>https://www.abrdn.com/en-gb/intermediary/investment-solutions/managed-portfolio-service/literature</t>
  </si>
  <si>
    <t>1M</t>
  </si>
  <si>
    <t>3M</t>
  </si>
  <si>
    <t>6M</t>
  </si>
  <si>
    <t>1Y</t>
  </si>
  <si>
    <t>3Y</t>
  </si>
  <si>
    <t>5Y</t>
  </si>
  <si>
    <t>Since Inception</t>
  </si>
  <si>
    <t>Volatility2</t>
  </si>
  <si>
    <t>3 Year Performance</t>
  </si>
  <si>
    <t>5 Year Performance</t>
  </si>
  <si>
    <t>High Yield</t>
  </si>
  <si>
    <t>abrdn Index MPS portfolio 1</t>
  </si>
  <si>
    <t>abrdn MPS portfolio 1</t>
  </si>
  <si>
    <t>abrdn MPS portfolio 2</t>
  </si>
  <si>
    <t>abrdn MPS portfolio 3</t>
  </si>
  <si>
    <t>abrdn MPS portfolio 4</t>
  </si>
  <si>
    <t>abrdn MPS portfolio 5</t>
  </si>
  <si>
    <t>abrdn Index MPS portfolio 2</t>
  </si>
  <si>
    <t>abrdn Index MPS portfolio 3</t>
  </si>
  <si>
    <t>abrdn Index MPS portfolio 4</t>
  </si>
  <si>
    <t>abrdn Index MPS portfolio 5</t>
  </si>
  <si>
    <t>abrdn Sustainable MPS portfolio 1</t>
  </si>
  <si>
    <t>abrdn Sustainable MPS portfolio 2</t>
  </si>
  <si>
    <t>abrdn Sustainable MPS portfolio 3</t>
  </si>
  <si>
    <t>abrdn Sustainable MPS portfolio 4</t>
  </si>
  <si>
    <t>abrdn Sustainable MPS portfolio 5</t>
  </si>
  <si>
    <t>abrdn Sustainable Index MPS portfolio 1</t>
  </si>
  <si>
    <t>abrdn Sustainable Index MPS portfolio 2</t>
  </si>
  <si>
    <t>abrdn Sustainable Index MPS portfolio 4</t>
  </si>
  <si>
    <t>abrdn Sustainable Index MPS portfolio 5</t>
  </si>
  <si>
    <t>abrdn Sustainable Index MPS portfolio 3</t>
  </si>
  <si>
    <t>US Government Bonds</t>
  </si>
  <si>
    <t>https://www.abrdn.com/docs?editionId=b2125709-dc9a-4589-9bfb-df729f1192e9</t>
  </si>
  <si>
    <t>https://www.abrdn.com/docs?editionId=4f0b3b33-d6c0-406f-babb-cc02c4f20300</t>
  </si>
  <si>
    <t>https://www.abrdn.com/docs?editionId=34136d46-6633-45a9-8f2a-c5626d0004d2</t>
  </si>
  <si>
    <t>https://www.abrdn.com/docs?editionId=6eba6561-ea93-49cb-9d70-d8afba75d7fd</t>
  </si>
  <si>
    <t>https://www.abrdn.com/docs?editionId=c6e0458f-9b7a-43da-a6c2-920cfb67af4b</t>
  </si>
  <si>
    <t>https://www.abrdn.com/docs?editionId=0b53ff45-09cd-4b13-ba88-f390084d9430</t>
  </si>
  <si>
    <t>https://www.abrdn.com/docs?editionId=869862e9-4681-4738-8a9e-21f3e7c56df1</t>
  </si>
  <si>
    <t>https://www.abrdn.com/docs?editionId=6439769c-03eb-4f67-aafe-dd6d6cd75427</t>
  </si>
  <si>
    <t>https://www.abrdn.com/docs?editionId=037dbc2c-9723-4ac5-9068-3eb4355f9708</t>
  </si>
  <si>
    <t>https://www.abrdn.com/docs?editionId=71d2f25d-a39d-4558-ab24-6508290aaf8c</t>
  </si>
  <si>
    <t>https://www.abrdn.com/docs?editionId=04e6a01e-0c67-4aee-a0a3-bd8a67099764</t>
  </si>
  <si>
    <t>https://www.abrdn.com/docs?editionId=ecda13f7-3084-480a-ad31-288be951afad</t>
  </si>
  <si>
    <t>https://www.abrdn.com/docs?editionId=353b9e8c-3947-43b6-8a2e-692dd9b32acf</t>
  </si>
  <si>
    <t>https://www.abrdn.com/docs?editionId=7cc6798e-3cec-4a0b-96ea-97e5bf945326</t>
  </si>
  <si>
    <t>https://www.abrdn.com/docs?editionId=dd2dcc34-f915-47b8-9c41-eaee95e5647a</t>
  </si>
  <si>
    <t>https://www.abrdn.com/docs?editionId=5e3fe385-404f-4dec-812a-6f0036123c7f</t>
  </si>
  <si>
    <t>https://www.abrdn.com/docs?editionId=edf5bab0-0c4b-4302-9465-d63f81a4a2f5</t>
  </si>
  <si>
    <t>https://www.abrdn.com/docs?editionId=40e1d1e1-fffd-462b-837a-1e30be562357</t>
  </si>
  <si>
    <t>https://www.abrdn.com/docs?editionId=33a4da04-399b-4004-98ba-b5bd950f2e7d</t>
  </si>
  <si>
    <t>https://www.abrdn.com/docs?editionId=e803fa59-1092-4171-8a5a-960ff27f34e8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</si>
</sst>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5" fontId="0" fillId="0" borderId="0" xfId="0" applyNumberFormat="1"/>
    <xf numFmtId="10" fontId="0" fillId="0" borderId="0" xfId="0" applyNumberFormat="1"/>
    <xf numFmtId="0" fontId="0" fillId="2" borderId="0" xfId="0" applyFill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12700</xdr:colOff>
      <xdr:row>1</xdr:row>
      <xdr:rowOff>95250</xdr:rowOff>
    </xdr:from>
    <xdr:to>
      <xdr:col>12</xdr:col>
      <xdr:colOff>419278</xdr:colOff>
      <xdr:row>22</xdr:row>
      <xdr:rowOff>82748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B8EDC0D-8998-C9A9-1196-BBEF478402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99100" y="279400"/>
          <a:ext cx="3454578" cy="38546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114300</xdr:rowOff>
    </xdr:from>
    <xdr:to>
      <xdr:col>6</xdr:col>
      <xdr:colOff>497282</xdr:colOff>
      <xdr:row>17</xdr:row>
      <xdr:rowOff>146260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CFB96D5-C3F8-AB7D-A89E-9649DD9821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98450"/>
          <a:ext cx="4154882" cy="2978360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18</xdr:row>
      <xdr:rowOff>177800</xdr:rowOff>
    </xdr:from>
    <xdr:to>
      <xdr:col>6</xdr:col>
      <xdr:colOff>513524</xdr:colOff>
      <xdr:row>32</xdr:row>
      <xdr:rowOff>6558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AC5824F-BBB1-53A2-2205-2540D9DCEF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0650" y="3492500"/>
          <a:ext cx="4050474" cy="240685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H1"/>
  <sheetViews>
    <sheetView workbookViewId="0"/>
  </sheetViews>
  <sheetFormatPr defaultRowHeight="15" x14ac:dyDescent="0.25"/>
  <sheetData>
    <row r="1" spans="1:8" x14ac:dyDescent="0.25">
      <c r="A1" s="3" t="s">
        <v>61</v>
      </c>
      <c r="H1" s="3" t="s">
        <v>60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22"/>
  <sheetViews>
    <sheetView workbookViewId="0">
      <selection activeCell="J6" sqref="J6"/>
    </sheetView>
  </sheetViews>
  <sheetFormatPr defaultRowHeight="15" x14ac:dyDescent="0.25"/>
  <cols>
    <col min="1" max="1" width="35.5703125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45260</v>
      </c>
      <c r="B1" t="s">
        <v>77</v>
      </c>
    </row>
    <row r="2" spans="1:10" x14ac:dyDescent="0.25">
      <c r="A2" t="s">
        <v>0</v>
      </c>
      <c r="B2" s="3" t="s">
        <v>1</v>
      </c>
      <c r="C2" t="s">
        <v>90</v>
      </c>
    </row>
    <row r="3" spans="1:10" x14ac:dyDescent="0.25">
      <c r="A3" t="s">
        <v>24</v>
      </c>
      <c r="B3" t="str">
        <f>'PDF Scraping'!D2</f>
        <v>https://www.abrdn.com/docs?editionId=b2125709-dc9a-4589-9bfb-df729f1192e9</v>
      </c>
      <c r="J3" s="4"/>
    </row>
    <row r="4" spans="1:10" x14ac:dyDescent="0.25">
      <c r="A4" t="s">
        <v>25</v>
      </c>
      <c r="B4" t="str">
        <f>'PDF Scraping'!D3</f>
        <v>https://www.abrdn.com/docs?editionId=4f0b3b33-d6c0-406f-babb-cc02c4f20300</v>
      </c>
      <c r="J4" s="4"/>
    </row>
    <row r="5" spans="1:10" x14ac:dyDescent="0.25">
      <c r="A5" t="s">
        <v>26</v>
      </c>
      <c r="B5" t="str">
        <f>'PDF Scraping'!D4</f>
        <v>https://www.abrdn.com/docs?editionId=34136d46-6633-45a9-8f2a-c5626d0004d2</v>
      </c>
    </row>
    <row r="6" spans="1:10" x14ac:dyDescent="0.25">
      <c r="A6" t="s">
        <v>27</v>
      </c>
      <c r="B6" t="str">
        <f>'PDF Scraping'!D5</f>
        <v>https://www.abrdn.com/docs?editionId=6eba6561-ea93-49cb-9d70-d8afba75d7fd</v>
      </c>
    </row>
    <row r="7" spans="1:10" x14ac:dyDescent="0.25">
      <c r="A7" t="s">
        <v>23</v>
      </c>
      <c r="B7" t="str">
        <f>'PDF Scraping'!D6</f>
        <v>https://www.abrdn.com/docs?editionId=c6e0458f-9b7a-43da-a6c2-920cfb67af4b</v>
      </c>
    </row>
    <row r="8" spans="1:10" x14ac:dyDescent="0.25">
      <c r="A8" t="s">
        <v>29</v>
      </c>
      <c r="B8" t="str">
        <f>'PDF Scraping'!D7</f>
        <v>https://www.abrdn.com/docs?editionId=0b53ff45-09cd-4b13-ba88-f390084d9430</v>
      </c>
    </row>
    <row r="9" spans="1:10" x14ac:dyDescent="0.25">
      <c r="A9" t="s">
        <v>30</v>
      </c>
      <c r="B9" t="str">
        <f>'PDF Scraping'!D8</f>
        <v>https://www.abrdn.com/docs?editionId=869862e9-4681-4738-8a9e-21f3e7c56df1</v>
      </c>
    </row>
    <row r="10" spans="1:10" x14ac:dyDescent="0.25">
      <c r="A10" t="s">
        <v>31</v>
      </c>
      <c r="B10" t="str">
        <f>'PDF Scraping'!D9</f>
        <v>https://www.abrdn.com/docs?editionId=6439769c-03eb-4f67-aafe-dd6d6cd75427</v>
      </c>
    </row>
    <row r="11" spans="1:10" x14ac:dyDescent="0.25">
      <c r="A11" t="s">
        <v>32</v>
      </c>
      <c r="B11" t="str">
        <f>'PDF Scraping'!D10</f>
        <v>https://www.abrdn.com/docs?editionId=037dbc2c-9723-4ac5-9068-3eb4355f9708</v>
      </c>
    </row>
    <row r="12" spans="1:10" x14ac:dyDescent="0.25">
      <c r="A12" t="s">
        <v>28</v>
      </c>
      <c r="B12" t="str">
        <f>'PDF Scraping'!D11</f>
        <v>https://www.abrdn.com/docs?editionId=71d2f25d-a39d-4558-ab24-6508290aaf8c</v>
      </c>
    </row>
    <row r="13" spans="1:10" x14ac:dyDescent="0.25">
      <c r="A13" t="s">
        <v>34</v>
      </c>
      <c r="B13" t="str">
        <f>'PDF Scraping'!D12</f>
        <v>https://www.abrdn.com/docs?editionId=04e6a01e-0c67-4aee-a0a3-bd8a67099764</v>
      </c>
    </row>
    <row r="14" spans="1:10" x14ac:dyDescent="0.25">
      <c r="A14" t="s">
        <v>35</v>
      </c>
      <c r="B14" t="str">
        <f>'PDF Scraping'!D13</f>
        <v>https://www.abrdn.com/docs?editionId=ecda13f7-3084-480a-ad31-288be951afad</v>
      </c>
    </row>
    <row r="15" spans="1:10" x14ac:dyDescent="0.25">
      <c r="A15" t="s">
        <v>36</v>
      </c>
      <c r="B15" t="str">
        <f>'PDF Scraping'!D14</f>
        <v>https://www.abrdn.com/docs?editionId=353b9e8c-3947-43b6-8a2e-692dd9b32acf</v>
      </c>
    </row>
    <row r="16" spans="1:10" x14ac:dyDescent="0.25">
      <c r="A16" t="s">
        <v>37</v>
      </c>
      <c r="B16" t="str">
        <f>'PDF Scraping'!D15</f>
        <v>https://www.abrdn.com/docs?editionId=7cc6798e-3cec-4a0b-96ea-97e5bf945326</v>
      </c>
    </row>
    <row r="17" spans="1:2" x14ac:dyDescent="0.25">
      <c r="A17" t="s">
        <v>33</v>
      </c>
      <c r="B17" t="str">
        <f>'PDF Scraping'!D16</f>
        <v>https://www.abrdn.com/docs?editionId=dd2dcc34-f915-47b8-9c41-eaee95e5647a</v>
      </c>
    </row>
    <row r="18" spans="1:2" x14ac:dyDescent="0.25">
      <c r="A18" t="s">
        <v>39</v>
      </c>
      <c r="B18" t="str">
        <f>'PDF Scraping'!D17</f>
        <v>https://www.abrdn.com/docs?editionId=5e3fe385-404f-4dec-812a-6f0036123c7f</v>
      </c>
    </row>
    <row r="19" spans="1:2" x14ac:dyDescent="0.25">
      <c r="A19" t="s">
        <v>40</v>
      </c>
      <c r="B19" t="str">
        <f>'PDF Scraping'!D18</f>
        <v>https://www.abrdn.com/docs?editionId=edf5bab0-0c4b-4302-9465-d63f81a4a2f5</v>
      </c>
    </row>
    <row r="20" spans="1:2" x14ac:dyDescent="0.25">
      <c r="A20" t="s">
        <v>41</v>
      </c>
      <c r="B20" t="str">
        <f>'PDF Scraping'!D19</f>
        <v>https://www.abrdn.com/docs?editionId=40e1d1e1-fffd-462b-837a-1e30be562357</v>
      </c>
    </row>
    <row r="21" spans="1:2" x14ac:dyDescent="0.25">
      <c r="A21" t="s">
        <v>42</v>
      </c>
      <c r="B21" t="str">
        <f>'PDF Scraping'!D20</f>
        <v>https://www.abrdn.com/docs?editionId=33a4da04-399b-4004-98ba-b5bd950f2e7d</v>
      </c>
    </row>
    <row r="22" spans="1:2" x14ac:dyDescent="0.25">
      <c r="A22" t="s">
        <v>38</v>
      </c>
      <c r="B22" t="str">
        <f>'PDF Scraping'!D21</f>
        <v>https://www.abrdn.com/docs?editionId=e803fa59-1092-4171-8a5a-960ff27f34e8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N50"/>
  <sheetViews>
    <sheetView workbookViewId="0">
      <selection activeCell="A2" sqref="A2"/>
    </sheetView>
  </sheetViews>
  <sheetFormatPr defaultRowHeight="15" x14ac:dyDescent="0.25"/>
  <cols>
    <col min="1" max="1" width="32.5703125" bestFit="1" customWidth="1"/>
    <col min="2" max="3" width="19.140625" customWidth="1"/>
    <col min="4" max="4" width="17.42578125" bestFit="1" customWidth="1"/>
    <col min="5" max="5" width="21.5703125" bestFit="1" customWidth="1"/>
    <col min="6" max="6" width="13.7109375" bestFit="1" customWidth="1"/>
    <col min="7" max="7" width="21.5703125" bestFit="1" customWidth="1"/>
    <col min="8" max="8" width="13.7109375" bestFit="1" customWidth="1"/>
  </cols>
  <sheetData>
    <row r="1" spans="1:14" x14ac:dyDescent="0.25">
      <c r="B1" t="s">
        <v>72</v>
      </c>
      <c r="C1" t="s">
        <v>62</v>
      </c>
      <c r="D1" t="s">
        <v>63</v>
      </c>
      <c r="E1" t="s">
        <v>64</v>
      </c>
      <c r="F1" t="s">
        <v>65</v>
      </c>
      <c r="G1" t="s">
        <v>91</v>
      </c>
      <c r="H1" t="s">
        <v>92</v>
      </c>
      <c r="I1" t="s">
        <v>93</v>
      </c>
      <c r="J1" t="s">
        <v>94</v>
      </c>
      <c r="K1" t="s">
        <v>95</v>
      </c>
      <c r="L1" t="s">
        <v>96</v>
      </c>
      <c r="M1" t="s">
        <v>97</v>
      </c>
      <c r="N1" t="s">
        <v>98</v>
      </c>
    </row>
    <row r="2" spans="1:14" x14ac:dyDescent="0.25">
      <c r="A2" t="str">
        <f>IF(Input!A3="","",Input!A3)</f>
        <v>abrdn MPS - Portfolio 1</v>
      </c>
      <c r="B2" s="1"/>
      <c r="C2" s="5"/>
      <c r="D2" s="6"/>
      <c r="E2" s="6"/>
      <c r="F2" s="6"/>
      <c r="G2" s="6"/>
      <c r="H2" s="6"/>
      <c r="I2" s="6"/>
      <c r="J2" s="6"/>
      <c r="K2" s="6"/>
      <c r="L2" s="6"/>
      <c r="M2" s="6"/>
      <c r="N2" s="6"/>
    </row>
    <row r="3" spans="1:14" x14ac:dyDescent="0.25">
      <c r="A3" t="str">
        <f>IF(Input!A4="","",Input!A4)</f>
        <v>abrdn MPS - Portfolio 2</v>
      </c>
      <c r="B3" s="1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6"/>
    </row>
    <row r="4" spans="1:14" x14ac:dyDescent="0.25">
      <c r="A4" t="str">
        <f>IF(Input!A5="","",Input!A5)</f>
        <v>abrdn MPS - Portfolio 3</v>
      </c>
      <c r="B4" s="1"/>
      <c r="C4" s="5"/>
      <c r="D4" s="6"/>
      <c r="E4" s="6"/>
      <c r="F4" s="6"/>
      <c r="G4" s="6"/>
      <c r="H4" s="6"/>
      <c r="I4" s="6"/>
      <c r="J4" s="6"/>
      <c r="K4" s="6"/>
      <c r="L4" s="6"/>
      <c r="M4" s="6"/>
      <c r="N4" s="6"/>
    </row>
    <row r="5" spans="1:14" x14ac:dyDescent="0.25">
      <c r="A5" t="str">
        <f>IF(Input!A6="","",Input!A6)</f>
        <v>abrdn MPS - Portfolio 4</v>
      </c>
      <c r="B5" s="1"/>
      <c r="C5" s="5"/>
      <c r="D5" s="6"/>
      <c r="E5" s="6"/>
      <c r="F5" s="6"/>
      <c r="G5" s="6"/>
      <c r="H5" s="6"/>
      <c r="I5" s="6"/>
      <c r="J5" s="6"/>
      <c r="K5" s="6"/>
      <c r="L5" s="6"/>
      <c r="M5" s="6"/>
      <c r="N5" s="6"/>
    </row>
    <row r="6" spans="1:14" x14ac:dyDescent="0.25">
      <c r="A6" t="str">
        <f>IF(Input!A7="","",Input!A7)</f>
        <v>abrdn MPS - Portfolio 5</v>
      </c>
      <c r="B6" s="1"/>
      <c r="C6" s="5"/>
      <c r="D6" s="6"/>
      <c r="E6" s="6"/>
      <c r="F6" s="6"/>
      <c r="G6" s="6"/>
      <c r="H6" s="6"/>
      <c r="I6" s="6"/>
      <c r="J6" s="6"/>
      <c r="K6" s="6"/>
      <c r="L6" s="6"/>
      <c r="M6" s="6"/>
      <c r="N6" s="6"/>
    </row>
    <row r="7" spans="1:14" x14ac:dyDescent="0.25">
      <c r="A7" t="str">
        <f>IF(Input!A8="","",Input!A8)</f>
        <v>abrdn Index MPS - Portfolio 1</v>
      </c>
      <c r="B7" s="1">
        <v>45229</v>
      </c>
      <c r="C7" s="5">
        <v>43593</v>
      </c>
      <c r="D7" s="6">
        <v>2.87E-2</v>
      </c>
      <c r="E7" s="6">
        <v>1E-3</v>
      </c>
      <c r="F7" s="6">
        <v>1E-3</v>
      </c>
      <c r="G7" s="6">
        <v>-9.0000000000000011E-3</v>
      </c>
      <c r="H7" s="6">
        <v>-2.4700000000000003E-2</v>
      </c>
      <c r="I7" s="6">
        <v>-2.4199999999999999E-2</v>
      </c>
      <c r="J7" s="6">
        <v>1.23E-2</v>
      </c>
      <c r="K7" s="6">
        <v>-2.58E-2</v>
      </c>
      <c r="L7" s="6"/>
      <c r="M7" s="6">
        <v>6.6E-3</v>
      </c>
      <c r="N7" s="6">
        <v>0.06</v>
      </c>
    </row>
    <row r="8" spans="1:14" x14ac:dyDescent="0.25">
      <c r="A8" t="str">
        <f>IF(Input!A9="","",Input!A9)</f>
        <v>abrdn Index MPS - Portfolio 2</v>
      </c>
      <c r="B8" s="1">
        <v>45229</v>
      </c>
      <c r="C8" s="5">
        <v>43593</v>
      </c>
      <c r="D8" s="6">
        <v>2.8799999999999999E-2</v>
      </c>
      <c r="E8" s="6">
        <v>1E-3</v>
      </c>
      <c r="F8" s="6">
        <v>1.1000000000000001E-3</v>
      </c>
      <c r="G8" s="6">
        <v>-1.47E-2</v>
      </c>
      <c r="H8" s="6">
        <v>-3.15E-2</v>
      </c>
      <c r="I8" s="6">
        <v>-2.0299999999999999E-2</v>
      </c>
      <c r="J8" s="6">
        <v>2.29E-2</v>
      </c>
      <c r="K8" s="6">
        <v>4.4400000000000002E-2</v>
      </c>
      <c r="L8" s="6"/>
      <c r="M8" s="6">
        <v>6.3099999999999989E-2</v>
      </c>
      <c r="N8" s="6">
        <v>7.0800000000000002E-2</v>
      </c>
    </row>
    <row r="9" spans="1:14" x14ac:dyDescent="0.25">
      <c r="A9" t="str">
        <f>IF(Input!A10="","",Input!A10)</f>
        <v>abrdn Index MPS - Portfolio 3</v>
      </c>
      <c r="B9" s="1">
        <v>45229</v>
      </c>
      <c r="C9" s="5">
        <v>43593</v>
      </c>
      <c r="D9" s="6">
        <v>2.87E-2</v>
      </c>
      <c r="E9" s="6">
        <v>1E-3</v>
      </c>
      <c r="F9" s="6">
        <v>1.1999999999999999E-3</v>
      </c>
      <c r="G9" s="6">
        <v>-1.9099999999999999E-2</v>
      </c>
      <c r="H9" s="6">
        <v>-3.61E-2</v>
      </c>
      <c r="I9" s="6">
        <v>-1.72E-2</v>
      </c>
      <c r="J9" s="6">
        <v>2.9900000000000003E-2</v>
      </c>
      <c r="K9" s="6">
        <v>0.1303</v>
      </c>
      <c r="L9" s="6"/>
      <c r="M9" s="6">
        <v>0.13200000000000001</v>
      </c>
      <c r="N9" s="6">
        <v>8.2100000000000006E-2</v>
      </c>
    </row>
    <row r="10" spans="1:14" x14ac:dyDescent="0.25">
      <c r="A10" t="str">
        <f>IF(Input!A11="","",Input!A11)</f>
        <v>abrdn Index MPS - Portfolio 4</v>
      </c>
      <c r="B10" s="1">
        <v>45229</v>
      </c>
      <c r="C10" s="5">
        <v>43593</v>
      </c>
      <c r="D10" s="6">
        <v>2.76E-2</v>
      </c>
      <c r="E10" s="6">
        <v>1E-3</v>
      </c>
      <c r="F10" s="6">
        <v>1.1000000000000001E-3</v>
      </c>
      <c r="G10" s="6">
        <v>-2.4E-2</v>
      </c>
      <c r="H10" s="6">
        <v>-4.1799999999999997E-2</v>
      </c>
      <c r="I10" s="6">
        <v>-1.5600000000000001E-2</v>
      </c>
      <c r="J10" s="6">
        <v>3.44E-2</v>
      </c>
      <c r="K10" s="6">
        <v>0.19589999999999999</v>
      </c>
      <c r="L10" s="6"/>
      <c r="M10" s="6">
        <v>0.18170000000000003</v>
      </c>
      <c r="N10" s="6">
        <v>9.4100000000000003E-2</v>
      </c>
    </row>
    <row r="11" spans="1:14" x14ac:dyDescent="0.25">
      <c r="A11" t="str">
        <f>IF(Input!A12="","",Input!A12)</f>
        <v>abrdn Index MPS - Portfolio 5</v>
      </c>
      <c r="B11" s="1">
        <v>45229</v>
      </c>
      <c r="C11" s="5">
        <v>43593</v>
      </c>
      <c r="D11" s="6">
        <v>2.3599999999999999E-2</v>
      </c>
      <c r="E11" s="6">
        <v>1E-3</v>
      </c>
      <c r="F11" s="6">
        <v>8.9999999999999998E-4</v>
      </c>
      <c r="G11" s="6">
        <v>-2.7900000000000001E-2</v>
      </c>
      <c r="H11" s="6">
        <v>-4.4999999999999998E-2</v>
      </c>
      <c r="I11" s="6">
        <v>-1.1699999999999999E-2</v>
      </c>
      <c r="J11" s="6">
        <v>4.2900000000000001E-2</v>
      </c>
      <c r="K11" s="6">
        <v>0.28309999999999996</v>
      </c>
      <c r="L11" s="6"/>
      <c r="M11" s="6">
        <v>0.27260000000000001</v>
      </c>
      <c r="N11" s="6">
        <v>0.1014</v>
      </c>
    </row>
    <row r="12" spans="1:14" x14ac:dyDescent="0.25">
      <c r="A12" t="str">
        <f>IF(Input!A13="","",Input!A13)</f>
        <v>Sustainable MPS - Portfolio 1</v>
      </c>
      <c r="B12" s="1">
        <v>45229</v>
      </c>
      <c r="C12" s="5">
        <v>44041</v>
      </c>
      <c r="D12" s="6">
        <v>2.4300000000000002E-2</v>
      </c>
      <c r="E12" s="6">
        <v>2E-3</v>
      </c>
      <c r="F12" s="6">
        <v>3.2000000000000002E-3</v>
      </c>
      <c r="G12" s="6">
        <v>-1.32E-2</v>
      </c>
      <c r="H12" s="6">
        <v>-3.6200000000000003E-2</v>
      </c>
      <c r="I12" s="6">
        <v>-4.1200000000000001E-2</v>
      </c>
      <c r="J12" s="6">
        <v>-7.7000000000000002E-3</v>
      </c>
      <c r="K12" s="6">
        <v>-0.13739999999999999</v>
      </c>
      <c r="L12" s="6"/>
      <c r="M12" s="6">
        <v>-0.14130000000000001</v>
      </c>
      <c r="N12" s="6">
        <v>6.6299999999999998E-2</v>
      </c>
    </row>
    <row r="13" spans="1:14" x14ac:dyDescent="0.25">
      <c r="A13" t="str">
        <f>IF(Input!A14="","",Input!A14)</f>
        <v>Sustainable MPS - Portfolio 2</v>
      </c>
      <c r="B13" s="1">
        <v>45229</v>
      </c>
      <c r="C13" s="5">
        <v>44041</v>
      </c>
      <c r="D13" s="6">
        <v>2.1299999999999999E-2</v>
      </c>
      <c r="E13" s="6">
        <v>2E-3</v>
      </c>
      <c r="F13" s="6">
        <v>4.0999999999999995E-3</v>
      </c>
      <c r="G13" s="6">
        <v>-2.12E-2</v>
      </c>
      <c r="H13" s="6">
        <v>-5.1299999999999998E-2</v>
      </c>
      <c r="I13" s="6">
        <v>-5.1500000000000004E-2</v>
      </c>
      <c r="J13" s="6">
        <v>-1.1899999999999999E-2</v>
      </c>
      <c r="K13" s="6">
        <v>-8.09E-2</v>
      </c>
      <c r="L13" s="6"/>
      <c r="M13" s="6">
        <v>-7.9100000000000004E-2</v>
      </c>
      <c r="N13" s="6">
        <v>8.3299999999999999E-2</v>
      </c>
    </row>
    <row r="14" spans="1:14" x14ac:dyDescent="0.25">
      <c r="A14" t="str">
        <f>IF(Input!A15="","",Input!A15)</f>
        <v>Sustainable MPS - Portfolio 3</v>
      </c>
      <c r="B14" s="1">
        <v>45229</v>
      </c>
      <c r="C14" s="5">
        <v>44041</v>
      </c>
      <c r="D14" s="6">
        <v>1.9900000000000001E-2</v>
      </c>
      <c r="E14" s="6">
        <v>2E-3</v>
      </c>
      <c r="F14" s="6">
        <v>4.7999999999999996E-3</v>
      </c>
      <c r="G14" s="6">
        <v>-2.7400000000000001E-2</v>
      </c>
      <c r="H14" s="6">
        <v>-6.3500000000000001E-2</v>
      </c>
      <c r="I14" s="6">
        <v>-6.13E-2</v>
      </c>
      <c r="J14" s="6">
        <v>-1.8799999999999997E-2</v>
      </c>
      <c r="K14" s="6">
        <v>-4.1799999999999997E-2</v>
      </c>
      <c r="L14" s="6"/>
      <c r="M14" s="6">
        <v>-3.4700000000000002E-2</v>
      </c>
      <c r="N14" s="6">
        <v>0.1024</v>
      </c>
    </row>
    <row r="15" spans="1:14" x14ac:dyDescent="0.25">
      <c r="A15" t="str">
        <f>IF(Input!A16="","",Input!A16)</f>
        <v>Sustainable MPS - Portfolio 4</v>
      </c>
      <c r="B15" s="1">
        <v>45229</v>
      </c>
      <c r="C15" s="5">
        <v>44041</v>
      </c>
      <c r="D15" s="6">
        <v>1.6799999999999999E-2</v>
      </c>
      <c r="E15" s="6">
        <v>2E-3</v>
      </c>
      <c r="F15" s="6">
        <v>5.5000000000000005E-3</v>
      </c>
      <c r="G15" s="6">
        <v>-3.4599999999999999E-2</v>
      </c>
      <c r="H15" s="6">
        <v>-7.6499999999999999E-2</v>
      </c>
      <c r="I15" s="6">
        <v>-7.0999999999999994E-2</v>
      </c>
      <c r="J15" s="6">
        <v>-2.3799999999999998E-2</v>
      </c>
      <c r="K15" s="6">
        <v>4.0999999999999995E-3</v>
      </c>
      <c r="L15" s="6"/>
      <c r="M15" s="6">
        <v>1.66E-2</v>
      </c>
      <c r="N15" s="6">
        <v>0.11779999999999999</v>
      </c>
    </row>
    <row r="16" spans="1:14" x14ac:dyDescent="0.25">
      <c r="A16" t="str">
        <f>IF(Input!A17="","",Input!A17)</f>
        <v>Sustainable MPS - Portfolio 5</v>
      </c>
      <c r="B16" s="1">
        <v>45229</v>
      </c>
      <c r="C16" s="5">
        <v>44041</v>
      </c>
      <c r="D16" s="6">
        <v>1.0500000000000001E-2</v>
      </c>
      <c r="E16" s="6">
        <v>2E-3</v>
      </c>
      <c r="F16" s="6">
        <v>6.4000000000000003E-3</v>
      </c>
      <c r="G16" s="6">
        <v>-4.1299999999999996E-2</v>
      </c>
      <c r="H16" s="6">
        <v>-8.900000000000001E-2</v>
      </c>
      <c r="I16" s="6">
        <v>-8.3000000000000004E-2</v>
      </c>
      <c r="J16" s="6">
        <v>-3.4599999999999999E-2</v>
      </c>
      <c r="K16" s="6">
        <v>2.98E-2</v>
      </c>
      <c r="L16" s="6"/>
      <c r="M16" s="6">
        <v>4.5899999999999996E-2</v>
      </c>
      <c r="N16" s="6">
        <v>0.13550000000000001</v>
      </c>
    </row>
    <row r="17" spans="1:14" x14ac:dyDescent="0.25">
      <c r="A17" t="str">
        <f>IF(Input!A18="","",Input!A18)</f>
        <v>Sustainable Index MPS - Portfolio 1</v>
      </c>
      <c r="B17" s="1">
        <v>45229</v>
      </c>
      <c r="C17" s="5">
        <v>44739</v>
      </c>
      <c r="D17" s="6">
        <v>2.9100000000000001E-2</v>
      </c>
      <c r="E17" s="6">
        <v>1E-3</v>
      </c>
      <c r="F17" s="6">
        <v>1.1999999999999999E-3</v>
      </c>
      <c r="G17" s="6">
        <v>-9.1000000000000004E-3</v>
      </c>
      <c r="H17" s="6">
        <v>-2.5399999999999999E-2</v>
      </c>
      <c r="I17" s="6">
        <v>-2.53E-2</v>
      </c>
      <c r="J17" s="6">
        <v>1.34E-2</v>
      </c>
      <c r="K17" s="6"/>
      <c r="L17" s="6"/>
      <c r="M17" s="6">
        <v>-0.02</v>
      </c>
      <c r="N17" s="6"/>
    </row>
    <row r="18" spans="1:14" x14ac:dyDescent="0.25">
      <c r="A18" t="str">
        <f>IF(Input!A19="","",Input!A19)</f>
        <v>Sustainable Index MPS - Portfolio 2</v>
      </c>
      <c r="B18" s="1">
        <v>45229</v>
      </c>
      <c r="C18" s="5">
        <v>44739</v>
      </c>
      <c r="D18" s="6">
        <v>2.8999999999999998E-2</v>
      </c>
      <c r="E18" s="6">
        <v>1E-3</v>
      </c>
      <c r="F18" s="6">
        <v>1.4000000000000002E-3</v>
      </c>
      <c r="G18" s="6">
        <v>-1.5100000000000001E-2</v>
      </c>
      <c r="H18" s="6">
        <v>-3.1899999999999998E-2</v>
      </c>
      <c r="I18" s="6">
        <v>-2.1400000000000002E-2</v>
      </c>
      <c r="J18" s="6">
        <v>2.3E-2</v>
      </c>
      <c r="K18" s="6"/>
      <c r="L18" s="6"/>
      <c r="M18" s="6">
        <v>-2.9999999999999997E-4</v>
      </c>
      <c r="N18" s="6"/>
    </row>
    <row r="19" spans="1:14" x14ac:dyDescent="0.25">
      <c r="A19" t="str">
        <f>IF(Input!A20="","",Input!A20)</f>
        <v>Sustainable Index MPS - Portfolio 3</v>
      </c>
      <c r="B19" s="1">
        <v>45229</v>
      </c>
      <c r="C19" s="5">
        <v>44739</v>
      </c>
      <c r="D19" s="6">
        <v>2.86E-2</v>
      </c>
      <c r="E19" s="6">
        <v>1E-3</v>
      </c>
      <c r="F19" s="6">
        <v>1.4000000000000002E-3</v>
      </c>
      <c r="G19" s="6">
        <v>-1.9299999999999998E-2</v>
      </c>
      <c r="H19" s="6">
        <v>-3.6000000000000004E-2</v>
      </c>
      <c r="I19" s="6">
        <v>-1.7600000000000001E-2</v>
      </c>
      <c r="J19" s="6">
        <v>3.2400000000000005E-2</v>
      </c>
      <c r="K19" s="6"/>
      <c r="L19" s="6"/>
      <c r="M19" s="6">
        <v>2.18E-2</v>
      </c>
      <c r="N19" s="6"/>
    </row>
    <row r="20" spans="1:14" x14ac:dyDescent="0.25">
      <c r="A20" t="str">
        <f>IF(Input!A21="","",Input!A21)</f>
        <v>Sustainable Index MPS - Portfolio 4</v>
      </c>
      <c r="B20" s="1">
        <v>45229</v>
      </c>
      <c r="C20" s="5">
        <v>44739</v>
      </c>
      <c r="D20" s="6">
        <v>2.75E-2</v>
      </c>
      <c r="E20" s="6">
        <v>1E-3</v>
      </c>
      <c r="F20" s="6">
        <v>1.2999999999999999E-3</v>
      </c>
      <c r="G20" s="6">
        <v>-2.3900000000000001E-2</v>
      </c>
      <c r="H20" s="6">
        <v>-4.0999999999999995E-2</v>
      </c>
      <c r="I20" s="6">
        <v>-1.55E-2</v>
      </c>
      <c r="J20" s="6">
        <v>3.6499999999999998E-2</v>
      </c>
      <c r="K20" s="6"/>
      <c r="L20" s="6"/>
      <c r="M20" s="6">
        <v>3.5099999999999999E-2</v>
      </c>
      <c r="N20" s="6"/>
    </row>
    <row r="21" spans="1:14" x14ac:dyDescent="0.25">
      <c r="A21" t="str">
        <f>IF(Input!A22="","",Input!A22)</f>
        <v>Sustainable Index MPS - Portfolio 5</v>
      </c>
      <c r="B21" s="1">
        <v>45229</v>
      </c>
      <c r="C21" s="5">
        <v>44739</v>
      </c>
      <c r="D21" s="6">
        <v>2.4399999999999998E-2</v>
      </c>
      <c r="E21" s="6">
        <v>1E-3</v>
      </c>
      <c r="F21" s="6">
        <v>1.1000000000000001E-3</v>
      </c>
      <c r="G21" s="6">
        <v>-2.7300000000000001E-2</v>
      </c>
      <c r="H21" s="6">
        <v>-4.36E-2</v>
      </c>
      <c r="I21" s="6">
        <v>-1.1599999999999999E-2</v>
      </c>
      <c r="J21" s="6">
        <v>4.5700000000000005E-2</v>
      </c>
      <c r="K21" s="6"/>
      <c r="L21" s="6"/>
      <c r="M21" s="6">
        <v>5.8400000000000001E-2</v>
      </c>
      <c r="N21" s="6"/>
    </row>
    <row r="22" spans="1:14" x14ac:dyDescent="0.25">
      <c r="A22" t="str">
        <f>IF(Input!A23="","",Input!A23)</f>
        <v/>
      </c>
    </row>
    <row r="23" spans="1:14" x14ac:dyDescent="0.25">
      <c r="A23" t="str">
        <f>IF(Input!A24="","",Input!A24)</f>
        <v/>
      </c>
    </row>
    <row r="24" spans="1:14" x14ac:dyDescent="0.25">
      <c r="A24" t="str">
        <f>IF(Input!A25="","",Input!A25)</f>
        <v/>
      </c>
    </row>
    <row r="25" spans="1:14" x14ac:dyDescent="0.25">
      <c r="A25" t="str">
        <f>IF(Input!A26="","",Input!A26)</f>
        <v/>
      </c>
    </row>
    <row r="26" spans="1:14" x14ac:dyDescent="0.25">
      <c r="A26" t="str">
        <f>IF(Input!A27="","",Input!A27)</f>
        <v/>
      </c>
    </row>
    <row r="27" spans="1:14" x14ac:dyDescent="0.25">
      <c r="A27" t="str">
        <f>IF(Input!A28="","",Input!A28)</f>
        <v/>
      </c>
    </row>
    <row r="28" spans="1:14" x14ac:dyDescent="0.25">
      <c r="A28" t="str">
        <f>IF(Input!A29="","",Input!A29)</f>
        <v/>
      </c>
    </row>
    <row r="29" spans="1:14" x14ac:dyDescent="0.25">
      <c r="A29" t="str">
        <f>IF(Input!A30="","",Input!A30)</f>
        <v/>
      </c>
    </row>
    <row r="30" spans="1:14" x14ac:dyDescent="0.25">
      <c r="A30" t="str">
        <f>IF(Input!A31="","",Input!A31)</f>
        <v/>
      </c>
    </row>
    <row r="31" spans="1:14" x14ac:dyDescent="0.25">
      <c r="A31" t="str">
        <f>IF(Input!A32="","",Input!A32)</f>
        <v/>
      </c>
    </row>
    <row r="32" spans="1:14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L50"/>
  <sheetViews>
    <sheetView topLeftCell="D1" workbookViewId="0">
      <selection activeCell="O14" sqref="O14"/>
    </sheetView>
  </sheetViews>
  <sheetFormatPr defaultRowHeight="15" x14ac:dyDescent="0.25"/>
  <cols>
    <col min="1" max="1" width="30.140625" bestFit="1" customWidth="1"/>
    <col min="2" max="2" width="19.85546875" bestFit="1" customWidth="1"/>
    <col min="3" max="3" width="23.42578125" bestFit="1" customWidth="1"/>
    <col min="4" max="4" width="8" bestFit="1" customWidth="1"/>
    <col min="5" max="5" width="20.5703125" bestFit="1" customWidth="1"/>
    <col min="6" max="6" width="10.42578125" bestFit="1" customWidth="1"/>
    <col min="7" max="7" width="34.42578125" bestFit="1" customWidth="1"/>
    <col min="8" max="8" width="17.85546875" bestFit="1" customWidth="1"/>
    <col min="9" max="9" width="20.85546875" bestFit="1" customWidth="1"/>
    <col min="10" max="10" width="14.85546875" bestFit="1" customWidth="1"/>
    <col min="12" max="12" width="19.85546875" bestFit="1" customWidth="1"/>
    <col min="13" max="13" width="14.5703125" bestFit="1" customWidth="1"/>
    <col min="14" max="14" width="12.42578125" bestFit="1" customWidth="1"/>
    <col min="15" max="15" width="14.140625" bestFit="1" customWidth="1"/>
    <col min="16" max="16" width="22.28515625" bestFit="1" customWidth="1"/>
    <col min="17" max="17" width="18.42578125" bestFit="1" customWidth="1"/>
    <col min="18" max="18" width="22.85546875" bestFit="1" customWidth="1"/>
    <col min="19" max="19" width="11.140625" bestFit="1" customWidth="1"/>
    <col min="20" max="20" width="7.85546875" bestFit="1" customWidth="1"/>
    <col min="21" max="21" width="6.140625" bestFit="1" customWidth="1"/>
    <col min="22" max="22" width="23" bestFit="1" customWidth="1"/>
    <col min="23" max="23" width="29.42578125" bestFit="1" customWidth="1"/>
    <col min="24" max="24" width="33" bestFit="1" customWidth="1"/>
    <col min="25" max="25" width="11.140625" bestFit="1" customWidth="1"/>
    <col min="26" max="26" width="11.85546875" bestFit="1" customWidth="1"/>
    <col min="27" max="27" width="27" bestFit="1" customWidth="1"/>
  </cols>
  <sheetData>
    <row r="1" spans="1:38" x14ac:dyDescent="0.25">
      <c r="B1" t="s">
        <v>43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3</v>
      </c>
      <c r="L1" t="s">
        <v>22</v>
      </c>
      <c r="M1" t="s">
        <v>52</v>
      </c>
      <c r="N1" t="s">
        <v>53</v>
      </c>
      <c r="O1" t="s">
        <v>54</v>
      </c>
      <c r="P1" t="s">
        <v>55</v>
      </c>
      <c r="Q1" t="s">
        <v>56</v>
      </c>
      <c r="R1" t="s">
        <v>57</v>
      </c>
      <c r="S1" t="s">
        <v>58</v>
      </c>
      <c r="T1" t="s">
        <v>59</v>
      </c>
      <c r="U1" t="s">
        <v>6</v>
      </c>
      <c r="V1" t="s">
        <v>67</v>
      </c>
      <c r="W1" t="s">
        <v>68</v>
      </c>
      <c r="X1" t="s">
        <v>69</v>
      </c>
      <c r="Y1" t="s">
        <v>70</v>
      </c>
      <c r="Z1" t="s">
        <v>19</v>
      </c>
      <c r="AA1" t="s">
        <v>71</v>
      </c>
      <c r="AB1" t="s">
        <v>78</v>
      </c>
      <c r="AC1" t="s">
        <v>79</v>
      </c>
      <c r="AD1" t="s">
        <v>80</v>
      </c>
      <c r="AE1" t="s">
        <v>81</v>
      </c>
      <c r="AF1" t="s">
        <v>82</v>
      </c>
      <c r="AG1" t="s">
        <v>83</v>
      </c>
      <c r="AH1" t="s">
        <v>84</v>
      </c>
      <c r="AI1" t="s">
        <v>85</v>
      </c>
      <c r="AJ1" t="s">
        <v>86</v>
      </c>
      <c r="AK1" t="s">
        <v>87</v>
      </c>
      <c r="AL1" t="s">
        <v>122</v>
      </c>
    </row>
    <row r="2" spans="1:38" x14ac:dyDescent="0.25">
      <c r="A2" t="str">
        <f>IF(Input!A3="","",Input!A3)</f>
        <v>abrdn MPS - Portfolio 1</v>
      </c>
      <c r="B2" s="6"/>
      <c r="D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AB2" s="6"/>
      <c r="AC2" s="6"/>
      <c r="AD2" s="6"/>
      <c r="AE2" s="6"/>
      <c r="AF2" s="6"/>
      <c r="AG2" s="6"/>
      <c r="AI2" s="6"/>
    </row>
    <row r="3" spans="1:38" x14ac:dyDescent="0.25">
      <c r="A3" t="str">
        <f>IF(Input!A4="","",Input!A4)</f>
        <v>abrdn MPS - Portfolio 2</v>
      </c>
      <c r="B3" s="6"/>
      <c r="D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AB3" s="6"/>
      <c r="AC3" s="6"/>
      <c r="AD3" s="6"/>
      <c r="AE3" s="6"/>
      <c r="AF3" s="6"/>
      <c r="AG3" s="6"/>
      <c r="AI3" s="6"/>
    </row>
    <row r="4" spans="1:38" x14ac:dyDescent="0.25">
      <c r="A4" t="str">
        <f>IF(Input!A5="","",Input!A5)</f>
        <v>abrdn MPS - Portfolio 3</v>
      </c>
      <c r="B4" s="6"/>
      <c r="D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AB4" s="6"/>
      <c r="AC4" s="6"/>
      <c r="AD4" s="6"/>
      <c r="AE4" s="6"/>
      <c r="AF4" s="6"/>
      <c r="AG4" s="6"/>
      <c r="AI4" s="6"/>
    </row>
    <row r="5" spans="1:38" x14ac:dyDescent="0.25">
      <c r="A5" t="str">
        <f>IF(Input!A6="","",Input!A6)</f>
        <v>abrdn MPS - Portfolio 4</v>
      </c>
      <c r="B5" s="6"/>
      <c r="D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AB5" s="6"/>
      <c r="AC5" s="6"/>
      <c r="AD5" s="6"/>
      <c r="AE5" s="6"/>
      <c r="AF5" s="6"/>
      <c r="AG5" s="6"/>
      <c r="AI5" s="6"/>
    </row>
    <row r="6" spans="1:38" x14ac:dyDescent="0.25">
      <c r="A6" t="str">
        <f>IF(Input!A7="","",Input!A7)</f>
        <v>abrdn MPS - Portfolio 5</v>
      </c>
      <c r="H6" s="6"/>
      <c r="J6" s="6"/>
      <c r="K6" s="6"/>
      <c r="L6" s="6"/>
      <c r="M6" s="6"/>
      <c r="N6" s="6"/>
      <c r="O6" s="6"/>
      <c r="P6" s="6"/>
      <c r="Q6" s="6"/>
      <c r="T6" s="6"/>
      <c r="U6" s="6"/>
      <c r="AB6" s="6"/>
      <c r="AC6" s="6"/>
      <c r="AD6" s="6"/>
      <c r="AE6" s="6"/>
      <c r="AF6" s="6"/>
      <c r="AG6" s="6"/>
    </row>
    <row r="7" spans="1:38" x14ac:dyDescent="0.25">
      <c r="A7" t="str">
        <f>IF(Input!A8="","",Input!A8)</f>
        <v>abrdn Index MPS - Portfolio 1</v>
      </c>
      <c r="D7" s="6"/>
      <c r="H7" s="6">
        <v>0.17300000000000001</v>
      </c>
      <c r="I7" s="6">
        <v>0.1038</v>
      </c>
      <c r="J7" s="6"/>
      <c r="K7" s="6"/>
      <c r="L7" s="6"/>
      <c r="M7" s="6"/>
      <c r="N7" s="6"/>
      <c r="O7" s="6"/>
      <c r="P7" s="6">
        <v>1.52E-2</v>
      </c>
      <c r="Q7" s="6">
        <v>4.0399999999999998E-2</v>
      </c>
      <c r="S7" s="6">
        <v>1.3000000000000001E-2</v>
      </c>
      <c r="T7" s="6">
        <v>6.9999999999999993E-3</v>
      </c>
      <c r="U7" s="6">
        <v>1.01E-2</v>
      </c>
      <c r="V7" s="6">
        <v>0.21960000000000002</v>
      </c>
      <c r="W7" s="6"/>
      <c r="X7" s="6"/>
      <c r="AB7" s="6">
        <v>8.5000000000000006E-3</v>
      </c>
      <c r="AC7" s="6">
        <v>5.0900000000000001E-2</v>
      </c>
      <c r="AD7" s="6">
        <v>8.6999999999999994E-2</v>
      </c>
      <c r="AE7" s="6">
        <v>2.3099999999999999E-2</v>
      </c>
      <c r="AF7" s="6">
        <v>1.5100000000000001E-2</v>
      </c>
      <c r="AG7" s="6">
        <v>1.1399999999999999E-2</v>
      </c>
      <c r="AH7" s="6">
        <v>0.192</v>
      </c>
      <c r="AI7" s="6">
        <v>2.9900000000000003E-2</v>
      </c>
    </row>
    <row r="8" spans="1:38" x14ac:dyDescent="0.25">
      <c r="A8" t="str">
        <f>IF(Input!A9="","",Input!A9)</f>
        <v>abrdn Index MPS - Portfolio 2</v>
      </c>
      <c r="D8" s="6"/>
      <c r="H8" s="6">
        <v>0.11840000000000001</v>
      </c>
      <c r="I8" s="6">
        <v>9.4399999999999998E-2</v>
      </c>
      <c r="J8" s="6"/>
      <c r="K8" s="6"/>
      <c r="L8" s="6"/>
      <c r="M8" s="6"/>
      <c r="N8" s="6"/>
      <c r="O8" s="6"/>
      <c r="P8" s="6">
        <v>2.92E-2</v>
      </c>
      <c r="Q8" s="6">
        <v>4.4400000000000002E-2</v>
      </c>
      <c r="U8" s="6">
        <v>1.0200000000000001E-2</v>
      </c>
      <c r="V8" s="6">
        <v>0.1381</v>
      </c>
      <c r="W8" s="6"/>
      <c r="X8" s="6"/>
      <c r="Y8" s="6">
        <v>1.4199999999999999E-2</v>
      </c>
      <c r="AB8" s="6">
        <v>3.7900000000000003E-2</v>
      </c>
      <c r="AC8" s="6">
        <v>9.8000000000000004E-2</v>
      </c>
      <c r="AD8" s="6">
        <v>0.16719999999999999</v>
      </c>
      <c r="AE8" s="6">
        <v>4.4600000000000001E-2</v>
      </c>
      <c r="AF8" s="6">
        <v>2.9100000000000001E-2</v>
      </c>
      <c r="AG8" s="6">
        <v>2.2000000000000002E-2</v>
      </c>
      <c r="AH8" s="6">
        <v>9.5899999999999999E-2</v>
      </c>
      <c r="AI8" s="6">
        <v>5.6299999999999996E-2</v>
      </c>
    </row>
    <row r="9" spans="1:38" x14ac:dyDescent="0.25">
      <c r="A9" t="str">
        <f>IF(Input!A10="","",Input!A10)</f>
        <v>abrdn Index MPS - Portfolio 3</v>
      </c>
      <c r="D9" s="6"/>
      <c r="H9" s="6">
        <v>8.8000000000000009E-2</v>
      </c>
      <c r="I9" s="6">
        <v>5.8200000000000002E-2</v>
      </c>
      <c r="J9" s="6"/>
      <c r="K9" s="6"/>
      <c r="L9" s="6"/>
      <c r="M9" s="6"/>
      <c r="N9" s="6"/>
      <c r="O9" s="6"/>
      <c r="P9" s="6">
        <v>0.04</v>
      </c>
      <c r="Q9" s="6">
        <v>5.4199999999999998E-2</v>
      </c>
      <c r="U9" s="6">
        <v>1.0200000000000001E-2</v>
      </c>
      <c r="V9" s="6">
        <v>6.3600000000000004E-2</v>
      </c>
      <c r="W9" s="6"/>
      <c r="X9" s="6"/>
      <c r="Y9" s="6">
        <v>2.9399999999999999E-2</v>
      </c>
      <c r="AB9" s="6">
        <v>3.8699999999999998E-2</v>
      </c>
      <c r="AC9" s="6">
        <v>0.13400000000000001</v>
      </c>
      <c r="AD9" s="6">
        <v>0.2286</v>
      </c>
      <c r="AE9" s="6">
        <v>6.0999999999999999E-2</v>
      </c>
      <c r="AF9" s="6">
        <v>3.9900000000000005E-2</v>
      </c>
      <c r="AG9" s="6">
        <v>0.03</v>
      </c>
      <c r="AH9" s="6">
        <v>4.7100000000000003E-2</v>
      </c>
      <c r="AI9" s="6">
        <v>7.7199999999999991E-2</v>
      </c>
    </row>
    <row r="10" spans="1:38" x14ac:dyDescent="0.25">
      <c r="A10" t="str">
        <f>IF(Input!A11="","",Input!A11)</f>
        <v>abrdn Index MPS - Portfolio 4</v>
      </c>
      <c r="D10" s="6"/>
      <c r="H10" s="6">
        <v>2.7000000000000003E-2</v>
      </c>
      <c r="I10" s="6">
        <v>9.300000000000001E-3</v>
      </c>
      <c r="J10" s="6"/>
      <c r="K10" s="6"/>
      <c r="L10" s="6"/>
      <c r="M10" s="6"/>
      <c r="N10" s="6"/>
      <c r="O10" s="6"/>
      <c r="P10" s="6">
        <v>5.21E-2</v>
      </c>
      <c r="Q10" s="6">
        <v>5.9800000000000006E-2</v>
      </c>
      <c r="U10" s="6">
        <v>1.03E-2</v>
      </c>
      <c r="V10" s="6">
        <v>2.0499999999999997E-2</v>
      </c>
      <c r="W10" s="6"/>
      <c r="X10" s="6"/>
      <c r="Y10" s="6">
        <v>3.7699999999999997E-2</v>
      </c>
      <c r="AB10" s="6">
        <v>3.2400000000000005E-2</v>
      </c>
      <c r="AC10" s="6">
        <v>0.17480000000000001</v>
      </c>
      <c r="AD10" s="6">
        <v>0.29809999999999998</v>
      </c>
      <c r="AE10" s="6">
        <v>7.9399999999999998E-2</v>
      </c>
      <c r="AF10" s="6">
        <v>5.1900000000000002E-2</v>
      </c>
      <c r="AG10" s="6">
        <v>3.9199999999999999E-2</v>
      </c>
      <c r="AH10" s="6">
        <v>4.1700000000000001E-2</v>
      </c>
      <c r="AI10" s="6">
        <v>6.5700000000000008E-2</v>
      </c>
    </row>
    <row r="11" spans="1:38" x14ac:dyDescent="0.25">
      <c r="A11" t="str">
        <f>IF(Input!A12="","",Input!A12)</f>
        <v>abrdn Index MPS - Portfolio 5</v>
      </c>
      <c r="H11" s="6">
        <v>2.07E-2</v>
      </c>
      <c r="K11" s="6"/>
      <c r="L11" s="6"/>
      <c r="M11" s="6"/>
      <c r="N11" s="6"/>
      <c r="O11" s="6"/>
      <c r="P11" s="6">
        <v>6.7000000000000004E-2</v>
      </c>
      <c r="Q11" s="6">
        <v>7.5999999999999998E-2</v>
      </c>
      <c r="U11" s="6">
        <v>1.03E-2</v>
      </c>
      <c r="AC11" s="6">
        <v>0.2243</v>
      </c>
      <c r="AD11" s="6">
        <v>0.3826</v>
      </c>
      <c r="AE11" s="6">
        <v>0.10210000000000001</v>
      </c>
      <c r="AF11" s="6">
        <v>6.6699999999999995E-2</v>
      </c>
      <c r="AG11" s="6">
        <v>5.0300000000000004E-2</v>
      </c>
    </row>
    <row r="12" spans="1:38" x14ac:dyDescent="0.25">
      <c r="A12" t="str">
        <f>IF(Input!A13="","",Input!A13)</f>
        <v>Sustainable MPS - Portfolio 1</v>
      </c>
      <c r="B12" s="6">
        <v>0.12560000000000002</v>
      </c>
      <c r="E12" s="6"/>
      <c r="F12" s="6"/>
      <c r="G12" s="6">
        <v>9.9299999999999999E-2</v>
      </c>
      <c r="H12" s="6">
        <v>0.13930000000000001</v>
      </c>
      <c r="I12" s="6">
        <v>5.0999999999999997E-2</v>
      </c>
      <c r="J12" s="6"/>
      <c r="K12" s="6"/>
      <c r="Q12" s="6">
        <v>2.6800000000000001E-2</v>
      </c>
      <c r="R12" s="6">
        <v>8.539999999999999E-2</v>
      </c>
      <c r="T12" s="6">
        <v>4.0000000000000001E-3</v>
      </c>
      <c r="U12" s="6">
        <v>0.01</v>
      </c>
      <c r="V12" s="6">
        <v>0.1857</v>
      </c>
      <c r="Y12" s="6">
        <v>2.0299999999999999E-2</v>
      </c>
      <c r="Z12" s="6"/>
      <c r="AB12" s="6">
        <v>1.0700000000000001E-2</v>
      </c>
      <c r="AC12" s="6">
        <v>4.4000000000000004E-2</v>
      </c>
      <c r="AJ12" s="6">
        <v>4.5499999999999999E-2</v>
      </c>
      <c r="AK12" s="6">
        <v>0.14800000000000002</v>
      </c>
      <c r="AL12" s="6">
        <v>4.4000000000000003E-3</v>
      </c>
    </row>
    <row r="13" spans="1:38" x14ac:dyDescent="0.25">
      <c r="A13" t="str">
        <f>IF(Input!A14="","",Input!A14)</f>
        <v>Sustainable MPS - Portfolio 2</v>
      </c>
      <c r="B13" s="6">
        <v>7.4800000000000005E-2</v>
      </c>
      <c r="E13" s="6"/>
      <c r="F13" s="6"/>
      <c r="G13" s="6">
        <v>5.1799999999999999E-2</v>
      </c>
      <c r="H13" s="6">
        <v>0.10859999999999999</v>
      </c>
      <c r="I13" s="6">
        <v>6.1399999999999996E-2</v>
      </c>
      <c r="J13" s="6"/>
      <c r="K13" s="6"/>
      <c r="Q13" s="6">
        <v>4.5199999999999997E-2</v>
      </c>
      <c r="R13" s="6">
        <v>5.79E-2</v>
      </c>
      <c r="T13" s="6">
        <v>8.1000000000000013E-3</v>
      </c>
      <c r="U13" s="6">
        <v>1.01E-2</v>
      </c>
      <c r="V13" s="6">
        <v>0.10249999999999999</v>
      </c>
      <c r="Y13" s="6">
        <v>3.2799999999999996E-2</v>
      </c>
      <c r="Z13" s="6"/>
      <c r="AA13" s="6"/>
      <c r="AB13" s="6">
        <v>1.67E-2</v>
      </c>
      <c r="AC13" s="6">
        <v>8.1900000000000001E-2</v>
      </c>
      <c r="AJ13" s="6">
        <v>6.6799999999999998E-2</v>
      </c>
      <c r="AK13" s="6">
        <v>0.27479999999999999</v>
      </c>
      <c r="AL13" s="6">
        <v>6.7000000000000002E-3</v>
      </c>
    </row>
    <row r="14" spans="1:38" x14ac:dyDescent="0.25">
      <c r="A14" t="str">
        <f>IF(Input!A15="","",Input!A15)</f>
        <v>Sustainable MPS - Portfolio 3</v>
      </c>
      <c r="B14" s="6">
        <v>6.25E-2</v>
      </c>
      <c r="E14" s="6"/>
      <c r="F14" s="6"/>
      <c r="G14" s="6">
        <v>3.73E-2</v>
      </c>
      <c r="H14" s="6">
        <v>6.3E-2</v>
      </c>
      <c r="I14" s="6">
        <v>2.5499999999999998E-2</v>
      </c>
      <c r="J14" s="6"/>
      <c r="K14" s="6"/>
      <c r="Q14" s="6">
        <v>6.5099999999999991E-2</v>
      </c>
      <c r="R14" s="6">
        <v>2.7400000000000001E-2</v>
      </c>
      <c r="T14" s="6">
        <v>1.2699999999999999E-2</v>
      </c>
      <c r="U14" s="6">
        <v>1.01E-2</v>
      </c>
      <c r="V14" s="6">
        <v>4.6900000000000004E-2</v>
      </c>
      <c r="Y14" s="6">
        <v>5.1399999999999994E-2</v>
      </c>
      <c r="Z14" s="6"/>
      <c r="AB14" s="6">
        <v>2.9600000000000001E-2</v>
      </c>
      <c r="AC14" s="6">
        <v>0.10970000000000001</v>
      </c>
      <c r="AJ14" s="6">
        <v>7.7300000000000008E-2</v>
      </c>
      <c r="AK14" s="6">
        <v>0.36959999999999998</v>
      </c>
      <c r="AL14" s="6">
        <v>1.1899999999999999E-2</v>
      </c>
    </row>
    <row r="15" spans="1:38" x14ac:dyDescent="0.25">
      <c r="A15" t="str">
        <f>IF(Input!A16="","",Input!A16)</f>
        <v>Sustainable MPS - Portfolio 4</v>
      </c>
      <c r="B15" s="6">
        <v>6.0999999999999995E-3</v>
      </c>
      <c r="E15" s="6"/>
      <c r="F15" s="6"/>
      <c r="G15" s="6">
        <v>2.1299999999999999E-2</v>
      </c>
      <c r="H15" s="6">
        <v>1.67E-2</v>
      </c>
      <c r="I15" s="6">
        <v>1.61E-2</v>
      </c>
      <c r="J15" s="6"/>
      <c r="K15" s="6"/>
      <c r="Q15" s="6">
        <v>7.5800000000000006E-2</v>
      </c>
      <c r="R15" s="6">
        <v>2.3900000000000001E-2</v>
      </c>
      <c r="T15" s="6">
        <v>2.0400000000000001E-2</v>
      </c>
      <c r="U15" s="6">
        <v>1.0200000000000001E-2</v>
      </c>
      <c r="V15" s="6">
        <v>1.89E-2</v>
      </c>
      <c r="Y15" s="6">
        <v>6.1500000000000006E-2</v>
      </c>
      <c r="Z15" s="6"/>
      <c r="AB15" s="6">
        <v>2.2700000000000001E-2</v>
      </c>
      <c r="AC15" s="6">
        <v>0.14499999999999999</v>
      </c>
      <c r="AJ15" s="6">
        <v>6.3399999999999998E-2</v>
      </c>
      <c r="AK15" s="6">
        <v>0.48880000000000001</v>
      </c>
      <c r="AL15" s="6">
        <v>9.1000000000000004E-3</v>
      </c>
    </row>
    <row r="16" spans="1:38" x14ac:dyDescent="0.25">
      <c r="A16" t="str">
        <f>IF(Input!A17="","",Input!A17)</f>
        <v>Sustainable MPS - Portfolio 5</v>
      </c>
      <c r="H16" s="6">
        <v>1.55E-2</v>
      </c>
      <c r="J16" s="6"/>
      <c r="K16" s="6"/>
      <c r="Q16" s="6">
        <v>8.5099999999999995E-2</v>
      </c>
      <c r="T16" s="6">
        <v>2.3599999999999999E-2</v>
      </c>
      <c r="U16" s="6">
        <v>1.0200000000000001E-2</v>
      </c>
      <c r="V16" s="6">
        <v>3.0999999999999999E-3</v>
      </c>
      <c r="Z16" s="6"/>
      <c r="AB16" s="6">
        <v>5.1000000000000004E-3</v>
      </c>
      <c r="AC16" s="6">
        <v>0.1948</v>
      </c>
      <c r="AK16" s="6">
        <v>0.66049999999999998</v>
      </c>
      <c r="AL16" s="6">
        <v>2E-3</v>
      </c>
    </row>
    <row r="17" spans="1:35" x14ac:dyDescent="0.25">
      <c r="A17" t="str">
        <f>IF(Input!A18="","",Input!A18)</f>
        <v>Sustainable Index MPS - Portfolio 1</v>
      </c>
      <c r="D17" s="6"/>
      <c r="H17" s="6">
        <v>0.17280000000000001</v>
      </c>
      <c r="I17" s="6">
        <v>0.10039999999999999</v>
      </c>
      <c r="J17" s="6"/>
      <c r="K17" s="6"/>
      <c r="L17" s="6"/>
      <c r="M17" s="6"/>
      <c r="N17" s="6"/>
      <c r="O17" s="6"/>
      <c r="P17" s="6">
        <v>1.52E-2</v>
      </c>
      <c r="Q17" s="6">
        <v>4.0999999999999995E-2</v>
      </c>
      <c r="S17" s="6">
        <v>1.29E-2</v>
      </c>
      <c r="T17" s="6">
        <v>1.03E-2</v>
      </c>
      <c r="U17" s="6">
        <v>1.01E-2</v>
      </c>
      <c r="V17" s="6">
        <v>0.21969999999999998</v>
      </c>
      <c r="W17" s="6"/>
      <c r="X17" s="6"/>
      <c r="AB17" s="6">
        <v>8.3999999999999995E-3</v>
      </c>
      <c r="AC17" s="6">
        <v>5.0599999999999999E-2</v>
      </c>
      <c r="AD17" s="6">
        <v>8.6599999999999996E-2</v>
      </c>
      <c r="AE17" s="6">
        <v>2.3099999999999999E-2</v>
      </c>
      <c r="AF17" s="6">
        <v>1.5300000000000001E-2</v>
      </c>
      <c r="AG17" s="6">
        <v>1.15E-2</v>
      </c>
      <c r="AH17" s="6">
        <v>0.19190000000000002</v>
      </c>
      <c r="AI17" s="6">
        <v>0.03</v>
      </c>
    </row>
    <row r="18" spans="1:35" x14ac:dyDescent="0.25">
      <c r="A18" t="str">
        <f>IF(Input!A19="","",Input!A19)</f>
        <v>Sustainable Index MPS - Portfolio 2</v>
      </c>
      <c r="D18" s="6"/>
      <c r="H18" s="6">
        <v>0.11810000000000001</v>
      </c>
      <c r="I18" s="6">
        <v>9.3800000000000008E-2</v>
      </c>
      <c r="J18" s="6"/>
      <c r="K18" s="6"/>
      <c r="L18" s="6"/>
      <c r="M18" s="6"/>
      <c r="N18" s="6"/>
      <c r="O18" s="6"/>
      <c r="P18" s="6">
        <v>2.9300000000000003E-2</v>
      </c>
      <c r="Q18" s="6">
        <v>4.5700000000000005E-2</v>
      </c>
      <c r="S18" s="6">
        <v>1.43E-2</v>
      </c>
      <c r="U18" s="6">
        <v>0.01</v>
      </c>
      <c r="V18" s="6">
        <v>0.13769999999999999</v>
      </c>
      <c r="W18" s="6"/>
      <c r="X18" s="6"/>
      <c r="AB18" s="6">
        <v>3.73E-2</v>
      </c>
      <c r="AC18" s="6">
        <v>9.74E-2</v>
      </c>
      <c r="AD18" s="6">
        <v>0.16750000000000001</v>
      </c>
      <c r="AE18" s="6">
        <v>4.4600000000000001E-2</v>
      </c>
      <c r="AF18" s="6">
        <v>2.92E-2</v>
      </c>
      <c r="AG18" s="6">
        <v>2.23E-2</v>
      </c>
      <c r="AH18" s="6">
        <v>9.6099999999999991E-2</v>
      </c>
      <c r="AI18" s="6">
        <v>5.67E-2</v>
      </c>
    </row>
    <row r="19" spans="1:35" x14ac:dyDescent="0.25">
      <c r="A19" t="str">
        <f>IF(Input!A20="","",Input!A20)</f>
        <v>Sustainable Index MPS - Portfolio 3</v>
      </c>
      <c r="D19" s="6"/>
      <c r="H19" s="6">
        <v>8.7599999999999997E-2</v>
      </c>
      <c r="I19" s="6">
        <v>5.7699999999999994E-2</v>
      </c>
      <c r="J19" s="6"/>
      <c r="K19" s="6"/>
      <c r="L19" s="6"/>
      <c r="M19" s="6"/>
      <c r="N19" s="6"/>
      <c r="O19" s="6"/>
      <c r="P19" s="6">
        <v>4.0099999999999997E-2</v>
      </c>
      <c r="Q19" s="6">
        <v>5.57E-2</v>
      </c>
      <c r="S19" s="6">
        <v>2.9500000000000002E-2</v>
      </c>
      <c r="U19" s="6">
        <v>1.01E-2</v>
      </c>
      <c r="V19" s="6">
        <v>6.3299999999999995E-2</v>
      </c>
      <c r="W19" s="6"/>
      <c r="X19" s="6"/>
      <c r="AB19" s="6">
        <v>3.7999999999999999E-2</v>
      </c>
      <c r="AC19" s="6">
        <v>0.1331</v>
      </c>
      <c r="AD19" s="6">
        <v>0.2288</v>
      </c>
      <c r="AE19" s="6">
        <v>6.0899999999999996E-2</v>
      </c>
      <c r="AF19" s="6">
        <v>0.04</v>
      </c>
      <c r="AG19" s="6">
        <v>3.04E-2</v>
      </c>
      <c r="AH19" s="6">
        <v>4.7100000000000003E-2</v>
      </c>
      <c r="AI19" s="6">
        <v>7.7600000000000002E-2</v>
      </c>
    </row>
    <row r="20" spans="1:35" x14ac:dyDescent="0.25">
      <c r="A20" t="str">
        <f>IF(Input!A21="","",Input!A21)</f>
        <v>Sustainable Index MPS - Portfolio 4</v>
      </c>
      <c r="F20" s="6"/>
      <c r="H20" s="6">
        <v>2.7000000000000003E-2</v>
      </c>
      <c r="I20" s="6">
        <v>9.3999999999999986E-3</v>
      </c>
      <c r="J20" s="6"/>
      <c r="K20" s="6"/>
      <c r="L20" s="6"/>
      <c r="M20" s="6"/>
      <c r="N20" s="6"/>
      <c r="O20" s="6"/>
      <c r="P20" s="6">
        <v>5.2600000000000001E-2</v>
      </c>
      <c r="Q20" s="6">
        <v>6.13E-2</v>
      </c>
      <c r="S20" s="6">
        <v>3.7499999999999999E-2</v>
      </c>
      <c r="U20" s="6">
        <v>1.0200000000000001E-2</v>
      </c>
      <c r="V20" s="6">
        <v>2.0400000000000001E-2</v>
      </c>
      <c r="W20" s="6"/>
      <c r="X20" s="6"/>
      <c r="AB20" s="6">
        <v>3.2199999999999999E-2</v>
      </c>
      <c r="AC20" s="6">
        <v>0.17319999999999999</v>
      </c>
      <c r="AD20" s="6">
        <v>0.29799999999999999</v>
      </c>
      <c r="AE20" s="6">
        <v>7.8700000000000006E-2</v>
      </c>
      <c r="AF20" s="6">
        <v>5.2000000000000005E-2</v>
      </c>
      <c r="AG20" s="6">
        <v>3.9300000000000002E-2</v>
      </c>
      <c r="AH20" s="6">
        <v>4.1700000000000001E-2</v>
      </c>
      <c r="AI20" s="6">
        <v>6.6500000000000004E-2</v>
      </c>
    </row>
    <row r="21" spans="1:35" x14ac:dyDescent="0.25">
      <c r="A21" t="str">
        <f>IF(Input!A22="","",Input!A22)</f>
        <v>Sustainable Index MPS - Portfolio 5</v>
      </c>
      <c r="H21" s="6">
        <v>2.07E-2</v>
      </c>
      <c r="K21" s="6"/>
      <c r="L21" s="6"/>
      <c r="M21" s="6"/>
      <c r="N21" s="6"/>
      <c r="O21" s="6"/>
      <c r="P21" s="6">
        <v>6.7000000000000004E-2</v>
      </c>
      <c r="Q21" s="6">
        <v>7.7199999999999991E-2</v>
      </c>
      <c r="U21" s="6">
        <v>1.04E-2</v>
      </c>
      <c r="AC21" s="6">
        <v>0.22320000000000001</v>
      </c>
      <c r="AD21" s="6">
        <v>0.38170000000000004</v>
      </c>
      <c r="AE21" s="6">
        <v>0.1018</v>
      </c>
      <c r="AF21" s="6">
        <v>6.7400000000000002E-2</v>
      </c>
      <c r="AG21" s="6">
        <v>5.0700000000000002E-2</v>
      </c>
    </row>
    <row r="22" spans="1:35" x14ac:dyDescent="0.25">
      <c r="A22" t="str">
        <f>IF(Input!A23="","",Input!A23)</f>
        <v/>
      </c>
    </row>
    <row r="23" spans="1:35" x14ac:dyDescent="0.25">
      <c r="A23" t="str">
        <f>IF(Input!A24="","",Input!A24)</f>
        <v/>
      </c>
    </row>
    <row r="24" spans="1:35" x14ac:dyDescent="0.25">
      <c r="A24" t="str">
        <f>IF(Input!A25="","",Input!A25)</f>
        <v/>
      </c>
    </row>
    <row r="25" spans="1:35" x14ac:dyDescent="0.25">
      <c r="A25" t="str">
        <f>IF(Input!A26="","",Input!A26)</f>
        <v/>
      </c>
    </row>
    <row r="26" spans="1:35" x14ac:dyDescent="0.25">
      <c r="A26" t="str">
        <f>IF(Input!A27="","",Input!A27)</f>
        <v/>
      </c>
    </row>
    <row r="27" spans="1:35" x14ac:dyDescent="0.25">
      <c r="A27" t="str">
        <f>IF(Input!A28="","",Input!A28)</f>
        <v/>
      </c>
    </row>
    <row r="28" spans="1:35" x14ac:dyDescent="0.25">
      <c r="A28" t="str">
        <f>IF(Input!A29="","",Input!A29)</f>
        <v/>
      </c>
    </row>
    <row r="29" spans="1:35" x14ac:dyDescent="0.25">
      <c r="A29" t="str">
        <f>IF(Input!A30="","",Input!A30)</f>
        <v/>
      </c>
    </row>
    <row r="30" spans="1:35" x14ac:dyDescent="0.25">
      <c r="A30" t="str">
        <f>IF(Input!A31="","",Input!A31)</f>
        <v/>
      </c>
    </row>
    <row r="31" spans="1:35" x14ac:dyDescent="0.25">
      <c r="A31" t="str">
        <f>IF(Input!A32="","",Input!A32)</f>
        <v/>
      </c>
    </row>
    <row r="32" spans="1:35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D50"/>
  <sheetViews>
    <sheetView tabSelected="1" topLeftCell="B1" workbookViewId="0">
      <selection activeCell="D24" sqref="D24"/>
    </sheetView>
  </sheetViews>
  <sheetFormatPr defaultRowHeight="15" x14ac:dyDescent="0.25"/>
  <cols>
    <col min="1" max="1" width="30.140625" bestFit="1" customWidth="1"/>
    <col min="2" max="2" width="97.7109375" bestFit="1" customWidth="1"/>
    <col min="3" max="3" width="37.140625" bestFit="1" customWidth="1"/>
    <col min="4" max="4" width="81.85546875" style="7" bestFit="1" customWidth="1"/>
  </cols>
  <sheetData>
    <row r="1" spans="1:4" x14ac:dyDescent="0.25">
      <c r="A1" t="s">
        <v>0</v>
      </c>
      <c r="B1" t="s">
        <v>75</v>
      </c>
      <c r="C1" t="s">
        <v>73</v>
      </c>
      <c r="D1" s="7" t="s">
        <v>74</v>
      </c>
    </row>
    <row r="2" spans="1:4" x14ac:dyDescent="0.25">
      <c r="A2" t="str">
        <f>IF(Input!A3="","",Input!A3)</f>
        <v>abrdn MPS - Portfolio 1</v>
      </c>
      <c r="B2" t="s">
        <v>90</v>
      </c>
      <c r="C2" t="s">
        <v>103</v>
      </c>
      <c r="D2" s="7" t="s">
        <v>123</v>
      </c>
    </row>
    <row r="3" spans="1:4" x14ac:dyDescent="0.25">
      <c r="A3" t="str">
        <f>IF(Input!A4="","",Input!A4)</f>
        <v>abrdn MPS - Portfolio 2</v>
      </c>
      <c r="B3" t="s">
        <v>90</v>
      </c>
      <c r="C3" t="s">
        <v>104</v>
      </c>
      <c r="D3" s="7" t="s">
        <v>124</v>
      </c>
    </row>
    <row r="4" spans="1:4" x14ac:dyDescent="0.25">
      <c r="A4" t="str">
        <f>IF(Input!A5="","",Input!A5)</f>
        <v>abrdn MPS - Portfolio 3</v>
      </c>
      <c r="B4" t="s">
        <v>90</v>
      </c>
      <c r="C4" t="s">
        <v>105</v>
      </c>
      <c r="D4" s="7" t="s">
        <v>125</v>
      </c>
    </row>
    <row r="5" spans="1:4" x14ac:dyDescent="0.25">
      <c r="A5" t="str">
        <f>IF(Input!A6="","",Input!A6)</f>
        <v>abrdn MPS - Portfolio 4</v>
      </c>
      <c r="B5" t="s">
        <v>90</v>
      </c>
      <c r="C5" t="s">
        <v>106</v>
      </c>
      <c r="D5" s="7" t="s">
        <v>126</v>
      </c>
    </row>
    <row r="6" spans="1:4" x14ac:dyDescent="0.25">
      <c r="A6" t="str">
        <f>IF(Input!A7="","",Input!A7)</f>
        <v>abrdn MPS - Portfolio 5</v>
      </c>
      <c r="B6" t="s">
        <v>90</v>
      </c>
      <c r="C6" t="s">
        <v>107</v>
      </c>
      <c r="D6" s="7" t="s">
        <v>127</v>
      </c>
    </row>
    <row r="7" spans="1:4" x14ac:dyDescent="0.25">
      <c r="A7" t="str">
        <f>IF(Input!A8="","",Input!A8)</f>
        <v>abrdn Index MPS - Portfolio 1</v>
      </c>
      <c r="B7" t="s">
        <v>90</v>
      </c>
      <c r="C7" t="s">
        <v>102</v>
      </c>
      <c r="D7" s="7" t="s">
        <v>128</v>
      </c>
    </row>
    <row r="8" spans="1:4" x14ac:dyDescent="0.25">
      <c r="A8" t="str">
        <f>IF(Input!A9="","",Input!A9)</f>
        <v>abrdn Index MPS - Portfolio 2</v>
      </c>
      <c r="B8" t="s">
        <v>90</v>
      </c>
      <c r="C8" t="s">
        <v>108</v>
      </c>
      <c r="D8" s="7" t="s">
        <v>129</v>
      </c>
    </row>
    <row r="9" spans="1:4" x14ac:dyDescent="0.25">
      <c r="A9" t="str">
        <f>IF(Input!A10="","",Input!A10)</f>
        <v>abrdn Index MPS - Portfolio 3</v>
      </c>
      <c r="B9" t="s">
        <v>90</v>
      </c>
      <c r="C9" t="s">
        <v>109</v>
      </c>
      <c r="D9" s="7" t="s">
        <v>130</v>
      </c>
    </row>
    <row r="10" spans="1:4" x14ac:dyDescent="0.25">
      <c r="A10" t="str">
        <f>IF(Input!A11="","",Input!A11)</f>
        <v>abrdn Index MPS - Portfolio 4</v>
      </c>
      <c r="B10" t="s">
        <v>90</v>
      </c>
      <c r="C10" t="s">
        <v>110</v>
      </c>
      <c r="D10" s="7" t="s">
        <v>131</v>
      </c>
    </row>
    <row r="11" spans="1:4" x14ac:dyDescent="0.25">
      <c r="A11" t="str">
        <f>IF(Input!A12="","",Input!A12)</f>
        <v>abrdn Index MPS - Portfolio 5</v>
      </c>
      <c r="B11" t="s">
        <v>90</v>
      </c>
      <c r="C11" t="s">
        <v>111</v>
      </c>
      <c r="D11" s="7" t="s">
        <v>132</v>
      </c>
    </row>
    <row r="12" spans="1:4" x14ac:dyDescent="0.25">
      <c r="A12" t="str">
        <f>IF(Input!A13="","",Input!A13)</f>
        <v>Sustainable MPS - Portfolio 1</v>
      </c>
      <c r="B12" t="s">
        <v>90</v>
      </c>
      <c r="C12" t="s">
        <v>112</v>
      </c>
      <c r="D12" s="7" t="s">
        <v>133</v>
      </c>
    </row>
    <row r="13" spans="1:4" x14ac:dyDescent="0.25">
      <c r="A13" t="str">
        <f>IF(Input!A14="","",Input!A14)</f>
        <v>Sustainable MPS - Portfolio 2</v>
      </c>
      <c r="B13" t="s">
        <v>90</v>
      </c>
      <c r="C13" t="s">
        <v>113</v>
      </c>
      <c r="D13" s="7" t="s">
        <v>134</v>
      </c>
    </row>
    <row r="14" spans="1:4" x14ac:dyDescent="0.25">
      <c r="A14" t="str">
        <f>IF(Input!A15="","",Input!A15)</f>
        <v>Sustainable MPS - Portfolio 3</v>
      </c>
      <c r="B14" t="s">
        <v>90</v>
      </c>
      <c r="C14" t="s">
        <v>114</v>
      </c>
      <c r="D14" s="7" t="s">
        <v>135</v>
      </c>
    </row>
    <row r="15" spans="1:4" x14ac:dyDescent="0.25">
      <c r="A15" t="str">
        <f>IF(Input!A16="","",Input!A16)</f>
        <v>Sustainable MPS - Portfolio 4</v>
      </c>
      <c r="B15" t="s">
        <v>90</v>
      </c>
      <c r="C15" t="s">
        <v>115</v>
      </c>
      <c r="D15" s="7" t="s">
        <v>136</v>
      </c>
    </row>
    <row r="16" spans="1:4" x14ac:dyDescent="0.25">
      <c r="A16" t="str">
        <f>IF(Input!A17="","",Input!A17)</f>
        <v>Sustainable MPS - Portfolio 5</v>
      </c>
      <c r="B16" t="s">
        <v>90</v>
      </c>
      <c r="C16" t="s">
        <v>116</v>
      </c>
      <c r="D16" s="7" t="s">
        <v>137</v>
      </c>
    </row>
    <row r="17" spans="1:4" x14ac:dyDescent="0.25">
      <c r="A17" t="str">
        <f>IF(Input!A18="","",Input!A18)</f>
        <v>Sustainable Index MPS - Portfolio 1</v>
      </c>
      <c r="B17" t="s">
        <v>90</v>
      </c>
      <c r="C17" t="s">
        <v>117</v>
      </c>
      <c r="D17" s="7" t="s">
        <v>138</v>
      </c>
    </row>
    <row r="18" spans="1:4" x14ac:dyDescent="0.25">
      <c r="A18" t="str">
        <f>IF(Input!A19="","",Input!A19)</f>
        <v>Sustainable Index MPS - Portfolio 2</v>
      </c>
      <c r="B18" t="s">
        <v>90</v>
      </c>
      <c r="C18" t="s">
        <v>118</v>
      </c>
      <c r="D18" s="7" t="s">
        <v>139</v>
      </c>
    </row>
    <row r="19" spans="1:4" x14ac:dyDescent="0.25">
      <c r="A19" t="str">
        <f>IF(Input!A20="","",Input!A20)</f>
        <v>Sustainable Index MPS - Portfolio 3</v>
      </c>
      <c r="B19" t="s">
        <v>90</v>
      </c>
      <c r="C19" t="s">
        <v>121</v>
      </c>
      <c r="D19" s="7" t="s">
        <v>140</v>
      </c>
    </row>
    <row r="20" spans="1:4" x14ac:dyDescent="0.25">
      <c r="A20" t="str">
        <f>IF(Input!A21="","",Input!A21)</f>
        <v>Sustainable Index MPS - Portfolio 4</v>
      </c>
      <c r="B20" t="s">
        <v>90</v>
      </c>
      <c r="C20" t="s">
        <v>119</v>
      </c>
      <c r="D20" s="7" t="s">
        <v>141</v>
      </c>
    </row>
    <row r="21" spans="1:4" x14ac:dyDescent="0.25">
      <c r="A21" t="str">
        <f>IF(Input!A22="","",Input!A22)</f>
        <v>Sustainable Index MPS - Portfolio 5</v>
      </c>
      <c r="B21" t="s">
        <v>90</v>
      </c>
      <c r="C21" t="s">
        <v>120</v>
      </c>
      <c r="D21" s="7" t="s">
        <v>142</v>
      </c>
    </row>
    <row r="22" spans="1:4" x14ac:dyDescent="0.25">
      <c r="A22" t="str">
        <f>IF(Input!A23="","",Input!A23)</f>
        <v/>
      </c>
    </row>
    <row r="23" spans="1:4" x14ac:dyDescent="0.25">
      <c r="A23" t="str">
        <f>IF(Input!A24="","",Input!A24)</f>
        <v/>
      </c>
    </row>
    <row r="24" spans="1:4" x14ac:dyDescent="0.25">
      <c r="A24" t="str">
        <f>IF(Input!A25="","",Input!A25)</f>
        <v/>
      </c>
    </row>
    <row r="25" spans="1:4" x14ac:dyDescent="0.25">
      <c r="A25" t="str">
        <f>IF(Input!A26="","",Input!A26)</f>
        <v/>
      </c>
    </row>
    <row r="26" spans="1:4" x14ac:dyDescent="0.25">
      <c r="A26" t="str">
        <f>IF(Input!A27="","",Input!A27)</f>
        <v/>
      </c>
    </row>
    <row r="27" spans="1:4" x14ac:dyDescent="0.25">
      <c r="A27" t="str">
        <f>IF(Input!A28="","",Input!A28)</f>
        <v/>
      </c>
    </row>
    <row r="28" spans="1:4" x14ac:dyDescent="0.25">
      <c r="A28" t="str">
        <f>IF(Input!A29="","",Input!A29)</f>
        <v/>
      </c>
    </row>
    <row r="29" spans="1:4" x14ac:dyDescent="0.25">
      <c r="A29" t="str">
        <f>IF(Input!A30="","",Input!A30)</f>
        <v/>
      </c>
    </row>
    <row r="30" spans="1:4" x14ac:dyDescent="0.25">
      <c r="A30" t="str">
        <f>IF(Input!A31="","",Input!A31)</f>
        <v/>
      </c>
    </row>
    <row r="31" spans="1:4" x14ac:dyDescent="0.25">
      <c r="A31" t="str">
        <f>IF(Input!A32="","",Input!A32)</f>
        <v/>
      </c>
    </row>
    <row r="32" spans="1:4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topLeftCell="I1"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72</v>
      </c>
    </row>
    <row r="2" spans="1:2" x14ac:dyDescent="0.25">
      <c r="A2" t="str">
        <f>IF(Input!A3="","",Input!A3)</f>
        <v>abrdn MPS - Portfolio 1</v>
      </c>
      <c r="B2" s="1">
        <f>IF(A2="","",EOMONTH('Additional Information'!B2,0))</f>
        <v>31</v>
      </c>
    </row>
    <row r="3" spans="1:2" x14ac:dyDescent="0.25">
      <c r="A3" t="str">
        <f>IF(Input!A4="","",Input!A4)</f>
        <v>abrdn MPS - Portfolio 2</v>
      </c>
      <c r="B3" s="1">
        <f>IF(A3="","",EOMONTH('Additional Information'!B3,0))</f>
        <v>31</v>
      </c>
    </row>
    <row r="4" spans="1:2" x14ac:dyDescent="0.25">
      <c r="A4" t="str">
        <f>IF(Input!A5="","",Input!A5)</f>
        <v>abrdn MPS - Portfolio 3</v>
      </c>
      <c r="B4" s="1">
        <f>IF(A4="","",EOMONTH('Additional Information'!B4,0))</f>
        <v>31</v>
      </c>
    </row>
    <row r="5" spans="1:2" x14ac:dyDescent="0.25">
      <c r="A5" t="str">
        <f>IF(Input!A6="","",Input!A6)</f>
        <v>abrdn MPS - Portfolio 4</v>
      </c>
      <c r="B5" s="1">
        <f>IF(A5="","",EOMONTH('Additional Information'!B5,0))</f>
        <v>31</v>
      </c>
    </row>
    <row r="6" spans="1:2" x14ac:dyDescent="0.25">
      <c r="A6" t="str">
        <f>IF(Input!A7="","",Input!A7)</f>
        <v>abrdn MPS - Portfolio 5</v>
      </c>
      <c r="B6" s="1">
        <f>IF(A6="","",EOMONTH('Additional Information'!B6,0))</f>
        <v>31</v>
      </c>
    </row>
    <row r="7" spans="1:2" x14ac:dyDescent="0.25">
      <c r="A7" t="str">
        <f>IF(Input!A8="","",Input!A8)</f>
        <v>abrdn Index MPS - Portfolio 1</v>
      </c>
      <c r="B7" s="1">
        <f>IF(A7="","",EOMONTH('Additional Information'!B7,0))</f>
        <v>45230</v>
      </c>
    </row>
    <row r="8" spans="1:2" x14ac:dyDescent="0.25">
      <c r="A8" t="str">
        <f>IF(Input!A9="","",Input!A9)</f>
        <v>abrdn Index MPS - Portfolio 2</v>
      </c>
      <c r="B8" s="1">
        <f>IF(A8="","",EOMONTH('Additional Information'!B8,0))</f>
        <v>45230</v>
      </c>
    </row>
    <row r="9" spans="1:2" x14ac:dyDescent="0.25">
      <c r="A9" t="str">
        <f>IF(Input!A10="","",Input!A10)</f>
        <v>abrdn Index MPS - Portfolio 3</v>
      </c>
      <c r="B9" s="1">
        <f>IF(A9="","",EOMONTH('Additional Information'!B9,0))</f>
        <v>45230</v>
      </c>
    </row>
    <row r="10" spans="1:2" x14ac:dyDescent="0.25">
      <c r="A10" t="str">
        <f>IF(Input!A11="","",Input!A11)</f>
        <v>abrdn Index MPS - Portfolio 4</v>
      </c>
      <c r="B10" s="1">
        <f>IF(A10="","",EOMONTH('Additional Information'!B10,0))</f>
        <v>45230</v>
      </c>
    </row>
    <row r="11" spans="1:2" x14ac:dyDescent="0.25">
      <c r="A11" t="str">
        <f>IF(Input!A12="","",Input!A12)</f>
        <v>abrdn Index MPS - Portfolio 5</v>
      </c>
      <c r="B11" s="1">
        <f>IF(A11="","",EOMONTH('Additional Information'!B11,0))</f>
        <v>45230</v>
      </c>
    </row>
    <row r="12" spans="1:2" x14ac:dyDescent="0.25">
      <c r="A12" t="str">
        <f>IF(Input!A13="","",Input!A13)</f>
        <v>Sustainable MPS - Portfolio 1</v>
      </c>
      <c r="B12" s="1">
        <f>IF(A12="","",EOMONTH('Additional Information'!B12,0))</f>
        <v>45230</v>
      </c>
    </row>
    <row r="13" spans="1:2" x14ac:dyDescent="0.25">
      <c r="A13" t="str">
        <f>IF(Input!A14="","",Input!A14)</f>
        <v>Sustainable MPS - Portfolio 2</v>
      </c>
      <c r="B13" s="1">
        <f>IF(A13="","",EOMONTH('Additional Information'!B13,0))</f>
        <v>45230</v>
      </c>
    </row>
    <row r="14" spans="1:2" x14ac:dyDescent="0.25">
      <c r="A14" t="str">
        <f>IF(Input!A15="","",Input!A15)</f>
        <v>Sustainable MPS - Portfolio 3</v>
      </c>
      <c r="B14" s="1">
        <f>IF(A14="","",EOMONTH('Additional Information'!B14,0))</f>
        <v>45230</v>
      </c>
    </row>
    <row r="15" spans="1:2" x14ac:dyDescent="0.25">
      <c r="A15" t="str">
        <f>IF(Input!A16="","",Input!A16)</f>
        <v>Sustainable MPS - Portfolio 4</v>
      </c>
      <c r="B15" s="1">
        <f>IF(A15="","",EOMONTH('Additional Information'!B15,0))</f>
        <v>45230</v>
      </c>
    </row>
    <row r="16" spans="1:2" x14ac:dyDescent="0.25">
      <c r="A16" t="str">
        <f>IF(Input!A17="","",Input!A17)</f>
        <v>Sustainable MPS - Portfolio 5</v>
      </c>
      <c r="B16" s="1">
        <f>IF(A16="","",EOMONTH('Additional Information'!B16,0))</f>
        <v>45230</v>
      </c>
    </row>
    <row r="17" spans="1:2" x14ac:dyDescent="0.25">
      <c r="A17" t="str">
        <f>IF(Input!A18="","",Input!A18)</f>
        <v>Sustainable Index MPS - Portfolio 1</v>
      </c>
      <c r="B17" s="1">
        <f>IF(A17="","",EOMONTH('Additional Information'!B17,0))</f>
        <v>45230</v>
      </c>
    </row>
    <row r="18" spans="1:2" x14ac:dyDescent="0.25">
      <c r="A18" t="str">
        <f>IF(Input!A19="","",Input!A19)</f>
        <v>Sustainable Index MPS - Portfolio 2</v>
      </c>
      <c r="B18" s="1">
        <f>IF(A18="","",EOMONTH('Additional Information'!B18,0))</f>
        <v>45230</v>
      </c>
    </row>
    <row r="19" spans="1:2" x14ac:dyDescent="0.25">
      <c r="A19" t="str">
        <f>IF(Input!A20="","",Input!A20)</f>
        <v>Sustainable Index MPS - Portfolio 3</v>
      </c>
      <c r="B19" s="1">
        <f>IF(A19="","",EOMONTH('Additional Information'!B19,0))</f>
        <v>45230</v>
      </c>
    </row>
    <row r="20" spans="1:2" x14ac:dyDescent="0.25">
      <c r="A20" t="str">
        <f>IF(Input!A21="","",Input!A21)</f>
        <v>Sustainable Index MPS - Portfolio 4</v>
      </c>
      <c r="B20" s="1">
        <f>IF(A20="","",EOMONTH('Additional Information'!B20,0))</f>
        <v>45230</v>
      </c>
    </row>
    <row r="21" spans="1:2" x14ac:dyDescent="0.25">
      <c r="A21" t="str">
        <f>IF(Input!A22="","",Input!A22)</f>
        <v>Sustainable Index MPS - Portfolio 5</v>
      </c>
      <c r="B21" s="1">
        <f>IF(A21="","",EOMONTH('Additional Information'!B21,0))</f>
        <v>45230</v>
      </c>
    </row>
    <row r="22" spans="1:2" x14ac:dyDescent="0.25">
      <c r="A22" t="str">
        <f>IF(Input!A23="","",Input!A23)</f>
        <v/>
      </c>
      <c r="B22" s="1" t="str">
        <f>IF(A22="","",EOMONTH('Additional Information'!B22,0))</f>
        <v/>
      </c>
    </row>
    <row r="23" spans="1:2" x14ac:dyDescent="0.25">
      <c r="A23" t="str">
        <f>IF(Input!A24="","",Input!A24)</f>
        <v/>
      </c>
      <c r="B23" s="1" t="str">
        <f>IF(A23="","",EOMONTH('Additional Information'!B23,0))</f>
        <v/>
      </c>
    </row>
    <row r="24" spans="1:2" x14ac:dyDescent="0.25">
      <c r="A24" t="str">
        <f>IF(Input!A25="","",Input!A25)</f>
        <v/>
      </c>
      <c r="B24" s="1" t="str">
        <f>IF(A24="","",EOMONTH('Additional Information'!B24,0))</f>
        <v/>
      </c>
    </row>
    <row r="25" spans="1:2" x14ac:dyDescent="0.25">
      <c r="A25" t="str">
        <f>IF(Input!A26="","",Input!A26)</f>
        <v/>
      </c>
      <c r="B25" s="1" t="str">
        <f>IF(A25="","",EOMONTH('Additional Information'!B25,0))</f>
        <v/>
      </c>
    </row>
    <row r="26" spans="1:2" x14ac:dyDescent="0.25">
      <c r="A26" t="str">
        <f>IF(Input!A27="","",Input!A27)</f>
        <v/>
      </c>
      <c r="B26" s="1" t="str">
        <f>IF(A26="","",EOMONTH('Additional Information'!B26,0))</f>
        <v/>
      </c>
    </row>
    <row r="27" spans="1:2" x14ac:dyDescent="0.25">
      <c r="A27" t="str">
        <f>IF(Input!A28="","",Input!A28)</f>
        <v/>
      </c>
      <c r="B27" s="1" t="str">
        <f>IF(A27="","",EOMONTH('Additional Information'!B27,0))</f>
        <v/>
      </c>
    </row>
    <row r="28" spans="1:2" x14ac:dyDescent="0.25">
      <c r="A28" t="str">
        <f>IF(Input!A29="","",Input!A29)</f>
        <v/>
      </c>
      <c r="B28" s="1" t="str">
        <f>IF(A28="","",EOMONTH('Additional Information'!B28,0))</f>
        <v/>
      </c>
    </row>
    <row r="29" spans="1:2" x14ac:dyDescent="0.25">
      <c r="A29" t="str">
        <f>IF(Input!A30="","",Input!A30)</f>
        <v/>
      </c>
      <c r="B29" s="1" t="str">
        <f>IF(A29="","",EOMONTH('Additional Information'!B29,0))</f>
        <v/>
      </c>
    </row>
    <row r="30" spans="1:2" x14ac:dyDescent="0.25">
      <c r="A30" t="str">
        <f>IF(Input!A31="","",Input!A31)</f>
        <v/>
      </c>
      <c r="B30" s="1" t="str">
        <f>IF(A30="","",EOMONTH('Additional Information'!B30,0))</f>
        <v/>
      </c>
    </row>
    <row r="31" spans="1:2" x14ac:dyDescent="0.25">
      <c r="A31" t="str">
        <f>IF(Input!A32="","",Input!A32)</f>
        <v/>
      </c>
      <c r="B31" s="1" t="str">
        <f>IF(A31="","",EOMONTH('Additional Information'!B31,0))</f>
        <v/>
      </c>
    </row>
    <row r="32" spans="1:2" x14ac:dyDescent="0.25">
      <c r="A32" t="str">
        <f>IF(Input!A33="","",Input!A33)</f>
        <v/>
      </c>
      <c r="B32" s="1" t="str">
        <f>IF(A32="","",EOMONTH('Additional Information'!B32,0))</f>
        <v/>
      </c>
    </row>
    <row r="33" spans="1:2" x14ac:dyDescent="0.25">
      <c r="A33" t="str">
        <f>IF(Input!A34="","",Input!A34)</f>
        <v/>
      </c>
      <c r="B33" s="1" t="str">
        <f>IF(A33="","",EOMONTH('Additional Information'!B33,0))</f>
        <v/>
      </c>
    </row>
    <row r="34" spans="1:2" x14ac:dyDescent="0.25">
      <c r="A34" t="str">
        <f>IF(Input!A35="","",Input!A35)</f>
        <v/>
      </c>
      <c r="B34" s="1" t="str">
        <f>IF(A34="","",EOMONTH('Additional Information'!B34,0))</f>
        <v/>
      </c>
    </row>
    <row r="35" spans="1:2" x14ac:dyDescent="0.25">
      <c r="A35" t="str">
        <f>IF(Input!A36="","",Input!A36)</f>
        <v/>
      </c>
      <c r="B35" s="1" t="str">
        <f>IF(A35="","",EOMONTH('Additional Information'!B35,0))</f>
        <v/>
      </c>
    </row>
    <row r="36" spans="1:2" x14ac:dyDescent="0.25">
      <c r="A36" t="str">
        <f>IF(Input!A37="","",Input!A37)</f>
        <v/>
      </c>
      <c r="B36" s="1" t="str">
        <f>IF(A36="","",EOMONTH('Additional Information'!B36,0))</f>
        <v/>
      </c>
    </row>
    <row r="37" spans="1:2" x14ac:dyDescent="0.25">
      <c r="A37" t="str">
        <f>IF(Input!A38="","",Input!A38)</f>
        <v/>
      </c>
      <c r="B37" s="1" t="str">
        <f>IF(A37="","",EOMONTH('Additional Information'!B37,0))</f>
        <v/>
      </c>
    </row>
    <row r="38" spans="1:2" x14ac:dyDescent="0.25">
      <c r="A38" t="str">
        <f>IF(Input!A39="","",Input!A39)</f>
        <v/>
      </c>
      <c r="B38" s="1" t="str">
        <f>IF(A38="","",EOMONTH('Additional Information'!B38,0))</f>
        <v/>
      </c>
    </row>
    <row r="39" spans="1:2" x14ac:dyDescent="0.25">
      <c r="A39" t="str">
        <f>IF(Input!A40="","",Input!A40)</f>
        <v/>
      </c>
      <c r="B39" s="1" t="str">
        <f>IF(A39="","",EOMONTH('Additional Information'!B39,0))</f>
        <v/>
      </c>
    </row>
    <row r="40" spans="1:2" x14ac:dyDescent="0.25">
      <c r="A40" t="str">
        <f>IF(Input!A41="","",Input!A41)</f>
        <v/>
      </c>
      <c r="B40" s="1" t="str">
        <f>IF(A40="","",EOMONTH('Additional Information'!B40,0))</f>
        <v/>
      </c>
    </row>
    <row r="41" spans="1:2" x14ac:dyDescent="0.25">
      <c r="A41" t="str">
        <f>IF(Input!A42="","",Input!A42)</f>
        <v/>
      </c>
      <c r="B41" s="1" t="str">
        <f>IF(A41="","",EOMONTH('Additional Information'!B41,0))</f>
        <v/>
      </c>
    </row>
    <row r="42" spans="1:2" x14ac:dyDescent="0.25">
      <c r="A42" t="str">
        <f>IF(Input!A43="","",Input!A43)</f>
        <v/>
      </c>
      <c r="B42" s="1" t="str">
        <f>IF(A42="","",EOMONTH('Additional Information'!B42,0))</f>
        <v/>
      </c>
    </row>
    <row r="43" spans="1:2" x14ac:dyDescent="0.25">
      <c r="A43" t="str">
        <f>IF(Input!A44="","",Input!A44)</f>
        <v/>
      </c>
      <c r="B43" s="1" t="str">
        <f>IF(A43="","",EOMONTH('Additional Information'!B43,0))</f>
        <v/>
      </c>
    </row>
    <row r="44" spans="1:2" x14ac:dyDescent="0.25">
      <c r="A44" t="str">
        <f>IF(Input!A45="","",Input!A45)</f>
        <v/>
      </c>
      <c r="B44" s="1" t="str">
        <f>IF(A44="","",EOMONTH('Additional Information'!B44,0))</f>
        <v/>
      </c>
    </row>
    <row r="45" spans="1:2" x14ac:dyDescent="0.25">
      <c r="A45" t="str">
        <f>IF(Input!A46="","",Input!A46)</f>
        <v/>
      </c>
      <c r="B45" s="1" t="str">
        <f>IF(A45="","",EOMONTH('Additional Information'!B45,0))</f>
        <v/>
      </c>
    </row>
    <row r="46" spans="1:2" x14ac:dyDescent="0.25">
      <c r="A46" t="str">
        <f>IF(Input!A47="","",Input!A47)</f>
        <v/>
      </c>
      <c r="B46" s="1" t="str">
        <f>IF(A46="","",EOMONTH('Additional Information'!B46,0))</f>
        <v/>
      </c>
    </row>
    <row r="47" spans="1:2" x14ac:dyDescent="0.25">
      <c r="A47" t="str">
        <f>IF(Input!A48="","",Input!A48)</f>
        <v/>
      </c>
      <c r="B47" s="1" t="str">
        <f>IF(A47="","",EOMONTH('Additional Information'!B47,0))</f>
        <v/>
      </c>
    </row>
    <row r="48" spans="1:2" x14ac:dyDescent="0.25">
      <c r="A48" t="str">
        <f>IF(Input!A49="","",Input!A49)</f>
        <v/>
      </c>
      <c r="B48" s="1" t="str">
        <f>IF(A48="","",EOMONTH('Additional Information'!B48,0))</f>
        <v/>
      </c>
    </row>
    <row r="49" spans="1:2" x14ac:dyDescent="0.25">
      <c r="A49" t="str">
        <f>IF(Input!A50="","",Input!A50)</f>
        <v/>
      </c>
      <c r="B49" s="1" t="str">
        <f>IF(A49="","",EOMONTH('Additional Information'!B49,0))</f>
        <v/>
      </c>
    </row>
    <row r="50" spans="1:2" x14ac:dyDescent="0.25">
      <c r="A50" t="str">
        <f>IF(Input!A51="","",Input!A51)</f>
        <v/>
      </c>
      <c r="B50" s="1" t="str">
        <f>IF(A50="","",EOMONTH('Additional Information'!B50,0))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G50"/>
  <sheetViews>
    <sheetView workbookViewId="0">
      <selection activeCell="I1" sqref="I1:I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7" x14ac:dyDescent="0.25">
      <c r="B1" t="s">
        <v>66</v>
      </c>
      <c r="C1" t="s">
        <v>20</v>
      </c>
      <c r="D1" t="s">
        <v>21</v>
      </c>
      <c r="E1" t="s">
        <v>88</v>
      </c>
      <c r="F1" t="s">
        <v>99</v>
      </c>
      <c r="G1" t="s">
        <v>100</v>
      </c>
    </row>
    <row r="2" spans="1:7" x14ac:dyDescent="0.25">
      <c r="A2" t="str">
        <f>IF(Input!A3="","",Input!A3)</f>
        <v>abrdn MPS - Portfolio 1</v>
      </c>
      <c r="B2">
        <f>IF(A2="","",'Additional Information'!G2)</f>
        <v>0</v>
      </c>
      <c r="C2">
        <f>IF(A2="","",'Additional Information'!J2)</f>
        <v>0</v>
      </c>
      <c r="D2">
        <f>IF(A2="","",SUM('Additional Information'!E2,'Additional Information'!F2))</f>
        <v>0</v>
      </c>
      <c r="E2">
        <f>IF(A2="","",SUM('Additional Information'!E2))</f>
        <v>0</v>
      </c>
      <c r="F2" t="str">
        <f>IF(A2="","",IF('Additional Information'!K2="","",'Additional Information'!K2))</f>
        <v/>
      </c>
      <c r="G2" t="str">
        <f>IF(A2="","",IF('Additional Information'!L2="","",'Additional Information'!L2))</f>
        <v/>
      </c>
    </row>
    <row r="3" spans="1:7" x14ac:dyDescent="0.25">
      <c r="A3" t="str">
        <f>IF(Input!A4="","",Input!A4)</f>
        <v>abrdn MPS - Portfolio 2</v>
      </c>
      <c r="B3">
        <f>IF(A3="","",'Additional Information'!G3)</f>
        <v>0</v>
      </c>
      <c r="C3">
        <f>IF(A3="","",'Additional Information'!J3)</f>
        <v>0</v>
      </c>
      <c r="D3">
        <f>IF(A3="","",SUM('Additional Information'!E3,'Additional Information'!F3))</f>
        <v>0</v>
      </c>
      <c r="E3">
        <f>IF(A3="","",SUM('Additional Information'!E3))</f>
        <v>0</v>
      </c>
      <c r="F3" t="str">
        <f>IF(A3="","",IF('Additional Information'!K3="","",'Additional Information'!K3))</f>
        <v/>
      </c>
      <c r="G3" t="str">
        <f>IF(A3="","",IF('Additional Information'!L3="","",'Additional Information'!L3))</f>
        <v/>
      </c>
    </row>
    <row r="4" spans="1:7" x14ac:dyDescent="0.25">
      <c r="A4" t="str">
        <f>IF(Input!A5="","",Input!A5)</f>
        <v>abrdn MPS - Portfolio 3</v>
      </c>
      <c r="B4">
        <f>IF(A4="","",'Additional Information'!G4)</f>
        <v>0</v>
      </c>
      <c r="C4">
        <f>IF(A4="","",'Additional Information'!J4)</f>
        <v>0</v>
      </c>
      <c r="D4">
        <f>IF(A4="","",SUM('Additional Information'!E4,'Additional Information'!F4))</f>
        <v>0</v>
      </c>
      <c r="E4">
        <f>IF(A4="","",SUM('Additional Information'!E4))</f>
        <v>0</v>
      </c>
      <c r="F4" t="str">
        <f>IF(A4="","",IF('Additional Information'!K4="","",'Additional Information'!K4))</f>
        <v/>
      </c>
      <c r="G4" t="str">
        <f>IF(A4="","",IF('Additional Information'!L4="","",'Additional Information'!L4))</f>
        <v/>
      </c>
    </row>
    <row r="5" spans="1:7" x14ac:dyDescent="0.25">
      <c r="A5" t="str">
        <f>IF(Input!A6="","",Input!A6)</f>
        <v>abrdn MPS - Portfolio 4</v>
      </c>
      <c r="B5">
        <f>IF(A5="","",'Additional Information'!G5)</f>
        <v>0</v>
      </c>
      <c r="C5">
        <f>IF(A5="","",'Additional Information'!J5)</f>
        <v>0</v>
      </c>
      <c r="D5">
        <f>IF(A5="","",SUM('Additional Information'!E5,'Additional Information'!F5))</f>
        <v>0</v>
      </c>
      <c r="E5">
        <f>IF(A5="","",SUM('Additional Information'!E5))</f>
        <v>0</v>
      </c>
      <c r="F5" t="str">
        <f>IF(A5="","",IF('Additional Information'!K5="","",'Additional Information'!K5))</f>
        <v/>
      </c>
      <c r="G5" t="str">
        <f>IF(A5="","",IF('Additional Information'!L5="","",'Additional Information'!L5))</f>
        <v/>
      </c>
    </row>
    <row r="6" spans="1:7" x14ac:dyDescent="0.25">
      <c r="A6" t="str">
        <f>IF(Input!A7="","",Input!A7)</f>
        <v>abrdn MPS - Portfolio 5</v>
      </c>
      <c r="B6">
        <f>IF(A6="","",'Additional Information'!G6)</f>
        <v>0</v>
      </c>
      <c r="C6">
        <f>IF(A6="","",'Additional Information'!J6)</f>
        <v>0</v>
      </c>
      <c r="D6">
        <f>IF(A6="","",SUM('Additional Information'!E6,'Additional Information'!F6))</f>
        <v>0</v>
      </c>
      <c r="E6">
        <f>IF(A6="","",SUM('Additional Information'!E6))</f>
        <v>0</v>
      </c>
      <c r="F6" t="str">
        <f>IF(A6="","",IF('Additional Information'!K6="","",'Additional Information'!K6))</f>
        <v/>
      </c>
      <c r="G6" t="str">
        <f>IF(A6="","",IF('Additional Information'!L6="","",'Additional Information'!L6))</f>
        <v/>
      </c>
    </row>
    <row r="7" spans="1:7" x14ac:dyDescent="0.25">
      <c r="A7" t="str">
        <f>IF(Input!A8="","",Input!A8)</f>
        <v>abrdn Index MPS - Portfolio 1</v>
      </c>
      <c r="B7">
        <f>IF(A7="","",'Additional Information'!G7)</f>
        <v>-9.0000000000000011E-3</v>
      </c>
      <c r="C7">
        <f>IF(A7="","",'Additional Information'!J7)</f>
        <v>1.23E-2</v>
      </c>
      <c r="D7">
        <f>IF(A7="","",SUM('Additional Information'!E7,'Additional Information'!F7))</f>
        <v>2E-3</v>
      </c>
      <c r="E7">
        <f>IF(A7="","",SUM('Additional Information'!E7))</f>
        <v>1E-3</v>
      </c>
      <c r="F7">
        <f>IF(A7="","",IF('Additional Information'!K7="","",'Additional Information'!K7))</f>
        <v>-2.58E-2</v>
      </c>
      <c r="G7" t="str">
        <f>IF(A7="","",IF('Additional Information'!L7="","",'Additional Information'!L7))</f>
        <v/>
      </c>
    </row>
    <row r="8" spans="1:7" x14ac:dyDescent="0.25">
      <c r="A8" t="str">
        <f>IF(Input!A9="","",Input!A9)</f>
        <v>abrdn Index MPS - Portfolio 2</v>
      </c>
      <c r="B8">
        <f>IF(A8="","",'Additional Information'!G8)</f>
        <v>-1.47E-2</v>
      </c>
      <c r="C8">
        <f>IF(A8="","",'Additional Information'!J8)</f>
        <v>2.29E-2</v>
      </c>
      <c r="D8">
        <f>IF(A8="","",SUM('Additional Information'!E8,'Additional Information'!F8))</f>
        <v>2.1000000000000003E-3</v>
      </c>
      <c r="E8">
        <f>IF(A8="","",SUM('Additional Information'!E8))</f>
        <v>1E-3</v>
      </c>
      <c r="F8">
        <f>IF(A8="","",IF('Additional Information'!K8="","",'Additional Information'!K8))</f>
        <v>4.4400000000000002E-2</v>
      </c>
      <c r="G8" t="str">
        <f>IF(A8="","",IF('Additional Information'!L8="","",'Additional Information'!L8))</f>
        <v/>
      </c>
    </row>
    <row r="9" spans="1:7" x14ac:dyDescent="0.25">
      <c r="A9" t="str">
        <f>IF(Input!A10="","",Input!A10)</f>
        <v>abrdn Index MPS - Portfolio 3</v>
      </c>
      <c r="B9">
        <f>IF(A9="","",'Additional Information'!G9)</f>
        <v>-1.9099999999999999E-2</v>
      </c>
      <c r="C9">
        <f>IF(A9="","",'Additional Information'!J9)</f>
        <v>2.9900000000000003E-2</v>
      </c>
      <c r="D9">
        <f>IF(A9="","",SUM('Additional Information'!E9,'Additional Information'!F9))</f>
        <v>2.1999999999999997E-3</v>
      </c>
      <c r="E9">
        <f>IF(A9="","",SUM('Additional Information'!E9))</f>
        <v>1E-3</v>
      </c>
      <c r="F9">
        <f>IF(A9="","",IF('Additional Information'!K9="","",'Additional Information'!K9))</f>
        <v>0.1303</v>
      </c>
      <c r="G9" t="str">
        <f>IF(A9="","",IF('Additional Information'!L9="","",'Additional Information'!L9))</f>
        <v/>
      </c>
    </row>
    <row r="10" spans="1:7" x14ac:dyDescent="0.25">
      <c r="A10" t="str">
        <f>IF(Input!A11="","",Input!A11)</f>
        <v>abrdn Index MPS - Portfolio 4</v>
      </c>
      <c r="B10">
        <f>IF(A10="","",'Additional Information'!G10)</f>
        <v>-2.4E-2</v>
      </c>
      <c r="C10">
        <f>IF(A10="","",'Additional Information'!J10)</f>
        <v>3.44E-2</v>
      </c>
      <c r="D10">
        <f>IF(A10="","",SUM('Additional Information'!E10,'Additional Information'!F10))</f>
        <v>2.1000000000000003E-3</v>
      </c>
      <c r="E10">
        <f>IF(A10="","",SUM('Additional Information'!E10))</f>
        <v>1E-3</v>
      </c>
      <c r="F10">
        <f>IF(A10="","",IF('Additional Information'!K10="","",'Additional Information'!K10))</f>
        <v>0.19589999999999999</v>
      </c>
      <c r="G10" t="str">
        <f>IF(A10="","",IF('Additional Information'!L10="","",'Additional Information'!L10))</f>
        <v/>
      </c>
    </row>
    <row r="11" spans="1:7" x14ac:dyDescent="0.25">
      <c r="A11" t="str">
        <f>IF(Input!A12="","",Input!A12)</f>
        <v>abrdn Index MPS - Portfolio 5</v>
      </c>
      <c r="B11">
        <f>IF(A11="","",'Additional Information'!G11)</f>
        <v>-2.7900000000000001E-2</v>
      </c>
      <c r="C11">
        <f>IF(A11="","",'Additional Information'!J11)</f>
        <v>4.2900000000000001E-2</v>
      </c>
      <c r="D11">
        <f>IF(A11="","",SUM('Additional Information'!E11,'Additional Information'!F11))</f>
        <v>1.9E-3</v>
      </c>
      <c r="E11">
        <f>IF(A11="","",SUM('Additional Information'!E11))</f>
        <v>1E-3</v>
      </c>
      <c r="F11">
        <f>IF(A11="","",IF('Additional Information'!K11="","",'Additional Information'!K11))</f>
        <v>0.28309999999999996</v>
      </c>
      <c r="G11" t="str">
        <f>IF(A11="","",IF('Additional Information'!L11="","",'Additional Information'!L11))</f>
        <v/>
      </c>
    </row>
    <row r="12" spans="1:7" x14ac:dyDescent="0.25">
      <c r="A12" t="str">
        <f>IF(Input!A13="","",Input!A13)</f>
        <v>Sustainable MPS - Portfolio 1</v>
      </c>
      <c r="B12">
        <f>IF(A12="","",'Additional Information'!G12)</f>
        <v>-1.32E-2</v>
      </c>
      <c r="C12">
        <f>IF(A12="","",'Additional Information'!J12)</f>
        <v>-7.7000000000000002E-3</v>
      </c>
      <c r="D12">
        <f>IF(A12="","",SUM('Additional Information'!E12,'Additional Information'!F12))</f>
        <v>5.1999999999999998E-3</v>
      </c>
      <c r="E12">
        <f>IF(A12="","",SUM('Additional Information'!E12))</f>
        <v>2E-3</v>
      </c>
      <c r="F12">
        <f>IF(A12="","",IF('Additional Information'!K12="","",'Additional Information'!K12))</f>
        <v>-0.13739999999999999</v>
      </c>
      <c r="G12" t="str">
        <f>IF(A12="","",IF('Additional Information'!L12="","",'Additional Information'!L12))</f>
        <v/>
      </c>
    </row>
    <row r="13" spans="1:7" x14ac:dyDescent="0.25">
      <c r="A13" t="str">
        <f>IF(Input!A14="","",Input!A14)</f>
        <v>Sustainable MPS - Portfolio 2</v>
      </c>
      <c r="B13">
        <f>IF(A13="","",'Additional Information'!G13)</f>
        <v>-2.12E-2</v>
      </c>
      <c r="C13">
        <f>IF(A13="","",'Additional Information'!J13)</f>
        <v>-1.1899999999999999E-2</v>
      </c>
      <c r="D13">
        <f>IF(A13="","",SUM('Additional Information'!E13,'Additional Information'!F13))</f>
        <v>6.0999999999999995E-3</v>
      </c>
      <c r="E13">
        <f>IF(A13="","",SUM('Additional Information'!E13))</f>
        <v>2E-3</v>
      </c>
      <c r="F13">
        <f>IF(A13="","",IF('Additional Information'!K13="","",'Additional Information'!K13))</f>
        <v>-8.09E-2</v>
      </c>
      <c r="G13" t="str">
        <f>IF(A13="","",IF('Additional Information'!L13="","",'Additional Information'!L13))</f>
        <v/>
      </c>
    </row>
    <row r="14" spans="1:7" x14ac:dyDescent="0.25">
      <c r="A14" t="str">
        <f>IF(Input!A15="","",Input!A15)</f>
        <v>Sustainable MPS - Portfolio 3</v>
      </c>
      <c r="B14">
        <f>IF(A14="","",'Additional Information'!G14)</f>
        <v>-2.7400000000000001E-2</v>
      </c>
      <c r="C14">
        <f>IF(A14="","",'Additional Information'!J14)</f>
        <v>-1.8799999999999997E-2</v>
      </c>
      <c r="D14">
        <f>IF(A14="","",SUM('Additional Information'!E14,'Additional Information'!F14))</f>
        <v>6.7999999999999996E-3</v>
      </c>
      <c r="E14">
        <f>IF(A14="","",SUM('Additional Information'!E14))</f>
        <v>2E-3</v>
      </c>
      <c r="F14">
        <f>IF(A14="","",IF('Additional Information'!K14="","",'Additional Information'!K14))</f>
        <v>-4.1799999999999997E-2</v>
      </c>
      <c r="G14" t="str">
        <f>IF(A14="","",IF('Additional Information'!L14="","",'Additional Information'!L14))</f>
        <v/>
      </c>
    </row>
    <row r="15" spans="1:7" x14ac:dyDescent="0.25">
      <c r="A15" t="str">
        <f>IF(Input!A16="","",Input!A16)</f>
        <v>Sustainable MPS - Portfolio 4</v>
      </c>
      <c r="B15">
        <f>IF(A15="","",'Additional Information'!G15)</f>
        <v>-3.4599999999999999E-2</v>
      </c>
      <c r="C15">
        <f>IF(A15="","",'Additional Information'!J15)</f>
        <v>-2.3799999999999998E-2</v>
      </c>
      <c r="D15">
        <f>IF(A15="","",SUM('Additional Information'!E15,'Additional Information'!F15))</f>
        <v>7.5000000000000006E-3</v>
      </c>
      <c r="E15">
        <f>IF(A15="","",SUM('Additional Information'!E15))</f>
        <v>2E-3</v>
      </c>
      <c r="F15">
        <f>IF(A15="","",IF('Additional Information'!K15="","",'Additional Information'!K15))</f>
        <v>4.0999999999999995E-3</v>
      </c>
      <c r="G15" t="str">
        <f>IF(A15="","",IF('Additional Information'!L15="","",'Additional Information'!L15))</f>
        <v/>
      </c>
    </row>
    <row r="16" spans="1:7" x14ac:dyDescent="0.25">
      <c r="A16" t="str">
        <f>IF(Input!A17="","",Input!A17)</f>
        <v>Sustainable MPS - Portfolio 5</v>
      </c>
      <c r="B16">
        <f>IF(A16="","",'Additional Information'!G16)</f>
        <v>-4.1299999999999996E-2</v>
      </c>
      <c r="C16">
        <f>IF(A16="","",'Additional Information'!J16)</f>
        <v>-3.4599999999999999E-2</v>
      </c>
      <c r="D16">
        <f>IF(A16="","",SUM('Additional Information'!E16,'Additional Information'!F16))</f>
        <v>8.4000000000000012E-3</v>
      </c>
      <c r="E16">
        <f>IF(A16="","",SUM('Additional Information'!E16))</f>
        <v>2E-3</v>
      </c>
      <c r="F16">
        <f>IF(A16="","",IF('Additional Information'!K16="","",'Additional Information'!K16))</f>
        <v>2.98E-2</v>
      </c>
      <c r="G16" t="str">
        <f>IF(A16="","",IF('Additional Information'!L16="","",'Additional Information'!L16))</f>
        <v/>
      </c>
    </row>
    <row r="17" spans="1:7" x14ac:dyDescent="0.25">
      <c r="A17" t="str">
        <f>IF(Input!A18="","",Input!A18)</f>
        <v>Sustainable Index MPS - Portfolio 1</v>
      </c>
      <c r="B17">
        <f>IF(A17="","",'Additional Information'!G17)</f>
        <v>-9.1000000000000004E-3</v>
      </c>
      <c r="C17">
        <f>IF(A17="","",'Additional Information'!J17)</f>
        <v>1.34E-2</v>
      </c>
      <c r="D17">
        <f>IF(A17="","",SUM('Additional Information'!E17,'Additional Information'!F17))</f>
        <v>2.1999999999999997E-3</v>
      </c>
      <c r="E17">
        <f>IF(A17="","",SUM('Additional Information'!E17))</f>
        <v>1E-3</v>
      </c>
      <c r="F17" t="str">
        <f>IF(A17="","",IF('Additional Information'!K17="","",'Additional Information'!K17))</f>
        <v/>
      </c>
      <c r="G17" t="str">
        <f>IF(A17="","",IF('Additional Information'!L17="","",'Additional Information'!L17))</f>
        <v/>
      </c>
    </row>
    <row r="18" spans="1:7" x14ac:dyDescent="0.25">
      <c r="A18" t="str">
        <f>IF(Input!A19="","",Input!A19)</f>
        <v>Sustainable Index MPS - Portfolio 2</v>
      </c>
      <c r="B18">
        <f>IF(A18="","",'Additional Information'!G18)</f>
        <v>-1.5100000000000001E-2</v>
      </c>
      <c r="C18">
        <f>IF(A18="","",'Additional Information'!J18)</f>
        <v>2.3E-2</v>
      </c>
      <c r="D18">
        <f>IF(A18="","",SUM('Additional Information'!E18,'Additional Information'!F18))</f>
        <v>2.4000000000000002E-3</v>
      </c>
      <c r="E18">
        <f>IF(A18="","",SUM('Additional Information'!E18))</f>
        <v>1E-3</v>
      </c>
      <c r="F18" t="str">
        <f>IF(A18="","",IF('Additional Information'!K18="","",'Additional Information'!K18))</f>
        <v/>
      </c>
      <c r="G18" t="str">
        <f>IF(A18="","",IF('Additional Information'!L18="","",'Additional Information'!L18))</f>
        <v/>
      </c>
    </row>
    <row r="19" spans="1:7" x14ac:dyDescent="0.25">
      <c r="A19" t="str">
        <f>IF(Input!A20="","",Input!A20)</f>
        <v>Sustainable Index MPS - Portfolio 3</v>
      </c>
      <c r="B19">
        <f>IF(A19="","",'Additional Information'!G19)</f>
        <v>-1.9299999999999998E-2</v>
      </c>
      <c r="C19">
        <f>IF(A19="","",'Additional Information'!J19)</f>
        <v>3.2400000000000005E-2</v>
      </c>
      <c r="D19">
        <f>IF(A19="","",SUM('Additional Information'!E19,'Additional Information'!F19))</f>
        <v>2.4000000000000002E-3</v>
      </c>
      <c r="E19">
        <f>IF(A19="","",SUM('Additional Information'!E19))</f>
        <v>1E-3</v>
      </c>
      <c r="F19" t="str">
        <f>IF(A19="","",IF('Additional Information'!K19="","",'Additional Information'!K19))</f>
        <v/>
      </c>
      <c r="G19" t="str">
        <f>IF(A19="","",IF('Additional Information'!L19="","",'Additional Information'!L19))</f>
        <v/>
      </c>
    </row>
    <row r="20" spans="1:7" x14ac:dyDescent="0.25">
      <c r="A20" t="str">
        <f>IF(Input!A21="","",Input!A21)</f>
        <v>Sustainable Index MPS - Portfolio 4</v>
      </c>
      <c r="B20">
        <f>IF(A20="","",'Additional Information'!G20)</f>
        <v>-2.3900000000000001E-2</v>
      </c>
      <c r="C20">
        <f>IF(A20="","",'Additional Information'!J20)</f>
        <v>3.6499999999999998E-2</v>
      </c>
      <c r="D20">
        <f>IF(A20="","",SUM('Additional Information'!E20,'Additional Information'!F20))</f>
        <v>2.3E-3</v>
      </c>
      <c r="E20">
        <f>IF(A20="","",SUM('Additional Information'!E20))</f>
        <v>1E-3</v>
      </c>
      <c r="F20" t="str">
        <f>IF(A20="","",IF('Additional Information'!K20="","",'Additional Information'!K20))</f>
        <v/>
      </c>
      <c r="G20" t="str">
        <f>IF(A20="","",IF('Additional Information'!L20="","",'Additional Information'!L20))</f>
        <v/>
      </c>
    </row>
    <row r="21" spans="1:7" x14ac:dyDescent="0.25">
      <c r="A21" t="str">
        <f>IF(Input!A22="","",Input!A22)</f>
        <v>Sustainable Index MPS - Portfolio 5</v>
      </c>
      <c r="B21">
        <f>IF(A21="","",'Additional Information'!G21)</f>
        <v>-2.7300000000000001E-2</v>
      </c>
      <c r="C21">
        <f>IF(A21="","",'Additional Information'!J21)</f>
        <v>4.5700000000000005E-2</v>
      </c>
      <c r="D21">
        <f>IF(A21="","",SUM('Additional Information'!E21,'Additional Information'!F21))</f>
        <v>2.1000000000000003E-3</v>
      </c>
      <c r="E21">
        <f>IF(A21="","",SUM('Additional Information'!E21))</f>
        <v>1E-3</v>
      </c>
      <c r="F21" t="str">
        <f>IF(A21="","",IF('Additional Information'!K21="","",'Additional Information'!K21))</f>
        <v/>
      </c>
      <c r="G21" t="str">
        <f>IF(A21="","",IF('Additional Information'!L21="","",'Additional Information'!L21))</f>
        <v/>
      </c>
    </row>
    <row r="22" spans="1:7" x14ac:dyDescent="0.25">
      <c r="A22" t="str">
        <f>IF(Input!A23="","",Input!A23)</f>
        <v/>
      </c>
      <c r="B22" t="str">
        <f>IF(A22="","",'Additional Information'!G22)</f>
        <v/>
      </c>
      <c r="C22" t="str">
        <f>IF(A22="","",'Additional Information'!J22)</f>
        <v/>
      </c>
      <c r="D22" t="str">
        <f>IF(A22="","",SUM('Additional Information'!E22,'Additional Information'!F22))</f>
        <v/>
      </c>
      <c r="E22" t="str">
        <f>IF(A22="","",SUM('Additional Information'!E22))</f>
        <v/>
      </c>
      <c r="F22" t="str">
        <f>IF(A22="","",IF('Additional Information'!K22="","",'Additional Information'!K22))</f>
        <v/>
      </c>
      <c r="G22" t="str">
        <f>IF(A22="","",IF('Additional Information'!L22="","",'Additional Information'!L22))</f>
        <v/>
      </c>
    </row>
    <row r="23" spans="1:7" x14ac:dyDescent="0.25">
      <c r="A23" t="str">
        <f>IF(Input!A24="","",Input!A24)</f>
        <v/>
      </c>
      <c r="B23" t="str">
        <f>IF(A23="","",'Additional Information'!G23)</f>
        <v/>
      </c>
      <c r="C23" t="str">
        <f>IF(A23="","",'Additional Information'!J23)</f>
        <v/>
      </c>
      <c r="D23" t="str">
        <f>IF(A23="","",SUM('Additional Information'!E23,'Additional Information'!F23))</f>
        <v/>
      </c>
      <c r="E23" t="str">
        <f>IF(A23="","",SUM('Additional Information'!E23))</f>
        <v/>
      </c>
      <c r="F23" t="str">
        <f>IF(A23="","",IF('Additional Information'!K23="","",'Additional Information'!K23))</f>
        <v/>
      </c>
      <c r="G23" t="str">
        <f>IF(A23="","",IF('Additional Information'!L23="","",'Additional Information'!L23))</f>
        <v/>
      </c>
    </row>
    <row r="24" spans="1:7" x14ac:dyDescent="0.25">
      <c r="A24" t="str">
        <f>IF(Input!A25="","",Input!A25)</f>
        <v/>
      </c>
      <c r="B24" t="str">
        <f>IF(A24="","",'Additional Information'!G24)</f>
        <v/>
      </c>
      <c r="C24" t="str">
        <f>IF(A24="","",'Additional Information'!J24)</f>
        <v/>
      </c>
      <c r="D24" t="str">
        <f>IF(A24="","",SUM('Additional Information'!E24,'Additional Information'!F24))</f>
        <v/>
      </c>
      <c r="E24" t="str">
        <f>IF(A24="","",SUM('Additional Information'!E24))</f>
        <v/>
      </c>
      <c r="F24" t="str">
        <f>IF(A24="","",IF('Additional Information'!K24="","",'Additional Information'!K24))</f>
        <v/>
      </c>
      <c r="G24" t="str">
        <f>IF(A24="","",IF('Additional Information'!L24="","",'Additional Information'!L24))</f>
        <v/>
      </c>
    </row>
    <row r="25" spans="1:7" x14ac:dyDescent="0.25">
      <c r="A25" t="str">
        <f>IF(Input!A26="","",Input!A26)</f>
        <v/>
      </c>
      <c r="B25" t="str">
        <f>IF(A25="","",'Additional Information'!G25)</f>
        <v/>
      </c>
      <c r="C25" t="str">
        <f>IF(A25="","",'Additional Information'!J25)</f>
        <v/>
      </c>
      <c r="D25" t="str">
        <f>IF(A25="","",SUM('Additional Information'!E25,'Additional Information'!F25))</f>
        <v/>
      </c>
      <c r="E25" t="str">
        <f>IF(A25="","",SUM('Additional Information'!E25))</f>
        <v/>
      </c>
      <c r="F25" t="str">
        <f>IF(A25="","",IF('Additional Information'!K25="","",'Additional Information'!K25))</f>
        <v/>
      </c>
      <c r="G25" t="str">
        <f>IF(A25="","",IF('Additional Information'!L25="","",'Additional Information'!L25))</f>
        <v/>
      </c>
    </row>
    <row r="26" spans="1:7" x14ac:dyDescent="0.25">
      <c r="A26" t="str">
        <f>IF(Input!A27="","",Input!A27)</f>
        <v/>
      </c>
      <c r="B26" t="str">
        <f>IF(A26="","",'Additional Information'!G26)</f>
        <v/>
      </c>
      <c r="C26" t="str">
        <f>IF(A26="","",'Additional Information'!J26)</f>
        <v/>
      </c>
      <c r="D26" t="str">
        <f>IF(A26="","",SUM('Additional Information'!E26,'Additional Information'!F26))</f>
        <v/>
      </c>
      <c r="E26" t="str">
        <f>IF(A26="","",SUM('Additional Information'!E26))</f>
        <v/>
      </c>
      <c r="F26" t="str">
        <f>IF(A26="","",IF('Additional Information'!K26="","",'Additional Information'!K26))</f>
        <v/>
      </c>
      <c r="G26" t="str">
        <f>IF(A26="","",IF('Additional Information'!L26="","",'Additional Information'!L26))</f>
        <v/>
      </c>
    </row>
    <row r="27" spans="1:7" x14ac:dyDescent="0.25">
      <c r="A27" t="str">
        <f>IF(Input!A28="","",Input!A28)</f>
        <v/>
      </c>
      <c r="B27" t="str">
        <f>IF(A27="","",'Additional Information'!G27)</f>
        <v/>
      </c>
      <c r="C27" t="str">
        <f>IF(A27="","",'Additional Information'!J27)</f>
        <v/>
      </c>
      <c r="D27" t="str">
        <f>IF(A27="","",SUM('Additional Information'!E27,'Additional Information'!F27))</f>
        <v/>
      </c>
      <c r="E27" t="str">
        <f>IF(A27="","",SUM('Additional Information'!E27))</f>
        <v/>
      </c>
      <c r="F27" t="str">
        <f>IF(A27="","",IF('Additional Information'!K27="","",'Additional Information'!K27))</f>
        <v/>
      </c>
      <c r="G27" t="str">
        <f>IF(A27="","",IF('Additional Information'!L27="","",'Additional Information'!L27))</f>
        <v/>
      </c>
    </row>
    <row r="28" spans="1:7" x14ac:dyDescent="0.25">
      <c r="A28" t="str">
        <f>IF(Input!A29="","",Input!A29)</f>
        <v/>
      </c>
      <c r="B28" t="str">
        <f>IF(A28="","",'Additional Information'!G28)</f>
        <v/>
      </c>
      <c r="C28" t="str">
        <f>IF(A28="","",'Additional Information'!J28)</f>
        <v/>
      </c>
      <c r="D28" t="str">
        <f>IF(A28="","",SUM('Additional Information'!E28,'Additional Information'!F28))</f>
        <v/>
      </c>
      <c r="E28" t="str">
        <f>IF(A28="","",SUM('Additional Information'!E28))</f>
        <v/>
      </c>
      <c r="F28" t="str">
        <f>IF(A28="","",IF('Additional Information'!K28="","",'Additional Information'!K28))</f>
        <v/>
      </c>
      <c r="G28" t="str">
        <f>IF(A28="","",IF('Additional Information'!L28="","",'Additional Information'!L28))</f>
        <v/>
      </c>
    </row>
    <row r="29" spans="1:7" x14ac:dyDescent="0.25">
      <c r="A29" t="str">
        <f>IF(Input!A30="","",Input!A30)</f>
        <v/>
      </c>
      <c r="B29" t="str">
        <f>IF(A29="","",'Additional Information'!G29)</f>
        <v/>
      </c>
      <c r="C29" t="str">
        <f>IF(A29="","",'Additional Information'!J29)</f>
        <v/>
      </c>
      <c r="D29" t="str">
        <f>IF(A29="","",SUM('Additional Information'!E29,'Additional Information'!F29))</f>
        <v/>
      </c>
      <c r="E29" t="str">
        <f>IF(A29="","",SUM('Additional Information'!E29))</f>
        <v/>
      </c>
      <c r="F29" t="str">
        <f>IF(A29="","",IF('Additional Information'!K29="","",'Additional Information'!K29))</f>
        <v/>
      </c>
      <c r="G29" t="str">
        <f>IF(A29="","",IF('Additional Information'!L29="","",'Additional Information'!L29))</f>
        <v/>
      </c>
    </row>
    <row r="30" spans="1:7" x14ac:dyDescent="0.25">
      <c r="A30" t="str">
        <f>IF(Input!A31="","",Input!A31)</f>
        <v/>
      </c>
      <c r="B30" t="str">
        <f>IF(A30="","",'Additional Information'!G30)</f>
        <v/>
      </c>
      <c r="C30" t="str">
        <f>IF(A30="","",'Additional Information'!J30)</f>
        <v/>
      </c>
      <c r="D30" t="str">
        <f>IF(A30="","",SUM('Additional Information'!E30,'Additional Information'!F30))</f>
        <v/>
      </c>
      <c r="E30" t="str">
        <f>IF(A30="","",SUM('Additional Information'!E30))</f>
        <v/>
      </c>
      <c r="F30" t="str">
        <f>IF(A30="","",IF('Additional Information'!K30="","",'Additional Information'!K30))</f>
        <v/>
      </c>
      <c r="G30" t="str">
        <f>IF(A30="","",IF('Additional Information'!L30="","",'Additional Information'!L30))</f>
        <v/>
      </c>
    </row>
    <row r="31" spans="1:7" x14ac:dyDescent="0.25">
      <c r="A31" t="str">
        <f>IF(Input!A32="","",Input!A32)</f>
        <v/>
      </c>
      <c r="B31" t="str">
        <f>IF(A31="","",'Additional Information'!G31)</f>
        <v/>
      </c>
      <c r="C31" t="str">
        <f>IF(A31="","",'Additional Information'!J31)</f>
        <v/>
      </c>
      <c r="D31" t="str">
        <f>IF(A31="","",SUM('Additional Information'!E31,'Additional Information'!F31))</f>
        <v/>
      </c>
      <c r="E31" t="str">
        <f>IF(A31="","",SUM('Additional Information'!E31))</f>
        <v/>
      </c>
      <c r="F31" t="str">
        <f>IF(A31="","",IF('Additional Information'!K31="","",'Additional Information'!K31))</f>
        <v/>
      </c>
      <c r="G31" t="str">
        <f>IF(A31="","",IF('Additional Information'!L31="","",'Additional Information'!L31))</f>
        <v/>
      </c>
    </row>
    <row r="32" spans="1:7" x14ac:dyDescent="0.25">
      <c r="A32" t="str">
        <f>IF(Input!A33="","",Input!A33)</f>
        <v/>
      </c>
      <c r="B32" t="str">
        <f>IF(A32="","",'Additional Information'!G32)</f>
        <v/>
      </c>
      <c r="C32" t="str">
        <f>IF(A32="","",'Additional Information'!J32)</f>
        <v/>
      </c>
      <c r="D32" t="str">
        <f>IF(A32="","",SUM('Additional Information'!E32,'Additional Information'!F32))</f>
        <v/>
      </c>
      <c r="E32" t="str">
        <f>IF(A32="","",SUM('Additional Information'!E32))</f>
        <v/>
      </c>
      <c r="F32" t="str">
        <f>IF(A32="","",IF('Additional Information'!K32="","",'Additional Information'!K32))</f>
        <v/>
      </c>
      <c r="G32" t="str">
        <f>IF(A32="","",IF('Additional Information'!L32="","",'Additional Information'!L32))</f>
        <v/>
      </c>
    </row>
    <row r="33" spans="1:7" x14ac:dyDescent="0.25">
      <c r="A33" t="str">
        <f>IF(Input!A34="","",Input!A34)</f>
        <v/>
      </c>
      <c r="B33" t="str">
        <f>IF(A33="","",'Additional Information'!G33)</f>
        <v/>
      </c>
      <c r="C33" t="str">
        <f>IF(A33="","",'Additional Information'!J33)</f>
        <v/>
      </c>
      <c r="D33" t="str">
        <f>IF(A33="","",SUM('Additional Information'!E33,'Additional Information'!F33))</f>
        <v/>
      </c>
      <c r="E33" t="str">
        <f>IF(A33="","",SUM('Additional Information'!E33))</f>
        <v/>
      </c>
      <c r="F33" t="str">
        <f>IF(A33="","",IF('Additional Information'!K33="","",'Additional Information'!K33))</f>
        <v/>
      </c>
      <c r="G33" t="str">
        <f>IF(A33="","",IF('Additional Information'!L33="","",'Additional Information'!L33))</f>
        <v/>
      </c>
    </row>
    <row r="34" spans="1:7" x14ac:dyDescent="0.25">
      <c r="A34" t="str">
        <f>IF(Input!A35="","",Input!A35)</f>
        <v/>
      </c>
      <c r="B34" t="str">
        <f>IF(A34="","",'Additional Information'!G34)</f>
        <v/>
      </c>
      <c r="C34" t="str">
        <f>IF(A34="","",'Additional Information'!J34)</f>
        <v/>
      </c>
      <c r="D34" t="str">
        <f>IF(A34="","",SUM('Additional Information'!E34,'Additional Information'!F34))</f>
        <v/>
      </c>
      <c r="E34" t="str">
        <f>IF(A34="","",SUM('Additional Information'!E34))</f>
        <v/>
      </c>
      <c r="F34" t="str">
        <f>IF(A34="","",IF('Additional Information'!K34="","",'Additional Information'!K34))</f>
        <v/>
      </c>
      <c r="G34" t="str">
        <f>IF(A34="","",IF('Additional Information'!L34="","",'Additional Information'!L34))</f>
        <v/>
      </c>
    </row>
    <row r="35" spans="1:7" x14ac:dyDescent="0.25">
      <c r="A35" t="str">
        <f>IF(Input!A36="","",Input!A36)</f>
        <v/>
      </c>
      <c r="B35" t="str">
        <f>IF(A35="","",'Additional Information'!G35)</f>
        <v/>
      </c>
      <c r="C35" t="str">
        <f>IF(A35="","",'Additional Information'!J35)</f>
        <v/>
      </c>
      <c r="D35" t="str">
        <f>IF(A35="","",SUM('Additional Information'!E35,'Additional Information'!F35))</f>
        <v/>
      </c>
      <c r="E35" t="str">
        <f>IF(A35="","",SUM('Additional Information'!E35))</f>
        <v/>
      </c>
      <c r="F35" t="str">
        <f>IF(A35="","",IF('Additional Information'!K35="","",'Additional Information'!K35))</f>
        <v/>
      </c>
      <c r="G35" t="str">
        <f>IF(A35="","",IF('Additional Information'!L35="","",'Additional Information'!L35))</f>
        <v/>
      </c>
    </row>
    <row r="36" spans="1:7" x14ac:dyDescent="0.25">
      <c r="A36" t="str">
        <f>IF(Input!A37="","",Input!A37)</f>
        <v/>
      </c>
      <c r="B36" t="str">
        <f>IF(A36="","",'Additional Information'!G36)</f>
        <v/>
      </c>
      <c r="C36" t="str">
        <f>IF(A36="","",'Additional Information'!J36)</f>
        <v/>
      </c>
      <c r="D36" t="str">
        <f>IF(A36="","",SUM('Additional Information'!E36,'Additional Information'!F36))</f>
        <v/>
      </c>
      <c r="E36" t="str">
        <f>IF(A36="","",SUM('Additional Information'!E36))</f>
        <v/>
      </c>
      <c r="F36" t="str">
        <f>IF(A36="","",IF('Additional Information'!K36="","",'Additional Information'!K36))</f>
        <v/>
      </c>
      <c r="G36" t="str">
        <f>IF(A36="","",IF('Additional Information'!L36="","",'Additional Information'!L36))</f>
        <v/>
      </c>
    </row>
    <row r="37" spans="1:7" x14ac:dyDescent="0.25">
      <c r="A37" t="str">
        <f>IF(Input!A38="","",Input!A38)</f>
        <v/>
      </c>
      <c r="B37" t="str">
        <f>IF(A37="","",'Additional Information'!G37)</f>
        <v/>
      </c>
      <c r="C37" t="str">
        <f>IF(A37="","",'Additional Information'!J37)</f>
        <v/>
      </c>
      <c r="D37" t="str">
        <f>IF(A37="","",SUM('Additional Information'!E37,'Additional Information'!F37))</f>
        <v/>
      </c>
      <c r="E37" t="str">
        <f>IF(A37="","",SUM('Additional Information'!E37))</f>
        <v/>
      </c>
      <c r="F37" t="str">
        <f>IF(A37="","",IF('Additional Information'!K37="","",'Additional Information'!K37))</f>
        <v/>
      </c>
      <c r="G37" t="str">
        <f>IF(A37="","",IF('Additional Information'!L37="","",'Additional Information'!L37))</f>
        <v/>
      </c>
    </row>
    <row r="38" spans="1:7" x14ac:dyDescent="0.25">
      <c r="A38" t="str">
        <f>IF(Input!A39="","",Input!A39)</f>
        <v/>
      </c>
      <c r="B38" t="str">
        <f>IF(A38="","",'Additional Information'!G38)</f>
        <v/>
      </c>
      <c r="C38" t="str">
        <f>IF(A38="","",'Additional Information'!J38)</f>
        <v/>
      </c>
      <c r="D38" t="str">
        <f>IF(A38="","",SUM('Additional Information'!E38,'Additional Information'!F38))</f>
        <v/>
      </c>
      <c r="E38" t="str">
        <f>IF(A38="","",SUM('Additional Information'!E38))</f>
        <v/>
      </c>
      <c r="F38" t="str">
        <f>IF(A38="","",IF('Additional Information'!K38="","",'Additional Information'!K38))</f>
        <v/>
      </c>
      <c r="G38" t="str">
        <f>IF(A38="","",IF('Additional Information'!L38="","",'Additional Information'!L38))</f>
        <v/>
      </c>
    </row>
    <row r="39" spans="1:7" x14ac:dyDescent="0.25">
      <c r="A39" t="str">
        <f>IF(Input!A40="","",Input!A40)</f>
        <v/>
      </c>
      <c r="B39" t="str">
        <f>IF(A39="","",'Additional Information'!G39)</f>
        <v/>
      </c>
      <c r="C39" t="str">
        <f>IF(A39="","",'Additional Information'!J39)</f>
        <v/>
      </c>
      <c r="D39" t="str">
        <f>IF(A39="","",SUM('Additional Information'!E39,'Additional Information'!F39))</f>
        <v/>
      </c>
      <c r="E39" t="str">
        <f>IF(A39="","",SUM('Additional Information'!E39))</f>
        <v/>
      </c>
      <c r="F39" t="str">
        <f>IF(A39="","",IF('Additional Information'!K39="","",'Additional Information'!K39))</f>
        <v/>
      </c>
      <c r="G39" t="str">
        <f>IF(A39="","",IF('Additional Information'!L39="","",'Additional Information'!L39))</f>
        <v/>
      </c>
    </row>
    <row r="40" spans="1:7" x14ac:dyDescent="0.25">
      <c r="A40" t="str">
        <f>IF(Input!A41="","",Input!A41)</f>
        <v/>
      </c>
      <c r="B40" t="str">
        <f>IF(A40="","",'Additional Information'!G40)</f>
        <v/>
      </c>
      <c r="C40" t="str">
        <f>IF(A40="","",'Additional Information'!J40)</f>
        <v/>
      </c>
      <c r="D40" t="str">
        <f>IF(A40="","",SUM('Additional Information'!E40,'Additional Information'!F40))</f>
        <v/>
      </c>
      <c r="E40" t="str">
        <f>IF(A40="","",SUM('Additional Information'!E40))</f>
        <v/>
      </c>
      <c r="F40" t="str">
        <f>IF(A40="","",IF('Additional Information'!K40="","",'Additional Information'!K40))</f>
        <v/>
      </c>
      <c r="G40" t="str">
        <f>IF(A40="","",IF('Additional Information'!L40="","",'Additional Information'!L40))</f>
        <v/>
      </c>
    </row>
    <row r="41" spans="1:7" x14ac:dyDescent="0.25">
      <c r="A41" t="str">
        <f>IF(Input!A42="","",Input!A42)</f>
        <v/>
      </c>
      <c r="B41" t="str">
        <f>IF(A41="","",'Additional Information'!G41)</f>
        <v/>
      </c>
      <c r="C41" t="str">
        <f>IF(A41="","",'Additional Information'!J41)</f>
        <v/>
      </c>
      <c r="D41" t="str">
        <f>IF(A41="","",SUM('Additional Information'!E41,'Additional Information'!F41))</f>
        <v/>
      </c>
      <c r="E41" t="str">
        <f>IF(A41="","",SUM('Additional Information'!E41))</f>
        <v/>
      </c>
      <c r="F41" t="str">
        <f>IF(A41="","",IF('Additional Information'!K41="","",'Additional Information'!K41))</f>
        <v/>
      </c>
      <c r="G41" t="str">
        <f>IF(A41="","",IF('Additional Information'!L41="","",'Additional Information'!L41))</f>
        <v/>
      </c>
    </row>
    <row r="42" spans="1:7" x14ac:dyDescent="0.25">
      <c r="A42" t="str">
        <f>IF(Input!A43="","",Input!A43)</f>
        <v/>
      </c>
      <c r="B42" t="str">
        <f>IF(A42="","",'Additional Information'!G42)</f>
        <v/>
      </c>
      <c r="C42" t="str">
        <f>IF(A42="","",'Additional Information'!J42)</f>
        <v/>
      </c>
      <c r="D42" t="str">
        <f>IF(A42="","",SUM('Additional Information'!E42,'Additional Information'!F42))</f>
        <v/>
      </c>
      <c r="E42" t="str">
        <f>IF(A42="","",SUM('Additional Information'!E42))</f>
        <v/>
      </c>
      <c r="F42" t="str">
        <f>IF(A42="","",IF('Additional Information'!K42="","",'Additional Information'!K42))</f>
        <v/>
      </c>
      <c r="G42" t="str">
        <f>IF(A42="","",IF('Additional Information'!L42="","",'Additional Information'!L42))</f>
        <v/>
      </c>
    </row>
    <row r="43" spans="1:7" x14ac:dyDescent="0.25">
      <c r="A43" t="str">
        <f>IF(Input!A44="","",Input!A44)</f>
        <v/>
      </c>
      <c r="B43" t="str">
        <f>IF(A43="","",'Additional Information'!G43)</f>
        <v/>
      </c>
      <c r="C43" t="str">
        <f>IF(A43="","",'Additional Information'!J43)</f>
        <v/>
      </c>
      <c r="D43" t="str">
        <f>IF(A43="","",SUM('Additional Information'!E43,'Additional Information'!F43))</f>
        <v/>
      </c>
      <c r="E43" t="str">
        <f>IF(A43="","",SUM('Additional Information'!E43))</f>
        <v/>
      </c>
      <c r="F43" t="str">
        <f>IF(A43="","",IF('Additional Information'!K43="","",'Additional Information'!K43))</f>
        <v/>
      </c>
      <c r="G43" t="str">
        <f>IF(A43="","",IF('Additional Information'!L43="","",'Additional Information'!L43))</f>
        <v/>
      </c>
    </row>
    <row r="44" spans="1:7" x14ac:dyDescent="0.25">
      <c r="A44" t="str">
        <f>IF(Input!A45="","",Input!A45)</f>
        <v/>
      </c>
      <c r="B44" t="str">
        <f>IF(A44="","",'Additional Information'!G44)</f>
        <v/>
      </c>
      <c r="C44" t="str">
        <f>IF(A44="","",'Additional Information'!J44)</f>
        <v/>
      </c>
      <c r="D44" t="str">
        <f>IF(A44="","",SUM('Additional Information'!E44,'Additional Information'!F44))</f>
        <v/>
      </c>
      <c r="E44" t="str">
        <f>IF(A44="","",SUM('Additional Information'!E44))</f>
        <v/>
      </c>
      <c r="F44" t="str">
        <f>IF(A44="","",IF('Additional Information'!K44="","",'Additional Information'!K44))</f>
        <v/>
      </c>
      <c r="G44" t="str">
        <f>IF(A44="","",IF('Additional Information'!L44="","",'Additional Information'!L44))</f>
        <v/>
      </c>
    </row>
    <row r="45" spans="1:7" x14ac:dyDescent="0.25">
      <c r="A45" t="str">
        <f>IF(Input!A46="","",Input!A46)</f>
        <v/>
      </c>
      <c r="B45" t="str">
        <f>IF(A45="","",'Additional Information'!G45)</f>
        <v/>
      </c>
      <c r="C45" t="str">
        <f>IF(A45="","",'Additional Information'!J45)</f>
        <v/>
      </c>
      <c r="D45" t="str">
        <f>IF(A45="","",SUM('Additional Information'!E45,'Additional Information'!F45))</f>
        <v/>
      </c>
      <c r="E45" t="str">
        <f>IF(A45="","",SUM('Additional Information'!E45))</f>
        <v/>
      </c>
      <c r="F45" t="str">
        <f>IF(A45="","",IF('Additional Information'!K45="","",'Additional Information'!K45))</f>
        <v/>
      </c>
      <c r="G45" t="str">
        <f>IF(A45="","",IF('Additional Information'!L45="","",'Additional Information'!L45))</f>
        <v/>
      </c>
    </row>
    <row r="46" spans="1:7" x14ac:dyDescent="0.25">
      <c r="A46" t="str">
        <f>IF(Input!A47="","",Input!A47)</f>
        <v/>
      </c>
      <c r="B46" t="str">
        <f>IF(A46="","",'Additional Information'!G46)</f>
        <v/>
      </c>
      <c r="C46" t="str">
        <f>IF(A46="","",'Additional Information'!J46)</f>
        <v/>
      </c>
      <c r="D46" t="str">
        <f>IF(A46="","",SUM('Additional Information'!E46,'Additional Information'!F46))</f>
        <v/>
      </c>
      <c r="E46" t="str">
        <f>IF(A46="","",SUM('Additional Information'!E46))</f>
        <v/>
      </c>
      <c r="F46" t="str">
        <f>IF(A46="","",IF('Additional Information'!K46="","",'Additional Information'!K46))</f>
        <v/>
      </c>
      <c r="G46" t="str">
        <f>IF(A46="","",IF('Additional Information'!L46="","",'Additional Information'!L46))</f>
        <v/>
      </c>
    </row>
    <row r="47" spans="1:7" x14ac:dyDescent="0.25">
      <c r="A47" t="str">
        <f>IF(Input!A48="","",Input!A48)</f>
        <v/>
      </c>
      <c r="B47" t="str">
        <f>IF(A47="","",'Additional Information'!G47)</f>
        <v/>
      </c>
      <c r="C47" t="str">
        <f>IF(A47="","",'Additional Information'!J47)</f>
        <v/>
      </c>
      <c r="D47" t="str">
        <f>IF(A47="","",SUM('Additional Information'!E47,'Additional Information'!F47))</f>
        <v/>
      </c>
      <c r="E47" t="str">
        <f>IF(A47="","",SUM('Additional Information'!E47))</f>
        <v/>
      </c>
      <c r="F47" t="str">
        <f>IF(A47="","",IF('Additional Information'!K47="","",'Additional Information'!K47))</f>
        <v/>
      </c>
      <c r="G47" t="str">
        <f>IF(A47="","",IF('Additional Information'!L47="","",'Additional Information'!L47))</f>
        <v/>
      </c>
    </row>
    <row r="48" spans="1:7" x14ac:dyDescent="0.25">
      <c r="A48" t="str">
        <f>IF(Input!A49="","",Input!A49)</f>
        <v/>
      </c>
      <c r="B48" t="str">
        <f>IF(A48="","",'Additional Information'!G48)</f>
        <v/>
      </c>
      <c r="C48" t="str">
        <f>IF(A48="","",'Additional Information'!J48)</f>
        <v/>
      </c>
      <c r="D48" t="str">
        <f>IF(A48="","",SUM('Additional Information'!E48,'Additional Information'!F48))</f>
        <v/>
      </c>
      <c r="E48" t="str">
        <f>IF(A48="","",SUM('Additional Information'!E48))</f>
        <v/>
      </c>
      <c r="F48" t="str">
        <f>IF(A48="","",IF('Additional Information'!K48="","",'Additional Information'!K48))</f>
        <v/>
      </c>
      <c r="G48" t="str">
        <f>IF(A48="","",IF('Additional Information'!L48="","",'Additional Information'!L48))</f>
        <v/>
      </c>
    </row>
    <row r="49" spans="1:7" x14ac:dyDescent="0.25">
      <c r="A49" t="str">
        <f>IF(Input!A50="","",Input!A50)</f>
        <v/>
      </c>
      <c r="B49" t="str">
        <f>IF(A49="","",'Additional Information'!G49)</f>
        <v/>
      </c>
      <c r="C49" t="str">
        <f>IF(A49="","",'Additional Information'!J49)</f>
        <v/>
      </c>
      <c r="D49" t="str">
        <f>IF(A49="","",SUM('Additional Information'!E49,'Additional Information'!F49))</f>
        <v/>
      </c>
      <c r="E49" t="str">
        <f>IF(A49="","",SUM('Additional Information'!E49))</f>
        <v/>
      </c>
      <c r="F49" t="str">
        <f>IF(A49="","",IF('Additional Information'!K49="","",'Additional Information'!K49))</f>
        <v/>
      </c>
      <c r="G49" t="str">
        <f>IF(A49="","",IF('Additional Information'!L49="","",'Additional Information'!L49))</f>
        <v/>
      </c>
    </row>
    <row r="50" spans="1:7" x14ac:dyDescent="0.25">
      <c r="A50" t="str">
        <f>IF(Input!A51="","",Input!A51)</f>
        <v/>
      </c>
      <c r="B50" t="str">
        <f>IF(A50="","",'Additional Information'!G50)</f>
        <v/>
      </c>
      <c r="C50" t="str">
        <f>IF(A50="","",'Additional Information'!J50)</f>
        <v/>
      </c>
      <c r="D50" t="str">
        <f>IF(A50="","",SUM('Additional Information'!E50,'Additional Information'!F50))</f>
        <v/>
      </c>
      <c r="E50" t="str">
        <f>IF(A50="","",SUM('Additional Information'!E50))</f>
        <v/>
      </c>
      <c r="F50" t="str">
        <f>IF(A50="","",IF('Additional Information'!K50="","",'Additional Information'!K50))</f>
        <v/>
      </c>
      <c r="G50" t="str">
        <f>IF(A50="","",IF('Additional Information'!L50="","",'Additional Information'!L50))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24" customWidth="1"/>
    <col min="5" max="5" width="11.85546875" bestFit="1" customWidth="1"/>
    <col min="6" max="6" width="14.42578125" bestFit="1" customWidth="1"/>
  </cols>
  <sheetData>
    <row r="1" spans="1:8" x14ac:dyDescent="0.25">
      <c r="B1" t="s">
        <v>4</v>
      </c>
      <c r="C1" t="s">
        <v>5</v>
      </c>
      <c r="D1" t="s">
        <v>16</v>
      </c>
      <c r="E1" t="s">
        <v>17</v>
      </c>
      <c r="F1" t="s">
        <v>2</v>
      </c>
      <c r="G1" t="s">
        <v>6</v>
      </c>
      <c r="H1" t="s">
        <v>76</v>
      </c>
    </row>
    <row r="2" spans="1:8" x14ac:dyDescent="0.25">
      <c r="A2" t="str">
        <f>IF(Input!A3="","",Input!A3)</f>
        <v>abrdn MPS - Portfolio 1</v>
      </c>
      <c r="B2">
        <f>IF(A2="","",SUM('Asset Allocation'!K2,'Asset Allocation'!L2,'Asset Allocation'!M2,'Asset Allocation'!N2,'Asset Allocation'!O2,'Asset Allocation'!P2,'Asset Allocation'!Q2,'Asset Allocation'!Z2,'Asset Allocation'!AC2,'Asset Allocation'!AD2,'Asset Allocation'!AE2,'Asset Allocation'!AF2,'Asset Allocation'!AG2,'Asset Allocation'!AK2))</f>
        <v>0</v>
      </c>
      <c r="C2">
        <f>IF(A2="","",SUM('Asset Allocation'!B2,'Asset Allocation'!C2,'Asset Allocation'!D2,'Asset Allocation'!E2,'Asset Allocation'!F2,'Asset Allocation'!G2,'Asset Allocation'!H2,'Asset Allocation'!I2,'Asset Allocation'!J2,'Asset Allocation'!V2,'Asset Allocation'!W2,'Asset Allocation'!X2,'Asset Allocation'!AA2,'Asset Allocation'!AB2,'Asset Allocation'!AH2,'Asset Allocation'!AI2,'Asset Allocation'!AJ2))</f>
        <v>0</v>
      </c>
      <c r="D2">
        <f>IF(A2="","",SUM('Asset Allocation'!S2,'Asset Allocation'!Y2))</f>
        <v>0</v>
      </c>
      <c r="F2">
        <f>IF(A2="","",SUM('Asset Allocation'!R2))</f>
        <v>0</v>
      </c>
      <c r="G2">
        <f>IF(A2="","",SUM('Asset Allocation'!T2,'Asset Allocation'!U2))</f>
        <v>0</v>
      </c>
      <c r="H2">
        <f t="shared" ref="H2:H50" si="0">IF(A2="","",1-SUM(B2:G2))</f>
        <v>1</v>
      </c>
    </row>
    <row r="3" spans="1:8" x14ac:dyDescent="0.25">
      <c r="A3" t="str">
        <f>IF(Input!A4="","",Input!A4)</f>
        <v>abrdn MPS - Portfolio 2</v>
      </c>
      <c r="B3">
        <f>IF(A3="","",SUM('Asset Allocation'!K3,'Asset Allocation'!L3,'Asset Allocation'!M3,'Asset Allocation'!N3,'Asset Allocation'!O3,'Asset Allocation'!P3,'Asset Allocation'!Q3,'Asset Allocation'!Z3,'Asset Allocation'!AC3,'Asset Allocation'!AD3,'Asset Allocation'!AE3,'Asset Allocation'!AF3,'Asset Allocation'!AG3,'Asset Allocation'!AK3))</f>
        <v>0</v>
      </c>
      <c r="C3">
        <f>IF(A3="","",SUM('Asset Allocation'!B3,'Asset Allocation'!C3,'Asset Allocation'!D3,'Asset Allocation'!E3,'Asset Allocation'!F3,'Asset Allocation'!G3,'Asset Allocation'!H3,'Asset Allocation'!I3,'Asset Allocation'!J3,'Asset Allocation'!V3,'Asset Allocation'!W3,'Asset Allocation'!X3,'Asset Allocation'!AA3,'Asset Allocation'!AB3,'Asset Allocation'!AH3,'Asset Allocation'!AI3,'Asset Allocation'!AJ3))</f>
        <v>0</v>
      </c>
      <c r="D3">
        <f>IF(A3="","",SUM('Asset Allocation'!S3,'Asset Allocation'!Y3))</f>
        <v>0</v>
      </c>
      <c r="F3">
        <f>IF(A3="","",SUM('Asset Allocation'!R3))</f>
        <v>0</v>
      </c>
      <c r="G3">
        <f>IF(A3="","",SUM('Asset Allocation'!T3,'Asset Allocation'!U3))</f>
        <v>0</v>
      </c>
      <c r="H3">
        <f t="shared" si="0"/>
        <v>1</v>
      </c>
    </row>
    <row r="4" spans="1:8" x14ac:dyDescent="0.25">
      <c r="A4" t="str">
        <f>IF(Input!A5="","",Input!A5)</f>
        <v>abrdn MPS - Portfolio 3</v>
      </c>
      <c r="B4">
        <f>IF(A4="","",SUM('Asset Allocation'!K4,'Asset Allocation'!L4,'Asset Allocation'!M4,'Asset Allocation'!N4,'Asset Allocation'!O4,'Asset Allocation'!P4,'Asset Allocation'!Q4,'Asset Allocation'!Z4,'Asset Allocation'!AC4,'Asset Allocation'!AD4,'Asset Allocation'!AE4,'Asset Allocation'!AF4,'Asset Allocation'!AG4,'Asset Allocation'!AK4))</f>
        <v>0</v>
      </c>
      <c r="C4">
        <f>IF(A4="","",SUM('Asset Allocation'!B4,'Asset Allocation'!C4,'Asset Allocation'!D4,'Asset Allocation'!E4,'Asset Allocation'!F4,'Asset Allocation'!G4,'Asset Allocation'!H4,'Asset Allocation'!I4,'Asset Allocation'!J4,'Asset Allocation'!V4,'Asset Allocation'!W4,'Asset Allocation'!X4,'Asset Allocation'!AA4,'Asset Allocation'!AB4,'Asset Allocation'!AH4,'Asset Allocation'!AI4,'Asset Allocation'!AJ4))</f>
        <v>0</v>
      </c>
      <c r="D4">
        <f>IF(A4="","",SUM('Asset Allocation'!S4,'Asset Allocation'!Y4))</f>
        <v>0</v>
      </c>
      <c r="F4">
        <f>IF(A4="","",SUM('Asset Allocation'!R4))</f>
        <v>0</v>
      </c>
      <c r="G4">
        <f>IF(A4="","",SUM('Asset Allocation'!T4,'Asset Allocation'!U4))</f>
        <v>0</v>
      </c>
      <c r="H4">
        <f t="shared" si="0"/>
        <v>1</v>
      </c>
    </row>
    <row r="5" spans="1:8" x14ac:dyDescent="0.25">
      <c r="A5" t="str">
        <f>IF(Input!A6="","",Input!A6)</f>
        <v>abrdn MPS - Portfolio 4</v>
      </c>
      <c r="B5">
        <f>IF(A5="","",SUM('Asset Allocation'!K5,'Asset Allocation'!L5,'Asset Allocation'!M5,'Asset Allocation'!N5,'Asset Allocation'!O5,'Asset Allocation'!P5,'Asset Allocation'!Q5,'Asset Allocation'!Z5,'Asset Allocation'!AC5,'Asset Allocation'!AD5,'Asset Allocation'!AE5,'Asset Allocation'!AF5,'Asset Allocation'!AG5,'Asset Allocation'!AK5))</f>
        <v>0</v>
      </c>
      <c r="C5">
        <f>IF(A5="","",SUM('Asset Allocation'!B5,'Asset Allocation'!C5,'Asset Allocation'!D5,'Asset Allocation'!E5,'Asset Allocation'!F5,'Asset Allocation'!G5,'Asset Allocation'!H5,'Asset Allocation'!I5,'Asset Allocation'!J5,'Asset Allocation'!V5,'Asset Allocation'!W5,'Asset Allocation'!X5,'Asset Allocation'!AA5,'Asset Allocation'!AB5,'Asset Allocation'!AH5,'Asset Allocation'!AI5,'Asset Allocation'!AJ5))</f>
        <v>0</v>
      </c>
      <c r="D5">
        <f>IF(A5="","",SUM('Asset Allocation'!S5,'Asset Allocation'!Y5))</f>
        <v>0</v>
      </c>
      <c r="F5">
        <f>IF(A5="","",SUM('Asset Allocation'!R5))</f>
        <v>0</v>
      </c>
      <c r="G5">
        <f>IF(A5="","",SUM('Asset Allocation'!T5,'Asset Allocation'!U5))</f>
        <v>0</v>
      </c>
      <c r="H5">
        <f t="shared" si="0"/>
        <v>1</v>
      </c>
    </row>
    <row r="6" spans="1:8" x14ac:dyDescent="0.25">
      <c r="A6" t="str">
        <f>IF(Input!A7="","",Input!A7)</f>
        <v>abrdn MPS - Portfolio 5</v>
      </c>
      <c r="B6">
        <f>IF(A6="","",SUM('Asset Allocation'!K6,'Asset Allocation'!L6,'Asset Allocation'!M6,'Asset Allocation'!N6,'Asset Allocation'!O6,'Asset Allocation'!P6,'Asset Allocation'!Q6,'Asset Allocation'!Z6,'Asset Allocation'!AC6,'Asset Allocation'!AD6,'Asset Allocation'!AE6,'Asset Allocation'!AF6,'Asset Allocation'!AG6,'Asset Allocation'!AK6))</f>
        <v>0</v>
      </c>
      <c r="C6">
        <f>IF(A6="","",SUM('Asset Allocation'!B6,'Asset Allocation'!C6,'Asset Allocation'!D6,'Asset Allocation'!E6,'Asset Allocation'!F6,'Asset Allocation'!G6,'Asset Allocation'!H6,'Asset Allocation'!I6,'Asset Allocation'!J6,'Asset Allocation'!V6,'Asset Allocation'!W6,'Asset Allocation'!X6,'Asset Allocation'!AA6,'Asset Allocation'!AB6,'Asset Allocation'!AH6,'Asset Allocation'!AI6,'Asset Allocation'!AJ6))</f>
        <v>0</v>
      </c>
      <c r="D6">
        <f>IF(A6="","",SUM('Asset Allocation'!S6,'Asset Allocation'!Y6))</f>
        <v>0</v>
      </c>
      <c r="F6">
        <f>IF(A6="","",SUM('Asset Allocation'!R6))</f>
        <v>0</v>
      </c>
      <c r="G6">
        <f>IF(A6="","",SUM('Asset Allocation'!T6,'Asset Allocation'!U6))</f>
        <v>0</v>
      </c>
      <c r="H6">
        <f t="shared" si="0"/>
        <v>1</v>
      </c>
    </row>
    <row r="7" spans="1:8" x14ac:dyDescent="0.25">
      <c r="A7" t="str">
        <f>IF(Input!A8="","",Input!A8)</f>
        <v>abrdn Index MPS - Portfolio 1</v>
      </c>
      <c r="B7">
        <f>IF(A7="","",SUM('Asset Allocation'!K7,'Asset Allocation'!L7,'Asset Allocation'!M7,'Asset Allocation'!N7,'Asset Allocation'!O7,'Asset Allocation'!P7,'Asset Allocation'!Q7,'Asset Allocation'!Z7,'Asset Allocation'!AC7,'Asset Allocation'!AD7,'Asset Allocation'!AE7,'Asset Allocation'!AF7,'Asset Allocation'!AG7,'Asset Allocation'!AK7))</f>
        <v>0.24310000000000001</v>
      </c>
      <c r="C7">
        <f>IF(A7="","",SUM('Asset Allocation'!B7,'Asset Allocation'!C7,'Asset Allocation'!D7,'Asset Allocation'!E7,'Asset Allocation'!F7,'Asset Allocation'!G7,'Asset Allocation'!H7,'Asset Allocation'!I7,'Asset Allocation'!J7,'Asset Allocation'!V7,'Asset Allocation'!W7,'Asset Allocation'!X7,'Asset Allocation'!AA7,'Asset Allocation'!AB7,'Asset Allocation'!AH7,'Asset Allocation'!AI7,'Asset Allocation'!AJ7))</f>
        <v>0.72680000000000011</v>
      </c>
      <c r="D7">
        <f>IF(A7="","",SUM('Asset Allocation'!S7,'Asset Allocation'!Y7))</f>
        <v>1.3000000000000001E-2</v>
      </c>
      <c r="F7">
        <f>IF(A7="","",SUM('Asset Allocation'!R7))</f>
        <v>0</v>
      </c>
      <c r="G7">
        <f>IF(A7="","",SUM('Asset Allocation'!T7,'Asset Allocation'!U7))</f>
        <v>1.7099999999999997E-2</v>
      </c>
      <c r="H7">
        <f t="shared" si="0"/>
        <v>0</v>
      </c>
    </row>
    <row r="8" spans="1:8" x14ac:dyDescent="0.25">
      <c r="A8" t="str">
        <f>IF(Input!A9="","",Input!A9)</f>
        <v>abrdn Index MPS - Portfolio 2</v>
      </c>
      <c r="B8">
        <f>IF(A8="","",SUM('Asset Allocation'!K8,'Asset Allocation'!L8,'Asset Allocation'!M8,'Asset Allocation'!N8,'Asset Allocation'!O8,'Asset Allocation'!P8,'Asset Allocation'!Q8,'Asset Allocation'!Z8,'Asset Allocation'!AC8,'Asset Allocation'!AD8,'Asset Allocation'!AE8,'Asset Allocation'!AF8,'Asset Allocation'!AG8,'Asset Allocation'!AK8))</f>
        <v>0.4345</v>
      </c>
      <c r="C8">
        <f>IF(A8="","",SUM('Asset Allocation'!B8,'Asset Allocation'!C8,'Asset Allocation'!D8,'Asset Allocation'!E8,'Asset Allocation'!F8,'Asset Allocation'!G8,'Asset Allocation'!H8,'Asset Allocation'!I8,'Asset Allocation'!J8,'Asset Allocation'!V8,'Asset Allocation'!W8,'Asset Allocation'!X8,'Asset Allocation'!AA8,'Asset Allocation'!AB8,'Asset Allocation'!AH8,'Asset Allocation'!AI8,'Asset Allocation'!AJ8))</f>
        <v>0.54099999999999993</v>
      </c>
      <c r="D8">
        <f>IF(A8="","",SUM('Asset Allocation'!S8,'Asset Allocation'!Y8))</f>
        <v>1.4199999999999999E-2</v>
      </c>
      <c r="F8">
        <f>IF(A8="","",SUM('Asset Allocation'!R8))</f>
        <v>0</v>
      </c>
      <c r="G8">
        <f>IF(A8="","",SUM('Asset Allocation'!T8,'Asset Allocation'!U8))</f>
        <v>1.0200000000000001E-2</v>
      </c>
      <c r="H8">
        <f t="shared" si="0"/>
        <v>1.0000000000010001E-4</v>
      </c>
    </row>
    <row r="9" spans="1:8" x14ac:dyDescent="0.25">
      <c r="A9" t="str">
        <f>IF(Input!A10="","",Input!A10)</f>
        <v>abrdn Index MPS - Portfolio 3</v>
      </c>
      <c r="B9">
        <f>IF(A9="","",SUM('Asset Allocation'!K9,'Asset Allocation'!L9,'Asset Allocation'!M9,'Asset Allocation'!N9,'Asset Allocation'!O9,'Asset Allocation'!P9,'Asset Allocation'!Q9,'Asset Allocation'!Z9,'Asset Allocation'!AC9,'Asset Allocation'!AD9,'Asset Allocation'!AE9,'Asset Allocation'!AF9,'Asset Allocation'!AG9,'Asset Allocation'!AK9))</f>
        <v>0.58770000000000011</v>
      </c>
      <c r="C9">
        <f>IF(A9="","",SUM('Asset Allocation'!B9,'Asset Allocation'!C9,'Asset Allocation'!D9,'Asset Allocation'!E9,'Asset Allocation'!F9,'Asset Allocation'!G9,'Asset Allocation'!H9,'Asset Allocation'!I9,'Asset Allocation'!J9,'Asset Allocation'!V9,'Asset Allocation'!W9,'Asset Allocation'!X9,'Asset Allocation'!AA9,'Asset Allocation'!AB9,'Asset Allocation'!AH9,'Asset Allocation'!AI9,'Asset Allocation'!AJ9))</f>
        <v>0.37279999999999996</v>
      </c>
      <c r="D9">
        <f>IF(A9="","",SUM('Asset Allocation'!S9,'Asset Allocation'!Y9))</f>
        <v>2.9399999999999999E-2</v>
      </c>
      <c r="F9">
        <f>IF(A9="","",SUM('Asset Allocation'!R9))</f>
        <v>0</v>
      </c>
      <c r="G9">
        <f>IF(A9="","",SUM('Asset Allocation'!T9,'Asset Allocation'!U9))</f>
        <v>1.0200000000000001E-2</v>
      </c>
      <c r="H9">
        <f t="shared" si="0"/>
        <v>-1.0000000000021103E-4</v>
      </c>
    </row>
    <row r="10" spans="1:8" x14ac:dyDescent="0.25">
      <c r="A10" t="str">
        <f>IF(Input!A11="","",Input!A11)</f>
        <v>abrdn Index MPS - Portfolio 4</v>
      </c>
      <c r="B10">
        <f>IF(A10="","",SUM('Asset Allocation'!K10,'Asset Allocation'!L10,'Asset Allocation'!M10,'Asset Allocation'!N10,'Asset Allocation'!O10,'Asset Allocation'!P10,'Asset Allocation'!Q10,'Asset Allocation'!Z10,'Asset Allocation'!AC10,'Asset Allocation'!AD10,'Asset Allocation'!AE10,'Asset Allocation'!AF10,'Asset Allocation'!AG10,'Asset Allocation'!AK10))</f>
        <v>0.75529999999999997</v>
      </c>
      <c r="C10">
        <f>IF(A10="","",SUM('Asset Allocation'!B10,'Asset Allocation'!C10,'Asset Allocation'!D10,'Asset Allocation'!E10,'Asset Allocation'!F10,'Asset Allocation'!G10,'Asset Allocation'!H10,'Asset Allocation'!I10,'Asset Allocation'!J10,'Asset Allocation'!V10,'Asset Allocation'!W10,'Asset Allocation'!X10,'Asset Allocation'!AA10,'Asset Allocation'!AB10,'Asset Allocation'!AH10,'Asset Allocation'!AI10,'Asset Allocation'!AJ10))</f>
        <v>0.19660000000000002</v>
      </c>
      <c r="D10">
        <f>IF(A10="","",SUM('Asset Allocation'!S10,'Asset Allocation'!Y10))</f>
        <v>3.7699999999999997E-2</v>
      </c>
      <c r="F10">
        <f>IF(A10="","",SUM('Asset Allocation'!R10))</f>
        <v>0</v>
      </c>
      <c r="G10">
        <f>IF(A10="","",SUM('Asset Allocation'!T10,'Asset Allocation'!U10))</f>
        <v>1.03E-2</v>
      </c>
      <c r="H10">
        <f t="shared" si="0"/>
        <v>1.0000000000010001E-4</v>
      </c>
    </row>
    <row r="11" spans="1:8" x14ac:dyDescent="0.25">
      <c r="A11" t="str">
        <f>IF(Input!A12="","",Input!A12)</f>
        <v>abrdn Index MPS - Portfolio 5</v>
      </c>
      <c r="B11">
        <f>IF(A11="","",SUM('Asset Allocation'!K11,'Asset Allocation'!L11,'Asset Allocation'!M11,'Asset Allocation'!N11,'Asset Allocation'!O11,'Asset Allocation'!P11,'Asset Allocation'!Q11,'Asset Allocation'!Z11,'Asset Allocation'!AC11,'Asset Allocation'!AD11,'Asset Allocation'!AE11,'Asset Allocation'!AF11,'Asset Allocation'!AG11,'Asset Allocation'!AK11))</f>
        <v>0.96899999999999997</v>
      </c>
      <c r="C11">
        <f>IF(A11="","",SUM('Asset Allocation'!B11,'Asset Allocation'!C11,'Asset Allocation'!D11,'Asset Allocation'!E11,'Asset Allocation'!F11,'Asset Allocation'!G11,'Asset Allocation'!H11,'Asset Allocation'!I11,'Asset Allocation'!J11,'Asset Allocation'!V11,'Asset Allocation'!W11,'Asset Allocation'!X11,'Asset Allocation'!AA11,'Asset Allocation'!AB11,'Asset Allocation'!AH11,'Asset Allocation'!AI11,'Asset Allocation'!AJ11))</f>
        <v>2.07E-2</v>
      </c>
      <c r="D11">
        <f>IF(A11="","",SUM('Asset Allocation'!S11,'Asset Allocation'!Y11))</f>
        <v>0</v>
      </c>
      <c r="F11">
        <f>IF(A11="","",SUM('Asset Allocation'!R11))</f>
        <v>0</v>
      </c>
      <c r="G11">
        <f>IF(A11="","",SUM('Asset Allocation'!T11,'Asset Allocation'!U11))</f>
        <v>1.03E-2</v>
      </c>
      <c r="H11">
        <f t="shared" si="0"/>
        <v>0</v>
      </c>
    </row>
    <row r="12" spans="1:8" x14ac:dyDescent="0.25">
      <c r="A12" t="str">
        <f>IF(Input!A13="","",Input!A13)</f>
        <v>Sustainable MPS - Portfolio 1</v>
      </c>
      <c r="B12">
        <f>IF(A12="","",SUM('Asset Allocation'!K12,'Asset Allocation'!L12,'Asset Allocation'!M12,'Asset Allocation'!N12,'Asset Allocation'!O12,'Asset Allocation'!P12,'Asset Allocation'!Q12,'Asset Allocation'!Z12,'Asset Allocation'!AC12,'Asset Allocation'!AD12,'Asset Allocation'!AE12,'Asset Allocation'!AF12,'Asset Allocation'!AG12,'Asset Allocation'!AK12))</f>
        <v>0.21880000000000002</v>
      </c>
      <c r="C12">
        <f>IF(A12="","",SUM('Asset Allocation'!B12,'Asset Allocation'!C12,'Asset Allocation'!D12,'Asset Allocation'!E12,'Asset Allocation'!F12,'Asset Allocation'!G12,'Asset Allocation'!H12,'Asset Allocation'!I12,'Asset Allocation'!J12,'Asset Allocation'!V12,'Asset Allocation'!W12,'Asset Allocation'!X12,'Asset Allocation'!AA12,'Asset Allocation'!AB12,'Asset Allocation'!AH12,'Asset Allocation'!AI12,'Asset Allocation'!AJ12))</f>
        <v>0.65710000000000002</v>
      </c>
      <c r="D12">
        <f>IF(A12="","",SUM('Asset Allocation'!S12,'Asset Allocation'!Y12))</f>
        <v>2.0299999999999999E-2</v>
      </c>
      <c r="F12">
        <f>IF(A12="","",SUM('Asset Allocation'!R12))</f>
        <v>8.539999999999999E-2</v>
      </c>
      <c r="G12">
        <f>IF(A12="","",SUM('Asset Allocation'!T12,'Asset Allocation'!U12))</f>
        <v>1.4E-2</v>
      </c>
      <c r="H12">
        <f t="shared" si="0"/>
        <v>4.3999999999999595E-3</v>
      </c>
    </row>
    <row r="13" spans="1:8" x14ac:dyDescent="0.25">
      <c r="A13" t="str">
        <f>IF(Input!A14="","",Input!A14)</f>
        <v>Sustainable MPS - Portfolio 2</v>
      </c>
      <c r="B13">
        <f>IF(A13="","",SUM('Asset Allocation'!K13,'Asset Allocation'!L13,'Asset Allocation'!M13,'Asset Allocation'!N13,'Asset Allocation'!O13,'Asset Allocation'!P13,'Asset Allocation'!Q13,'Asset Allocation'!Z13,'Asset Allocation'!AC13,'Asset Allocation'!AD13,'Asset Allocation'!AE13,'Asset Allocation'!AF13,'Asset Allocation'!AG13,'Asset Allocation'!AK13))</f>
        <v>0.40189999999999998</v>
      </c>
      <c r="C13">
        <f>IF(A13="","",SUM('Asset Allocation'!B13,'Asset Allocation'!C13,'Asset Allocation'!D13,'Asset Allocation'!E13,'Asset Allocation'!F13,'Asset Allocation'!G13,'Asset Allocation'!H13,'Asset Allocation'!I13,'Asset Allocation'!J13,'Asset Allocation'!V13,'Asset Allocation'!W13,'Asset Allocation'!X13,'Asset Allocation'!AA13,'Asset Allocation'!AB13,'Asset Allocation'!AH13,'Asset Allocation'!AI13,'Asset Allocation'!AJ13))</f>
        <v>0.48259999999999992</v>
      </c>
      <c r="D13">
        <f>IF(A13="","",SUM('Asset Allocation'!S13,'Asset Allocation'!Y13))</f>
        <v>3.2799999999999996E-2</v>
      </c>
      <c r="F13">
        <f>IF(A13="","",SUM('Asset Allocation'!R13))</f>
        <v>5.79E-2</v>
      </c>
      <c r="G13">
        <f>IF(A13="","",SUM('Asset Allocation'!T13,'Asset Allocation'!U13))</f>
        <v>1.8200000000000001E-2</v>
      </c>
      <c r="H13">
        <f t="shared" si="0"/>
        <v>6.6000000000002723E-3</v>
      </c>
    </row>
    <row r="14" spans="1:8" x14ac:dyDescent="0.25">
      <c r="A14" t="str">
        <f>IF(Input!A15="","",Input!A15)</f>
        <v>Sustainable MPS - Portfolio 3</v>
      </c>
      <c r="B14">
        <f>IF(A14="","",SUM('Asset Allocation'!K14,'Asset Allocation'!L14,'Asset Allocation'!M14,'Asset Allocation'!N14,'Asset Allocation'!O14,'Asset Allocation'!P14,'Asset Allocation'!Q14,'Asset Allocation'!Z14,'Asset Allocation'!AC14,'Asset Allocation'!AD14,'Asset Allocation'!AE14,'Asset Allocation'!AF14,'Asset Allocation'!AG14,'Asset Allocation'!AK14))</f>
        <v>0.5444</v>
      </c>
      <c r="C14">
        <f>IF(A14="","",SUM('Asset Allocation'!B14,'Asset Allocation'!C14,'Asset Allocation'!D14,'Asset Allocation'!E14,'Asset Allocation'!F14,'Asset Allocation'!G14,'Asset Allocation'!H14,'Asset Allocation'!I14,'Asset Allocation'!J14,'Asset Allocation'!V14,'Asset Allocation'!W14,'Asset Allocation'!X14,'Asset Allocation'!AA14,'Asset Allocation'!AB14,'Asset Allocation'!AH14,'Asset Allocation'!AI14,'Asset Allocation'!AJ14))</f>
        <v>0.34209999999999996</v>
      </c>
      <c r="D14">
        <f>IF(A14="","",SUM('Asset Allocation'!S14,'Asset Allocation'!Y14))</f>
        <v>5.1399999999999994E-2</v>
      </c>
      <c r="F14">
        <f>IF(A14="","",SUM('Asset Allocation'!R14))</f>
        <v>2.7400000000000001E-2</v>
      </c>
      <c r="G14">
        <f>IF(A14="","",SUM('Asset Allocation'!T14,'Asset Allocation'!U14))</f>
        <v>2.2800000000000001E-2</v>
      </c>
      <c r="H14">
        <f t="shared" si="0"/>
        <v>1.1900000000000022E-2</v>
      </c>
    </row>
    <row r="15" spans="1:8" x14ac:dyDescent="0.25">
      <c r="A15" t="str">
        <f>IF(Input!A16="","",Input!A16)</f>
        <v>Sustainable MPS - Portfolio 4</v>
      </c>
      <c r="B15">
        <f>IF(A15="","",SUM('Asset Allocation'!K15,'Asset Allocation'!L15,'Asset Allocation'!M15,'Asset Allocation'!N15,'Asset Allocation'!O15,'Asset Allocation'!P15,'Asset Allocation'!Q15,'Asset Allocation'!Z15,'Asset Allocation'!AC15,'Asset Allocation'!AD15,'Asset Allocation'!AE15,'Asset Allocation'!AF15,'Asset Allocation'!AG15,'Asset Allocation'!AK15))</f>
        <v>0.70960000000000001</v>
      </c>
      <c r="C15">
        <f>IF(A15="","",SUM('Asset Allocation'!B15,'Asset Allocation'!C15,'Asset Allocation'!D15,'Asset Allocation'!E15,'Asset Allocation'!F15,'Asset Allocation'!G15,'Asset Allocation'!H15,'Asset Allocation'!I15,'Asset Allocation'!J15,'Asset Allocation'!V15,'Asset Allocation'!W15,'Asset Allocation'!X15,'Asset Allocation'!AA15,'Asset Allocation'!AB15,'Asset Allocation'!AH15,'Asset Allocation'!AI15,'Asset Allocation'!AJ15))</f>
        <v>0.16520000000000001</v>
      </c>
      <c r="D15">
        <f>IF(A15="","",SUM('Asset Allocation'!S15,'Asset Allocation'!Y15))</f>
        <v>6.1500000000000006E-2</v>
      </c>
      <c r="F15">
        <f>IF(A15="","",SUM('Asset Allocation'!R15))</f>
        <v>2.3900000000000001E-2</v>
      </c>
      <c r="G15">
        <f>IF(A15="","",SUM('Asset Allocation'!T15,'Asset Allocation'!U15))</f>
        <v>3.0600000000000002E-2</v>
      </c>
      <c r="H15">
        <f t="shared" si="0"/>
        <v>9.199999999999986E-3</v>
      </c>
    </row>
    <row r="16" spans="1:8" x14ac:dyDescent="0.25">
      <c r="A16" t="str">
        <f>IF(Input!A17="","",Input!A17)</f>
        <v>Sustainable MPS - Portfolio 5</v>
      </c>
      <c r="B16">
        <f>IF(A16="","",SUM('Asset Allocation'!K16,'Asset Allocation'!L16,'Asset Allocation'!M16,'Asset Allocation'!N16,'Asset Allocation'!O16,'Asset Allocation'!P16,'Asset Allocation'!Q16,'Asset Allocation'!Z16,'Asset Allocation'!AC16,'Asset Allocation'!AD16,'Asset Allocation'!AE16,'Asset Allocation'!AF16,'Asset Allocation'!AG16,'Asset Allocation'!AK16))</f>
        <v>0.9403999999999999</v>
      </c>
      <c r="C16">
        <f>IF(A16="","",SUM('Asset Allocation'!B16,'Asset Allocation'!C16,'Asset Allocation'!D16,'Asset Allocation'!E16,'Asset Allocation'!F16,'Asset Allocation'!G16,'Asset Allocation'!H16,'Asset Allocation'!I16,'Asset Allocation'!J16,'Asset Allocation'!V16,'Asset Allocation'!W16,'Asset Allocation'!X16,'Asset Allocation'!AA16,'Asset Allocation'!AB16,'Asset Allocation'!AH16,'Asset Allocation'!AI16,'Asset Allocation'!AJ16))</f>
        <v>2.3699999999999999E-2</v>
      </c>
      <c r="D16">
        <f>IF(A16="","",SUM('Asset Allocation'!S16,'Asset Allocation'!Y16))</f>
        <v>0</v>
      </c>
      <c r="F16">
        <f>IF(A16="","",SUM('Asset Allocation'!R16))</f>
        <v>0</v>
      </c>
      <c r="G16">
        <f>IF(A16="","",SUM('Asset Allocation'!T16,'Asset Allocation'!U16))</f>
        <v>3.3799999999999997E-2</v>
      </c>
      <c r="H16">
        <f t="shared" si="0"/>
        <v>2.0999999999999908E-3</v>
      </c>
    </row>
    <row r="17" spans="1:8" x14ac:dyDescent="0.25">
      <c r="A17" t="str">
        <f>IF(Input!A18="","",Input!A18)</f>
        <v>Sustainable Index MPS - Portfolio 1</v>
      </c>
      <c r="B17">
        <f>IF(A17="","",SUM('Asset Allocation'!K17,'Asset Allocation'!L17,'Asset Allocation'!M17,'Asset Allocation'!N17,'Asset Allocation'!O17,'Asset Allocation'!P17,'Asset Allocation'!Q17,'Asset Allocation'!Z17,'Asset Allocation'!AC17,'Asset Allocation'!AD17,'Asset Allocation'!AE17,'Asset Allocation'!AF17,'Asset Allocation'!AG17,'Asset Allocation'!AK17))</f>
        <v>0.24330000000000002</v>
      </c>
      <c r="C17">
        <f>IF(A17="","",SUM('Asset Allocation'!B17,'Asset Allocation'!C17,'Asset Allocation'!D17,'Asset Allocation'!E17,'Asset Allocation'!F17,'Asset Allocation'!G17,'Asset Allocation'!H17,'Asset Allocation'!I17,'Asset Allocation'!J17,'Asset Allocation'!V17,'Asset Allocation'!W17,'Asset Allocation'!X17,'Asset Allocation'!AA17,'Asset Allocation'!AB17,'Asset Allocation'!AH17,'Asset Allocation'!AI17,'Asset Allocation'!AJ17))</f>
        <v>0.72320000000000007</v>
      </c>
      <c r="D17">
        <f>IF(A17="","",SUM('Asset Allocation'!S17,'Asset Allocation'!Y17))</f>
        <v>1.29E-2</v>
      </c>
      <c r="F17">
        <f>IF(A17="","",SUM('Asset Allocation'!R17))</f>
        <v>0</v>
      </c>
      <c r="G17">
        <f>IF(A17="","",SUM('Asset Allocation'!T17,'Asset Allocation'!U17))</f>
        <v>2.0400000000000001E-2</v>
      </c>
      <c r="H17">
        <f t="shared" si="0"/>
        <v>1.9999999999986695E-4</v>
      </c>
    </row>
    <row r="18" spans="1:8" x14ac:dyDescent="0.25">
      <c r="A18" t="str">
        <f>IF(Input!A19="","",Input!A19)</f>
        <v>Sustainable Index MPS - Portfolio 2</v>
      </c>
      <c r="B18">
        <f>IF(A18="","",SUM('Asset Allocation'!K18,'Asset Allocation'!L18,'Asset Allocation'!M18,'Asset Allocation'!N18,'Asset Allocation'!O18,'Asset Allocation'!P18,'Asset Allocation'!Q18,'Asset Allocation'!Z18,'Asset Allocation'!AC18,'Asset Allocation'!AD18,'Asset Allocation'!AE18,'Asset Allocation'!AF18,'Asset Allocation'!AG18,'Asset Allocation'!AK18))</f>
        <v>0.43599999999999994</v>
      </c>
      <c r="C18">
        <f>IF(A18="","",SUM('Asset Allocation'!B18,'Asset Allocation'!C18,'Asset Allocation'!D18,'Asset Allocation'!E18,'Asset Allocation'!F18,'Asset Allocation'!G18,'Asset Allocation'!H18,'Asset Allocation'!I18,'Asset Allocation'!J18,'Asset Allocation'!V18,'Asset Allocation'!W18,'Asset Allocation'!X18,'Asset Allocation'!AA18,'Asset Allocation'!AB18,'Asset Allocation'!AH18,'Asset Allocation'!AI18,'Asset Allocation'!AJ18))</f>
        <v>0.53969999999999996</v>
      </c>
      <c r="D18">
        <f>IF(A18="","",SUM('Asset Allocation'!S18,'Asset Allocation'!Y18))</f>
        <v>1.43E-2</v>
      </c>
      <c r="F18">
        <f>IF(A18="","",SUM('Asset Allocation'!R18))</f>
        <v>0</v>
      </c>
      <c r="G18">
        <f>IF(A18="","",SUM('Asset Allocation'!T18,'Asset Allocation'!U18))</f>
        <v>0.01</v>
      </c>
      <c r="H18">
        <f t="shared" si="0"/>
        <v>1.1102230246251565E-16</v>
      </c>
    </row>
    <row r="19" spans="1:8" x14ac:dyDescent="0.25">
      <c r="A19" t="str">
        <f>IF(Input!A20="","",Input!A20)</f>
        <v>Sustainable Index MPS - Portfolio 3</v>
      </c>
      <c r="B19">
        <f>IF(A19="","",SUM('Asset Allocation'!K19,'Asset Allocation'!L19,'Asset Allocation'!M19,'Asset Allocation'!N19,'Asset Allocation'!O19,'Asset Allocation'!P19,'Asset Allocation'!Q19,'Asset Allocation'!Z19,'Asset Allocation'!AC19,'Asset Allocation'!AD19,'Asset Allocation'!AE19,'Asset Allocation'!AF19,'Asset Allocation'!AG19,'Asset Allocation'!AK19))</f>
        <v>0.58899999999999997</v>
      </c>
      <c r="C19">
        <f>IF(A19="","",SUM('Asset Allocation'!B19,'Asset Allocation'!C19,'Asset Allocation'!D19,'Asset Allocation'!E19,'Asset Allocation'!F19,'Asset Allocation'!G19,'Asset Allocation'!H19,'Asset Allocation'!I19,'Asset Allocation'!J19,'Asset Allocation'!V19,'Asset Allocation'!W19,'Asset Allocation'!X19,'Asset Allocation'!AA19,'Asset Allocation'!AB19,'Asset Allocation'!AH19,'Asset Allocation'!AI19,'Asset Allocation'!AJ19))</f>
        <v>0.37129999999999996</v>
      </c>
      <c r="D19">
        <f>IF(A19="","",SUM('Asset Allocation'!S19,'Asset Allocation'!Y19))</f>
        <v>2.9500000000000002E-2</v>
      </c>
      <c r="F19">
        <f>IF(A19="","",SUM('Asset Allocation'!R19))</f>
        <v>0</v>
      </c>
      <c r="G19">
        <f>IF(A19="","",SUM('Asset Allocation'!T19,'Asset Allocation'!U19))</f>
        <v>1.01E-2</v>
      </c>
      <c r="H19">
        <f t="shared" si="0"/>
        <v>1.0000000000010001E-4</v>
      </c>
    </row>
    <row r="20" spans="1:8" x14ac:dyDescent="0.25">
      <c r="A20" t="str">
        <f>IF(Input!A21="","",Input!A21)</f>
        <v>Sustainable Index MPS - Portfolio 4</v>
      </c>
      <c r="B20">
        <f>IF(A20="","",SUM('Asset Allocation'!K20,'Asset Allocation'!L20,'Asset Allocation'!M20,'Asset Allocation'!N20,'Asset Allocation'!O20,'Asset Allocation'!P20,'Asset Allocation'!Q20,'Asset Allocation'!Z20,'Asset Allocation'!AC20,'Asset Allocation'!AD20,'Asset Allocation'!AE20,'Asset Allocation'!AF20,'Asset Allocation'!AG20,'Asset Allocation'!AK20))</f>
        <v>0.75509999999999999</v>
      </c>
      <c r="C20">
        <f>IF(A20="","",SUM('Asset Allocation'!B20,'Asset Allocation'!C20,'Asset Allocation'!D20,'Asset Allocation'!E20,'Asset Allocation'!F20,'Asset Allocation'!G20,'Asset Allocation'!H20,'Asset Allocation'!I20,'Asset Allocation'!J20,'Asset Allocation'!V20,'Asset Allocation'!W20,'Asset Allocation'!X20,'Asset Allocation'!AA20,'Asset Allocation'!AB20,'Asset Allocation'!AH20,'Asset Allocation'!AI20,'Asset Allocation'!AJ20))</f>
        <v>0.19719999999999999</v>
      </c>
      <c r="D20">
        <f>IF(A20="","",SUM('Asset Allocation'!S20,'Asset Allocation'!Y20))</f>
        <v>3.7499999999999999E-2</v>
      </c>
      <c r="F20">
        <f>IF(A20="","",SUM('Asset Allocation'!R20))</f>
        <v>0</v>
      </c>
      <c r="G20">
        <f>IF(A20="","",SUM('Asset Allocation'!T20,'Asset Allocation'!U20))</f>
        <v>1.0200000000000001E-2</v>
      </c>
      <c r="H20">
        <f t="shared" si="0"/>
        <v>1.1102230246251565E-16</v>
      </c>
    </row>
    <row r="21" spans="1:8" x14ac:dyDescent="0.25">
      <c r="A21" t="str">
        <f>IF(Input!A22="","",Input!A22)</f>
        <v>Sustainable Index MPS - Portfolio 5</v>
      </c>
      <c r="B21">
        <f>IF(A21="","",SUM('Asset Allocation'!K21,'Asset Allocation'!L21,'Asset Allocation'!M21,'Asset Allocation'!N21,'Asset Allocation'!O21,'Asset Allocation'!P21,'Asset Allocation'!Q21,'Asset Allocation'!Z21,'Asset Allocation'!AC21,'Asset Allocation'!AD21,'Asset Allocation'!AE21,'Asset Allocation'!AF21,'Asset Allocation'!AG21,'Asset Allocation'!AK21))</f>
        <v>0.96900000000000008</v>
      </c>
      <c r="C21">
        <f>IF(A21="","",SUM('Asset Allocation'!B21,'Asset Allocation'!C21,'Asset Allocation'!D21,'Asset Allocation'!E21,'Asset Allocation'!F21,'Asset Allocation'!G21,'Asset Allocation'!H21,'Asset Allocation'!I21,'Asset Allocation'!J21,'Asset Allocation'!V21,'Asset Allocation'!W21,'Asset Allocation'!X21,'Asset Allocation'!AA21,'Asset Allocation'!AB21,'Asset Allocation'!AH21,'Asset Allocation'!AI21,'Asset Allocation'!AJ21))</f>
        <v>2.07E-2</v>
      </c>
      <c r="D21">
        <f>IF(A21="","",SUM('Asset Allocation'!S21,'Asset Allocation'!Y21))</f>
        <v>0</v>
      </c>
      <c r="F21">
        <f>IF(A21="","",SUM('Asset Allocation'!R21))</f>
        <v>0</v>
      </c>
      <c r="G21">
        <f>IF(A21="","",SUM('Asset Allocation'!T21,'Asset Allocation'!U21))</f>
        <v>1.04E-2</v>
      </c>
      <c r="H21">
        <f t="shared" si="0"/>
        <v>-1.0000000000021103E-4</v>
      </c>
    </row>
    <row r="22" spans="1:8" x14ac:dyDescent="0.25">
      <c r="A22" t="str">
        <f>IF(Input!A23="","",Input!A23)</f>
        <v/>
      </c>
      <c r="B22" t="str">
        <f>IF(A22="","",SUM('Asset Allocation'!K22,'Asset Allocation'!L22,'Asset Allocation'!M22,'Asset Allocation'!N22,'Asset Allocation'!O22,'Asset Allocation'!P22,'Asset Allocation'!Q22,'Asset Allocation'!Z22,'Asset Allocation'!AC22,'Asset Allocation'!AD22,'Asset Allocation'!AE22,'Asset Allocation'!AF22,'Asset Allocation'!AG22,'Asset Allocation'!AK22))</f>
        <v/>
      </c>
      <c r="C22" t="str">
        <f>IF(A22="","",SUM('Asset Allocation'!B22,'Asset Allocation'!C22,'Asset Allocation'!D22,'Asset Allocation'!E22,'Asset Allocation'!F22,'Asset Allocation'!G22,'Asset Allocation'!H22,'Asset Allocation'!I22,'Asset Allocation'!J22,'Asset Allocation'!V22,'Asset Allocation'!W22,'Asset Allocation'!X22,'Asset Allocation'!AA22,'Asset Allocation'!AB22,'Asset Allocation'!AH22,'Asset Allocation'!AI22,'Asset Allocation'!AJ22))</f>
        <v/>
      </c>
      <c r="D22" t="str">
        <f>IF(A22="","",SUM('Asset Allocation'!S22,'Asset Allocation'!Y22))</f>
        <v/>
      </c>
      <c r="F22" t="str">
        <f>IF(A22="","",SUM('Asset Allocation'!R22))</f>
        <v/>
      </c>
      <c r="G22" t="str">
        <f>IF(A22="","",SUM('Asset Allocation'!T22,'Asset Allocation'!U22))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Allocation'!K23,'Asset Allocation'!L23,'Asset Allocation'!M23,'Asset Allocation'!N23,'Asset Allocation'!O23,'Asset Allocation'!P23,'Asset Allocation'!Q23,'Asset Allocation'!Z23,'Asset Allocation'!AC23,'Asset Allocation'!AD23,'Asset Allocation'!AE23,'Asset Allocation'!AF23,'Asset Allocation'!AG23,'Asset Allocation'!AK23))</f>
        <v/>
      </c>
      <c r="C23" t="str">
        <f>IF(A23="","",SUM('Asset Allocation'!B23,'Asset Allocation'!C23,'Asset Allocation'!D23,'Asset Allocation'!E23,'Asset Allocation'!F23,'Asset Allocation'!G23,'Asset Allocation'!H23,'Asset Allocation'!I23,'Asset Allocation'!J23,'Asset Allocation'!V23,'Asset Allocation'!W23,'Asset Allocation'!X23,'Asset Allocation'!AA23,'Asset Allocation'!AB23,'Asset Allocation'!AH23,'Asset Allocation'!AI23,'Asset Allocation'!AJ23))</f>
        <v/>
      </c>
      <c r="D23" t="str">
        <f>IF(A23="","",SUM('Asset Allocation'!S23,'Asset Allocation'!Y23))</f>
        <v/>
      </c>
      <c r="F23" t="str">
        <f>IF(A23="","",SUM('Asset Allocation'!R23))</f>
        <v/>
      </c>
      <c r="G23" t="str">
        <f>IF(A23="","",SUM('Asset Allocation'!T23,'Asset Allocation'!U23))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Allocation'!K24,'Asset Allocation'!L24,'Asset Allocation'!M24,'Asset Allocation'!N24,'Asset Allocation'!O24,'Asset Allocation'!P24,'Asset Allocation'!Q24,'Asset Allocation'!Z24,'Asset Allocation'!AC24,'Asset Allocation'!AD24,'Asset Allocation'!AE24,'Asset Allocation'!AF24,'Asset Allocation'!AG24,'Asset Allocation'!AK24))</f>
        <v/>
      </c>
      <c r="C24" t="str">
        <f>IF(A24="","",SUM('Asset Allocation'!B24,'Asset Allocation'!C24,'Asset Allocation'!D24,'Asset Allocation'!E24,'Asset Allocation'!F24,'Asset Allocation'!G24,'Asset Allocation'!H24,'Asset Allocation'!I24,'Asset Allocation'!J24,'Asset Allocation'!V24,'Asset Allocation'!W24,'Asset Allocation'!X24,'Asset Allocation'!AA24,'Asset Allocation'!AB24,'Asset Allocation'!AH24,'Asset Allocation'!AI24,'Asset Allocation'!AJ24))</f>
        <v/>
      </c>
      <c r="D24" t="str">
        <f>IF(A24="","",SUM('Asset Allocation'!S24,'Asset Allocation'!Y24))</f>
        <v/>
      </c>
      <c r="F24" t="str">
        <f>IF(A24="","",SUM('Asset Allocation'!R24))</f>
        <v/>
      </c>
      <c r="G24" t="str">
        <f>IF(A24="","",SUM('Asset Allocation'!T24,'Asset Allocation'!U24))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Allocation'!K25,'Asset Allocation'!L25,'Asset Allocation'!M25,'Asset Allocation'!N25,'Asset Allocation'!O25,'Asset Allocation'!P25,'Asset Allocation'!Q25,'Asset Allocation'!Z25,'Asset Allocation'!AC25,'Asset Allocation'!AD25,'Asset Allocation'!AE25,'Asset Allocation'!AF25,'Asset Allocation'!AG25,'Asset Allocation'!AK25))</f>
        <v/>
      </c>
      <c r="C25" t="str">
        <f>IF(A25="","",SUM('Asset Allocation'!B25,'Asset Allocation'!C25,'Asset Allocation'!D25,'Asset Allocation'!E25,'Asset Allocation'!F25,'Asset Allocation'!G25,'Asset Allocation'!H25,'Asset Allocation'!I25,'Asset Allocation'!J25,'Asset Allocation'!V25,'Asset Allocation'!W25,'Asset Allocation'!X25,'Asset Allocation'!AA25,'Asset Allocation'!AB25,'Asset Allocation'!AH25,'Asset Allocation'!AI25,'Asset Allocation'!AJ25))</f>
        <v/>
      </c>
      <c r="D25" t="str">
        <f>IF(A25="","",SUM('Asset Allocation'!S25,'Asset Allocation'!Y25))</f>
        <v/>
      </c>
      <c r="F25" t="str">
        <f>IF(A25="","",SUM('Asset Allocation'!R25))</f>
        <v/>
      </c>
      <c r="G25" t="str">
        <f>IF(A25="","",SUM('Asset Allocation'!T25,'Asset Allocation'!U25))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Allocation'!K26,'Asset Allocation'!L26,'Asset Allocation'!M26,'Asset Allocation'!N26,'Asset Allocation'!O26,'Asset Allocation'!P26,'Asset Allocation'!Q26,'Asset Allocation'!Z26,'Asset Allocation'!AC26,'Asset Allocation'!AD26,'Asset Allocation'!AE26,'Asset Allocation'!AF26,'Asset Allocation'!AG26,'Asset Allocation'!AK26))</f>
        <v/>
      </c>
      <c r="C26" t="str">
        <f>IF(A26="","",SUM('Asset Allocation'!B26,'Asset Allocation'!C26,'Asset Allocation'!D26,'Asset Allocation'!E26,'Asset Allocation'!F26,'Asset Allocation'!G26,'Asset Allocation'!H26,'Asset Allocation'!I26,'Asset Allocation'!J26,'Asset Allocation'!V26,'Asset Allocation'!W26,'Asset Allocation'!X26,'Asset Allocation'!AA26,'Asset Allocation'!AB26,'Asset Allocation'!AH26,'Asset Allocation'!AI26,'Asset Allocation'!AJ26))</f>
        <v/>
      </c>
      <c r="D26" t="str">
        <f>IF(A26="","",SUM('Asset Allocation'!S26,'Asset Allocation'!Y26))</f>
        <v/>
      </c>
      <c r="F26" t="str">
        <f>IF(A26="","",SUM('Asset Allocation'!R26))</f>
        <v/>
      </c>
      <c r="G26" t="str">
        <f>IF(A26="","",SUM('Asset Allocation'!T26,'Asset Allocation'!U26))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Allocation'!K27,'Asset Allocation'!L27,'Asset Allocation'!M27,'Asset Allocation'!N27,'Asset Allocation'!O27,'Asset Allocation'!P27,'Asset Allocation'!Q27,'Asset Allocation'!Z27,'Asset Allocation'!AC27,'Asset Allocation'!AD27,'Asset Allocation'!AE27,'Asset Allocation'!AF27,'Asset Allocation'!AG27,'Asset Allocation'!AK27))</f>
        <v/>
      </c>
      <c r="C27" t="str">
        <f>IF(A27="","",SUM('Asset Allocation'!B27,'Asset Allocation'!C27,'Asset Allocation'!D27,'Asset Allocation'!E27,'Asset Allocation'!F27,'Asset Allocation'!G27,'Asset Allocation'!H27,'Asset Allocation'!I27,'Asset Allocation'!J27,'Asset Allocation'!V27,'Asset Allocation'!W27,'Asset Allocation'!X27,'Asset Allocation'!AA27,'Asset Allocation'!AB27,'Asset Allocation'!AH27,'Asset Allocation'!AI27,'Asset Allocation'!AJ27))</f>
        <v/>
      </c>
      <c r="D27" t="str">
        <f>IF(A27="","",SUM('Asset Allocation'!S27,'Asset Allocation'!Y27))</f>
        <v/>
      </c>
      <c r="F27" t="str">
        <f>IF(A27="","",SUM('Asset Allocation'!R27))</f>
        <v/>
      </c>
      <c r="G27" t="str">
        <f>IF(A27="","",SUM('Asset Allocation'!T27,'Asset Allocation'!U27))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Allocation'!K28,'Asset Allocation'!L28,'Asset Allocation'!M28,'Asset Allocation'!N28,'Asset Allocation'!O28,'Asset Allocation'!P28,'Asset Allocation'!Q28,'Asset Allocation'!Z28,'Asset Allocation'!AC28,'Asset Allocation'!AD28,'Asset Allocation'!AE28,'Asset Allocation'!AF28,'Asset Allocation'!AG28,'Asset Allocation'!AK28))</f>
        <v/>
      </c>
      <c r="C28" t="str">
        <f>IF(A28="","",SUM('Asset Allocation'!B28,'Asset Allocation'!C28,'Asset Allocation'!D28,'Asset Allocation'!E28,'Asset Allocation'!F28,'Asset Allocation'!G28,'Asset Allocation'!H28,'Asset Allocation'!I28,'Asset Allocation'!J28,'Asset Allocation'!V28,'Asset Allocation'!W28,'Asset Allocation'!X28,'Asset Allocation'!AA28,'Asset Allocation'!AB28,'Asset Allocation'!AH28,'Asset Allocation'!AI28,'Asset Allocation'!AJ28))</f>
        <v/>
      </c>
      <c r="D28" t="str">
        <f>IF(A28="","",SUM('Asset Allocation'!S28,'Asset Allocation'!Y28))</f>
        <v/>
      </c>
      <c r="F28" t="str">
        <f>IF(A28="","",SUM('Asset Allocation'!R28))</f>
        <v/>
      </c>
      <c r="G28" t="str">
        <f>IF(A28="","",SUM('Asset Allocation'!T28,'Asset Allocation'!U28))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Allocation'!K29,'Asset Allocation'!L29,'Asset Allocation'!M29,'Asset Allocation'!N29,'Asset Allocation'!O29,'Asset Allocation'!P29,'Asset Allocation'!Q29,'Asset Allocation'!Z29,'Asset Allocation'!AC29,'Asset Allocation'!AD29,'Asset Allocation'!AE29,'Asset Allocation'!AF29,'Asset Allocation'!AG29,'Asset Allocation'!AK29))</f>
        <v/>
      </c>
      <c r="C29" t="str">
        <f>IF(A29="","",SUM('Asset Allocation'!B29,'Asset Allocation'!C29,'Asset Allocation'!D29,'Asset Allocation'!E29,'Asset Allocation'!F29,'Asset Allocation'!G29,'Asset Allocation'!H29,'Asset Allocation'!I29,'Asset Allocation'!J29,'Asset Allocation'!V29,'Asset Allocation'!W29,'Asset Allocation'!X29,'Asset Allocation'!AA29,'Asset Allocation'!AB29,'Asset Allocation'!AH29,'Asset Allocation'!AI29,'Asset Allocation'!AJ29))</f>
        <v/>
      </c>
      <c r="D29" t="str">
        <f>IF(A29="","",SUM('Asset Allocation'!S29,'Asset Allocation'!Y29))</f>
        <v/>
      </c>
      <c r="F29" t="str">
        <f>IF(A29="","",SUM('Asset Allocation'!R29))</f>
        <v/>
      </c>
      <c r="G29" t="str">
        <f>IF(A29="","",SUM('Asset Allocation'!T29,'Asset Allocation'!U29))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Allocation'!K30,'Asset Allocation'!L30,'Asset Allocation'!M30,'Asset Allocation'!N30,'Asset Allocation'!O30,'Asset Allocation'!P30,'Asset Allocation'!Q30,'Asset Allocation'!Z30,'Asset Allocation'!AC30,'Asset Allocation'!AD30,'Asset Allocation'!AE30,'Asset Allocation'!AF30,'Asset Allocation'!AG30,'Asset Allocation'!AK30))</f>
        <v/>
      </c>
      <c r="C30" t="str">
        <f>IF(A30="","",SUM('Asset Allocation'!B30,'Asset Allocation'!C30,'Asset Allocation'!D30,'Asset Allocation'!E30,'Asset Allocation'!F30,'Asset Allocation'!G30,'Asset Allocation'!H30,'Asset Allocation'!I30,'Asset Allocation'!J30,'Asset Allocation'!V30,'Asset Allocation'!W30,'Asset Allocation'!X30,'Asset Allocation'!AA30,'Asset Allocation'!AB30,'Asset Allocation'!AH30,'Asset Allocation'!AI30,'Asset Allocation'!AJ30))</f>
        <v/>
      </c>
      <c r="D30" t="str">
        <f>IF(A30="","",SUM('Asset Allocation'!S30,'Asset Allocation'!Y30))</f>
        <v/>
      </c>
      <c r="F30" t="str">
        <f>IF(A30="","",SUM('Asset Allocation'!R30))</f>
        <v/>
      </c>
      <c r="G30" t="str">
        <f>IF(A30="","",SUM('Asset Allocation'!T30,'Asset Allocation'!U30))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Allocation'!K31,'Asset Allocation'!L31,'Asset Allocation'!M31,'Asset Allocation'!N31,'Asset Allocation'!O31,'Asset Allocation'!P31,'Asset Allocation'!Q31,'Asset Allocation'!Z31,'Asset Allocation'!AC31,'Asset Allocation'!AD31,'Asset Allocation'!AE31,'Asset Allocation'!AF31,'Asset Allocation'!AG31,'Asset Allocation'!AK31))</f>
        <v/>
      </c>
      <c r="C31" t="str">
        <f>IF(A31="","",SUM('Asset Allocation'!B31,'Asset Allocation'!C31,'Asset Allocation'!D31,'Asset Allocation'!E31,'Asset Allocation'!F31,'Asset Allocation'!G31,'Asset Allocation'!H31,'Asset Allocation'!I31,'Asset Allocation'!J31,'Asset Allocation'!V31,'Asset Allocation'!W31,'Asset Allocation'!X31,'Asset Allocation'!AA31,'Asset Allocation'!AB31,'Asset Allocation'!AH31,'Asset Allocation'!AI31,'Asset Allocation'!AJ31))</f>
        <v/>
      </c>
      <c r="D31" t="str">
        <f>IF(A31="","",SUM('Asset Allocation'!S31,'Asset Allocation'!Y31))</f>
        <v/>
      </c>
      <c r="F31" t="str">
        <f>IF(A31="","",SUM('Asset Allocation'!R31))</f>
        <v/>
      </c>
      <c r="G31" t="str">
        <f>IF(A31="","",SUM('Asset Allocation'!T31,'Asset Allocation'!U31))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Allocation'!K32,'Asset Allocation'!L32,'Asset Allocation'!M32,'Asset Allocation'!N32,'Asset Allocation'!O32,'Asset Allocation'!P32,'Asset Allocation'!Q32,'Asset Allocation'!Z32,'Asset Allocation'!AC32,'Asset Allocation'!AD32,'Asset Allocation'!AE32,'Asset Allocation'!AF32,'Asset Allocation'!AG32,'Asset Allocation'!AK32))</f>
        <v/>
      </c>
      <c r="C32" t="str">
        <f>IF(A32="","",SUM('Asset Allocation'!B32,'Asset Allocation'!C32,'Asset Allocation'!D32,'Asset Allocation'!E32,'Asset Allocation'!F32,'Asset Allocation'!G32,'Asset Allocation'!H32,'Asset Allocation'!I32,'Asset Allocation'!J32,'Asset Allocation'!V32,'Asset Allocation'!W32,'Asset Allocation'!X32,'Asset Allocation'!AA32,'Asset Allocation'!AB32,'Asset Allocation'!AH32,'Asset Allocation'!AI32,'Asset Allocation'!AJ32))</f>
        <v/>
      </c>
      <c r="D32" t="str">
        <f>IF(A32="","",SUM('Asset Allocation'!S32,'Asset Allocation'!Y32))</f>
        <v/>
      </c>
      <c r="F32" t="str">
        <f>IF(A32="","",SUM('Asset Allocation'!R32))</f>
        <v/>
      </c>
      <c r="G32" t="str">
        <f>IF(A32="","",SUM('Asset Allocation'!T32,'Asset Allocation'!U32))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Allocation'!K33,'Asset Allocation'!L33,'Asset Allocation'!M33,'Asset Allocation'!N33,'Asset Allocation'!O33,'Asset Allocation'!P33,'Asset Allocation'!Q33,'Asset Allocation'!Z33,'Asset Allocation'!AC33,'Asset Allocation'!AD33,'Asset Allocation'!AE33,'Asset Allocation'!AF33,'Asset Allocation'!AG33,'Asset Allocation'!AK33))</f>
        <v/>
      </c>
      <c r="C33" t="str">
        <f>IF(A33="","",SUM('Asset Allocation'!B33,'Asset Allocation'!C33,'Asset Allocation'!D33,'Asset Allocation'!E33,'Asset Allocation'!F33,'Asset Allocation'!G33,'Asset Allocation'!H33,'Asset Allocation'!I33,'Asset Allocation'!J33,'Asset Allocation'!V33,'Asset Allocation'!W33,'Asset Allocation'!X33,'Asset Allocation'!AA33,'Asset Allocation'!AB33,'Asset Allocation'!AH33,'Asset Allocation'!AI33,'Asset Allocation'!AJ33))</f>
        <v/>
      </c>
      <c r="D33" t="str">
        <f>IF(A33="","",SUM('Asset Allocation'!S33,'Asset Allocation'!Y33))</f>
        <v/>
      </c>
      <c r="F33" t="str">
        <f>IF(A33="","",SUM('Asset Allocation'!R33))</f>
        <v/>
      </c>
      <c r="G33" t="str">
        <f>IF(A33="","",SUM('Asset Allocation'!T33,'Asset Allocation'!U33))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Allocation'!K34,'Asset Allocation'!L34,'Asset Allocation'!M34,'Asset Allocation'!N34,'Asset Allocation'!O34,'Asset Allocation'!P34,'Asset Allocation'!Q34,'Asset Allocation'!Z34,'Asset Allocation'!AC34,'Asset Allocation'!AD34,'Asset Allocation'!AE34,'Asset Allocation'!AF34,'Asset Allocation'!AG34,'Asset Allocation'!AK34))</f>
        <v/>
      </c>
      <c r="C34" t="str">
        <f>IF(A34="","",SUM('Asset Allocation'!B34,'Asset Allocation'!C34,'Asset Allocation'!D34,'Asset Allocation'!E34,'Asset Allocation'!F34,'Asset Allocation'!G34,'Asset Allocation'!H34,'Asset Allocation'!I34,'Asset Allocation'!J34,'Asset Allocation'!V34,'Asset Allocation'!W34,'Asset Allocation'!X34,'Asset Allocation'!AA34,'Asset Allocation'!AB34,'Asset Allocation'!AH34,'Asset Allocation'!AI34,'Asset Allocation'!AJ34))</f>
        <v/>
      </c>
      <c r="D34" t="str">
        <f>IF(A34="","",SUM('Asset Allocation'!S34,'Asset Allocation'!Y34))</f>
        <v/>
      </c>
      <c r="F34" t="str">
        <f>IF(A34="","",SUM('Asset Allocation'!R34))</f>
        <v/>
      </c>
      <c r="G34" t="str">
        <f>IF(A34="","",SUM('Asset Allocation'!T34,'Asset Allocation'!U34))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Allocation'!K35,'Asset Allocation'!L35,'Asset Allocation'!M35,'Asset Allocation'!N35,'Asset Allocation'!O35,'Asset Allocation'!P35,'Asset Allocation'!Q35,'Asset Allocation'!Z35,'Asset Allocation'!AC35,'Asset Allocation'!AD35,'Asset Allocation'!AE35,'Asset Allocation'!AF35,'Asset Allocation'!AG35,'Asset Allocation'!AK35))</f>
        <v/>
      </c>
      <c r="C35" t="str">
        <f>IF(A35="","",SUM('Asset Allocation'!B35,'Asset Allocation'!C35,'Asset Allocation'!D35,'Asset Allocation'!E35,'Asset Allocation'!F35,'Asset Allocation'!G35,'Asset Allocation'!H35,'Asset Allocation'!I35,'Asset Allocation'!J35,'Asset Allocation'!V35,'Asset Allocation'!W35,'Asset Allocation'!X35,'Asset Allocation'!AA35,'Asset Allocation'!AB35,'Asset Allocation'!AH35,'Asset Allocation'!AI35,'Asset Allocation'!AJ35))</f>
        <v/>
      </c>
      <c r="D35" t="str">
        <f>IF(A35="","",SUM('Asset Allocation'!S35,'Asset Allocation'!Y35))</f>
        <v/>
      </c>
      <c r="F35" t="str">
        <f>IF(A35="","",SUM('Asset Allocation'!R35))</f>
        <v/>
      </c>
      <c r="G35" t="str">
        <f>IF(A35="","",SUM('Asset Allocation'!T35,'Asset Allocation'!U35))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Allocation'!K36,'Asset Allocation'!L36,'Asset Allocation'!M36,'Asset Allocation'!N36,'Asset Allocation'!O36,'Asset Allocation'!P36,'Asset Allocation'!Q36,'Asset Allocation'!Z36,'Asset Allocation'!AC36,'Asset Allocation'!AD36,'Asset Allocation'!AE36,'Asset Allocation'!AF36,'Asset Allocation'!AG36,'Asset Allocation'!AK36))</f>
        <v/>
      </c>
      <c r="C36" t="str">
        <f>IF(A36="","",SUM('Asset Allocation'!B36,'Asset Allocation'!C36,'Asset Allocation'!D36,'Asset Allocation'!E36,'Asset Allocation'!F36,'Asset Allocation'!G36,'Asset Allocation'!H36,'Asset Allocation'!I36,'Asset Allocation'!J36,'Asset Allocation'!V36,'Asset Allocation'!W36,'Asset Allocation'!X36,'Asset Allocation'!AA36,'Asset Allocation'!AB36,'Asset Allocation'!AH36,'Asset Allocation'!AI36,'Asset Allocation'!AJ36))</f>
        <v/>
      </c>
      <c r="D36" t="str">
        <f>IF(A36="","",SUM('Asset Allocation'!S36,'Asset Allocation'!Y36))</f>
        <v/>
      </c>
      <c r="F36" t="str">
        <f>IF(A36="","",SUM('Asset Allocation'!R36))</f>
        <v/>
      </c>
      <c r="G36" t="str">
        <f>IF(A36="","",SUM('Asset Allocation'!T36,'Asset Allocation'!U36))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Allocation'!K37,'Asset Allocation'!L37,'Asset Allocation'!M37,'Asset Allocation'!N37,'Asset Allocation'!O37,'Asset Allocation'!P37,'Asset Allocation'!Q37,'Asset Allocation'!Z37,'Asset Allocation'!AC37,'Asset Allocation'!AD37,'Asset Allocation'!AE37,'Asset Allocation'!AF37,'Asset Allocation'!AG37,'Asset Allocation'!AK37))</f>
        <v/>
      </c>
      <c r="C37" t="str">
        <f>IF(A37="","",SUM('Asset Allocation'!B37,'Asset Allocation'!C37,'Asset Allocation'!D37,'Asset Allocation'!E37,'Asset Allocation'!F37,'Asset Allocation'!G37,'Asset Allocation'!H37,'Asset Allocation'!I37,'Asset Allocation'!J37,'Asset Allocation'!V37,'Asset Allocation'!W37,'Asset Allocation'!X37,'Asset Allocation'!AA37,'Asset Allocation'!AB37,'Asset Allocation'!AH37,'Asset Allocation'!AI37,'Asset Allocation'!AJ37))</f>
        <v/>
      </c>
      <c r="D37" t="str">
        <f>IF(A37="","",SUM('Asset Allocation'!S37,'Asset Allocation'!Y37))</f>
        <v/>
      </c>
      <c r="F37" t="str">
        <f>IF(A37="","",SUM('Asset Allocation'!R37))</f>
        <v/>
      </c>
      <c r="G37" t="str">
        <f>IF(A37="","",SUM('Asset Allocation'!T37,'Asset Allocation'!U37))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Allocation'!K38,'Asset Allocation'!L38,'Asset Allocation'!M38,'Asset Allocation'!N38,'Asset Allocation'!O38,'Asset Allocation'!P38,'Asset Allocation'!Q38,'Asset Allocation'!Z38,'Asset Allocation'!AC38,'Asset Allocation'!AD38,'Asset Allocation'!AE38,'Asset Allocation'!AF38,'Asset Allocation'!AG38,'Asset Allocation'!AK38))</f>
        <v/>
      </c>
      <c r="C38" t="str">
        <f>IF(A38="","",SUM('Asset Allocation'!B38,'Asset Allocation'!C38,'Asset Allocation'!D38,'Asset Allocation'!E38,'Asset Allocation'!F38,'Asset Allocation'!G38,'Asset Allocation'!H38,'Asset Allocation'!I38,'Asset Allocation'!J38,'Asset Allocation'!V38,'Asset Allocation'!W38,'Asset Allocation'!X38,'Asset Allocation'!AA38,'Asset Allocation'!AB38,'Asset Allocation'!AH38,'Asset Allocation'!AI38,'Asset Allocation'!AJ38))</f>
        <v/>
      </c>
      <c r="D38" t="str">
        <f>IF(A38="","",SUM('Asset Allocation'!S38,'Asset Allocation'!Y38))</f>
        <v/>
      </c>
      <c r="F38" t="str">
        <f>IF(A38="","",SUM('Asset Allocation'!R38))</f>
        <v/>
      </c>
      <c r="G38" t="str">
        <f>IF(A38="","",SUM('Asset Allocation'!T38,'Asset Allocation'!U38))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Allocation'!K39,'Asset Allocation'!L39,'Asset Allocation'!M39,'Asset Allocation'!N39,'Asset Allocation'!O39,'Asset Allocation'!P39,'Asset Allocation'!Q39,'Asset Allocation'!Z39,'Asset Allocation'!AC39,'Asset Allocation'!AD39,'Asset Allocation'!AE39,'Asset Allocation'!AF39,'Asset Allocation'!AG39,'Asset Allocation'!AK39))</f>
        <v/>
      </c>
      <c r="C39" t="str">
        <f>IF(A39="","",SUM('Asset Allocation'!B39,'Asset Allocation'!C39,'Asset Allocation'!D39,'Asset Allocation'!E39,'Asset Allocation'!F39,'Asset Allocation'!G39,'Asset Allocation'!H39,'Asset Allocation'!I39,'Asset Allocation'!J39,'Asset Allocation'!V39,'Asset Allocation'!W39,'Asset Allocation'!X39,'Asset Allocation'!AA39,'Asset Allocation'!AB39,'Asset Allocation'!AH39,'Asset Allocation'!AI39,'Asset Allocation'!AJ39))</f>
        <v/>
      </c>
      <c r="D39" t="str">
        <f>IF(A39="","",SUM('Asset Allocation'!S39,'Asset Allocation'!Y39))</f>
        <v/>
      </c>
      <c r="F39" t="str">
        <f>IF(A39="","",SUM('Asset Allocation'!R39))</f>
        <v/>
      </c>
      <c r="G39" t="str">
        <f>IF(A39="","",SUM('Asset Allocation'!T39,'Asset Allocation'!U39))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Allocation'!K40,'Asset Allocation'!L40,'Asset Allocation'!M40,'Asset Allocation'!N40,'Asset Allocation'!O40,'Asset Allocation'!P40,'Asset Allocation'!Q40,'Asset Allocation'!Z40,'Asset Allocation'!AC40,'Asset Allocation'!AD40,'Asset Allocation'!AE40,'Asset Allocation'!AF40,'Asset Allocation'!AG40,'Asset Allocation'!AK40))</f>
        <v/>
      </c>
      <c r="C40" t="str">
        <f>IF(A40="","",SUM('Asset Allocation'!B40,'Asset Allocation'!C40,'Asset Allocation'!D40,'Asset Allocation'!E40,'Asset Allocation'!F40,'Asset Allocation'!G40,'Asset Allocation'!H40,'Asset Allocation'!I40,'Asset Allocation'!J40,'Asset Allocation'!V40,'Asset Allocation'!W40,'Asset Allocation'!X40,'Asset Allocation'!AA40,'Asset Allocation'!AB40,'Asset Allocation'!AH40,'Asset Allocation'!AI40,'Asset Allocation'!AJ40))</f>
        <v/>
      </c>
      <c r="D40" t="str">
        <f>IF(A40="","",SUM('Asset Allocation'!S40,'Asset Allocation'!Y40))</f>
        <v/>
      </c>
      <c r="F40" t="str">
        <f>IF(A40="","",SUM('Asset Allocation'!R40))</f>
        <v/>
      </c>
      <c r="G40" t="str">
        <f>IF(A40="","",SUM('Asset Allocation'!T40,'Asset Allocation'!U40))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Allocation'!K41,'Asset Allocation'!L41,'Asset Allocation'!M41,'Asset Allocation'!N41,'Asset Allocation'!O41,'Asset Allocation'!P41,'Asset Allocation'!Q41,'Asset Allocation'!Z41,'Asset Allocation'!AC41,'Asset Allocation'!AD41,'Asset Allocation'!AE41,'Asset Allocation'!AF41,'Asset Allocation'!AG41,'Asset Allocation'!AK41))</f>
        <v/>
      </c>
      <c r="C41" t="str">
        <f>IF(A41="","",SUM('Asset Allocation'!B41,'Asset Allocation'!C41,'Asset Allocation'!D41,'Asset Allocation'!E41,'Asset Allocation'!F41,'Asset Allocation'!G41,'Asset Allocation'!H41,'Asset Allocation'!I41,'Asset Allocation'!J41,'Asset Allocation'!V41,'Asset Allocation'!W41,'Asset Allocation'!X41,'Asset Allocation'!AA41,'Asset Allocation'!AB41,'Asset Allocation'!AH41,'Asset Allocation'!AI41,'Asset Allocation'!AJ41))</f>
        <v/>
      </c>
      <c r="D41" t="str">
        <f>IF(A41="","",SUM('Asset Allocation'!S41,'Asset Allocation'!Y41))</f>
        <v/>
      </c>
      <c r="F41" t="str">
        <f>IF(A41="","",SUM('Asset Allocation'!R41))</f>
        <v/>
      </c>
      <c r="G41" t="str">
        <f>IF(A41="","",SUM('Asset Allocation'!T41,'Asset Allocation'!U41))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Allocation'!K42,'Asset Allocation'!L42,'Asset Allocation'!M42,'Asset Allocation'!N42,'Asset Allocation'!O42,'Asset Allocation'!P42,'Asset Allocation'!Q42,'Asset Allocation'!Z42,'Asset Allocation'!AC42,'Asset Allocation'!AD42,'Asset Allocation'!AE42,'Asset Allocation'!AF42,'Asset Allocation'!AG42,'Asset Allocation'!AK42))</f>
        <v/>
      </c>
      <c r="C42" t="str">
        <f>IF(A42="","",SUM('Asset Allocation'!B42,'Asset Allocation'!C42,'Asset Allocation'!D42,'Asset Allocation'!E42,'Asset Allocation'!F42,'Asset Allocation'!G42,'Asset Allocation'!H42,'Asset Allocation'!I42,'Asset Allocation'!J42,'Asset Allocation'!V42,'Asset Allocation'!W42,'Asset Allocation'!X42,'Asset Allocation'!AA42,'Asset Allocation'!AB42,'Asset Allocation'!AH42,'Asset Allocation'!AI42,'Asset Allocation'!AJ42))</f>
        <v/>
      </c>
      <c r="D42" t="str">
        <f>IF(A42="","",SUM('Asset Allocation'!S42,'Asset Allocation'!Y42))</f>
        <v/>
      </c>
      <c r="F42" t="str">
        <f>IF(A42="","",SUM('Asset Allocation'!R42))</f>
        <v/>
      </c>
      <c r="G42" t="str">
        <f>IF(A42="","",SUM('Asset Allocation'!T42,'Asset Allocation'!U42))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Allocation'!K43,'Asset Allocation'!L43,'Asset Allocation'!M43,'Asset Allocation'!N43,'Asset Allocation'!O43,'Asset Allocation'!P43,'Asset Allocation'!Q43,'Asset Allocation'!Z43,'Asset Allocation'!AC43,'Asset Allocation'!AD43,'Asset Allocation'!AE43,'Asset Allocation'!AF43,'Asset Allocation'!AG43,'Asset Allocation'!AK43))</f>
        <v/>
      </c>
      <c r="C43" t="str">
        <f>IF(A43="","",SUM('Asset Allocation'!B43,'Asset Allocation'!C43,'Asset Allocation'!D43,'Asset Allocation'!E43,'Asset Allocation'!F43,'Asset Allocation'!G43,'Asset Allocation'!H43,'Asset Allocation'!I43,'Asset Allocation'!J43,'Asset Allocation'!V43,'Asset Allocation'!W43,'Asset Allocation'!X43,'Asset Allocation'!AA43,'Asset Allocation'!AB43,'Asset Allocation'!AH43,'Asset Allocation'!AI43,'Asset Allocation'!AJ43))</f>
        <v/>
      </c>
      <c r="D43" t="str">
        <f>IF(A43="","",SUM('Asset Allocation'!S43,'Asset Allocation'!Y43))</f>
        <v/>
      </c>
      <c r="F43" t="str">
        <f>IF(A43="","",SUM('Asset Allocation'!R43))</f>
        <v/>
      </c>
      <c r="G43" t="str">
        <f>IF(A43="","",SUM('Asset Allocation'!T43,'Asset Allocation'!U43))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Allocation'!K44,'Asset Allocation'!L44,'Asset Allocation'!M44,'Asset Allocation'!N44,'Asset Allocation'!O44,'Asset Allocation'!P44,'Asset Allocation'!Q44,'Asset Allocation'!Z44,'Asset Allocation'!AC44,'Asset Allocation'!AD44,'Asset Allocation'!AE44,'Asset Allocation'!AF44,'Asset Allocation'!AG44,'Asset Allocation'!AK44))</f>
        <v/>
      </c>
      <c r="C44" t="str">
        <f>IF(A44="","",SUM('Asset Allocation'!B44,'Asset Allocation'!C44,'Asset Allocation'!D44,'Asset Allocation'!E44,'Asset Allocation'!F44,'Asset Allocation'!G44,'Asset Allocation'!H44,'Asset Allocation'!I44,'Asset Allocation'!J44,'Asset Allocation'!V44,'Asset Allocation'!W44,'Asset Allocation'!X44,'Asset Allocation'!AA44,'Asset Allocation'!AB44,'Asset Allocation'!AH44,'Asset Allocation'!AI44,'Asset Allocation'!AJ44))</f>
        <v/>
      </c>
      <c r="D44" t="str">
        <f>IF(A44="","",SUM('Asset Allocation'!S44,'Asset Allocation'!Y44))</f>
        <v/>
      </c>
      <c r="F44" t="str">
        <f>IF(A44="","",SUM('Asset Allocation'!R44))</f>
        <v/>
      </c>
      <c r="G44" t="str">
        <f>IF(A44="","",SUM('Asset Allocation'!T44,'Asset Allocation'!U44))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Allocation'!K45,'Asset Allocation'!L45,'Asset Allocation'!M45,'Asset Allocation'!N45,'Asset Allocation'!O45,'Asset Allocation'!P45,'Asset Allocation'!Q45,'Asset Allocation'!Z45,'Asset Allocation'!AC45,'Asset Allocation'!AD45,'Asset Allocation'!AE45,'Asset Allocation'!AF45,'Asset Allocation'!AG45,'Asset Allocation'!AK45))</f>
        <v/>
      </c>
      <c r="C45" t="str">
        <f>IF(A45="","",SUM('Asset Allocation'!B45,'Asset Allocation'!C45,'Asset Allocation'!D45,'Asset Allocation'!E45,'Asset Allocation'!F45,'Asset Allocation'!G45,'Asset Allocation'!H45,'Asset Allocation'!I45,'Asset Allocation'!J45,'Asset Allocation'!V45,'Asset Allocation'!W45,'Asset Allocation'!X45,'Asset Allocation'!AA45,'Asset Allocation'!AB45,'Asset Allocation'!AH45,'Asset Allocation'!AI45,'Asset Allocation'!AJ45))</f>
        <v/>
      </c>
      <c r="D45" t="str">
        <f>IF(A45="","",SUM('Asset Allocation'!S45,'Asset Allocation'!Y45))</f>
        <v/>
      </c>
      <c r="F45" t="str">
        <f>IF(A45="","",SUM('Asset Allocation'!R45))</f>
        <v/>
      </c>
      <c r="G45" t="str">
        <f>IF(A45="","",SUM('Asset Allocation'!T45,'Asset Allocation'!U45))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Allocation'!K46,'Asset Allocation'!L46,'Asset Allocation'!M46,'Asset Allocation'!N46,'Asset Allocation'!O46,'Asset Allocation'!P46,'Asset Allocation'!Q46,'Asset Allocation'!Z46,'Asset Allocation'!AC46,'Asset Allocation'!AD46,'Asset Allocation'!AE46,'Asset Allocation'!AF46,'Asset Allocation'!AG46,'Asset Allocation'!AK46))</f>
        <v/>
      </c>
      <c r="C46" t="str">
        <f>IF(A46="","",SUM('Asset Allocation'!B46,'Asset Allocation'!C46,'Asset Allocation'!D46,'Asset Allocation'!E46,'Asset Allocation'!F46,'Asset Allocation'!G46,'Asset Allocation'!H46,'Asset Allocation'!I46,'Asset Allocation'!J46,'Asset Allocation'!V46,'Asset Allocation'!W46,'Asset Allocation'!X46,'Asset Allocation'!AA46,'Asset Allocation'!AB46,'Asset Allocation'!AH46,'Asset Allocation'!AI46,'Asset Allocation'!AJ46))</f>
        <v/>
      </c>
      <c r="D46" t="str">
        <f>IF(A46="","",SUM('Asset Allocation'!S46,'Asset Allocation'!Y46))</f>
        <v/>
      </c>
      <c r="F46" t="str">
        <f>IF(A46="","",SUM('Asset Allocation'!R46))</f>
        <v/>
      </c>
      <c r="G46" t="str">
        <f>IF(A46="","",SUM('Asset Allocation'!T46,'Asset Allocation'!U46))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Allocation'!K47,'Asset Allocation'!L47,'Asset Allocation'!M47,'Asset Allocation'!N47,'Asset Allocation'!O47,'Asset Allocation'!P47,'Asset Allocation'!Q47,'Asset Allocation'!Z47,'Asset Allocation'!AC47,'Asset Allocation'!AD47,'Asset Allocation'!AE47,'Asset Allocation'!AF47,'Asset Allocation'!AG47,'Asset Allocation'!AK47))</f>
        <v/>
      </c>
      <c r="C47" t="str">
        <f>IF(A47="","",SUM('Asset Allocation'!B47,'Asset Allocation'!C47,'Asset Allocation'!D47,'Asset Allocation'!E47,'Asset Allocation'!F47,'Asset Allocation'!G47,'Asset Allocation'!H47,'Asset Allocation'!I47,'Asset Allocation'!J47,'Asset Allocation'!V47,'Asset Allocation'!W47,'Asset Allocation'!X47,'Asset Allocation'!AA47,'Asset Allocation'!AB47,'Asset Allocation'!AH47,'Asset Allocation'!AI47,'Asset Allocation'!AJ47))</f>
        <v/>
      </c>
      <c r="D47" t="str">
        <f>IF(A47="","",SUM('Asset Allocation'!S47,'Asset Allocation'!Y47))</f>
        <v/>
      </c>
      <c r="F47" t="str">
        <f>IF(A47="","",SUM('Asset Allocation'!R47))</f>
        <v/>
      </c>
      <c r="G47" t="str">
        <f>IF(A47="","",SUM('Asset Allocation'!T47,'Asset Allocation'!U47))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Allocation'!K48,'Asset Allocation'!L48,'Asset Allocation'!M48,'Asset Allocation'!N48,'Asset Allocation'!O48,'Asset Allocation'!P48,'Asset Allocation'!Q48,'Asset Allocation'!Z48,'Asset Allocation'!AC48,'Asset Allocation'!AD48,'Asset Allocation'!AE48,'Asset Allocation'!AF48,'Asset Allocation'!AG48,'Asset Allocation'!AK48))</f>
        <v/>
      </c>
      <c r="C48" t="str">
        <f>IF(A48="","",SUM('Asset Allocation'!B48,'Asset Allocation'!C48,'Asset Allocation'!D48,'Asset Allocation'!E48,'Asset Allocation'!F48,'Asset Allocation'!G48,'Asset Allocation'!H48,'Asset Allocation'!I48,'Asset Allocation'!J48,'Asset Allocation'!V48,'Asset Allocation'!W48,'Asset Allocation'!X48,'Asset Allocation'!AA48,'Asset Allocation'!AB48,'Asset Allocation'!AH48,'Asset Allocation'!AI48,'Asset Allocation'!AJ48))</f>
        <v/>
      </c>
      <c r="D48" t="str">
        <f>IF(A48="","",SUM('Asset Allocation'!S48,'Asset Allocation'!Y48))</f>
        <v/>
      </c>
      <c r="F48" t="str">
        <f>IF(A48="","",SUM('Asset Allocation'!R48))</f>
        <v/>
      </c>
      <c r="G48" t="str">
        <f>IF(A48="","",SUM('Asset Allocation'!T48,'Asset Allocation'!U48))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Allocation'!K49,'Asset Allocation'!L49,'Asset Allocation'!M49,'Asset Allocation'!N49,'Asset Allocation'!O49,'Asset Allocation'!P49,'Asset Allocation'!Q49,'Asset Allocation'!Z49,'Asset Allocation'!AC49,'Asset Allocation'!AD49,'Asset Allocation'!AE49,'Asset Allocation'!AF49,'Asset Allocation'!AG49,'Asset Allocation'!AK49))</f>
        <v/>
      </c>
      <c r="C49" t="str">
        <f>IF(A49="","",SUM('Asset Allocation'!B49,'Asset Allocation'!C49,'Asset Allocation'!D49,'Asset Allocation'!E49,'Asset Allocation'!F49,'Asset Allocation'!G49,'Asset Allocation'!H49,'Asset Allocation'!I49,'Asset Allocation'!J49,'Asset Allocation'!V49,'Asset Allocation'!W49,'Asset Allocation'!X49,'Asset Allocation'!AA49,'Asset Allocation'!AB49,'Asset Allocation'!AH49,'Asset Allocation'!AI49,'Asset Allocation'!AJ49))</f>
        <v/>
      </c>
      <c r="D49" t="str">
        <f>IF(A49="","",SUM('Asset Allocation'!S49,'Asset Allocation'!Y49))</f>
        <v/>
      </c>
      <c r="F49" t="str">
        <f>IF(A49="","",SUM('Asset Allocation'!R49))</f>
        <v/>
      </c>
      <c r="G49" t="str">
        <f>IF(A49="","",SUM('Asset Allocation'!T49,'Asset Allocation'!U49))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Allocation'!K50,'Asset Allocation'!L50,'Asset Allocation'!M50,'Asset Allocation'!N50,'Asset Allocation'!O50,'Asset Allocation'!P50,'Asset Allocation'!Q50,'Asset Allocation'!Z50,'Asset Allocation'!AC50,'Asset Allocation'!AD50,'Asset Allocation'!AE50,'Asset Allocation'!AF50,'Asset Allocation'!AG50,'Asset Allocation'!AK50))</f>
        <v/>
      </c>
      <c r="C50" t="str">
        <f>IF(A50="","",SUM('Asset Allocation'!B50,'Asset Allocation'!C50,'Asset Allocation'!D50,'Asset Allocation'!E50,'Asset Allocation'!F50,'Asset Allocation'!G50,'Asset Allocation'!H50,'Asset Allocation'!I50,'Asset Allocation'!J50,'Asset Allocation'!V50,'Asset Allocation'!W50,'Asset Allocation'!X50,'Asset Allocation'!AA50,'Asset Allocation'!AB50,'Asset Allocation'!AH50,'Asset Allocation'!AI50,'Asset Allocation'!AJ50))</f>
        <v/>
      </c>
      <c r="D50" t="str">
        <f>IF(A50="","",SUM('Asset Allocation'!S50,'Asset Allocation'!Y50))</f>
        <v/>
      </c>
      <c r="F50" t="str">
        <f>IF(A50="","",SUM('Asset Allocation'!R50))</f>
        <v/>
      </c>
      <c r="G50" t="str">
        <f>IF(A50="","",SUM('Asset Allocation'!T50,'Asset Allocation'!U50))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8" max="8" width="17.42578125" bestFit="1" customWidth="1"/>
  </cols>
  <sheetData>
    <row r="1" spans="1:8" x14ac:dyDescent="0.25">
      <c r="B1" t="s">
        <v>9</v>
      </c>
      <c r="C1" t="s">
        <v>10</v>
      </c>
      <c r="D1" t="s">
        <v>12</v>
      </c>
      <c r="E1" t="s">
        <v>7</v>
      </c>
      <c r="F1" t="s">
        <v>8</v>
      </c>
      <c r="G1" t="s">
        <v>11</v>
      </c>
      <c r="H1" t="s">
        <v>19</v>
      </c>
    </row>
    <row r="2" spans="1:8" x14ac:dyDescent="0.25">
      <c r="A2" t="str">
        <f>IF(Input!A3="","",Input!A3)</f>
        <v>abrdn MPS - Portfolio 1</v>
      </c>
      <c r="B2" t="e">
        <f>IF(A2="","",SUM('Asset Allocation'!L2,'Asset Allocation'!AD2)/'Broad Asset Allocation'!B2)</f>
        <v>#DIV/0!</v>
      </c>
      <c r="C2" t="e">
        <f>IF(A2="","",SUM('Asset Allocation'!K2,'Asset Allocation'!AC2)/'Broad Asset Allocation'!B2)</f>
        <v>#DIV/0!</v>
      </c>
      <c r="D2" t="e">
        <f>IF(A2="","",SUM('Asset Allocation'!M2,'Asset Allocation'!AE2)/'Broad Asset Allocation'!B2)</f>
        <v>#DIV/0!</v>
      </c>
      <c r="E2" t="e">
        <f>IF(A2="","",SUM('Asset Allocation'!O2,'Asset Allocation'!AG2)/'Broad Asset Allocation'!B2)</f>
        <v>#DIV/0!</v>
      </c>
      <c r="F2" t="e">
        <f>IF(A2="","",SUM('Asset Allocation'!N2,'Asset Allocation'!AF2)/'Broad Asset Allocation'!B2)</f>
        <v>#DIV/0!</v>
      </c>
      <c r="G2" t="e">
        <f>IF(A2="","",SUM('Asset Allocation'!P2)/'Broad Asset Allocation'!B2)</f>
        <v>#DIV/0!</v>
      </c>
      <c r="H2" t="e">
        <f>IF(A2="","",SUM('Asset Allocation'!Q2,'Asset Allocation'!Z2,'Asset Allocation'!AK2)/'Broad Asset Allocation'!B2)</f>
        <v>#DIV/0!</v>
      </c>
    </row>
    <row r="3" spans="1:8" x14ac:dyDescent="0.25">
      <c r="A3" t="str">
        <f>IF(Input!A4="","",Input!A4)</f>
        <v>abrdn MPS - Portfolio 2</v>
      </c>
      <c r="B3" t="e">
        <f>IF(A3="","",SUM('Asset Allocation'!L3,'Asset Allocation'!AD3)/'Broad Asset Allocation'!B3)</f>
        <v>#DIV/0!</v>
      </c>
      <c r="C3" t="e">
        <f>IF(A3="","",SUM('Asset Allocation'!K3,'Asset Allocation'!AC3)/'Broad Asset Allocation'!B3)</f>
        <v>#DIV/0!</v>
      </c>
      <c r="D3" t="e">
        <f>IF(A3="","",SUM('Asset Allocation'!M3,'Asset Allocation'!AE3)/'Broad Asset Allocation'!B3)</f>
        <v>#DIV/0!</v>
      </c>
      <c r="E3" t="e">
        <f>IF(A3="","",SUM('Asset Allocation'!O3,'Asset Allocation'!AG3)/'Broad Asset Allocation'!B3)</f>
        <v>#DIV/0!</v>
      </c>
      <c r="F3" t="e">
        <f>IF(A3="","",SUM('Asset Allocation'!N3,'Asset Allocation'!AF3)/'Broad Asset Allocation'!B3)</f>
        <v>#DIV/0!</v>
      </c>
      <c r="G3" t="e">
        <f>IF(A3="","",SUM('Asset Allocation'!P3)/'Broad Asset Allocation'!B3)</f>
        <v>#DIV/0!</v>
      </c>
      <c r="H3" t="e">
        <f>IF(A3="","",SUM('Asset Allocation'!Q3,'Asset Allocation'!Z3,'Asset Allocation'!AK3)/'Broad Asset Allocation'!B3)</f>
        <v>#DIV/0!</v>
      </c>
    </row>
    <row r="4" spans="1:8" x14ac:dyDescent="0.25">
      <c r="A4" t="str">
        <f>IF(Input!A5="","",Input!A5)</f>
        <v>abrdn MPS - Portfolio 3</v>
      </c>
      <c r="B4" t="e">
        <f>IF(A4="","",SUM('Asset Allocation'!L4,'Asset Allocation'!AD4)/'Broad Asset Allocation'!B4)</f>
        <v>#DIV/0!</v>
      </c>
      <c r="C4" t="e">
        <f>IF(A4="","",SUM('Asset Allocation'!K4,'Asset Allocation'!AC4)/'Broad Asset Allocation'!B4)</f>
        <v>#DIV/0!</v>
      </c>
      <c r="D4" t="e">
        <f>IF(A4="","",SUM('Asset Allocation'!M4,'Asset Allocation'!AE4)/'Broad Asset Allocation'!B4)</f>
        <v>#DIV/0!</v>
      </c>
      <c r="E4" t="e">
        <f>IF(A4="","",SUM('Asset Allocation'!O4,'Asset Allocation'!AG4)/'Broad Asset Allocation'!B4)</f>
        <v>#DIV/0!</v>
      </c>
      <c r="F4" t="e">
        <f>IF(A4="","",SUM('Asset Allocation'!N4,'Asset Allocation'!AF4)/'Broad Asset Allocation'!B4)</f>
        <v>#DIV/0!</v>
      </c>
      <c r="G4" t="e">
        <f>IF(A4="","",SUM('Asset Allocation'!P4)/'Broad Asset Allocation'!B4)</f>
        <v>#DIV/0!</v>
      </c>
      <c r="H4" t="e">
        <f>IF(A4="","",SUM('Asset Allocation'!Q4,'Asset Allocation'!Z4,'Asset Allocation'!AK4)/'Broad Asset Allocation'!B4)</f>
        <v>#DIV/0!</v>
      </c>
    </row>
    <row r="5" spans="1:8" x14ac:dyDescent="0.25">
      <c r="A5" t="str">
        <f>IF(Input!A6="","",Input!A6)</f>
        <v>abrdn MPS - Portfolio 4</v>
      </c>
      <c r="B5" t="e">
        <f>IF(A5="","",SUM('Asset Allocation'!L5,'Asset Allocation'!AD5)/'Broad Asset Allocation'!B5)</f>
        <v>#DIV/0!</v>
      </c>
      <c r="C5" t="e">
        <f>IF(A5="","",SUM('Asset Allocation'!K5,'Asset Allocation'!AC5)/'Broad Asset Allocation'!B5)</f>
        <v>#DIV/0!</v>
      </c>
      <c r="D5" t="e">
        <f>IF(A5="","",SUM('Asset Allocation'!M5,'Asset Allocation'!AE5)/'Broad Asset Allocation'!B5)</f>
        <v>#DIV/0!</v>
      </c>
      <c r="E5" t="e">
        <f>IF(A5="","",SUM('Asset Allocation'!O5,'Asset Allocation'!AG5)/'Broad Asset Allocation'!B5)</f>
        <v>#DIV/0!</v>
      </c>
      <c r="F5" t="e">
        <f>IF(A5="","",SUM('Asset Allocation'!N5,'Asset Allocation'!AF5)/'Broad Asset Allocation'!B5)</f>
        <v>#DIV/0!</v>
      </c>
      <c r="G5" t="e">
        <f>IF(A5="","",SUM('Asset Allocation'!P5)/'Broad Asset Allocation'!B5)</f>
        <v>#DIV/0!</v>
      </c>
      <c r="H5" t="e">
        <f>IF(A5="","",SUM('Asset Allocation'!Q5,'Asset Allocation'!Z5,'Asset Allocation'!AK5)/'Broad Asset Allocation'!B5)</f>
        <v>#DIV/0!</v>
      </c>
    </row>
    <row r="6" spans="1:8" x14ac:dyDescent="0.25">
      <c r="A6" t="str">
        <f>IF(Input!A7="","",Input!A7)</f>
        <v>abrdn MPS - Portfolio 5</v>
      </c>
      <c r="B6" t="e">
        <f>IF(A6="","",SUM('Asset Allocation'!L6,'Asset Allocation'!AD6)/'Broad Asset Allocation'!B6)</f>
        <v>#DIV/0!</v>
      </c>
      <c r="C6" t="e">
        <f>IF(A6="","",SUM('Asset Allocation'!K6,'Asset Allocation'!AC6)/'Broad Asset Allocation'!B6)</f>
        <v>#DIV/0!</v>
      </c>
      <c r="D6" t="e">
        <f>IF(A6="","",SUM('Asset Allocation'!M6,'Asset Allocation'!AE6)/'Broad Asset Allocation'!B6)</f>
        <v>#DIV/0!</v>
      </c>
      <c r="E6" t="e">
        <f>IF(A6="","",SUM('Asset Allocation'!O6,'Asset Allocation'!AG6)/'Broad Asset Allocation'!B6)</f>
        <v>#DIV/0!</v>
      </c>
      <c r="F6" t="e">
        <f>IF(A6="","",SUM('Asset Allocation'!N6,'Asset Allocation'!AF6)/'Broad Asset Allocation'!B6)</f>
        <v>#DIV/0!</v>
      </c>
      <c r="G6" t="e">
        <f>IF(A6="","",SUM('Asset Allocation'!P6)/'Broad Asset Allocation'!B6)</f>
        <v>#DIV/0!</v>
      </c>
      <c r="H6" t="e">
        <f>IF(A6="","",SUM('Asset Allocation'!Q6,'Asset Allocation'!Z6,'Asset Allocation'!AK6)/'Broad Asset Allocation'!B6)</f>
        <v>#DIV/0!</v>
      </c>
    </row>
    <row r="7" spans="1:8" x14ac:dyDescent="0.25">
      <c r="A7" t="str">
        <f>IF(Input!A8="","",Input!A8)</f>
        <v>abrdn Index MPS - Portfolio 1</v>
      </c>
      <c r="B7">
        <f>IF(A7="","",SUM('Asset Allocation'!L7,'Asset Allocation'!AD7)/'Broad Asset Allocation'!B7)</f>
        <v>0.35787741670094608</v>
      </c>
      <c r="C7">
        <f>IF(A7="","",SUM('Asset Allocation'!K7,'Asset Allocation'!AC7)/'Broad Asset Allocation'!B7)</f>
        <v>0.20937885643767995</v>
      </c>
      <c r="D7">
        <f>IF(A7="","",SUM('Asset Allocation'!M7,'Asset Allocation'!AE7)/'Broad Asset Allocation'!B7)</f>
        <v>9.5022624434389136E-2</v>
      </c>
      <c r="E7">
        <f>IF(A7="","",SUM('Asset Allocation'!O7,'Asset Allocation'!AG7)/'Broad Asset Allocation'!B7)</f>
        <v>4.6894282188399826E-2</v>
      </c>
      <c r="F7">
        <f>IF(A7="","",SUM('Asset Allocation'!N7,'Asset Allocation'!AF7)/'Broad Asset Allocation'!B7)</f>
        <v>6.2114356232003287E-2</v>
      </c>
      <c r="G7">
        <f>IF(A7="","",SUM('Asset Allocation'!P7)/'Broad Asset Allocation'!B7)</f>
        <v>6.2525709584533115E-2</v>
      </c>
      <c r="H7">
        <f>IF(A7="","",SUM('Asset Allocation'!Q7,'Asset Allocation'!Z7,'Asset Allocation'!AK7)/'Broad Asset Allocation'!B7)</f>
        <v>0.16618675442204853</v>
      </c>
    </row>
    <row r="8" spans="1:8" x14ac:dyDescent="0.25">
      <c r="A8" t="str">
        <f>IF(Input!A9="","",Input!A9)</f>
        <v>abrdn Index MPS - Portfolio 2</v>
      </c>
      <c r="B8">
        <f>IF(A8="","",SUM('Asset Allocation'!L8,'Asset Allocation'!AD8)/'Broad Asset Allocation'!B8)</f>
        <v>0.38481012658227848</v>
      </c>
      <c r="C8">
        <f>IF(A8="","",SUM('Asset Allocation'!K8,'Asset Allocation'!AC8)/'Broad Asset Allocation'!B8)</f>
        <v>0.22554660529344076</v>
      </c>
      <c r="D8">
        <f>IF(A8="","",SUM('Asset Allocation'!M8,'Asset Allocation'!AE8)/'Broad Asset Allocation'!B8)</f>
        <v>0.10264672036823935</v>
      </c>
      <c r="E8">
        <f>IF(A8="","",SUM('Asset Allocation'!O8,'Asset Allocation'!AG8)/'Broad Asset Allocation'!B8)</f>
        <v>5.0632911392405069E-2</v>
      </c>
      <c r="F8">
        <f>IF(A8="","",SUM('Asset Allocation'!N8,'Asset Allocation'!AF8)/'Broad Asset Allocation'!B8)</f>
        <v>6.6973532796317611E-2</v>
      </c>
      <c r="G8">
        <f>IF(A8="","",SUM('Asset Allocation'!P8)/'Broad Asset Allocation'!B8)</f>
        <v>6.7203682393555814E-2</v>
      </c>
      <c r="H8">
        <f>IF(A8="","",SUM('Asset Allocation'!Q8,'Asset Allocation'!Z8,'Asset Allocation'!AK8)/'Broad Asset Allocation'!B8)</f>
        <v>0.10218642117376295</v>
      </c>
    </row>
    <row r="9" spans="1:8" x14ac:dyDescent="0.25">
      <c r="A9" t="str">
        <f>IF(Input!A10="","",Input!A10)</f>
        <v>abrdn Index MPS - Portfolio 3</v>
      </c>
      <c r="B9">
        <f>IF(A9="","",SUM('Asset Allocation'!L9,'Asset Allocation'!AD9)/'Broad Asset Allocation'!B9)</f>
        <v>0.38897396630934145</v>
      </c>
      <c r="C9">
        <f>IF(A9="","",SUM('Asset Allocation'!K9,'Asset Allocation'!AC9)/'Broad Asset Allocation'!B9)</f>
        <v>0.22800748681299979</v>
      </c>
      <c r="D9">
        <f>IF(A9="","",SUM('Asset Allocation'!M9,'Asset Allocation'!AE9)/'Broad Asset Allocation'!B9)</f>
        <v>0.10379445295218646</v>
      </c>
      <c r="E9">
        <f>IF(A9="","",SUM('Asset Allocation'!O9,'Asset Allocation'!AG9)/'Broad Asset Allocation'!B9)</f>
        <v>5.1046452271567115E-2</v>
      </c>
      <c r="F9">
        <f>IF(A9="","",SUM('Asset Allocation'!N9,'Asset Allocation'!AF9)/'Broad Asset Allocation'!B9)</f>
        <v>6.7891781521184275E-2</v>
      </c>
      <c r="G9">
        <f>IF(A9="","",SUM('Asset Allocation'!P9)/'Broad Asset Allocation'!B9)</f>
        <v>6.8061936362089487E-2</v>
      </c>
      <c r="H9">
        <f>IF(A9="","",SUM('Asset Allocation'!Q9,'Asset Allocation'!Z9,'Asset Allocation'!AK9)/'Broad Asset Allocation'!B9)</f>
        <v>9.2223923770631253E-2</v>
      </c>
    </row>
    <row r="10" spans="1:8" x14ac:dyDescent="0.25">
      <c r="A10" t="str">
        <f>IF(Input!A11="","",Input!A11)</f>
        <v>abrdn Index MPS - Portfolio 4</v>
      </c>
      <c r="B10">
        <f>IF(A10="","",SUM('Asset Allocation'!L10,'Asset Allocation'!AD10)/'Broad Asset Allocation'!B10)</f>
        <v>0.39467761154508141</v>
      </c>
      <c r="C10">
        <f>IF(A10="","",SUM('Asset Allocation'!K10,'Asset Allocation'!AC10)/'Broad Asset Allocation'!B10)</f>
        <v>0.23143121938302663</v>
      </c>
      <c r="D10">
        <f>IF(A10="","",SUM('Asset Allocation'!M10,'Asset Allocation'!AE10)/'Broad Asset Allocation'!B10)</f>
        <v>0.10512379187077982</v>
      </c>
      <c r="E10">
        <f>IF(A10="","",SUM('Asset Allocation'!O10,'Asset Allocation'!AG10)/'Broad Asset Allocation'!B10)</f>
        <v>5.1899907321594066E-2</v>
      </c>
      <c r="F10">
        <f>IF(A10="","",SUM('Asset Allocation'!N10,'Asset Allocation'!AF10)/'Broad Asset Allocation'!B10)</f>
        <v>6.8714418112008485E-2</v>
      </c>
      <c r="G10">
        <f>IF(A10="","",SUM('Asset Allocation'!P10)/'Broad Asset Allocation'!B10)</f>
        <v>6.8979213557526814E-2</v>
      </c>
      <c r="H10">
        <f>IF(A10="","",SUM('Asset Allocation'!Q10,'Asset Allocation'!Z10,'Asset Allocation'!AK10)/'Broad Asset Allocation'!B10)</f>
        <v>7.9173838209982805E-2</v>
      </c>
    </row>
    <row r="11" spans="1:8" x14ac:dyDescent="0.25">
      <c r="A11" t="str">
        <f>IF(Input!A12="","",Input!A12)</f>
        <v>abrdn Index MPS - Portfolio 5</v>
      </c>
      <c r="B11">
        <f>IF(A11="","",SUM('Asset Allocation'!L11,'Asset Allocation'!AD11)/'Broad Asset Allocation'!B11)</f>
        <v>0.39484004127966976</v>
      </c>
      <c r="C11">
        <f>IF(A11="","",SUM('Asset Allocation'!K11,'Asset Allocation'!AC11)/'Broad Asset Allocation'!B11)</f>
        <v>0.23147574819401445</v>
      </c>
      <c r="D11">
        <f>IF(A11="","",SUM('Asset Allocation'!M11,'Asset Allocation'!AE11)/'Broad Asset Allocation'!B11)</f>
        <v>0.10536635706914346</v>
      </c>
      <c r="E11">
        <f>IF(A11="","",SUM('Asset Allocation'!O11,'Asset Allocation'!AG11)/'Broad Asset Allocation'!B11)</f>
        <v>5.1909184726522194E-2</v>
      </c>
      <c r="F11">
        <f>IF(A11="","",SUM('Asset Allocation'!N11,'Asset Allocation'!AF11)/'Broad Asset Allocation'!B11)</f>
        <v>6.883384932920536E-2</v>
      </c>
      <c r="G11">
        <f>IF(A11="","",SUM('Asset Allocation'!P11)/'Broad Asset Allocation'!B11)</f>
        <v>6.9143446852425183E-2</v>
      </c>
      <c r="H11">
        <f>IF(A11="","",SUM('Asset Allocation'!Q11,'Asset Allocation'!Z11,'Asset Allocation'!AK11)/'Broad Asset Allocation'!B11)</f>
        <v>7.8431372549019607E-2</v>
      </c>
    </row>
    <row r="12" spans="1:8" x14ac:dyDescent="0.25">
      <c r="A12" t="str">
        <f>IF(Input!A13="","",Input!A13)</f>
        <v>Sustainable MPS - Portfolio 1</v>
      </c>
      <c r="B12">
        <f>IF(A12="","",SUM('Asset Allocation'!L12,'Asset Allocation'!AD12)/'Broad Asset Allocation'!B12)</f>
        <v>0</v>
      </c>
      <c r="C12">
        <f>IF(A12="","",SUM('Asset Allocation'!K12,'Asset Allocation'!AC12)/'Broad Asset Allocation'!B12)</f>
        <v>0.20109689213893966</v>
      </c>
      <c r="D12">
        <f>IF(A12="","",SUM('Asset Allocation'!M12,'Asset Allocation'!AE12)/'Broad Asset Allocation'!B12)</f>
        <v>0</v>
      </c>
      <c r="E12">
        <f>IF(A12="","",SUM('Asset Allocation'!O12,'Asset Allocation'!AG12)/'Broad Asset Allocation'!B12)</f>
        <v>0</v>
      </c>
      <c r="F12">
        <f>IF(A12="","",SUM('Asset Allocation'!N12,'Asset Allocation'!AF12)/'Broad Asset Allocation'!B12)</f>
        <v>0</v>
      </c>
      <c r="G12">
        <f>IF(A12="","",SUM('Asset Allocation'!P12)/'Broad Asset Allocation'!B12)</f>
        <v>0</v>
      </c>
      <c r="H12">
        <f>IF(A12="","",SUM('Asset Allocation'!Q12,'Asset Allocation'!Z12,'Asset Allocation'!AK12)/'Broad Asset Allocation'!B12)</f>
        <v>0.79890310786106034</v>
      </c>
    </row>
    <row r="13" spans="1:8" x14ac:dyDescent="0.25">
      <c r="A13" t="str">
        <f>IF(Input!A14="","",Input!A14)</f>
        <v>Sustainable MPS - Portfolio 2</v>
      </c>
      <c r="B13">
        <f>IF(A13="","",SUM('Asset Allocation'!L13,'Asset Allocation'!AD13)/'Broad Asset Allocation'!B13)</f>
        <v>0</v>
      </c>
      <c r="C13">
        <f>IF(A13="","",SUM('Asset Allocation'!K13,'Asset Allocation'!AC13)/'Broad Asset Allocation'!B13)</f>
        <v>0.20378203533217221</v>
      </c>
      <c r="D13">
        <f>IF(A13="","",SUM('Asset Allocation'!M13,'Asset Allocation'!AE13)/'Broad Asset Allocation'!B13)</f>
        <v>0</v>
      </c>
      <c r="E13">
        <f>IF(A13="","",SUM('Asset Allocation'!O13,'Asset Allocation'!AG13)/'Broad Asset Allocation'!B13)</f>
        <v>0</v>
      </c>
      <c r="F13">
        <f>IF(A13="","",SUM('Asset Allocation'!N13,'Asset Allocation'!AF13)/'Broad Asset Allocation'!B13)</f>
        <v>0</v>
      </c>
      <c r="G13">
        <f>IF(A13="","",SUM('Asset Allocation'!P13)/'Broad Asset Allocation'!B13)</f>
        <v>0</v>
      </c>
      <c r="H13">
        <f>IF(A13="","",SUM('Asset Allocation'!Q13,'Asset Allocation'!Z13,'Asset Allocation'!AK13)/'Broad Asset Allocation'!B13)</f>
        <v>0.7962179646678279</v>
      </c>
    </row>
    <row r="14" spans="1:8" x14ac:dyDescent="0.25">
      <c r="A14" t="str">
        <f>IF(Input!A15="","",Input!A15)</f>
        <v>Sustainable MPS - Portfolio 3</v>
      </c>
      <c r="B14">
        <f>IF(A14="","",SUM('Asset Allocation'!L14,'Asset Allocation'!AD14)/'Broad Asset Allocation'!B14)</f>
        <v>0</v>
      </c>
      <c r="C14">
        <f>IF(A14="","",SUM('Asset Allocation'!K14,'Asset Allocation'!AC14)/'Broad Asset Allocation'!B14)</f>
        <v>0.20150624540778841</v>
      </c>
      <c r="D14">
        <f>IF(A14="","",SUM('Asset Allocation'!M14,'Asset Allocation'!AE14)/'Broad Asset Allocation'!B14)</f>
        <v>0</v>
      </c>
      <c r="E14">
        <f>IF(A14="","",SUM('Asset Allocation'!O14,'Asset Allocation'!AG14)/'Broad Asset Allocation'!B14)</f>
        <v>0</v>
      </c>
      <c r="F14">
        <f>IF(A14="","",SUM('Asset Allocation'!N14,'Asset Allocation'!AF14)/'Broad Asset Allocation'!B14)</f>
        <v>0</v>
      </c>
      <c r="G14">
        <f>IF(A14="","",SUM('Asset Allocation'!P14)/'Broad Asset Allocation'!B14)</f>
        <v>0</v>
      </c>
      <c r="H14">
        <f>IF(A14="","",SUM('Asset Allocation'!Q14,'Asset Allocation'!Z14,'Asset Allocation'!AK14)/'Broad Asset Allocation'!B14)</f>
        <v>0.79849375459221161</v>
      </c>
    </row>
    <row r="15" spans="1:8" x14ac:dyDescent="0.25">
      <c r="A15" t="str">
        <f>IF(Input!A16="","",Input!A16)</f>
        <v>Sustainable MPS - Portfolio 4</v>
      </c>
      <c r="B15">
        <f>IF(A15="","",SUM('Asset Allocation'!L15,'Asset Allocation'!AD15)/'Broad Asset Allocation'!B15)</f>
        <v>0</v>
      </c>
      <c r="C15">
        <f>IF(A15="","",SUM('Asset Allocation'!K15,'Asset Allocation'!AC15)/'Broad Asset Allocation'!B15)</f>
        <v>0.20434047350620066</v>
      </c>
      <c r="D15">
        <f>IF(A15="","",SUM('Asset Allocation'!M15,'Asset Allocation'!AE15)/'Broad Asset Allocation'!B15)</f>
        <v>0</v>
      </c>
      <c r="E15">
        <f>IF(A15="","",SUM('Asset Allocation'!O15,'Asset Allocation'!AG15)/'Broad Asset Allocation'!B15)</f>
        <v>0</v>
      </c>
      <c r="F15">
        <f>IF(A15="","",SUM('Asset Allocation'!N15,'Asset Allocation'!AF15)/'Broad Asset Allocation'!B15)</f>
        <v>0</v>
      </c>
      <c r="G15">
        <f>IF(A15="","",SUM('Asset Allocation'!P15)/'Broad Asset Allocation'!B15)</f>
        <v>0</v>
      </c>
      <c r="H15">
        <f>IF(A15="","",SUM('Asset Allocation'!Q15,'Asset Allocation'!Z15,'Asset Allocation'!AK15)/'Broad Asset Allocation'!B15)</f>
        <v>0.79565952649379934</v>
      </c>
    </row>
    <row r="16" spans="1:8" x14ac:dyDescent="0.25">
      <c r="A16" t="str">
        <f>IF(Input!A17="","",Input!A17)</f>
        <v>Sustainable MPS - Portfolio 5</v>
      </c>
      <c r="B16">
        <f>IF(A16="","",SUM('Asset Allocation'!L16,'Asset Allocation'!AD16)/'Broad Asset Allocation'!B16)</f>
        <v>0</v>
      </c>
      <c r="C16">
        <f>IF(A16="","",SUM('Asset Allocation'!K16,'Asset Allocation'!AC16)/'Broad Asset Allocation'!B16)</f>
        <v>0.20714589536367506</v>
      </c>
      <c r="D16">
        <f>IF(A16="","",SUM('Asset Allocation'!M16,'Asset Allocation'!AE16)/'Broad Asset Allocation'!B16)</f>
        <v>0</v>
      </c>
      <c r="E16">
        <f>IF(A16="","",SUM('Asset Allocation'!O16,'Asset Allocation'!AG16)/'Broad Asset Allocation'!B16)</f>
        <v>0</v>
      </c>
      <c r="F16">
        <f>IF(A16="","",SUM('Asset Allocation'!N16,'Asset Allocation'!AF16)/'Broad Asset Allocation'!B16)</f>
        <v>0</v>
      </c>
      <c r="G16">
        <f>IF(A16="","",SUM('Asset Allocation'!P16)/'Broad Asset Allocation'!B16)</f>
        <v>0</v>
      </c>
      <c r="H16">
        <f>IF(A16="","",SUM('Asset Allocation'!Q16,'Asset Allocation'!Z16,'Asset Allocation'!AK16)/'Broad Asset Allocation'!B16)</f>
        <v>0.792854104636325</v>
      </c>
    </row>
    <row r="17" spans="1:8" x14ac:dyDescent="0.25">
      <c r="A17" t="str">
        <f>IF(Input!A18="","",Input!A18)</f>
        <v>Sustainable Index MPS - Portfolio 1</v>
      </c>
      <c r="B17">
        <f>IF(A17="","",SUM('Asset Allocation'!L17,'Asset Allocation'!AD17)/'Broad Asset Allocation'!B17)</f>
        <v>0.35593916974928069</v>
      </c>
      <c r="C17">
        <f>IF(A17="","",SUM('Asset Allocation'!K17,'Asset Allocation'!AC17)/'Broad Asset Allocation'!B17)</f>
        <v>0.20797369502671598</v>
      </c>
      <c r="D17">
        <f>IF(A17="","",SUM('Asset Allocation'!M17,'Asset Allocation'!AE17)/'Broad Asset Allocation'!B17)</f>
        <v>9.4944512946979032E-2</v>
      </c>
      <c r="E17">
        <f>IF(A17="","",SUM('Asset Allocation'!O17,'Asset Allocation'!AG17)/'Broad Asset Allocation'!B17)</f>
        <v>4.7266748869708178E-2</v>
      </c>
      <c r="F17">
        <f>IF(A17="","",SUM('Asset Allocation'!N17,'Asset Allocation'!AF17)/'Broad Asset Allocation'!B17)</f>
        <v>6.2885326757090007E-2</v>
      </c>
      <c r="G17">
        <f>IF(A17="","",SUM('Asset Allocation'!P17)/'Broad Asset Allocation'!B17)</f>
        <v>6.2474311549527331E-2</v>
      </c>
      <c r="H17">
        <f>IF(A17="","",SUM('Asset Allocation'!Q17,'Asset Allocation'!Z17,'Asset Allocation'!AK17)/'Broad Asset Allocation'!B17)</f>
        <v>0.16851623510069869</v>
      </c>
    </row>
    <row r="18" spans="1:8" x14ac:dyDescent="0.25">
      <c r="A18" t="str">
        <f>IF(Input!A19="","",Input!A19)</f>
        <v>Sustainable Index MPS - Portfolio 2</v>
      </c>
      <c r="B18">
        <f>IF(A18="","",SUM('Asset Allocation'!L18,'Asset Allocation'!AD18)/'Broad Asset Allocation'!B18)</f>
        <v>0.38417431192660556</v>
      </c>
      <c r="C18">
        <f>IF(A18="","",SUM('Asset Allocation'!K18,'Asset Allocation'!AC18)/'Broad Asset Allocation'!B18)</f>
        <v>0.22339449541284406</v>
      </c>
      <c r="D18">
        <f>IF(A18="","",SUM('Asset Allocation'!M18,'Asset Allocation'!AE18)/'Broad Asset Allocation'!B18)</f>
        <v>0.1022935779816514</v>
      </c>
      <c r="E18">
        <f>IF(A18="","",SUM('Asset Allocation'!O18,'Asset Allocation'!AG18)/'Broad Asset Allocation'!B18)</f>
        <v>5.1146788990825698E-2</v>
      </c>
      <c r="F18">
        <f>IF(A18="","",SUM('Asset Allocation'!N18,'Asset Allocation'!AF18)/'Broad Asset Allocation'!B18)</f>
        <v>6.6972477064220187E-2</v>
      </c>
      <c r="G18">
        <f>IF(A18="","",SUM('Asset Allocation'!P18)/'Broad Asset Allocation'!B18)</f>
        <v>6.7201834862385332E-2</v>
      </c>
      <c r="H18">
        <f>IF(A18="","",SUM('Asset Allocation'!Q18,'Asset Allocation'!Z18,'Asset Allocation'!AK18)/'Broad Asset Allocation'!B18)</f>
        <v>0.10481651376146792</v>
      </c>
    </row>
    <row r="19" spans="1:8" x14ac:dyDescent="0.25">
      <c r="A19" t="str">
        <f>IF(Input!A20="","",Input!A20)</f>
        <v>Sustainable Index MPS - Portfolio 3</v>
      </c>
      <c r="B19">
        <f>IF(A19="","",SUM('Asset Allocation'!L19,'Asset Allocation'!AD19)/'Broad Asset Allocation'!B19)</f>
        <v>0.38845500848896436</v>
      </c>
      <c r="C19">
        <f>IF(A19="","",SUM('Asset Allocation'!K19,'Asset Allocation'!AC19)/'Broad Asset Allocation'!B19)</f>
        <v>0.22597623089983024</v>
      </c>
      <c r="D19">
        <f>IF(A19="","",SUM('Asset Allocation'!M19,'Asset Allocation'!AE19)/'Broad Asset Allocation'!B19)</f>
        <v>0.10339558573853989</v>
      </c>
      <c r="E19">
        <f>IF(A19="","",SUM('Asset Allocation'!O19,'Asset Allocation'!AG19)/'Broad Asset Allocation'!B19)</f>
        <v>5.1612903225806452E-2</v>
      </c>
      <c r="F19">
        <f>IF(A19="","",SUM('Asset Allocation'!N19,'Asset Allocation'!AF19)/'Broad Asset Allocation'!B19)</f>
        <v>6.7911714770797965E-2</v>
      </c>
      <c r="G19">
        <f>IF(A19="","",SUM('Asset Allocation'!P19)/'Broad Asset Allocation'!B19)</f>
        <v>6.8081494057724956E-2</v>
      </c>
      <c r="H19">
        <f>IF(A19="","",SUM('Asset Allocation'!Q19,'Asset Allocation'!Z19,'Asset Allocation'!AK19)/'Broad Asset Allocation'!B19)</f>
        <v>9.456706281833617E-2</v>
      </c>
    </row>
    <row r="20" spans="1:8" x14ac:dyDescent="0.25">
      <c r="A20" t="str">
        <f>IF(Input!A21="","",Input!A21)</f>
        <v>Sustainable Index MPS - Portfolio 4</v>
      </c>
      <c r="B20">
        <f>IF(A20="","",SUM('Asset Allocation'!L20,'Asset Allocation'!AD20)/'Broad Asset Allocation'!B20)</f>
        <v>0.39464971526950071</v>
      </c>
      <c r="C20">
        <f>IF(A20="","",SUM('Asset Allocation'!K20,'Asset Allocation'!AC20)/'Broad Asset Allocation'!B20)</f>
        <v>0.22937359290160242</v>
      </c>
      <c r="D20">
        <f>IF(A20="","",SUM('Asset Allocation'!M20,'Asset Allocation'!AE20)/'Broad Asset Allocation'!B20)</f>
        <v>0.10422460601244869</v>
      </c>
      <c r="E20">
        <f>IF(A20="","",SUM('Asset Allocation'!O20,'Asset Allocation'!AG20)/'Broad Asset Allocation'!B20)</f>
        <v>5.2046086611044901E-2</v>
      </c>
      <c r="F20">
        <f>IF(A20="","",SUM('Asset Allocation'!N20,'Asset Allocation'!AF20)/'Broad Asset Allocation'!B20)</f>
        <v>6.8865050986624293E-2</v>
      </c>
      <c r="G20">
        <f>IF(A20="","",SUM('Asset Allocation'!P20)/'Broad Asset Allocation'!B20)</f>
        <v>6.9659647728777641E-2</v>
      </c>
      <c r="H20">
        <f>IF(A20="","",SUM('Asset Allocation'!Q20,'Asset Allocation'!Z20,'Asset Allocation'!AK20)/'Broad Asset Allocation'!B20)</f>
        <v>8.1181300490001329E-2</v>
      </c>
    </row>
    <row r="21" spans="1:8" x14ac:dyDescent="0.25">
      <c r="A21" t="str">
        <f>IF(Input!A22="","",Input!A22)</f>
        <v>Sustainable Index MPS - Portfolio 5</v>
      </c>
      <c r="B21">
        <f>IF(A21="","",SUM('Asset Allocation'!L21,'Asset Allocation'!AD21)/'Broad Asset Allocation'!B21)</f>
        <v>0.39391124871001032</v>
      </c>
      <c r="C21">
        <f>IF(A21="","",SUM('Asset Allocation'!K21,'Asset Allocation'!AC21)/'Broad Asset Allocation'!B21)</f>
        <v>0.23034055727554179</v>
      </c>
      <c r="D21">
        <f>IF(A21="","",SUM('Asset Allocation'!M21,'Asset Allocation'!AE21)/'Broad Asset Allocation'!B21)</f>
        <v>0.10505675954592363</v>
      </c>
      <c r="E21">
        <f>IF(A21="","",SUM('Asset Allocation'!O21,'Asset Allocation'!AG21)/'Broad Asset Allocation'!B21)</f>
        <v>5.2321981424148602E-2</v>
      </c>
      <c r="F21">
        <f>IF(A21="","",SUM('Asset Allocation'!N21,'Asset Allocation'!AF21)/'Broad Asset Allocation'!B21)</f>
        <v>6.9556243550051591E-2</v>
      </c>
      <c r="G21">
        <f>IF(A21="","",SUM('Asset Allocation'!P21)/'Broad Asset Allocation'!B21)</f>
        <v>6.9143446852425183E-2</v>
      </c>
      <c r="H21">
        <f>IF(A21="","",SUM('Asset Allocation'!Q21,'Asset Allocation'!Z21,'Asset Allocation'!AK21)/'Broad Asset Allocation'!B21)</f>
        <v>7.9669762641898845E-2</v>
      </c>
    </row>
    <row r="22" spans="1:8" x14ac:dyDescent="0.25">
      <c r="A22" t="str">
        <f>IF(Input!A23="","",Input!A23)</f>
        <v/>
      </c>
      <c r="B22" t="str">
        <f>IF(A22="","",SUM('Asset Allocation'!L22,'Asset Allocation'!AD22)/'Broad Asset Allocation'!B22)</f>
        <v/>
      </c>
      <c r="C22" t="str">
        <f>IF(A22="","",SUM('Asset Allocation'!K22,'Asset Allocation'!AC22)/'Broad Asset Allocation'!B22)</f>
        <v/>
      </c>
      <c r="D22" t="str">
        <f>IF(A22="","",SUM('Asset Allocation'!M22,'Asset Allocation'!AE22)/'Broad Asset Allocation'!B22)</f>
        <v/>
      </c>
      <c r="E22" t="str">
        <f>IF(A22="","",SUM('Asset Allocation'!O22,'Asset Allocation'!AG22)/'Broad Asset Allocation'!B22)</f>
        <v/>
      </c>
      <c r="F22" t="str">
        <f>IF(A22="","",SUM('Asset Allocation'!N22,'Asset Allocation'!AF22)/'Broad Asset Allocation'!B22)</f>
        <v/>
      </c>
      <c r="G22" t="str">
        <f>IF(A22="","",SUM('Asset Allocation'!P22)/'Broad Asset Allocation'!B22)</f>
        <v/>
      </c>
      <c r="H22" t="str">
        <f>IF(A22="","",SUM('Asset Allocation'!Q22,'Asset Allocation'!Z22,'Asset Allocation'!AK22)/'Broad Asset Allocation'!B22)</f>
        <v/>
      </c>
    </row>
    <row r="23" spans="1:8" x14ac:dyDescent="0.25">
      <c r="A23" t="str">
        <f>IF(Input!A24="","",Input!A24)</f>
        <v/>
      </c>
      <c r="B23" t="str">
        <f>IF(A23="","",SUM('Asset Allocation'!L23,'Asset Allocation'!AD23)/'Broad Asset Allocation'!B23)</f>
        <v/>
      </c>
      <c r="C23" t="str">
        <f>IF(A23="","",SUM('Asset Allocation'!K23,'Asset Allocation'!AC23)/'Broad Asset Allocation'!B23)</f>
        <v/>
      </c>
      <c r="D23" t="str">
        <f>IF(A23="","",SUM('Asset Allocation'!M23,'Asset Allocation'!AE23)/'Broad Asset Allocation'!B23)</f>
        <v/>
      </c>
      <c r="E23" t="str">
        <f>IF(A23="","",SUM('Asset Allocation'!O23,'Asset Allocation'!AG23)/'Broad Asset Allocation'!B23)</f>
        <v/>
      </c>
      <c r="F23" t="str">
        <f>IF(A23="","",SUM('Asset Allocation'!N23,'Asset Allocation'!AF23)/'Broad Asset Allocation'!B23)</f>
        <v/>
      </c>
      <c r="G23" t="str">
        <f>IF(A23="","",SUM('Asset Allocation'!P23)/'Broad Asset Allocation'!B23)</f>
        <v/>
      </c>
      <c r="H23" t="str">
        <f>IF(A23="","",SUM('Asset Allocation'!Q23,'Asset Allocation'!Z23,'Asset Allocation'!AK23)/'Broad Asset Allocation'!B23)</f>
        <v/>
      </c>
    </row>
    <row r="24" spans="1:8" x14ac:dyDescent="0.25">
      <c r="A24" t="str">
        <f>IF(Input!A25="","",Input!A25)</f>
        <v/>
      </c>
      <c r="B24" t="str">
        <f>IF(A24="","",SUM('Asset Allocation'!L24,'Asset Allocation'!AD24)/'Broad Asset Allocation'!B24)</f>
        <v/>
      </c>
      <c r="C24" t="str">
        <f>IF(A24="","",SUM('Asset Allocation'!K24,'Asset Allocation'!AC24)/'Broad Asset Allocation'!B24)</f>
        <v/>
      </c>
      <c r="D24" t="str">
        <f>IF(A24="","",SUM('Asset Allocation'!M24,'Asset Allocation'!AE24)/'Broad Asset Allocation'!B24)</f>
        <v/>
      </c>
      <c r="E24" t="str">
        <f>IF(A24="","",SUM('Asset Allocation'!O24,'Asset Allocation'!AG24)/'Broad Asset Allocation'!B24)</f>
        <v/>
      </c>
      <c r="F24" t="str">
        <f>IF(A24="","",SUM('Asset Allocation'!N24,'Asset Allocation'!AF24)/'Broad Asset Allocation'!B24)</f>
        <v/>
      </c>
      <c r="G24" t="str">
        <f>IF(A24="","",SUM('Asset Allocation'!P24)/'Broad Asset Allocation'!B24)</f>
        <v/>
      </c>
      <c r="H24" t="str">
        <f>IF(A24="","",SUM('Asset Allocation'!Q24,'Asset Allocation'!Z24,'Asset Allocation'!AK24)/'Broad Asset Allocation'!B24)</f>
        <v/>
      </c>
    </row>
    <row r="25" spans="1:8" x14ac:dyDescent="0.25">
      <c r="A25" t="str">
        <f>IF(Input!A26="","",Input!A26)</f>
        <v/>
      </c>
      <c r="B25" t="str">
        <f>IF(A25="","",SUM('Asset Allocation'!L25,'Asset Allocation'!AD25)/'Broad Asset Allocation'!B25)</f>
        <v/>
      </c>
      <c r="C25" t="str">
        <f>IF(A25="","",SUM('Asset Allocation'!K25,'Asset Allocation'!AC25)/'Broad Asset Allocation'!B25)</f>
        <v/>
      </c>
      <c r="D25" t="str">
        <f>IF(A25="","",SUM('Asset Allocation'!M25,'Asset Allocation'!AE25)/'Broad Asset Allocation'!B25)</f>
        <v/>
      </c>
      <c r="E25" t="str">
        <f>IF(A25="","",SUM('Asset Allocation'!O25,'Asset Allocation'!AG25)/'Broad Asset Allocation'!B25)</f>
        <v/>
      </c>
      <c r="F25" t="str">
        <f>IF(A25="","",SUM('Asset Allocation'!N25,'Asset Allocation'!AF25)/'Broad Asset Allocation'!B25)</f>
        <v/>
      </c>
      <c r="G25" t="str">
        <f>IF(A25="","",SUM('Asset Allocation'!P25)/'Broad Asset Allocation'!B25)</f>
        <v/>
      </c>
      <c r="H25" t="str">
        <f>IF(A25="","",SUM('Asset Allocation'!Q25,'Asset Allocation'!Z25,'Asset Allocation'!AK25)/'Broad Asset Allocation'!B25)</f>
        <v/>
      </c>
    </row>
    <row r="26" spans="1:8" x14ac:dyDescent="0.25">
      <c r="A26" t="str">
        <f>IF(Input!A27="","",Input!A27)</f>
        <v/>
      </c>
      <c r="B26" t="str">
        <f>IF(A26="","",SUM('Asset Allocation'!L26,'Asset Allocation'!AD26)/'Broad Asset Allocation'!B26)</f>
        <v/>
      </c>
      <c r="C26" t="str">
        <f>IF(A26="","",SUM('Asset Allocation'!K26,'Asset Allocation'!AC26)/'Broad Asset Allocation'!B26)</f>
        <v/>
      </c>
      <c r="D26" t="str">
        <f>IF(A26="","",SUM('Asset Allocation'!M26,'Asset Allocation'!AE26)/'Broad Asset Allocation'!B26)</f>
        <v/>
      </c>
      <c r="E26" t="str">
        <f>IF(A26="","",SUM('Asset Allocation'!O26,'Asset Allocation'!AG26)/'Broad Asset Allocation'!B26)</f>
        <v/>
      </c>
      <c r="F26" t="str">
        <f>IF(A26="","",SUM('Asset Allocation'!N26,'Asset Allocation'!AF26)/'Broad Asset Allocation'!B26)</f>
        <v/>
      </c>
      <c r="G26" t="str">
        <f>IF(A26="","",SUM('Asset Allocation'!P26)/'Broad Asset Allocation'!B26)</f>
        <v/>
      </c>
      <c r="H26" t="str">
        <f>IF(A26="","",SUM('Asset Allocation'!Q26,'Asset Allocation'!Z26,'Asset Allocation'!AK26)/'Broad Asset Allocation'!B26)</f>
        <v/>
      </c>
    </row>
    <row r="27" spans="1:8" x14ac:dyDescent="0.25">
      <c r="A27" t="str">
        <f>IF(Input!A28="","",Input!A28)</f>
        <v/>
      </c>
      <c r="B27" t="str">
        <f>IF(A27="","",SUM('Asset Allocation'!L27,'Asset Allocation'!AD27)/'Broad Asset Allocation'!B27)</f>
        <v/>
      </c>
      <c r="C27" t="str">
        <f>IF(A27="","",SUM('Asset Allocation'!K27,'Asset Allocation'!AC27)/'Broad Asset Allocation'!B27)</f>
        <v/>
      </c>
      <c r="D27" t="str">
        <f>IF(A27="","",SUM('Asset Allocation'!M27,'Asset Allocation'!AE27)/'Broad Asset Allocation'!B27)</f>
        <v/>
      </c>
      <c r="E27" t="str">
        <f>IF(A27="","",SUM('Asset Allocation'!O27,'Asset Allocation'!AG27)/'Broad Asset Allocation'!B27)</f>
        <v/>
      </c>
      <c r="F27" t="str">
        <f>IF(A27="","",SUM('Asset Allocation'!N27,'Asset Allocation'!AF27)/'Broad Asset Allocation'!B27)</f>
        <v/>
      </c>
      <c r="G27" t="str">
        <f>IF(A27="","",SUM('Asset Allocation'!P27)/'Broad Asset Allocation'!B27)</f>
        <v/>
      </c>
      <c r="H27" t="str">
        <f>IF(A27="","",SUM('Asset Allocation'!Q27,'Asset Allocation'!Z27,'Asset Allocation'!AK27)/'Broad Asset Allocation'!B27)</f>
        <v/>
      </c>
    </row>
    <row r="28" spans="1:8" x14ac:dyDescent="0.25">
      <c r="A28" t="str">
        <f>IF(Input!A29="","",Input!A29)</f>
        <v/>
      </c>
      <c r="B28" t="str">
        <f>IF(A28="","",SUM('Asset Allocation'!L28,'Asset Allocation'!AD28)/'Broad Asset Allocation'!B28)</f>
        <v/>
      </c>
      <c r="C28" t="str">
        <f>IF(A28="","",SUM('Asset Allocation'!K28,'Asset Allocation'!AC28)/'Broad Asset Allocation'!B28)</f>
        <v/>
      </c>
      <c r="D28" t="str">
        <f>IF(A28="","",SUM('Asset Allocation'!M28,'Asset Allocation'!AE28)/'Broad Asset Allocation'!B28)</f>
        <v/>
      </c>
      <c r="E28" t="str">
        <f>IF(A28="","",SUM('Asset Allocation'!O28,'Asset Allocation'!AG28)/'Broad Asset Allocation'!B28)</f>
        <v/>
      </c>
      <c r="F28" t="str">
        <f>IF(A28="","",SUM('Asset Allocation'!N28,'Asset Allocation'!AF28)/'Broad Asset Allocation'!B28)</f>
        <v/>
      </c>
      <c r="G28" t="str">
        <f>IF(A28="","",SUM('Asset Allocation'!P28)/'Broad Asset Allocation'!B28)</f>
        <v/>
      </c>
      <c r="H28" t="str">
        <f>IF(A28="","",SUM('Asset Allocation'!Q28,'Asset Allocation'!Z28,'Asset Allocation'!AK28)/'Broad Asset Allocation'!B28)</f>
        <v/>
      </c>
    </row>
    <row r="29" spans="1:8" x14ac:dyDescent="0.25">
      <c r="A29" t="str">
        <f>IF(Input!A30="","",Input!A30)</f>
        <v/>
      </c>
      <c r="B29" t="str">
        <f>IF(A29="","",SUM('Asset Allocation'!L29,'Asset Allocation'!AD29)/'Broad Asset Allocation'!B29)</f>
        <v/>
      </c>
      <c r="C29" t="str">
        <f>IF(A29="","",SUM('Asset Allocation'!K29,'Asset Allocation'!AC29)/'Broad Asset Allocation'!B29)</f>
        <v/>
      </c>
      <c r="D29" t="str">
        <f>IF(A29="","",SUM('Asset Allocation'!M29,'Asset Allocation'!AE29)/'Broad Asset Allocation'!B29)</f>
        <v/>
      </c>
      <c r="E29" t="str">
        <f>IF(A29="","",SUM('Asset Allocation'!O29,'Asset Allocation'!AG29)/'Broad Asset Allocation'!B29)</f>
        <v/>
      </c>
      <c r="F29" t="str">
        <f>IF(A29="","",SUM('Asset Allocation'!N29,'Asset Allocation'!AF29)/'Broad Asset Allocation'!B29)</f>
        <v/>
      </c>
      <c r="G29" t="str">
        <f>IF(A29="","",SUM('Asset Allocation'!P29)/'Broad Asset Allocation'!B29)</f>
        <v/>
      </c>
      <c r="H29" t="str">
        <f>IF(A29="","",SUM('Asset Allocation'!Q29,'Asset Allocation'!Z29,'Asset Allocation'!AK29)/'Broad Asset Allocation'!B29)</f>
        <v/>
      </c>
    </row>
    <row r="30" spans="1:8" x14ac:dyDescent="0.25">
      <c r="A30" t="str">
        <f>IF(Input!A31="","",Input!A31)</f>
        <v/>
      </c>
      <c r="B30" t="str">
        <f>IF(A30="","",SUM('Asset Allocation'!L30,'Asset Allocation'!AD30)/'Broad Asset Allocation'!B30)</f>
        <v/>
      </c>
      <c r="C30" t="str">
        <f>IF(A30="","",SUM('Asset Allocation'!K30,'Asset Allocation'!AC30)/'Broad Asset Allocation'!B30)</f>
        <v/>
      </c>
      <c r="D30" t="str">
        <f>IF(A30="","",SUM('Asset Allocation'!M30,'Asset Allocation'!AE30)/'Broad Asset Allocation'!B30)</f>
        <v/>
      </c>
      <c r="E30" t="str">
        <f>IF(A30="","",SUM('Asset Allocation'!O30,'Asset Allocation'!AG30)/'Broad Asset Allocation'!B30)</f>
        <v/>
      </c>
      <c r="F30" t="str">
        <f>IF(A30="","",SUM('Asset Allocation'!N30,'Asset Allocation'!AF30)/'Broad Asset Allocation'!B30)</f>
        <v/>
      </c>
      <c r="G30" t="str">
        <f>IF(A30="","",SUM('Asset Allocation'!P30)/'Broad Asset Allocation'!B30)</f>
        <v/>
      </c>
      <c r="H30" t="str">
        <f>IF(A30="","",SUM('Asset Allocation'!Q30,'Asset Allocation'!Z30,'Asset Allocation'!AK30)/'Broad Asset Allocation'!B30)</f>
        <v/>
      </c>
    </row>
    <row r="31" spans="1:8" x14ac:dyDescent="0.25">
      <c r="A31" t="str">
        <f>IF(Input!A32="","",Input!A32)</f>
        <v/>
      </c>
      <c r="B31" t="str">
        <f>IF(A31="","",SUM('Asset Allocation'!L31,'Asset Allocation'!AD31)/'Broad Asset Allocation'!B31)</f>
        <v/>
      </c>
      <c r="C31" t="str">
        <f>IF(A31="","",SUM('Asset Allocation'!K31,'Asset Allocation'!AC31)/'Broad Asset Allocation'!B31)</f>
        <v/>
      </c>
      <c r="D31" t="str">
        <f>IF(A31="","",SUM('Asset Allocation'!M31,'Asset Allocation'!AE31)/'Broad Asset Allocation'!B31)</f>
        <v/>
      </c>
      <c r="E31" t="str">
        <f>IF(A31="","",SUM('Asset Allocation'!O31,'Asset Allocation'!AG31)/'Broad Asset Allocation'!B31)</f>
        <v/>
      </c>
      <c r="F31" t="str">
        <f>IF(A31="","",SUM('Asset Allocation'!N31,'Asset Allocation'!AF31)/'Broad Asset Allocation'!B31)</f>
        <v/>
      </c>
      <c r="G31" t="str">
        <f>IF(A31="","",SUM('Asset Allocation'!P31)/'Broad Asset Allocation'!B31)</f>
        <v/>
      </c>
      <c r="H31" t="str">
        <f>IF(A31="","",SUM('Asset Allocation'!Q31,'Asset Allocation'!Z31,'Asset Allocation'!AK31)/'Broad Asset Allocation'!B31)</f>
        <v/>
      </c>
    </row>
    <row r="32" spans="1:8" x14ac:dyDescent="0.25">
      <c r="A32" t="str">
        <f>IF(Input!A33="","",Input!A33)</f>
        <v/>
      </c>
      <c r="B32" t="str">
        <f>IF(A32="","",SUM('Asset Allocation'!L32,'Asset Allocation'!AD32)/'Broad Asset Allocation'!B32)</f>
        <v/>
      </c>
      <c r="C32" t="str">
        <f>IF(A32="","",SUM('Asset Allocation'!K32,'Asset Allocation'!AC32)/'Broad Asset Allocation'!B32)</f>
        <v/>
      </c>
      <c r="D32" t="str">
        <f>IF(A32="","",SUM('Asset Allocation'!M32,'Asset Allocation'!AE32)/'Broad Asset Allocation'!B32)</f>
        <v/>
      </c>
      <c r="E32" t="str">
        <f>IF(A32="","",SUM('Asset Allocation'!O32,'Asset Allocation'!AG32)/'Broad Asset Allocation'!B32)</f>
        <v/>
      </c>
      <c r="F32" t="str">
        <f>IF(A32="","",SUM('Asset Allocation'!N32,'Asset Allocation'!AF32)/'Broad Asset Allocation'!B32)</f>
        <v/>
      </c>
      <c r="G32" t="str">
        <f>IF(A32="","",SUM('Asset Allocation'!P32)/'Broad Asset Allocation'!B32)</f>
        <v/>
      </c>
      <c r="H32" t="str">
        <f>IF(A32="","",SUM('Asset Allocation'!Q32,'Asset Allocation'!Z32,'Asset Allocation'!AK32)/'Broad Asset Allocation'!B32)</f>
        <v/>
      </c>
    </row>
    <row r="33" spans="1:8" x14ac:dyDescent="0.25">
      <c r="A33" t="str">
        <f>IF(Input!A34="","",Input!A34)</f>
        <v/>
      </c>
      <c r="B33" t="str">
        <f>IF(A33="","",SUM('Asset Allocation'!L33,'Asset Allocation'!AD33)/'Broad Asset Allocation'!B33)</f>
        <v/>
      </c>
      <c r="C33" t="str">
        <f>IF(A33="","",SUM('Asset Allocation'!K33,'Asset Allocation'!AC33)/'Broad Asset Allocation'!B33)</f>
        <v/>
      </c>
      <c r="D33" t="str">
        <f>IF(A33="","",SUM('Asset Allocation'!M33,'Asset Allocation'!AE33)/'Broad Asset Allocation'!B33)</f>
        <v/>
      </c>
      <c r="E33" t="str">
        <f>IF(A33="","",SUM('Asset Allocation'!O33,'Asset Allocation'!AG33)/'Broad Asset Allocation'!B33)</f>
        <v/>
      </c>
      <c r="F33" t="str">
        <f>IF(A33="","",SUM('Asset Allocation'!N33,'Asset Allocation'!AF33)/'Broad Asset Allocation'!B33)</f>
        <v/>
      </c>
      <c r="G33" t="str">
        <f>IF(A33="","",SUM('Asset Allocation'!P33)/'Broad Asset Allocation'!B33)</f>
        <v/>
      </c>
      <c r="H33" t="str">
        <f>IF(A33="","",SUM('Asset Allocation'!Q33,'Asset Allocation'!Z33,'Asset Allocation'!AK33)/'Broad Asset Allocation'!B33)</f>
        <v/>
      </c>
    </row>
    <row r="34" spans="1:8" x14ac:dyDescent="0.25">
      <c r="A34" t="str">
        <f>IF(Input!A35="","",Input!A35)</f>
        <v/>
      </c>
      <c r="B34" t="str">
        <f>IF(A34="","",SUM('Asset Allocation'!L34,'Asset Allocation'!AD34)/'Broad Asset Allocation'!B34)</f>
        <v/>
      </c>
      <c r="C34" t="str">
        <f>IF(A34="","",SUM('Asset Allocation'!K34,'Asset Allocation'!AC34)/'Broad Asset Allocation'!B34)</f>
        <v/>
      </c>
      <c r="D34" t="str">
        <f>IF(A34="","",SUM('Asset Allocation'!M34,'Asset Allocation'!AE34)/'Broad Asset Allocation'!B34)</f>
        <v/>
      </c>
      <c r="E34" t="str">
        <f>IF(A34="","",SUM('Asset Allocation'!O34,'Asset Allocation'!AG34)/'Broad Asset Allocation'!B34)</f>
        <v/>
      </c>
      <c r="F34" t="str">
        <f>IF(A34="","",SUM('Asset Allocation'!N34,'Asset Allocation'!AF34)/'Broad Asset Allocation'!B34)</f>
        <v/>
      </c>
      <c r="G34" t="str">
        <f>IF(A34="","",SUM('Asset Allocation'!P34)/'Broad Asset Allocation'!B34)</f>
        <v/>
      </c>
      <c r="H34" t="str">
        <f>IF(A34="","",SUM('Asset Allocation'!Q34,'Asset Allocation'!Z34,'Asset Allocation'!AK34)/'Broad Asset Allocation'!B34)</f>
        <v/>
      </c>
    </row>
    <row r="35" spans="1:8" x14ac:dyDescent="0.25">
      <c r="A35" t="str">
        <f>IF(Input!A36="","",Input!A36)</f>
        <v/>
      </c>
      <c r="B35" t="str">
        <f>IF(A35="","",SUM('Asset Allocation'!L35,'Asset Allocation'!AD35)/'Broad Asset Allocation'!B35)</f>
        <v/>
      </c>
      <c r="C35" t="str">
        <f>IF(A35="","",SUM('Asset Allocation'!K35,'Asset Allocation'!AC35)/'Broad Asset Allocation'!B35)</f>
        <v/>
      </c>
      <c r="D35" t="str">
        <f>IF(A35="","",SUM('Asset Allocation'!M35,'Asset Allocation'!AE35)/'Broad Asset Allocation'!B35)</f>
        <v/>
      </c>
      <c r="E35" t="str">
        <f>IF(A35="","",SUM('Asset Allocation'!O35,'Asset Allocation'!AG35)/'Broad Asset Allocation'!B35)</f>
        <v/>
      </c>
      <c r="F35" t="str">
        <f>IF(A35="","",SUM('Asset Allocation'!N35,'Asset Allocation'!AF35)/'Broad Asset Allocation'!B35)</f>
        <v/>
      </c>
      <c r="G35" t="str">
        <f>IF(A35="","",SUM('Asset Allocation'!P35)/'Broad Asset Allocation'!B35)</f>
        <v/>
      </c>
      <c r="H35" t="str">
        <f>IF(A35="","",SUM('Asset Allocation'!Q35,'Asset Allocation'!Z35,'Asset Allocation'!AK35)/'Broad Asset Allocation'!B35)</f>
        <v/>
      </c>
    </row>
    <row r="36" spans="1:8" x14ac:dyDescent="0.25">
      <c r="A36" t="str">
        <f>IF(Input!A37="","",Input!A37)</f>
        <v/>
      </c>
      <c r="B36" t="str">
        <f>IF(A36="","",SUM('Asset Allocation'!L36,'Asset Allocation'!AD36)/'Broad Asset Allocation'!B36)</f>
        <v/>
      </c>
      <c r="C36" t="str">
        <f>IF(A36="","",SUM('Asset Allocation'!K36,'Asset Allocation'!AC36)/'Broad Asset Allocation'!B36)</f>
        <v/>
      </c>
      <c r="D36" t="str">
        <f>IF(A36="","",SUM('Asset Allocation'!M36,'Asset Allocation'!AE36)/'Broad Asset Allocation'!B36)</f>
        <v/>
      </c>
      <c r="E36" t="str">
        <f>IF(A36="","",SUM('Asset Allocation'!O36,'Asset Allocation'!AG36)/'Broad Asset Allocation'!B36)</f>
        <v/>
      </c>
      <c r="F36" t="str">
        <f>IF(A36="","",SUM('Asset Allocation'!N36,'Asset Allocation'!AF36)/'Broad Asset Allocation'!B36)</f>
        <v/>
      </c>
      <c r="G36" t="str">
        <f>IF(A36="","",SUM('Asset Allocation'!P36)/'Broad Asset Allocation'!B36)</f>
        <v/>
      </c>
      <c r="H36" t="str">
        <f>IF(A36="","",SUM('Asset Allocation'!Q36,'Asset Allocation'!Z36,'Asset Allocation'!AK36)/'Broad Asset Allocation'!B36)</f>
        <v/>
      </c>
    </row>
    <row r="37" spans="1:8" x14ac:dyDescent="0.25">
      <c r="A37" t="str">
        <f>IF(Input!A38="","",Input!A38)</f>
        <v/>
      </c>
      <c r="B37" t="str">
        <f>IF(A37="","",SUM('Asset Allocation'!L37,'Asset Allocation'!AD37)/'Broad Asset Allocation'!B37)</f>
        <v/>
      </c>
      <c r="C37" t="str">
        <f>IF(A37="","",SUM('Asset Allocation'!K37,'Asset Allocation'!AC37)/'Broad Asset Allocation'!B37)</f>
        <v/>
      </c>
      <c r="D37" t="str">
        <f>IF(A37="","",SUM('Asset Allocation'!M37,'Asset Allocation'!AE37)/'Broad Asset Allocation'!B37)</f>
        <v/>
      </c>
      <c r="E37" t="str">
        <f>IF(A37="","",SUM('Asset Allocation'!O37,'Asset Allocation'!AG37)/'Broad Asset Allocation'!B37)</f>
        <v/>
      </c>
      <c r="F37" t="str">
        <f>IF(A37="","",SUM('Asset Allocation'!N37,'Asset Allocation'!AF37)/'Broad Asset Allocation'!B37)</f>
        <v/>
      </c>
      <c r="G37" t="str">
        <f>IF(A37="","",SUM('Asset Allocation'!P37)/'Broad Asset Allocation'!B37)</f>
        <v/>
      </c>
      <c r="H37" t="str">
        <f>IF(A37="","",SUM('Asset Allocation'!Q37,'Asset Allocation'!Z37,'Asset Allocation'!AK37)/'Broad Asset Allocation'!B37)</f>
        <v/>
      </c>
    </row>
    <row r="38" spans="1:8" x14ac:dyDescent="0.25">
      <c r="A38" t="str">
        <f>IF(Input!A39="","",Input!A39)</f>
        <v/>
      </c>
      <c r="B38" t="str">
        <f>IF(A38="","",SUM('Asset Allocation'!L38,'Asset Allocation'!AD38)/'Broad Asset Allocation'!B38)</f>
        <v/>
      </c>
      <c r="C38" t="str">
        <f>IF(A38="","",SUM('Asset Allocation'!K38,'Asset Allocation'!AC38)/'Broad Asset Allocation'!B38)</f>
        <v/>
      </c>
      <c r="D38" t="str">
        <f>IF(A38="","",SUM('Asset Allocation'!M38,'Asset Allocation'!AE38)/'Broad Asset Allocation'!B38)</f>
        <v/>
      </c>
      <c r="E38" t="str">
        <f>IF(A38="","",SUM('Asset Allocation'!O38,'Asset Allocation'!AG38)/'Broad Asset Allocation'!B38)</f>
        <v/>
      </c>
      <c r="F38" t="str">
        <f>IF(A38="","",SUM('Asset Allocation'!N38,'Asset Allocation'!AF38)/'Broad Asset Allocation'!B38)</f>
        <v/>
      </c>
      <c r="G38" t="str">
        <f>IF(A38="","",SUM('Asset Allocation'!P38)/'Broad Asset Allocation'!B38)</f>
        <v/>
      </c>
      <c r="H38" t="str">
        <f>IF(A38="","",SUM('Asset Allocation'!Q38,'Asset Allocation'!Z38,'Asset Allocation'!AK38)/'Broad Asset Allocation'!B38)</f>
        <v/>
      </c>
    </row>
    <row r="39" spans="1:8" x14ac:dyDescent="0.25">
      <c r="A39" t="str">
        <f>IF(Input!A40="","",Input!A40)</f>
        <v/>
      </c>
      <c r="B39" t="str">
        <f>IF(A39="","",SUM('Asset Allocation'!L39,'Asset Allocation'!AD39)/'Broad Asset Allocation'!B39)</f>
        <v/>
      </c>
      <c r="C39" t="str">
        <f>IF(A39="","",SUM('Asset Allocation'!K39,'Asset Allocation'!AC39)/'Broad Asset Allocation'!B39)</f>
        <v/>
      </c>
      <c r="D39" t="str">
        <f>IF(A39="","",SUM('Asset Allocation'!M39,'Asset Allocation'!AE39)/'Broad Asset Allocation'!B39)</f>
        <v/>
      </c>
      <c r="E39" t="str">
        <f>IF(A39="","",SUM('Asset Allocation'!O39,'Asset Allocation'!AG39)/'Broad Asset Allocation'!B39)</f>
        <v/>
      </c>
      <c r="F39" t="str">
        <f>IF(A39="","",SUM('Asset Allocation'!N39,'Asset Allocation'!AF39)/'Broad Asset Allocation'!B39)</f>
        <v/>
      </c>
      <c r="G39" t="str">
        <f>IF(A39="","",SUM('Asset Allocation'!P39)/'Broad Asset Allocation'!B39)</f>
        <v/>
      </c>
      <c r="H39" t="str">
        <f>IF(A39="","",SUM('Asset Allocation'!Q39,'Asset Allocation'!Z39,'Asset Allocation'!AK39)/'Broad Asset Allocation'!B39)</f>
        <v/>
      </c>
    </row>
    <row r="40" spans="1:8" x14ac:dyDescent="0.25">
      <c r="A40" t="str">
        <f>IF(Input!A41="","",Input!A41)</f>
        <v/>
      </c>
      <c r="B40" t="str">
        <f>IF(A40="","",SUM('Asset Allocation'!L40,'Asset Allocation'!AD40)/'Broad Asset Allocation'!B40)</f>
        <v/>
      </c>
      <c r="C40" t="str">
        <f>IF(A40="","",SUM('Asset Allocation'!K40,'Asset Allocation'!AC40)/'Broad Asset Allocation'!B40)</f>
        <v/>
      </c>
      <c r="D40" t="str">
        <f>IF(A40="","",SUM('Asset Allocation'!M40,'Asset Allocation'!AE40)/'Broad Asset Allocation'!B40)</f>
        <v/>
      </c>
      <c r="E40" t="str">
        <f>IF(A40="","",SUM('Asset Allocation'!O40,'Asset Allocation'!AG40)/'Broad Asset Allocation'!B40)</f>
        <v/>
      </c>
      <c r="F40" t="str">
        <f>IF(A40="","",SUM('Asset Allocation'!N40,'Asset Allocation'!AF40)/'Broad Asset Allocation'!B40)</f>
        <v/>
      </c>
      <c r="G40" t="str">
        <f>IF(A40="","",SUM('Asset Allocation'!P40)/'Broad Asset Allocation'!B40)</f>
        <v/>
      </c>
      <c r="H40" t="str">
        <f>IF(A40="","",SUM('Asset Allocation'!Q40,'Asset Allocation'!Z40,'Asset Allocation'!AK40)/'Broad Asset Allocation'!B40)</f>
        <v/>
      </c>
    </row>
    <row r="41" spans="1:8" x14ac:dyDescent="0.25">
      <c r="A41" t="str">
        <f>IF(Input!A42="","",Input!A42)</f>
        <v/>
      </c>
      <c r="B41" t="str">
        <f>IF(A41="","",SUM('Asset Allocation'!L41,'Asset Allocation'!AD41)/'Broad Asset Allocation'!B41)</f>
        <v/>
      </c>
      <c r="C41" t="str">
        <f>IF(A41="","",SUM('Asset Allocation'!K41,'Asset Allocation'!AC41)/'Broad Asset Allocation'!B41)</f>
        <v/>
      </c>
      <c r="D41" t="str">
        <f>IF(A41="","",SUM('Asset Allocation'!M41,'Asset Allocation'!AE41)/'Broad Asset Allocation'!B41)</f>
        <v/>
      </c>
      <c r="E41" t="str">
        <f>IF(A41="","",SUM('Asset Allocation'!O41,'Asset Allocation'!AG41)/'Broad Asset Allocation'!B41)</f>
        <v/>
      </c>
      <c r="F41" t="str">
        <f>IF(A41="","",SUM('Asset Allocation'!N41,'Asset Allocation'!AF41)/'Broad Asset Allocation'!B41)</f>
        <v/>
      </c>
      <c r="G41" t="str">
        <f>IF(A41="","",SUM('Asset Allocation'!P41)/'Broad Asset Allocation'!B41)</f>
        <v/>
      </c>
      <c r="H41" t="str">
        <f>IF(A41="","",SUM('Asset Allocation'!Q41,'Asset Allocation'!Z41,'Asset Allocation'!AK41)/'Broad Asset Allocation'!B41)</f>
        <v/>
      </c>
    </row>
    <row r="42" spans="1:8" x14ac:dyDescent="0.25">
      <c r="A42" t="str">
        <f>IF(Input!A43="","",Input!A43)</f>
        <v/>
      </c>
      <c r="B42" t="str">
        <f>IF(A42="","",SUM('Asset Allocation'!L42,'Asset Allocation'!AD42)/'Broad Asset Allocation'!B42)</f>
        <v/>
      </c>
      <c r="C42" t="str">
        <f>IF(A42="","",SUM('Asset Allocation'!K42,'Asset Allocation'!AC42)/'Broad Asset Allocation'!B42)</f>
        <v/>
      </c>
      <c r="D42" t="str">
        <f>IF(A42="","",SUM('Asset Allocation'!M42,'Asset Allocation'!AE42)/'Broad Asset Allocation'!B42)</f>
        <v/>
      </c>
      <c r="E42" t="str">
        <f>IF(A42="","",SUM('Asset Allocation'!O42,'Asset Allocation'!AG42)/'Broad Asset Allocation'!B42)</f>
        <v/>
      </c>
      <c r="F42" t="str">
        <f>IF(A42="","",SUM('Asset Allocation'!N42,'Asset Allocation'!AF42)/'Broad Asset Allocation'!B42)</f>
        <v/>
      </c>
      <c r="G42" t="str">
        <f>IF(A42="","",SUM('Asset Allocation'!P42)/'Broad Asset Allocation'!B42)</f>
        <v/>
      </c>
      <c r="H42" t="str">
        <f>IF(A42="","",SUM('Asset Allocation'!Q42,'Asset Allocation'!Z42,'Asset Allocation'!AK42)/'Broad Asset Allocation'!B42)</f>
        <v/>
      </c>
    </row>
    <row r="43" spans="1:8" x14ac:dyDescent="0.25">
      <c r="A43" t="str">
        <f>IF(Input!A44="","",Input!A44)</f>
        <v/>
      </c>
      <c r="B43" t="str">
        <f>IF(A43="","",SUM('Asset Allocation'!L43,'Asset Allocation'!AD43)/'Broad Asset Allocation'!B43)</f>
        <v/>
      </c>
      <c r="C43" t="str">
        <f>IF(A43="","",SUM('Asset Allocation'!K43,'Asset Allocation'!AC43)/'Broad Asset Allocation'!B43)</f>
        <v/>
      </c>
      <c r="D43" t="str">
        <f>IF(A43="","",SUM('Asset Allocation'!M43,'Asset Allocation'!AE43)/'Broad Asset Allocation'!B43)</f>
        <v/>
      </c>
      <c r="E43" t="str">
        <f>IF(A43="","",SUM('Asset Allocation'!O43,'Asset Allocation'!AG43)/'Broad Asset Allocation'!B43)</f>
        <v/>
      </c>
      <c r="F43" t="str">
        <f>IF(A43="","",SUM('Asset Allocation'!N43,'Asset Allocation'!AF43)/'Broad Asset Allocation'!B43)</f>
        <v/>
      </c>
      <c r="G43" t="str">
        <f>IF(A43="","",SUM('Asset Allocation'!P43)/'Broad Asset Allocation'!B43)</f>
        <v/>
      </c>
      <c r="H43" t="str">
        <f>IF(A43="","",SUM('Asset Allocation'!Q43,'Asset Allocation'!Z43,'Asset Allocation'!AK43)/'Broad Asset Allocation'!B43)</f>
        <v/>
      </c>
    </row>
    <row r="44" spans="1:8" x14ac:dyDescent="0.25">
      <c r="A44" t="str">
        <f>IF(Input!A45="","",Input!A45)</f>
        <v/>
      </c>
      <c r="B44" t="str">
        <f>IF(A44="","",SUM('Asset Allocation'!L44,'Asset Allocation'!AD44)/'Broad Asset Allocation'!B44)</f>
        <v/>
      </c>
      <c r="C44" t="str">
        <f>IF(A44="","",SUM('Asset Allocation'!K44,'Asset Allocation'!AC44)/'Broad Asset Allocation'!B44)</f>
        <v/>
      </c>
      <c r="D44" t="str">
        <f>IF(A44="","",SUM('Asset Allocation'!M44,'Asset Allocation'!AE44)/'Broad Asset Allocation'!B44)</f>
        <v/>
      </c>
      <c r="E44" t="str">
        <f>IF(A44="","",SUM('Asset Allocation'!O44,'Asset Allocation'!AG44)/'Broad Asset Allocation'!B44)</f>
        <v/>
      </c>
      <c r="F44" t="str">
        <f>IF(A44="","",SUM('Asset Allocation'!N44,'Asset Allocation'!AF44)/'Broad Asset Allocation'!B44)</f>
        <v/>
      </c>
      <c r="G44" t="str">
        <f>IF(A44="","",SUM('Asset Allocation'!P44)/'Broad Asset Allocation'!B44)</f>
        <v/>
      </c>
      <c r="H44" t="str">
        <f>IF(A44="","",SUM('Asset Allocation'!Q44,'Asset Allocation'!Z44,'Asset Allocation'!AK44)/'Broad Asset Allocation'!B44)</f>
        <v/>
      </c>
    </row>
    <row r="45" spans="1:8" x14ac:dyDescent="0.25">
      <c r="A45" t="str">
        <f>IF(Input!A46="","",Input!A46)</f>
        <v/>
      </c>
      <c r="B45" t="str">
        <f>IF(A45="","",SUM('Asset Allocation'!L45,'Asset Allocation'!AD45)/'Broad Asset Allocation'!B45)</f>
        <v/>
      </c>
      <c r="C45" t="str">
        <f>IF(A45="","",SUM('Asset Allocation'!K45,'Asset Allocation'!AC45)/'Broad Asset Allocation'!B45)</f>
        <v/>
      </c>
      <c r="D45" t="str">
        <f>IF(A45="","",SUM('Asset Allocation'!M45,'Asset Allocation'!AE45)/'Broad Asset Allocation'!B45)</f>
        <v/>
      </c>
      <c r="E45" t="str">
        <f>IF(A45="","",SUM('Asset Allocation'!O45,'Asset Allocation'!AG45)/'Broad Asset Allocation'!B45)</f>
        <v/>
      </c>
      <c r="F45" t="str">
        <f>IF(A45="","",SUM('Asset Allocation'!N45,'Asset Allocation'!AF45)/'Broad Asset Allocation'!B45)</f>
        <v/>
      </c>
      <c r="G45" t="str">
        <f>IF(A45="","",SUM('Asset Allocation'!P45)/'Broad Asset Allocation'!B45)</f>
        <v/>
      </c>
      <c r="H45" t="str">
        <f>IF(A45="","",SUM('Asset Allocation'!Q45,'Asset Allocation'!Z45,'Asset Allocation'!AK45)/'Broad Asset Allocation'!B45)</f>
        <v/>
      </c>
    </row>
    <row r="46" spans="1:8" x14ac:dyDescent="0.25">
      <c r="A46" t="str">
        <f>IF(Input!A47="","",Input!A47)</f>
        <v/>
      </c>
      <c r="B46" t="str">
        <f>IF(A46="","",SUM('Asset Allocation'!L46,'Asset Allocation'!AD46)/'Broad Asset Allocation'!B46)</f>
        <v/>
      </c>
      <c r="C46" t="str">
        <f>IF(A46="","",SUM('Asset Allocation'!K46,'Asset Allocation'!AC46)/'Broad Asset Allocation'!B46)</f>
        <v/>
      </c>
      <c r="D46" t="str">
        <f>IF(A46="","",SUM('Asset Allocation'!M46,'Asset Allocation'!AE46)/'Broad Asset Allocation'!B46)</f>
        <v/>
      </c>
      <c r="E46" t="str">
        <f>IF(A46="","",SUM('Asset Allocation'!O46,'Asset Allocation'!AG46)/'Broad Asset Allocation'!B46)</f>
        <v/>
      </c>
      <c r="F46" t="str">
        <f>IF(A46="","",SUM('Asset Allocation'!N46,'Asset Allocation'!AF46)/'Broad Asset Allocation'!B46)</f>
        <v/>
      </c>
      <c r="G46" t="str">
        <f>IF(A46="","",SUM('Asset Allocation'!P46)/'Broad Asset Allocation'!B46)</f>
        <v/>
      </c>
      <c r="H46" t="str">
        <f>IF(A46="","",SUM('Asset Allocation'!Q46,'Asset Allocation'!Z46,'Asset Allocation'!AK46)/'Broad Asset Allocation'!B46)</f>
        <v/>
      </c>
    </row>
    <row r="47" spans="1:8" x14ac:dyDescent="0.25">
      <c r="A47" t="str">
        <f>IF(Input!A48="","",Input!A48)</f>
        <v/>
      </c>
      <c r="B47" t="str">
        <f>IF(A47="","",SUM('Asset Allocation'!L47,'Asset Allocation'!AD47)/'Broad Asset Allocation'!B47)</f>
        <v/>
      </c>
      <c r="C47" t="str">
        <f>IF(A47="","",SUM('Asset Allocation'!K47,'Asset Allocation'!AC47)/'Broad Asset Allocation'!B47)</f>
        <v/>
      </c>
      <c r="D47" t="str">
        <f>IF(A47="","",SUM('Asset Allocation'!M47,'Asset Allocation'!AE47)/'Broad Asset Allocation'!B47)</f>
        <v/>
      </c>
      <c r="E47" t="str">
        <f>IF(A47="","",SUM('Asset Allocation'!O47,'Asset Allocation'!AG47)/'Broad Asset Allocation'!B47)</f>
        <v/>
      </c>
      <c r="F47" t="str">
        <f>IF(A47="","",SUM('Asset Allocation'!N47,'Asset Allocation'!AF47)/'Broad Asset Allocation'!B47)</f>
        <v/>
      </c>
      <c r="G47" t="str">
        <f>IF(A47="","",SUM('Asset Allocation'!P47)/'Broad Asset Allocation'!B47)</f>
        <v/>
      </c>
      <c r="H47" t="str">
        <f>IF(A47="","",SUM('Asset Allocation'!Q47,'Asset Allocation'!Z47,'Asset Allocation'!AK47)/'Broad Asset Allocation'!B47)</f>
        <v/>
      </c>
    </row>
    <row r="48" spans="1:8" x14ac:dyDescent="0.25">
      <c r="A48" t="str">
        <f>IF(Input!A49="","",Input!A49)</f>
        <v/>
      </c>
      <c r="B48" t="str">
        <f>IF(A48="","",SUM('Asset Allocation'!L48,'Asset Allocation'!AD48)/'Broad Asset Allocation'!B48)</f>
        <v/>
      </c>
      <c r="C48" t="str">
        <f>IF(A48="","",SUM('Asset Allocation'!K48,'Asset Allocation'!AC48)/'Broad Asset Allocation'!B48)</f>
        <v/>
      </c>
      <c r="D48" t="str">
        <f>IF(A48="","",SUM('Asset Allocation'!M48,'Asset Allocation'!AE48)/'Broad Asset Allocation'!B48)</f>
        <v/>
      </c>
      <c r="E48" t="str">
        <f>IF(A48="","",SUM('Asset Allocation'!O48,'Asset Allocation'!AG48)/'Broad Asset Allocation'!B48)</f>
        <v/>
      </c>
      <c r="F48" t="str">
        <f>IF(A48="","",SUM('Asset Allocation'!N48,'Asset Allocation'!AF48)/'Broad Asset Allocation'!B48)</f>
        <v/>
      </c>
      <c r="G48" t="str">
        <f>IF(A48="","",SUM('Asset Allocation'!P48)/'Broad Asset Allocation'!B48)</f>
        <v/>
      </c>
      <c r="H48" t="str">
        <f>IF(A48="","",SUM('Asset Allocation'!Q48,'Asset Allocation'!Z48,'Asset Allocation'!AK48)/'Broad Asset Allocation'!B48)</f>
        <v/>
      </c>
    </row>
    <row r="49" spans="1:8" x14ac:dyDescent="0.25">
      <c r="A49" t="str">
        <f>IF(Input!A50="","",Input!A50)</f>
        <v/>
      </c>
      <c r="B49" t="str">
        <f>IF(A49="","",SUM('Asset Allocation'!L49,'Asset Allocation'!AD49)/'Broad Asset Allocation'!B49)</f>
        <v/>
      </c>
      <c r="C49" t="str">
        <f>IF(A49="","",SUM('Asset Allocation'!K49,'Asset Allocation'!AC49)/'Broad Asset Allocation'!B49)</f>
        <v/>
      </c>
      <c r="D49" t="str">
        <f>IF(A49="","",SUM('Asset Allocation'!M49,'Asset Allocation'!AE49)/'Broad Asset Allocation'!B49)</f>
        <v/>
      </c>
      <c r="E49" t="str">
        <f>IF(A49="","",SUM('Asset Allocation'!O49,'Asset Allocation'!AG49)/'Broad Asset Allocation'!B49)</f>
        <v/>
      </c>
      <c r="F49" t="str">
        <f>IF(A49="","",SUM('Asset Allocation'!N49,'Asset Allocation'!AF49)/'Broad Asset Allocation'!B49)</f>
        <v/>
      </c>
      <c r="G49" t="str">
        <f>IF(A49="","",SUM('Asset Allocation'!P49)/'Broad Asset Allocation'!B49)</f>
        <v/>
      </c>
      <c r="H49" t="str">
        <f>IF(A49="","",SUM('Asset Allocation'!Q49,'Asset Allocation'!Z49,'Asset Allocation'!AK49)/'Broad Asset Allocation'!B49)</f>
        <v/>
      </c>
    </row>
    <row r="50" spans="1:8" x14ac:dyDescent="0.25">
      <c r="A50" t="str">
        <f>IF(Input!A51="","",Input!A51)</f>
        <v/>
      </c>
      <c r="B50" t="str">
        <f>IF(A50="","",SUM('Asset Allocation'!L50,'Asset Allocation'!AD50)/'Broad Asset Allocation'!B50)</f>
        <v/>
      </c>
      <c r="C50" t="str">
        <f>IF(A50="","",SUM('Asset Allocation'!K50,'Asset Allocation'!AC50)/'Broad Asset Allocation'!B50)</f>
        <v/>
      </c>
      <c r="D50" t="str">
        <f>IF(A50="","",SUM('Asset Allocation'!M50,'Asset Allocation'!AE50)/'Broad Asset Allocation'!B50)</f>
        <v/>
      </c>
      <c r="E50" t="str">
        <f>IF(A50="","",SUM('Asset Allocation'!O50,'Asset Allocation'!AG50)/'Broad Asset Allocation'!B50)</f>
        <v/>
      </c>
      <c r="F50" t="str">
        <f>IF(A50="","",SUM('Asset Allocation'!N50,'Asset Allocation'!AF50)/'Broad Asset Allocation'!B50)</f>
        <v/>
      </c>
      <c r="G50" t="str">
        <f>IF(A50="","",SUM('Asset Allocation'!P50)/'Broad Asset Allocation'!B50)</f>
        <v/>
      </c>
      <c r="H50" t="str">
        <f>IF(A50="","",SUM('Asset Allocation'!Q50,'Asset Allocation'!Z50,'Asset Allocation'!AK50)/'Broad Asset Allocation'!B50)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8.7109375" customWidth="1"/>
  </cols>
  <sheetData>
    <row r="1" spans="1:8" x14ac:dyDescent="0.25">
      <c r="B1" t="s">
        <v>13</v>
      </c>
      <c r="C1" t="s">
        <v>15</v>
      </c>
      <c r="D1" t="s">
        <v>14</v>
      </c>
      <c r="E1" t="s">
        <v>101</v>
      </c>
      <c r="F1" t="s">
        <v>85</v>
      </c>
      <c r="G1" t="s">
        <v>18</v>
      </c>
      <c r="H1" t="s">
        <v>89</v>
      </c>
    </row>
    <row r="2" spans="1:8" x14ac:dyDescent="0.25">
      <c r="A2" t="str">
        <f>IF(Input!A3="","",Input!A3)</f>
        <v>abrdn MPS - Portfolio 1</v>
      </c>
      <c r="B2" t="e">
        <f>IF(A2="","",SUM('Asset Allocation'!B2,'Asset Allocation'!C2,'Asset Allocation'!V2)/'Broad Asset Allocation'!C2)</f>
        <v>#DIV/0!</v>
      </c>
      <c r="C2" t="e">
        <f>IF(A2="","",SUM('Asset Allocation'!G2,'Asset Allocation'!W2,'Asset Allocation'!AA2,'Asset Allocation'!AH2)/'Broad Asset Allocation'!C2)</f>
        <v>#DIV/0!</v>
      </c>
      <c r="D2" t="e">
        <f>IF(A2="","",SUM('Asset Allocation'!H2,'Asset Allocation'!I2,'Asset Allocation'!X2)/'Broad Asset Allocation'!C2)</f>
        <v>#DIV/0!</v>
      </c>
      <c r="E2" t="e">
        <f>IF(A2="","",SUM('Asset Allocation'!J2,'Asset Allocation'!AB2)/'Broad Asset Allocation'!C2)</f>
        <v>#DIV/0!</v>
      </c>
      <c r="F2" t="e">
        <f>IF(A2="","",SUM('Asset Allocation'!D2,'Asset Allocation'!E2,'Asset Allocation'!F2,'Asset Allocation'!AI2,'Asset Allocation'!AJ2)/'Broad Asset Allocation'!C2)</f>
        <v>#DIV/0!</v>
      </c>
    </row>
    <row r="3" spans="1:8" x14ac:dyDescent="0.25">
      <c r="A3" t="str">
        <f>IF(Input!A4="","",Input!A4)</f>
        <v>abrdn MPS - Portfolio 2</v>
      </c>
      <c r="B3" t="e">
        <f>IF(A3="","",SUM('Asset Allocation'!B3,'Asset Allocation'!C3,'Asset Allocation'!V3)/'Broad Asset Allocation'!C3)</f>
        <v>#DIV/0!</v>
      </c>
      <c r="C3" t="e">
        <f>IF(A3="","",SUM('Asset Allocation'!G3,'Asset Allocation'!W3,'Asset Allocation'!AA3,'Asset Allocation'!AH3)/'Broad Asset Allocation'!C3)</f>
        <v>#DIV/0!</v>
      </c>
      <c r="D3" t="e">
        <f>IF(A3="","",SUM('Asset Allocation'!H3,'Asset Allocation'!I3,'Asset Allocation'!X3)/'Broad Asset Allocation'!C3)</f>
        <v>#DIV/0!</v>
      </c>
      <c r="E3" t="e">
        <f>IF(A3="","",SUM('Asset Allocation'!J3,'Asset Allocation'!AB3)/'Broad Asset Allocation'!C3)</f>
        <v>#DIV/0!</v>
      </c>
      <c r="F3" t="e">
        <f>IF(A3="","",SUM('Asset Allocation'!D3,'Asset Allocation'!E3,'Asset Allocation'!AI3,'Asset Allocation'!AJ3)/'Broad Asset Allocation'!C3)</f>
        <v>#DIV/0!</v>
      </c>
    </row>
    <row r="4" spans="1:8" x14ac:dyDescent="0.25">
      <c r="A4" t="str">
        <f>IF(Input!A5="","",Input!A5)</f>
        <v>abrdn MPS - Portfolio 3</v>
      </c>
      <c r="B4" t="e">
        <f>IF(A4="","",SUM('Asset Allocation'!B4,'Asset Allocation'!C4,'Asset Allocation'!V4)/'Broad Asset Allocation'!C4)</f>
        <v>#DIV/0!</v>
      </c>
      <c r="C4" t="e">
        <f>IF(A4="","",SUM('Asset Allocation'!G4,'Asset Allocation'!W4,'Asset Allocation'!AA4,'Asset Allocation'!AH4)/'Broad Asset Allocation'!C4)</f>
        <v>#DIV/0!</v>
      </c>
      <c r="D4" t="e">
        <f>IF(A4="","",SUM('Asset Allocation'!H4,'Asset Allocation'!I4,'Asset Allocation'!X4)/'Broad Asset Allocation'!C4)</f>
        <v>#DIV/0!</v>
      </c>
      <c r="E4" t="e">
        <f>IF(A4="","",SUM('Asset Allocation'!J4,'Asset Allocation'!AB4)/'Broad Asset Allocation'!C4)</f>
        <v>#DIV/0!</v>
      </c>
      <c r="F4" t="e">
        <f>IF(A4="","",SUM('Asset Allocation'!D4,'Asset Allocation'!E4,'Asset Allocation'!AI4,'Asset Allocation'!AJ4)/'Broad Asset Allocation'!C4)</f>
        <v>#DIV/0!</v>
      </c>
    </row>
    <row r="5" spans="1:8" x14ac:dyDescent="0.25">
      <c r="A5" t="str">
        <f>IF(Input!A6="","",Input!A6)</f>
        <v>abrdn MPS - Portfolio 4</v>
      </c>
      <c r="B5" t="e">
        <f>IF(A5="","",SUM('Asset Allocation'!B5,'Asset Allocation'!C5,'Asset Allocation'!V5)/'Broad Asset Allocation'!C5)</f>
        <v>#DIV/0!</v>
      </c>
      <c r="C5" t="e">
        <f>IF(A5="","",SUM('Asset Allocation'!G5,'Asset Allocation'!W5,'Asset Allocation'!AA5,'Asset Allocation'!AH5)/'Broad Asset Allocation'!C5)</f>
        <v>#DIV/0!</v>
      </c>
      <c r="D5" t="e">
        <f>IF(A5="","",SUM('Asset Allocation'!H5,'Asset Allocation'!I5,'Asset Allocation'!X5)/'Broad Asset Allocation'!C5)</f>
        <v>#DIV/0!</v>
      </c>
      <c r="E5" t="e">
        <f>IF(A5="","",SUM('Asset Allocation'!J5,'Asset Allocation'!AB5)/'Broad Asset Allocation'!C5)</f>
        <v>#DIV/0!</v>
      </c>
      <c r="F5" t="e">
        <f>IF(A5="","",SUM('Asset Allocation'!D5,'Asset Allocation'!E5,'Asset Allocation'!AI5,'Asset Allocation'!AJ5)/'Broad Asset Allocation'!C5)</f>
        <v>#DIV/0!</v>
      </c>
    </row>
    <row r="6" spans="1:8" x14ac:dyDescent="0.25">
      <c r="A6" t="str">
        <f>IF(Input!A7="","",Input!A7)</f>
        <v>abrdn MPS - Portfolio 5</v>
      </c>
      <c r="B6" t="e">
        <f>IF(A6="","",SUM('Asset Allocation'!B6,'Asset Allocation'!C6,'Asset Allocation'!V6)/'Broad Asset Allocation'!C6)</f>
        <v>#DIV/0!</v>
      </c>
      <c r="C6" t="e">
        <f>IF(A6="","",SUM('Asset Allocation'!G6,'Asset Allocation'!W6,'Asset Allocation'!AA6,'Asset Allocation'!AH6)/'Broad Asset Allocation'!C6)</f>
        <v>#DIV/0!</v>
      </c>
      <c r="D6" t="e">
        <f>IF(A6="","",SUM('Asset Allocation'!H6,'Asset Allocation'!I6,'Asset Allocation'!X6)/'Broad Asset Allocation'!C6)</f>
        <v>#DIV/0!</v>
      </c>
      <c r="E6" t="e">
        <f>IF(A6="","",SUM('Asset Allocation'!J6,'Asset Allocation'!AB6)/'Broad Asset Allocation'!C6)</f>
        <v>#DIV/0!</v>
      </c>
      <c r="F6" t="e">
        <f>IF(A6="","",SUM('Asset Allocation'!D6,'Asset Allocation'!E6,'Asset Allocation'!AI6,'Asset Allocation'!AJ6)/'Broad Asset Allocation'!C6)</f>
        <v>#DIV/0!</v>
      </c>
    </row>
    <row r="7" spans="1:8" x14ac:dyDescent="0.25">
      <c r="A7" t="str">
        <f>IF(Input!A8="","",Input!A8)</f>
        <v>abrdn Index MPS - Portfolio 1</v>
      </c>
      <c r="B7">
        <f>IF(A7="","",SUM('Asset Allocation'!B7,'Asset Allocation'!C7,'Asset Allocation'!V7)/'Broad Asset Allocation'!C7)</f>
        <v>0.30214639515685193</v>
      </c>
      <c r="C7">
        <f>IF(A7="","",SUM('Asset Allocation'!G7,'Asset Allocation'!W7,'Asset Allocation'!AA7,'Asset Allocation'!AH7)/'Broad Asset Allocation'!C7)</f>
        <v>0.2641717116125481</v>
      </c>
      <c r="D7">
        <f>IF(A7="","",SUM('Asset Allocation'!H7,'Asset Allocation'!I7,'Asset Allocation'!X7)/'Broad Asset Allocation'!C7)</f>
        <v>0.38084755090809025</v>
      </c>
      <c r="E7">
        <f>IF(A7="","",SUM('Asset Allocation'!J7,'Asset Allocation'!AB7)/'Broad Asset Allocation'!C7)</f>
        <v>1.1695101816180517E-2</v>
      </c>
      <c r="F7">
        <f>IF(A7="","",SUM('Asset Allocation'!D7,'Asset Allocation'!E7,'Asset Allocation'!AI7,'Asset Allocation'!AJ7)/'Broad Asset Allocation'!C7)</f>
        <v>4.1139240506329111E-2</v>
      </c>
    </row>
    <row r="8" spans="1:8" x14ac:dyDescent="0.25">
      <c r="A8" t="str">
        <f>IF(Input!A9="","",Input!A9)</f>
        <v>abrdn Index MPS - Portfolio 2</v>
      </c>
      <c r="B8">
        <f>IF(A8="","",SUM('Asset Allocation'!B8,'Asset Allocation'!C8,'Asset Allocation'!V8)/'Broad Asset Allocation'!C8)</f>
        <v>0.25526802218114608</v>
      </c>
      <c r="C8">
        <f>IF(A8="","",SUM('Asset Allocation'!G8,'Asset Allocation'!W8,'Asset Allocation'!AA8,'Asset Allocation'!AH8)/'Broad Asset Allocation'!C8)</f>
        <v>0.17726432532347508</v>
      </c>
      <c r="D8">
        <f>IF(A8="","",SUM('Asset Allocation'!H8,'Asset Allocation'!I8,'Asset Allocation'!X8)/'Broad Asset Allocation'!C8)</f>
        <v>0.39334565619223666</v>
      </c>
      <c r="E8">
        <f>IF(A8="","",SUM('Asset Allocation'!J8,'Asset Allocation'!AB8)/'Broad Asset Allocation'!C8)</f>
        <v>7.0055452865064705E-2</v>
      </c>
      <c r="F8">
        <f>IF(A8="","",SUM('Asset Allocation'!D8,'Asset Allocation'!E8,'Asset Allocation'!AI8,'Asset Allocation'!AJ8)/'Broad Asset Allocation'!C8)</f>
        <v>0.10406654343807764</v>
      </c>
    </row>
    <row r="9" spans="1:8" x14ac:dyDescent="0.25">
      <c r="A9" t="str">
        <f>IF(Input!A10="","",Input!A10)</f>
        <v>abrdn Index MPS - Portfolio 3</v>
      </c>
      <c r="B9">
        <f>IF(A9="","",SUM('Asset Allocation'!B9,'Asset Allocation'!C9,'Asset Allocation'!V9)/'Broad Asset Allocation'!C9)</f>
        <v>0.17060085836909875</v>
      </c>
      <c r="C9">
        <f>IF(A9="","",SUM('Asset Allocation'!G9,'Asset Allocation'!W9,'Asset Allocation'!AA9,'Asset Allocation'!AH9)/'Broad Asset Allocation'!C9)</f>
        <v>0.12634120171673821</v>
      </c>
      <c r="D9">
        <f>IF(A9="","",SUM('Asset Allocation'!H9,'Asset Allocation'!I9,'Asset Allocation'!X9)/'Broad Asset Allocation'!C9)</f>
        <v>0.39216738197424894</v>
      </c>
      <c r="E9">
        <f>IF(A9="","",SUM('Asset Allocation'!J9,'Asset Allocation'!AB9)/'Broad Asset Allocation'!C9)</f>
        <v>0.10380901287553648</v>
      </c>
      <c r="F9">
        <f>IF(A9="","",SUM('Asset Allocation'!D9,'Asset Allocation'!E9,'Asset Allocation'!AI9,'Asset Allocation'!AJ9)/'Broad Asset Allocation'!C9)</f>
        <v>0.20708154506437768</v>
      </c>
    </row>
    <row r="10" spans="1:8" x14ac:dyDescent="0.25">
      <c r="A10" t="str">
        <f>IF(Input!A11="","",Input!A11)</f>
        <v>abrdn Index MPS - Portfolio 4</v>
      </c>
      <c r="B10">
        <f>IF(A10="","",SUM('Asset Allocation'!B10,'Asset Allocation'!C10,'Asset Allocation'!V10)/'Broad Asset Allocation'!C10)</f>
        <v>0.10427263479145471</v>
      </c>
      <c r="C10">
        <f>IF(A10="","",SUM('Asset Allocation'!G10,'Asset Allocation'!W10,'Asset Allocation'!AA10,'Asset Allocation'!AH10)/'Broad Asset Allocation'!C10)</f>
        <v>0.21210579857578837</v>
      </c>
      <c r="D10">
        <f>IF(A10="","",SUM('Asset Allocation'!H10,'Asset Allocation'!I10,'Asset Allocation'!X10)/'Broad Asset Allocation'!C10)</f>
        <v>0.1846388606307223</v>
      </c>
      <c r="E10">
        <f>IF(A10="","",SUM('Asset Allocation'!J10,'Asset Allocation'!AB10)/'Broad Asset Allocation'!C10)</f>
        <v>0.16480162767039674</v>
      </c>
      <c r="F10">
        <f>IF(A10="","",SUM('Asset Allocation'!D10,'Asset Allocation'!E10,'Asset Allocation'!AI10,'Asset Allocation'!AJ10)/'Broad Asset Allocation'!C10)</f>
        <v>0.33418107833163785</v>
      </c>
    </row>
    <row r="11" spans="1:8" x14ac:dyDescent="0.25">
      <c r="A11" t="str">
        <f>IF(Input!A12="","",Input!A12)</f>
        <v>abrdn Index MPS - Portfolio 5</v>
      </c>
      <c r="B11">
        <f>IF(A11="","",SUM('Asset Allocation'!B11,'Asset Allocation'!C11,'Asset Allocation'!V11)/'Broad Asset Allocation'!C11)</f>
        <v>0</v>
      </c>
      <c r="C11">
        <f>IF(A11="","",SUM('Asset Allocation'!G11,'Asset Allocation'!W11,'Asset Allocation'!AA11,'Asset Allocation'!AH11)/'Broad Asset Allocation'!C11)</f>
        <v>0</v>
      </c>
      <c r="D11">
        <f>IF(A11="","",SUM('Asset Allocation'!H11,'Asset Allocation'!I11,'Asset Allocation'!X11)/'Broad Asset Allocation'!C11)</f>
        <v>1</v>
      </c>
      <c r="E11">
        <f>IF(A11="","",SUM('Asset Allocation'!J11,'Asset Allocation'!AB11)/'Broad Asset Allocation'!C11)</f>
        <v>0</v>
      </c>
      <c r="F11">
        <f>IF(A11="","",SUM('Asset Allocation'!D11,'Asset Allocation'!E11,'Asset Allocation'!AI11,'Asset Allocation'!AJ11)/'Broad Asset Allocation'!C11)</f>
        <v>0</v>
      </c>
    </row>
    <row r="12" spans="1:8" x14ac:dyDescent="0.25">
      <c r="A12" t="str">
        <f>IF(Input!A13="","",Input!A13)</f>
        <v>Sustainable MPS - Portfolio 1</v>
      </c>
      <c r="B12">
        <f>IF(A12="","",SUM('Asset Allocation'!B12,'Asset Allocation'!C12,'Asset Allocation'!V12)/'Broad Asset Allocation'!C12)</f>
        <v>0.47374828793182167</v>
      </c>
      <c r="C12">
        <f>IF(A12="","",SUM('Asset Allocation'!G12,'Asset Allocation'!W12,'Asset Allocation'!AA12,'Asset Allocation'!AH12)/'Broad Asset Allocation'!C12)</f>
        <v>0.15111855120986151</v>
      </c>
      <c r="D12">
        <f>IF(A12="","",SUM('Asset Allocation'!H12,'Asset Allocation'!I12,'Asset Allocation'!X12)/'Broad Asset Allocation'!C12)</f>
        <v>0.28960584385938209</v>
      </c>
      <c r="E12">
        <f>IF(A12="","",SUM('Asset Allocation'!J12,'Asset Allocation'!AB12)/'Broad Asset Allocation'!C12)</f>
        <v>1.6283670674174404E-2</v>
      </c>
      <c r="F12">
        <f>IF(A12="","",SUM('Asset Allocation'!D12,'Asset Allocation'!E12,'Asset Allocation'!AI12,'Asset Allocation'!AJ12)/'Broad Asset Allocation'!C12)</f>
        <v>6.9243646324760308E-2</v>
      </c>
    </row>
    <row r="13" spans="1:8" x14ac:dyDescent="0.25">
      <c r="A13" t="str">
        <f>IF(Input!A14="","",Input!A14)</f>
        <v>Sustainable MPS - Portfolio 2</v>
      </c>
      <c r="B13">
        <f>IF(A13="","",SUM('Asset Allocation'!B13,'Asset Allocation'!C13,'Asset Allocation'!V13)/'Broad Asset Allocation'!C13)</f>
        <v>0.3673849979278907</v>
      </c>
      <c r="C13">
        <f>IF(A13="","",SUM('Asset Allocation'!G13,'Asset Allocation'!W13,'Asset Allocation'!AA13,'Asset Allocation'!AH13)/'Broad Asset Allocation'!C13)</f>
        <v>0.10733526730211357</v>
      </c>
      <c r="D13">
        <f>IF(A13="","",SUM('Asset Allocation'!H13,'Asset Allocation'!I13,'Asset Allocation'!X13)/'Broad Asset Allocation'!C13)</f>
        <v>0.35225859925404063</v>
      </c>
      <c r="E13">
        <f>IF(A13="","",SUM('Asset Allocation'!J13,'Asset Allocation'!AB13)/'Broad Asset Allocation'!C13)</f>
        <v>3.4604227103191054E-2</v>
      </c>
      <c r="F13">
        <f>IF(A13="","",SUM('Asset Allocation'!D13,'Asset Allocation'!E13,'Asset Allocation'!AI13,'Asset Allocation'!AJ13)/'Broad Asset Allocation'!C13)</f>
        <v>0.13841690841276422</v>
      </c>
    </row>
    <row r="14" spans="1:8" x14ac:dyDescent="0.25">
      <c r="A14" t="str">
        <f>IF(Input!A15="","",Input!A15)</f>
        <v>Sustainable MPS - Portfolio 3</v>
      </c>
      <c r="B14">
        <f>IF(A14="","",SUM('Asset Allocation'!B14,'Asset Allocation'!C14,'Asset Allocation'!V14)/'Broad Asset Allocation'!C14)</f>
        <v>0.31978953522361886</v>
      </c>
      <c r="C14">
        <f>IF(A14="","",SUM('Asset Allocation'!G14,'Asset Allocation'!W14,'Asset Allocation'!AA14,'Asset Allocation'!AH14)/'Broad Asset Allocation'!C14)</f>
        <v>0.10903244665302544</v>
      </c>
      <c r="D14">
        <f>IF(A14="","",SUM('Asset Allocation'!H14,'Asset Allocation'!I14,'Asset Allocation'!X14)/'Broad Asset Allocation'!C14)</f>
        <v>0.25869628763519442</v>
      </c>
      <c r="E14">
        <f>IF(A14="","",SUM('Asset Allocation'!J14,'Asset Allocation'!AB14)/'Broad Asset Allocation'!C14)</f>
        <v>8.6524408067816444E-2</v>
      </c>
      <c r="F14">
        <f>IF(A14="","",SUM('Asset Allocation'!D14,'Asset Allocation'!E14,'Asset Allocation'!AI14,'Asset Allocation'!AJ14)/'Broad Asset Allocation'!C14)</f>
        <v>0.22595732242034497</v>
      </c>
    </row>
    <row r="15" spans="1:8" x14ac:dyDescent="0.25">
      <c r="A15" t="str">
        <f>IF(Input!A16="","",Input!A16)</f>
        <v>Sustainable MPS - Portfolio 4</v>
      </c>
      <c r="B15">
        <f>IF(A15="","",SUM('Asset Allocation'!B15,'Asset Allocation'!C15,'Asset Allocation'!V15)/'Broad Asset Allocation'!C15)</f>
        <v>0.1513317191283293</v>
      </c>
      <c r="C15">
        <f>IF(A15="","",SUM('Asset Allocation'!G15,'Asset Allocation'!W15,'Asset Allocation'!AA15,'Asset Allocation'!AH15)/'Broad Asset Allocation'!C15)</f>
        <v>0.12893462469733655</v>
      </c>
      <c r="D15">
        <f>IF(A15="","",SUM('Asset Allocation'!H15,'Asset Allocation'!I15,'Asset Allocation'!X15)/'Broad Asset Allocation'!C15)</f>
        <v>0.198547215496368</v>
      </c>
      <c r="E15">
        <f>IF(A15="","",SUM('Asset Allocation'!J15,'Asset Allocation'!AB15)/'Broad Asset Allocation'!C15)</f>
        <v>0.13740920096852299</v>
      </c>
      <c r="F15">
        <f>IF(A15="","",SUM('Asset Allocation'!D15,'Asset Allocation'!E15,'Asset Allocation'!AI15,'Asset Allocation'!AJ15)/'Broad Asset Allocation'!C15)</f>
        <v>0.38377723970944305</v>
      </c>
    </row>
    <row r="16" spans="1:8" x14ac:dyDescent="0.25">
      <c r="A16" t="str">
        <f>IF(Input!A17="","",Input!A17)</f>
        <v>Sustainable MPS - Portfolio 5</v>
      </c>
      <c r="B16">
        <f>IF(A16="","",SUM('Asset Allocation'!B16,'Asset Allocation'!C16,'Asset Allocation'!V16)/'Broad Asset Allocation'!C16)</f>
        <v>0.13080168776371309</v>
      </c>
      <c r="C16">
        <f>IF(A16="","",SUM('Asset Allocation'!G16,'Asset Allocation'!W16,'Asset Allocation'!AA16,'Asset Allocation'!AH16)/'Broad Asset Allocation'!C16)</f>
        <v>0</v>
      </c>
      <c r="D16">
        <f>IF(A16="","",SUM('Asset Allocation'!H16,'Asset Allocation'!I16,'Asset Allocation'!X16)/'Broad Asset Allocation'!C16)</f>
        <v>0.65400843881856541</v>
      </c>
      <c r="E16">
        <f>IF(A16="","",SUM('Asset Allocation'!J16,'Asset Allocation'!AB16)/'Broad Asset Allocation'!C16)</f>
        <v>0.21518987341772156</v>
      </c>
      <c r="F16">
        <f>IF(A16="","",SUM('Asset Allocation'!D16,'Asset Allocation'!E16,'Asset Allocation'!AI16,'Asset Allocation'!AJ16)/'Broad Asset Allocation'!C16)</f>
        <v>0</v>
      </c>
    </row>
    <row r="17" spans="1:6" x14ac:dyDescent="0.25">
      <c r="A17" t="str">
        <f>IF(Input!A18="","",Input!A18)</f>
        <v>Sustainable Index MPS - Portfolio 1</v>
      </c>
      <c r="B17">
        <f>IF(A17="","",SUM('Asset Allocation'!B17,'Asset Allocation'!C17,'Asset Allocation'!V17)/'Broad Asset Allocation'!C17)</f>
        <v>0.30378871681415925</v>
      </c>
      <c r="C17">
        <f>IF(A17="","",SUM('Asset Allocation'!G17,'Asset Allocation'!W17,'Asset Allocation'!AA17,'Asset Allocation'!AH17)/'Broad Asset Allocation'!C17)</f>
        <v>0.26534845132743362</v>
      </c>
      <c r="D17">
        <f>IF(A17="","",SUM('Asset Allocation'!H17,'Asset Allocation'!I17,'Asset Allocation'!X17)/'Broad Asset Allocation'!C17)</f>
        <v>0.37776548672566368</v>
      </c>
      <c r="E17">
        <f>IF(A17="","",SUM('Asset Allocation'!J17,'Asset Allocation'!AB17)/'Broad Asset Allocation'!C17)</f>
        <v>1.161504424778761E-2</v>
      </c>
      <c r="F17">
        <f>IF(A17="","",SUM('Asset Allocation'!D17,'Asset Allocation'!E17,'Asset Allocation'!AI17,'Asset Allocation'!AJ17)/'Broad Asset Allocation'!C17)</f>
        <v>4.1482300884955747E-2</v>
      </c>
    </row>
    <row r="18" spans="1:6" x14ac:dyDescent="0.25">
      <c r="A18" t="str">
        <f>IF(Input!A19="","",Input!A19)</f>
        <v>Sustainable Index MPS - Portfolio 2</v>
      </c>
      <c r="B18">
        <f>IF(A18="","",SUM('Asset Allocation'!B18,'Asset Allocation'!C18,'Asset Allocation'!V18)/'Broad Asset Allocation'!C18)</f>
        <v>0.25514174541411894</v>
      </c>
      <c r="C18">
        <f>IF(A18="","",SUM('Asset Allocation'!G18,'Asset Allocation'!W18,'Asset Allocation'!AA18,'Asset Allocation'!AH18)/'Broad Asset Allocation'!C18)</f>
        <v>0.17806188623309246</v>
      </c>
      <c r="D18">
        <f>IF(A18="","",SUM('Asset Allocation'!H18,'Asset Allocation'!I18,'Asset Allocation'!X18)/'Broad Asset Allocation'!C18)</f>
        <v>0.39262553270335382</v>
      </c>
      <c r="E18">
        <f>IF(A18="","",SUM('Asset Allocation'!J18,'Asset Allocation'!AB18)/'Broad Asset Allocation'!C18)</f>
        <v>6.9112469890680012E-2</v>
      </c>
      <c r="F18">
        <f>IF(A18="","",SUM('Asset Allocation'!D18,'Asset Allocation'!E18,'Asset Allocation'!AI18,'Asset Allocation'!AJ18)/'Broad Asset Allocation'!C18)</f>
        <v>0.10505836575875488</v>
      </c>
    </row>
    <row r="19" spans="1:6" x14ac:dyDescent="0.25">
      <c r="A19" t="str">
        <f>IF(Input!A20="","",Input!A20)</f>
        <v>Sustainable Index MPS - Portfolio 3</v>
      </c>
      <c r="B19">
        <f>IF(A19="","",SUM('Asset Allocation'!B19,'Asset Allocation'!C19,'Asset Allocation'!V19)/'Broad Asset Allocation'!C19)</f>
        <v>0.17048208995421493</v>
      </c>
      <c r="C19">
        <f>IF(A19="","",SUM('Asset Allocation'!G19,'Asset Allocation'!W19,'Asset Allocation'!AA19,'Asset Allocation'!AH19)/'Broad Asset Allocation'!C19)</f>
        <v>0.12685160247778079</v>
      </c>
      <c r="D19">
        <f>IF(A19="","",SUM('Asset Allocation'!H19,'Asset Allocation'!I19,'Asset Allocation'!X19)/'Broad Asset Allocation'!C19)</f>
        <v>0.39132776730406676</v>
      </c>
      <c r="E19">
        <f>IF(A19="","",SUM('Asset Allocation'!J19,'Asset Allocation'!AB19)/'Broad Asset Allocation'!C19)</f>
        <v>0.10234311877188258</v>
      </c>
      <c r="F19">
        <f>IF(A19="","",SUM('Asset Allocation'!D19,'Asset Allocation'!E19,'Asset Allocation'!AI19,'Asset Allocation'!AJ19)/'Broad Asset Allocation'!C19)</f>
        <v>0.20899542149205497</v>
      </c>
    </row>
    <row r="20" spans="1:6" x14ac:dyDescent="0.25">
      <c r="A20" t="str">
        <f>IF(Input!A21="","",Input!A21)</f>
        <v>Sustainable Index MPS - Portfolio 4</v>
      </c>
      <c r="B20">
        <f>IF(A20="","",SUM('Asset Allocation'!B20,'Asset Allocation'!C20,'Asset Allocation'!V20)/'Broad Asset Allocation'!C20)</f>
        <v>0.10344827586206898</v>
      </c>
      <c r="C20">
        <f>IF(A20="","",SUM('Asset Allocation'!G20,'Asset Allocation'!W20,'Asset Allocation'!AA20,'Asset Allocation'!AH20)/'Broad Asset Allocation'!C20)</f>
        <v>0.21146044624746452</v>
      </c>
      <c r="D20">
        <f>IF(A20="","",SUM('Asset Allocation'!H20,'Asset Allocation'!I20,'Asset Allocation'!X20)/'Broad Asset Allocation'!C20)</f>
        <v>0.18458417849898581</v>
      </c>
      <c r="E20">
        <f>IF(A20="","",SUM('Asset Allocation'!J20,'Asset Allocation'!AB20)/'Broad Asset Allocation'!C20)</f>
        <v>0.16328600405679514</v>
      </c>
      <c r="F20">
        <f>IF(A20="","",SUM('Asset Allocation'!D20,'Asset Allocation'!E20,'Asset Allocation'!AI20,'Asset Allocation'!AJ20)/'Broad Asset Allocation'!C20)</f>
        <v>0.33722109533468564</v>
      </c>
    </row>
    <row r="21" spans="1:6" x14ac:dyDescent="0.25">
      <c r="A21" t="str">
        <f>IF(Input!A22="","",Input!A22)</f>
        <v>Sustainable Index MPS - Portfolio 5</v>
      </c>
      <c r="B21">
        <f>IF(A21="","",SUM('Asset Allocation'!B21,'Asset Allocation'!C21,'Asset Allocation'!V21)/'Broad Asset Allocation'!C21)</f>
        <v>0</v>
      </c>
      <c r="C21">
        <f>IF(A21="","",SUM('Asset Allocation'!G21,'Asset Allocation'!W21,'Asset Allocation'!AA21,'Asset Allocation'!AH21)/'Broad Asset Allocation'!C21)</f>
        <v>0</v>
      </c>
      <c r="D21">
        <f>IF(A21="","",SUM('Asset Allocation'!H21,'Asset Allocation'!I21,'Asset Allocation'!X21)/'Broad Asset Allocation'!C21)</f>
        <v>1</v>
      </c>
      <c r="E21">
        <f>IF(A21="","",SUM('Asset Allocation'!J21,'Asset Allocation'!AB21)/'Broad Asset Allocation'!C21)</f>
        <v>0</v>
      </c>
      <c r="F21">
        <f>IF(A21="","",SUM('Asset Allocation'!D21,'Asset Allocation'!E21,'Asset Allocation'!AI21,'Asset Allocation'!AJ21)/'Broad Asset Allocation'!C21)</f>
        <v>0</v>
      </c>
    </row>
    <row r="22" spans="1:6" x14ac:dyDescent="0.25">
      <c r="A22" t="str">
        <f>IF(Input!A23="","",Input!A23)</f>
        <v/>
      </c>
      <c r="B22" t="str">
        <f>IF(A22="","",SUM('Asset Allocation'!B22,'Asset Allocation'!C22,'Asset Allocation'!V22)/'Broad Asset Allocation'!C22)</f>
        <v/>
      </c>
      <c r="C22" t="str">
        <f>IF(A22="","",SUM('Asset Allocation'!G22,'Asset Allocation'!W22,'Asset Allocation'!AA22,'Asset Allocation'!AH22)/'Broad Asset Allocation'!C22)</f>
        <v/>
      </c>
      <c r="D22" t="str">
        <f>IF(A22="","",SUM('Asset Allocation'!H22,'Asset Allocation'!I22,'Asset Allocation'!X22)/'Broad Asset Allocation'!C22)</f>
        <v/>
      </c>
      <c r="E22" t="str">
        <f>IF(A22="","",SUM('Asset Allocation'!J22,'Asset Allocation'!AB22)/'Broad Asset Allocation'!C22)</f>
        <v/>
      </c>
      <c r="F22" t="str">
        <f>IF(A22="","",SUM('Asset Allocation'!D22,'Asset Allocation'!E22,'Asset Allocation'!AI22,'Asset Allocation'!AJ22)/'Broad Asset Allocation'!C22)</f>
        <v/>
      </c>
    </row>
    <row r="23" spans="1:6" x14ac:dyDescent="0.25">
      <c r="A23" t="str">
        <f>IF(Input!A24="","",Input!A24)</f>
        <v/>
      </c>
      <c r="B23" t="str">
        <f>IF(A23="","",SUM('Asset Allocation'!B23,'Asset Allocation'!C23,'Asset Allocation'!V23)/'Broad Asset Allocation'!C23)</f>
        <v/>
      </c>
      <c r="C23" t="str">
        <f>IF(A23="","",SUM('Asset Allocation'!G23,'Asset Allocation'!W23,'Asset Allocation'!AA23,'Asset Allocation'!AH23)/'Broad Asset Allocation'!C23)</f>
        <v/>
      </c>
      <c r="D23" t="str">
        <f>IF(A23="","",SUM('Asset Allocation'!H23,'Asset Allocation'!I23,'Asset Allocation'!X23)/'Broad Asset Allocation'!C23)</f>
        <v/>
      </c>
      <c r="E23" t="str">
        <f>IF(A23="","",SUM('Asset Allocation'!J23,'Asset Allocation'!AB23)/'Broad Asset Allocation'!C23)</f>
        <v/>
      </c>
      <c r="F23" t="str">
        <f>IF(A23="","",SUM('Asset Allocation'!D23,'Asset Allocation'!E23,'Asset Allocation'!AI23,'Asset Allocation'!AJ23)/'Broad Asset Allocation'!C23)</f>
        <v/>
      </c>
    </row>
    <row r="24" spans="1:6" x14ac:dyDescent="0.25">
      <c r="A24" t="str">
        <f>IF(Input!A25="","",Input!A25)</f>
        <v/>
      </c>
      <c r="B24" t="str">
        <f>IF(A24="","",SUM('Asset Allocation'!B24,'Asset Allocation'!C24,'Asset Allocation'!V24)/'Broad Asset Allocation'!C24)</f>
        <v/>
      </c>
      <c r="C24" t="str">
        <f>IF(A24="","",SUM('Asset Allocation'!G24,'Asset Allocation'!W24,'Asset Allocation'!AA24,'Asset Allocation'!AH24)/'Broad Asset Allocation'!C24)</f>
        <v/>
      </c>
      <c r="D24" t="str">
        <f>IF(A24="","",SUM('Asset Allocation'!H24,'Asset Allocation'!I24,'Asset Allocation'!X24)/'Broad Asset Allocation'!C24)</f>
        <v/>
      </c>
      <c r="E24" t="str">
        <f>IF(A24="","",SUM('Asset Allocation'!J24,'Asset Allocation'!AB24)/'Broad Asset Allocation'!C24)</f>
        <v/>
      </c>
      <c r="F24" t="str">
        <f>IF(A24="","",SUM('Asset Allocation'!D24,'Asset Allocation'!E24,'Asset Allocation'!AI24,'Asset Allocation'!AJ24)/'Broad Asset Allocation'!C24)</f>
        <v/>
      </c>
    </row>
    <row r="25" spans="1:6" x14ac:dyDescent="0.25">
      <c r="A25" t="str">
        <f>IF(Input!A26="","",Input!A26)</f>
        <v/>
      </c>
      <c r="B25" t="str">
        <f>IF(A25="","",SUM('Asset Allocation'!B25,'Asset Allocation'!C25,'Asset Allocation'!V25)/'Broad Asset Allocation'!C25)</f>
        <v/>
      </c>
      <c r="C25" t="str">
        <f>IF(A25="","",SUM('Asset Allocation'!G25,'Asset Allocation'!W25,'Asset Allocation'!AA25,'Asset Allocation'!AH25)/'Broad Asset Allocation'!C25)</f>
        <v/>
      </c>
      <c r="D25" t="str">
        <f>IF(A25="","",SUM('Asset Allocation'!H25,'Asset Allocation'!I25,'Asset Allocation'!X25)/'Broad Asset Allocation'!C25)</f>
        <v/>
      </c>
      <c r="E25" t="str">
        <f>IF(A25="","",SUM('Asset Allocation'!J25,'Asset Allocation'!AB25)/'Broad Asset Allocation'!C25)</f>
        <v/>
      </c>
      <c r="F25" t="str">
        <f>IF(A25="","",SUM('Asset Allocation'!D25,'Asset Allocation'!E25,'Asset Allocation'!AI25,'Asset Allocation'!AJ25)/'Broad Asset Allocation'!C25)</f>
        <v/>
      </c>
    </row>
    <row r="26" spans="1:6" x14ac:dyDescent="0.25">
      <c r="A26" t="str">
        <f>IF(Input!A27="","",Input!A27)</f>
        <v/>
      </c>
      <c r="B26" t="str">
        <f>IF(A26="","",SUM('Asset Allocation'!B26,'Asset Allocation'!C26,'Asset Allocation'!V26)/'Broad Asset Allocation'!C26)</f>
        <v/>
      </c>
      <c r="C26" t="str">
        <f>IF(A26="","",SUM('Asset Allocation'!G26,'Asset Allocation'!W26,'Asset Allocation'!AA26,'Asset Allocation'!AH26)/'Broad Asset Allocation'!C26)</f>
        <v/>
      </c>
      <c r="D26" t="str">
        <f>IF(A26="","",SUM('Asset Allocation'!H26,'Asset Allocation'!I26,'Asset Allocation'!X26)/'Broad Asset Allocation'!C26)</f>
        <v/>
      </c>
      <c r="E26" t="str">
        <f>IF(A26="","",SUM('Asset Allocation'!J26,'Asset Allocation'!AB26)/'Broad Asset Allocation'!C26)</f>
        <v/>
      </c>
      <c r="F26" t="str">
        <f>IF(A26="","",SUM('Asset Allocation'!D26,'Asset Allocation'!E26,'Asset Allocation'!AI26,'Asset Allocation'!AJ26)/'Broad Asset Allocation'!C26)</f>
        <v/>
      </c>
    </row>
    <row r="27" spans="1:6" x14ac:dyDescent="0.25">
      <c r="A27" t="str">
        <f>IF(Input!A28="","",Input!A28)</f>
        <v/>
      </c>
      <c r="B27" t="str">
        <f>IF(A27="","",SUM('Asset Allocation'!B27,'Asset Allocation'!C27,'Asset Allocation'!V27)/'Broad Asset Allocation'!C27)</f>
        <v/>
      </c>
      <c r="C27" t="str">
        <f>IF(A27="","",SUM('Asset Allocation'!G27,'Asset Allocation'!W27,'Asset Allocation'!AA27,'Asset Allocation'!AH27)/'Broad Asset Allocation'!C27)</f>
        <v/>
      </c>
      <c r="D27" t="str">
        <f>IF(A27="","",SUM('Asset Allocation'!H27,'Asset Allocation'!I27,'Asset Allocation'!X27)/'Broad Asset Allocation'!C27)</f>
        <v/>
      </c>
      <c r="E27" t="str">
        <f>IF(A27="","",SUM('Asset Allocation'!J27,'Asset Allocation'!AB27)/'Broad Asset Allocation'!C27)</f>
        <v/>
      </c>
      <c r="F27" t="str">
        <f>IF(A27="","",SUM('Asset Allocation'!D27,'Asset Allocation'!E27,'Asset Allocation'!AI27,'Asset Allocation'!AJ27)/'Broad Asset Allocation'!C27)</f>
        <v/>
      </c>
    </row>
    <row r="28" spans="1:6" x14ac:dyDescent="0.25">
      <c r="A28" t="str">
        <f>IF(Input!A29="","",Input!A29)</f>
        <v/>
      </c>
      <c r="B28" t="str">
        <f>IF(A28="","",SUM('Asset Allocation'!B28,'Asset Allocation'!C28,'Asset Allocation'!V28)/'Broad Asset Allocation'!C28)</f>
        <v/>
      </c>
      <c r="C28" t="str">
        <f>IF(A28="","",SUM('Asset Allocation'!G28,'Asset Allocation'!W28,'Asset Allocation'!AA28,'Asset Allocation'!AH28)/'Broad Asset Allocation'!C28)</f>
        <v/>
      </c>
      <c r="D28" t="str">
        <f>IF(A28="","",SUM('Asset Allocation'!H28,'Asset Allocation'!I28,'Asset Allocation'!X28)/'Broad Asset Allocation'!C28)</f>
        <v/>
      </c>
      <c r="E28" t="str">
        <f>IF(A28="","",SUM('Asset Allocation'!J28,'Asset Allocation'!AB28)/'Broad Asset Allocation'!C28)</f>
        <v/>
      </c>
      <c r="F28" t="str">
        <f>IF(A28="","",SUM('Asset Allocation'!D28,'Asset Allocation'!E28,'Asset Allocation'!AI28,'Asset Allocation'!AJ28)/'Broad Asset Allocation'!C28)</f>
        <v/>
      </c>
    </row>
    <row r="29" spans="1:6" x14ac:dyDescent="0.25">
      <c r="A29" t="str">
        <f>IF(Input!A30="","",Input!A30)</f>
        <v/>
      </c>
      <c r="B29" t="str">
        <f>IF(A29="","",SUM('Asset Allocation'!B29,'Asset Allocation'!C29,'Asset Allocation'!V29)/'Broad Asset Allocation'!C29)</f>
        <v/>
      </c>
      <c r="C29" t="str">
        <f>IF(A29="","",SUM('Asset Allocation'!G29,'Asset Allocation'!W29,'Asset Allocation'!AA29,'Asset Allocation'!AH29)/'Broad Asset Allocation'!C29)</f>
        <v/>
      </c>
      <c r="D29" t="str">
        <f>IF(A29="","",SUM('Asset Allocation'!H29,'Asset Allocation'!I29,'Asset Allocation'!X29)/'Broad Asset Allocation'!C29)</f>
        <v/>
      </c>
      <c r="E29" t="str">
        <f>IF(A29="","",SUM('Asset Allocation'!J29,'Asset Allocation'!AB29)/'Broad Asset Allocation'!C29)</f>
        <v/>
      </c>
      <c r="F29" t="str">
        <f>IF(A29="","",SUM('Asset Allocation'!D29,'Asset Allocation'!E29,'Asset Allocation'!AI29,'Asset Allocation'!AJ29)/'Broad Asset Allocation'!C29)</f>
        <v/>
      </c>
    </row>
    <row r="30" spans="1:6" x14ac:dyDescent="0.25">
      <c r="A30" t="str">
        <f>IF(Input!A31="","",Input!A31)</f>
        <v/>
      </c>
      <c r="B30" t="str">
        <f>IF(A30="","",SUM('Asset Allocation'!B30,'Asset Allocation'!C30,'Asset Allocation'!V30)/'Broad Asset Allocation'!C30)</f>
        <v/>
      </c>
      <c r="C30" t="str">
        <f>IF(A30="","",SUM('Asset Allocation'!G30,'Asset Allocation'!W30,'Asset Allocation'!AA30,'Asset Allocation'!AH30)/'Broad Asset Allocation'!C30)</f>
        <v/>
      </c>
      <c r="D30" t="str">
        <f>IF(A30="","",SUM('Asset Allocation'!H30,'Asset Allocation'!I30,'Asset Allocation'!X30)/'Broad Asset Allocation'!C30)</f>
        <v/>
      </c>
      <c r="E30" t="str">
        <f>IF(A30="","",SUM('Asset Allocation'!J30,'Asset Allocation'!AB30)/'Broad Asset Allocation'!C30)</f>
        <v/>
      </c>
      <c r="F30" t="str">
        <f>IF(A30="","",SUM('Asset Allocation'!D30,'Asset Allocation'!E30,'Asset Allocation'!AI30,'Asset Allocation'!AJ30)/'Broad Asset Allocation'!C30)</f>
        <v/>
      </c>
    </row>
    <row r="31" spans="1:6" x14ac:dyDescent="0.25">
      <c r="A31" t="str">
        <f>IF(Input!A32="","",Input!A32)</f>
        <v/>
      </c>
      <c r="B31" t="str">
        <f>IF(A31="","",SUM('Asset Allocation'!B31,'Asset Allocation'!C31,'Asset Allocation'!V31)/'Broad Asset Allocation'!C31)</f>
        <v/>
      </c>
      <c r="C31" t="str">
        <f>IF(A31="","",SUM('Asset Allocation'!G31,'Asset Allocation'!W31,'Asset Allocation'!AA31,'Asset Allocation'!AH31)/'Broad Asset Allocation'!C31)</f>
        <v/>
      </c>
      <c r="D31" t="str">
        <f>IF(A31="","",SUM('Asset Allocation'!H31,'Asset Allocation'!I31,'Asset Allocation'!X31)/'Broad Asset Allocation'!C31)</f>
        <v/>
      </c>
      <c r="E31" t="str">
        <f>IF(A31="","",SUM('Asset Allocation'!J31,'Asset Allocation'!AB31)/'Broad Asset Allocation'!C31)</f>
        <v/>
      </c>
      <c r="F31" t="str">
        <f>IF(A31="","",SUM('Asset Allocation'!D31,'Asset Allocation'!E31,'Asset Allocation'!AI31,'Asset Allocation'!AJ31)/'Broad Asset Allocation'!C31)</f>
        <v/>
      </c>
    </row>
    <row r="32" spans="1:6" x14ac:dyDescent="0.25">
      <c r="A32" t="str">
        <f>IF(Input!A33="","",Input!A33)</f>
        <v/>
      </c>
      <c r="B32" t="str">
        <f>IF(A32="","",SUM('Asset Allocation'!B32,'Asset Allocation'!C32,'Asset Allocation'!V32)/'Broad Asset Allocation'!C32)</f>
        <v/>
      </c>
      <c r="C32" t="str">
        <f>IF(A32="","",SUM('Asset Allocation'!G32,'Asset Allocation'!W32,'Asset Allocation'!AA32,'Asset Allocation'!AH32)/'Broad Asset Allocation'!C32)</f>
        <v/>
      </c>
      <c r="D32" t="str">
        <f>IF(A32="","",SUM('Asset Allocation'!H32,'Asset Allocation'!I32,'Asset Allocation'!X32)/'Broad Asset Allocation'!C32)</f>
        <v/>
      </c>
      <c r="E32" t="str">
        <f>IF(A32="","",SUM('Asset Allocation'!J32,'Asset Allocation'!AB32)/'Broad Asset Allocation'!C32)</f>
        <v/>
      </c>
      <c r="F32" t="str">
        <f>IF(A32="","",SUM('Asset Allocation'!D32,'Asset Allocation'!E32,'Asset Allocation'!AI32,'Asset Allocation'!AJ32)/'Broad Asset Allocation'!C32)</f>
        <v/>
      </c>
    </row>
    <row r="33" spans="1:6" x14ac:dyDescent="0.25">
      <c r="A33" t="str">
        <f>IF(Input!A34="","",Input!A34)</f>
        <v/>
      </c>
      <c r="B33" t="str">
        <f>IF(A33="","",SUM('Asset Allocation'!B33,'Asset Allocation'!C33,'Asset Allocation'!V33)/'Broad Asset Allocation'!C33)</f>
        <v/>
      </c>
      <c r="C33" t="str">
        <f>IF(A33="","",SUM('Asset Allocation'!G33,'Asset Allocation'!W33,'Asset Allocation'!AA33,'Asset Allocation'!AH33)/'Broad Asset Allocation'!C33)</f>
        <v/>
      </c>
      <c r="D33" t="str">
        <f>IF(A33="","",SUM('Asset Allocation'!H33,'Asset Allocation'!I33,'Asset Allocation'!X33)/'Broad Asset Allocation'!C33)</f>
        <v/>
      </c>
      <c r="E33" t="str">
        <f>IF(A33="","",SUM('Asset Allocation'!J33,'Asset Allocation'!AB33)/'Broad Asset Allocation'!C33)</f>
        <v/>
      </c>
      <c r="F33" t="str">
        <f>IF(A33="","",SUM('Asset Allocation'!D33,'Asset Allocation'!E33,'Asset Allocation'!AI33,'Asset Allocation'!AJ33)/'Broad Asset Allocation'!C33)</f>
        <v/>
      </c>
    </row>
    <row r="34" spans="1:6" x14ac:dyDescent="0.25">
      <c r="A34" t="str">
        <f>IF(Input!A35="","",Input!A35)</f>
        <v/>
      </c>
      <c r="B34" t="str">
        <f>IF(A34="","",SUM('Asset Allocation'!B34,'Asset Allocation'!C34,'Asset Allocation'!V34)/'Broad Asset Allocation'!C34)</f>
        <v/>
      </c>
      <c r="C34" t="str">
        <f>IF(A34="","",SUM('Asset Allocation'!G34,'Asset Allocation'!W34,'Asset Allocation'!AA34,'Asset Allocation'!AH34)/'Broad Asset Allocation'!C34)</f>
        <v/>
      </c>
      <c r="D34" t="str">
        <f>IF(A34="","",SUM('Asset Allocation'!H34,'Asset Allocation'!I34,'Asset Allocation'!X34)/'Broad Asset Allocation'!C34)</f>
        <v/>
      </c>
      <c r="E34" t="str">
        <f>IF(A34="","",SUM('Asset Allocation'!J34,'Asset Allocation'!AB34)/'Broad Asset Allocation'!C34)</f>
        <v/>
      </c>
      <c r="F34" t="str">
        <f>IF(A34="","",SUM('Asset Allocation'!D34,'Asset Allocation'!E34,'Asset Allocation'!AI34,'Asset Allocation'!AJ34)/'Broad Asset Allocation'!C34)</f>
        <v/>
      </c>
    </row>
    <row r="35" spans="1:6" x14ac:dyDescent="0.25">
      <c r="A35" t="str">
        <f>IF(Input!A36="","",Input!A36)</f>
        <v/>
      </c>
      <c r="B35" t="str">
        <f>IF(A35="","",SUM('Asset Allocation'!B35,'Asset Allocation'!C35,'Asset Allocation'!V35)/'Broad Asset Allocation'!C35)</f>
        <v/>
      </c>
      <c r="C35" t="str">
        <f>IF(A35="","",SUM('Asset Allocation'!G35,'Asset Allocation'!W35,'Asset Allocation'!AA35,'Asset Allocation'!AH35)/'Broad Asset Allocation'!C35)</f>
        <v/>
      </c>
      <c r="D35" t="str">
        <f>IF(A35="","",SUM('Asset Allocation'!H35,'Asset Allocation'!I35,'Asset Allocation'!X35)/'Broad Asset Allocation'!C35)</f>
        <v/>
      </c>
      <c r="E35" t="str">
        <f>IF(A35="","",SUM('Asset Allocation'!J35,'Asset Allocation'!AB35)/'Broad Asset Allocation'!C35)</f>
        <v/>
      </c>
      <c r="F35" t="str">
        <f>IF(A35="","",SUM('Asset Allocation'!D35,'Asset Allocation'!E35,'Asset Allocation'!AI35,'Asset Allocation'!AJ35)/'Broad Asset Allocation'!C35)</f>
        <v/>
      </c>
    </row>
    <row r="36" spans="1:6" x14ac:dyDescent="0.25">
      <c r="A36" t="str">
        <f>IF(Input!A37="","",Input!A37)</f>
        <v/>
      </c>
      <c r="B36" t="str">
        <f>IF(A36="","",SUM('Asset Allocation'!B36,'Asset Allocation'!C36,'Asset Allocation'!V36)/'Broad Asset Allocation'!C36)</f>
        <v/>
      </c>
      <c r="C36" t="str">
        <f>IF(A36="","",SUM('Asset Allocation'!G36,'Asset Allocation'!W36,'Asset Allocation'!AA36,'Asset Allocation'!AH36)/'Broad Asset Allocation'!C36)</f>
        <v/>
      </c>
      <c r="D36" t="str">
        <f>IF(A36="","",SUM('Asset Allocation'!H36,'Asset Allocation'!I36,'Asset Allocation'!X36)/'Broad Asset Allocation'!C36)</f>
        <v/>
      </c>
      <c r="E36" t="str">
        <f>IF(A36="","",SUM('Asset Allocation'!J36,'Asset Allocation'!AB36)/'Broad Asset Allocation'!C36)</f>
        <v/>
      </c>
      <c r="F36" t="str">
        <f>IF(A36="","",SUM('Asset Allocation'!D36,'Asset Allocation'!E36,'Asset Allocation'!AI36,'Asset Allocation'!AJ36)/'Broad Asset Allocation'!C36)</f>
        <v/>
      </c>
    </row>
    <row r="37" spans="1:6" x14ac:dyDescent="0.25">
      <c r="A37" t="str">
        <f>IF(Input!A38="","",Input!A38)</f>
        <v/>
      </c>
      <c r="B37" t="str">
        <f>IF(A37="","",SUM('Asset Allocation'!B37,'Asset Allocation'!C37,'Asset Allocation'!V37)/'Broad Asset Allocation'!C37)</f>
        <v/>
      </c>
      <c r="C37" t="str">
        <f>IF(A37="","",SUM('Asset Allocation'!G37,'Asset Allocation'!W37,'Asset Allocation'!AA37,'Asset Allocation'!AH37)/'Broad Asset Allocation'!C37)</f>
        <v/>
      </c>
      <c r="D37" t="str">
        <f>IF(A37="","",SUM('Asset Allocation'!H37,'Asset Allocation'!I37,'Asset Allocation'!X37)/'Broad Asset Allocation'!C37)</f>
        <v/>
      </c>
      <c r="E37" t="str">
        <f>IF(A37="","",SUM('Asset Allocation'!J37,'Asset Allocation'!AB37)/'Broad Asset Allocation'!C37)</f>
        <v/>
      </c>
      <c r="F37" t="str">
        <f>IF(A37="","",SUM('Asset Allocation'!D37,'Asset Allocation'!E37,'Asset Allocation'!AI37,'Asset Allocation'!AJ37)/'Broad Asset Allocation'!C37)</f>
        <v/>
      </c>
    </row>
    <row r="38" spans="1:6" x14ac:dyDescent="0.25">
      <c r="A38" t="str">
        <f>IF(Input!A39="","",Input!A39)</f>
        <v/>
      </c>
      <c r="B38" t="str">
        <f>IF(A38="","",SUM('Asset Allocation'!B38,'Asset Allocation'!C38,'Asset Allocation'!V38)/'Broad Asset Allocation'!C38)</f>
        <v/>
      </c>
      <c r="C38" t="str">
        <f>IF(A38="","",SUM('Asset Allocation'!G38,'Asset Allocation'!W38,'Asset Allocation'!AA38,'Asset Allocation'!AH38)/'Broad Asset Allocation'!C38)</f>
        <v/>
      </c>
      <c r="D38" t="str">
        <f>IF(A38="","",SUM('Asset Allocation'!H38,'Asset Allocation'!I38,'Asset Allocation'!X38)/'Broad Asset Allocation'!C38)</f>
        <v/>
      </c>
      <c r="E38" t="str">
        <f>IF(A38="","",SUM('Asset Allocation'!J38,'Asset Allocation'!AB38)/'Broad Asset Allocation'!C38)</f>
        <v/>
      </c>
      <c r="F38" t="str">
        <f>IF(A38="","",SUM('Asset Allocation'!D38,'Asset Allocation'!E38,'Asset Allocation'!AI38,'Asset Allocation'!AJ38)/'Broad Asset Allocation'!C38)</f>
        <v/>
      </c>
    </row>
    <row r="39" spans="1:6" x14ac:dyDescent="0.25">
      <c r="A39" t="str">
        <f>IF(Input!A40="","",Input!A40)</f>
        <v/>
      </c>
      <c r="B39" t="str">
        <f>IF(A39="","",SUM('Asset Allocation'!B39,'Asset Allocation'!C39,'Asset Allocation'!V39)/'Broad Asset Allocation'!C39)</f>
        <v/>
      </c>
      <c r="C39" t="str">
        <f>IF(A39="","",SUM('Asset Allocation'!G39,'Asset Allocation'!W39,'Asset Allocation'!AA39,'Asset Allocation'!AH39)/'Broad Asset Allocation'!C39)</f>
        <v/>
      </c>
      <c r="D39" t="str">
        <f>IF(A39="","",SUM('Asset Allocation'!H39,'Asset Allocation'!I39,'Asset Allocation'!X39)/'Broad Asset Allocation'!C39)</f>
        <v/>
      </c>
      <c r="E39" t="str">
        <f>IF(A39="","",SUM('Asset Allocation'!J39,'Asset Allocation'!AB39)/'Broad Asset Allocation'!C39)</f>
        <v/>
      </c>
      <c r="F39" t="str">
        <f>IF(A39="","",SUM('Asset Allocation'!D39,'Asset Allocation'!E39,'Asset Allocation'!AI39,'Asset Allocation'!AJ39)/'Broad Asset Allocation'!C39)</f>
        <v/>
      </c>
    </row>
    <row r="40" spans="1:6" x14ac:dyDescent="0.25">
      <c r="A40" t="str">
        <f>IF(Input!A41="","",Input!A41)</f>
        <v/>
      </c>
      <c r="B40" t="str">
        <f>IF(A40="","",SUM('Asset Allocation'!B40,'Asset Allocation'!C40,'Asset Allocation'!V40)/'Broad Asset Allocation'!C40)</f>
        <v/>
      </c>
      <c r="C40" t="str">
        <f>IF(A40="","",SUM('Asset Allocation'!G40,'Asset Allocation'!W40,'Asset Allocation'!AA40,'Asset Allocation'!AH40)/'Broad Asset Allocation'!C40)</f>
        <v/>
      </c>
      <c r="D40" t="str">
        <f>IF(A40="","",SUM('Asset Allocation'!H40,'Asset Allocation'!I40,'Asset Allocation'!X40)/'Broad Asset Allocation'!C40)</f>
        <v/>
      </c>
      <c r="E40" t="str">
        <f>IF(A40="","",SUM('Asset Allocation'!J40,'Asset Allocation'!AB40)/'Broad Asset Allocation'!C40)</f>
        <v/>
      </c>
      <c r="F40" t="str">
        <f>IF(A40="","",SUM('Asset Allocation'!D40,'Asset Allocation'!E40,'Asset Allocation'!AI40,'Asset Allocation'!AJ40)/'Broad Asset Allocation'!C40)</f>
        <v/>
      </c>
    </row>
    <row r="41" spans="1:6" x14ac:dyDescent="0.25">
      <c r="A41" t="str">
        <f>IF(Input!A42="","",Input!A42)</f>
        <v/>
      </c>
      <c r="B41" t="str">
        <f>IF(A41="","",SUM('Asset Allocation'!B41,'Asset Allocation'!C41,'Asset Allocation'!V41)/'Broad Asset Allocation'!C41)</f>
        <v/>
      </c>
      <c r="C41" t="str">
        <f>IF(A41="","",SUM('Asset Allocation'!G41,'Asset Allocation'!W41,'Asset Allocation'!AA41,'Asset Allocation'!AH41)/'Broad Asset Allocation'!C41)</f>
        <v/>
      </c>
      <c r="D41" t="str">
        <f>IF(A41="","",SUM('Asset Allocation'!H41,'Asset Allocation'!I41,'Asset Allocation'!X41)/'Broad Asset Allocation'!C41)</f>
        <v/>
      </c>
      <c r="E41" t="str">
        <f>IF(A41="","",SUM('Asset Allocation'!J41,'Asset Allocation'!AB41)/'Broad Asset Allocation'!C41)</f>
        <v/>
      </c>
      <c r="F41" t="str">
        <f>IF(A41="","",SUM('Asset Allocation'!D41,'Asset Allocation'!E41,'Asset Allocation'!AI41,'Asset Allocation'!AJ41)/'Broad Asset Allocation'!C41)</f>
        <v/>
      </c>
    </row>
    <row r="42" spans="1:6" x14ac:dyDescent="0.25">
      <c r="A42" t="str">
        <f>IF(Input!A43="","",Input!A43)</f>
        <v/>
      </c>
      <c r="B42" t="str">
        <f>IF(A42="","",SUM('Asset Allocation'!B42,'Asset Allocation'!C42,'Asset Allocation'!V42)/'Broad Asset Allocation'!C42)</f>
        <v/>
      </c>
      <c r="C42" t="str">
        <f>IF(A42="","",SUM('Asset Allocation'!G42,'Asset Allocation'!W42,'Asset Allocation'!AA42,'Asset Allocation'!AH42)/'Broad Asset Allocation'!C42)</f>
        <v/>
      </c>
      <c r="D42" t="str">
        <f>IF(A42="","",SUM('Asset Allocation'!H42,'Asset Allocation'!I42,'Asset Allocation'!X42)/'Broad Asset Allocation'!C42)</f>
        <v/>
      </c>
      <c r="E42" t="str">
        <f>IF(A42="","",SUM('Asset Allocation'!J42,'Asset Allocation'!AB42)/'Broad Asset Allocation'!C42)</f>
        <v/>
      </c>
      <c r="F42" t="str">
        <f>IF(A42="","",SUM('Asset Allocation'!D42,'Asset Allocation'!E42,'Asset Allocation'!AI42,'Asset Allocation'!AJ42)/'Broad Asset Allocation'!C42)</f>
        <v/>
      </c>
    </row>
    <row r="43" spans="1:6" x14ac:dyDescent="0.25">
      <c r="A43" t="str">
        <f>IF(Input!A44="","",Input!A44)</f>
        <v/>
      </c>
      <c r="B43" t="str">
        <f>IF(A43="","",SUM('Asset Allocation'!B43,'Asset Allocation'!C43,'Asset Allocation'!V43)/'Broad Asset Allocation'!C43)</f>
        <v/>
      </c>
      <c r="C43" t="str">
        <f>IF(A43="","",SUM('Asset Allocation'!G43,'Asset Allocation'!W43,'Asset Allocation'!AA43,'Asset Allocation'!AH43)/'Broad Asset Allocation'!C43)</f>
        <v/>
      </c>
      <c r="D43" t="str">
        <f>IF(A43="","",SUM('Asset Allocation'!H43,'Asset Allocation'!I43,'Asset Allocation'!X43)/'Broad Asset Allocation'!C43)</f>
        <v/>
      </c>
      <c r="E43" t="str">
        <f>IF(A43="","",SUM('Asset Allocation'!J43,'Asset Allocation'!AB43)/'Broad Asset Allocation'!C43)</f>
        <v/>
      </c>
      <c r="F43" t="str">
        <f>IF(A43="","",SUM('Asset Allocation'!D43,'Asset Allocation'!E43,'Asset Allocation'!AI43,'Asset Allocation'!AJ43)/'Broad Asset Allocation'!C43)</f>
        <v/>
      </c>
    </row>
    <row r="44" spans="1:6" x14ac:dyDescent="0.25">
      <c r="A44" t="str">
        <f>IF(Input!A45="","",Input!A45)</f>
        <v/>
      </c>
      <c r="B44" t="str">
        <f>IF(A44="","",SUM('Asset Allocation'!B44,'Asset Allocation'!C44,'Asset Allocation'!V44)/'Broad Asset Allocation'!C44)</f>
        <v/>
      </c>
      <c r="C44" t="str">
        <f>IF(A44="","",SUM('Asset Allocation'!G44,'Asset Allocation'!W44,'Asset Allocation'!AA44,'Asset Allocation'!AH44)/'Broad Asset Allocation'!C44)</f>
        <v/>
      </c>
      <c r="D44" t="str">
        <f>IF(A44="","",SUM('Asset Allocation'!H44,'Asset Allocation'!I44,'Asset Allocation'!X44)/'Broad Asset Allocation'!C44)</f>
        <v/>
      </c>
      <c r="E44" t="str">
        <f>IF(A44="","",SUM('Asset Allocation'!J44,'Asset Allocation'!AB44)/'Broad Asset Allocation'!C44)</f>
        <v/>
      </c>
      <c r="F44" t="str">
        <f>IF(A44="","",SUM('Asset Allocation'!D44,'Asset Allocation'!E44,'Asset Allocation'!AI44,'Asset Allocation'!AJ44)/'Broad Asset Allocation'!C44)</f>
        <v/>
      </c>
    </row>
    <row r="45" spans="1:6" x14ac:dyDescent="0.25">
      <c r="A45" t="str">
        <f>IF(Input!A46="","",Input!A46)</f>
        <v/>
      </c>
      <c r="B45" t="str">
        <f>IF(A45="","",SUM('Asset Allocation'!B45,'Asset Allocation'!C45,'Asset Allocation'!V45)/'Broad Asset Allocation'!C45)</f>
        <v/>
      </c>
      <c r="C45" t="str">
        <f>IF(A45="","",SUM('Asset Allocation'!G45,'Asset Allocation'!W45,'Asset Allocation'!AA45,'Asset Allocation'!AH45)/'Broad Asset Allocation'!C45)</f>
        <v/>
      </c>
      <c r="D45" t="str">
        <f>IF(A45="","",SUM('Asset Allocation'!H45,'Asset Allocation'!I45,'Asset Allocation'!X45)/'Broad Asset Allocation'!C45)</f>
        <v/>
      </c>
      <c r="E45" t="str">
        <f>IF(A45="","",SUM('Asset Allocation'!J45,'Asset Allocation'!AB45)/'Broad Asset Allocation'!C45)</f>
        <v/>
      </c>
      <c r="F45" t="str">
        <f>IF(A45="","",SUM('Asset Allocation'!D45,'Asset Allocation'!E45,'Asset Allocation'!AI45,'Asset Allocation'!AJ45)/'Broad Asset Allocation'!C45)</f>
        <v/>
      </c>
    </row>
    <row r="46" spans="1:6" x14ac:dyDescent="0.25">
      <c r="A46" t="str">
        <f>IF(Input!A47="","",Input!A47)</f>
        <v/>
      </c>
      <c r="B46" t="str">
        <f>IF(A46="","",SUM('Asset Allocation'!B46,'Asset Allocation'!C46,'Asset Allocation'!V46)/'Broad Asset Allocation'!C46)</f>
        <v/>
      </c>
      <c r="C46" t="str">
        <f>IF(A46="","",SUM('Asset Allocation'!G46,'Asset Allocation'!W46,'Asset Allocation'!AA46,'Asset Allocation'!AH46)/'Broad Asset Allocation'!C46)</f>
        <v/>
      </c>
      <c r="D46" t="str">
        <f>IF(A46="","",SUM('Asset Allocation'!H46,'Asset Allocation'!I46,'Asset Allocation'!X46)/'Broad Asset Allocation'!C46)</f>
        <v/>
      </c>
      <c r="E46" t="str">
        <f>IF(A46="","",SUM('Asset Allocation'!J46,'Asset Allocation'!AB46)/'Broad Asset Allocation'!C46)</f>
        <v/>
      </c>
      <c r="F46" t="str">
        <f>IF(A46="","",SUM('Asset Allocation'!D46,'Asset Allocation'!E46,'Asset Allocation'!AI46,'Asset Allocation'!AJ46)/'Broad Asset Allocation'!C46)</f>
        <v/>
      </c>
    </row>
    <row r="47" spans="1:6" x14ac:dyDescent="0.25">
      <c r="A47" t="str">
        <f>IF(Input!A48="","",Input!A48)</f>
        <v/>
      </c>
      <c r="B47" t="str">
        <f>IF(A47="","",SUM('Asset Allocation'!B47,'Asset Allocation'!C47,'Asset Allocation'!V47)/'Broad Asset Allocation'!C47)</f>
        <v/>
      </c>
      <c r="C47" t="str">
        <f>IF(A47="","",SUM('Asset Allocation'!G47,'Asset Allocation'!W47,'Asset Allocation'!AA47,'Asset Allocation'!AH47)/'Broad Asset Allocation'!C47)</f>
        <v/>
      </c>
      <c r="D47" t="str">
        <f>IF(A47="","",SUM('Asset Allocation'!H47,'Asset Allocation'!I47,'Asset Allocation'!X47)/'Broad Asset Allocation'!C47)</f>
        <v/>
      </c>
      <c r="E47" t="str">
        <f>IF(A47="","",SUM('Asset Allocation'!J47,'Asset Allocation'!AB47)/'Broad Asset Allocation'!C47)</f>
        <v/>
      </c>
      <c r="F47" t="str">
        <f>IF(A47="","",SUM('Asset Allocation'!D47,'Asset Allocation'!E47,'Asset Allocation'!AI47,'Asset Allocation'!AJ47)/'Broad Asset Allocation'!C47)</f>
        <v/>
      </c>
    </row>
    <row r="48" spans="1:6" x14ac:dyDescent="0.25">
      <c r="A48" t="str">
        <f>IF(Input!A49="","",Input!A49)</f>
        <v/>
      </c>
      <c r="B48" t="str">
        <f>IF(A48="","",SUM('Asset Allocation'!B48,'Asset Allocation'!C48,'Asset Allocation'!V48)/'Broad Asset Allocation'!C48)</f>
        <v/>
      </c>
      <c r="C48" t="str">
        <f>IF(A48="","",SUM('Asset Allocation'!G48,'Asset Allocation'!W48,'Asset Allocation'!AA48,'Asset Allocation'!AH48)/'Broad Asset Allocation'!C48)</f>
        <v/>
      </c>
      <c r="D48" t="str">
        <f>IF(A48="","",SUM('Asset Allocation'!H48,'Asset Allocation'!I48,'Asset Allocation'!X48)/'Broad Asset Allocation'!C48)</f>
        <v/>
      </c>
      <c r="E48" t="str">
        <f>IF(A48="","",SUM('Asset Allocation'!J48,'Asset Allocation'!AB48)/'Broad Asset Allocation'!C48)</f>
        <v/>
      </c>
      <c r="F48" t="str">
        <f>IF(A48="","",SUM('Asset Allocation'!D48,'Asset Allocation'!E48,'Asset Allocation'!AI48,'Asset Allocation'!AJ48)/'Broad Asset Allocation'!C48)</f>
        <v/>
      </c>
    </row>
    <row r="49" spans="1:6" x14ac:dyDescent="0.25">
      <c r="A49" t="str">
        <f>IF(Input!A50="","",Input!A50)</f>
        <v/>
      </c>
      <c r="B49" t="str">
        <f>IF(A49="","",SUM('Asset Allocation'!B49,'Asset Allocation'!C49,'Asset Allocation'!V49)/'Broad Asset Allocation'!C49)</f>
        <v/>
      </c>
      <c r="C49" t="str">
        <f>IF(A49="","",SUM('Asset Allocation'!G49,'Asset Allocation'!W49,'Asset Allocation'!AA49,'Asset Allocation'!AH49)/'Broad Asset Allocation'!C49)</f>
        <v/>
      </c>
      <c r="D49" t="str">
        <f>IF(A49="","",SUM('Asset Allocation'!H49,'Asset Allocation'!I49,'Asset Allocation'!X49)/'Broad Asset Allocation'!C49)</f>
        <v/>
      </c>
      <c r="E49" t="str">
        <f>IF(A49="","",SUM('Asset Allocation'!J49,'Asset Allocation'!AB49)/'Broad Asset Allocation'!C49)</f>
        <v/>
      </c>
      <c r="F49" t="str">
        <f>IF(A49="","",SUM('Asset Allocation'!D49,'Asset Allocation'!E49,'Asset Allocation'!AI49,'Asset Allocation'!AJ49)/'Broad Asset Allocation'!C49)</f>
        <v/>
      </c>
    </row>
    <row r="50" spans="1:6" x14ac:dyDescent="0.25">
      <c r="A50" t="str">
        <f>IF(Input!A51="","",Input!A51)</f>
        <v/>
      </c>
      <c r="B50" t="str">
        <f>IF(A50="","",SUM('Asset Allocation'!B50,'Asset Allocation'!C50,'Asset Allocation'!V50)/'Broad Asset Allocation'!C50)</f>
        <v/>
      </c>
      <c r="C50" t="str">
        <f>IF(A50="","",SUM('Asset Allocation'!G50,'Asset Allocation'!W50,'Asset Allocation'!AA50,'Asset Allocation'!AH50)/'Broad Asset Allocation'!C50)</f>
        <v/>
      </c>
      <c r="D50" t="str">
        <f>IF(A50="","",SUM('Asset Allocation'!H50,'Asset Allocation'!I50,'Asset Allocation'!X50)/'Broad Asset Allocation'!C50)</f>
        <v/>
      </c>
      <c r="E50" t="str">
        <f>IF(A50="","",SUM('Asset Allocation'!J50,'Asset Allocation'!AB50)/'Broad Asset Allocation'!C50)</f>
        <v/>
      </c>
      <c r="F50" t="str">
        <f>IF(A50="","",SUM('Asset Allocation'!D50,'Asset Allocation'!E50,'Asset Allocation'!AI50,'Asset Allocation'!AJ50)/'Broad Asset Allocation'!C50)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  <col min="20" max="20" width="8.7109375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37</vt:i4>
      </vt:variant>
    </vt:vector>
  </HeadingPairs>
  <TitlesOfParts>
    <vt:vector size="37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3 Year Performance</vt:lpstr>
      <vt:lpstr>5 Year Performance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2023-12-11T18:49:12Z</dcterms:modified>
</cp:coreProperties>
</file>