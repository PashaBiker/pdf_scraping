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abrdn\"/>
    </mc:Choice>
  </mc:AlternateContent>
  <bookViews>
    <workbookView xWindow="-105" yWindow="-105" windowWidth="19425" windowHeight="1102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<sst xmlns="http://schemas.openxmlformats.org/spreadsheetml/2006/main" count="168" uniqueCount="143">
  <si>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</si>
  <si>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</si>
  <si>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</si>
  <si>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</si>
  <si>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</si>
  <si>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</si>
  <si>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</si>
  <si>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</si>
  <si>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</si>
  <si>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</si>
  <si>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</si>
  <si>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</si>
  <si>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</si>
  <si>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</si>
  <si>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</si>
  <si>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</si>
  <si>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</si>
  <si>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</si>
  <si>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</si>
  <si>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</si>
  <si>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</si>
  <si>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</si>
  <si>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</si>
  <si>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</si>
  <si>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</si>
  <si>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</si>
  <si>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</si>
  <si>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</si>
  <si>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</si>
  <si>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</si>
  <si>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</si>
  <si>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</si>
  <si>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</si>
  <si>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</si>
  <si>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</si>
  <si>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</si>
  <si>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</si>
  <si>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</si>
  <si>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</si>
  <si>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</si>
  <si>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</si>
  <si>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</si>
  <si>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</si>
  <si>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</si>
  <si>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</si>
  <si>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</si>
  <si>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</si>
  <si>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</si>
  <si>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</si>
  <si>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</si>
  <si>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</si>
  <si>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</si>
  <si>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</si>
  <si>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</si>
  <si>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</si>
  <si>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</si>
  <si>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</si>
  <si>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</si>
  <si>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</si>
  <si>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</si>
  <si>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</si>
  <si>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</si>
  <si>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</si>
  <si>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</si>
  <si>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</si>
  <si>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</si>
  <si>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</si>
  <si>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</si>
  <si>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</si>
  <si>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</si>
  <si>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</si>
  <si>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</si>
  <si>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</si>
  <si>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</si>
  <si>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</si>
  <si>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</si>
  <si>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</si>
  <si>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</si>
  <si>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</si>
  <si>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</si>
  <si>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</si>
  <si>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</si>
  <si>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</si>
  <si>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</si>
  <si>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</si>
  <si>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</si>
  <si>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</si>
  <si>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</si>
  <si>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</si>
  <si>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</si>
  <si>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</si>
  <si>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</si>
  <si>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</si>
  <si>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</si>
  <si>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</si>
  <si>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</si>
  <si>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</si>
  <si>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</si>
  <si>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</si>
  <si>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</si>
  <si>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</si>
  <si>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</si>
  <si>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abrdn Index MPS portfolio 1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</si>
  <si>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</si>
  <si>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</si>
  <si>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</si>
  <si>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</si>
  <si>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</si>
  <si>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</si>
  <si>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</si>
  <si>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</si>
  <si>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</si>
  <si>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</si>
  <si>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</si>
  <si>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</si>
  <si>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</si>
  <si>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</si>
  <si>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</si>
  <si>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</si>
  <si>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4</t>
  </si>
  <si>
    <t>abrdn Sustainable Index MPS portfolio 5</t>
  </si>
  <si>
    <t>abrdn Sustainable Index MPS portfolio 3</t>
  </si>
  <si>
    <t>US Government Bonds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</si>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</sst>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J6" sqref="J6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50"/>
  <sheetViews>
    <sheetView tabSelected="1" workbookViewId="0">
      <selection activeCell="O20" sqref="O20"/>
    </sheetView>
  </sheetViews>
  <sheetFormatPr defaultRowHeight="15" x14ac:dyDescent="0.25"/>
  <cols>
    <col min="1" max="1" width="32.5703125" bestFit="1" customWidth="1"/>
    <col min="2" max="3" width="19.140625" customWidth="1"/>
    <col min="4" max="4" width="17.42578125" bestFit="1" customWidth="1"/>
    <col min="5" max="5" width="21.5703125" bestFit="1" customWidth="1"/>
    <col min="6" max="6" width="13.7109375" bestFit="1" customWidth="1"/>
    <col min="7" max="7" width="21.5703125" bestFit="1" customWidth="1"/>
    <col min="8" max="8" width="13.7109375" bestFit="1" customWidth="1"/>
  </cols>
  <sheetData>
    <row r="1" spans="1:14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</row>
    <row r="2" spans="1:14" x14ac:dyDescent="0.25">
      <c r="A2" t="str">
        <f>IF(Input!A3="","",Input!A3)</f>
        <v>abrdn MPS - Portfolio 1</v>
      </c>
      <c r="B2" s="1">
        <v>45229</v>
      </c>
      <c r="C2" s="5">
        <v>41974</v>
      </c>
      <c r="D2" s="6">
        <v>3.3099999999999997E-2</v>
      </c>
      <c r="E2" s="6">
        <v>2.5000000000000001E-3</v>
      </c>
      <c r="F2" s="6">
        <v>3.3E-3</v>
      </c>
      <c r="G2" s="6">
        <v>-1.04E-2</v>
      </c>
      <c r="H2" s="6">
        <v>-2.63E-2</v>
      </c>
      <c r="I2" s="6">
        <v>-2.4799999999999999E-2</v>
      </c>
      <c r="J2" s="6">
        <v>2.8999999999999998E-3</v>
      </c>
      <c r="K2" s="6">
        <v>-4.9200000000000001E-2</v>
      </c>
      <c r="L2" s="6">
        <v>4.9500000000000002E-2</v>
      </c>
      <c r="M2" s="6">
        <v>0.14760000000000001</v>
      </c>
      <c r="N2" s="6">
        <v>6.1799999999999994E-2</v>
      </c>
    </row>
    <row r="3" spans="1:14" x14ac:dyDescent="0.25">
      <c r="A3" t="str">
        <f>IF(Input!A4="","",Input!A4)</f>
        <v>abrdn MPS - Portfolio 2</v>
      </c>
      <c r="B3" s="1">
        <v>45229</v>
      </c>
      <c r="C3" s="5">
        <v>41974</v>
      </c>
      <c r="D3" s="6">
        <v>3.1400000000000004E-2</v>
      </c>
      <c r="E3" s="6">
        <v>2.5000000000000001E-3</v>
      </c>
      <c r="F3" s="6">
        <v>3.9000000000000003E-3</v>
      </c>
      <c r="G3" s="6">
        <v>-1.5600000000000001E-2</v>
      </c>
      <c r="H3" s="6">
        <v>-3.2500000000000001E-2</v>
      </c>
      <c r="I3" s="6">
        <v>-2.07E-2</v>
      </c>
      <c r="J3" s="6">
        <v>1.3000000000000001E-2</v>
      </c>
      <c r="K3" s="6">
        <v>4.8799999999999996E-2</v>
      </c>
      <c r="L3" s="6">
        <v>0.14929999999999999</v>
      </c>
      <c r="M3" s="6">
        <v>0.28339999999999999</v>
      </c>
      <c r="N3" s="6">
        <v>7.3399999999999993E-2</v>
      </c>
    </row>
    <row r="4" spans="1:14" x14ac:dyDescent="0.25">
      <c r="A4" t="str">
        <f>IF(Input!A5="","",Input!A5)</f>
        <v>abrdn MPS - Portfolio 3</v>
      </c>
      <c r="B4" s="1">
        <v>45229</v>
      </c>
      <c r="C4" s="5">
        <v>41974</v>
      </c>
      <c r="D4" s="6">
        <v>2.69E-2</v>
      </c>
      <c r="E4" s="6">
        <v>2.5000000000000001E-3</v>
      </c>
      <c r="F4" s="6">
        <v>4.0999999999999995E-3</v>
      </c>
      <c r="G4" s="6">
        <v>-1.9599999999999999E-2</v>
      </c>
      <c r="H4" s="6">
        <v>-3.7599999999999995E-2</v>
      </c>
      <c r="I4" s="6">
        <v>-1.9699999999999999E-2</v>
      </c>
      <c r="J4" s="6">
        <v>2.07E-2</v>
      </c>
      <c r="K4" s="6">
        <v>0.11890000000000001</v>
      </c>
      <c r="L4" s="6">
        <v>0.21329999999999999</v>
      </c>
      <c r="M4" s="6">
        <v>0.48710000000000003</v>
      </c>
      <c r="N4" s="6">
        <v>8.7599999999999997E-2</v>
      </c>
    </row>
    <row r="5" spans="1:14" x14ac:dyDescent="0.25">
      <c r="A5" t="str">
        <f>IF(Input!A6="","",Input!A6)</f>
        <v>abrdn MPS - Portfolio 4</v>
      </c>
      <c r="B5" s="1">
        <v>45229</v>
      </c>
      <c r="C5" s="5">
        <v>41974</v>
      </c>
      <c r="D5" s="6">
        <v>2.2400000000000003E-2</v>
      </c>
      <c r="E5" s="6">
        <v>2.5000000000000001E-3</v>
      </c>
      <c r="F5" s="6">
        <v>4.3E-3</v>
      </c>
      <c r="G5" s="6">
        <v>-2.3799999999999998E-2</v>
      </c>
      <c r="H5" s="6">
        <v>-4.3899999999999995E-2</v>
      </c>
      <c r="I5" s="6">
        <v>-1.77E-2</v>
      </c>
      <c r="J5" s="6">
        <v>2.6600000000000002E-2</v>
      </c>
      <c r="K5" s="6">
        <v>0.2077</v>
      </c>
      <c r="L5" s="6">
        <v>0.2878</v>
      </c>
      <c r="M5" s="6">
        <v>0.68799999999999994</v>
      </c>
      <c r="N5" s="6">
        <v>0.10150000000000001</v>
      </c>
    </row>
    <row r="6" spans="1:14" x14ac:dyDescent="0.25">
      <c r="A6" t="str">
        <f>IF(Input!A7="","",Input!A7)</f>
        <v>abrdn MPS - Portfolio 5</v>
      </c>
      <c r="B6" s="1">
        <v>45229</v>
      </c>
      <c r="C6" s="5">
        <v>41974</v>
      </c>
      <c r="D6" s="6">
        <v>1.7899999999999999E-2</v>
      </c>
      <c r="E6" s="6">
        <v>2.5000000000000001E-3</v>
      </c>
      <c r="F6" s="6">
        <v>4.3E-3</v>
      </c>
      <c r="G6" s="6">
        <v>-2.63E-2</v>
      </c>
      <c r="H6" s="6">
        <v>-4.5199999999999997E-2</v>
      </c>
      <c r="I6" s="6">
        <v>-1.1699999999999999E-2</v>
      </c>
      <c r="J6" s="6">
        <v>3.4300000000000004E-2</v>
      </c>
      <c r="K6" s="6">
        <v>0.28059999999999996</v>
      </c>
      <c r="L6" s="6">
        <v>0.3664</v>
      </c>
      <c r="M6" s="6">
        <v>0.85180000000000011</v>
      </c>
      <c r="N6" s="6">
        <v>0.1149</v>
      </c>
    </row>
    <row r="7" spans="1:14" x14ac:dyDescent="0.25">
      <c r="A7" t="str">
        <f>IF(Input!A8="","",Input!A8)</f>
        <v>abrdn Index MPS - Portfolio 1</v>
      </c>
      <c r="B7" s="1">
        <v>45229</v>
      </c>
      <c r="C7" s="5">
        <v>43593</v>
      </c>
      <c r="D7" s="6">
        <v>2.87E-2</v>
      </c>
      <c r="E7" s="6">
        <v>1E-3</v>
      </c>
      <c r="F7" s="6">
        <v>1E-3</v>
      </c>
      <c r="G7" s="6">
        <v>-9.0000000000000011E-3</v>
      </c>
      <c r="H7" s="6">
        <v>-2.4700000000000003E-2</v>
      </c>
      <c r="I7" s="6">
        <v>-2.4199999999999999E-2</v>
      </c>
      <c r="J7" s="6">
        <v>1.23E-2</v>
      </c>
      <c r="K7" s="6">
        <v>-2.58E-2</v>
      </c>
      <c r="L7" s="6"/>
      <c r="M7" s="6">
        <v>6.6E-3</v>
      </c>
      <c r="N7" s="6">
        <v>0.06</v>
      </c>
    </row>
    <row r="8" spans="1:14" x14ac:dyDescent="0.25">
      <c r="A8" t="str">
        <f>IF(Input!A9="","",Input!A9)</f>
        <v>abrdn Index MPS - Portfolio 2</v>
      </c>
      <c r="B8" s="1">
        <v>45229</v>
      </c>
      <c r="C8" s="5">
        <v>43593</v>
      </c>
      <c r="D8" s="6">
        <v>2.8799999999999999E-2</v>
      </c>
      <c r="E8" s="6">
        <v>1E-3</v>
      </c>
      <c r="F8" s="6">
        <v>1.1000000000000001E-3</v>
      </c>
      <c r="G8" s="6">
        <v>-1.47E-2</v>
      </c>
      <c r="H8" s="6">
        <v>-3.15E-2</v>
      </c>
      <c r="I8" s="6">
        <v>-2.0299999999999999E-2</v>
      </c>
      <c r="J8" s="6">
        <v>2.29E-2</v>
      </c>
      <c r="K8" s="6">
        <v>4.4400000000000002E-2</v>
      </c>
      <c r="L8" s="6"/>
      <c r="M8" s="6">
        <v>6.3099999999999989E-2</v>
      </c>
      <c r="N8" s="6">
        <v>7.0800000000000002E-2</v>
      </c>
    </row>
    <row r="9" spans="1:14" x14ac:dyDescent="0.25">
      <c r="A9" t="str">
        <f>IF(Input!A10="","",Input!A10)</f>
        <v>abrdn Index MPS - Portfolio 3</v>
      </c>
      <c r="B9" s="1">
        <v>45229</v>
      </c>
      <c r="C9" s="5">
        <v>43593</v>
      </c>
      <c r="D9" s="6">
        <v>2.87E-2</v>
      </c>
      <c r="E9" s="6">
        <v>1E-3</v>
      </c>
      <c r="F9" s="6">
        <v>1.1999999999999999E-3</v>
      </c>
      <c r="G9" s="6">
        <v>-1.9099999999999999E-2</v>
      </c>
      <c r="H9" s="6">
        <v>-3.61E-2</v>
      </c>
      <c r="I9" s="6">
        <v>-1.72E-2</v>
      </c>
      <c r="J9" s="6">
        <v>2.9900000000000003E-2</v>
      </c>
      <c r="K9" s="6">
        <v>0.1303</v>
      </c>
      <c r="L9" s="6"/>
      <c r="M9" s="6">
        <v>0.13200000000000001</v>
      </c>
      <c r="N9" s="6">
        <v>8.2100000000000006E-2</v>
      </c>
    </row>
    <row r="10" spans="1:14" x14ac:dyDescent="0.25">
      <c r="A10" t="str">
        <f>IF(Input!A11="","",Input!A11)</f>
        <v>abrdn Index MPS - Portfolio 4</v>
      </c>
      <c r="B10" s="1">
        <v>45229</v>
      </c>
      <c r="C10" s="5">
        <v>43593</v>
      </c>
      <c r="D10" s="6">
        <v>2.76E-2</v>
      </c>
      <c r="E10" s="6">
        <v>1E-3</v>
      </c>
      <c r="F10" s="6">
        <v>1.1000000000000001E-3</v>
      </c>
      <c r="G10" s="6">
        <v>-2.4E-2</v>
      </c>
      <c r="H10" s="6">
        <v>-4.1799999999999997E-2</v>
      </c>
      <c r="I10" s="6">
        <v>-1.5600000000000001E-2</v>
      </c>
      <c r="J10" s="6">
        <v>3.44E-2</v>
      </c>
      <c r="K10" s="6">
        <v>0.19589999999999999</v>
      </c>
      <c r="L10" s="6"/>
      <c r="M10" s="6">
        <v>0.18170000000000003</v>
      </c>
      <c r="N10" s="6">
        <v>9.4100000000000003E-2</v>
      </c>
    </row>
    <row r="11" spans="1:14" x14ac:dyDescent="0.25">
      <c r="A11" t="str">
        <f>IF(Input!A12="","",Input!A12)</f>
        <v>abrdn Index MPS - Portfolio 5</v>
      </c>
      <c r="B11" s="1">
        <v>45229</v>
      </c>
      <c r="C11" s="5">
        <v>43593</v>
      </c>
      <c r="D11" s="6">
        <v>2.3599999999999999E-2</v>
      </c>
      <c r="E11" s="6">
        <v>1E-3</v>
      </c>
      <c r="F11" s="6">
        <v>8.9999999999999998E-4</v>
      </c>
      <c r="G11" s="6">
        <v>-2.7900000000000001E-2</v>
      </c>
      <c r="H11" s="6">
        <v>-4.4999999999999998E-2</v>
      </c>
      <c r="I11" s="6">
        <v>-1.1699999999999999E-2</v>
      </c>
      <c r="J11" s="6">
        <v>4.2900000000000001E-2</v>
      </c>
      <c r="K11" s="6">
        <v>0.28309999999999996</v>
      </c>
      <c r="L11" s="6"/>
      <c r="M11" s="6">
        <v>0.27260000000000001</v>
      </c>
      <c r="N11" s="6">
        <v>0.1014</v>
      </c>
    </row>
    <row r="12" spans="1:14" x14ac:dyDescent="0.25">
      <c r="A12" t="str">
        <f>IF(Input!A13="","",Input!A13)</f>
        <v>Sustainable MPS - Portfolio 1</v>
      </c>
      <c r="B12" s="1">
        <v>45229</v>
      </c>
      <c r="C12" s="5">
        <v>44041</v>
      </c>
      <c r="D12" s="6">
        <v>2.4300000000000002E-2</v>
      </c>
      <c r="E12" s="6">
        <v>2E-3</v>
      </c>
      <c r="F12" s="6">
        <v>3.2000000000000002E-3</v>
      </c>
      <c r="G12" s="6">
        <v>-1.32E-2</v>
      </c>
      <c r="H12" s="6">
        <v>-3.6200000000000003E-2</v>
      </c>
      <c r="I12" s="6">
        <v>-4.1200000000000001E-2</v>
      </c>
      <c r="J12" s="6">
        <v>-7.7000000000000002E-3</v>
      </c>
      <c r="K12" s="6">
        <v>-0.13739999999999999</v>
      </c>
      <c r="L12" s="6"/>
      <c r="M12" s="6">
        <v>-0.14130000000000001</v>
      </c>
      <c r="N12" s="6">
        <v>6.6299999999999998E-2</v>
      </c>
    </row>
    <row r="13" spans="1:14" x14ac:dyDescent="0.25">
      <c r="A13" t="str">
        <f>IF(Input!A14="","",Input!A14)</f>
        <v>Sustainable MPS - Portfolio 2</v>
      </c>
      <c r="B13" s="1">
        <v>45229</v>
      </c>
      <c r="C13" s="5">
        <v>44041</v>
      </c>
      <c r="D13" s="6">
        <v>2.1299999999999999E-2</v>
      </c>
      <c r="E13" s="6">
        <v>2E-3</v>
      </c>
      <c r="F13" s="6">
        <v>4.0999999999999995E-3</v>
      </c>
      <c r="G13" s="6">
        <v>-2.12E-2</v>
      </c>
      <c r="H13" s="6">
        <v>-5.1299999999999998E-2</v>
      </c>
      <c r="I13" s="6">
        <v>-5.1500000000000004E-2</v>
      </c>
      <c r="J13" s="6">
        <v>-1.1899999999999999E-2</v>
      </c>
      <c r="K13" s="6">
        <v>-8.09E-2</v>
      </c>
      <c r="L13" s="6"/>
      <c r="M13" s="6">
        <v>-7.9100000000000004E-2</v>
      </c>
      <c r="N13" s="6">
        <v>8.3299999999999999E-2</v>
      </c>
    </row>
    <row r="14" spans="1:14" x14ac:dyDescent="0.25">
      <c r="A14" t="str">
        <f>IF(Input!A15="","",Input!A15)</f>
        <v>Sustainable MPS - Portfolio 3</v>
      </c>
      <c r="B14" s="1">
        <v>45229</v>
      </c>
      <c r="C14" s="5">
        <v>44041</v>
      </c>
      <c r="D14" s="6">
        <v>1.9900000000000001E-2</v>
      </c>
      <c r="E14" s="6">
        <v>2E-3</v>
      </c>
      <c r="F14" s="6">
        <v>4.7999999999999996E-3</v>
      </c>
      <c r="G14" s="6">
        <v>-2.7400000000000001E-2</v>
      </c>
      <c r="H14" s="6">
        <v>-6.3500000000000001E-2</v>
      </c>
      <c r="I14" s="6">
        <v>-6.13E-2</v>
      </c>
      <c r="J14" s="6">
        <v>-1.8799999999999997E-2</v>
      </c>
      <c r="K14" s="6">
        <v>-4.1799999999999997E-2</v>
      </c>
      <c r="L14" s="6"/>
      <c r="M14" s="6">
        <v>-3.4700000000000002E-2</v>
      </c>
      <c r="N14" s="6">
        <v>0.1024</v>
      </c>
    </row>
    <row r="15" spans="1:14" x14ac:dyDescent="0.25">
      <c r="A15" t="str">
        <f>IF(Input!A16="","",Input!A16)</f>
        <v>Sustainable MPS - Portfolio 4</v>
      </c>
      <c r="B15" s="1">
        <v>45229</v>
      </c>
      <c r="C15" s="5">
        <v>44041</v>
      </c>
      <c r="D15" s="6">
        <v>1.6799999999999999E-2</v>
      </c>
      <c r="E15" s="6">
        <v>2E-3</v>
      </c>
      <c r="F15" s="6">
        <v>5.5000000000000005E-3</v>
      </c>
      <c r="G15" s="6">
        <v>-3.4599999999999999E-2</v>
      </c>
      <c r="H15" s="6">
        <v>-7.6499999999999999E-2</v>
      </c>
      <c r="I15" s="6">
        <v>-7.0999999999999994E-2</v>
      </c>
      <c r="J15" s="6">
        <v>-2.3799999999999998E-2</v>
      </c>
      <c r="K15" s="6">
        <v>4.0999999999999995E-3</v>
      </c>
      <c r="L15" s="6"/>
      <c r="M15" s="6">
        <v>1.66E-2</v>
      </c>
      <c r="N15" s="6">
        <v>0.11779999999999999</v>
      </c>
    </row>
    <row r="16" spans="1:14" x14ac:dyDescent="0.25">
      <c r="A16" t="str">
        <f>IF(Input!A17="","",Input!A17)</f>
        <v>Sustainable MPS - Portfolio 5</v>
      </c>
      <c r="B16" s="1">
        <v>45229</v>
      </c>
      <c r="C16" s="5">
        <v>44041</v>
      </c>
      <c r="D16" s="6">
        <v>1.0500000000000001E-2</v>
      </c>
      <c r="E16" s="6">
        <v>2E-3</v>
      </c>
      <c r="F16" s="6">
        <v>6.4000000000000003E-3</v>
      </c>
      <c r="G16" s="6">
        <v>-4.1299999999999996E-2</v>
      </c>
      <c r="H16" s="6">
        <v>-8.900000000000001E-2</v>
      </c>
      <c r="I16" s="6">
        <v>-8.3000000000000004E-2</v>
      </c>
      <c r="J16" s="6">
        <v>-3.4599999999999999E-2</v>
      </c>
      <c r="K16" s="6">
        <v>2.98E-2</v>
      </c>
      <c r="L16" s="6"/>
      <c r="M16" s="6">
        <v>4.5899999999999996E-2</v>
      </c>
      <c r="N16" s="6">
        <v>0.13550000000000001</v>
      </c>
    </row>
    <row r="17" spans="1:14" x14ac:dyDescent="0.25">
      <c r="A17" t="str">
        <f>IF(Input!A18="","",Input!A18)</f>
        <v>Sustainable Index MPS - Portfolio 1</v>
      </c>
      <c r="B17" s="1">
        <v>45229</v>
      </c>
      <c r="C17" s="5">
        <v>44739</v>
      </c>
      <c r="D17" s="6">
        <v>2.9100000000000001E-2</v>
      </c>
      <c r="E17" s="6">
        <v>1E-3</v>
      </c>
      <c r="F17" s="6">
        <v>1.1999999999999999E-3</v>
      </c>
      <c r="G17" s="6">
        <v>-9.1000000000000004E-3</v>
      </c>
      <c r="H17" s="6">
        <v>-2.5399999999999999E-2</v>
      </c>
      <c r="I17" s="6">
        <v>-2.53E-2</v>
      </c>
      <c r="J17" s="6">
        <v>1.34E-2</v>
      </c>
      <c r="K17" s="6"/>
      <c r="L17" s="6"/>
      <c r="M17" s="6">
        <v>-0.02</v>
      </c>
      <c r="N17" s="6"/>
    </row>
    <row r="18" spans="1:14" x14ac:dyDescent="0.25">
      <c r="A18" t="str">
        <f>IF(Input!A19="","",Input!A19)</f>
        <v>Sustainable Index MPS - Portfolio 2</v>
      </c>
      <c r="B18" s="1">
        <v>45229</v>
      </c>
      <c r="C18" s="5">
        <v>44739</v>
      </c>
      <c r="D18" s="6">
        <v>2.8999999999999998E-2</v>
      </c>
      <c r="E18" s="6">
        <v>1E-3</v>
      </c>
      <c r="F18" s="6">
        <v>1.4000000000000002E-3</v>
      </c>
      <c r="G18" s="6">
        <v>-1.5100000000000001E-2</v>
      </c>
      <c r="H18" s="6">
        <v>-3.1899999999999998E-2</v>
      </c>
      <c r="I18" s="6">
        <v>-2.1400000000000002E-2</v>
      </c>
      <c r="J18" s="6">
        <v>2.3E-2</v>
      </c>
      <c r="K18" s="6"/>
      <c r="L18" s="6"/>
      <c r="M18" s="6">
        <v>-2.9999999999999997E-4</v>
      </c>
      <c r="N18" s="6"/>
    </row>
    <row r="19" spans="1:14" x14ac:dyDescent="0.25">
      <c r="A19" t="str">
        <f>IF(Input!A20="","",Input!A20)</f>
        <v>Sustainable Index MPS - Portfolio 3</v>
      </c>
      <c r="B19" s="1">
        <v>45229</v>
      </c>
      <c r="C19" s="5">
        <v>44739</v>
      </c>
      <c r="D19" s="6">
        <v>2.86E-2</v>
      </c>
      <c r="E19" s="6">
        <v>1E-3</v>
      </c>
      <c r="F19" s="6">
        <v>1.4000000000000002E-3</v>
      </c>
      <c r="G19" s="6">
        <v>-1.9299999999999998E-2</v>
      </c>
      <c r="H19" s="6">
        <v>-3.6000000000000004E-2</v>
      </c>
      <c r="I19" s="6">
        <v>-1.7600000000000001E-2</v>
      </c>
      <c r="J19" s="6">
        <v>3.2400000000000005E-2</v>
      </c>
      <c r="K19" s="6"/>
      <c r="L19" s="6"/>
      <c r="M19" s="6">
        <v>2.18E-2</v>
      </c>
      <c r="N19" s="6"/>
    </row>
    <row r="20" spans="1:14" x14ac:dyDescent="0.25">
      <c r="A20" t="str">
        <f>IF(Input!A21="","",Input!A21)</f>
        <v>Sustainable Index MPS - Portfolio 4</v>
      </c>
      <c r="B20" s="1">
        <v>45229</v>
      </c>
      <c r="C20" s="5">
        <v>44739</v>
      </c>
      <c r="D20" s="6">
        <v>2.75E-2</v>
      </c>
      <c r="E20" s="6">
        <v>1E-3</v>
      </c>
      <c r="F20" s="6">
        <v>1.2999999999999999E-3</v>
      </c>
      <c r="G20" s="6">
        <v>-2.3900000000000001E-2</v>
      </c>
      <c r="H20" s="6">
        <v>-4.0999999999999995E-2</v>
      </c>
      <c r="I20" s="6">
        <v>-1.55E-2</v>
      </c>
      <c r="J20" s="6">
        <v>3.6499999999999998E-2</v>
      </c>
      <c r="K20" s="6"/>
      <c r="L20" s="6"/>
      <c r="M20" s="6">
        <v>3.5099999999999999E-2</v>
      </c>
      <c r="N20" s="6"/>
    </row>
    <row r="21" spans="1:14" x14ac:dyDescent="0.25">
      <c r="A21" t="str">
        <f>IF(Input!A22="","",Input!A22)</f>
        <v>Sustainable Index MPS - Portfolio 5</v>
      </c>
      <c r="B21" s="1">
        <v>45229</v>
      </c>
      <c r="C21" s="5">
        <v>44739</v>
      </c>
      <c r="D21" s="6">
        <v>2.4399999999999998E-2</v>
      </c>
      <c r="E21" s="6">
        <v>1E-3</v>
      </c>
      <c r="F21" s="6">
        <v>1.1000000000000001E-3</v>
      </c>
      <c r="G21" s="6">
        <v>-2.7300000000000001E-2</v>
      </c>
      <c r="H21" s="6">
        <v>-4.36E-2</v>
      </c>
      <c r="I21" s="6">
        <v>-1.1599999999999999E-2</v>
      </c>
      <c r="J21" s="6">
        <v>4.5700000000000005E-2</v>
      </c>
      <c r="K21" s="6"/>
      <c r="L21" s="6"/>
      <c r="M21" s="6">
        <v>5.8400000000000001E-2</v>
      </c>
      <c r="N21" s="6"/>
    </row>
    <row r="22" spans="1:14" x14ac:dyDescent="0.25">
      <c r="A22" t="str">
        <f>IF(Input!A23="","",Input!A23)</f>
        <v/>
      </c>
    </row>
    <row r="23" spans="1:14" x14ac:dyDescent="0.25">
      <c r="A23" t="str">
        <f>IF(Input!A24="","",Input!A24)</f>
        <v/>
      </c>
    </row>
    <row r="24" spans="1:14" x14ac:dyDescent="0.25">
      <c r="A24" t="str">
        <f>IF(Input!A25="","",Input!A25)</f>
        <v/>
      </c>
    </row>
    <row r="25" spans="1:14" x14ac:dyDescent="0.25">
      <c r="A25" t="str">
        <f>IF(Input!A26="","",Input!A26)</f>
        <v/>
      </c>
    </row>
    <row r="26" spans="1:14" x14ac:dyDescent="0.25">
      <c r="A26" t="str">
        <f>IF(Input!A27="","",Input!A27)</f>
        <v/>
      </c>
    </row>
    <row r="27" spans="1:14" x14ac:dyDescent="0.25">
      <c r="A27" t="str">
        <f>IF(Input!A28="","",Input!A28)</f>
        <v/>
      </c>
    </row>
    <row r="28" spans="1:14" x14ac:dyDescent="0.25">
      <c r="A28" t="str">
        <f>IF(Input!A29="","",Input!A29)</f>
        <v/>
      </c>
    </row>
    <row r="29" spans="1:14" x14ac:dyDescent="0.25">
      <c r="A29" t="str">
        <f>IF(Input!A30="","",Input!A30)</f>
        <v/>
      </c>
    </row>
    <row r="30" spans="1:14" x14ac:dyDescent="0.25">
      <c r="A30" t="str">
        <f>IF(Input!A31="","",Input!A31)</f>
        <v/>
      </c>
    </row>
    <row r="31" spans="1:14" x14ac:dyDescent="0.25">
      <c r="A31" t="str">
        <f>IF(Input!A32="","",Input!A32)</f>
        <v/>
      </c>
    </row>
    <row r="32" spans="1:1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topLeftCell="AL1" zoomScale="55" zoomScaleNormal="55" workbookViewId="0">
      <selection activeCell="BP15" sqref="BP15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6.14062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122</v>
      </c>
    </row>
    <row r="2" spans="1:38" x14ac:dyDescent="0.25">
      <c r="A2" t="str">
        <f>IF(Input!A3="","",Input!A3)</f>
        <v>abrdn MPS - Portfolio 1</v>
      </c>
      <c r="B2" s="6">
        <v>0.12539999999999998</v>
      </c>
      <c r="D2" s="6"/>
      <c r="G2" s="6">
        <v>9.9299999999999999E-2</v>
      </c>
      <c r="H2" s="6">
        <v>0.13930000000000001</v>
      </c>
      <c r="I2" s="6">
        <v>5.0599999999999999E-2</v>
      </c>
      <c r="J2" s="6"/>
      <c r="K2" s="6"/>
      <c r="L2" s="6"/>
      <c r="M2" s="6"/>
      <c r="N2" s="6"/>
      <c r="O2" s="6"/>
      <c r="P2" s="6">
        <v>1.5100000000000001E-2</v>
      </c>
      <c r="Q2" s="6">
        <v>2.6600000000000002E-2</v>
      </c>
      <c r="R2" s="6">
        <v>8.5199999999999998E-2</v>
      </c>
      <c r="S2" s="6">
        <v>2.0199999999999999E-2</v>
      </c>
      <c r="T2" s="6">
        <v>4.0000000000000001E-3</v>
      </c>
      <c r="U2" s="6">
        <v>0.01</v>
      </c>
      <c r="V2" s="6">
        <v>0.1857</v>
      </c>
      <c r="AB2" s="6">
        <v>1.0800000000000001E-2</v>
      </c>
      <c r="AC2" s="6">
        <v>5.0700000000000002E-2</v>
      </c>
      <c r="AD2" s="6">
        <v>8.2200000000000009E-2</v>
      </c>
      <c r="AE2" s="6">
        <v>1.84E-2</v>
      </c>
      <c r="AF2" s="6">
        <v>1.52E-2</v>
      </c>
      <c r="AG2" s="6">
        <v>1.1399999999999999E-2</v>
      </c>
      <c r="AI2" s="6">
        <v>4.5400000000000003E-2</v>
      </c>
      <c r="AL2" s="6">
        <v>0.1244</v>
      </c>
    </row>
    <row r="3" spans="1:38" x14ac:dyDescent="0.25">
      <c r="A3" t="str">
        <f>IF(Input!A4="","",Input!A4)</f>
        <v>abrdn MPS - Portfolio 2</v>
      </c>
      <c r="B3" s="6">
        <v>7.46E-2</v>
      </c>
      <c r="D3" s="6"/>
      <c r="G3" s="6">
        <v>5.1799999999999999E-2</v>
      </c>
      <c r="H3" s="6">
        <v>0.1085</v>
      </c>
      <c r="I3" s="6">
        <v>6.0999999999999999E-2</v>
      </c>
      <c r="J3" s="6"/>
      <c r="K3" s="6"/>
      <c r="L3" s="6"/>
      <c r="M3" s="6"/>
      <c r="N3" s="6"/>
      <c r="O3" s="6"/>
      <c r="P3" s="6">
        <v>2.81E-2</v>
      </c>
      <c r="Q3" s="6">
        <v>4.4800000000000006E-2</v>
      </c>
      <c r="R3" s="6">
        <v>5.7500000000000002E-2</v>
      </c>
      <c r="S3" s="6">
        <v>3.2599999999999997E-2</v>
      </c>
      <c r="T3" s="6">
        <v>8.1000000000000013E-3</v>
      </c>
      <c r="U3" s="6">
        <v>1.01E-2</v>
      </c>
      <c r="V3" s="6">
        <v>0.10210000000000001</v>
      </c>
      <c r="AB3" s="6">
        <v>1.6799999999999999E-2</v>
      </c>
      <c r="AC3" s="6">
        <v>9.4899999999999998E-2</v>
      </c>
      <c r="AD3" s="6">
        <v>0.1525</v>
      </c>
      <c r="AE3" s="6">
        <v>3.3799999999999997E-2</v>
      </c>
      <c r="AF3" s="6">
        <v>2.8300000000000002E-2</v>
      </c>
      <c r="AG3" s="6">
        <v>2.1299999999999999E-2</v>
      </c>
      <c r="AI3" s="6">
        <v>6.6600000000000006E-2</v>
      </c>
      <c r="AL3" s="6">
        <v>6.7000000000000002E-3</v>
      </c>
    </row>
    <row r="4" spans="1:38" x14ac:dyDescent="0.25">
      <c r="A4" t="str">
        <f>IF(Input!A5="","",Input!A5)</f>
        <v>abrdn MPS - Portfolio 3</v>
      </c>
      <c r="B4" s="6">
        <v>6.2300000000000001E-2</v>
      </c>
      <c r="D4" s="6"/>
      <c r="G4" s="6">
        <v>3.73E-2</v>
      </c>
      <c r="H4" s="6">
        <v>6.2899999999999998E-2</v>
      </c>
      <c r="I4" s="6">
        <v>2.52E-2</v>
      </c>
      <c r="J4" s="6"/>
      <c r="K4" s="6"/>
      <c r="L4" s="6"/>
      <c r="M4" s="6"/>
      <c r="N4" s="6"/>
      <c r="O4" s="6"/>
      <c r="P4" s="6">
        <v>3.7499999999999999E-2</v>
      </c>
      <c r="Q4" s="6">
        <v>6.4500000000000002E-2</v>
      </c>
      <c r="R4" s="6">
        <v>2.7400000000000001E-2</v>
      </c>
      <c r="S4" s="6">
        <v>5.1100000000000007E-2</v>
      </c>
      <c r="T4" s="6">
        <v>1.2699999999999999E-2</v>
      </c>
      <c r="U4" s="6">
        <v>1.01E-2</v>
      </c>
      <c r="V4" s="6">
        <v>4.6699999999999998E-2</v>
      </c>
      <c r="AB4" s="6">
        <v>2.9900000000000003E-2</v>
      </c>
      <c r="AC4" s="6">
        <v>0.13070000000000001</v>
      </c>
      <c r="AD4" s="6">
        <v>0.2046</v>
      </c>
      <c r="AE4" s="6">
        <v>4.5899999999999996E-2</v>
      </c>
      <c r="AF4" s="6">
        <v>3.7999999999999999E-2</v>
      </c>
      <c r="AG4" s="6">
        <v>2.8399999999999998E-2</v>
      </c>
      <c r="AI4" s="6">
        <v>7.690000000000001E-2</v>
      </c>
      <c r="AL4" s="6">
        <v>1.1899999999999999E-2</v>
      </c>
    </row>
    <row r="5" spans="1:38" x14ac:dyDescent="0.25">
      <c r="A5" t="str">
        <f>IF(Input!A6="","",Input!A6)</f>
        <v>abrdn MPS - Portfolio 4</v>
      </c>
      <c r="B5" s="6">
        <v>6.0999999999999995E-3</v>
      </c>
      <c r="D5" s="6"/>
      <c r="G5" s="6">
        <v>2.12E-2</v>
      </c>
      <c r="H5" s="6">
        <v>1.66E-2</v>
      </c>
      <c r="I5" s="6">
        <v>1.61E-2</v>
      </c>
      <c r="J5" s="6"/>
      <c r="K5" s="6"/>
      <c r="L5" s="6"/>
      <c r="M5" s="6"/>
      <c r="N5" s="6"/>
      <c r="O5" s="6"/>
      <c r="P5" s="6">
        <v>4.9500000000000002E-2</v>
      </c>
      <c r="Q5" s="6">
        <v>7.51E-2</v>
      </c>
      <c r="R5" s="6">
        <v>2.3900000000000001E-2</v>
      </c>
      <c r="S5" s="6">
        <v>6.1200000000000004E-2</v>
      </c>
      <c r="T5" s="6">
        <v>2.0299999999999999E-2</v>
      </c>
      <c r="U5" s="6">
        <v>1.01E-2</v>
      </c>
      <c r="V5" s="6">
        <v>1.8799999999999997E-2</v>
      </c>
      <c r="AB5" s="6">
        <v>2.3E-2</v>
      </c>
      <c r="AC5" s="6">
        <v>0.16760000000000003</v>
      </c>
      <c r="AD5" s="6">
        <v>0.27029999999999998</v>
      </c>
      <c r="AE5" s="6">
        <v>6.0599999999999994E-2</v>
      </c>
      <c r="AF5" s="6">
        <v>4.99E-2</v>
      </c>
      <c r="AG5" s="6">
        <v>3.7599999999999995E-2</v>
      </c>
      <c r="AI5" s="6">
        <v>6.3E-2</v>
      </c>
      <c r="AL5" s="6">
        <v>9.1000000000000004E-3</v>
      </c>
    </row>
    <row r="6" spans="1:38" x14ac:dyDescent="0.25">
      <c r="A6" t="str">
        <f>IF(Input!A7="","",Input!A7)</f>
        <v>abrdn MPS - Portfolio 5</v>
      </c>
      <c r="H6" s="6">
        <v>1.55E-2</v>
      </c>
      <c r="J6" s="6"/>
      <c r="K6" s="6"/>
      <c r="L6" s="6"/>
      <c r="M6" s="6"/>
      <c r="N6" s="6"/>
      <c r="O6" s="6"/>
      <c r="P6" s="6">
        <v>6.6199999999999995E-2</v>
      </c>
      <c r="Q6" s="6">
        <v>8.3299999999999999E-2</v>
      </c>
      <c r="T6" s="6">
        <v>2.3599999999999999E-2</v>
      </c>
      <c r="U6" s="6">
        <v>1.0200000000000001E-2</v>
      </c>
      <c r="V6" s="6">
        <v>3.0999999999999999E-3</v>
      </c>
      <c r="AB6" s="6">
        <v>5.1000000000000004E-3</v>
      </c>
      <c r="AC6" s="6">
        <v>0.2248</v>
      </c>
      <c r="AD6" s="6">
        <v>0.36450000000000005</v>
      </c>
      <c r="AE6" s="6">
        <v>8.4399999999999989E-2</v>
      </c>
      <c r="AF6" s="6">
        <v>6.7000000000000004E-2</v>
      </c>
      <c r="AG6" s="6">
        <v>5.04E-2</v>
      </c>
      <c r="AL6" s="6">
        <v>2E-3</v>
      </c>
    </row>
    <row r="7" spans="1:38" x14ac:dyDescent="0.25">
      <c r="A7" t="str">
        <f>IF(Input!A8="","",Input!A8)</f>
        <v>abrdn Index MPS - Portfolio 1</v>
      </c>
      <c r="D7" s="6"/>
      <c r="H7" s="6">
        <v>0.17300000000000001</v>
      </c>
      <c r="I7" s="6">
        <v>0.1038</v>
      </c>
      <c r="J7" s="6"/>
      <c r="K7" s="6"/>
      <c r="L7" s="6"/>
      <c r="M7" s="6"/>
      <c r="N7" s="6"/>
      <c r="O7" s="6"/>
      <c r="P7" s="6">
        <v>1.52E-2</v>
      </c>
      <c r="Q7" s="6">
        <v>4.0399999999999998E-2</v>
      </c>
      <c r="S7" s="6">
        <v>1.3000000000000001E-2</v>
      </c>
      <c r="T7" s="6">
        <v>6.9999999999999993E-3</v>
      </c>
      <c r="U7" s="6">
        <v>1.01E-2</v>
      </c>
      <c r="V7" s="6">
        <v>0.21960000000000002</v>
      </c>
      <c r="W7" s="6"/>
      <c r="X7" s="6"/>
      <c r="AB7" s="6">
        <v>8.5000000000000006E-3</v>
      </c>
      <c r="AC7" s="6">
        <v>5.0900000000000001E-2</v>
      </c>
      <c r="AD7" s="6">
        <v>8.6999999999999994E-2</v>
      </c>
      <c r="AE7" s="6">
        <v>2.3099999999999999E-2</v>
      </c>
      <c r="AF7" s="6">
        <v>1.5100000000000001E-2</v>
      </c>
      <c r="AG7" s="6">
        <v>1.1399999999999999E-2</v>
      </c>
      <c r="AH7" s="6">
        <v>0.192</v>
      </c>
      <c r="AI7" s="6">
        <v>2.9900000000000003E-2</v>
      </c>
    </row>
    <row r="8" spans="1:38" x14ac:dyDescent="0.25">
      <c r="A8" t="str">
        <f>IF(Input!A9="","",Input!A9)</f>
        <v>abrdn Index MPS - Portfolio 2</v>
      </c>
      <c r="D8" s="6"/>
      <c r="H8" s="6">
        <v>0.11840000000000001</v>
      </c>
      <c r="I8" s="6">
        <v>9.4399999999999998E-2</v>
      </c>
      <c r="J8" s="6"/>
      <c r="K8" s="6"/>
      <c r="L8" s="6"/>
      <c r="M8" s="6"/>
      <c r="N8" s="6"/>
      <c r="O8" s="6"/>
      <c r="P8" s="6">
        <v>2.92E-2</v>
      </c>
      <c r="Q8" s="6">
        <v>4.4400000000000002E-2</v>
      </c>
      <c r="U8" s="6">
        <v>1.0200000000000001E-2</v>
      </c>
      <c r="V8" s="6">
        <v>0.1381</v>
      </c>
      <c r="W8" s="6"/>
      <c r="X8" s="6"/>
      <c r="Y8" s="6">
        <v>1.4199999999999999E-2</v>
      </c>
      <c r="AB8" s="6">
        <v>3.7900000000000003E-2</v>
      </c>
      <c r="AC8" s="6">
        <v>9.8000000000000004E-2</v>
      </c>
      <c r="AD8" s="6">
        <v>0.16719999999999999</v>
      </c>
      <c r="AE8" s="6">
        <v>4.4600000000000001E-2</v>
      </c>
      <c r="AF8" s="6">
        <v>2.9100000000000001E-2</v>
      </c>
      <c r="AG8" s="6">
        <v>2.2000000000000002E-2</v>
      </c>
      <c r="AH8" s="6">
        <v>9.5899999999999999E-2</v>
      </c>
      <c r="AI8" s="6">
        <v>5.6299999999999996E-2</v>
      </c>
    </row>
    <row r="9" spans="1:38" x14ac:dyDescent="0.25">
      <c r="A9" t="str">
        <f>IF(Input!A10="","",Input!A10)</f>
        <v>abrdn Index MPS - Portfolio 3</v>
      </c>
      <c r="D9" s="6"/>
      <c r="H9" s="6">
        <v>8.8000000000000009E-2</v>
      </c>
      <c r="I9" s="6">
        <v>5.8200000000000002E-2</v>
      </c>
      <c r="J9" s="6"/>
      <c r="K9" s="6"/>
      <c r="L9" s="6"/>
      <c r="M9" s="6"/>
      <c r="N9" s="6"/>
      <c r="O9" s="6"/>
      <c r="P9" s="6">
        <v>0.04</v>
      </c>
      <c r="Q9" s="6">
        <v>5.4199999999999998E-2</v>
      </c>
      <c r="U9" s="6">
        <v>1.0200000000000001E-2</v>
      </c>
      <c r="V9" s="6">
        <v>6.3600000000000004E-2</v>
      </c>
      <c r="W9" s="6"/>
      <c r="X9" s="6"/>
      <c r="Y9" s="6">
        <v>2.9399999999999999E-2</v>
      </c>
      <c r="AB9" s="6">
        <v>3.8699999999999998E-2</v>
      </c>
      <c r="AC9" s="6">
        <v>0.13400000000000001</v>
      </c>
      <c r="AD9" s="6">
        <v>0.2286</v>
      </c>
      <c r="AE9" s="6">
        <v>6.0999999999999999E-2</v>
      </c>
      <c r="AF9" s="6">
        <v>3.9900000000000005E-2</v>
      </c>
      <c r="AG9" s="6">
        <v>0.03</v>
      </c>
      <c r="AH9" s="6">
        <v>4.7100000000000003E-2</v>
      </c>
      <c r="AI9" s="6">
        <v>7.7199999999999991E-2</v>
      </c>
    </row>
    <row r="10" spans="1:38" x14ac:dyDescent="0.25">
      <c r="A10" t="str">
        <f>IF(Input!A11="","",Input!A11)</f>
        <v>abrdn Index MPS - Portfolio 4</v>
      </c>
      <c r="D10" s="6"/>
      <c r="H10" s="6">
        <v>2.7000000000000003E-2</v>
      </c>
      <c r="I10" s="6">
        <v>9.300000000000001E-3</v>
      </c>
      <c r="J10" s="6"/>
      <c r="K10" s="6"/>
      <c r="L10" s="6"/>
      <c r="M10" s="6"/>
      <c r="N10" s="6"/>
      <c r="O10" s="6"/>
      <c r="P10" s="6">
        <v>5.21E-2</v>
      </c>
      <c r="Q10" s="6">
        <v>5.9800000000000006E-2</v>
      </c>
      <c r="U10" s="6">
        <v>1.03E-2</v>
      </c>
      <c r="V10" s="6">
        <v>2.0499999999999997E-2</v>
      </c>
      <c r="W10" s="6"/>
      <c r="X10" s="6"/>
      <c r="Y10" s="6">
        <v>3.7699999999999997E-2</v>
      </c>
      <c r="AB10" s="6">
        <v>3.2400000000000005E-2</v>
      </c>
      <c r="AC10" s="6">
        <v>0.17480000000000001</v>
      </c>
      <c r="AD10" s="6">
        <v>0.29809999999999998</v>
      </c>
      <c r="AE10" s="6">
        <v>7.9399999999999998E-2</v>
      </c>
      <c r="AF10" s="6">
        <v>5.1900000000000002E-2</v>
      </c>
      <c r="AG10" s="6">
        <v>3.9199999999999999E-2</v>
      </c>
      <c r="AH10" s="6">
        <v>4.1700000000000001E-2</v>
      </c>
      <c r="AI10" s="6">
        <v>6.5700000000000008E-2</v>
      </c>
    </row>
    <row r="11" spans="1:38" x14ac:dyDescent="0.25">
      <c r="A11" t="str">
        <f>IF(Input!A12="","",Input!A12)</f>
        <v>abrdn Index MPS - Portfolio 5</v>
      </c>
      <c r="H11" s="6">
        <v>2.07E-2</v>
      </c>
      <c r="K11" s="6"/>
      <c r="L11" s="6"/>
      <c r="M11" s="6"/>
      <c r="N11" s="6"/>
      <c r="O11" s="6"/>
      <c r="P11" s="6">
        <v>6.7000000000000004E-2</v>
      </c>
      <c r="Q11" s="6">
        <v>7.5999999999999998E-2</v>
      </c>
      <c r="U11" s="6">
        <v>1.03E-2</v>
      </c>
      <c r="AC11" s="6">
        <v>0.2243</v>
      </c>
      <c r="AD11" s="6">
        <v>0.3826</v>
      </c>
      <c r="AE11" s="6">
        <v>0.10210000000000001</v>
      </c>
      <c r="AF11" s="6">
        <v>6.6699999999999995E-2</v>
      </c>
      <c r="AG11" s="6">
        <v>5.0300000000000004E-2</v>
      </c>
    </row>
    <row r="12" spans="1:38" x14ac:dyDescent="0.25">
      <c r="A12" t="str">
        <f>IF(Input!A13="","",Input!A13)</f>
        <v>Sustainable MPS - Portfolio 1</v>
      </c>
      <c r="B12" s="6">
        <v>0.12560000000000002</v>
      </c>
      <c r="E12" s="6"/>
      <c r="F12" s="6"/>
      <c r="G12" s="6">
        <v>9.9299999999999999E-2</v>
      </c>
      <c r="H12" s="6">
        <v>0.13930000000000001</v>
      </c>
      <c r="I12" s="6">
        <v>5.0999999999999997E-2</v>
      </c>
      <c r="J12" s="6"/>
      <c r="K12" s="6"/>
      <c r="Q12" s="6">
        <v>2.6800000000000001E-2</v>
      </c>
      <c r="R12" s="6">
        <v>8.539999999999999E-2</v>
      </c>
      <c r="T12" s="6">
        <v>4.0000000000000001E-3</v>
      </c>
      <c r="U12" s="6">
        <v>0.01</v>
      </c>
      <c r="V12" s="6">
        <v>0.1857</v>
      </c>
      <c r="Y12" s="6">
        <v>2.0299999999999999E-2</v>
      </c>
      <c r="Z12" s="6"/>
      <c r="AB12" s="6">
        <v>1.0700000000000001E-2</v>
      </c>
      <c r="AC12" s="6">
        <v>4.4000000000000004E-2</v>
      </c>
      <c r="AJ12" s="6">
        <v>4.5499999999999999E-2</v>
      </c>
      <c r="AK12" s="6">
        <v>0.14800000000000002</v>
      </c>
      <c r="AL12" s="6">
        <v>4.4000000000000003E-3</v>
      </c>
    </row>
    <row r="13" spans="1:38" x14ac:dyDescent="0.25">
      <c r="A13" t="str">
        <f>IF(Input!A14="","",Input!A14)</f>
        <v>Sustainable MPS - Portfolio 2</v>
      </c>
      <c r="B13" s="6">
        <v>7.4800000000000005E-2</v>
      </c>
      <c r="E13" s="6"/>
      <c r="F13" s="6"/>
      <c r="G13" s="6">
        <v>5.1799999999999999E-2</v>
      </c>
      <c r="H13" s="6">
        <v>0.10859999999999999</v>
      </c>
      <c r="I13" s="6">
        <v>6.1399999999999996E-2</v>
      </c>
      <c r="J13" s="6"/>
      <c r="K13" s="6"/>
      <c r="Q13" s="6">
        <v>4.5199999999999997E-2</v>
      </c>
      <c r="R13" s="6">
        <v>5.79E-2</v>
      </c>
      <c r="T13" s="6">
        <v>8.1000000000000013E-3</v>
      </c>
      <c r="U13" s="6">
        <v>1.01E-2</v>
      </c>
      <c r="V13" s="6">
        <v>0.10249999999999999</v>
      </c>
      <c r="Y13" s="6">
        <v>3.2799999999999996E-2</v>
      </c>
      <c r="Z13" s="6"/>
      <c r="AA13" s="6"/>
      <c r="AB13" s="6">
        <v>1.67E-2</v>
      </c>
      <c r="AC13" s="6">
        <v>8.1900000000000001E-2</v>
      </c>
      <c r="AJ13" s="6">
        <v>6.6799999999999998E-2</v>
      </c>
      <c r="AK13" s="6">
        <v>0.27479999999999999</v>
      </c>
      <c r="AL13" s="6">
        <v>6.7000000000000002E-3</v>
      </c>
    </row>
    <row r="14" spans="1:38" x14ac:dyDescent="0.25">
      <c r="A14" t="str">
        <f>IF(Input!A15="","",Input!A15)</f>
        <v>Sustainable MPS - Portfolio 3</v>
      </c>
      <c r="B14" s="6">
        <v>6.25E-2</v>
      </c>
      <c r="E14" s="6"/>
      <c r="F14" s="6"/>
      <c r="G14" s="6">
        <v>3.73E-2</v>
      </c>
      <c r="H14" s="6">
        <v>6.3E-2</v>
      </c>
      <c r="I14" s="6">
        <v>2.5499999999999998E-2</v>
      </c>
      <c r="J14" s="6"/>
      <c r="K14" s="6"/>
      <c r="Q14" s="6">
        <v>6.5099999999999991E-2</v>
      </c>
      <c r="R14" s="6">
        <v>2.7400000000000001E-2</v>
      </c>
      <c r="T14" s="6">
        <v>1.2699999999999999E-2</v>
      </c>
      <c r="U14" s="6">
        <v>1.01E-2</v>
      </c>
      <c r="V14" s="6">
        <v>4.6900000000000004E-2</v>
      </c>
      <c r="Y14" s="6">
        <v>5.1399999999999994E-2</v>
      </c>
      <c r="Z14" s="6"/>
      <c r="AB14" s="6">
        <v>2.9600000000000001E-2</v>
      </c>
      <c r="AC14" s="6">
        <v>0.10970000000000001</v>
      </c>
      <c r="AJ14" s="6">
        <v>7.7300000000000008E-2</v>
      </c>
      <c r="AK14" s="6">
        <v>0.36959999999999998</v>
      </c>
      <c r="AL14" s="6">
        <v>1.1899999999999999E-2</v>
      </c>
    </row>
    <row r="15" spans="1:38" x14ac:dyDescent="0.25">
      <c r="A15" t="str">
        <f>IF(Input!A16="","",Input!A16)</f>
        <v>Sustainable MPS - Portfolio 4</v>
      </c>
      <c r="B15" s="6">
        <v>6.0999999999999995E-3</v>
      </c>
      <c r="E15" s="6"/>
      <c r="F15" s="6"/>
      <c r="G15" s="6">
        <v>2.1299999999999999E-2</v>
      </c>
      <c r="H15" s="6">
        <v>1.67E-2</v>
      </c>
      <c r="I15" s="6">
        <v>1.61E-2</v>
      </c>
      <c r="J15" s="6"/>
      <c r="K15" s="6"/>
      <c r="Q15" s="6">
        <v>7.5800000000000006E-2</v>
      </c>
      <c r="R15" s="6">
        <v>2.3900000000000001E-2</v>
      </c>
      <c r="T15" s="6">
        <v>2.0400000000000001E-2</v>
      </c>
      <c r="U15" s="6">
        <v>1.0200000000000001E-2</v>
      </c>
      <c r="V15" s="6">
        <v>1.89E-2</v>
      </c>
      <c r="Y15" s="6">
        <v>6.1500000000000006E-2</v>
      </c>
      <c r="Z15" s="6"/>
      <c r="AB15" s="6">
        <v>2.2700000000000001E-2</v>
      </c>
      <c r="AC15" s="6">
        <v>0.14499999999999999</v>
      </c>
      <c r="AJ15" s="6">
        <v>6.3399999999999998E-2</v>
      </c>
      <c r="AK15" s="6">
        <v>0.48880000000000001</v>
      </c>
      <c r="AL15" s="6">
        <v>9.1000000000000004E-3</v>
      </c>
    </row>
    <row r="16" spans="1:38" x14ac:dyDescent="0.25">
      <c r="A16" t="str">
        <f>IF(Input!A17="","",Input!A17)</f>
        <v>Sustainable MPS - Portfolio 5</v>
      </c>
      <c r="H16" s="6">
        <v>1.55E-2</v>
      </c>
      <c r="J16" s="6"/>
      <c r="K16" s="6"/>
      <c r="Q16" s="6">
        <v>8.5099999999999995E-2</v>
      </c>
      <c r="T16" s="6">
        <v>2.3599999999999999E-2</v>
      </c>
      <c r="U16" s="6">
        <v>1.0200000000000001E-2</v>
      </c>
      <c r="V16" s="6">
        <v>3.0999999999999999E-3</v>
      </c>
      <c r="Z16" s="6"/>
      <c r="AB16" s="6">
        <v>5.1000000000000004E-3</v>
      </c>
      <c r="AC16" s="6">
        <v>0.1948</v>
      </c>
      <c r="AK16" s="6">
        <v>0.66049999999999998</v>
      </c>
      <c r="AL16" s="6">
        <v>2E-3</v>
      </c>
    </row>
    <row r="17" spans="1:35" x14ac:dyDescent="0.25">
      <c r="A17" t="str">
        <f>IF(Input!A18="","",Input!A18)</f>
        <v>Sustainable Index MPS - Portfolio 1</v>
      </c>
      <c r="D17" s="6"/>
      <c r="H17" s="6">
        <v>0.17280000000000001</v>
      </c>
      <c r="I17" s="6">
        <v>0.10039999999999999</v>
      </c>
      <c r="J17" s="6"/>
      <c r="K17" s="6"/>
      <c r="L17" s="6"/>
      <c r="M17" s="6"/>
      <c r="N17" s="6"/>
      <c r="O17" s="6"/>
      <c r="P17" s="6">
        <v>1.52E-2</v>
      </c>
      <c r="Q17" s="6">
        <v>4.0999999999999995E-2</v>
      </c>
      <c r="S17" s="6">
        <v>1.29E-2</v>
      </c>
      <c r="T17" s="6">
        <v>1.03E-2</v>
      </c>
      <c r="U17" s="6">
        <v>1.01E-2</v>
      </c>
      <c r="V17" s="6">
        <v>0.21969999999999998</v>
      </c>
      <c r="W17" s="6"/>
      <c r="X17" s="6"/>
      <c r="AB17" s="6">
        <v>8.3999999999999995E-3</v>
      </c>
      <c r="AC17" s="6">
        <v>5.0599999999999999E-2</v>
      </c>
      <c r="AD17" s="6">
        <v>8.6599999999999996E-2</v>
      </c>
      <c r="AE17" s="6">
        <v>2.3099999999999999E-2</v>
      </c>
      <c r="AF17" s="6">
        <v>1.5300000000000001E-2</v>
      </c>
      <c r="AG17" s="6">
        <v>1.15E-2</v>
      </c>
      <c r="AH17" s="6">
        <v>0.19190000000000002</v>
      </c>
      <c r="AI17" s="6">
        <v>0.03</v>
      </c>
    </row>
    <row r="18" spans="1:35" x14ac:dyDescent="0.25">
      <c r="A18" t="str">
        <f>IF(Input!A19="","",Input!A19)</f>
        <v>Sustainable Index MPS - Portfolio 2</v>
      </c>
      <c r="D18" s="6"/>
      <c r="H18" s="6">
        <v>0.11810000000000001</v>
      </c>
      <c r="I18" s="6">
        <v>9.3800000000000008E-2</v>
      </c>
      <c r="J18" s="6"/>
      <c r="K18" s="6"/>
      <c r="L18" s="6"/>
      <c r="M18" s="6"/>
      <c r="N18" s="6"/>
      <c r="O18" s="6"/>
      <c r="P18" s="6">
        <v>2.9300000000000003E-2</v>
      </c>
      <c r="Q18" s="6">
        <v>4.5700000000000005E-2</v>
      </c>
      <c r="S18" s="6">
        <v>1.43E-2</v>
      </c>
      <c r="U18" s="6">
        <v>0.01</v>
      </c>
      <c r="V18" s="6">
        <v>0.13769999999999999</v>
      </c>
      <c r="W18" s="6"/>
      <c r="X18" s="6"/>
      <c r="AB18" s="6">
        <v>3.73E-2</v>
      </c>
      <c r="AC18" s="6">
        <v>9.74E-2</v>
      </c>
      <c r="AD18" s="6">
        <v>0.16750000000000001</v>
      </c>
      <c r="AE18" s="6">
        <v>4.4600000000000001E-2</v>
      </c>
      <c r="AF18" s="6">
        <v>2.92E-2</v>
      </c>
      <c r="AG18" s="6">
        <v>2.23E-2</v>
      </c>
      <c r="AH18" s="6">
        <v>9.6099999999999991E-2</v>
      </c>
      <c r="AI18" s="6">
        <v>5.67E-2</v>
      </c>
    </row>
    <row r="19" spans="1:35" x14ac:dyDescent="0.25">
      <c r="A19" t="str">
        <f>IF(Input!A20="","",Input!A20)</f>
        <v>Sustainable Index MPS - Portfolio 3</v>
      </c>
      <c r="D19" s="6"/>
      <c r="H19" s="6">
        <v>8.7599999999999997E-2</v>
      </c>
      <c r="I19" s="6">
        <v>5.7699999999999994E-2</v>
      </c>
      <c r="J19" s="6"/>
      <c r="K19" s="6"/>
      <c r="L19" s="6"/>
      <c r="M19" s="6"/>
      <c r="N19" s="6"/>
      <c r="O19" s="6"/>
      <c r="P19" s="6">
        <v>4.0099999999999997E-2</v>
      </c>
      <c r="Q19" s="6">
        <v>5.57E-2</v>
      </c>
      <c r="S19" s="6">
        <v>2.9500000000000002E-2</v>
      </c>
      <c r="U19" s="6">
        <v>1.01E-2</v>
      </c>
      <c r="V19" s="6">
        <v>6.3299999999999995E-2</v>
      </c>
      <c r="W19" s="6"/>
      <c r="X19" s="6"/>
      <c r="AB19" s="6">
        <v>3.7999999999999999E-2</v>
      </c>
      <c r="AC19" s="6">
        <v>0.1331</v>
      </c>
      <c r="AD19" s="6">
        <v>0.2288</v>
      </c>
      <c r="AE19" s="6">
        <v>6.0899999999999996E-2</v>
      </c>
      <c r="AF19" s="6">
        <v>0.04</v>
      </c>
      <c r="AG19" s="6">
        <v>3.04E-2</v>
      </c>
      <c r="AH19" s="6">
        <v>4.7100000000000003E-2</v>
      </c>
      <c r="AI19" s="6">
        <v>7.7600000000000002E-2</v>
      </c>
    </row>
    <row r="20" spans="1:35" x14ac:dyDescent="0.25">
      <c r="A20" t="str">
        <f>IF(Input!A21="","",Input!A21)</f>
        <v>Sustainable Index MPS - Portfolio 4</v>
      </c>
      <c r="F20" s="6"/>
      <c r="H20" s="6">
        <v>2.7000000000000003E-2</v>
      </c>
      <c r="I20" s="6">
        <v>9.3999999999999986E-3</v>
      </c>
      <c r="J20" s="6"/>
      <c r="K20" s="6"/>
      <c r="L20" s="6"/>
      <c r="M20" s="6"/>
      <c r="N20" s="6"/>
      <c r="O20" s="6"/>
      <c r="P20" s="6">
        <v>5.2600000000000001E-2</v>
      </c>
      <c r="Q20" s="6">
        <v>6.13E-2</v>
      </c>
      <c r="S20" s="6">
        <v>3.7499999999999999E-2</v>
      </c>
      <c r="U20" s="6">
        <v>1.0200000000000001E-2</v>
      </c>
      <c r="V20" s="6">
        <v>2.0400000000000001E-2</v>
      </c>
      <c r="W20" s="6"/>
      <c r="X20" s="6"/>
      <c r="AB20" s="6">
        <v>3.2199999999999999E-2</v>
      </c>
      <c r="AC20" s="6">
        <v>0.17319999999999999</v>
      </c>
      <c r="AD20" s="6">
        <v>0.29799999999999999</v>
      </c>
      <c r="AE20" s="6">
        <v>7.8700000000000006E-2</v>
      </c>
      <c r="AF20" s="6">
        <v>5.2000000000000005E-2</v>
      </c>
      <c r="AG20" s="6">
        <v>3.9300000000000002E-2</v>
      </c>
      <c r="AH20" s="6">
        <v>4.1700000000000001E-2</v>
      </c>
      <c r="AI20" s="6">
        <v>6.6500000000000004E-2</v>
      </c>
    </row>
    <row r="21" spans="1:35" x14ac:dyDescent="0.25">
      <c r="A21" t="str">
        <f>IF(Input!A22="","",Input!A22)</f>
        <v>Sustainable Index MPS - Portfolio 5</v>
      </c>
      <c r="H21" s="6">
        <v>2.07E-2</v>
      </c>
      <c r="K21" s="6"/>
      <c r="L21" s="6"/>
      <c r="M21" s="6"/>
      <c r="N21" s="6"/>
      <c r="O21" s="6"/>
      <c r="P21" s="6">
        <v>6.7000000000000004E-2</v>
      </c>
      <c r="Q21" s="6">
        <v>7.7199999999999991E-2</v>
      </c>
      <c r="U21" s="6">
        <v>1.04E-2</v>
      </c>
      <c r="AC21" s="6">
        <v>0.22320000000000001</v>
      </c>
      <c r="AD21" s="6">
        <v>0.38170000000000004</v>
      </c>
      <c r="AE21" s="6">
        <v>0.1018</v>
      </c>
      <c r="AF21" s="6">
        <v>6.7400000000000002E-2</v>
      </c>
      <c r="AG21" s="6">
        <v>5.0700000000000002E-2</v>
      </c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topLeftCell="B1" workbookViewId="0">
      <selection activeCell="D24" sqref="D24"/>
    </sheetView>
  </sheetViews>
  <sheetFormatPr defaultRowHeight="15" x14ac:dyDescent="0.25"/>
  <cols>
    <col min="1" max="1" width="30.140625" bestFit="1" customWidth="1"/>
    <col min="2" max="2" width="97.7109375" bestFit="1" customWidth="1"/>
    <col min="3" max="3" width="37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123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124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125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126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127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102</v>
      </c>
      <c r="D7" s="7" t="s">
        <v>128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108</v>
      </c>
      <c r="D8" s="7" t="s">
        <v>129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109</v>
      </c>
      <c r="D9" s="7" t="s">
        <v>130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110</v>
      </c>
      <c r="D10" s="7" t="s">
        <v>131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111</v>
      </c>
      <c r="D11" s="7" t="s">
        <v>132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112</v>
      </c>
      <c r="D12" s="7" t="s">
        <v>133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113</v>
      </c>
      <c r="D13" s="7" t="s">
        <v>134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114</v>
      </c>
      <c r="D14" s="7" t="s">
        <v>135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115</v>
      </c>
      <c r="D15" s="7" t="s">
        <v>136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116</v>
      </c>
      <c r="D16" s="7" t="s">
        <v>137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117</v>
      </c>
      <c r="D17" s="7" t="s">
        <v>138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118</v>
      </c>
      <c r="D18" s="7" t="s">
        <v>139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121</v>
      </c>
      <c r="D19" s="7" t="s">
        <v>140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119</v>
      </c>
      <c r="D20" s="7" t="s">
        <v>141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120</v>
      </c>
      <c r="D21" s="7" t="s">
        <v>142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45230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45230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45230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45230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45230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45230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45230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45230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45230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45230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45230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45230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45230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45230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45230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45230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45230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45230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45230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45230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-1.04E-2</v>
      </c>
      <c r="C2">
        <f>IF(A2="","",'Additional Information'!J2)</f>
        <v>2.8999999999999998E-3</v>
      </c>
      <c r="D2">
        <f>IF(A2="","",SUM('Additional Information'!E2,'Additional Information'!F2))</f>
        <v>5.7999999999999996E-3</v>
      </c>
      <c r="E2">
        <f>IF(A2="","",SUM('Additional Information'!E2))</f>
        <v>2.5000000000000001E-3</v>
      </c>
      <c r="F2">
        <f>IF(A2="","",IF('Additional Information'!K2="","",'Additional Information'!K2))</f>
        <v>-4.9200000000000001E-2</v>
      </c>
      <c r="G2">
        <f>IF(A2="","",IF('Additional Information'!L2="","",'Additional Information'!L2))</f>
        <v>4.9500000000000002E-2</v>
      </c>
    </row>
    <row r="3" spans="1:7" x14ac:dyDescent="0.25">
      <c r="A3" t="str">
        <f>IF(Input!A4="","",Input!A4)</f>
        <v>abrdn MPS - Portfolio 2</v>
      </c>
      <c r="B3">
        <f>IF(A3="","",'Additional Information'!G3)</f>
        <v>-1.5600000000000001E-2</v>
      </c>
      <c r="C3">
        <f>IF(A3="","",'Additional Information'!J3)</f>
        <v>1.3000000000000001E-2</v>
      </c>
      <c r="D3">
        <f>IF(A3="","",SUM('Additional Information'!E3,'Additional Information'!F3))</f>
        <v>6.4000000000000003E-3</v>
      </c>
      <c r="E3">
        <f>IF(A3="","",SUM('Additional Information'!E3))</f>
        <v>2.5000000000000001E-3</v>
      </c>
      <c r="F3">
        <f>IF(A3="","",IF('Additional Information'!K3="","",'Additional Information'!K3))</f>
        <v>4.8799999999999996E-2</v>
      </c>
      <c r="G3">
        <f>IF(A3="","",IF('Additional Information'!L3="","",'Additional Information'!L3))</f>
        <v>0.14929999999999999</v>
      </c>
    </row>
    <row r="4" spans="1:7" x14ac:dyDescent="0.25">
      <c r="A4" t="str">
        <f>IF(Input!A5="","",Input!A5)</f>
        <v>abrdn MPS - Portfolio 3</v>
      </c>
      <c r="B4">
        <f>IF(A4="","",'Additional Information'!G4)</f>
        <v>-1.9599999999999999E-2</v>
      </c>
      <c r="C4">
        <f>IF(A4="","",'Additional Information'!J4)</f>
        <v>2.07E-2</v>
      </c>
      <c r="D4">
        <f>IF(A4="","",SUM('Additional Information'!E4,'Additional Information'!F4))</f>
        <v>6.6E-3</v>
      </c>
      <c r="E4">
        <f>IF(A4="","",SUM('Additional Information'!E4))</f>
        <v>2.5000000000000001E-3</v>
      </c>
      <c r="F4">
        <f>IF(A4="","",IF('Additional Information'!K4="","",'Additional Information'!K4))</f>
        <v>0.11890000000000001</v>
      </c>
      <c r="G4">
        <f>IF(A4="","",IF('Additional Information'!L4="","",'Additional Information'!L4))</f>
        <v>0.21329999999999999</v>
      </c>
    </row>
    <row r="5" spans="1:7" x14ac:dyDescent="0.25">
      <c r="A5" t="str">
        <f>IF(Input!A6="","",Input!A6)</f>
        <v>abrdn MPS - Portfolio 4</v>
      </c>
      <c r="B5">
        <f>IF(A5="","",'Additional Information'!G5)</f>
        <v>-2.3799999999999998E-2</v>
      </c>
      <c r="C5">
        <f>IF(A5="","",'Additional Information'!J5)</f>
        <v>2.6600000000000002E-2</v>
      </c>
      <c r="D5">
        <f>IF(A5="","",SUM('Additional Information'!E5,'Additional Information'!F5))</f>
        <v>6.8000000000000005E-3</v>
      </c>
      <c r="E5">
        <f>IF(A5="","",SUM('Additional Information'!E5))</f>
        <v>2.5000000000000001E-3</v>
      </c>
      <c r="F5">
        <f>IF(A5="","",IF('Additional Information'!K5="","",'Additional Information'!K5))</f>
        <v>0.2077</v>
      </c>
      <c r="G5">
        <f>IF(A5="","",IF('Additional Information'!L5="","",'Additional Information'!L5))</f>
        <v>0.2878</v>
      </c>
    </row>
    <row r="6" spans="1:7" x14ac:dyDescent="0.25">
      <c r="A6" t="str">
        <f>IF(Input!A7="","",Input!A7)</f>
        <v>abrdn MPS - Portfolio 5</v>
      </c>
      <c r="B6">
        <f>IF(A6="","",'Additional Information'!G6)</f>
        <v>-2.63E-2</v>
      </c>
      <c r="C6">
        <f>IF(A6="","",'Additional Information'!J6)</f>
        <v>3.4300000000000004E-2</v>
      </c>
      <c r="D6">
        <f>IF(A6="","",SUM('Additional Information'!E6,'Additional Information'!F6))</f>
        <v>6.8000000000000005E-3</v>
      </c>
      <c r="E6">
        <f>IF(A6="","",SUM('Additional Information'!E6))</f>
        <v>2.5000000000000001E-3</v>
      </c>
      <c r="F6">
        <f>IF(A6="","",IF('Additional Information'!K6="","",'Additional Information'!K6))</f>
        <v>0.28059999999999996</v>
      </c>
      <c r="G6">
        <f>IF(A6="","",IF('Additional Information'!L6="","",'Additional Information'!L6))</f>
        <v>0.3664</v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-9.0000000000000011E-3</v>
      </c>
      <c r="C7">
        <f>IF(A7="","",'Additional Information'!J7)</f>
        <v>1.23E-2</v>
      </c>
      <c r="D7">
        <f>IF(A7="","",SUM('Additional Information'!E7,'Additional Information'!F7))</f>
        <v>2E-3</v>
      </c>
      <c r="E7">
        <f>IF(A7="","",SUM('Additional Information'!E7))</f>
        <v>1E-3</v>
      </c>
      <c r="F7">
        <f>IF(A7="","",IF('Additional Information'!K7="","",'Additional Information'!K7))</f>
        <v>-2.58E-2</v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-1.47E-2</v>
      </c>
      <c r="C8">
        <f>IF(A8="","",'Additional Information'!J8)</f>
        <v>2.29E-2</v>
      </c>
      <c r="D8">
        <f>IF(A8="","",SUM('Additional Information'!E8,'Additional Information'!F8))</f>
        <v>2.1000000000000003E-3</v>
      </c>
      <c r="E8">
        <f>IF(A8="","",SUM('Additional Information'!E8))</f>
        <v>1E-3</v>
      </c>
      <c r="F8">
        <f>IF(A8="","",IF('Additional Information'!K8="","",'Additional Information'!K8))</f>
        <v>4.4400000000000002E-2</v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-1.9099999999999999E-2</v>
      </c>
      <c r="C9">
        <f>IF(A9="","",'Additional Information'!J9)</f>
        <v>2.9900000000000003E-2</v>
      </c>
      <c r="D9">
        <f>IF(A9="","",SUM('Additional Information'!E9,'Additional Information'!F9))</f>
        <v>2.1999999999999997E-3</v>
      </c>
      <c r="E9">
        <f>IF(A9="","",SUM('Additional Information'!E9))</f>
        <v>1E-3</v>
      </c>
      <c r="F9">
        <f>IF(A9="","",IF('Additional Information'!K9="","",'Additional Information'!K9))</f>
        <v>0.1303</v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-2.4E-2</v>
      </c>
      <c r="C10">
        <f>IF(A10="","",'Additional Information'!J10)</f>
        <v>3.44E-2</v>
      </c>
      <c r="D10">
        <f>IF(A10="","",SUM('Additional Information'!E10,'Additional Information'!F10))</f>
        <v>2.1000000000000003E-3</v>
      </c>
      <c r="E10">
        <f>IF(A10="","",SUM('Additional Information'!E10))</f>
        <v>1E-3</v>
      </c>
      <c r="F10">
        <f>IF(A10="","",IF('Additional Information'!K10="","",'Additional Information'!K10))</f>
        <v>0.19589999999999999</v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-2.7900000000000001E-2</v>
      </c>
      <c r="C11">
        <f>IF(A11="","",'Additional Information'!J11)</f>
        <v>4.2900000000000001E-2</v>
      </c>
      <c r="D11">
        <f>IF(A11="","",SUM('Additional Information'!E11,'Additional Information'!F11))</f>
        <v>1.9E-3</v>
      </c>
      <c r="E11">
        <f>IF(A11="","",SUM('Additional Information'!E11))</f>
        <v>1E-3</v>
      </c>
      <c r="F11">
        <f>IF(A11="","",IF('Additional Information'!K11="","",'Additional Information'!K11))</f>
        <v>0.28309999999999996</v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-1.32E-2</v>
      </c>
      <c r="C12">
        <f>IF(A12="","",'Additional Information'!J12)</f>
        <v>-7.7000000000000002E-3</v>
      </c>
      <c r="D12">
        <f>IF(A12="","",SUM('Additional Information'!E12,'Additional Information'!F12))</f>
        <v>5.1999999999999998E-3</v>
      </c>
      <c r="E12">
        <f>IF(A12="","",SUM('Additional Information'!E12))</f>
        <v>2E-3</v>
      </c>
      <c r="F12">
        <f>IF(A12="","",IF('Additional Information'!K12="","",'Additional Information'!K12))</f>
        <v>-0.13739999999999999</v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-2.12E-2</v>
      </c>
      <c r="C13">
        <f>IF(A13="","",'Additional Information'!J13)</f>
        <v>-1.1899999999999999E-2</v>
      </c>
      <c r="D13">
        <f>IF(A13="","",SUM('Additional Information'!E13,'Additional Information'!F13))</f>
        <v>6.0999999999999995E-3</v>
      </c>
      <c r="E13">
        <f>IF(A13="","",SUM('Additional Information'!E13))</f>
        <v>2E-3</v>
      </c>
      <c r="F13">
        <f>IF(A13="","",IF('Additional Information'!K13="","",'Additional Information'!K13))</f>
        <v>-8.09E-2</v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-2.7400000000000001E-2</v>
      </c>
      <c r="C14">
        <f>IF(A14="","",'Additional Information'!J14)</f>
        <v>-1.8799999999999997E-2</v>
      </c>
      <c r="D14">
        <f>IF(A14="","",SUM('Additional Information'!E14,'Additional Information'!F14))</f>
        <v>6.7999999999999996E-3</v>
      </c>
      <c r="E14">
        <f>IF(A14="","",SUM('Additional Information'!E14))</f>
        <v>2E-3</v>
      </c>
      <c r="F14">
        <f>IF(A14="","",IF('Additional Information'!K14="","",'Additional Information'!K14))</f>
        <v>-4.1799999999999997E-2</v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-3.4599999999999999E-2</v>
      </c>
      <c r="C15">
        <f>IF(A15="","",'Additional Information'!J15)</f>
        <v>-2.3799999999999998E-2</v>
      </c>
      <c r="D15">
        <f>IF(A15="","",SUM('Additional Information'!E15,'Additional Information'!F15))</f>
        <v>7.5000000000000006E-3</v>
      </c>
      <c r="E15">
        <f>IF(A15="","",SUM('Additional Information'!E15))</f>
        <v>2E-3</v>
      </c>
      <c r="F15">
        <f>IF(A15="","",IF('Additional Information'!K15="","",'Additional Information'!K15))</f>
        <v>4.0999999999999995E-3</v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-4.1299999999999996E-2</v>
      </c>
      <c r="C16">
        <f>IF(A16="","",'Additional Information'!J16)</f>
        <v>-3.4599999999999999E-2</v>
      </c>
      <c r="D16">
        <f>IF(A16="","",SUM('Additional Information'!E16,'Additional Information'!F16))</f>
        <v>8.4000000000000012E-3</v>
      </c>
      <c r="E16">
        <f>IF(A16="","",SUM('Additional Information'!E16))</f>
        <v>2E-3</v>
      </c>
      <c r="F16">
        <f>IF(A16="","",IF('Additional Information'!K16="","",'Additional Information'!K16))</f>
        <v>2.98E-2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-9.1000000000000004E-3</v>
      </c>
      <c r="C17">
        <f>IF(A17="","",'Additional Information'!J17)</f>
        <v>1.34E-2</v>
      </c>
      <c r="D17">
        <f>IF(A17="","",SUM('Additional Information'!E17,'Additional Information'!F17))</f>
        <v>2.1999999999999997E-3</v>
      </c>
      <c r="E17">
        <f>IF(A17="","",SUM('Additional Information'!E17))</f>
        <v>1E-3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-1.5100000000000001E-2</v>
      </c>
      <c r="C18">
        <f>IF(A18="","",'Additional Information'!J18)</f>
        <v>2.3E-2</v>
      </c>
      <c r="D18">
        <f>IF(A18="","",SUM('Additional Information'!E18,'Additional Information'!F18))</f>
        <v>2.4000000000000002E-3</v>
      </c>
      <c r="E18">
        <f>IF(A18="","",SUM('Additional Information'!E18))</f>
        <v>1E-3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-1.9299999999999998E-2</v>
      </c>
      <c r="C19">
        <f>IF(A19="","",'Additional Information'!J19)</f>
        <v>3.2400000000000005E-2</v>
      </c>
      <c r="D19">
        <f>IF(A19="","",SUM('Additional Information'!E19,'Additional Information'!F19))</f>
        <v>2.4000000000000002E-3</v>
      </c>
      <c r="E19">
        <f>IF(A19="","",SUM('Additional Information'!E19))</f>
        <v>1E-3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-2.3900000000000001E-2</v>
      </c>
      <c r="C20">
        <f>IF(A20="","",'Additional Information'!J20)</f>
        <v>3.6499999999999998E-2</v>
      </c>
      <c r="D20">
        <f>IF(A20="","",SUM('Additional Information'!E20,'Additional Information'!F20))</f>
        <v>2.3E-3</v>
      </c>
      <c r="E20">
        <f>IF(A20="","",SUM('Additional Information'!E20))</f>
        <v>1E-3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-2.7300000000000001E-2</v>
      </c>
      <c r="C21">
        <f>IF(A21="","",'Additional Information'!J21)</f>
        <v>4.5700000000000005E-2</v>
      </c>
      <c r="D21">
        <f>IF(A21="","",SUM('Additional Information'!E21,'Additional Information'!F21))</f>
        <v>2.1000000000000003E-3</v>
      </c>
      <c r="E21">
        <f>IF(A21="","",SUM('Additional Information'!E21))</f>
        <v>1E-3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0.21960000000000002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0.65649999999999997</v>
      </c>
      <c r="D2">
        <f>IF(A2="","",SUM('Asset Allocation'!S2,'Asset Allocation'!Y2))</f>
        <v>2.0199999999999999E-2</v>
      </c>
      <c r="F2">
        <f>IF(A2="","",SUM('Asset Allocation'!R2))</f>
        <v>8.5199999999999998E-2</v>
      </c>
      <c r="G2">
        <f>IF(A2="","",SUM('Asset Allocation'!T2,'Asset Allocation'!U2))</f>
        <v>1.4E-2</v>
      </c>
      <c r="H2">
        <f t="shared" ref="H2:H50" si="0">IF(A2="","",1-SUM(B2:G2))</f>
        <v>4.4999999999999485E-3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0.4037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0.48139999999999999</v>
      </c>
      <c r="D3">
        <f>IF(A3="","",SUM('Asset Allocation'!S3,'Asset Allocation'!Y3))</f>
        <v>3.2599999999999997E-2</v>
      </c>
      <c r="F3">
        <f>IF(A3="","",SUM('Asset Allocation'!R3))</f>
        <v>5.7500000000000002E-2</v>
      </c>
      <c r="G3">
        <f>IF(A3="","",SUM('Asset Allocation'!T3,'Asset Allocation'!U3))</f>
        <v>1.8200000000000001E-2</v>
      </c>
      <c r="H3">
        <f t="shared" si="0"/>
        <v>6.6000000000000503E-3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0.54959999999999998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0.3412</v>
      </c>
      <c r="D4">
        <f>IF(A4="","",SUM('Asset Allocation'!S4,'Asset Allocation'!Y4))</f>
        <v>5.1100000000000007E-2</v>
      </c>
      <c r="F4">
        <f>IF(A4="","",SUM('Asset Allocation'!R4))</f>
        <v>2.7400000000000001E-2</v>
      </c>
      <c r="G4">
        <f>IF(A4="","",SUM('Asset Allocation'!T4,'Asset Allocation'!U4))</f>
        <v>2.2800000000000001E-2</v>
      </c>
      <c r="H4">
        <f t="shared" si="0"/>
        <v>7.8999999999999071E-3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0.71060000000000001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0.1648</v>
      </c>
      <c r="D5">
        <f>IF(A5="","",SUM('Asset Allocation'!S5,'Asset Allocation'!Y5))</f>
        <v>6.1200000000000004E-2</v>
      </c>
      <c r="F5">
        <f>IF(A5="","",SUM('Asset Allocation'!R5))</f>
        <v>2.3900000000000001E-2</v>
      </c>
      <c r="G5">
        <f>IF(A5="","",SUM('Asset Allocation'!T5,'Asset Allocation'!U5))</f>
        <v>3.0399999999999996E-2</v>
      </c>
      <c r="H5">
        <f t="shared" si="0"/>
        <v>9.099999999999997E-3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0.9406000000000001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2.3699999999999999E-2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3.3799999999999997E-2</v>
      </c>
      <c r="H6">
        <f t="shared" si="0"/>
        <v>1.8999999999997907E-3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0.24310000000000001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0.72680000000000011</v>
      </c>
      <c r="D7">
        <f>IF(A7="","",SUM('Asset Allocation'!S7,'Asset Allocation'!Y7))</f>
        <v>1.3000000000000001E-2</v>
      </c>
      <c r="F7">
        <f>IF(A7="","",SUM('Asset Allocation'!R7))</f>
        <v>0</v>
      </c>
      <c r="G7">
        <f>IF(A7="","",SUM('Asset Allocation'!T7,'Asset Allocation'!U7))</f>
        <v>1.7099999999999997E-2</v>
      </c>
      <c r="H7">
        <f t="shared" si="0"/>
        <v>0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0.4345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0.54099999999999993</v>
      </c>
      <c r="D8">
        <f>IF(A8="","",SUM('Asset Allocation'!S8,'Asset Allocation'!Y8))</f>
        <v>1.4199999999999999E-2</v>
      </c>
      <c r="F8">
        <f>IF(A8="","",SUM('Asset Allocation'!R8))</f>
        <v>0</v>
      </c>
      <c r="G8">
        <f>IF(A8="","",SUM('Asset Allocation'!T8,'Asset Allocation'!U8))</f>
        <v>1.0200000000000001E-2</v>
      </c>
      <c r="H8">
        <f t="shared" si="0"/>
        <v>1.0000000000010001E-4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0.58770000000000011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0.37279999999999996</v>
      </c>
      <c r="D9">
        <f>IF(A9="","",SUM('Asset Allocation'!S9,'Asset Allocation'!Y9))</f>
        <v>2.9399999999999999E-2</v>
      </c>
      <c r="F9">
        <f>IF(A9="","",SUM('Asset Allocation'!R9))</f>
        <v>0</v>
      </c>
      <c r="G9">
        <f>IF(A9="","",SUM('Asset Allocation'!T9,'Asset Allocation'!U9))</f>
        <v>1.0200000000000001E-2</v>
      </c>
      <c r="H9">
        <f t="shared" si="0"/>
        <v>-1.0000000000021103E-4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0.75529999999999997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0.19660000000000002</v>
      </c>
      <c r="D10">
        <f>IF(A10="","",SUM('Asset Allocation'!S10,'Asset Allocation'!Y10))</f>
        <v>3.7699999999999997E-2</v>
      </c>
      <c r="F10">
        <f>IF(A10="","",SUM('Asset Allocation'!R10))</f>
        <v>0</v>
      </c>
      <c r="G10">
        <f>IF(A10="","",SUM('Asset Allocation'!T10,'Asset Allocation'!U10))</f>
        <v>1.03E-2</v>
      </c>
      <c r="H10">
        <f t="shared" si="0"/>
        <v>1.0000000000010001E-4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0.96899999999999997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2.07E-2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1.03E-2</v>
      </c>
      <c r="H11">
        <f t="shared" si="0"/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0.21880000000000002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0.65710000000000002</v>
      </c>
      <c r="D12">
        <f>IF(A12="","",SUM('Asset Allocation'!S12,'Asset Allocation'!Y12))</f>
        <v>2.0299999999999999E-2</v>
      </c>
      <c r="F12">
        <f>IF(A12="","",SUM('Asset Allocation'!R12))</f>
        <v>8.539999999999999E-2</v>
      </c>
      <c r="G12">
        <f>IF(A12="","",SUM('Asset Allocation'!T12,'Asset Allocation'!U12))</f>
        <v>1.4E-2</v>
      </c>
      <c r="H12">
        <f t="shared" si="0"/>
        <v>4.3999999999999595E-3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0.40189999999999998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0.48259999999999992</v>
      </c>
      <c r="D13">
        <f>IF(A13="","",SUM('Asset Allocation'!S13,'Asset Allocation'!Y13))</f>
        <v>3.2799999999999996E-2</v>
      </c>
      <c r="F13">
        <f>IF(A13="","",SUM('Asset Allocation'!R13))</f>
        <v>5.79E-2</v>
      </c>
      <c r="G13">
        <f>IF(A13="","",SUM('Asset Allocation'!T13,'Asset Allocation'!U13))</f>
        <v>1.8200000000000001E-2</v>
      </c>
      <c r="H13">
        <f t="shared" si="0"/>
        <v>6.6000000000002723E-3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0.5444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0.34209999999999996</v>
      </c>
      <c r="D14">
        <f>IF(A14="","",SUM('Asset Allocation'!S14,'Asset Allocation'!Y14))</f>
        <v>5.1399999999999994E-2</v>
      </c>
      <c r="F14">
        <f>IF(A14="","",SUM('Asset Allocation'!R14))</f>
        <v>2.7400000000000001E-2</v>
      </c>
      <c r="G14">
        <f>IF(A14="","",SUM('Asset Allocation'!T14,'Asset Allocation'!U14))</f>
        <v>2.2800000000000001E-2</v>
      </c>
      <c r="H14">
        <f t="shared" si="0"/>
        <v>1.1900000000000022E-2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0.70960000000000001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0.16520000000000001</v>
      </c>
      <c r="D15">
        <f>IF(A15="","",SUM('Asset Allocation'!S15,'Asset Allocation'!Y15))</f>
        <v>6.1500000000000006E-2</v>
      </c>
      <c r="F15">
        <f>IF(A15="","",SUM('Asset Allocation'!R15))</f>
        <v>2.3900000000000001E-2</v>
      </c>
      <c r="G15">
        <f>IF(A15="","",SUM('Asset Allocation'!T15,'Asset Allocation'!U15))</f>
        <v>3.0600000000000002E-2</v>
      </c>
      <c r="H15">
        <f t="shared" si="0"/>
        <v>9.199999999999986E-3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0.9403999999999999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2.3699999999999999E-2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3.3799999999999997E-2</v>
      </c>
      <c r="H16">
        <f t="shared" si="0"/>
        <v>2.0999999999999908E-3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0.24330000000000002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0.72320000000000007</v>
      </c>
      <c r="D17">
        <f>IF(A17="","",SUM('Asset Allocation'!S17,'Asset Allocation'!Y17))</f>
        <v>1.29E-2</v>
      </c>
      <c r="F17">
        <f>IF(A17="","",SUM('Asset Allocation'!R17))</f>
        <v>0</v>
      </c>
      <c r="G17">
        <f>IF(A17="","",SUM('Asset Allocation'!T17,'Asset Allocation'!U17))</f>
        <v>2.0400000000000001E-2</v>
      </c>
      <c r="H17">
        <f t="shared" si="0"/>
        <v>1.9999999999986695E-4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0.43599999999999994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0.53969999999999996</v>
      </c>
      <c r="D18">
        <f>IF(A18="","",SUM('Asset Allocation'!S18,'Asset Allocation'!Y18))</f>
        <v>1.43E-2</v>
      </c>
      <c r="F18">
        <f>IF(A18="","",SUM('Asset Allocation'!R18))</f>
        <v>0</v>
      </c>
      <c r="G18">
        <f>IF(A18="","",SUM('Asset Allocation'!T18,'Asset Allocation'!U18))</f>
        <v>0.01</v>
      </c>
      <c r="H18">
        <f t="shared" si="0"/>
        <v>1.1102230246251565E-16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0.58899999999999997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0.37129999999999996</v>
      </c>
      <c r="D19">
        <f>IF(A19="","",SUM('Asset Allocation'!S19,'Asset Allocation'!Y19))</f>
        <v>2.9500000000000002E-2</v>
      </c>
      <c r="F19">
        <f>IF(A19="","",SUM('Asset Allocation'!R19))</f>
        <v>0</v>
      </c>
      <c r="G19">
        <f>IF(A19="","",SUM('Asset Allocation'!T19,'Asset Allocation'!U19))</f>
        <v>1.01E-2</v>
      </c>
      <c r="H19">
        <f t="shared" si="0"/>
        <v>1.0000000000010001E-4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0.75509999999999999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0.19719999999999999</v>
      </c>
      <c r="D20">
        <f>IF(A20="","",SUM('Asset Allocation'!S20,'Asset Allocation'!Y20))</f>
        <v>3.7499999999999999E-2</v>
      </c>
      <c r="F20">
        <f>IF(A20="","",SUM('Asset Allocation'!R20))</f>
        <v>0</v>
      </c>
      <c r="G20">
        <f>IF(A20="","",SUM('Asset Allocation'!T20,'Asset Allocation'!U20))</f>
        <v>1.0200000000000001E-2</v>
      </c>
      <c r="H20">
        <f t="shared" si="0"/>
        <v>1.1102230246251565E-16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0.96900000000000008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2.07E-2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1.04E-2</v>
      </c>
      <c r="H21">
        <f t="shared" si="0"/>
        <v>-1.0000000000021103E-4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>
        <f>IF(A2="","",SUM('Asset Allocation'!L2,'Asset Allocation'!AD2)/'Broad Asset Allocation'!B2)</f>
        <v>0.37431693989071041</v>
      </c>
      <c r="C2">
        <f>IF(A2="","",SUM('Asset Allocation'!K2,'Asset Allocation'!AC2)/'Broad Asset Allocation'!B2)</f>
        <v>0.23087431693989069</v>
      </c>
      <c r="D2">
        <f>IF(A2="","",SUM('Asset Allocation'!M2,'Asset Allocation'!AE2)/'Broad Asset Allocation'!B2)</f>
        <v>8.3788706739526403E-2</v>
      </c>
      <c r="E2">
        <f>IF(A2="","",SUM('Asset Allocation'!O2,'Asset Allocation'!AG2)/'Broad Asset Allocation'!B2)</f>
        <v>5.1912568306010917E-2</v>
      </c>
      <c r="F2">
        <f>IF(A2="","",SUM('Asset Allocation'!N2,'Asset Allocation'!AF2)/'Broad Asset Allocation'!B2)</f>
        <v>6.9216757741347903E-2</v>
      </c>
      <c r="G2">
        <f>IF(A2="","",SUM('Asset Allocation'!P2)/'Broad Asset Allocation'!B2)</f>
        <v>6.8761384335154829E-2</v>
      </c>
      <c r="H2">
        <f>IF(A2="","",SUM('Asset Allocation'!Q2,'Asset Allocation'!Z2,'Asset Allocation'!AK2)/'Broad Asset Allocation'!B2)</f>
        <v>0.12112932604735883</v>
      </c>
    </row>
    <row r="3" spans="1:8" x14ac:dyDescent="0.25">
      <c r="A3" t="str">
        <f>IF(Input!A4="","",Input!A4)</f>
        <v>abrdn MPS - Portfolio 2</v>
      </c>
      <c r="B3">
        <f>IF(A3="","",SUM('Asset Allocation'!L3,'Asset Allocation'!AD3)/'Broad Asset Allocation'!B3)</f>
        <v>0.37775575922714888</v>
      </c>
      <c r="C3">
        <f>IF(A3="","",SUM('Asset Allocation'!K3,'Asset Allocation'!AC3)/'Broad Asset Allocation'!B3)</f>
        <v>0.23507555115184542</v>
      </c>
      <c r="D3">
        <f>IF(A3="","",SUM('Asset Allocation'!M3,'Asset Allocation'!AE3)/'Broad Asset Allocation'!B3)</f>
        <v>8.3725538766410687E-2</v>
      </c>
      <c r="E3">
        <f>IF(A3="","",SUM('Asset Allocation'!O3,'Asset Allocation'!AG3)/'Broad Asset Allocation'!B3)</f>
        <v>5.2761951944513254E-2</v>
      </c>
      <c r="F3">
        <f>IF(A3="","",SUM('Asset Allocation'!N3,'Asset Allocation'!AF3)/'Broad Asset Allocation'!B3)</f>
        <v>7.0101560564775831E-2</v>
      </c>
      <c r="G3">
        <f>IF(A3="","",SUM('Asset Allocation'!P3)/'Broad Asset Allocation'!B3)</f>
        <v>6.9606143175625468E-2</v>
      </c>
      <c r="H3">
        <f>IF(A3="","",SUM('Asset Allocation'!Q3,'Asset Allocation'!Z3,'Asset Allocation'!AK3)/'Broad Asset Allocation'!B3)</f>
        <v>0.11097349516968047</v>
      </c>
    </row>
    <row r="4" spans="1:8" x14ac:dyDescent="0.25">
      <c r="A4" t="str">
        <f>IF(Input!A5="","",Input!A5)</f>
        <v>abrdn MPS - Portfolio 3</v>
      </c>
      <c r="B4">
        <f>IF(A4="","",SUM('Asset Allocation'!L4,'Asset Allocation'!AD4)/'Broad Asset Allocation'!B4)</f>
        <v>0.37227074235807861</v>
      </c>
      <c r="C4">
        <f>IF(A4="","",SUM('Asset Allocation'!K4,'Asset Allocation'!AC4)/'Broad Asset Allocation'!B4)</f>
        <v>0.23780931586608445</v>
      </c>
      <c r="D4">
        <f>IF(A4="","",SUM('Asset Allocation'!M4,'Asset Allocation'!AE4)/'Broad Asset Allocation'!B4)</f>
        <v>8.351528384279476E-2</v>
      </c>
      <c r="E4">
        <f>IF(A4="","",SUM('Asset Allocation'!O4,'Asset Allocation'!AG4)/'Broad Asset Allocation'!B4)</f>
        <v>5.1673944687045122E-2</v>
      </c>
      <c r="F4">
        <f>IF(A4="","",SUM('Asset Allocation'!N4,'Asset Allocation'!AF4)/'Broad Asset Allocation'!B4)</f>
        <v>6.9141193595342071E-2</v>
      </c>
      <c r="G4">
        <f>IF(A4="","",SUM('Asset Allocation'!P4)/'Broad Asset Allocation'!B4)</f>
        <v>6.8231441048034941E-2</v>
      </c>
      <c r="H4">
        <f>IF(A4="","",SUM('Asset Allocation'!Q4,'Asset Allocation'!Z4,'Asset Allocation'!AK4)/'Broad Asset Allocation'!B4)</f>
        <v>0.1173580786026201</v>
      </c>
    </row>
    <row r="5" spans="1:8" x14ac:dyDescent="0.25">
      <c r="A5" t="str">
        <f>IF(Input!A6="","",Input!A6)</f>
        <v>abrdn MPS - Portfolio 4</v>
      </c>
      <c r="B5">
        <f>IF(A5="","",SUM('Asset Allocation'!L5,'Asset Allocation'!AD5)/'Broad Asset Allocation'!B5)</f>
        <v>0.38038277511961721</v>
      </c>
      <c r="C5">
        <f>IF(A5="","",SUM('Asset Allocation'!K5,'Asset Allocation'!AC5)/'Broad Asset Allocation'!B5)</f>
        <v>0.23585702223473123</v>
      </c>
      <c r="D5">
        <f>IF(A5="","",SUM('Asset Allocation'!M5,'Asset Allocation'!AE5)/'Broad Asset Allocation'!B5)</f>
        <v>8.5280045032367011E-2</v>
      </c>
      <c r="E5">
        <f>IF(A5="","",SUM('Asset Allocation'!O5,'Asset Allocation'!AG5)/'Broad Asset Allocation'!B5)</f>
        <v>5.2913031241204604E-2</v>
      </c>
      <c r="F5">
        <f>IF(A5="","",SUM('Asset Allocation'!N5,'Asset Allocation'!AF5)/'Broad Asset Allocation'!B5)</f>
        <v>7.022234731213059E-2</v>
      </c>
      <c r="G5">
        <f>IF(A5="","",SUM('Asset Allocation'!P5)/'Broad Asset Allocation'!B5)</f>
        <v>6.9659442724458204E-2</v>
      </c>
      <c r="H5">
        <f>IF(A5="","",SUM('Asset Allocation'!Q5,'Asset Allocation'!Z5,'Asset Allocation'!AK5)/'Broad Asset Allocation'!B5)</f>
        <v>0.10568533633549114</v>
      </c>
    </row>
    <row r="6" spans="1:8" x14ac:dyDescent="0.25">
      <c r="A6" t="str">
        <f>IF(Input!A7="","",Input!A7)</f>
        <v>abrdn MPS - Portfolio 5</v>
      </c>
      <c r="B6">
        <f>IF(A6="","",SUM('Asset Allocation'!L6,'Asset Allocation'!AD6)/'Broad Asset Allocation'!B6)</f>
        <v>0.38751860514565173</v>
      </c>
      <c r="C6">
        <f>IF(A6="","",SUM('Asset Allocation'!K6,'Asset Allocation'!AC6)/'Broad Asset Allocation'!B6)</f>
        <v>0.23899638528598763</v>
      </c>
      <c r="D6">
        <f>IF(A6="","",SUM('Asset Allocation'!M6,'Asset Allocation'!AE6)/'Broad Asset Allocation'!B6)</f>
        <v>8.9729959600255135E-2</v>
      </c>
      <c r="E6">
        <f>IF(A6="","",SUM('Asset Allocation'!O6,'Asset Allocation'!AG6)/'Broad Asset Allocation'!B6)</f>
        <v>5.3582819476929611E-2</v>
      </c>
      <c r="F6">
        <f>IF(A6="","",SUM('Asset Allocation'!N6,'Asset Allocation'!AF6)/'Broad Asset Allocation'!B6)</f>
        <v>7.1231129066553267E-2</v>
      </c>
      <c r="G6">
        <f>IF(A6="","",SUM('Asset Allocation'!P6)/'Broad Asset Allocation'!B6)</f>
        <v>7.0380608122475E-2</v>
      </c>
      <c r="H6">
        <f>IF(A6="","",SUM('Asset Allocation'!Q6,'Asset Allocation'!Z6,'Asset Allocation'!AK6)/'Broad Asset Allocation'!B6)</f>
        <v>8.8560493302147561E-2</v>
      </c>
    </row>
    <row r="7" spans="1:8" x14ac:dyDescent="0.25">
      <c r="A7" t="str">
        <f>IF(Input!A8="","",Input!A8)</f>
        <v>abrdn Index MPS - Portfolio 1</v>
      </c>
      <c r="B7">
        <f>IF(A7="","",SUM('Asset Allocation'!L7,'Asset Allocation'!AD7)/'Broad Asset Allocation'!B7)</f>
        <v>0.35787741670094608</v>
      </c>
      <c r="C7">
        <f>IF(A7="","",SUM('Asset Allocation'!K7,'Asset Allocation'!AC7)/'Broad Asset Allocation'!B7)</f>
        <v>0.20937885643767995</v>
      </c>
      <c r="D7">
        <f>IF(A7="","",SUM('Asset Allocation'!M7,'Asset Allocation'!AE7)/'Broad Asset Allocation'!B7)</f>
        <v>9.5022624434389136E-2</v>
      </c>
      <c r="E7">
        <f>IF(A7="","",SUM('Asset Allocation'!O7,'Asset Allocation'!AG7)/'Broad Asset Allocation'!B7)</f>
        <v>4.6894282188399826E-2</v>
      </c>
      <c r="F7">
        <f>IF(A7="","",SUM('Asset Allocation'!N7,'Asset Allocation'!AF7)/'Broad Asset Allocation'!B7)</f>
        <v>6.2114356232003287E-2</v>
      </c>
      <c r="G7">
        <f>IF(A7="","",SUM('Asset Allocation'!P7)/'Broad Asset Allocation'!B7)</f>
        <v>6.2525709584533115E-2</v>
      </c>
      <c r="H7">
        <f>IF(A7="","",SUM('Asset Allocation'!Q7,'Asset Allocation'!Z7,'Asset Allocation'!AK7)/'Broad Asset Allocation'!B7)</f>
        <v>0.16618675442204853</v>
      </c>
    </row>
    <row r="8" spans="1:8" x14ac:dyDescent="0.25">
      <c r="A8" t="str">
        <f>IF(Input!A9="","",Input!A9)</f>
        <v>abrdn Index MPS - Portfolio 2</v>
      </c>
      <c r="B8">
        <f>IF(A8="","",SUM('Asset Allocation'!L8,'Asset Allocation'!AD8)/'Broad Asset Allocation'!B8)</f>
        <v>0.38481012658227848</v>
      </c>
      <c r="C8">
        <f>IF(A8="","",SUM('Asset Allocation'!K8,'Asset Allocation'!AC8)/'Broad Asset Allocation'!B8)</f>
        <v>0.22554660529344076</v>
      </c>
      <c r="D8">
        <f>IF(A8="","",SUM('Asset Allocation'!M8,'Asset Allocation'!AE8)/'Broad Asset Allocation'!B8)</f>
        <v>0.10264672036823935</v>
      </c>
      <c r="E8">
        <f>IF(A8="","",SUM('Asset Allocation'!O8,'Asset Allocation'!AG8)/'Broad Asset Allocation'!B8)</f>
        <v>5.0632911392405069E-2</v>
      </c>
      <c r="F8">
        <f>IF(A8="","",SUM('Asset Allocation'!N8,'Asset Allocation'!AF8)/'Broad Asset Allocation'!B8)</f>
        <v>6.6973532796317611E-2</v>
      </c>
      <c r="G8">
        <f>IF(A8="","",SUM('Asset Allocation'!P8)/'Broad Asset Allocation'!B8)</f>
        <v>6.7203682393555814E-2</v>
      </c>
      <c r="H8">
        <f>IF(A8="","",SUM('Asset Allocation'!Q8,'Asset Allocation'!Z8,'Asset Allocation'!AK8)/'Broad Asset Allocation'!B8)</f>
        <v>0.10218642117376295</v>
      </c>
    </row>
    <row r="9" spans="1:8" x14ac:dyDescent="0.25">
      <c r="A9" t="str">
        <f>IF(Input!A10="","",Input!A10)</f>
        <v>abrdn Index MPS - Portfolio 3</v>
      </c>
      <c r="B9">
        <f>IF(A9="","",SUM('Asset Allocation'!L9,'Asset Allocation'!AD9)/'Broad Asset Allocation'!B9)</f>
        <v>0.38897396630934145</v>
      </c>
      <c r="C9">
        <f>IF(A9="","",SUM('Asset Allocation'!K9,'Asset Allocation'!AC9)/'Broad Asset Allocation'!B9)</f>
        <v>0.22800748681299979</v>
      </c>
      <c r="D9">
        <f>IF(A9="","",SUM('Asset Allocation'!M9,'Asset Allocation'!AE9)/'Broad Asset Allocation'!B9)</f>
        <v>0.10379445295218646</v>
      </c>
      <c r="E9">
        <f>IF(A9="","",SUM('Asset Allocation'!O9,'Asset Allocation'!AG9)/'Broad Asset Allocation'!B9)</f>
        <v>5.1046452271567115E-2</v>
      </c>
      <c r="F9">
        <f>IF(A9="","",SUM('Asset Allocation'!N9,'Asset Allocation'!AF9)/'Broad Asset Allocation'!B9)</f>
        <v>6.7891781521184275E-2</v>
      </c>
      <c r="G9">
        <f>IF(A9="","",SUM('Asset Allocation'!P9)/'Broad Asset Allocation'!B9)</f>
        <v>6.8061936362089487E-2</v>
      </c>
      <c r="H9">
        <f>IF(A9="","",SUM('Asset Allocation'!Q9,'Asset Allocation'!Z9,'Asset Allocation'!AK9)/'Broad Asset Allocation'!B9)</f>
        <v>9.2223923770631253E-2</v>
      </c>
    </row>
    <row r="10" spans="1:8" x14ac:dyDescent="0.25">
      <c r="A10" t="str">
        <f>IF(Input!A11="","",Input!A11)</f>
        <v>abrdn Index MPS - Portfolio 4</v>
      </c>
      <c r="B10">
        <f>IF(A10="","",SUM('Asset Allocation'!L10,'Asset Allocation'!AD10)/'Broad Asset Allocation'!B10)</f>
        <v>0.39467761154508141</v>
      </c>
      <c r="C10">
        <f>IF(A10="","",SUM('Asset Allocation'!K10,'Asset Allocation'!AC10)/'Broad Asset Allocation'!B10)</f>
        <v>0.23143121938302663</v>
      </c>
      <c r="D10">
        <f>IF(A10="","",SUM('Asset Allocation'!M10,'Asset Allocation'!AE10)/'Broad Asset Allocation'!B10)</f>
        <v>0.10512379187077982</v>
      </c>
      <c r="E10">
        <f>IF(A10="","",SUM('Asset Allocation'!O10,'Asset Allocation'!AG10)/'Broad Asset Allocation'!B10)</f>
        <v>5.1899907321594066E-2</v>
      </c>
      <c r="F10">
        <f>IF(A10="","",SUM('Asset Allocation'!N10,'Asset Allocation'!AF10)/'Broad Asset Allocation'!B10)</f>
        <v>6.8714418112008485E-2</v>
      </c>
      <c r="G10">
        <f>IF(A10="","",SUM('Asset Allocation'!P10)/'Broad Asset Allocation'!B10)</f>
        <v>6.8979213557526814E-2</v>
      </c>
      <c r="H10">
        <f>IF(A10="","",SUM('Asset Allocation'!Q10,'Asset Allocation'!Z10,'Asset Allocation'!AK10)/'Broad Asset Allocation'!B10)</f>
        <v>7.9173838209982805E-2</v>
      </c>
    </row>
    <row r="11" spans="1:8" x14ac:dyDescent="0.25">
      <c r="A11" t="str">
        <f>IF(Input!A12="","",Input!A12)</f>
        <v>abrdn Index MPS - Portfolio 5</v>
      </c>
      <c r="B11">
        <f>IF(A11="","",SUM('Asset Allocation'!L11,'Asset Allocation'!AD11)/'Broad Asset Allocation'!B11)</f>
        <v>0.39484004127966976</v>
      </c>
      <c r="C11">
        <f>IF(A11="","",SUM('Asset Allocation'!K11,'Asset Allocation'!AC11)/'Broad Asset Allocation'!B11)</f>
        <v>0.23147574819401445</v>
      </c>
      <c r="D11">
        <f>IF(A11="","",SUM('Asset Allocation'!M11,'Asset Allocation'!AE11)/'Broad Asset Allocation'!B11)</f>
        <v>0.10536635706914346</v>
      </c>
      <c r="E11">
        <f>IF(A11="","",SUM('Asset Allocation'!O11,'Asset Allocation'!AG11)/'Broad Asset Allocation'!B11)</f>
        <v>5.1909184726522194E-2</v>
      </c>
      <c r="F11">
        <f>IF(A11="","",SUM('Asset Allocation'!N11,'Asset Allocation'!AF11)/'Broad Asset Allocation'!B11)</f>
        <v>6.883384932920536E-2</v>
      </c>
      <c r="G11">
        <f>IF(A11="","",SUM('Asset Allocation'!P11)/'Broad Asset Allocation'!B11)</f>
        <v>6.9143446852425183E-2</v>
      </c>
      <c r="H11">
        <f>IF(A11="","",SUM('Asset Allocation'!Q11,'Asset Allocation'!Z11,'Asset Allocation'!AK11)/'Broad Asset Allocation'!B11)</f>
        <v>7.8431372549019607E-2</v>
      </c>
    </row>
    <row r="12" spans="1:8" x14ac:dyDescent="0.25">
      <c r="A12" t="str">
        <f>IF(Input!A13="","",Input!A13)</f>
        <v>Sustainable MPS - Portfolio 1</v>
      </c>
      <c r="B12">
        <f>IF(A12="","",SUM('Asset Allocation'!L12,'Asset Allocation'!AD12)/'Broad Asset Allocation'!B12)</f>
        <v>0</v>
      </c>
      <c r="C12">
        <f>IF(A12="","",SUM('Asset Allocation'!K12,'Asset Allocation'!AC12)/'Broad Asset Allocation'!B12)</f>
        <v>0.20109689213893966</v>
      </c>
      <c r="D12">
        <f>IF(A12="","",SUM('Asset Allocation'!M12,'Asset Allocation'!AE12)/'Broad Asset Allocation'!B12)</f>
        <v>0</v>
      </c>
      <c r="E12">
        <f>IF(A12="","",SUM('Asset Allocation'!O12,'Asset Allocation'!AG12)/'Broad Asset Allocation'!B12)</f>
        <v>0</v>
      </c>
      <c r="F12">
        <f>IF(A12="","",SUM('Asset Allocation'!N12,'Asset Allocation'!AF12)/'Broad Asset Allocation'!B12)</f>
        <v>0</v>
      </c>
      <c r="G12">
        <f>IF(A12="","",SUM('Asset Allocation'!P12)/'Broad Asset Allocation'!B12)</f>
        <v>0</v>
      </c>
      <c r="H12">
        <f>IF(A12="","",SUM('Asset Allocation'!Q12,'Asset Allocation'!Z12,'Asset Allocation'!AK12)/'Broad Asset Allocation'!B12)</f>
        <v>0.79890310786106034</v>
      </c>
    </row>
    <row r="13" spans="1:8" x14ac:dyDescent="0.25">
      <c r="A13" t="str">
        <f>IF(Input!A14="","",Input!A14)</f>
        <v>Sustainable MPS - Portfolio 2</v>
      </c>
      <c r="B13">
        <f>IF(A13="","",SUM('Asset Allocation'!L13,'Asset Allocation'!AD13)/'Broad Asset Allocation'!B13)</f>
        <v>0</v>
      </c>
      <c r="C13">
        <f>IF(A13="","",SUM('Asset Allocation'!K13,'Asset Allocation'!AC13)/'Broad Asset Allocation'!B13)</f>
        <v>0.20378203533217221</v>
      </c>
      <c r="D13">
        <f>IF(A13="","",SUM('Asset Allocation'!M13,'Asset Allocation'!AE13)/'Broad Asset Allocation'!B13)</f>
        <v>0</v>
      </c>
      <c r="E13">
        <f>IF(A13="","",SUM('Asset Allocation'!O13,'Asset Allocation'!AG13)/'Broad Asset Allocation'!B13)</f>
        <v>0</v>
      </c>
      <c r="F13">
        <f>IF(A13="","",SUM('Asset Allocation'!N13,'Asset Allocation'!AF13)/'Broad Asset Allocation'!B13)</f>
        <v>0</v>
      </c>
      <c r="G13">
        <f>IF(A13="","",SUM('Asset Allocation'!P13)/'Broad Asset Allocation'!B13)</f>
        <v>0</v>
      </c>
      <c r="H13">
        <f>IF(A13="","",SUM('Asset Allocation'!Q13,'Asset Allocation'!Z13,'Asset Allocation'!AK13)/'Broad Asset Allocation'!B13)</f>
        <v>0.7962179646678279</v>
      </c>
    </row>
    <row r="14" spans="1:8" x14ac:dyDescent="0.25">
      <c r="A14" t="str">
        <f>IF(Input!A15="","",Input!A15)</f>
        <v>Sustainable MPS - Portfolio 3</v>
      </c>
      <c r="B14">
        <f>IF(A14="","",SUM('Asset Allocation'!L14,'Asset Allocation'!AD14)/'Broad Asset Allocation'!B14)</f>
        <v>0</v>
      </c>
      <c r="C14">
        <f>IF(A14="","",SUM('Asset Allocation'!K14,'Asset Allocation'!AC14)/'Broad Asset Allocation'!B14)</f>
        <v>0.20150624540778841</v>
      </c>
      <c r="D14">
        <f>IF(A14="","",SUM('Asset Allocation'!M14,'Asset Allocation'!AE14)/'Broad Asset Allocation'!B14)</f>
        <v>0</v>
      </c>
      <c r="E14">
        <f>IF(A14="","",SUM('Asset Allocation'!O14,'Asset Allocation'!AG14)/'Broad Asset Allocation'!B14)</f>
        <v>0</v>
      </c>
      <c r="F14">
        <f>IF(A14="","",SUM('Asset Allocation'!N14,'Asset Allocation'!AF14)/'Broad Asset Allocation'!B14)</f>
        <v>0</v>
      </c>
      <c r="G14">
        <f>IF(A14="","",SUM('Asset Allocation'!P14)/'Broad Asset Allocation'!B14)</f>
        <v>0</v>
      </c>
      <c r="H14">
        <f>IF(A14="","",SUM('Asset Allocation'!Q14,'Asset Allocation'!Z14,'Asset Allocation'!AK14)/'Broad Asset Allocation'!B14)</f>
        <v>0.79849375459221161</v>
      </c>
    </row>
    <row r="15" spans="1:8" x14ac:dyDescent="0.25">
      <c r="A15" t="str">
        <f>IF(Input!A16="","",Input!A16)</f>
        <v>Sustainable MPS - Portfolio 4</v>
      </c>
      <c r="B15">
        <f>IF(A15="","",SUM('Asset Allocation'!L15,'Asset Allocation'!AD15)/'Broad Asset Allocation'!B15)</f>
        <v>0</v>
      </c>
      <c r="C15">
        <f>IF(A15="","",SUM('Asset Allocation'!K15,'Asset Allocation'!AC15)/'Broad Asset Allocation'!B15)</f>
        <v>0.20434047350620066</v>
      </c>
      <c r="D15">
        <f>IF(A15="","",SUM('Asset Allocation'!M15,'Asset Allocation'!AE15)/'Broad Asset Allocation'!B15)</f>
        <v>0</v>
      </c>
      <c r="E15">
        <f>IF(A15="","",SUM('Asset Allocation'!O15,'Asset Allocation'!AG15)/'Broad Asset Allocation'!B15)</f>
        <v>0</v>
      </c>
      <c r="F15">
        <f>IF(A15="","",SUM('Asset Allocation'!N15,'Asset Allocation'!AF15)/'Broad Asset Allocation'!B15)</f>
        <v>0</v>
      </c>
      <c r="G15">
        <f>IF(A15="","",SUM('Asset Allocation'!P15)/'Broad Asset Allocation'!B15)</f>
        <v>0</v>
      </c>
      <c r="H15">
        <f>IF(A15="","",SUM('Asset Allocation'!Q15,'Asset Allocation'!Z15,'Asset Allocation'!AK15)/'Broad Asset Allocation'!B15)</f>
        <v>0.79565952649379934</v>
      </c>
    </row>
    <row r="16" spans="1:8" x14ac:dyDescent="0.25">
      <c r="A16" t="str">
        <f>IF(Input!A17="","",Input!A17)</f>
        <v>Sustainable MPS - Portfolio 5</v>
      </c>
      <c r="B16">
        <f>IF(A16="","",SUM('Asset Allocation'!L16,'Asset Allocation'!AD16)/'Broad Asset Allocation'!B16)</f>
        <v>0</v>
      </c>
      <c r="C16">
        <f>IF(A16="","",SUM('Asset Allocation'!K16,'Asset Allocation'!AC16)/'Broad Asset Allocation'!B16)</f>
        <v>0.20714589536367506</v>
      </c>
      <c r="D16">
        <f>IF(A16="","",SUM('Asset Allocation'!M16,'Asset Allocation'!AE16)/'Broad Asset Allocation'!B16)</f>
        <v>0</v>
      </c>
      <c r="E16">
        <f>IF(A16="","",SUM('Asset Allocation'!O16,'Asset Allocation'!AG16)/'Broad Asset Allocation'!B16)</f>
        <v>0</v>
      </c>
      <c r="F16">
        <f>IF(A16="","",SUM('Asset Allocation'!N16,'Asset Allocation'!AF16)/'Broad Asset Allocation'!B16)</f>
        <v>0</v>
      </c>
      <c r="G16">
        <f>IF(A16="","",SUM('Asset Allocation'!P16)/'Broad Asset Allocation'!B16)</f>
        <v>0</v>
      </c>
      <c r="H16">
        <f>IF(A16="","",SUM('Asset Allocation'!Q16,'Asset Allocation'!Z16,'Asset Allocation'!AK16)/'Broad Asset Allocation'!B16)</f>
        <v>0.792854104636325</v>
      </c>
    </row>
    <row r="17" spans="1:8" x14ac:dyDescent="0.25">
      <c r="A17" t="str">
        <f>IF(Input!A18="","",Input!A18)</f>
        <v>Sustainable Index MPS - Portfolio 1</v>
      </c>
      <c r="B17">
        <f>IF(A17="","",SUM('Asset Allocation'!L17,'Asset Allocation'!AD17)/'Broad Asset Allocation'!B17)</f>
        <v>0.35593916974928069</v>
      </c>
      <c r="C17">
        <f>IF(A17="","",SUM('Asset Allocation'!K17,'Asset Allocation'!AC17)/'Broad Asset Allocation'!B17)</f>
        <v>0.20797369502671598</v>
      </c>
      <c r="D17">
        <f>IF(A17="","",SUM('Asset Allocation'!M17,'Asset Allocation'!AE17)/'Broad Asset Allocation'!B17)</f>
        <v>9.4944512946979032E-2</v>
      </c>
      <c r="E17">
        <f>IF(A17="","",SUM('Asset Allocation'!O17,'Asset Allocation'!AG17)/'Broad Asset Allocation'!B17)</f>
        <v>4.7266748869708178E-2</v>
      </c>
      <c r="F17">
        <f>IF(A17="","",SUM('Asset Allocation'!N17,'Asset Allocation'!AF17)/'Broad Asset Allocation'!B17)</f>
        <v>6.2885326757090007E-2</v>
      </c>
      <c r="G17">
        <f>IF(A17="","",SUM('Asset Allocation'!P17)/'Broad Asset Allocation'!B17)</f>
        <v>6.2474311549527331E-2</v>
      </c>
      <c r="H17">
        <f>IF(A17="","",SUM('Asset Allocation'!Q17,'Asset Allocation'!Z17,'Asset Allocation'!AK17)/'Broad Asset Allocation'!B17)</f>
        <v>0.16851623510069869</v>
      </c>
    </row>
    <row r="18" spans="1:8" x14ac:dyDescent="0.25">
      <c r="A18" t="str">
        <f>IF(Input!A19="","",Input!A19)</f>
        <v>Sustainable Index MPS - Portfolio 2</v>
      </c>
      <c r="B18">
        <f>IF(A18="","",SUM('Asset Allocation'!L18,'Asset Allocation'!AD18)/'Broad Asset Allocation'!B18)</f>
        <v>0.38417431192660556</v>
      </c>
      <c r="C18">
        <f>IF(A18="","",SUM('Asset Allocation'!K18,'Asset Allocation'!AC18)/'Broad Asset Allocation'!B18)</f>
        <v>0.22339449541284406</v>
      </c>
      <c r="D18">
        <f>IF(A18="","",SUM('Asset Allocation'!M18,'Asset Allocation'!AE18)/'Broad Asset Allocation'!B18)</f>
        <v>0.1022935779816514</v>
      </c>
      <c r="E18">
        <f>IF(A18="","",SUM('Asset Allocation'!O18,'Asset Allocation'!AG18)/'Broad Asset Allocation'!B18)</f>
        <v>5.1146788990825698E-2</v>
      </c>
      <c r="F18">
        <f>IF(A18="","",SUM('Asset Allocation'!N18,'Asset Allocation'!AF18)/'Broad Asset Allocation'!B18)</f>
        <v>6.6972477064220187E-2</v>
      </c>
      <c r="G18">
        <f>IF(A18="","",SUM('Asset Allocation'!P18)/'Broad Asset Allocation'!B18)</f>
        <v>6.7201834862385332E-2</v>
      </c>
      <c r="H18">
        <f>IF(A18="","",SUM('Asset Allocation'!Q18,'Asset Allocation'!Z18,'Asset Allocation'!AK18)/'Broad Asset Allocation'!B18)</f>
        <v>0.10481651376146792</v>
      </c>
    </row>
    <row r="19" spans="1:8" x14ac:dyDescent="0.25">
      <c r="A19" t="str">
        <f>IF(Input!A20="","",Input!A20)</f>
        <v>Sustainable Index MPS - Portfolio 3</v>
      </c>
      <c r="B19">
        <f>IF(A19="","",SUM('Asset Allocation'!L19,'Asset Allocation'!AD19)/'Broad Asset Allocation'!B19)</f>
        <v>0.38845500848896436</v>
      </c>
      <c r="C19">
        <f>IF(A19="","",SUM('Asset Allocation'!K19,'Asset Allocation'!AC19)/'Broad Asset Allocation'!B19)</f>
        <v>0.22597623089983024</v>
      </c>
      <c r="D19">
        <f>IF(A19="","",SUM('Asset Allocation'!M19,'Asset Allocation'!AE19)/'Broad Asset Allocation'!B19)</f>
        <v>0.10339558573853989</v>
      </c>
      <c r="E19">
        <f>IF(A19="","",SUM('Asset Allocation'!O19,'Asset Allocation'!AG19)/'Broad Asset Allocation'!B19)</f>
        <v>5.1612903225806452E-2</v>
      </c>
      <c r="F19">
        <f>IF(A19="","",SUM('Asset Allocation'!N19,'Asset Allocation'!AF19)/'Broad Asset Allocation'!B19)</f>
        <v>6.7911714770797965E-2</v>
      </c>
      <c r="G19">
        <f>IF(A19="","",SUM('Asset Allocation'!P19)/'Broad Asset Allocation'!B19)</f>
        <v>6.8081494057724956E-2</v>
      </c>
      <c r="H19">
        <f>IF(A19="","",SUM('Asset Allocation'!Q19,'Asset Allocation'!Z19,'Asset Allocation'!AK19)/'Broad Asset Allocation'!B19)</f>
        <v>9.456706281833617E-2</v>
      </c>
    </row>
    <row r="20" spans="1:8" x14ac:dyDescent="0.25">
      <c r="A20" t="str">
        <f>IF(Input!A21="","",Input!A21)</f>
        <v>Sustainable Index MPS - Portfolio 4</v>
      </c>
      <c r="B20">
        <f>IF(A20="","",SUM('Asset Allocation'!L20,'Asset Allocation'!AD20)/'Broad Asset Allocation'!B20)</f>
        <v>0.39464971526950071</v>
      </c>
      <c r="C20">
        <f>IF(A20="","",SUM('Asset Allocation'!K20,'Asset Allocation'!AC20)/'Broad Asset Allocation'!B20)</f>
        <v>0.22937359290160242</v>
      </c>
      <c r="D20">
        <f>IF(A20="","",SUM('Asset Allocation'!M20,'Asset Allocation'!AE20)/'Broad Asset Allocation'!B20)</f>
        <v>0.10422460601244869</v>
      </c>
      <c r="E20">
        <f>IF(A20="","",SUM('Asset Allocation'!O20,'Asset Allocation'!AG20)/'Broad Asset Allocation'!B20)</f>
        <v>5.2046086611044901E-2</v>
      </c>
      <c r="F20">
        <f>IF(A20="","",SUM('Asset Allocation'!N20,'Asset Allocation'!AF20)/'Broad Asset Allocation'!B20)</f>
        <v>6.8865050986624293E-2</v>
      </c>
      <c r="G20">
        <f>IF(A20="","",SUM('Asset Allocation'!P20)/'Broad Asset Allocation'!B20)</f>
        <v>6.9659647728777641E-2</v>
      </c>
      <c r="H20">
        <f>IF(A20="","",SUM('Asset Allocation'!Q20,'Asset Allocation'!Z20,'Asset Allocation'!AK20)/'Broad Asset Allocation'!B20)</f>
        <v>8.1181300490001329E-2</v>
      </c>
    </row>
    <row r="21" spans="1:8" x14ac:dyDescent="0.25">
      <c r="A21" t="str">
        <f>IF(Input!A22="","",Input!A22)</f>
        <v>Sustainable Index MPS - Portfolio 5</v>
      </c>
      <c r="B21">
        <f>IF(A21="","",SUM('Asset Allocation'!L21,'Asset Allocation'!AD21)/'Broad Asset Allocation'!B21)</f>
        <v>0.39391124871001032</v>
      </c>
      <c r="C21">
        <f>IF(A21="","",SUM('Asset Allocation'!K21,'Asset Allocation'!AC21)/'Broad Asset Allocation'!B21)</f>
        <v>0.23034055727554179</v>
      </c>
      <c r="D21">
        <f>IF(A21="","",SUM('Asset Allocation'!M21,'Asset Allocation'!AE21)/'Broad Asset Allocation'!B21)</f>
        <v>0.10505675954592363</v>
      </c>
      <c r="E21">
        <f>IF(A21="","",SUM('Asset Allocation'!O21,'Asset Allocation'!AG21)/'Broad Asset Allocation'!B21)</f>
        <v>5.2321981424148602E-2</v>
      </c>
      <c r="F21">
        <f>IF(A21="","",SUM('Asset Allocation'!N21,'Asset Allocation'!AF21)/'Broad Asset Allocation'!B21)</f>
        <v>6.9556243550051591E-2</v>
      </c>
      <c r="G21">
        <f>IF(A21="","",SUM('Asset Allocation'!P21)/'Broad Asset Allocation'!B21)</f>
        <v>6.9143446852425183E-2</v>
      </c>
      <c r="H21">
        <f>IF(A21="","",SUM('Asset Allocation'!Q21,'Asset Allocation'!Z21,'Asset Allocation'!AK21)/'Broad Asset Allocation'!B21)</f>
        <v>7.9669762641898845E-2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>
        <f>IF(A2="","",SUM('Asset Allocation'!B2,'Asset Allocation'!C2,'Asset Allocation'!V2)/'Broad Asset Allocation'!C2)</f>
        <v>0.47387661843107387</v>
      </c>
      <c r="C2">
        <f>IF(A2="","",SUM('Asset Allocation'!G2,'Asset Allocation'!W2,'Asset Allocation'!AA2,'Asset Allocation'!AH2)/'Broad Asset Allocation'!C2)</f>
        <v>0.15125666412795127</v>
      </c>
      <c r="D2">
        <f>IF(A2="","",SUM('Asset Allocation'!H2,'Asset Allocation'!I2,'Asset Allocation'!X2)/'Broad Asset Allocation'!C2)</f>
        <v>0.2892612338156893</v>
      </c>
      <c r="E2">
        <f>IF(A2="","",SUM('Asset Allocation'!J2,'Asset Allocation'!AB2)/'Broad Asset Allocation'!C2)</f>
        <v>1.6450875856816451E-2</v>
      </c>
      <c r="F2">
        <f>IF(A2="","",SUM('Asset Allocation'!D2,'Asset Allocation'!E2,'Asset Allocation'!F2,'Asset Allocation'!AI2,'Asset Allocation'!AJ2)/'Broad Asset Allocation'!C2)</f>
        <v>6.9154607768469156E-2</v>
      </c>
    </row>
    <row r="3" spans="1:8" x14ac:dyDescent="0.25">
      <c r="A3" t="str">
        <f>IF(Input!A4="","",Input!A4)</f>
        <v>abrdn MPS - Portfolio 2</v>
      </c>
      <c r="B3">
        <f>IF(A3="","",SUM('Asset Allocation'!B3,'Asset Allocation'!C3,'Asset Allocation'!V3)/'Broad Asset Allocation'!C3)</f>
        <v>0.36705442459493148</v>
      </c>
      <c r="C3">
        <f>IF(A3="","",SUM('Asset Allocation'!G3,'Asset Allocation'!W3,'Asset Allocation'!AA3,'Asset Allocation'!AH3)/'Broad Asset Allocation'!C3)</f>
        <v>0.10760282509347735</v>
      </c>
      <c r="D3">
        <f>IF(A3="","",SUM('Asset Allocation'!H3,'Asset Allocation'!I3,'Asset Allocation'!X3)/'Broad Asset Allocation'!C3)</f>
        <v>0.35209804736186123</v>
      </c>
      <c r="E3">
        <f>IF(A3="","",SUM('Asset Allocation'!J3,'Asset Allocation'!AB3)/'Broad Asset Allocation'!C3)</f>
        <v>3.4898213543830492E-2</v>
      </c>
      <c r="F3">
        <f>IF(A3="","",SUM('Asset Allocation'!D3,'Asset Allocation'!E3,'Asset Allocation'!AI3,'Asset Allocation'!AJ3)/'Broad Asset Allocation'!C3)</f>
        <v>0.13834648940589947</v>
      </c>
    </row>
    <row r="4" spans="1:8" x14ac:dyDescent="0.25">
      <c r="A4" t="str">
        <f>IF(Input!A5="","",Input!A5)</f>
        <v>abrdn MPS - Portfolio 3</v>
      </c>
      <c r="B4">
        <f>IF(A4="","",SUM('Asset Allocation'!B4,'Asset Allocation'!C4,'Asset Allocation'!V4)/'Broad Asset Allocation'!C4)</f>
        <v>0.3194607268464244</v>
      </c>
      <c r="C4">
        <f>IF(A4="","",SUM('Asset Allocation'!G4,'Asset Allocation'!W4,'Asset Allocation'!AA4,'Asset Allocation'!AH4)/'Broad Asset Allocation'!C4)</f>
        <v>0.1093200468933177</v>
      </c>
      <c r="D4">
        <f>IF(A4="","",SUM('Asset Allocation'!H4,'Asset Allocation'!I4,'Asset Allocation'!X4)/'Broad Asset Allocation'!C4)</f>
        <v>0.25820633059788978</v>
      </c>
      <c r="E4">
        <f>IF(A4="","",SUM('Asset Allocation'!J4,'Asset Allocation'!AB4)/'Broad Asset Allocation'!C4)</f>
        <v>8.7631887456037519E-2</v>
      </c>
      <c r="F4">
        <f>IF(A4="","",SUM('Asset Allocation'!D4,'Asset Allocation'!E4,'Asset Allocation'!AI4,'Asset Allocation'!AJ4)/'Broad Asset Allocation'!C4)</f>
        <v>0.22538100820633061</v>
      </c>
    </row>
    <row r="5" spans="1:8" x14ac:dyDescent="0.25">
      <c r="A5" t="str">
        <f>IF(Input!A6="","",Input!A6)</f>
        <v>abrdn MPS - Portfolio 4</v>
      </c>
      <c r="B5">
        <f>IF(A5="","",SUM('Asset Allocation'!B5,'Asset Allocation'!C5,'Asset Allocation'!V5)/'Broad Asset Allocation'!C5)</f>
        <v>0.15109223300970873</v>
      </c>
      <c r="C5">
        <f>IF(A5="","",SUM('Asset Allocation'!G5,'Asset Allocation'!W5,'Asset Allocation'!AA5,'Asset Allocation'!AH5)/'Broad Asset Allocation'!C5)</f>
        <v>0.12864077669902912</v>
      </c>
      <c r="D5">
        <f>IF(A5="","",SUM('Asset Allocation'!H5,'Asset Allocation'!I5,'Asset Allocation'!X5)/'Broad Asset Allocation'!C5)</f>
        <v>0.19842233009708737</v>
      </c>
      <c r="E5">
        <f>IF(A5="","",SUM('Asset Allocation'!J5,'Asset Allocation'!AB5)/'Broad Asset Allocation'!C5)</f>
        <v>0.1395631067961165</v>
      </c>
      <c r="F5">
        <f>IF(A5="","",SUM('Asset Allocation'!D5,'Asset Allocation'!E5,'Asset Allocation'!AI5,'Asset Allocation'!AJ5)/'Broad Asset Allocation'!C5)</f>
        <v>0.38228155339805825</v>
      </c>
    </row>
    <row r="6" spans="1:8" x14ac:dyDescent="0.25">
      <c r="A6" t="str">
        <f>IF(Input!A7="","",Input!A7)</f>
        <v>abrdn MPS - Portfolio 5</v>
      </c>
      <c r="B6">
        <f>IF(A6="","",SUM('Asset Allocation'!B6,'Asset Allocation'!C6,'Asset Allocation'!V6)/'Broad Asset Allocation'!C6)</f>
        <v>0.13080168776371309</v>
      </c>
      <c r="C6">
        <f>IF(A6="","",SUM('Asset Allocation'!G6,'Asset Allocation'!W6,'Asset Allocation'!AA6,'Asset Allocation'!AH6)/'Broad Asset Allocation'!C6)</f>
        <v>0</v>
      </c>
      <c r="D6">
        <f>IF(A6="","",SUM('Asset Allocation'!H6,'Asset Allocation'!I6,'Asset Allocation'!X6)/'Broad Asset Allocation'!C6)</f>
        <v>0.65400843881856541</v>
      </c>
      <c r="E6">
        <f>IF(A6="","",SUM('Asset Allocation'!J6,'Asset Allocation'!AB6)/'Broad Asset Allocation'!C6)</f>
        <v>0.21518987341772156</v>
      </c>
      <c r="F6">
        <f>IF(A6="","",SUM('Asset Allocation'!D6,'Asset Allocation'!E6,'Asset Allocation'!AI6,'Asset Allocation'!AJ6)/'Broad Asset Allocation'!C6)</f>
        <v>0</v>
      </c>
    </row>
    <row r="7" spans="1:8" x14ac:dyDescent="0.25">
      <c r="A7" t="str">
        <f>IF(Input!A8="","",Input!A8)</f>
        <v>abrdn Index MPS - Portfolio 1</v>
      </c>
      <c r="B7">
        <f>IF(A7="","",SUM('Asset Allocation'!B7,'Asset Allocation'!C7,'Asset Allocation'!V7)/'Broad Asset Allocation'!C7)</f>
        <v>0.30214639515685193</v>
      </c>
      <c r="C7">
        <f>IF(A7="","",SUM('Asset Allocation'!G7,'Asset Allocation'!W7,'Asset Allocation'!AA7,'Asset Allocation'!AH7)/'Broad Asset Allocation'!C7)</f>
        <v>0.2641717116125481</v>
      </c>
      <c r="D7">
        <f>IF(A7="","",SUM('Asset Allocation'!H7,'Asset Allocation'!I7,'Asset Allocation'!X7)/'Broad Asset Allocation'!C7)</f>
        <v>0.38084755090809025</v>
      </c>
      <c r="E7">
        <f>IF(A7="","",SUM('Asset Allocation'!J7,'Asset Allocation'!AB7)/'Broad Asset Allocation'!C7)</f>
        <v>1.1695101816180517E-2</v>
      </c>
      <c r="F7">
        <f>IF(A7="","",SUM('Asset Allocation'!D7,'Asset Allocation'!E7,'Asset Allocation'!AI7,'Asset Allocation'!AJ7)/'Broad Asset Allocation'!C7)</f>
        <v>4.1139240506329111E-2</v>
      </c>
    </row>
    <row r="8" spans="1:8" x14ac:dyDescent="0.25">
      <c r="A8" t="str">
        <f>IF(Input!A9="","",Input!A9)</f>
        <v>abrdn Index MPS - Portfolio 2</v>
      </c>
      <c r="B8">
        <f>IF(A8="","",SUM('Asset Allocation'!B8,'Asset Allocation'!C8,'Asset Allocation'!V8)/'Broad Asset Allocation'!C8)</f>
        <v>0.25526802218114608</v>
      </c>
      <c r="C8">
        <f>IF(A8="","",SUM('Asset Allocation'!G8,'Asset Allocation'!W8,'Asset Allocation'!AA8,'Asset Allocation'!AH8)/'Broad Asset Allocation'!C8)</f>
        <v>0.17726432532347508</v>
      </c>
      <c r="D8">
        <f>IF(A8="","",SUM('Asset Allocation'!H8,'Asset Allocation'!I8,'Asset Allocation'!X8)/'Broad Asset Allocation'!C8)</f>
        <v>0.39334565619223666</v>
      </c>
      <c r="E8">
        <f>IF(A8="","",SUM('Asset Allocation'!J8,'Asset Allocation'!AB8)/'Broad Asset Allocation'!C8)</f>
        <v>7.0055452865064705E-2</v>
      </c>
      <c r="F8">
        <f>IF(A8="","",SUM('Asset Allocation'!D8,'Asset Allocation'!E8,'Asset Allocation'!AI8,'Asset Allocation'!AJ8)/'Broad Asset Allocation'!C8)</f>
        <v>0.10406654343807764</v>
      </c>
    </row>
    <row r="9" spans="1:8" x14ac:dyDescent="0.25">
      <c r="A9" t="str">
        <f>IF(Input!A10="","",Input!A10)</f>
        <v>abrdn Index MPS - Portfolio 3</v>
      </c>
      <c r="B9">
        <f>IF(A9="","",SUM('Asset Allocation'!B9,'Asset Allocation'!C9,'Asset Allocation'!V9)/'Broad Asset Allocation'!C9)</f>
        <v>0.17060085836909875</v>
      </c>
      <c r="C9">
        <f>IF(A9="","",SUM('Asset Allocation'!G9,'Asset Allocation'!W9,'Asset Allocation'!AA9,'Asset Allocation'!AH9)/'Broad Asset Allocation'!C9)</f>
        <v>0.12634120171673821</v>
      </c>
      <c r="D9">
        <f>IF(A9="","",SUM('Asset Allocation'!H9,'Asset Allocation'!I9,'Asset Allocation'!X9)/'Broad Asset Allocation'!C9)</f>
        <v>0.39216738197424894</v>
      </c>
      <c r="E9">
        <f>IF(A9="","",SUM('Asset Allocation'!J9,'Asset Allocation'!AB9)/'Broad Asset Allocation'!C9)</f>
        <v>0.10380901287553648</v>
      </c>
      <c r="F9">
        <f>IF(A9="","",SUM('Asset Allocation'!D9,'Asset Allocation'!E9,'Asset Allocation'!AI9,'Asset Allocation'!AJ9)/'Broad Asset Allocation'!C9)</f>
        <v>0.20708154506437768</v>
      </c>
    </row>
    <row r="10" spans="1:8" x14ac:dyDescent="0.25">
      <c r="A10" t="str">
        <f>IF(Input!A11="","",Input!A11)</f>
        <v>abrdn Index MPS - Portfolio 4</v>
      </c>
      <c r="B10">
        <f>IF(A10="","",SUM('Asset Allocation'!B10,'Asset Allocation'!C10,'Asset Allocation'!V10)/'Broad Asset Allocation'!C10)</f>
        <v>0.10427263479145471</v>
      </c>
      <c r="C10">
        <f>IF(A10="","",SUM('Asset Allocation'!G10,'Asset Allocation'!W10,'Asset Allocation'!AA10,'Asset Allocation'!AH10)/'Broad Asset Allocation'!C10)</f>
        <v>0.21210579857578837</v>
      </c>
      <c r="D10">
        <f>IF(A10="","",SUM('Asset Allocation'!H10,'Asset Allocation'!I10,'Asset Allocation'!X10)/'Broad Asset Allocation'!C10)</f>
        <v>0.1846388606307223</v>
      </c>
      <c r="E10">
        <f>IF(A10="","",SUM('Asset Allocation'!J10,'Asset Allocation'!AB10)/'Broad Asset Allocation'!C10)</f>
        <v>0.16480162767039674</v>
      </c>
      <c r="F10">
        <f>IF(A10="","",SUM('Asset Allocation'!D10,'Asset Allocation'!E10,'Asset Allocation'!AI10,'Asset Allocation'!AJ10)/'Broad Asset Allocation'!C10)</f>
        <v>0.33418107833163785</v>
      </c>
    </row>
    <row r="11" spans="1:8" x14ac:dyDescent="0.25">
      <c r="A11" t="str">
        <f>IF(Input!A12="","",Input!A12)</f>
        <v>abrdn Index MPS - Portfolio 5</v>
      </c>
      <c r="B11">
        <f>IF(A11="","",SUM('Asset Allocation'!B11,'Asset Allocation'!C11,'Asset Allocation'!V11)/'Broad Asset Allocation'!C11)</f>
        <v>0</v>
      </c>
      <c r="C11">
        <f>IF(A11="","",SUM('Asset Allocation'!G11,'Asset Allocation'!W11,'Asset Allocation'!AA11,'Asset Allocation'!AH11)/'Broad Asset Allocation'!C11)</f>
        <v>0</v>
      </c>
      <c r="D11">
        <f>IF(A11="","",SUM('Asset Allocation'!H11,'Asset Allocation'!I11,'Asset Allocation'!X11)/'Broad Asset Allocation'!C11)</f>
        <v>1</v>
      </c>
      <c r="E11">
        <f>IF(A11="","",SUM('Asset Allocation'!J11,'Asset Allocation'!AB11)/'Broad Asset Allocation'!C11)</f>
        <v>0</v>
      </c>
      <c r="F11">
        <f>IF(A11="","",SUM('Asset Allocation'!D11,'Asset Allocation'!E11,'Asset Allocation'!AI11,'Asset Allocation'!AJ11)/'Broad Asset Allocation'!C11)</f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Allocation'!B12,'Asset Allocation'!C12,'Asset Allocation'!V12)/'Broad Asset Allocation'!C12)</f>
        <v>0.47374828793182167</v>
      </c>
      <c r="C12">
        <f>IF(A12="","",SUM('Asset Allocation'!G12,'Asset Allocation'!W12,'Asset Allocation'!AA12,'Asset Allocation'!AH12)/'Broad Asset Allocation'!C12)</f>
        <v>0.15111855120986151</v>
      </c>
      <c r="D12">
        <f>IF(A12="","",SUM('Asset Allocation'!H12,'Asset Allocation'!I12,'Asset Allocation'!X12)/'Broad Asset Allocation'!C12)</f>
        <v>0.28960584385938209</v>
      </c>
      <c r="E12">
        <f>IF(A12="","",SUM('Asset Allocation'!J12,'Asset Allocation'!AB12)/'Broad Asset Allocation'!C12)</f>
        <v>1.6283670674174404E-2</v>
      </c>
      <c r="F12">
        <f>IF(A12="","",SUM('Asset Allocation'!D12,'Asset Allocation'!E12,'Asset Allocation'!AI12,'Asset Allocation'!AJ12)/'Broad Asset Allocation'!C12)</f>
        <v>6.9243646324760308E-2</v>
      </c>
    </row>
    <row r="13" spans="1:8" x14ac:dyDescent="0.25">
      <c r="A13" t="str">
        <f>IF(Input!A14="","",Input!A14)</f>
        <v>Sustainable MPS - Portfolio 2</v>
      </c>
      <c r="B13">
        <f>IF(A13="","",SUM('Asset Allocation'!B13,'Asset Allocation'!C13,'Asset Allocation'!V13)/'Broad Asset Allocation'!C13)</f>
        <v>0.3673849979278907</v>
      </c>
      <c r="C13">
        <f>IF(A13="","",SUM('Asset Allocation'!G13,'Asset Allocation'!W13,'Asset Allocation'!AA13,'Asset Allocation'!AH13)/'Broad Asset Allocation'!C13)</f>
        <v>0.10733526730211357</v>
      </c>
      <c r="D13">
        <f>IF(A13="","",SUM('Asset Allocation'!H13,'Asset Allocation'!I13,'Asset Allocation'!X13)/'Broad Asset Allocation'!C13)</f>
        <v>0.35225859925404063</v>
      </c>
      <c r="E13">
        <f>IF(A13="","",SUM('Asset Allocation'!J13,'Asset Allocation'!AB13)/'Broad Asset Allocation'!C13)</f>
        <v>3.4604227103191054E-2</v>
      </c>
      <c r="F13">
        <f>IF(A13="","",SUM('Asset Allocation'!D13,'Asset Allocation'!E13,'Asset Allocation'!AI13,'Asset Allocation'!AJ13)/'Broad Asset Allocation'!C13)</f>
        <v>0.13841690841276422</v>
      </c>
    </row>
    <row r="14" spans="1:8" x14ac:dyDescent="0.25">
      <c r="A14" t="str">
        <f>IF(Input!A15="","",Input!A15)</f>
        <v>Sustainable MPS - Portfolio 3</v>
      </c>
      <c r="B14">
        <f>IF(A14="","",SUM('Asset Allocation'!B14,'Asset Allocation'!C14,'Asset Allocation'!V14)/'Broad Asset Allocation'!C14)</f>
        <v>0.31978953522361886</v>
      </c>
      <c r="C14">
        <f>IF(A14="","",SUM('Asset Allocation'!G14,'Asset Allocation'!W14,'Asset Allocation'!AA14,'Asset Allocation'!AH14)/'Broad Asset Allocation'!C14)</f>
        <v>0.10903244665302544</v>
      </c>
      <c r="D14">
        <f>IF(A14="","",SUM('Asset Allocation'!H14,'Asset Allocation'!I14,'Asset Allocation'!X14)/'Broad Asset Allocation'!C14)</f>
        <v>0.25869628763519442</v>
      </c>
      <c r="E14">
        <f>IF(A14="","",SUM('Asset Allocation'!J14,'Asset Allocation'!AB14)/'Broad Asset Allocation'!C14)</f>
        <v>8.6524408067816444E-2</v>
      </c>
      <c r="F14">
        <f>IF(A14="","",SUM('Asset Allocation'!D14,'Asset Allocation'!E14,'Asset Allocation'!AI14,'Asset Allocation'!AJ14)/'Broad Asset Allocation'!C14)</f>
        <v>0.22595732242034497</v>
      </c>
    </row>
    <row r="15" spans="1:8" x14ac:dyDescent="0.25">
      <c r="A15" t="str">
        <f>IF(Input!A16="","",Input!A16)</f>
        <v>Sustainable MPS - Portfolio 4</v>
      </c>
      <c r="B15">
        <f>IF(A15="","",SUM('Asset Allocation'!B15,'Asset Allocation'!C15,'Asset Allocation'!V15)/'Broad Asset Allocation'!C15)</f>
        <v>0.1513317191283293</v>
      </c>
      <c r="C15">
        <f>IF(A15="","",SUM('Asset Allocation'!G15,'Asset Allocation'!W15,'Asset Allocation'!AA15,'Asset Allocation'!AH15)/'Broad Asset Allocation'!C15)</f>
        <v>0.12893462469733655</v>
      </c>
      <c r="D15">
        <f>IF(A15="","",SUM('Asset Allocation'!H15,'Asset Allocation'!I15,'Asset Allocation'!X15)/'Broad Asset Allocation'!C15)</f>
        <v>0.198547215496368</v>
      </c>
      <c r="E15">
        <f>IF(A15="","",SUM('Asset Allocation'!J15,'Asset Allocation'!AB15)/'Broad Asset Allocation'!C15)</f>
        <v>0.13740920096852299</v>
      </c>
      <c r="F15">
        <f>IF(A15="","",SUM('Asset Allocation'!D15,'Asset Allocation'!E15,'Asset Allocation'!AI15,'Asset Allocation'!AJ15)/'Broad Asset Allocation'!C15)</f>
        <v>0.38377723970944305</v>
      </c>
    </row>
    <row r="16" spans="1:8" x14ac:dyDescent="0.25">
      <c r="A16" t="str">
        <f>IF(Input!A17="","",Input!A17)</f>
        <v>Sustainable MPS - Portfolio 5</v>
      </c>
      <c r="B16">
        <f>IF(A16="","",SUM('Asset Allocation'!B16,'Asset Allocation'!C16,'Asset Allocation'!V16)/'Broad Asset Allocation'!C16)</f>
        <v>0.13080168776371309</v>
      </c>
      <c r="C16">
        <f>IF(A16="","",SUM('Asset Allocation'!G16,'Asset Allocation'!W16,'Asset Allocation'!AA16,'Asset Allocation'!AH16)/'Broad Asset Allocation'!C16)</f>
        <v>0</v>
      </c>
      <c r="D16">
        <f>IF(A16="","",SUM('Asset Allocation'!H16,'Asset Allocation'!I16,'Asset Allocation'!X16)/'Broad Asset Allocation'!C16)</f>
        <v>0.65400843881856541</v>
      </c>
      <c r="E16">
        <f>IF(A16="","",SUM('Asset Allocation'!J16,'Asset Allocation'!AB16)/'Broad Asset Allocation'!C16)</f>
        <v>0.21518987341772156</v>
      </c>
      <c r="F16">
        <f>IF(A16="","",SUM('Asset Allocation'!D16,'Asset Allocation'!E16,'Asset Allocation'!AI16,'Asset Allocation'!AJ16)/'Broad Asset Allocation'!C16)</f>
        <v>0</v>
      </c>
    </row>
    <row r="17" spans="1:6" x14ac:dyDescent="0.25">
      <c r="A17" t="str">
        <f>IF(Input!A18="","",Input!A18)</f>
        <v>Sustainable Index MPS - Portfolio 1</v>
      </c>
      <c r="B17">
        <f>IF(A17="","",SUM('Asset Allocation'!B17,'Asset Allocation'!C17,'Asset Allocation'!V17)/'Broad Asset Allocation'!C17)</f>
        <v>0.30378871681415925</v>
      </c>
      <c r="C17">
        <f>IF(A17="","",SUM('Asset Allocation'!G17,'Asset Allocation'!W17,'Asset Allocation'!AA17,'Asset Allocation'!AH17)/'Broad Asset Allocation'!C17)</f>
        <v>0.26534845132743362</v>
      </c>
      <c r="D17">
        <f>IF(A17="","",SUM('Asset Allocation'!H17,'Asset Allocation'!I17,'Asset Allocation'!X17)/'Broad Asset Allocation'!C17)</f>
        <v>0.37776548672566368</v>
      </c>
      <c r="E17">
        <f>IF(A17="","",SUM('Asset Allocation'!J17,'Asset Allocation'!AB17)/'Broad Asset Allocation'!C17)</f>
        <v>1.161504424778761E-2</v>
      </c>
      <c r="F17">
        <f>IF(A17="","",SUM('Asset Allocation'!D17,'Asset Allocation'!E17,'Asset Allocation'!AI17,'Asset Allocation'!AJ17)/'Broad Asset Allocation'!C17)</f>
        <v>4.1482300884955747E-2</v>
      </c>
    </row>
    <row r="18" spans="1:6" x14ac:dyDescent="0.25">
      <c r="A18" t="str">
        <f>IF(Input!A19="","",Input!A19)</f>
        <v>Sustainable Index MPS - Portfolio 2</v>
      </c>
      <c r="B18">
        <f>IF(A18="","",SUM('Asset Allocation'!B18,'Asset Allocation'!C18,'Asset Allocation'!V18)/'Broad Asset Allocation'!C18)</f>
        <v>0.25514174541411894</v>
      </c>
      <c r="C18">
        <f>IF(A18="","",SUM('Asset Allocation'!G18,'Asset Allocation'!W18,'Asset Allocation'!AA18,'Asset Allocation'!AH18)/'Broad Asset Allocation'!C18)</f>
        <v>0.17806188623309246</v>
      </c>
      <c r="D18">
        <f>IF(A18="","",SUM('Asset Allocation'!H18,'Asset Allocation'!I18,'Asset Allocation'!X18)/'Broad Asset Allocation'!C18)</f>
        <v>0.39262553270335382</v>
      </c>
      <c r="E18">
        <f>IF(A18="","",SUM('Asset Allocation'!J18,'Asset Allocation'!AB18)/'Broad Asset Allocation'!C18)</f>
        <v>6.9112469890680012E-2</v>
      </c>
      <c r="F18">
        <f>IF(A18="","",SUM('Asset Allocation'!D18,'Asset Allocation'!E18,'Asset Allocation'!AI18,'Asset Allocation'!AJ18)/'Broad Asset Allocation'!C18)</f>
        <v>0.10505836575875488</v>
      </c>
    </row>
    <row r="19" spans="1:6" x14ac:dyDescent="0.25">
      <c r="A19" t="str">
        <f>IF(Input!A20="","",Input!A20)</f>
        <v>Sustainable Index MPS - Portfolio 3</v>
      </c>
      <c r="B19">
        <f>IF(A19="","",SUM('Asset Allocation'!B19,'Asset Allocation'!C19,'Asset Allocation'!V19)/'Broad Asset Allocation'!C19)</f>
        <v>0.17048208995421493</v>
      </c>
      <c r="C19">
        <f>IF(A19="","",SUM('Asset Allocation'!G19,'Asset Allocation'!W19,'Asset Allocation'!AA19,'Asset Allocation'!AH19)/'Broad Asset Allocation'!C19)</f>
        <v>0.12685160247778079</v>
      </c>
      <c r="D19">
        <f>IF(A19="","",SUM('Asset Allocation'!H19,'Asset Allocation'!I19,'Asset Allocation'!X19)/'Broad Asset Allocation'!C19)</f>
        <v>0.39132776730406676</v>
      </c>
      <c r="E19">
        <f>IF(A19="","",SUM('Asset Allocation'!J19,'Asset Allocation'!AB19)/'Broad Asset Allocation'!C19)</f>
        <v>0.10234311877188258</v>
      </c>
      <c r="F19">
        <f>IF(A19="","",SUM('Asset Allocation'!D19,'Asset Allocation'!E19,'Asset Allocation'!AI19,'Asset Allocation'!AJ19)/'Broad Asset Allocation'!C19)</f>
        <v>0.20899542149205497</v>
      </c>
    </row>
    <row r="20" spans="1:6" x14ac:dyDescent="0.25">
      <c r="A20" t="str">
        <f>IF(Input!A21="","",Input!A21)</f>
        <v>Sustainable Index MPS - Portfolio 4</v>
      </c>
      <c r="B20">
        <f>IF(A20="","",SUM('Asset Allocation'!B20,'Asset Allocation'!C20,'Asset Allocation'!V20)/'Broad Asset Allocation'!C20)</f>
        <v>0.10344827586206898</v>
      </c>
      <c r="C20">
        <f>IF(A20="","",SUM('Asset Allocation'!G20,'Asset Allocation'!W20,'Asset Allocation'!AA20,'Asset Allocation'!AH20)/'Broad Asset Allocation'!C20)</f>
        <v>0.21146044624746452</v>
      </c>
      <c r="D20">
        <f>IF(A20="","",SUM('Asset Allocation'!H20,'Asset Allocation'!I20,'Asset Allocation'!X20)/'Broad Asset Allocation'!C20)</f>
        <v>0.18458417849898581</v>
      </c>
      <c r="E20">
        <f>IF(A20="","",SUM('Asset Allocation'!J20,'Asset Allocation'!AB20)/'Broad Asset Allocation'!C20)</f>
        <v>0.16328600405679514</v>
      </c>
      <c r="F20">
        <f>IF(A20="","",SUM('Asset Allocation'!D20,'Asset Allocation'!E20,'Asset Allocation'!AI20,'Asset Allocation'!AJ20)/'Broad Asset Allocation'!C20)</f>
        <v>0.33722109533468564</v>
      </c>
    </row>
    <row r="21" spans="1:6" x14ac:dyDescent="0.25">
      <c r="A21" t="str">
        <f>IF(Input!A22="","",Input!A22)</f>
        <v>Sustainable Index MPS - Portfolio 5</v>
      </c>
      <c r="B21">
        <f>IF(A21="","",SUM('Asset Allocation'!B21,'Asset Allocation'!C21,'Asset Allocation'!V21)/'Broad Asset Allocation'!C21)</f>
        <v>0</v>
      </c>
      <c r="C21">
        <f>IF(A21="","",SUM('Asset Allocation'!G21,'Asset Allocation'!W21,'Asset Allocation'!AA21,'Asset Allocation'!AH21)/'Broad Asset Allocation'!C21)</f>
        <v>0</v>
      </c>
      <c r="D21">
        <f>IF(A21="","",SUM('Asset Allocation'!H21,'Asset Allocation'!I21,'Asset Allocation'!X21)/'Broad Asset Allocation'!C21)</f>
        <v>1</v>
      </c>
      <c r="E21">
        <f>IF(A21="","",SUM('Asset Allocation'!J21,'Asset Allocation'!AB21)/'Broad Asset Allocation'!C21)</f>
        <v>0</v>
      </c>
      <c r="F21">
        <f>IF(A21="","",SUM('Asset Allocation'!D21,'Asset Allocation'!E21,'Asset Allocation'!AI21,'Asset Allocation'!AJ21)/'Broad Asset Allocation'!C21)</f>
        <v>0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2024-01-13T17:55:52Z</dcterms:modified>
</cp:coreProperties>
</file>