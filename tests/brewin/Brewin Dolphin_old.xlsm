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tests\brewin\"/>
    </mc:Choice>
  </mc:AlternateContent>
  <bookViews>
    <workbookView xWindow="765" yWindow="765" windowWidth="14400" windowHeight="7275" tabRatio="908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6" r:id="rId5"/>
    <sheet name="Dates" sheetId="35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3 Year Performance" sheetId="40" r:id="rId14"/>
    <sheet name="5 Year Performance" sheetId="39" r:id="rId15"/>
    <sheet name="Annual Management Charge" sheetId="38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7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3" i="1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5" i="36"/>
  <c r="A4" i="36"/>
  <c r="A3" i="36"/>
  <c r="A2" i="36"/>
  <c r="A50" i="35"/>
  <c r="B50" i="35" s="1"/>
  <c r="A49" i="35"/>
  <c r="B49" i="35" s="1"/>
  <c r="A48" i="35"/>
  <c r="B48" i="35" s="1"/>
  <c r="A47" i="35"/>
  <c r="B47" i="35" s="1"/>
  <c r="A46" i="35"/>
  <c r="B46" i="35" s="1"/>
  <c r="A45" i="35"/>
  <c r="B45" i="35" s="1"/>
  <c r="A44" i="35"/>
  <c r="B44" i="35" s="1"/>
  <c r="A43" i="35"/>
  <c r="B43" i="35" s="1"/>
  <c r="A42" i="35"/>
  <c r="B42" i="35" s="1"/>
  <c r="A41" i="35"/>
  <c r="B41" i="35" s="1"/>
  <c r="A40" i="35"/>
  <c r="B40" i="35" s="1"/>
  <c r="A39" i="35"/>
  <c r="B39" i="35" s="1"/>
  <c r="A38" i="35"/>
  <c r="B38" i="35" s="1"/>
  <c r="A37" i="35"/>
  <c r="B37" i="35" s="1"/>
  <c r="A36" i="35"/>
  <c r="B36" i="35" s="1"/>
  <c r="A35" i="35"/>
  <c r="B35" i="35" s="1"/>
  <c r="A34" i="35"/>
  <c r="B34" i="35" s="1"/>
  <c r="A33" i="35"/>
  <c r="B33" i="35" s="1"/>
  <c r="A32" i="35"/>
  <c r="B32" i="35" s="1"/>
  <c r="A31" i="35"/>
  <c r="B31" i="35" s="1"/>
  <c r="A30" i="35"/>
  <c r="B30" i="35" s="1"/>
  <c r="A29" i="35"/>
  <c r="B29" i="35" s="1"/>
  <c r="A28" i="35"/>
  <c r="B28" i="35" s="1"/>
  <c r="A27" i="35"/>
  <c r="B27" i="35" s="1"/>
  <c r="A26" i="35"/>
  <c r="B26" i="35" s="1"/>
  <c r="A25" i="35"/>
  <c r="B25" i="35" s="1"/>
  <c r="A24" i="35"/>
  <c r="B24" i="35" s="1"/>
  <c r="A23" i="35"/>
  <c r="B23" i="35" s="1"/>
  <c r="A22" i="35"/>
  <c r="B22" i="35" s="1"/>
  <c r="A21" i="35"/>
  <c r="B21" i="35" s="1"/>
  <c r="A20" i="35"/>
  <c r="B20" i="35" s="1"/>
  <c r="A19" i="35"/>
  <c r="B19" i="35" s="1"/>
  <c r="A18" i="35"/>
  <c r="B18" i="35" s="1"/>
  <c r="A17" i="35"/>
  <c r="B17" i="35" s="1"/>
  <c r="A16" i="35"/>
  <c r="B16" i="35" s="1"/>
  <c r="A15" i="35"/>
  <c r="B15" i="35" s="1"/>
  <c r="A14" i="35"/>
  <c r="B14" i="35" s="1"/>
  <c r="A13" i="35"/>
  <c r="B13" i="35" s="1"/>
  <c r="A12" i="35"/>
  <c r="B12" i="35" s="1"/>
  <c r="A11" i="35"/>
  <c r="B11" i="35" s="1"/>
  <c r="A10" i="35"/>
  <c r="B10" i="35" s="1"/>
  <c r="A9" i="35"/>
  <c r="B9" i="35" s="1"/>
  <c r="A8" i="35"/>
  <c r="B8" i="35" s="1"/>
  <c r="A7" i="35"/>
  <c r="B7" i="35" s="1"/>
  <c r="A6" i="35"/>
  <c r="B6" i="35" s="1"/>
  <c r="A5" i="35"/>
  <c r="B5" i="35" s="1"/>
  <c r="A4" i="35"/>
  <c r="B4" i="35" s="1"/>
  <c r="A3" i="35"/>
  <c r="B3" i="35" s="1"/>
  <c r="A2" i="35"/>
  <c r="B2" i="35" s="1"/>
  <c r="A1" i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C50" i="4" s="1"/>
  <c r="A49" i="4"/>
  <c r="A48" i="4"/>
  <c r="A47" i="4"/>
  <c r="G47" i="4" s="1"/>
  <c r="A46" i="4"/>
  <c r="A45" i="4"/>
  <c r="C45" i="4" s="1"/>
  <c r="A44" i="4"/>
  <c r="A43" i="4"/>
  <c r="C43" i="4" s="1"/>
  <c r="A42" i="4"/>
  <c r="C42" i="4" s="1"/>
  <c r="A41" i="4"/>
  <c r="A40" i="4"/>
  <c r="A39" i="4"/>
  <c r="G39" i="4" s="1"/>
  <c r="A38" i="4"/>
  <c r="A37" i="4"/>
  <c r="C37" i="4" s="1"/>
  <c r="A36" i="4"/>
  <c r="A35" i="4"/>
  <c r="C35" i="4" s="1"/>
  <c r="A34" i="4"/>
  <c r="C34" i="4" s="1"/>
  <c r="A33" i="4"/>
  <c r="A32" i="4"/>
  <c r="A31" i="4"/>
  <c r="G31" i="4" s="1"/>
  <c r="A30" i="4"/>
  <c r="A29" i="4"/>
  <c r="C29" i="4" s="1"/>
  <c r="A28" i="4"/>
  <c r="A27" i="4"/>
  <c r="C27" i="4" s="1"/>
  <c r="A26" i="4"/>
  <c r="C26" i="4" s="1"/>
  <c r="A25" i="4"/>
  <c r="A24" i="4"/>
  <c r="A23" i="4"/>
  <c r="G23" i="4" s="1"/>
  <c r="A22" i="4"/>
  <c r="A21" i="4"/>
  <c r="C21" i="4" s="1"/>
  <c r="A20" i="4"/>
  <c r="A19" i="4"/>
  <c r="C19" i="4" s="1"/>
  <c r="A18" i="4"/>
  <c r="C18" i="4" s="1"/>
  <c r="A17" i="4"/>
  <c r="A16" i="4"/>
  <c r="A15" i="4"/>
  <c r="G15" i="4" s="1"/>
  <c r="A14" i="4"/>
  <c r="A13" i="4"/>
  <c r="C13" i="4" s="1"/>
  <c r="A12" i="4"/>
  <c r="A11" i="4"/>
  <c r="C11" i="4" s="1"/>
  <c r="A10" i="4"/>
  <c r="C10" i="4" s="1"/>
  <c r="A9" i="4"/>
  <c r="A8" i="4"/>
  <c r="A7" i="4"/>
  <c r="G7" i="4" s="1"/>
  <c r="A6" i="4"/>
  <c r="A5" i="4"/>
  <c r="C5" i="4" s="1"/>
  <c r="A4" i="4"/>
  <c r="A3" i="4"/>
  <c r="C3" i="4" s="1"/>
  <c r="A2" i="4"/>
  <c r="G2" i="4" s="1"/>
  <c r="A50" i="31"/>
  <c r="B50" i="31" s="1"/>
  <c r="A49" i="31"/>
  <c r="G49" i="31" s="1"/>
  <c r="A48" i="31"/>
  <c r="C48" i="31" s="1"/>
  <c r="A47" i="31"/>
  <c r="G47" i="31" s="1"/>
  <c r="A46" i="31"/>
  <c r="F46" i="31" s="1"/>
  <c r="A45" i="31"/>
  <c r="B45" i="31" s="1"/>
  <c r="A44" i="31"/>
  <c r="B44" i="31" s="1"/>
  <c r="A43" i="31"/>
  <c r="E43" i="31" s="1"/>
  <c r="A42" i="31"/>
  <c r="B42" i="31" s="1"/>
  <c r="A41" i="31"/>
  <c r="G41" i="31" s="1"/>
  <c r="A40" i="31"/>
  <c r="C40" i="31" s="1"/>
  <c r="A39" i="31"/>
  <c r="G39" i="31" s="1"/>
  <c r="A38" i="31"/>
  <c r="F38" i="31" s="1"/>
  <c r="A37" i="31"/>
  <c r="B37" i="31" s="1"/>
  <c r="A36" i="31"/>
  <c r="B36" i="31" s="1"/>
  <c r="A35" i="31"/>
  <c r="B35" i="31" s="1"/>
  <c r="A34" i="31"/>
  <c r="B34" i="31" s="1"/>
  <c r="A33" i="31"/>
  <c r="G33" i="31" s="1"/>
  <c r="A32" i="31"/>
  <c r="C32" i="31" s="1"/>
  <c r="A31" i="31"/>
  <c r="G31" i="31" s="1"/>
  <c r="A30" i="31"/>
  <c r="F30" i="31" s="1"/>
  <c r="A29" i="31"/>
  <c r="B29" i="31" s="1"/>
  <c r="A28" i="31"/>
  <c r="F28" i="31" s="1"/>
  <c r="A27" i="31"/>
  <c r="B27" i="31" s="1"/>
  <c r="A26" i="31"/>
  <c r="B26" i="31" s="1"/>
  <c r="A25" i="31"/>
  <c r="G25" i="31" s="1"/>
  <c r="A24" i="31"/>
  <c r="B24" i="31" s="1"/>
  <c r="A23" i="31"/>
  <c r="G23" i="31" s="1"/>
  <c r="A22" i="31"/>
  <c r="F22" i="31" s="1"/>
  <c r="A21" i="31"/>
  <c r="B21" i="31" s="1"/>
  <c r="A20" i="31"/>
  <c r="F20" i="31" s="1"/>
  <c r="A19" i="31"/>
  <c r="B19" i="31" s="1"/>
  <c r="A18" i="31"/>
  <c r="B18" i="31" s="1"/>
  <c r="A17" i="31"/>
  <c r="G17" i="31" s="1"/>
  <c r="A16" i="31"/>
  <c r="B16" i="31" s="1"/>
  <c r="A15" i="31"/>
  <c r="G15" i="31" s="1"/>
  <c r="A14" i="31"/>
  <c r="F14" i="31" s="1"/>
  <c r="A13" i="31"/>
  <c r="B13" i="31" s="1"/>
  <c r="A12" i="31"/>
  <c r="F12" i="31" s="1"/>
  <c r="A11" i="31"/>
  <c r="B11" i="31" s="1"/>
  <c r="A10" i="31"/>
  <c r="B10" i="31" s="1"/>
  <c r="A9" i="31"/>
  <c r="G9" i="31" s="1"/>
  <c r="A8" i="31"/>
  <c r="B8" i="31" s="1"/>
  <c r="A7" i="31"/>
  <c r="G7" i="31" s="1"/>
  <c r="A6" i="31"/>
  <c r="C6" i="31" s="1"/>
  <c r="A5" i="31"/>
  <c r="B5" i="31" s="1"/>
  <c r="A4" i="31"/>
  <c r="F4" i="31" s="1"/>
  <c r="A3" i="31"/>
  <c r="B3" i="31" s="1"/>
  <c r="A2" i="31"/>
  <c r="C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49" i="31" l="1"/>
  <c r="E41" i="31"/>
  <c r="C38" i="31"/>
  <c r="C25" i="31"/>
  <c r="F17" i="31"/>
  <c r="C41" i="31"/>
  <c r="E21" i="31"/>
  <c r="E49" i="31"/>
  <c r="B38" i="31"/>
  <c r="E17" i="31"/>
  <c r="G46" i="31"/>
  <c r="C33" i="31"/>
  <c r="C17" i="31"/>
  <c r="E46" i="31"/>
  <c r="B32" i="31"/>
  <c r="B14" i="31"/>
  <c r="C43" i="31"/>
  <c r="F25" i="31"/>
  <c r="F9" i="31"/>
  <c r="F41" i="31"/>
  <c r="E25" i="31"/>
  <c r="E9" i="31"/>
  <c r="G30" i="31"/>
  <c r="C13" i="31"/>
  <c r="F40" i="31"/>
  <c r="G36" i="31"/>
  <c r="C30" i="31"/>
  <c r="C49" i="31"/>
  <c r="C45" i="31"/>
  <c r="B40" i="31"/>
  <c r="F36" i="31"/>
  <c r="B30" i="31"/>
  <c r="E22" i="31"/>
  <c r="G14" i="31"/>
  <c r="C9" i="31"/>
  <c r="C21" i="31"/>
  <c r="C46" i="31"/>
  <c r="E37" i="31"/>
  <c r="B46" i="31"/>
  <c r="C37" i="31"/>
  <c r="E45" i="31"/>
  <c r="F48" i="31"/>
  <c r="G44" i="31"/>
  <c r="G38" i="31"/>
  <c r="F33" i="31"/>
  <c r="E29" i="31"/>
  <c r="C22" i="31"/>
  <c r="E14" i="31"/>
  <c r="B6" i="31"/>
  <c r="G28" i="31"/>
  <c r="E13" i="31"/>
  <c r="E30" i="31"/>
  <c r="G22" i="31"/>
  <c r="B48" i="31"/>
  <c r="F44" i="31"/>
  <c r="E38" i="31"/>
  <c r="E33" i="31"/>
  <c r="C29" i="31"/>
  <c r="B22" i="31"/>
  <c r="C14" i="31"/>
  <c r="E5" i="31"/>
  <c r="F2" i="31"/>
  <c r="G50" i="31"/>
  <c r="G42" i="31"/>
  <c r="F39" i="31"/>
  <c r="E36" i="31"/>
  <c r="F31" i="31"/>
  <c r="F23" i="31"/>
  <c r="E12" i="31"/>
  <c r="F7" i="31"/>
  <c r="E4" i="31"/>
  <c r="F50" i="31"/>
  <c r="B49" i="31"/>
  <c r="E47" i="31"/>
  <c r="G45" i="31"/>
  <c r="C44" i="31"/>
  <c r="F42" i="31"/>
  <c r="B41" i="31"/>
  <c r="E39" i="31"/>
  <c r="G37" i="31"/>
  <c r="C36" i="31"/>
  <c r="F34" i="31"/>
  <c r="B33" i="31"/>
  <c r="E31" i="31"/>
  <c r="G29" i="31"/>
  <c r="C28" i="31"/>
  <c r="F26" i="31"/>
  <c r="B25" i="31"/>
  <c r="E23" i="31"/>
  <c r="G21" i="31"/>
  <c r="C20" i="31"/>
  <c r="F18" i="31"/>
  <c r="B17" i="31"/>
  <c r="E15" i="31"/>
  <c r="G13" i="31"/>
  <c r="C12" i="31"/>
  <c r="F10" i="31"/>
  <c r="B9" i="31"/>
  <c r="E7" i="31"/>
  <c r="G5" i="31"/>
  <c r="C4" i="31"/>
  <c r="G2" i="31"/>
  <c r="B43" i="31"/>
  <c r="F47" i="31"/>
  <c r="E44" i="31"/>
  <c r="G34" i="31"/>
  <c r="E28" i="31"/>
  <c r="G26" i="31"/>
  <c r="E20" i="31"/>
  <c r="G18" i="31"/>
  <c r="F15" i="31"/>
  <c r="G10" i="31"/>
  <c r="E50" i="31"/>
  <c r="G48" i="31"/>
  <c r="C47" i="31"/>
  <c r="F45" i="31"/>
  <c r="E42" i="31"/>
  <c r="G40" i="31"/>
  <c r="C39" i="31"/>
  <c r="F37" i="31"/>
  <c r="E34" i="31"/>
  <c r="G32" i="31"/>
  <c r="C31" i="31"/>
  <c r="F29" i="31"/>
  <c r="B28" i="31"/>
  <c r="E26" i="31"/>
  <c r="G24" i="31"/>
  <c r="C23" i="31"/>
  <c r="F21" i="31"/>
  <c r="B20" i="31"/>
  <c r="E18" i="31"/>
  <c r="G16" i="31"/>
  <c r="C15" i="31"/>
  <c r="F13" i="31"/>
  <c r="B12" i="31"/>
  <c r="E10" i="31"/>
  <c r="G8" i="31"/>
  <c r="C7" i="31"/>
  <c r="F5" i="31"/>
  <c r="B4" i="31"/>
  <c r="E2" i="31"/>
  <c r="B47" i="31"/>
  <c r="G43" i="31"/>
  <c r="C42" i="31"/>
  <c r="B39" i="31"/>
  <c r="G35" i="31"/>
  <c r="C34" i="31"/>
  <c r="F32" i="31"/>
  <c r="B31" i="31"/>
  <c r="G27" i="31"/>
  <c r="C26" i="31"/>
  <c r="F24" i="31"/>
  <c r="B23" i="31"/>
  <c r="G19" i="31"/>
  <c r="C18" i="31"/>
  <c r="F16" i="31"/>
  <c r="B15" i="31"/>
  <c r="G11" i="31"/>
  <c r="C10" i="31"/>
  <c r="F8" i="31"/>
  <c r="B7" i="31"/>
  <c r="G3" i="31"/>
  <c r="F35" i="31"/>
  <c r="E32" i="31"/>
  <c r="F11" i="31"/>
  <c r="E8" i="31"/>
  <c r="G6" i="31"/>
  <c r="C5" i="31"/>
  <c r="F3" i="31"/>
  <c r="C50" i="31"/>
  <c r="B2" i="31"/>
  <c r="E48" i="31"/>
  <c r="F43" i="31"/>
  <c r="E40" i="31"/>
  <c r="F27" i="31"/>
  <c r="E24" i="31"/>
  <c r="F19" i="31"/>
  <c r="E16" i="31"/>
  <c r="E35" i="31"/>
  <c r="E27" i="31"/>
  <c r="C24" i="31"/>
  <c r="E19" i="31"/>
  <c r="C16" i="31"/>
  <c r="E11" i="31"/>
  <c r="C8" i="31"/>
  <c r="F6" i="31"/>
  <c r="E3" i="31"/>
  <c r="C35" i="31"/>
  <c r="C27" i="31"/>
  <c r="G20" i="31"/>
  <c r="C19" i="31"/>
  <c r="G12" i="31"/>
  <c r="C11" i="31"/>
  <c r="E6" i="31"/>
  <c r="G4" i="31"/>
  <c r="C3" i="31"/>
  <c r="B1" i="39" a="1"/>
  <c r="B1" i="39" s="1"/>
  <c r="B1" i="40" a="1"/>
  <c r="B1" i="40" s="1"/>
  <c r="B1" i="38" a="1"/>
  <c r="B1" i="38" s="1"/>
  <c r="B28" i="7"/>
  <c r="C28" i="7"/>
  <c r="D28" i="7"/>
  <c r="E28" i="7"/>
  <c r="G28" i="7"/>
  <c r="E19" i="7"/>
  <c r="G19" i="7"/>
  <c r="C19" i="7"/>
  <c r="D19" i="7"/>
  <c r="B19" i="7"/>
  <c r="E27" i="7"/>
  <c r="G27" i="7"/>
  <c r="D27" i="7"/>
  <c r="B27" i="7"/>
  <c r="C27" i="7"/>
  <c r="E35" i="7"/>
  <c r="G35" i="7"/>
  <c r="D35" i="7"/>
  <c r="C35" i="7"/>
  <c r="B35" i="7"/>
  <c r="E43" i="7"/>
  <c r="G43" i="7"/>
  <c r="C43" i="7"/>
  <c r="D43" i="7"/>
  <c r="B43" i="7"/>
  <c r="G36" i="7"/>
  <c r="B36" i="7"/>
  <c r="C36" i="7"/>
  <c r="D36" i="7"/>
  <c r="E36" i="7"/>
  <c r="B44" i="7"/>
  <c r="C44" i="7"/>
  <c r="G44" i="7"/>
  <c r="D44" i="7"/>
  <c r="E44" i="7"/>
  <c r="C21" i="7"/>
  <c r="D21" i="7"/>
  <c r="B21" i="7"/>
  <c r="E21" i="7"/>
  <c r="G21" i="7"/>
  <c r="C29" i="7"/>
  <c r="D29" i="7"/>
  <c r="B29" i="7"/>
  <c r="E29" i="7"/>
  <c r="G29" i="7"/>
  <c r="B37" i="7"/>
  <c r="C37" i="7"/>
  <c r="D37" i="7"/>
  <c r="E37" i="7"/>
  <c r="G37" i="7"/>
  <c r="C45" i="7"/>
  <c r="D45" i="7"/>
  <c r="E45" i="7"/>
  <c r="G45" i="7"/>
  <c r="B45" i="7"/>
  <c r="G20" i="7"/>
  <c r="B20" i="7"/>
  <c r="C20" i="7"/>
  <c r="D20" i="7"/>
  <c r="E20" i="7"/>
  <c r="E22" i="7"/>
  <c r="G22" i="7"/>
  <c r="D22" i="7"/>
  <c r="B22" i="7"/>
  <c r="C22" i="7"/>
  <c r="E30" i="7"/>
  <c r="G30" i="7"/>
  <c r="D30" i="7"/>
  <c r="B30" i="7"/>
  <c r="C30" i="7"/>
  <c r="G38" i="7"/>
  <c r="E38" i="7"/>
  <c r="B38" i="7"/>
  <c r="C38" i="7"/>
  <c r="D38" i="7"/>
  <c r="G46" i="7"/>
  <c r="B46" i="7"/>
  <c r="C46" i="7"/>
  <c r="D46" i="7"/>
  <c r="E46" i="7"/>
  <c r="B23" i="7"/>
  <c r="C23" i="7"/>
  <c r="D23" i="7"/>
  <c r="E23" i="7"/>
  <c r="G23" i="7"/>
  <c r="B31" i="7"/>
  <c r="C31" i="7"/>
  <c r="D31" i="7"/>
  <c r="E31" i="7"/>
  <c r="G31" i="7"/>
  <c r="B39" i="7"/>
  <c r="C39" i="7"/>
  <c r="D39" i="7"/>
  <c r="E39" i="7"/>
  <c r="G39" i="7"/>
  <c r="B47" i="7"/>
  <c r="C47" i="7"/>
  <c r="D47" i="7"/>
  <c r="E47" i="7"/>
  <c r="G47" i="7"/>
  <c r="B16" i="7"/>
  <c r="D16" i="7"/>
  <c r="E16" i="7"/>
  <c r="G16" i="7"/>
  <c r="C16" i="7"/>
  <c r="C24" i="7"/>
  <c r="D24" i="7"/>
  <c r="E24" i="7"/>
  <c r="G24" i="7"/>
  <c r="B24" i="7"/>
  <c r="D32" i="7"/>
  <c r="E32" i="7"/>
  <c r="G32" i="7"/>
  <c r="B32" i="7"/>
  <c r="C32" i="7"/>
  <c r="D40" i="7"/>
  <c r="E40" i="7"/>
  <c r="G40" i="7"/>
  <c r="B40" i="7"/>
  <c r="C40" i="7"/>
  <c r="B48" i="7"/>
  <c r="C48" i="7"/>
  <c r="D48" i="7"/>
  <c r="E48" i="7"/>
  <c r="G48" i="7"/>
  <c r="B17" i="7"/>
  <c r="G17" i="7"/>
  <c r="C17" i="7"/>
  <c r="D17" i="7"/>
  <c r="E17" i="7"/>
  <c r="B25" i="7"/>
  <c r="E25" i="7"/>
  <c r="C25" i="7"/>
  <c r="D25" i="7"/>
  <c r="G25" i="7"/>
  <c r="E33" i="7"/>
  <c r="B33" i="7"/>
  <c r="G33" i="7"/>
  <c r="C33" i="7"/>
  <c r="D33" i="7"/>
  <c r="G41" i="7"/>
  <c r="B41" i="7"/>
  <c r="C41" i="7"/>
  <c r="D41" i="7"/>
  <c r="E41" i="7"/>
  <c r="E49" i="7"/>
  <c r="B49" i="7"/>
  <c r="C49" i="7"/>
  <c r="D49" i="7"/>
  <c r="G49" i="7"/>
  <c r="B18" i="7"/>
  <c r="C18" i="7"/>
  <c r="D18" i="7"/>
  <c r="E18" i="7"/>
  <c r="G18" i="7"/>
  <c r="B26" i="7"/>
  <c r="C26" i="7"/>
  <c r="D26" i="7"/>
  <c r="E26" i="7"/>
  <c r="G26" i="7"/>
  <c r="B34" i="7"/>
  <c r="C34" i="7"/>
  <c r="D34" i="7"/>
  <c r="E34" i="7"/>
  <c r="G34" i="7"/>
  <c r="B42" i="7"/>
  <c r="C42" i="7"/>
  <c r="D42" i="7"/>
  <c r="E42" i="7"/>
  <c r="G42" i="7"/>
  <c r="B50" i="7"/>
  <c r="C50" i="7"/>
  <c r="D50" i="7"/>
  <c r="E50" i="7"/>
  <c r="G50" i="7"/>
  <c r="B6" i="4"/>
  <c r="F6" i="4"/>
  <c r="B14" i="4"/>
  <c r="F14" i="4"/>
  <c r="B22" i="4"/>
  <c r="F22" i="4"/>
  <c r="H22" i="4"/>
  <c r="B30" i="4"/>
  <c r="F30" i="4"/>
  <c r="H30" i="4"/>
  <c r="B38" i="4"/>
  <c r="F38" i="4"/>
  <c r="H38" i="4"/>
  <c r="H46" i="4"/>
  <c r="B46" i="4"/>
  <c r="F46" i="4"/>
  <c r="C2" i="4"/>
  <c r="H2" i="8" s="1"/>
  <c r="G43" i="4"/>
  <c r="G35" i="4"/>
  <c r="G27" i="4"/>
  <c r="G19" i="4"/>
  <c r="G11" i="4"/>
  <c r="G3" i="4"/>
  <c r="B7" i="4"/>
  <c r="F7" i="4"/>
  <c r="B15" i="4"/>
  <c r="F15" i="4"/>
  <c r="B23" i="4"/>
  <c r="F23" i="4"/>
  <c r="H23" i="4"/>
  <c r="B31" i="4"/>
  <c r="F31" i="4"/>
  <c r="H31" i="4"/>
  <c r="B39" i="4"/>
  <c r="F39" i="4"/>
  <c r="H39" i="4"/>
  <c r="B47" i="4"/>
  <c r="F47" i="4"/>
  <c r="H47" i="4"/>
  <c r="H5" i="8"/>
  <c r="H13" i="8"/>
  <c r="C47" i="4"/>
  <c r="C39" i="4"/>
  <c r="C31" i="4"/>
  <c r="C23" i="4"/>
  <c r="C15" i="4"/>
  <c r="H15" i="8" s="1"/>
  <c r="C7" i="4"/>
  <c r="H7" i="8" s="1"/>
  <c r="B8" i="4"/>
  <c r="F8" i="4"/>
  <c r="H16" i="4"/>
  <c r="B16" i="4"/>
  <c r="F16" i="4"/>
  <c r="B24" i="4"/>
  <c r="F24" i="4"/>
  <c r="H24" i="4"/>
  <c r="H32" i="4"/>
  <c r="F32" i="4"/>
  <c r="B32" i="4"/>
  <c r="H40" i="4"/>
  <c r="B40" i="4"/>
  <c r="F40" i="4"/>
  <c r="B48" i="4"/>
  <c r="F48" i="4"/>
  <c r="H48" i="4"/>
  <c r="G50" i="4"/>
  <c r="G46" i="4"/>
  <c r="G42" i="4"/>
  <c r="G38" i="4"/>
  <c r="G34" i="4"/>
  <c r="G30" i="4"/>
  <c r="G26" i="4"/>
  <c r="G22" i="4"/>
  <c r="G18" i="4"/>
  <c r="G14" i="4"/>
  <c r="G10" i="4"/>
  <c r="G6" i="4"/>
  <c r="B9" i="4"/>
  <c r="F9" i="4"/>
  <c r="H17" i="4"/>
  <c r="B17" i="4"/>
  <c r="F17" i="4"/>
  <c r="H25" i="4"/>
  <c r="B25" i="4"/>
  <c r="F25" i="4"/>
  <c r="H33" i="4"/>
  <c r="B33" i="4"/>
  <c r="F33" i="4"/>
  <c r="H41" i="4"/>
  <c r="B41" i="4"/>
  <c r="F41" i="4"/>
  <c r="H49" i="4"/>
  <c r="B49" i="4"/>
  <c r="F49" i="4"/>
  <c r="C46" i="4"/>
  <c r="C38" i="4"/>
  <c r="C30" i="4"/>
  <c r="C22" i="4"/>
  <c r="C14" i="4"/>
  <c r="H14" i="8" s="1"/>
  <c r="C6" i="4"/>
  <c r="H6" i="8" s="1"/>
  <c r="F2" i="4"/>
  <c r="B2" i="4"/>
  <c r="B10" i="4"/>
  <c r="F10" i="4"/>
  <c r="H18" i="4"/>
  <c r="B18" i="4"/>
  <c r="F18" i="4"/>
  <c r="F26" i="4"/>
  <c r="H26" i="4"/>
  <c r="B26" i="4"/>
  <c r="F34" i="4"/>
  <c r="H34" i="4"/>
  <c r="B34" i="4"/>
  <c r="H42" i="4"/>
  <c r="B42" i="4"/>
  <c r="F42" i="4"/>
  <c r="F50" i="4"/>
  <c r="H50" i="4"/>
  <c r="B50" i="4"/>
  <c r="G49" i="4"/>
  <c r="G45" i="4"/>
  <c r="G41" i="4"/>
  <c r="G37" i="4"/>
  <c r="G33" i="4"/>
  <c r="G29" i="4"/>
  <c r="G25" i="4"/>
  <c r="G21" i="4"/>
  <c r="G17" i="4"/>
  <c r="G13" i="4"/>
  <c r="G9" i="4"/>
  <c r="G5" i="4"/>
  <c r="B3" i="4"/>
  <c r="F3" i="4"/>
  <c r="B11" i="4"/>
  <c r="F11" i="4"/>
  <c r="B19" i="4"/>
  <c r="F19" i="4"/>
  <c r="H19" i="4"/>
  <c r="B27" i="4"/>
  <c r="F27" i="4"/>
  <c r="H27" i="4"/>
  <c r="B35" i="4"/>
  <c r="F35" i="4"/>
  <c r="H35" i="4"/>
  <c r="B43" i="4"/>
  <c r="F43" i="4"/>
  <c r="H43" i="4"/>
  <c r="C49" i="4"/>
  <c r="C41" i="4"/>
  <c r="C33" i="4"/>
  <c r="C25" i="4"/>
  <c r="C17" i="4"/>
  <c r="C9" i="4"/>
  <c r="H9" i="8" s="1"/>
  <c r="B4" i="4"/>
  <c r="F4" i="4"/>
  <c r="B12" i="4"/>
  <c r="F12" i="4"/>
  <c r="B20" i="4"/>
  <c r="F20" i="4"/>
  <c r="H20" i="4"/>
  <c r="B28" i="4"/>
  <c r="F28" i="4"/>
  <c r="H28" i="4"/>
  <c r="B36" i="4"/>
  <c r="F36" i="4"/>
  <c r="H36" i="4"/>
  <c r="B44" i="4"/>
  <c r="F44" i="4"/>
  <c r="H44" i="4"/>
  <c r="H10" i="8"/>
  <c r="G48" i="4"/>
  <c r="G44" i="4"/>
  <c r="G40" i="4"/>
  <c r="G36" i="4"/>
  <c r="G32" i="4"/>
  <c r="G28" i="4"/>
  <c r="G24" i="4"/>
  <c r="G20" i="4"/>
  <c r="G16" i="4"/>
  <c r="G12" i="4"/>
  <c r="G8" i="4"/>
  <c r="G4" i="4"/>
  <c r="B5" i="4"/>
  <c r="F5" i="4"/>
  <c r="B13" i="4"/>
  <c r="F13" i="4"/>
  <c r="B21" i="4"/>
  <c r="F21" i="4"/>
  <c r="H21" i="4"/>
  <c r="B29" i="4"/>
  <c r="F29" i="4"/>
  <c r="H29" i="4"/>
  <c r="B37" i="4"/>
  <c r="F37" i="4"/>
  <c r="H37" i="4"/>
  <c r="B45" i="4"/>
  <c r="F45" i="4"/>
  <c r="H45" i="4"/>
  <c r="H3" i="8"/>
  <c r="H11" i="8"/>
  <c r="C48" i="4"/>
  <c r="C44" i="4"/>
  <c r="C40" i="4"/>
  <c r="C36" i="4"/>
  <c r="C32" i="4"/>
  <c r="C28" i="4"/>
  <c r="C24" i="4"/>
  <c r="C20" i="4"/>
  <c r="C16" i="4"/>
  <c r="C12" i="4"/>
  <c r="H12" i="8" s="1"/>
  <c r="C8" i="4"/>
  <c r="H8" i="8" s="1"/>
  <c r="C4" i="4"/>
  <c r="H4" i="8" s="1"/>
  <c r="B1" i="37" a="1"/>
  <c r="B1" i="37" s="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H13" i="4" l="1"/>
  <c r="H4" i="4"/>
  <c r="H5" i="4"/>
  <c r="H2" i="4"/>
  <c r="C2" i="7"/>
  <c r="E2" i="7"/>
  <c r="B2" i="7"/>
  <c r="D2" i="7"/>
  <c r="G2" i="7"/>
  <c r="H12" i="4"/>
  <c r="B11" i="7"/>
  <c r="C11" i="7"/>
  <c r="D11" i="7"/>
  <c r="E11" i="7"/>
  <c r="G11" i="7"/>
  <c r="E12" i="7"/>
  <c r="G12" i="7"/>
  <c r="B12" i="7"/>
  <c r="D12" i="7"/>
  <c r="C12" i="7"/>
  <c r="H3" i="4"/>
  <c r="D10" i="7"/>
  <c r="B10" i="7"/>
  <c r="C10" i="7"/>
  <c r="E10" i="7"/>
  <c r="G10" i="7"/>
  <c r="B3" i="7"/>
  <c r="C3" i="7"/>
  <c r="D3" i="7"/>
  <c r="E3" i="7"/>
  <c r="G3" i="7"/>
  <c r="E4" i="7"/>
  <c r="G4" i="7"/>
  <c r="B4" i="7"/>
  <c r="C4" i="7"/>
  <c r="D4" i="7"/>
  <c r="H15" i="4"/>
  <c r="G15" i="7"/>
  <c r="C15" i="7"/>
  <c r="B15" i="7"/>
  <c r="E15" i="7"/>
  <c r="D15" i="7"/>
  <c r="H14" i="4"/>
  <c r="B13" i="7"/>
  <c r="C13" i="7"/>
  <c r="D13" i="7"/>
  <c r="E13" i="7"/>
  <c r="G13" i="7"/>
  <c r="B5" i="7"/>
  <c r="C5" i="7"/>
  <c r="E5" i="7"/>
  <c r="D5" i="7"/>
  <c r="G5" i="7"/>
  <c r="D9" i="7"/>
  <c r="E9" i="7"/>
  <c r="G9" i="7"/>
  <c r="B9" i="7"/>
  <c r="C9" i="7"/>
  <c r="H8" i="4"/>
  <c r="H7" i="4"/>
  <c r="C14" i="7"/>
  <c r="D14" i="7"/>
  <c r="E14" i="7"/>
  <c r="B14" i="7"/>
  <c r="G14" i="7"/>
  <c r="H9" i="4"/>
  <c r="B8" i="7"/>
  <c r="C8" i="7"/>
  <c r="G8" i="7"/>
  <c r="D8" i="7"/>
  <c r="E8" i="7"/>
  <c r="G7" i="7"/>
  <c r="B7" i="7"/>
  <c r="C7" i="7"/>
  <c r="D7" i="7"/>
  <c r="E7" i="7"/>
  <c r="H6" i="4"/>
  <c r="H11" i="4"/>
  <c r="H10" i="4"/>
  <c r="C6" i="7"/>
  <c r="D6" i="7"/>
  <c r="E6" i="7"/>
  <c r="G6" i="7"/>
  <c r="B6" i="7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40"/>
  <c r="AW1" i="40"/>
  <c r="AV1" i="40"/>
  <c r="AU1" i="40"/>
  <c r="AT1" i="40"/>
  <c r="AS1" i="40"/>
  <c r="AR1" i="40"/>
  <c r="AQ1" i="40"/>
  <c r="AP1" i="40"/>
  <c r="AO1" i="40"/>
  <c r="AN1" i="40"/>
  <c r="AM1" i="40"/>
  <c r="AL1" i="40"/>
  <c r="AK1" i="40"/>
  <c r="AJ1" i="40"/>
  <c r="AI1" i="40"/>
  <c r="AH1" i="40"/>
  <c r="AG1" i="40"/>
  <c r="AF1" i="40"/>
  <c r="AE1" i="40"/>
  <c r="AD1" i="40"/>
  <c r="AC1" i="40"/>
  <c r="AB1" i="40"/>
  <c r="AA1" i="40"/>
  <c r="Z1" i="40"/>
  <c r="Y1" i="40"/>
  <c r="X1" i="40"/>
  <c r="W1" i="40"/>
  <c r="V1" i="40"/>
  <c r="U1" i="40"/>
  <c r="T1" i="40"/>
  <c r="S1" i="40"/>
  <c r="R1" i="40"/>
  <c r="Q1" i="40"/>
  <c r="P1" i="40"/>
  <c r="O1" i="40"/>
  <c r="N1" i="40"/>
  <c r="M1" i="40"/>
  <c r="L1" i="40"/>
  <c r="K1" i="40"/>
  <c r="J1" i="40"/>
  <c r="I1" i="40"/>
  <c r="H1" i="40"/>
  <c r="G1" i="40"/>
  <c r="F1" i="40"/>
  <c r="E1" i="40"/>
  <c r="D1" i="40"/>
  <c r="C1" i="40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G1" i="34"/>
  <c r="F1" i="34"/>
  <c r="E1" i="34"/>
  <c r="D1" i="34"/>
  <c r="C1" i="34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<sst xmlns="http://schemas.openxmlformats.org/spreadsheetml/2006/main" count="113" uniqueCount="94">
  <si>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</si>
  <si>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</si>
  <si>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</si>
  <si>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</si>
  <si>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</si>
  <si>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</si>
  <si>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</si>
  <si>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</si>
  <si>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</si>
  <si>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</si>
  <si>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</si>
  <si>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</si>
  <si>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</si>
  <si>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</si>
  <si>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</si>
  <si>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</si>
  <si>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</si>
  <si>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</si>
  <si>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</si>
  <si>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</si>
  <si>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</si>
  <si>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Additional infirmation</t>
  </si>
  <si>
    <t>1 Month Performance</t>
  </si>
  <si>
    <t>AMC</t>
  </si>
  <si>
    <t>Date</t>
  </si>
  <si>
    <t>PDF Name Match</t>
  </si>
  <si>
    <t>PDF Link</t>
  </si>
  <si>
    <t>Website</t>
  </si>
  <si>
    <t>https://www.brewin.co.uk/intermediaries/literature-and-factsheets/mps-factsheets#passive-plus-mps</t>
  </si>
  <si>
    <t>RBC Brewin Dolphin MPS Cautious</t>
  </si>
  <si>
    <t>RBC Brewin Dolphin MPS Cautious Higher Equity</t>
  </si>
  <si>
    <t>RBC Brewin Dolphin MPS Income</t>
  </si>
  <si>
    <t>RBC Brewin Dolphin MPS Income Higher Equity</t>
  </si>
  <si>
    <t>RBC Brewin Dolphin MPS Balanced</t>
  </si>
  <si>
    <t>RBC Brewin Dolphin MPS Growth</t>
  </si>
  <si>
    <t>RBC Brewin Dolphin MPS Global Equity</t>
  </si>
  <si>
    <t>RBC Brewin Dolphin Passive Plus MPS Cautious</t>
  </si>
  <si>
    <t>RBC Brewin Dolphin Passive Plus MPS Cautious Higher Equity</t>
  </si>
  <si>
    <t>RBC Brewin Dolphin Passive Plus MPS Income</t>
  </si>
  <si>
    <t>RBC Brewin Dolphin Passive Plus MPS Income Higher Equity</t>
  </si>
  <si>
    <t>RBC Brewin Dolphin Passive Plus MPS Balanced</t>
  </si>
  <si>
    <t>RBC Brewin Dolphin Passive Plus MPS Growth</t>
  </si>
  <si>
    <t>RBC Brewin Dolphin Passive Plus MPS Global Equity</t>
  </si>
  <si>
    <t>Equities International</t>
  </si>
  <si>
    <t>Alternatives</t>
  </si>
  <si>
    <t>North America</t>
  </si>
  <si>
    <t>Asia</t>
  </si>
  <si>
    <t>Dev'd Europe ex UK</t>
  </si>
  <si>
    <t>Emerging</t>
  </si>
  <si>
    <t>Equities UK</t>
  </si>
  <si>
    <t>No Data</t>
  </si>
  <si>
    <t>Annual Management Charge</t>
  </si>
  <si>
    <t>Emerging Market Debt</t>
  </si>
  <si>
    <t>Unclassified</t>
  </si>
  <si>
    <t>1 Mth</t>
  </si>
  <si>
    <t>3 Mths</t>
  </si>
  <si>
    <t>6 Mths</t>
  </si>
  <si>
    <t>YTD</t>
  </si>
  <si>
    <t>1 Yr</t>
  </si>
  <si>
    <t>2 Yrs</t>
  </si>
  <si>
    <t>3 Yrs</t>
  </si>
  <si>
    <t>4 Yrs</t>
  </si>
  <si>
    <t>5 Yrs</t>
  </si>
  <si>
    <t>3 Year Performance</t>
  </si>
  <si>
    <t>5 Year Performance</t>
  </si>
  <si>
    <t>High Yield</t>
  </si>
  <si>
    <t>RBC Brewin Dolphin MPS – Cautious</t>
  </si>
  <si>
    <t>RBC Brewin Dolphin MPS – Cautious Higher Equity</t>
  </si>
  <si>
    <t>RBC Brewin Dolphin MPS – Income</t>
  </si>
  <si>
    <t>RBC Brewin Dolphin MPS – Income Higher Equity</t>
  </si>
  <si>
    <t>RBC Brewin Dolphin MPS – Balanced</t>
  </si>
  <si>
    <t>RBC Brewin Dolphin MPS – Growth</t>
  </si>
  <si>
    <t>RBC Brewin Dolphin MPS – Global Equity</t>
  </si>
  <si>
    <t>RBC Brewin Dolphin Passive Plus MPS – Cautious</t>
  </si>
  <si>
    <t>RBC Brewin Dolphin Passive Plus MPS – Cautious Higher Equity</t>
  </si>
  <si>
    <t>RBC Brewin Dolphin Passive Plus MPS – Income</t>
  </si>
  <si>
    <t>RBC Brewin Dolphin Passive Plus MPS – Income Higher Equity</t>
  </si>
  <si>
    <t>RBC Brewin Dolphin Passive Plus MPS – Balanced</t>
  </si>
  <si>
    <t>RBC Brewin Dolphin Passive Plus MPS – Growth</t>
  </si>
  <si>
    <t>RBC Brewin Dolphin Passive Plus MPS – Global Equity</t>
  </si>
  <si>
    <t>https://www.brewin.co.uk/wp-content/uploads/sites/10/2023/10/RBC-Brewin-Dolphin-MPS-factsheet-Cautious.pdf</t>
  </si>
  <si>
    <t>https://www.brewin.co.uk/wp-content/uploads/sites/10/2023/10/RBC-Brewin-Dolphin-MPS-factsheet-Cautious-Higher-Equity.pdf</t>
  </si>
  <si>
    <t>https://www.brewin.co.uk/wp-content/uploads/sites/10/2023/10/RBC-Brewin-Dolphin-MPS-factsheet-Income.pdf</t>
  </si>
  <si>
    <t>https://www.brewin.co.uk/wp-content/uploads/sites/10/2023/10/RBC-Brewin-Dolphin-MPS-factsheet-Income-Higher-Equity.pdf</t>
  </si>
  <si>
    <t>https://www.brewin.co.uk/wp-content/uploads/sites/10/2023/10/RBC-Brewin-Dolphin-MPS-factsheet-Balanced.pdf</t>
  </si>
  <si>
    <t>https://www.brewin.co.uk/wp-content/uploads/sites/10/2023/10/RBC-Brewin-Dolphin-MPS-factsheet-Growth.pdf</t>
  </si>
  <si>
    <t>https://www.brewin.co.uk/wp-content/uploads/sites/10/2023/10/RBC-Brewin-Dolphin-MPS-factsheet-Global-Equity.pdf</t>
  </si>
  <si>
    <t>https://www.brewin.co.uk/wp-content/uploads/sites/10/2023/10/RBC-Brewin-Dolphin-Passive-Plus-MPS-factsheet-Cautious.pdf</t>
  </si>
  <si>
    <t>https://www.brewin.co.uk/wp-content/uploads/sites/10/2023/10/RBC-Brewin-Dolphin-Passive-Plus-MPS-factsheet-Cautious-Higher-Equity.pdf</t>
  </si>
  <si>
    <t>https://www.brewin.co.uk/wp-content/uploads/sites/10/2023/10/RBC-Brewin-Dolphin-Passive-Plus-MPS-factsheet-Income.pdf</t>
  </si>
  <si>
    <t>https://www.brewin.co.uk/wp-content/uploads/sites/10/2023/10/RBC-Brewin-Dolphin-Passive-Plus-MPS-factsheet-Income-Higher-Equity.pdf</t>
  </si>
  <si>
    <t>https://www.brewin.co.uk/wp-content/uploads/sites/10/2023/10/RBC-Brewin-Dolphin-Passive-Plus-MPS-factsheet-Balanced.pdf</t>
  </si>
  <si>
    <t>https://www.brewin.co.uk/wp-content/uploads/sites/10/2023/10/RBC-Brewin-Dolphin-Passive-Plus-MPS-factsheet-Growth.pdf</t>
  </si>
  <si>
    <t>https://www.brewin.co.uk/wp-content/uploads/sites/10/2023/10/RBC-Brewin-Dolphin-Passive-Plus-MPS-factsheet-Global-Equity.pdf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</si>
</sst>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18</xdr:col>
      <xdr:colOff>57498</xdr:colOff>
      <xdr:row>21</xdr:row>
      <xdr:rowOff>152588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368300"/>
          <a:ext cx="6763098" cy="3651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57150</xdr:rowOff>
    </xdr:from>
    <xdr:to>
      <xdr:col>6</xdr:col>
      <xdr:colOff>312681</xdr:colOff>
      <xdr:row>21</xdr:row>
      <xdr:rowOff>44694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41300"/>
          <a:ext cx="3970281" cy="3670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2</xdr:row>
          <xdr:rowOff>85725</xdr:rowOff>
        </xdr:from>
        <xdr:to>
          <xdr:col>11</xdr:col>
          <xdr:colOff>85725</xdr:colOff>
          <xdr:row>7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workbookViewId="0">
      <selection activeCell="A3" sqref="A3"/>
    </sheetView>
  </sheetViews>
  <sheetFormatPr defaultRowHeight="15" x14ac:dyDescent="0.25"/>
  <sheetData>
    <row r="1" spans="1:8" x14ac:dyDescent="0.25">
      <c r="A1" s="3" t="s">
        <v>21</v>
      </c>
      <c r="H1" s="3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6"/>
  <sheetViews>
    <sheetView workbookViewId="0">
      <selection activeCell="B14" sqref="B14"/>
    </sheetView>
  </sheetViews>
  <sheetFormatPr defaultRowHeight="15" x14ac:dyDescent="0.25"/>
  <cols>
    <col min="1" max="1" width="51.855468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</row>
    <row r="2" spans="1:10" x14ac:dyDescent="0.25">
      <c r="A2" t="s">
        <v>0</v>
      </c>
      <c r="B2" t="s">
        <v>26</v>
      </c>
      <c r="C2" s="4"/>
    </row>
    <row r="3" spans="1:10" x14ac:dyDescent="0.25">
      <c r="A3" t="s">
        <v>29</v>
      </c>
      <c r="B3" t="str">
        <f>'PDF Scraping'!D2</f>
        <v>https://www.brewin.co.uk/wp-content/uploads/sites/10/2023/10/RBC-Brewin-Dolphin-MPS-factsheet-Cautious.pdf</v>
      </c>
      <c r="J3" s="4"/>
    </row>
    <row r="4" spans="1:10" x14ac:dyDescent="0.25">
      <c r="A4" t="s">
        <v>30</v>
      </c>
      <c r="B4" t="str">
        <f>'PDF Scraping'!D3</f>
        <v>https://www.brewin.co.uk/wp-content/uploads/sites/10/2023/10/RBC-Brewin-Dolphin-MPS-factsheet-Cautious-Higher-Equity.pdf</v>
      </c>
      <c r="J4" s="4"/>
    </row>
    <row r="5" spans="1:10" x14ac:dyDescent="0.25">
      <c r="A5" t="s">
        <v>31</v>
      </c>
      <c r="B5" t="str">
        <f>'PDF Scraping'!D4</f>
        <v>https://www.brewin.co.uk/wp-content/uploads/sites/10/2023/10/RBC-Brewin-Dolphin-MPS-factsheet-Income.pdf</v>
      </c>
    </row>
    <row r="6" spans="1:10" x14ac:dyDescent="0.25">
      <c r="A6" t="s">
        <v>32</v>
      </c>
      <c r="B6" t="str">
        <f>'PDF Scraping'!D5</f>
        <v>https://www.brewin.co.uk/wp-content/uploads/sites/10/2023/10/RBC-Brewin-Dolphin-MPS-factsheet-Income-Higher-Equity.pdf</v>
      </c>
    </row>
    <row r="7" spans="1:10" x14ac:dyDescent="0.25">
      <c r="A7" t="s">
        <v>33</v>
      </c>
      <c r="B7" t="str">
        <f>'PDF Scraping'!D6</f>
        <v>https://www.brewin.co.uk/wp-content/uploads/sites/10/2023/10/RBC-Brewin-Dolphin-MPS-factsheet-Balanced.pdf</v>
      </c>
    </row>
    <row r="8" spans="1:10" x14ac:dyDescent="0.25">
      <c r="A8" t="s">
        <v>34</v>
      </c>
      <c r="B8" t="str">
        <f>'PDF Scraping'!D7</f>
        <v>https://www.brewin.co.uk/wp-content/uploads/sites/10/2023/10/RBC-Brewin-Dolphin-MPS-factsheet-Growth.pdf</v>
      </c>
    </row>
    <row r="9" spans="1:10" x14ac:dyDescent="0.25">
      <c r="A9" t="s">
        <v>35</v>
      </c>
      <c r="B9" t="str">
        <f>'PDF Scraping'!D8</f>
        <v>https://www.brewin.co.uk/wp-content/uploads/sites/10/2023/10/RBC-Brewin-Dolphin-MPS-factsheet-Global-Equity.pdf</v>
      </c>
    </row>
    <row r="10" spans="1:10" x14ac:dyDescent="0.25">
      <c r="A10" t="s">
        <v>36</v>
      </c>
      <c r="B10" t="str">
        <f>'PDF Scraping'!D9</f>
        <v>https://www.brewin.co.uk/wp-content/uploads/sites/10/2023/10/RBC-Brewin-Dolphin-Passive-Plus-MPS-factsheet-Cautious.pdf</v>
      </c>
    </row>
    <row r="11" spans="1:10" x14ac:dyDescent="0.25">
      <c r="A11" t="s">
        <v>37</v>
      </c>
      <c r="B11" t="str">
        <f>'PDF Scraping'!D10</f>
        <v>https://www.brewin.co.uk/wp-content/uploads/sites/10/2023/10/RBC-Brewin-Dolphin-Passive-Plus-MPS-factsheet-Cautious-Higher-Equity.pdf</v>
      </c>
    </row>
    <row r="12" spans="1:10" x14ac:dyDescent="0.25">
      <c r="A12" t="s">
        <v>38</v>
      </c>
      <c r="B12" t="str">
        <f>'PDF Scraping'!D11</f>
        <v>https://www.brewin.co.uk/wp-content/uploads/sites/10/2023/10/RBC-Brewin-Dolphin-Passive-Plus-MPS-factsheet-Income.pdf</v>
      </c>
    </row>
    <row r="13" spans="1:10" x14ac:dyDescent="0.25">
      <c r="A13" t="s">
        <v>39</v>
      </c>
      <c r="B13" t="str">
        <f>'PDF Scraping'!D12</f>
        <v>https://www.brewin.co.uk/wp-content/uploads/sites/10/2023/10/RBC-Brewin-Dolphin-Passive-Plus-MPS-factsheet-Income-Higher-Equity.pdf</v>
      </c>
    </row>
    <row r="14" spans="1:10" x14ac:dyDescent="0.25">
      <c r="A14" t="s">
        <v>40</v>
      </c>
      <c r="B14" t="str">
        <f>'PDF Scraping'!D13</f>
        <v>https://www.brewin.co.uk/wp-content/uploads/sites/10/2023/10/RBC-Brewin-Dolphin-Passive-Plus-MPS-factsheet-Balanced.pdf</v>
      </c>
    </row>
    <row r="15" spans="1:10" x14ac:dyDescent="0.25">
      <c r="A15" t="s">
        <v>41</v>
      </c>
      <c r="B15" t="str">
        <f>'PDF Scraping'!D14</f>
        <v>https://www.brewin.co.uk/wp-content/uploads/sites/10/2023/10/RBC-Brewin-Dolphin-Passive-Plus-MPS-factsheet-Growth.pdf</v>
      </c>
    </row>
    <row r="16" spans="1:10" x14ac:dyDescent="0.25">
      <c r="A16" t="s">
        <v>42</v>
      </c>
      <c r="B16" t="str">
        <f>'PDF Scraping'!D15</f>
        <v>https://www.brewin.co.uk/wp-content/uploads/sites/10/2023/10/RBC-Brewin-Dolphin-Passive-Plus-MPS-factsheet-Global-Equity.pdf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L50"/>
  <sheetViews>
    <sheetView workbookViewId="0">
      <selection activeCell="D7" sqref="D7"/>
    </sheetView>
  </sheetViews>
  <sheetFormatPr defaultRowHeight="15" x14ac:dyDescent="0.25"/>
  <cols>
    <col min="1" max="1" width="19.140625" bestFit="1" customWidth="1"/>
    <col min="2" max="2" width="19.140625" style="1" customWidth="1"/>
    <col min="3" max="3" width="19.140625" customWidth="1"/>
    <col min="4" max="4" width="17.42578125" bestFit="1" customWidth="1"/>
    <col min="5" max="5" width="6.42578125" bestFit="1" customWidth="1"/>
    <col min="6" max="6" width="21.5703125" bestFit="1" customWidth="1"/>
    <col min="7" max="7" width="13.7109375" bestFit="1" customWidth="1"/>
  </cols>
  <sheetData>
    <row r="1" spans="1:12" x14ac:dyDescent="0.25">
      <c r="B1" s="1" t="s">
        <v>24</v>
      </c>
      <c r="C1" t="s">
        <v>23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</row>
    <row r="2" spans="1:12" x14ac:dyDescent="0.25">
      <c r="A2" t="str">
        <f>IF(Input!A3="","",Input!A3)</f>
        <v>RBC Brewin Dolphin MPS Cautious</v>
      </c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 x14ac:dyDescent="0.25">
      <c r="A3" t="str">
        <f>IF(Input!A4="","",Input!A4)</f>
        <v>RBC Brewin Dolphin MPS Cautious Higher Equity</v>
      </c>
      <c r="C3" s="5"/>
      <c r="D3" s="5"/>
      <c r="E3" s="5"/>
      <c r="F3" s="5"/>
      <c r="G3" s="5"/>
      <c r="H3" s="5"/>
      <c r="I3" s="5"/>
      <c r="J3" s="5"/>
      <c r="K3" s="5"/>
      <c r="L3" s="5"/>
    </row>
    <row r="4" spans="1:12" x14ac:dyDescent="0.25">
      <c r="A4" t="str">
        <f>IF(Input!A5="","",Input!A5)</f>
        <v>RBC Brewin Dolphin MPS Income</v>
      </c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 x14ac:dyDescent="0.25">
      <c r="A5" t="str">
        <f>IF(Input!A6="","",Input!A6)</f>
        <v>RBC Brewin Dolphin MPS Income Higher Equity</v>
      </c>
      <c r="C5" s="5"/>
      <c r="D5" s="5"/>
      <c r="E5" s="5"/>
      <c r="F5" s="5"/>
      <c r="G5" s="5"/>
      <c r="H5" s="5"/>
      <c r="I5" s="5"/>
      <c r="J5" s="5"/>
      <c r="K5" s="5"/>
      <c r="L5" s="5"/>
    </row>
    <row r="6" spans="1:12" x14ac:dyDescent="0.25">
      <c r="A6" t="str">
        <f>IF(Input!A7="","",Input!A7)</f>
        <v>RBC Brewin Dolphin MPS Balanced</v>
      </c>
      <c r="C6" s="5"/>
      <c r="D6" s="5"/>
      <c r="E6" s="5"/>
      <c r="F6" s="5"/>
      <c r="G6" s="5"/>
      <c r="H6" s="5"/>
      <c r="I6" s="5"/>
      <c r="J6" s="5"/>
      <c r="K6" s="5"/>
      <c r="L6" s="5"/>
    </row>
    <row r="7" spans="1:12" x14ac:dyDescent="0.25">
      <c r="A7" t="str">
        <f>IF(Input!A8="","",Input!A8)</f>
        <v>RBC Brewin Dolphin MPS Growth</v>
      </c>
      <c r="C7" s="5"/>
      <c r="D7" s="5"/>
      <c r="E7" s="5"/>
      <c r="F7" s="5"/>
      <c r="G7" s="5"/>
      <c r="H7" s="5"/>
      <c r="I7" s="5"/>
      <c r="J7" s="5"/>
      <c r="K7" s="5"/>
      <c r="L7" s="5"/>
    </row>
    <row r="8" spans="1:12" x14ac:dyDescent="0.25">
      <c r="A8" t="str">
        <f>IF(Input!A9="","",Input!A9)</f>
        <v>RBC Brewin Dolphin MPS Global Equity</v>
      </c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x14ac:dyDescent="0.25">
      <c r="A9" t="str">
        <f>IF(Input!A10="","",Input!A10)</f>
        <v>RBC Brewin Dolphin Passive Plus MPS Cautious</v>
      </c>
      <c r="C9" s="5"/>
      <c r="D9" s="5"/>
      <c r="E9" s="5"/>
      <c r="F9" s="5"/>
      <c r="G9" s="5"/>
      <c r="H9" s="5"/>
      <c r="I9" s="5"/>
      <c r="J9" s="5"/>
      <c r="K9" s="5"/>
      <c r="L9" s="5"/>
    </row>
    <row r="10" spans="1:12" x14ac:dyDescent="0.25">
      <c r="A10" t="str">
        <f>IF(Input!A11="","",Input!A11)</f>
        <v>RBC Brewin Dolphin Passive Plus MPS Cautious Higher Equity</v>
      </c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12" x14ac:dyDescent="0.25">
      <c r="A11" t="str">
        <f>IF(Input!A12="","",Input!A12)</f>
        <v>RBC Brewin Dolphin Passive Plus MPS Income</v>
      </c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12" x14ac:dyDescent="0.25">
      <c r="A12" t="str">
        <f>IF(Input!A13="","",Input!A13)</f>
        <v>RBC Brewin Dolphin Passive Plus MPS Income Higher Equity</v>
      </c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12" x14ac:dyDescent="0.25">
      <c r="A13" t="str">
        <f>IF(Input!A14="","",Input!A14)</f>
        <v>RBC Brewin Dolphin Passive Plus MPS Balanced</v>
      </c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12" x14ac:dyDescent="0.25">
      <c r="A14" t="str">
        <f>IF(Input!A15="","",Input!A15)</f>
        <v>RBC Brewin Dolphin Passive Plus MPS Growth</v>
      </c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12" x14ac:dyDescent="0.25">
      <c r="A15" t="str">
        <f>IF(Input!A16="","",Input!A16)</f>
        <v>RBC Brewin Dolphin Passive Plus MPS Global Equity</v>
      </c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12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Q50"/>
  <sheetViews>
    <sheetView workbookViewId="0">
      <selection activeCell="A2" sqref="A2"/>
    </sheetView>
  </sheetViews>
  <sheetFormatPr defaultRowHeight="15" x14ac:dyDescent="0.25"/>
  <cols>
    <col min="1" max="1" width="19.140625" bestFit="1" customWidth="1"/>
  </cols>
  <sheetData>
    <row r="1" spans="1:17" x14ac:dyDescent="0.25"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5</v>
      </c>
      <c r="H1" t="s">
        <v>48</v>
      </c>
      <c r="I1" t="s">
        <v>3</v>
      </c>
      <c r="J1" t="s">
        <v>4</v>
      </c>
      <c r="K1" t="s">
        <v>49</v>
      </c>
    </row>
    <row r="2" spans="1:17" x14ac:dyDescent="0.25">
      <c r="A2" t="str">
        <f>IF(Input!A3="","",Input!A3)</f>
        <v>RBC Brewin Dolphin MPS Cautious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25">
      <c r="A3" t="str">
        <f>IF(Input!A4="","",Input!A4)</f>
        <v>RBC Brewin Dolphin MPS Cautious Higher Equity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x14ac:dyDescent="0.25">
      <c r="A4" t="str">
        <f>IF(Input!A5="","",Input!A5)</f>
        <v>RBC Brewin Dolphin MPS Income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spans="1:17" x14ac:dyDescent="0.25">
      <c r="A5" t="str">
        <f>IF(Input!A6="","",Input!A6)</f>
        <v>RBC Brewin Dolphin MPS Income Higher Equity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x14ac:dyDescent="0.25">
      <c r="A6" t="str">
        <f>IF(Input!A7="","",Input!A7)</f>
        <v>RBC Brewin Dolphin MPS Balanced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x14ac:dyDescent="0.25">
      <c r="A7" t="str">
        <f>IF(Input!A8="","",Input!A8)</f>
        <v>RBC Brewin Dolphin MPS Growth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x14ac:dyDescent="0.25">
      <c r="A8" t="str">
        <f>IF(Input!A9="","",Input!A9)</f>
        <v>RBC Brewin Dolphin MPS Global Equity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x14ac:dyDescent="0.25">
      <c r="A9" t="str">
        <f>IF(Input!A10="","",Input!A10)</f>
        <v>RBC Brewin Dolphin Passive Plus MPS Cautious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t="str">
        <f>IF(Input!A11="","",Input!A11)</f>
        <v>RBC Brewin Dolphin Passive Plus MPS Cautious Higher Equity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25">
      <c r="A11" t="str">
        <f>IF(Input!A12="","",Input!A12)</f>
        <v>RBC Brewin Dolphin Passive Plus MPS Income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A12" t="str">
        <f>IF(Input!A13="","",Input!A13)</f>
        <v>RBC Brewin Dolphin Passive Plus MPS Income Higher Equity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A13" t="str">
        <f>IF(Input!A14="","",Input!A14)</f>
        <v>RBC Brewin Dolphin Passive Plus MPS Balanced</v>
      </c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7" x14ac:dyDescent="0.25">
      <c r="A14" t="str">
        <f>IF(Input!A15="","",Input!A15)</f>
        <v>RBC Brewin Dolphin Passive Plus MPS Growth</v>
      </c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7" x14ac:dyDescent="0.25">
      <c r="A15" t="str">
        <f>IF(Input!A16="","",Input!A16)</f>
        <v>RBC Brewin Dolphin Passive Plus MPS Global Equity</v>
      </c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7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5" tint="0.79998168889431442"/>
  </sheetPr>
  <dimension ref="A1:D50"/>
  <sheetViews>
    <sheetView tabSelected="1" topLeftCell="C1" workbookViewId="0">
      <selection activeCell="D18" sqref="D18"/>
    </sheetView>
  </sheetViews>
  <sheetFormatPr defaultRowHeight="15" x14ac:dyDescent="0.25"/>
  <cols>
    <col min="1" max="1" width="56" bestFit="1" customWidth="1"/>
    <col min="2" max="2" width="95.5703125" bestFit="1" customWidth="1"/>
    <col min="3" max="3" width="56" bestFit="1" customWidth="1"/>
    <col min="4" max="4" width="120.42578125" style="6" bestFit="1" customWidth="1"/>
  </cols>
  <sheetData>
    <row r="1" spans="1:4" x14ac:dyDescent="0.25">
      <c r="A1" t="s">
        <v>0</v>
      </c>
      <c r="B1" t="s">
        <v>27</v>
      </c>
      <c r="C1" t="s">
        <v>25</v>
      </c>
      <c r="D1" s="6" t="s">
        <v>26</v>
      </c>
    </row>
    <row r="2" spans="1:4" x14ac:dyDescent="0.25">
      <c r="A2" t="str">
        <f>IF(Input!A3="","",Input!A3)</f>
        <v>RBC Brewin Dolphin MPS Cautious</v>
      </c>
      <c r="B2" t="s">
        <v>28</v>
      </c>
      <c r="C2" t="s">
        <v>66</v>
      </c>
      <c r="D2" s="6" t="s">
        <v>80</v>
      </c>
    </row>
    <row r="3" spans="1:4" x14ac:dyDescent="0.25">
      <c r="A3" t="str">
        <f>IF(Input!A4="","",Input!A4)</f>
        <v>RBC Brewin Dolphin MPS Cautious Higher Equity</v>
      </c>
      <c r="B3" t="s">
        <v>28</v>
      </c>
      <c r="C3" t="s">
        <v>67</v>
      </c>
      <c r="D3" s="6" t="s">
        <v>81</v>
      </c>
    </row>
    <row r="4" spans="1:4" x14ac:dyDescent="0.25">
      <c r="A4" t="str">
        <f>IF(Input!A5="","",Input!A5)</f>
        <v>RBC Brewin Dolphin MPS Income</v>
      </c>
      <c r="B4" t="s">
        <v>28</v>
      </c>
      <c r="C4" t="s">
        <v>68</v>
      </c>
      <c r="D4" s="6" t="s">
        <v>82</v>
      </c>
    </row>
    <row r="5" spans="1:4" x14ac:dyDescent="0.25">
      <c r="A5" t="str">
        <f>IF(Input!A6="","",Input!A6)</f>
        <v>RBC Brewin Dolphin MPS Income Higher Equity</v>
      </c>
      <c r="B5" t="s">
        <v>28</v>
      </c>
      <c r="C5" t="s">
        <v>69</v>
      </c>
      <c r="D5" s="6" t="s">
        <v>83</v>
      </c>
    </row>
    <row r="6" spans="1:4" x14ac:dyDescent="0.25">
      <c r="A6" t="str">
        <f>IF(Input!A7="","",Input!A7)</f>
        <v>RBC Brewin Dolphin MPS Balanced</v>
      </c>
      <c r="B6" t="s">
        <v>28</v>
      </c>
      <c r="C6" t="s">
        <v>70</v>
      </c>
      <c r="D6" s="6" t="s">
        <v>84</v>
      </c>
    </row>
    <row r="7" spans="1:4" x14ac:dyDescent="0.25">
      <c r="A7" t="str">
        <f>IF(Input!A8="","",Input!A8)</f>
        <v>RBC Brewin Dolphin MPS Growth</v>
      </c>
      <c r="B7" t="s">
        <v>28</v>
      </c>
      <c r="C7" t="s">
        <v>71</v>
      </c>
      <c r="D7" s="6" t="s">
        <v>85</v>
      </c>
    </row>
    <row r="8" spans="1:4" x14ac:dyDescent="0.25">
      <c r="A8" t="str">
        <f>IF(Input!A9="","",Input!A9)</f>
        <v>RBC Brewin Dolphin MPS Global Equity</v>
      </c>
      <c r="B8" t="s">
        <v>28</v>
      </c>
      <c r="C8" t="s">
        <v>72</v>
      </c>
      <c r="D8" s="6" t="s">
        <v>86</v>
      </c>
    </row>
    <row r="9" spans="1:4" x14ac:dyDescent="0.25">
      <c r="A9" t="str">
        <f>IF(Input!A10="","",Input!A10)</f>
        <v>RBC Brewin Dolphin Passive Plus MPS Cautious</v>
      </c>
      <c r="B9" t="s">
        <v>28</v>
      </c>
      <c r="C9" t="s">
        <v>73</v>
      </c>
      <c r="D9" s="6" t="s">
        <v>87</v>
      </c>
    </row>
    <row r="10" spans="1:4" x14ac:dyDescent="0.25">
      <c r="A10" t="str">
        <f>IF(Input!A11="","",Input!A11)</f>
        <v>RBC Brewin Dolphin Passive Plus MPS Cautious Higher Equity</v>
      </c>
      <c r="B10" t="s">
        <v>28</v>
      </c>
      <c r="C10" t="s">
        <v>74</v>
      </c>
      <c r="D10" s="6" t="s">
        <v>88</v>
      </c>
    </row>
    <row r="11" spans="1:4" x14ac:dyDescent="0.25">
      <c r="A11" t="str">
        <f>IF(Input!A12="","",Input!A12)</f>
        <v>RBC Brewin Dolphin Passive Plus MPS Income</v>
      </c>
      <c r="B11" t="s">
        <v>28</v>
      </c>
      <c r="C11" t="s">
        <v>75</v>
      </c>
      <c r="D11" s="6" t="s">
        <v>89</v>
      </c>
    </row>
    <row r="12" spans="1:4" x14ac:dyDescent="0.25">
      <c r="A12" t="str">
        <f>IF(Input!A13="","",Input!A13)</f>
        <v>RBC Brewin Dolphin Passive Plus MPS Income Higher Equity</v>
      </c>
      <c r="B12" t="s">
        <v>28</v>
      </c>
      <c r="C12" t="s">
        <v>76</v>
      </c>
      <c r="D12" s="6" t="s">
        <v>90</v>
      </c>
    </row>
    <row r="13" spans="1:4" x14ac:dyDescent="0.25">
      <c r="A13" t="str">
        <f>IF(Input!A14="","",Input!A14)</f>
        <v>RBC Brewin Dolphin Passive Plus MPS Balanced</v>
      </c>
      <c r="B13" t="s">
        <v>28</v>
      </c>
      <c r="C13" t="s">
        <v>77</v>
      </c>
      <c r="D13" s="6" t="s">
        <v>91</v>
      </c>
    </row>
    <row r="14" spans="1:4" x14ac:dyDescent="0.25">
      <c r="A14" t="str">
        <f>IF(Input!A15="","",Input!A15)</f>
        <v>RBC Brewin Dolphin Passive Plus MPS Growth</v>
      </c>
      <c r="B14" t="s">
        <v>28</v>
      </c>
      <c r="C14" t="s">
        <v>78</v>
      </c>
      <c r="D14" s="6" t="s">
        <v>92</v>
      </c>
    </row>
    <row r="15" spans="1:4" x14ac:dyDescent="0.25">
      <c r="A15" t="str">
        <f>IF(Input!A16="","",Input!A16)</f>
        <v>RBC Brewin Dolphin Passive Plus MPS Global Equity</v>
      </c>
      <c r="B15" t="s">
        <v>28</v>
      </c>
      <c r="C15" t="s">
        <v>79</v>
      </c>
      <c r="D15" s="6" t="s">
        <v>93</v>
      </c>
    </row>
    <row r="16" spans="1:4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1" max="1" width="20.42578125" bestFit="1" customWidth="1"/>
    <col min="2" max="2" width="17.85546875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RBC Brewin Dolphin MPS Cautious</v>
      </c>
      <c r="B2" s="1">
        <f>IF(A2="","",'Additional Information'!B2)</f>
        <v>0</v>
      </c>
    </row>
    <row r="3" spans="1:2" x14ac:dyDescent="0.25">
      <c r="A3" t="str">
        <f>IF(Input!A4="","",Input!A4)</f>
        <v>RBC Brewin Dolphin MPS Cautious Higher Equity</v>
      </c>
      <c r="B3" s="1">
        <f>IF(A3="","",'Additional Information'!B3)</f>
        <v>0</v>
      </c>
    </row>
    <row r="4" spans="1:2" x14ac:dyDescent="0.25">
      <c r="A4" t="str">
        <f>IF(Input!A5="","",Input!A5)</f>
        <v>RBC Brewin Dolphin MPS Income</v>
      </c>
      <c r="B4" s="1">
        <f>IF(A4="","",'Additional Information'!B4)</f>
        <v>0</v>
      </c>
    </row>
    <row r="5" spans="1:2" x14ac:dyDescent="0.25">
      <c r="A5" t="str">
        <f>IF(Input!A6="","",Input!A6)</f>
        <v>RBC Brewin Dolphin MPS Income Higher Equity</v>
      </c>
      <c r="B5" s="1">
        <f>IF(A5="","",'Additional Information'!B5)</f>
        <v>0</v>
      </c>
    </row>
    <row r="6" spans="1:2" x14ac:dyDescent="0.25">
      <c r="A6" t="str">
        <f>IF(Input!A7="","",Input!A7)</f>
        <v>RBC Brewin Dolphin MPS Balanced</v>
      </c>
      <c r="B6" s="1">
        <f>IF(A6="","",'Additional Information'!B6)</f>
        <v>0</v>
      </c>
    </row>
    <row r="7" spans="1:2" x14ac:dyDescent="0.25">
      <c r="A7" t="str">
        <f>IF(Input!A8="","",Input!A8)</f>
        <v>RBC Brewin Dolphin MPS Growth</v>
      </c>
      <c r="B7" s="1">
        <f>IF(A7="","",'Additional Information'!B7)</f>
        <v>0</v>
      </c>
    </row>
    <row r="8" spans="1:2" x14ac:dyDescent="0.25">
      <c r="A8" t="str">
        <f>IF(Input!A9="","",Input!A9)</f>
        <v>RBC Brewin Dolphin MPS Global Equity</v>
      </c>
      <c r="B8" s="1">
        <f>IF(A8="","",'Additional Information'!B8)</f>
        <v>0</v>
      </c>
    </row>
    <row r="9" spans="1:2" x14ac:dyDescent="0.25">
      <c r="A9" t="str">
        <f>IF(Input!A10="","",Input!A10)</f>
        <v>RBC Brewin Dolphin Passive Plus MPS Cautious</v>
      </c>
      <c r="B9" s="1">
        <f>IF(A9="","",'Additional Information'!B9)</f>
        <v>0</v>
      </c>
    </row>
    <row r="10" spans="1:2" x14ac:dyDescent="0.25">
      <c r="A10" t="str">
        <f>IF(Input!A11="","",Input!A11)</f>
        <v>RBC Brewin Dolphin Passive Plus MPS Cautious Higher Equity</v>
      </c>
      <c r="B10" s="1">
        <f>IF(A10="","",'Additional Information'!B10)</f>
        <v>0</v>
      </c>
    </row>
    <row r="11" spans="1:2" x14ac:dyDescent="0.25">
      <c r="A11" t="str">
        <f>IF(Input!A12="","",Input!A12)</f>
        <v>RBC Brewin Dolphin Passive Plus MPS Income</v>
      </c>
      <c r="B11" s="1">
        <f>IF(A11="","",'Additional Information'!B11)</f>
        <v>0</v>
      </c>
    </row>
    <row r="12" spans="1:2" x14ac:dyDescent="0.25">
      <c r="A12" t="str">
        <f>IF(Input!A13="","",Input!A13)</f>
        <v>RBC Brewin Dolphin Passive Plus MPS Income Higher Equity</v>
      </c>
      <c r="B12" s="1">
        <f>IF(A12="","",'Additional Information'!B12)</f>
        <v>0</v>
      </c>
    </row>
    <row r="13" spans="1:2" x14ac:dyDescent="0.25">
      <c r="A13" t="str">
        <f>IF(Input!A14="","",Input!A14)</f>
        <v>RBC Brewin Dolphin Passive Plus MPS Balanced</v>
      </c>
      <c r="B13" s="1">
        <f>IF(A13="","",'Additional Information'!B13)</f>
        <v>0</v>
      </c>
    </row>
    <row r="14" spans="1:2" x14ac:dyDescent="0.25">
      <c r="A14" t="str">
        <f>IF(Input!A15="","",Input!A15)</f>
        <v>RBC Brewin Dolphin Passive Plus MPS Growth</v>
      </c>
      <c r="B14" s="1">
        <f>IF(A14="","",'Additional Information'!B14)</f>
        <v>0</v>
      </c>
    </row>
    <row r="15" spans="1:2" x14ac:dyDescent="0.25">
      <c r="A15" t="str">
        <f>IF(Input!A16="","",Input!A16)</f>
        <v>RBC Brewin Dolphin Passive Plus MPS Global Equity</v>
      </c>
      <c r="B15" s="1">
        <f>IF(A15="","",'Additional Information'!B15)</f>
        <v>0</v>
      </c>
    </row>
    <row r="16" spans="1:2" x14ac:dyDescent="0.25">
      <c r="A16" t="str">
        <f>IF(Input!A17="","",Input!A17)</f>
        <v/>
      </c>
      <c r="B16" s="1" t="str">
        <f>IF(A16="","",'Additional Information'!B16)</f>
        <v/>
      </c>
    </row>
    <row r="17" spans="1:2" x14ac:dyDescent="0.25">
      <c r="A17" t="str">
        <f>IF(Input!A18="","",Input!A18)</f>
        <v/>
      </c>
      <c r="B17" s="1" t="str">
        <f>IF(A17="","",'Additional Information'!B17)</f>
        <v/>
      </c>
    </row>
    <row r="18" spans="1:2" x14ac:dyDescent="0.25">
      <c r="A18" t="str">
        <f>IF(Input!A19="","",Input!A19)</f>
        <v/>
      </c>
      <c r="B18" s="1" t="str">
        <f>IF(A18="","",'Additional Information'!B18)</f>
        <v/>
      </c>
    </row>
    <row r="19" spans="1:2" x14ac:dyDescent="0.25">
      <c r="A19" t="str">
        <f>IF(Input!A20="","",Input!A20)</f>
        <v/>
      </c>
      <c r="B19" s="1" t="str">
        <f>IF(A19="","",'Additional Information'!B19)</f>
        <v/>
      </c>
    </row>
    <row r="20" spans="1:2" x14ac:dyDescent="0.25">
      <c r="A20" t="str">
        <f>IF(Input!A21="","",Input!A21)</f>
        <v/>
      </c>
      <c r="B20" s="1" t="str">
        <f>IF(A20="","",'Additional Information'!B20)</f>
        <v/>
      </c>
    </row>
    <row r="21" spans="1:2" x14ac:dyDescent="0.25">
      <c r="A21" t="str">
        <f>IF(Input!A22="","",Input!A22)</f>
        <v/>
      </c>
      <c r="B21" s="1" t="str">
        <f>IF(A21="","",'Additional Information'!B21)</f>
        <v/>
      </c>
    </row>
    <row r="22" spans="1:2" x14ac:dyDescent="0.25">
      <c r="A22" t="str">
        <f>IF(Input!A23="","",Input!A23)</f>
        <v/>
      </c>
      <c r="B22" s="1" t="str">
        <f>IF(A22="","",'Additional Information'!B22)</f>
        <v/>
      </c>
    </row>
    <row r="23" spans="1:2" x14ac:dyDescent="0.25">
      <c r="A23" t="str">
        <f>IF(Input!A24="","",Input!A24)</f>
        <v/>
      </c>
      <c r="B23" s="1" t="str">
        <f>IF(A23="","",'Additional Information'!B23)</f>
        <v/>
      </c>
    </row>
    <row r="24" spans="1:2" x14ac:dyDescent="0.25">
      <c r="A24" t="str">
        <f>IF(Input!A25="","",Input!A25)</f>
        <v/>
      </c>
      <c r="B24" s="1" t="str">
        <f>IF(A24="","",'Additional Information'!B24)</f>
        <v/>
      </c>
    </row>
    <row r="25" spans="1:2" x14ac:dyDescent="0.25">
      <c r="A25" t="str">
        <f>IF(Input!A26="","",Input!A26)</f>
        <v/>
      </c>
      <c r="B25" s="1" t="str">
        <f>IF(A25="","",'Additional Information'!B25)</f>
        <v/>
      </c>
    </row>
    <row r="26" spans="1:2" x14ac:dyDescent="0.25">
      <c r="A26" t="str">
        <f>IF(Input!A27="","",Input!A27)</f>
        <v/>
      </c>
      <c r="B26" s="1" t="str">
        <f>IF(A26="","",'Additional Information'!B26)</f>
        <v/>
      </c>
    </row>
    <row r="27" spans="1:2" x14ac:dyDescent="0.25">
      <c r="A27" t="str">
        <f>IF(Input!A28="","",Input!A28)</f>
        <v/>
      </c>
      <c r="B27" s="1" t="str">
        <f>IF(A27="","",'Additional Information'!B27)</f>
        <v/>
      </c>
    </row>
    <row r="28" spans="1:2" x14ac:dyDescent="0.25">
      <c r="A28" t="str">
        <f>IF(Input!A29="","",Input!A29)</f>
        <v/>
      </c>
      <c r="B28" s="1" t="str">
        <f>IF(A28="","",'Additional Information'!B28)</f>
        <v/>
      </c>
    </row>
    <row r="29" spans="1:2" x14ac:dyDescent="0.25">
      <c r="A29" t="str">
        <f>IF(Input!A30="","",Input!A30)</f>
        <v/>
      </c>
      <c r="B29" s="1" t="str">
        <f>IF(A29="","",'Additional Information'!B29)</f>
        <v/>
      </c>
    </row>
    <row r="30" spans="1:2" x14ac:dyDescent="0.25">
      <c r="A30" t="str">
        <f>IF(Input!A31="","",Input!A31)</f>
        <v/>
      </c>
      <c r="B30" s="1" t="str">
        <f>IF(A30="","",'Additional Information'!B30)</f>
        <v/>
      </c>
    </row>
    <row r="31" spans="1:2" x14ac:dyDescent="0.25">
      <c r="A31" t="str">
        <f>IF(Input!A32="","",Input!A32)</f>
        <v/>
      </c>
      <c r="B31" s="1" t="str">
        <f>IF(A31="","",'Additional Information'!B31)</f>
        <v/>
      </c>
    </row>
    <row r="32" spans="1:2" x14ac:dyDescent="0.25">
      <c r="A32" t="str">
        <f>IF(Input!A33="","",Input!A33)</f>
        <v/>
      </c>
      <c r="B32" s="1" t="str">
        <f>IF(A32="","",'Additional Information'!B32)</f>
        <v/>
      </c>
    </row>
    <row r="33" spans="1:2" x14ac:dyDescent="0.25">
      <c r="A33" t="str">
        <f>IF(Input!A34="","",Input!A34)</f>
        <v/>
      </c>
      <c r="B33" s="1" t="str">
        <f>IF(A33="","",'Additional Information'!B33)</f>
        <v/>
      </c>
    </row>
    <row r="34" spans="1:2" x14ac:dyDescent="0.25">
      <c r="A34" t="str">
        <f>IF(Input!A35="","",Input!A35)</f>
        <v/>
      </c>
      <c r="B34" s="1" t="str">
        <f>IF(A34="","",'Additional Information'!B34)</f>
        <v/>
      </c>
    </row>
    <row r="35" spans="1:2" x14ac:dyDescent="0.25">
      <c r="A35" t="str">
        <f>IF(Input!A36="","",Input!A36)</f>
        <v/>
      </c>
      <c r="B35" s="1" t="str">
        <f>IF(A35="","",'Additional Information'!B35)</f>
        <v/>
      </c>
    </row>
    <row r="36" spans="1:2" x14ac:dyDescent="0.25">
      <c r="A36" t="str">
        <f>IF(Input!A37="","",Input!A37)</f>
        <v/>
      </c>
      <c r="B36" s="1" t="str">
        <f>IF(A36="","",'Additional Information'!B36)</f>
        <v/>
      </c>
    </row>
    <row r="37" spans="1:2" x14ac:dyDescent="0.25">
      <c r="A37" t="str">
        <f>IF(Input!A38="","",Input!A38)</f>
        <v/>
      </c>
      <c r="B37" s="1" t="str">
        <f>IF(A37="","",'Additional Information'!B37)</f>
        <v/>
      </c>
    </row>
    <row r="38" spans="1:2" x14ac:dyDescent="0.25">
      <c r="A38" t="str">
        <f>IF(Input!A39="","",Input!A39)</f>
        <v/>
      </c>
      <c r="B38" s="1" t="str">
        <f>IF(A38="","",'Additional Information'!B38)</f>
        <v/>
      </c>
    </row>
    <row r="39" spans="1:2" x14ac:dyDescent="0.25">
      <c r="A39" t="str">
        <f>IF(Input!A40="","",Input!A40)</f>
        <v/>
      </c>
      <c r="B39" s="1" t="str">
        <f>IF(A39="","",'Additional Information'!B39)</f>
        <v/>
      </c>
    </row>
    <row r="40" spans="1:2" x14ac:dyDescent="0.25">
      <c r="A40" t="str">
        <f>IF(Input!A41="","",Input!A41)</f>
        <v/>
      </c>
      <c r="B40" s="1" t="str">
        <f>IF(A40="","",'Additional Information'!B40)</f>
        <v/>
      </c>
    </row>
    <row r="41" spans="1:2" x14ac:dyDescent="0.25">
      <c r="A41" t="str">
        <f>IF(Input!A42="","",Input!A42)</f>
        <v/>
      </c>
      <c r="B41" s="1" t="str">
        <f>IF(A41="","",'Additional Information'!B41)</f>
        <v/>
      </c>
    </row>
    <row r="42" spans="1:2" x14ac:dyDescent="0.25">
      <c r="A42" t="str">
        <f>IF(Input!A43="","",Input!A43)</f>
        <v/>
      </c>
      <c r="B42" s="1" t="str">
        <f>IF(A42="","",'Additional Information'!B42)</f>
        <v/>
      </c>
    </row>
    <row r="43" spans="1:2" x14ac:dyDescent="0.25">
      <c r="A43" t="str">
        <f>IF(Input!A44="","",Input!A44)</f>
        <v/>
      </c>
      <c r="B43" s="1" t="str">
        <f>IF(A43="","",'Additional Information'!B43)</f>
        <v/>
      </c>
    </row>
    <row r="44" spans="1:2" x14ac:dyDescent="0.25">
      <c r="A44" t="str">
        <f>IF(Input!A45="","",Input!A45)</f>
        <v/>
      </c>
      <c r="B44" s="1" t="str">
        <f>IF(A44="","",'Additional Information'!B44)</f>
        <v/>
      </c>
    </row>
    <row r="45" spans="1:2" x14ac:dyDescent="0.25">
      <c r="A45" t="str">
        <f>IF(Input!A46="","",Input!A46)</f>
        <v/>
      </c>
      <c r="B45" s="1" t="str">
        <f>IF(A45="","",'Additional Information'!B45)</f>
        <v/>
      </c>
    </row>
    <row r="46" spans="1:2" x14ac:dyDescent="0.25">
      <c r="A46" t="str">
        <f>IF(Input!A47="","",Input!A47)</f>
        <v/>
      </c>
      <c r="B46" s="1" t="str">
        <f>IF(A46="","",'Additional Information'!B46)</f>
        <v/>
      </c>
    </row>
    <row r="47" spans="1:2" x14ac:dyDescent="0.25">
      <c r="A47" t="str">
        <f>IF(Input!A48="","",Input!A48)</f>
        <v/>
      </c>
      <c r="B47" s="1" t="str">
        <f>IF(A47="","",'Additional Information'!B47)</f>
        <v/>
      </c>
    </row>
    <row r="48" spans="1:2" x14ac:dyDescent="0.25">
      <c r="A48" t="str">
        <f>IF(Input!A49="","",Input!A49)</f>
        <v/>
      </c>
      <c r="B48" s="1" t="str">
        <f>IF(A48="","",'Additional Information'!B48)</f>
        <v/>
      </c>
    </row>
    <row r="49" spans="1:2" x14ac:dyDescent="0.25">
      <c r="A49" t="str">
        <f>IF(Input!A50="","",Input!A50)</f>
        <v/>
      </c>
      <c r="B49" s="1" t="str">
        <f>IF(A49="","",'Additional Information'!B49)</f>
        <v/>
      </c>
    </row>
    <row r="50" spans="1:2" x14ac:dyDescent="0.25">
      <c r="A50" t="str">
        <f>IF(Input!A51="","",Input!A51)</f>
        <v/>
      </c>
      <c r="B50" s="1" t="str">
        <f>IF(A50="","",'Additional Information'!B50)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eparedata.preparedata">
                <anchor moveWithCells="1" sizeWithCells="1">
                  <from>
                    <xdr:col>6</xdr:col>
                    <xdr:colOff>495300</xdr:colOff>
                    <xdr:row>2</xdr:row>
                    <xdr:rowOff>85725</xdr:rowOff>
                  </from>
                  <to>
                    <xdr:col>11</xdr:col>
                    <xdr:colOff>85725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22</v>
      </c>
      <c r="C1" t="s">
        <v>18</v>
      </c>
      <c r="D1" t="s">
        <v>19</v>
      </c>
      <c r="E1" t="s">
        <v>51</v>
      </c>
      <c r="F1" t="s">
        <v>63</v>
      </c>
      <c r="G1" t="s">
        <v>64</v>
      </c>
    </row>
    <row r="2" spans="1:7" x14ac:dyDescent="0.25">
      <c r="A2" t="str">
        <f>IF(Input!A3="","",Input!A3)</f>
        <v>RBC Brewin Dolphin MPS Cautious</v>
      </c>
      <c r="B2">
        <f>IF(A2="","",'Additional Information'!D2)</f>
        <v>0</v>
      </c>
      <c r="C2">
        <f>IF(A2="","",'Additional Information'!H2)</f>
        <v>0</v>
      </c>
      <c r="E2">
        <f>IF(A2="","",'Additional Information'!C2)</f>
        <v>0</v>
      </c>
      <c r="F2" t="str">
        <f>IF(A2="","",IF('Additional Information'!J2="","",'Additional Information'!J2))</f>
        <v/>
      </c>
      <c r="G2" t="str">
        <f>IF(A2="","",IF('Additional Information'!L2="","",'Additional Information'!L2))</f>
        <v/>
      </c>
    </row>
    <row r="3" spans="1:7" x14ac:dyDescent="0.25">
      <c r="A3" t="str">
        <f>IF(Input!A4="","",Input!A4)</f>
        <v>RBC Brewin Dolphin MPS Cautious Higher Equity</v>
      </c>
      <c r="B3">
        <f>IF(A3="","",'Additional Information'!D3)</f>
        <v>0</v>
      </c>
      <c r="C3">
        <f>IF(A3="","",'Additional Information'!H3)</f>
        <v>0</v>
      </c>
      <c r="E3">
        <f>IF(A3="","",'Additional Information'!C3)</f>
        <v>0</v>
      </c>
      <c r="F3" t="str">
        <f>IF(A3="","",IF('Additional Information'!J3="","",'Additional Information'!J3))</f>
        <v/>
      </c>
      <c r="G3" t="str">
        <f>IF(A3="","",IF('Additional Information'!L3="","",'Additional Information'!L3))</f>
        <v/>
      </c>
    </row>
    <row r="4" spans="1:7" x14ac:dyDescent="0.25">
      <c r="A4" t="str">
        <f>IF(Input!A5="","",Input!A5)</f>
        <v>RBC Brewin Dolphin MPS Income</v>
      </c>
      <c r="B4">
        <f>IF(A4="","",'Additional Information'!D4)</f>
        <v>0</v>
      </c>
      <c r="C4">
        <f>IF(A4="","",'Additional Information'!H4)</f>
        <v>0</v>
      </c>
      <c r="E4">
        <f>IF(A4="","",'Additional Information'!C4)</f>
        <v>0</v>
      </c>
      <c r="F4" t="str">
        <f>IF(A4="","",IF('Additional Information'!J4="","",'Additional Information'!J4))</f>
        <v/>
      </c>
      <c r="G4" t="str">
        <f>IF(A4="","",IF('Additional Information'!L4="","",'Additional Information'!L4))</f>
        <v/>
      </c>
    </row>
    <row r="5" spans="1:7" x14ac:dyDescent="0.25">
      <c r="A5" t="str">
        <f>IF(Input!A6="","",Input!A6)</f>
        <v>RBC Brewin Dolphin MPS Income Higher Equity</v>
      </c>
      <c r="B5">
        <f>IF(A5="","",'Additional Information'!D5)</f>
        <v>0</v>
      </c>
      <c r="C5">
        <f>IF(A5="","",'Additional Information'!H5)</f>
        <v>0</v>
      </c>
      <c r="E5">
        <f>IF(A5="","",'Additional Information'!C5)</f>
        <v>0</v>
      </c>
      <c r="F5" t="str">
        <f>IF(A5="","",IF('Additional Information'!J5="","",'Additional Information'!J5))</f>
        <v/>
      </c>
      <c r="G5" t="str">
        <f>IF(A5="","",IF('Additional Information'!L5="","",'Additional Information'!L5))</f>
        <v/>
      </c>
    </row>
    <row r="6" spans="1:7" x14ac:dyDescent="0.25">
      <c r="A6" t="str">
        <f>IF(Input!A7="","",Input!A7)</f>
        <v>RBC Brewin Dolphin MPS Balanced</v>
      </c>
      <c r="B6">
        <f>IF(A6="","",'Additional Information'!D6)</f>
        <v>0</v>
      </c>
      <c r="C6">
        <f>IF(A6="","",'Additional Information'!H6)</f>
        <v>0</v>
      </c>
      <c r="E6">
        <f>IF(A6="","",'Additional Information'!C6)</f>
        <v>0</v>
      </c>
      <c r="F6" t="str">
        <f>IF(A6="","",IF('Additional Information'!J6="","",'Additional Information'!J6))</f>
        <v/>
      </c>
      <c r="G6" t="str">
        <f>IF(A6="","",IF('Additional Information'!L6="","",'Additional Information'!L6))</f>
        <v/>
      </c>
    </row>
    <row r="7" spans="1:7" x14ac:dyDescent="0.25">
      <c r="A7" t="str">
        <f>IF(Input!A8="","",Input!A8)</f>
        <v>RBC Brewin Dolphin MPS Growth</v>
      </c>
      <c r="B7">
        <f>IF(A7="","",'Additional Information'!D7)</f>
        <v>0</v>
      </c>
      <c r="C7">
        <f>IF(A7="","",'Additional Information'!H7)</f>
        <v>0</v>
      </c>
      <c r="E7">
        <f>IF(A7="","",'Additional Information'!C7)</f>
        <v>0</v>
      </c>
      <c r="F7" t="str">
        <f>IF(A7="","",IF('Additional Information'!J7="","",'Additional Information'!J7))</f>
        <v/>
      </c>
      <c r="G7" t="str">
        <f>IF(A7="","",IF('Additional Information'!L7="","",'Additional Information'!L7))</f>
        <v/>
      </c>
    </row>
    <row r="8" spans="1:7" x14ac:dyDescent="0.25">
      <c r="A8" t="str">
        <f>IF(Input!A9="","",Input!A9)</f>
        <v>RBC Brewin Dolphin MPS Global Equity</v>
      </c>
      <c r="B8">
        <f>IF(A8="","",'Additional Information'!D8)</f>
        <v>0</v>
      </c>
      <c r="C8">
        <f>IF(A8="","",'Additional Information'!H8)</f>
        <v>0</v>
      </c>
      <c r="E8">
        <f>IF(A8="","",'Additional Information'!C8)</f>
        <v>0</v>
      </c>
      <c r="F8" t="str">
        <f>IF(A8="","",IF('Additional Information'!J8="","",'Additional Information'!J8))</f>
        <v/>
      </c>
      <c r="G8" t="str">
        <f>IF(A8="","",IF('Additional Information'!L8="","",'Additional Information'!L8))</f>
        <v/>
      </c>
    </row>
    <row r="9" spans="1:7" x14ac:dyDescent="0.25">
      <c r="A9" t="str">
        <f>IF(Input!A10="","",Input!A10)</f>
        <v>RBC Brewin Dolphin Passive Plus MPS Cautious</v>
      </c>
      <c r="B9">
        <f>IF(A9="","",'Additional Information'!D9)</f>
        <v>0</v>
      </c>
      <c r="C9">
        <f>IF(A9="","",'Additional Information'!H9)</f>
        <v>0</v>
      </c>
      <c r="E9">
        <f>IF(A9="","",'Additional Information'!C9)</f>
        <v>0</v>
      </c>
      <c r="F9" t="str">
        <f>IF(A9="","",IF('Additional Information'!J9="","",'Additional Information'!J9))</f>
        <v/>
      </c>
      <c r="G9" t="str">
        <f>IF(A9="","",IF('Additional Information'!L9="","",'Additional Information'!L9))</f>
        <v/>
      </c>
    </row>
    <row r="10" spans="1:7" x14ac:dyDescent="0.25">
      <c r="A10" t="str">
        <f>IF(Input!A11="","",Input!A11)</f>
        <v>RBC Brewin Dolphin Passive Plus MPS Cautious Higher Equity</v>
      </c>
      <c r="B10">
        <f>IF(A10="","",'Additional Information'!D10)</f>
        <v>0</v>
      </c>
      <c r="C10">
        <f>IF(A10="","",'Additional Information'!H10)</f>
        <v>0</v>
      </c>
      <c r="E10">
        <f>IF(A10="","",'Additional Information'!C10)</f>
        <v>0</v>
      </c>
      <c r="F10" t="str">
        <f>IF(A10="","",IF('Additional Information'!J10="","",'Additional Information'!J10))</f>
        <v/>
      </c>
      <c r="G10" t="str">
        <f>IF(A10="","",IF('Additional Information'!L10="","",'Additional Information'!L10))</f>
        <v/>
      </c>
    </row>
    <row r="11" spans="1:7" x14ac:dyDescent="0.25">
      <c r="A11" t="str">
        <f>IF(Input!A12="","",Input!A12)</f>
        <v>RBC Brewin Dolphin Passive Plus MPS Income</v>
      </c>
      <c r="B11">
        <f>IF(A11="","",'Additional Information'!D11)</f>
        <v>0</v>
      </c>
      <c r="C11">
        <f>IF(A11="","",'Additional Information'!H11)</f>
        <v>0</v>
      </c>
      <c r="E11">
        <f>IF(A11="","",'Additional Information'!C11)</f>
        <v>0</v>
      </c>
      <c r="F11" t="str">
        <f>IF(A11="","",IF('Additional Information'!J11="","",'Additional Information'!J11))</f>
        <v/>
      </c>
      <c r="G11" t="str">
        <f>IF(A11="","",IF('Additional Information'!L11="","",'Additional Information'!L11))</f>
        <v/>
      </c>
    </row>
    <row r="12" spans="1:7" x14ac:dyDescent="0.25">
      <c r="A12" t="str">
        <f>IF(Input!A13="","",Input!A13)</f>
        <v>RBC Brewin Dolphin Passive Plus MPS Income Higher Equity</v>
      </c>
      <c r="B12">
        <f>IF(A12="","",'Additional Information'!D12)</f>
        <v>0</v>
      </c>
      <c r="C12">
        <f>IF(A12="","",'Additional Information'!H12)</f>
        <v>0</v>
      </c>
      <c r="E12">
        <f>IF(A12="","",'Additional Information'!C12)</f>
        <v>0</v>
      </c>
      <c r="F12" t="str">
        <f>IF(A12="","",IF('Additional Information'!J12="","",'Additional Information'!J12))</f>
        <v/>
      </c>
      <c r="G12" t="str">
        <f>IF(A12="","",IF('Additional Information'!L12="","",'Additional Information'!L12))</f>
        <v/>
      </c>
    </row>
    <row r="13" spans="1:7" x14ac:dyDescent="0.25">
      <c r="A13" t="str">
        <f>IF(Input!A14="","",Input!A14)</f>
        <v>RBC Brewin Dolphin Passive Plus MPS Balanced</v>
      </c>
      <c r="B13">
        <f>IF(A13="","",'Additional Information'!D13)</f>
        <v>0</v>
      </c>
      <c r="C13">
        <f>IF(A13="","",'Additional Information'!H13)</f>
        <v>0</v>
      </c>
      <c r="E13">
        <f>IF(A13="","",'Additional Information'!C13)</f>
        <v>0</v>
      </c>
      <c r="F13" t="str">
        <f>IF(A13="","",IF('Additional Information'!J13="","",'Additional Information'!J13))</f>
        <v/>
      </c>
      <c r="G13" t="str">
        <f>IF(A13="","",IF('Additional Information'!L13="","",'Additional Information'!L13))</f>
        <v/>
      </c>
    </row>
    <row r="14" spans="1:7" x14ac:dyDescent="0.25">
      <c r="A14" t="str">
        <f>IF(Input!A15="","",Input!A15)</f>
        <v>RBC Brewin Dolphin Passive Plus MPS Growth</v>
      </c>
      <c r="B14">
        <f>IF(A14="","",'Additional Information'!D14)</f>
        <v>0</v>
      </c>
      <c r="C14">
        <f>IF(A14="","",'Additional Information'!H14)</f>
        <v>0</v>
      </c>
      <c r="E14">
        <f>IF(A14="","",'Additional Information'!C14)</f>
        <v>0</v>
      </c>
      <c r="F14" t="str">
        <f>IF(A14="","",IF('Additional Information'!J14="","",'Additional Information'!J14))</f>
        <v/>
      </c>
      <c r="G14" t="str">
        <f>IF(A14="","",IF('Additional Information'!L14="","",'Additional Information'!L14))</f>
        <v/>
      </c>
    </row>
    <row r="15" spans="1:7" x14ac:dyDescent="0.25">
      <c r="A15" t="str">
        <f>IF(Input!A16="","",Input!A16)</f>
        <v>RBC Brewin Dolphin Passive Plus MPS Global Equity</v>
      </c>
      <c r="B15">
        <f>IF(A15="","",'Additional Information'!D15)</f>
        <v>0</v>
      </c>
      <c r="C15">
        <f>IF(A15="","",'Additional Information'!H15)</f>
        <v>0</v>
      </c>
      <c r="E15">
        <f>IF(A15="","",'Additional Information'!C15)</f>
        <v>0</v>
      </c>
      <c r="F15" t="str">
        <f>IF(A15="","",IF('Additional Information'!J15="","",'Additional Information'!J15))</f>
        <v/>
      </c>
      <c r="G15" t="str">
        <f>IF(A15="","",IF('Additional Information'!L15="","",'Additional Information'!L15))</f>
        <v/>
      </c>
    </row>
    <row r="16" spans="1:7" x14ac:dyDescent="0.25">
      <c r="A16" t="str">
        <f>IF(Input!A17="","",Input!A17)</f>
        <v/>
      </c>
      <c r="B16" t="str">
        <f>IF(A16="","",'Additional Information'!D16)</f>
        <v/>
      </c>
      <c r="C16" t="str">
        <f>IF(A16="","",'Additional Information'!H16)</f>
        <v/>
      </c>
      <c r="E16" t="str">
        <f>IF(A16="","",'Additional Information'!C16)</f>
        <v/>
      </c>
      <c r="F16" t="str">
        <f>IF(A16="","",IF('Additional Information'!J16="","",'Additional Information'!J16))</f>
        <v/>
      </c>
      <c r="G16" t="str">
        <f>IF(A16="","",IF('Additional Information'!L16="","",'Additional Information'!L16))</f>
        <v/>
      </c>
    </row>
    <row r="17" spans="1:7" x14ac:dyDescent="0.25">
      <c r="A17" t="str">
        <f>IF(Input!A18="","",Input!A18)</f>
        <v/>
      </c>
      <c r="B17" t="str">
        <f>IF(A17="","",'Additional Information'!D17)</f>
        <v/>
      </c>
      <c r="C17" t="str">
        <f>IF(A17="","",'Additional Information'!H17)</f>
        <v/>
      </c>
      <c r="E17" t="str">
        <f>IF(A17="","",'Additional Information'!C17)</f>
        <v/>
      </c>
      <c r="F17" t="str">
        <f>IF(A17="","",IF('Additional Information'!J17="","",'Additional Information'!J17))</f>
        <v/>
      </c>
      <c r="G17" t="str">
        <f>IF(A17="","",IF('Additional Information'!L17="","",'Additional Information'!L17))</f>
        <v/>
      </c>
    </row>
    <row r="18" spans="1:7" x14ac:dyDescent="0.25">
      <c r="A18" t="str">
        <f>IF(Input!A19="","",Input!A19)</f>
        <v/>
      </c>
      <c r="B18" t="str">
        <f>IF(A18="","",'Additional Information'!D18)</f>
        <v/>
      </c>
      <c r="C18" t="str">
        <f>IF(A18="","",'Additional Information'!H18)</f>
        <v/>
      </c>
      <c r="E18" t="str">
        <f>IF(A18="","",'Additional Information'!C18)</f>
        <v/>
      </c>
      <c r="F18" t="str">
        <f>IF(A18="","",IF('Additional Information'!J18="","",'Additional Information'!J18))</f>
        <v/>
      </c>
      <c r="G18" t="str">
        <f>IF(A18="","",IF('Additional Information'!L18="","",'Additional Information'!L18))</f>
        <v/>
      </c>
    </row>
    <row r="19" spans="1:7" x14ac:dyDescent="0.25">
      <c r="A19" t="str">
        <f>IF(Input!A20="","",Input!A20)</f>
        <v/>
      </c>
      <c r="B19" t="str">
        <f>IF(A19="","",'Additional Information'!D19)</f>
        <v/>
      </c>
      <c r="C19" t="str">
        <f>IF(A19="","",'Additional Information'!H19)</f>
        <v/>
      </c>
      <c r="E19" t="str">
        <f>IF(A19="","",'Additional Information'!C19)</f>
        <v/>
      </c>
      <c r="F19" t="str">
        <f>IF(A19="","",IF('Additional Information'!J19="","",'Additional Information'!J19))</f>
        <v/>
      </c>
      <c r="G19" t="str">
        <f>IF(A19="","",IF('Additional Information'!L19="","",'Additional Information'!L19))</f>
        <v/>
      </c>
    </row>
    <row r="20" spans="1:7" x14ac:dyDescent="0.25">
      <c r="A20" t="str">
        <f>IF(Input!A21="","",Input!A21)</f>
        <v/>
      </c>
      <c r="B20" t="str">
        <f>IF(A20="","",'Additional Information'!D20)</f>
        <v/>
      </c>
      <c r="C20" t="str">
        <f>IF(A20="","",'Additional Information'!H20)</f>
        <v/>
      </c>
      <c r="E20" t="str">
        <f>IF(A20="","",'Additional Information'!C20)</f>
        <v/>
      </c>
      <c r="F20" t="str">
        <f>IF(A20="","",IF('Additional Information'!J20="","",'Additional Information'!J20))</f>
        <v/>
      </c>
      <c r="G20" t="str">
        <f>IF(A20="","",IF('Additional Information'!L20="","",'Additional Information'!L20))</f>
        <v/>
      </c>
    </row>
    <row r="21" spans="1:7" x14ac:dyDescent="0.25">
      <c r="A21" t="str">
        <f>IF(Input!A22="","",Input!A22)</f>
        <v/>
      </c>
      <c r="B21" t="str">
        <f>IF(A21="","",'Additional Information'!D21)</f>
        <v/>
      </c>
      <c r="C21" t="str">
        <f>IF(A21="","",'Additional Information'!H21)</f>
        <v/>
      </c>
      <c r="E21" t="str">
        <f>IF(A21="","",'Additional Information'!C21)</f>
        <v/>
      </c>
      <c r="F21" t="str">
        <f>IF(A21="","",IF('Additional Information'!J21="","",'Additional Information'!J21))</f>
        <v/>
      </c>
      <c r="G21" t="str">
        <f>IF(A21="","",IF('Additional Information'!L21="","",'Additional Information'!L21))</f>
        <v/>
      </c>
    </row>
    <row r="22" spans="1:7" x14ac:dyDescent="0.25">
      <c r="A22" t="str">
        <f>IF(Input!A23="","",Input!A23)</f>
        <v/>
      </c>
      <c r="B22" t="str">
        <f>IF(A22="","",'Additional Information'!D22)</f>
        <v/>
      </c>
      <c r="C22" t="str">
        <f>IF(A22="","",'Additional Information'!H22)</f>
        <v/>
      </c>
      <c r="E22" t="str">
        <f>IF(A22="","",'Additional Information'!C22)</f>
        <v/>
      </c>
      <c r="F22" t="str">
        <f>IF(A22="","",IF('Additional Information'!J22="","",'Additional Information'!J22))</f>
        <v/>
      </c>
      <c r="G22" t="str">
        <f>IF(A22="","",IF('Additional Information'!L22="","",'Additional Information'!L22))</f>
        <v/>
      </c>
    </row>
    <row r="23" spans="1:7" x14ac:dyDescent="0.25">
      <c r="A23" t="str">
        <f>IF(Input!A24="","",Input!A24)</f>
        <v/>
      </c>
      <c r="B23" t="str">
        <f>IF(A23="","",'Additional Information'!D23)</f>
        <v/>
      </c>
      <c r="C23" t="str">
        <f>IF(A23="","",'Additional Information'!H23)</f>
        <v/>
      </c>
      <c r="E23" t="str">
        <f>IF(A23="","",'Additional Information'!C23)</f>
        <v/>
      </c>
      <c r="F23" t="str">
        <f>IF(A23="","",IF('Additional Information'!J23="","",'Additional Information'!J23))</f>
        <v/>
      </c>
      <c r="G23" t="str">
        <f>IF(A23="","",IF('Additional Information'!L23="","",'Additional Information'!L23))</f>
        <v/>
      </c>
    </row>
    <row r="24" spans="1:7" x14ac:dyDescent="0.25">
      <c r="A24" t="str">
        <f>IF(Input!A25="","",Input!A25)</f>
        <v/>
      </c>
      <c r="B24" t="str">
        <f>IF(A24="","",'Additional Information'!D24)</f>
        <v/>
      </c>
      <c r="C24" t="str">
        <f>IF(A24="","",'Additional Information'!H24)</f>
        <v/>
      </c>
      <c r="E24" t="str">
        <f>IF(A24="","",'Additional Information'!C24)</f>
        <v/>
      </c>
      <c r="F24" t="str">
        <f>IF(A24="","",IF('Additional Information'!J24="","",'Additional Information'!J24))</f>
        <v/>
      </c>
      <c r="G24" t="str">
        <f>IF(A24="","",IF('Additional Information'!L24="","",'Additional Information'!L24))</f>
        <v/>
      </c>
    </row>
    <row r="25" spans="1:7" x14ac:dyDescent="0.25">
      <c r="A25" t="str">
        <f>IF(Input!A26="","",Input!A26)</f>
        <v/>
      </c>
      <c r="B25" t="str">
        <f>IF(A25="","",'Additional Information'!D25)</f>
        <v/>
      </c>
      <c r="C25" t="str">
        <f>IF(A25="","",'Additional Information'!H25)</f>
        <v/>
      </c>
      <c r="E25" t="str">
        <f>IF(A25="","",'Additional Information'!C25)</f>
        <v/>
      </c>
      <c r="F25" t="str">
        <f>IF(A25="","",IF('Additional Information'!J25="","",'Additional Information'!J25))</f>
        <v/>
      </c>
      <c r="G25" t="str">
        <f>IF(A25="","",IF('Additional Information'!L25="","",'Additional Information'!L25))</f>
        <v/>
      </c>
    </row>
    <row r="26" spans="1:7" x14ac:dyDescent="0.25">
      <c r="A26" t="str">
        <f>IF(Input!A27="","",Input!A27)</f>
        <v/>
      </c>
      <c r="B26" t="str">
        <f>IF(A26="","",'Additional Information'!D26)</f>
        <v/>
      </c>
      <c r="C26" t="str">
        <f>IF(A26="","",'Additional Information'!H26)</f>
        <v/>
      </c>
      <c r="E26" t="str">
        <f>IF(A26="","",'Additional Information'!C26)</f>
        <v/>
      </c>
      <c r="F26" t="str">
        <f>IF(A26="","",IF('Additional Information'!J26="","",'Additional Information'!J26))</f>
        <v/>
      </c>
      <c r="G26" t="str">
        <f>IF(A26="","",IF('Additional Information'!L26="","",'Additional Information'!L26))</f>
        <v/>
      </c>
    </row>
    <row r="27" spans="1:7" x14ac:dyDescent="0.25">
      <c r="A27" t="str">
        <f>IF(Input!A28="","",Input!A28)</f>
        <v/>
      </c>
      <c r="B27" t="str">
        <f>IF(A27="","",'Additional Information'!D27)</f>
        <v/>
      </c>
      <c r="C27" t="str">
        <f>IF(A27="","",'Additional Information'!H27)</f>
        <v/>
      </c>
      <c r="E27" t="str">
        <f>IF(A27="","",'Additional Information'!C27)</f>
        <v/>
      </c>
      <c r="F27" t="str">
        <f>IF(A27="","",IF('Additional Information'!J27="","",'Additional Information'!J27))</f>
        <v/>
      </c>
      <c r="G27" t="str">
        <f>IF(A27="","",IF('Additional Information'!L27="","",'Additional Information'!L27))</f>
        <v/>
      </c>
    </row>
    <row r="28" spans="1:7" x14ac:dyDescent="0.25">
      <c r="A28" t="str">
        <f>IF(Input!A29="","",Input!A29)</f>
        <v/>
      </c>
      <c r="B28" t="str">
        <f>IF(A28="","",'Additional Information'!D28)</f>
        <v/>
      </c>
      <c r="C28" t="str">
        <f>IF(A28="","",'Additional Information'!H28)</f>
        <v/>
      </c>
      <c r="E28" t="str">
        <f>IF(A28="","",'Additional Information'!C28)</f>
        <v/>
      </c>
      <c r="F28" t="str">
        <f>IF(A28="","",IF('Additional Information'!J28="","",'Additional Information'!J28))</f>
        <v/>
      </c>
      <c r="G28" t="str">
        <f>IF(A28="","",IF('Additional Information'!L28="","",'Additional Information'!L28))</f>
        <v/>
      </c>
    </row>
    <row r="29" spans="1:7" x14ac:dyDescent="0.25">
      <c r="A29" t="str">
        <f>IF(Input!A30="","",Input!A30)</f>
        <v/>
      </c>
      <c r="B29" t="str">
        <f>IF(A29="","",'Additional Information'!D29)</f>
        <v/>
      </c>
      <c r="C29" t="str">
        <f>IF(A29="","",'Additional Information'!H29)</f>
        <v/>
      </c>
      <c r="E29" t="str">
        <f>IF(A29="","",'Additional Information'!C29)</f>
        <v/>
      </c>
      <c r="F29" t="str">
        <f>IF(A29="","",IF('Additional Information'!J29="","",'Additional Information'!J29))</f>
        <v/>
      </c>
      <c r="G29" t="str">
        <f>IF(A29="","",IF('Additional Information'!L29="","",'Additional Information'!L29))</f>
        <v/>
      </c>
    </row>
    <row r="30" spans="1:7" x14ac:dyDescent="0.25">
      <c r="A30" t="str">
        <f>IF(Input!A31="","",Input!A31)</f>
        <v/>
      </c>
      <c r="B30" t="str">
        <f>IF(A30="","",'Additional Information'!D30)</f>
        <v/>
      </c>
      <c r="C30" t="str">
        <f>IF(A30="","",'Additional Information'!H30)</f>
        <v/>
      </c>
      <c r="E30" t="str">
        <f>IF(A30="","",'Additional Information'!C30)</f>
        <v/>
      </c>
      <c r="F30" t="str">
        <f>IF(A30="","",IF('Additional Information'!J30="","",'Additional Information'!J30))</f>
        <v/>
      </c>
      <c r="G30" t="str">
        <f>IF(A30="","",IF('Additional Information'!L30="","",'Additional Information'!L30))</f>
        <v/>
      </c>
    </row>
    <row r="31" spans="1:7" x14ac:dyDescent="0.25">
      <c r="A31" t="str">
        <f>IF(Input!A32="","",Input!A32)</f>
        <v/>
      </c>
      <c r="B31" t="str">
        <f>IF(A31="","",'Additional Information'!D31)</f>
        <v/>
      </c>
      <c r="C31" t="str">
        <f>IF(A31="","",'Additional Information'!H31)</f>
        <v/>
      </c>
      <c r="E31" t="str">
        <f>IF(A31="","",'Additional Information'!C31)</f>
        <v/>
      </c>
      <c r="F31" t="str">
        <f>IF(A31="","",IF('Additional Information'!J31="","",'Additional Information'!J31))</f>
        <v/>
      </c>
      <c r="G31" t="str">
        <f>IF(A31="","",IF('Additional Information'!L31="","",'Additional Information'!L31))</f>
        <v/>
      </c>
    </row>
    <row r="32" spans="1:7" x14ac:dyDescent="0.25">
      <c r="A32" t="str">
        <f>IF(Input!A33="","",Input!A33)</f>
        <v/>
      </c>
      <c r="B32" t="str">
        <f>IF(A32="","",'Additional Information'!D32)</f>
        <v/>
      </c>
      <c r="C32" t="str">
        <f>IF(A32="","",'Additional Information'!H32)</f>
        <v/>
      </c>
      <c r="E32" t="str">
        <f>IF(A32="","",'Additional Information'!C32)</f>
        <v/>
      </c>
      <c r="F32" t="str">
        <f>IF(A32="","",IF('Additional Information'!J32="","",'Additional Information'!J32))</f>
        <v/>
      </c>
      <c r="G32" t="str">
        <f>IF(A32="","",IF('Additional Information'!L32="","",'Additional Information'!L32))</f>
        <v/>
      </c>
    </row>
    <row r="33" spans="1:7" x14ac:dyDescent="0.25">
      <c r="A33" t="str">
        <f>IF(Input!A34="","",Input!A34)</f>
        <v/>
      </c>
      <c r="B33" t="str">
        <f>IF(A33="","",'Additional Information'!D33)</f>
        <v/>
      </c>
      <c r="C33" t="str">
        <f>IF(A33="","",'Additional Information'!H33)</f>
        <v/>
      </c>
      <c r="E33" t="str">
        <f>IF(A33="","",'Additional Information'!C33)</f>
        <v/>
      </c>
      <c r="F33" t="str">
        <f>IF(A33="","",IF('Additional Information'!J33="","",'Additional Information'!J33))</f>
        <v/>
      </c>
      <c r="G33" t="str">
        <f>IF(A33="","",IF('Additional Information'!L33="","",'Additional Information'!L33))</f>
        <v/>
      </c>
    </row>
    <row r="34" spans="1:7" x14ac:dyDescent="0.25">
      <c r="A34" t="str">
        <f>IF(Input!A35="","",Input!A35)</f>
        <v/>
      </c>
      <c r="B34" t="str">
        <f>IF(A34="","",'Additional Information'!D34)</f>
        <v/>
      </c>
      <c r="C34" t="str">
        <f>IF(A34="","",'Additional Information'!H34)</f>
        <v/>
      </c>
      <c r="E34" t="str">
        <f>IF(A34="","",'Additional Information'!C34)</f>
        <v/>
      </c>
      <c r="F34" t="str">
        <f>IF(A34="","",IF('Additional Information'!J34="","",'Additional Information'!J34))</f>
        <v/>
      </c>
      <c r="G34" t="str">
        <f>IF(A34="","",IF('Additional Information'!L34="","",'Additional Information'!L34))</f>
        <v/>
      </c>
    </row>
    <row r="35" spans="1:7" x14ac:dyDescent="0.25">
      <c r="A35" t="str">
        <f>IF(Input!A36="","",Input!A36)</f>
        <v/>
      </c>
      <c r="B35" t="str">
        <f>IF(A35="","",'Additional Information'!D35)</f>
        <v/>
      </c>
      <c r="C35" t="str">
        <f>IF(A35="","",'Additional Information'!H35)</f>
        <v/>
      </c>
      <c r="E35" t="str">
        <f>IF(A35="","",'Additional Information'!C35)</f>
        <v/>
      </c>
      <c r="F35" t="str">
        <f>IF(A35="","",IF('Additional Information'!J35="","",'Additional Information'!J35))</f>
        <v/>
      </c>
      <c r="G35" t="str">
        <f>IF(A35="","",IF('Additional Information'!L35="","",'Additional Information'!L35))</f>
        <v/>
      </c>
    </row>
    <row r="36" spans="1:7" x14ac:dyDescent="0.25">
      <c r="A36" t="str">
        <f>IF(Input!A37="","",Input!A37)</f>
        <v/>
      </c>
      <c r="B36" t="str">
        <f>IF(A36="","",'Additional Information'!D36)</f>
        <v/>
      </c>
      <c r="C36" t="str">
        <f>IF(A36="","",'Additional Information'!H36)</f>
        <v/>
      </c>
      <c r="E36" t="str">
        <f>IF(A36="","",'Additional Information'!C36)</f>
        <v/>
      </c>
      <c r="F36" t="str">
        <f>IF(A36="","",IF('Additional Information'!J36="","",'Additional Information'!J36))</f>
        <v/>
      </c>
      <c r="G36" t="str">
        <f>IF(A36="","",IF('Additional Information'!L36="","",'Additional Information'!L36))</f>
        <v/>
      </c>
    </row>
    <row r="37" spans="1:7" x14ac:dyDescent="0.25">
      <c r="A37" t="str">
        <f>IF(Input!A38="","",Input!A38)</f>
        <v/>
      </c>
      <c r="B37" t="str">
        <f>IF(A37="","",'Additional Information'!D37)</f>
        <v/>
      </c>
      <c r="C37" t="str">
        <f>IF(A37="","",'Additional Information'!H37)</f>
        <v/>
      </c>
      <c r="E37" t="str">
        <f>IF(A37="","",'Additional Information'!C37)</f>
        <v/>
      </c>
      <c r="F37" t="str">
        <f>IF(A37="","",IF('Additional Information'!J37="","",'Additional Information'!J37))</f>
        <v/>
      </c>
      <c r="G37" t="str">
        <f>IF(A37="","",IF('Additional Information'!L37="","",'Additional Information'!L37))</f>
        <v/>
      </c>
    </row>
    <row r="38" spans="1:7" x14ac:dyDescent="0.25">
      <c r="A38" t="str">
        <f>IF(Input!A39="","",Input!A39)</f>
        <v/>
      </c>
      <c r="B38" t="str">
        <f>IF(A38="","",'Additional Information'!D38)</f>
        <v/>
      </c>
      <c r="C38" t="str">
        <f>IF(A38="","",'Additional Information'!H38)</f>
        <v/>
      </c>
      <c r="E38" t="str">
        <f>IF(A38="","",'Additional Information'!C38)</f>
        <v/>
      </c>
      <c r="F38" t="str">
        <f>IF(A38="","",IF('Additional Information'!J38="","",'Additional Information'!J38))</f>
        <v/>
      </c>
      <c r="G38" t="str">
        <f>IF(A38="","",IF('Additional Information'!L38="","",'Additional Information'!L38))</f>
        <v/>
      </c>
    </row>
    <row r="39" spans="1:7" x14ac:dyDescent="0.25">
      <c r="A39" t="str">
        <f>IF(Input!A40="","",Input!A40)</f>
        <v/>
      </c>
      <c r="B39" t="str">
        <f>IF(A39="","",'Additional Information'!D39)</f>
        <v/>
      </c>
      <c r="C39" t="str">
        <f>IF(A39="","",'Additional Information'!H39)</f>
        <v/>
      </c>
      <c r="E39" t="str">
        <f>IF(A39="","",'Additional Information'!C39)</f>
        <v/>
      </c>
      <c r="F39" t="str">
        <f>IF(A39="","",IF('Additional Information'!J39="","",'Additional Information'!J39))</f>
        <v/>
      </c>
      <c r="G39" t="str">
        <f>IF(A39="","",IF('Additional Information'!L39="","",'Additional Information'!L39))</f>
        <v/>
      </c>
    </row>
    <row r="40" spans="1:7" x14ac:dyDescent="0.25">
      <c r="A40" t="str">
        <f>IF(Input!A41="","",Input!A41)</f>
        <v/>
      </c>
      <c r="B40" t="str">
        <f>IF(A40="","",'Additional Information'!D40)</f>
        <v/>
      </c>
      <c r="C40" t="str">
        <f>IF(A40="","",'Additional Information'!H40)</f>
        <v/>
      </c>
      <c r="E40" t="str">
        <f>IF(A40="","",'Additional Information'!C40)</f>
        <v/>
      </c>
      <c r="F40" t="str">
        <f>IF(A40="","",IF('Additional Information'!J40="","",'Additional Information'!J40))</f>
        <v/>
      </c>
      <c r="G40" t="str">
        <f>IF(A40="","",IF('Additional Information'!L40="","",'Additional Information'!L40))</f>
        <v/>
      </c>
    </row>
    <row r="41" spans="1:7" x14ac:dyDescent="0.25">
      <c r="A41" t="str">
        <f>IF(Input!A42="","",Input!A42)</f>
        <v/>
      </c>
      <c r="B41" t="str">
        <f>IF(A41="","",'Additional Information'!D41)</f>
        <v/>
      </c>
      <c r="C41" t="str">
        <f>IF(A41="","",'Additional Information'!H41)</f>
        <v/>
      </c>
      <c r="E41" t="str">
        <f>IF(A41="","",'Additional Information'!C41)</f>
        <v/>
      </c>
      <c r="F41" t="str">
        <f>IF(A41="","",IF('Additional Information'!J41="","",'Additional Information'!J41))</f>
        <v/>
      </c>
      <c r="G41" t="str">
        <f>IF(A41="","",IF('Additional Information'!L41="","",'Additional Information'!L41))</f>
        <v/>
      </c>
    </row>
    <row r="42" spans="1:7" x14ac:dyDescent="0.25">
      <c r="A42" t="str">
        <f>IF(Input!A43="","",Input!A43)</f>
        <v/>
      </c>
      <c r="B42" t="str">
        <f>IF(A42="","",'Additional Information'!D42)</f>
        <v/>
      </c>
      <c r="C42" t="str">
        <f>IF(A42="","",'Additional Information'!H42)</f>
        <v/>
      </c>
      <c r="E42" t="str">
        <f>IF(A42="","",'Additional Information'!C42)</f>
        <v/>
      </c>
      <c r="F42" t="str">
        <f>IF(A42="","",IF('Additional Information'!J42="","",'Additional Information'!J42))</f>
        <v/>
      </c>
      <c r="G42" t="str">
        <f>IF(A42="","",IF('Additional Information'!L42="","",'Additional Information'!L42))</f>
        <v/>
      </c>
    </row>
    <row r="43" spans="1:7" x14ac:dyDescent="0.25">
      <c r="A43" t="str">
        <f>IF(Input!A44="","",Input!A44)</f>
        <v/>
      </c>
      <c r="B43" t="str">
        <f>IF(A43="","",'Additional Information'!D43)</f>
        <v/>
      </c>
      <c r="C43" t="str">
        <f>IF(A43="","",'Additional Information'!H43)</f>
        <v/>
      </c>
      <c r="E43" t="str">
        <f>IF(A43="","",'Additional Information'!C43)</f>
        <v/>
      </c>
      <c r="F43" t="str">
        <f>IF(A43="","",IF('Additional Information'!J43="","",'Additional Information'!J43))</f>
        <v/>
      </c>
      <c r="G43" t="str">
        <f>IF(A43="","",IF('Additional Information'!L43="","",'Additional Information'!L43))</f>
        <v/>
      </c>
    </row>
    <row r="44" spans="1:7" x14ac:dyDescent="0.25">
      <c r="A44" t="str">
        <f>IF(Input!A45="","",Input!A45)</f>
        <v/>
      </c>
      <c r="B44" t="str">
        <f>IF(A44="","",'Additional Information'!D44)</f>
        <v/>
      </c>
      <c r="C44" t="str">
        <f>IF(A44="","",'Additional Information'!H44)</f>
        <v/>
      </c>
      <c r="E44" t="str">
        <f>IF(A44="","",'Additional Information'!C44)</f>
        <v/>
      </c>
      <c r="F44" t="str">
        <f>IF(A44="","",IF('Additional Information'!J44="","",'Additional Information'!J44))</f>
        <v/>
      </c>
      <c r="G44" t="str">
        <f>IF(A44="","",IF('Additional Information'!L44="","",'Additional Information'!L44))</f>
        <v/>
      </c>
    </row>
    <row r="45" spans="1:7" x14ac:dyDescent="0.25">
      <c r="A45" t="str">
        <f>IF(Input!A46="","",Input!A46)</f>
        <v/>
      </c>
      <c r="B45" t="str">
        <f>IF(A45="","",'Additional Information'!D45)</f>
        <v/>
      </c>
      <c r="C45" t="str">
        <f>IF(A45="","",'Additional Information'!H45)</f>
        <v/>
      </c>
      <c r="E45" t="str">
        <f>IF(A45="","",'Additional Information'!C45)</f>
        <v/>
      </c>
      <c r="F45" t="str">
        <f>IF(A45="","",IF('Additional Information'!J45="","",'Additional Information'!J45))</f>
        <v/>
      </c>
      <c r="G45" t="str">
        <f>IF(A45="","",IF('Additional Information'!L45="","",'Additional Information'!L45))</f>
        <v/>
      </c>
    </row>
    <row r="46" spans="1:7" x14ac:dyDescent="0.25">
      <c r="A46" t="str">
        <f>IF(Input!A47="","",Input!A47)</f>
        <v/>
      </c>
      <c r="B46" t="str">
        <f>IF(A46="","",'Additional Information'!D46)</f>
        <v/>
      </c>
      <c r="C46" t="str">
        <f>IF(A46="","",'Additional Information'!H46)</f>
        <v/>
      </c>
      <c r="E46" t="str">
        <f>IF(A46="","",'Additional Information'!C46)</f>
        <v/>
      </c>
      <c r="F46" t="str">
        <f>IF(A46="","",IF('Additional Information'!J46="","",'Additional Information'!J46))</f>
        <v/>
      </c>
      <c r="G46" t="str">
        <f>IF(A46="","",IF('Additional Information'!L46="","",'Additional Information'!L46))</f>
        <v/>
      </c>
    </row>
    <row r="47" spans="1:7" x14ac:dyDescent="0.25">
      <c r="A47" t="str">
        <f>IF(Input!A48="","",Input!A48)</f>
        <v/>
      </c>
      <c r="B47" t="str">
        <f>IF(A47="","",'Additional Information'!D47)</f>
        <v/>
      </c>
      <c r="C47" t="str">
        <f>IF(A47="","",'Additional Information'!H47)</f>
        <v/>
      </c>
      <c r="E47" t="str">
        <f>IF(A47="","",'Additional Information'!C47)</f>
        <v/>
      </c>
      <c r="F47" t="str">
        <f>IF(A47="","",IF('Additional Information'!J47="","",'Additional Information'!J47))</f>
        <v/>
      </c>
      <c r="G47" t="str">
        <f>IF(A47="","",IF('Additional Information'!L47="","",'Additional Information'!L47))</f>
        <v/>
      </c>
    </row>
    <row r="48" spans="1:7" x14ac:dyDescent="0.25">
      <c r="A48" t="str">
        <f>IF(Input!A49="","",Input!A49)</f>
        <v/>
      </c>
      <c r="B48" t="str">
        <f>IF(A48="","",'Additional Information'!D48)</f>
        <v/>
      </c>
      <c r="C48" t="str">
        <f>IF(A48="","",'Additional Information'!H48)</f>
        <v/>
      </c>
      <c r="E48" t="str">
        <f>IF(A48="","",'Additional Information'!C48)</f>
        <v/>
      </c>
      <c r="F48" t="str">
        <f>IF(A48="","",IF('Additional Information'!J48="","",'Additional Information'!J48))</f>
        <v/>
      </c>
      <c r="G48" t="str">
        <f>IF(A48="","",IF('Additional Information'!L48="","",'Additional Information'!L48))</f>
        <v/>
      </c>
    </row>
    <row r="49" spans="1:7" x14ac:dyDescent="0.25">
      <c r="A49" t="str">
        <f>IF(Input!A50="","",Input!A50)</f>
        <v/>
      </c>
      <c r="B49" t="str">
        <f>IF(A49="","",'Additional Information'!D49)</f>
        <v/>
      </c>
      <c r="C49" t="str">
        <f>IF(A49="","",'Additional Information'!H49)</f>
        <v/>
      </c>
      <c r="E49" t="str">
        <f>IF(A49="","",'Additional Information'!C49)</f>
        <v/>
      </c>
      <c r="F49" t="str">
        <f>IF(A49="","",IF('Additional Information'!J49="","",'Additional Information'!J49))</f>
        <v/>
      </c>
      <c r="G49" t="str">
        <f>IF(A49="","",IF('Additional Information'!L49="","",'Additional Information'!L49))</f>
        <v/>
      </c>
    </row>
    <row r="50" spans="1:7" x14ac:dyDescent="0.25">
      <c r="A50" t="str">
        <f>IF(Input!A51="","",Input!A51)</f>
        <v/>
      </c>
      <c r="B50" t="str">
        <f>IF(A50="","",'Additional Information'!D50)</f>
        <v/>
      </c>
      <c r="C50" t="str">
        <f>IF(A50="","",'Additional Information'!H50)</f>
        <v/>
      </c>
      <c r="E50" t="str">
        <f>IF(A50="","",'Additional Information'!C50)</f>
        <v/>
      </c>
      <c r="F50" t="str">
        <f>IF(A50="","",IF('Additional Information'!J50="","",'Additional Information'!J50))</f>
        <v/>
      </c>
      <c r="G50" t="str">
        <f>IF(A50="","",IF('Additional Information'!L50="","",'Additional Information'!L50))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50</v>
      </c>
    </row>
    <row r="2" spans="1:8" x14ac:dyDescent="0.25">
      <c r="A2" t="str">
        <f>IF(Input!A3="","",Input!A3)</f>
        <v>RBC Brewin Dolphin MPS Cautious</v>
      </c>
      <c r="B2">
        <f>IF(A2="","",SUM('Asset Allocation'!D2,'Asset Allocation'!E2,'Asset Allocation'!F2,'Asset Allocation'!G2,'Asset Allocation'!H2,'Asset Allocation'!K2))</f>
        <v>0</v>
      </c>
      <c r="C2">
        <f>IF(A2="","",SUM('Asset Allocation'!I2))</f>
        <v>0</v>
      </c>
      <c r="F2">
        <f>IF(A2="","",SUM('Asset Allocation'!C2))</f>
        <v>0</v>
      </c>
      <c r="G2">
        <f>IF(A2="","",SUM('Asset Allocation'!J2))</f>
        <v>0</v>
      </c>
      <c r="H2">
        <f>IF(A2="","",1-SUM(B2:G2))</f>
        <v>1</v>
      </c>
    </row>
    <row r="3" spans="1:8" x14ac:dyDescent="0.25">
      <c r="A3" t="str">
        <f>IF(Input!A4="","",Input!A4)</f>
        <v>RBC Brewin Dolphin MPS Cautious Higher Equity</v>
      </c>
      <c r="B3">
        <f>IF(A3="","",SUM('Asset Allocation'!D3,'Asset Allocation'!E3,'Asset Allocation'!F3,'Asset Allocation'!G3,'Asset Allocation'!H3,'Asset Allocation'!K3))</f>
        <v>0</v>
      </c>
      <c r="C3">
        <f>IF(A3="","",SUM('Asset Allocation'!I3))</f>
        <v>0</v>
      </c>
      <c r="F3">
        <f>IF(A3="","",SUM('Asset Allocation'!C3))</f>
        <v>0</v>
      </c>
      <c r="G3">
        <f>IF(A3="","",SUM('Asset Allocation'!J3))</f>
        <v>0</v>
      </c>
      <c r="H3">
        <f t="shared" ref="H3:H50" si="0">IF(A3="","",1-SUM(B3:G3))</f>
        <v>1</v>
      </c>
    </row>
    <row r="4" spans="1:8" x14ac:dyDescent="0.25">
      <c r="A4" t="str">
        <f>IF(Input!A5="","",Input!A5)</f>
        <v>RBC Brewin Dolphin MPS Income</v>
      </c>
      <c r="B4">
        <f>IF(A4="","",SUM('Asset Allocation'!D4,'Asset Allocation'!E4,'Asset Allocation'!F4,'Asset Allocation'!G4,'Asset Allocation'!H4,'Asset Allocation'!K4))</f>
        <v>0</v>
      </c>
      <c r="C4">
        <f>IF(A4="","",SUM('Asset Allocation'!I4))</f>
        <v>0</v>
      </c>
      <c r="F4">
        <f>IF(A4="","",SUM('Asset Allocation'!C4))</f>
        <v>0</v>
      </c>
      <c r="G4">
        <f>IF(A4="","",SUM('Asset Allocation'!J4))</f>
        <v>0</v>
      </c>
      <c r="H4">
        <f t="shared" si="0"/>
        <v>1</v>
      </c>
    </row>
    <row r="5" spans="1:8" x14ac:dyDescent="0.25">
      <c r="A5" t="str">
        <f>IF(Input!A6="","",Input!A6)</f>
        <v>RBC Brewin Dolphin MPS Income Higher Equity</v>
      </c>
      <c r="B5">
        <f>IF(A5="","",SUM('Asset Allocation'!D5,'Asset Allocation'!E5,'Asset Allocation'!F5,'Asset Allocation'!G5,'Asset Allocation'!H5,'Asset Allocation'!K5))</f>
        <v>0</v>
      </c>
      <c r="C5">
        <f>IF(A5="","",SUM('Asset Allocation'!I5))</f>
        <v>0</v>
      </c>
      <c r="F5">
        <f>IF(A5="","",SUM('Asset Allocation'!C5))</f>
        <v>0</v>
      </c>
      <c r="G5">
        <f>IF(A5="","",SUM('Asset Allocation'!J5))</f>
        <v>0</v>
      </c>
      <c r="H5">
        <f t="shared" si="0"/>
        <v>1</v>
      </c>
    </row>
    <row r="6" spans="1:8" x14ac:dyDescent="0.25">
      <c r="A6" t="str">
        <f>IF(Input!A7="","",Input!A7)</f>
        <v>RBC Brewin Dolphin MPS Balanced</v>
      </c>
      <c r="B6">
        <f>IF(A6="","",SUM('Asset Allocation'!D6,'Asset Allocation'!E6,'Asset Allocation'!F6,'Asset Allocation'!G6,'Asset Allocation'!H6,'Asset Allocation'!K6))</f>
        <v>0</v>
      </c>
      <c r="C6">
        <f>IF(A6="","",SUM('Asset Allocation'!I6))</f>
        <v>0</v>
      </c>
      <c r="F6">
        <f>IF(A6="","",SUM('Asset Allocation'!C6))</f>
        <v>0</v>
      </c>
      <c r="G6">
        <f>IF(A6="","",SUM('Asset Allocation'!J6))</f>
        <v>0</v>
      </c>
      <c r="H6">
        <f t="shared" si="0"/>
        <v>1</v>
      </c>
    </row>
    <row r="7" spans="1:8" x14ac:dyDescent="0.25">
      <c r="A7" t="str">
        <f>IF(Input!A8="","",Input!A8)</f>
        <v>RBC Brewin Dolphin MPS Growth</v>
      </c>
      <c r="B7">
        <f>IF(A7="","",SUM('Asset Allocation'!D7,'Asset Allocation'!E7,'Asset Allocation'!F7,'Asset Allocation'!G7,'Asset Allocation'!H7,'Asset Allocation'!K7))</f>
        <v>0</v>
      </c>
      <c r="C7">
        <f>IF(A7="","",SUM('Asset Allocation'!I7))</f>
        <v>0</v>
      </c>
      <c r="F7">
        <f>IF(A7="","",SUM('Asset Allocation'!C7))</f>
        <v>0</v>
      </c>
      <c r="G7">
        <f>IF(A7="","",SUM('Asset Allocation'!J7))</f>
        <v>0</v>
      </c>
      <c r="H7">
        <f t="shared" si="0"/>
        <v>1</v>
      </c>
    </row>
    <row r="8" spans="1:8" x14ac:dyDescent="0.25">
      <c r="A8" t="str">
        <f>IF(Input!A9="","",Input!A9)</f>
        <v>RBC Brewin Dolphin MPS Global Equity</v>
      </c>
      <c r="B8">
        <f>IF(A8="","",SUM('Asset Allocation'!D8,'Asset Allocation'!E8,'Asset Allocation'!F8,'Asset Allocation'!G8,'Asset Allocation'!H8,'Asset Allocation'!K8))</f>
        <v>0</v>
      </c>
      <c r="C8">
        <f>IF(A8="","",SUM('Asset Allocation'!I8))</f>
        <v>0</v>
      </c>
      <c r="F8">
        <f>IF(A8="","",SUM('Asset Allocation'!C8))</f>
        <v>0</v>
      </c>
      <c r="G8">
        <f>IF(A8="","",SUM('Asset Allocation'!J8))</f>
        <v>0</v>
      </c>
      <c r="H8">
        <f t="shared" si="0"/>
        <v>1</v>
      </c>
    </row>
    <row r="9" spans="1:8" x14ac:dyDescent="0.25">
      <c r="A9" t="str">
        <f>IF(Input!A10="","",Input!A10)</f>
        <v>RBC Brewin Dolphin Passive Plus MPS Cautious</v>
      </c>
      <c r="B9">
        <f>IF(A9="","",SUM('Asset Allocation'!D9,'Asset Allocation'!E9,'Asset Allocation'!F9,'Asset Allocation'!G9,'Asset Allocation'!H9,'Asset Allocation'!K9))</f>
        <v>0</v>
      </c>
      <c r="C9">
        <f>IF(A9="","",SUM('Asset Allocation'!I9))</f>
        <v>0</v>
      </c>
      <c r="F9">
        <f>IF(A9="","",SUM('Asset Allocation'!C9))</f>
        <v>0</v>
      </c>
      <c r="G9">
        <f>IF(A9="","",SUM('Asset Allocation'!J9))</f>
        <v>0</v>
      </c>
      <c r="H9">
        <f t="shared" si="0"/>
        <v>1</v>
      </c>
    </row>
    <row r="10" spans="1:8" x14ac:dyDescent="0.25">
      <c r="A10" t="str">
        <f>IF(Input!A11="","",Input!A11)</f>
        <v>RBC Brewin Dolphin Passive Plus MPS Cautious Higher Equity</v>
      </c>
      <c r="B10">
        <f>IF(A10="","",SUM('Asset Allocation'!D10,'Asset Allocation'!E10,'Asset Allocation'!F10,'Asset Allocation'!G10,'Asset Allocation'!H10,'Asset Allocation'!K10))</f>
        <v>0</v>
      </c>
      <c r="C10">
        <f>IF(A10="","",SUM('Asset Allocation'!I10))</f>
        <v>0</v>
      </c>
      <c r="F10">
        <f>IF(A10="","",SUM('Asset Allocation'!C10))</f>
        <v>0</v>
      </c>
      <c r="G10">
        <f>IF(A10="","",SUM('Asset Allocation'!J10))</f>
        <v>0</v>
      </c>
      <c r="H10">
        <f t="shared" si="0"/>
        <v>1</v>
      </c>
    </row>
    <row r="11" spans="1:8" x14ac:dyDescent="0.25">
      <c r="A11" t="str">
        <f>IF(Input!A12="","",Input!A12)</f>
        <v>RBC Brewin Dolphin Passive Plus MPS Income</v>
      </c>
      <c r="B11">
        <f>IF(A11="","",SUM('Asset Allocation'!D11,'Asset Allocation'!E11,'Asset Allocation'!F11,'Asset Allocation'!G11,'Asset Allocation'!H11,'Asset Allocation'!K11))</f>
        <v>0</v>
      </c>
      <c r="C11">
        <f>IF(A11="","",SUM('Asset Allocation'!I11))</f>
        <v>0</v>
      </c>
      <c r="F11">
        <f>IF(A11="","",SUM('Asset Allocation'!C11))</f>
        <v>0</v>
      </c>
      <c r="G11">
        <f>IF(A11="","",SUM('Asset Allocation'!J11))</f>
        <v>0</v>
      </c>
      <c r="H11">
        <f t="shared" si="0"/>
        <v>1</v>
      </c>
    </row>
    <row r="12" spans="1:8" x14ac:dyDescent="0.25">
      <c r="A12" t="str">
        <f>IF(Input!A13="","",Input!A13)</f>
        <v>RBC Brewin Dolphin Passive Plus MPS Income Higher Equity</v>
      </c>
      <c r="B12">
        <f>IF(A12="","",SUM('Asset Allocation'!D12,'Asset Allocation'!E12,'Asset Allocation'!F12,'Asset Allocation'!G12,'Asset Allocation'!H12,'Asset Allocation'!K12))</f>
        <v>0</v>
      </c>
      <c r="C12">
        <f>IF(A12="","",SUM('Asset Allocation'!I12))</f>
        <v>0</v>
      </c>
      <c r="F12">
        <f>IF(A12="","",SUM('Asset Allocation'!C12))</f>
        <v>0</v>
      </c>
      <c r="G12">
        <f>IF(A12="","",SUM('Asset Allocation'!J12))</f>
        <v>0</v>
      </c>
      <c r="H12">
        <f t="shared" si="0"/>
        <v>1</v>
      </c>
    </row>
    <row r="13" spans="1:8" x14ac:dyDescent="0.25">
      <c r="A13" t="str">
        <f>IF(Input!A14="","",Input!A14)</f>
        <v>RBC Brewin Dolphin Passive Plus MPS Balanced</v>
      </c>
      <c r="B13">
        <f>IF(A13="","",SUM('Asset Allocation'!D13,'Asset Allocation'!E13,'Asset Allocation'!F13,'Asset Allocation'!G13,'Asset Allocation'!H13,'Asset Allocation'!K13))</f>
        <v>0</v>
      </c>
      <c r="C13">
        <f>IF(A13="","",SUM('Asset Allocation'!I13))</f>
        <v>0</v>
      </c>
      <c r="F13">
        <f>IF(A13="","",SUM('Asset Allocation'!C13))</f>
        <v>0</v>
      </c>
      <c r="G13">
        <f>IF(A13="","",SUM('Asset Allocation'!J13))</f>
        <v>0</v>
      </c>
      <c r="H13">
        <f t="shared" si="0"/>
        <v>1</v>
      </c>
    </row>
    <row r="14" spans="1:8" x14ac:dyDescent="0.25">
      <c r="A14" t="str">
        <f>IF(Input!A15="","",Input!A15)</f>
        <v>RBC Brewin Dolphin Passive Plus MPS Growth</v>
      </c>
      <c r="B14">
        <f>IF(A14="","",SUM('Asset Allocation'!D14,'Asset Allocation'!E14,'Asset Allocation'!F14,'Asset Allocation'!G14,'Asset Allocation'!H14,'Asset Allocation'!K14))</f>
        <v>0</v>
      </c>
      <c r="C14">
        <f>IF(A14="","",SUM('Asset Allocation'!I14))</f>
        <v>0</v>
      </c>
      <c r="F14">
        <f>IF(A14="","",SUM('Asset Allocation'!C14))</f>
        <v>0</v>
      </c>
      <c r="G14">
        <f>IF(A14="","",SUM('Asset Allocation'!J14))</f>
        <v>0</v>
      </c>
      <c r="H14">
        <f t="shared" si="0"/>
        <v>1</v>
      </c>
    </row>
    <row r="15" spans="1:8" x14ac:dyDescent="0.25">
      <c r="A15" t="str">
        <f>IF(Input!A16="","",Input!A16)</f>
        <v>RBC Brewin Dolphin Passive Plus MPS Global Equity</v>
      </c>
      <c r="B15">
        <f>IF(A15="","",SUM('Asset Allocation'!D15,'Asset Allocation'!E15,'Asset Allocation'!F15,'Asset Allocation'!G15,'Asset Allocation'!H15,'Asset Allocation'!K15))</f>
        <v>0</v>
      </c>
      <c r="C15">
        <f>IF(A15="","",SUM('Asset Allocation'!I15))</f>
        <v>0</v>
      </c>
      <c r="F15">
        <f>IF(A15="","",SUM('Asset Allocation'!C15))</f>
        <v>0</v>
      </c>
      <c r="G15">
        <f>IF(A15="","",SUM('Asset Allocation'!J15))</f>
        <v>0</v>
      </c>
      <c r="H15">
        <f t="shared" si="0"/>
        <v>1</v>
      </c>
    </row>
    <row r="16" spans="1:8" x14ac:dyDescent="0.25">
      <c r="A16" t="str">
        <f>IF(Input!A17="","",Input!A17)</f>
        <v/>
      </c>
      <c r="B16" t="str">
        <f>IF(A16="","",SUM('Asset Allocation'!D16,'Asset Allocation'!E16,'Asset Allocation'!F16,'Asset Allocation'!G16,'Asset Allocation'!H16,'Asset Allocation'!K16))</f>
        <v/>
      </c>
      <c r="C16" t="str">
        <f>IF(A16="","",SUM('Asset Allocation'!I16))</f>
        <v/>
      </c>
      <c r="F16" t="str">
        <f>IF(A16="","",SUM('Asset Allocation'!C16))</f>
        <v/>
      </c>
      <c r="G16" t="str">
        <f>IF(A16="","",SUM('Asset Allocation'!J16))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Allocation'!D17,'Asset Allocation'!E17,'Asset Allocation'!F17,'Asset Allocation'!G17,'Asset Allocation'!H17,'Asset Allocation'!K17))</f>
        <v/>
      </c>
      <c r="C17" t="str">
        <f>IF(A17="","",SUM('Asset Allocation'!I17))</f>
        <v/>
      </c>
      <c r="F17" t="str">
        <f>IF(A17="","",SUM('Asset Allocation'!C17))</f>
        <v/>
      </c>
      <c r="G17" t="str">
        <f>IF(A17="","",SUM('Asset Allocation'!J17))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Allocation'!D18,'Asset Allocation'!E18,'Asset Allocation'!F18,'Asset Allocation'!G18,'Asset Allocation'!H18,'Asset Allocation'!K18))</f>
        <v/>
      </c>
      <c r="C18" t="str">
        <f>IF(A18="","",SUM('Asset Allocation'!I18))</f>
        <v/>
      </c>
      <c r="F18" t="str">
        <f>IF(A18="","",SUM('Asset Allocation'!C18))</f>
        <v/>
      </c>
      <c r="G18" t="str">
        <f>IF(A18="","",SUM('Asset Allocation'!J18))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Allocation'!D19,'Asset Allocation'!E19,'Asset Allocation'!F19,'Asset Allocation'!G19,'Asset Allocation'!H19,'Asset Allocation'!K19))</f>
        <v/>
      </c>
      <c r="C19" t="str">
        <f>IF(A19="","",SUM('Asset Allocation'!I19))</f>
        <v/>
      </c>
      <c r="F19" t="str">
        <f>IF(A19="","",SUM('Asset Allocation'!C19))</f>
        <v/>
      </c>
      <c r="G19" t="str">
        <f>IF(A19="","",SUM('Asset Allocation'!J19))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Allocation'!D20,'Asset Allocation'!E20,'Asset Allocation'!F20,'Asset Allocation'!G20,'Asset Allocation'!H20,'Asset Allocation'!K20))</f>
        <v/>
      </c>
      <c r="C20" t="str">
        <f>IF(A20="","",SUM('Asset Allocation'!I20))</f>
        <v/>
      </c>
      <c r="F20" t="str">
        <f>IF(A20="","",SUM('Asset Allocation'!C20))</f>
        <v/>
      </c>
      <c r="G20" t="str">
        <f>IF(A20="","",SUM('Asset Allocation'!J20))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Allocation'!D21,'Asset Allocation'!E21,'Asset Allocation'!F21,'Asset Allocation'!G21,'Asset Allocation'!H21,'Asset Allocation'!K21))</f>
        <v/>
      </c>
      <c r="C21" t="str">
        <f>IF(A21="","",SUM('Asset Allocation'!I21))</f>
        <v/>
      </c>
      <c r="F21" t="str">
        <f>IF(A21="","",SUM('Asset Allocation'!C21))</f>
        <v/>
      </c>
      <c r="G21" t="str">
        <f>IF(A21="","",SUM('Asset Allocation'!J21))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Allocation'!D22,'Asset Allocation'!E22,'Asset Allocation'!F22,'Asset Allocation'!G22,'Asset Allocation'!H22,'Asset Allocation'!K22))</f>
        <v/>
      </c>
      <c r="C22" t="str">
        <f>IF(A22="","",SUM('Asset Allocation'!I22))</f>
        <v/>
      </c>
      <c r="F22" t="str">
        <f>IF(A22="","",SUM('Asset Allocation'!C22))</f>
        <v/>
      </c>
      <c r="G22" t="str">
        <f>IF(A22="","",SUM('Asset Allocation'!J22))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Allocation'!D23,'Asset Allocation'!E23,'Asset Allocation'!F23,'Asset Allocation'!G23,'Asset Allocation'!H23,'Asset Allocation'!K23))</f>
        <v/>
      </c>
      <c r="C23" t="str">
        <f>IF(A23="","",SUM('Asset Allocation'!I23))</f>
        <v/>
      </c>
      <c r="F23" t="str">
        <f>IF(A23="","",SUM('Asset Allocation'!C23))</f>
        <v/>
      </c>
      <c r="G23" t="str">
        <f>IF(A23="","",SUM('Asset Allocation'!J23))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Allocation'!D24,'Asset Allocation'!E24,'Asset Allocation'!F24,'Asset Allocation'!G24,'Asset Allocation'!H24,'Asset Allocation'!K24))</f>
        <v/>
      </c>
      <c r="C24" t="str">
        <f>IF(A24="","",SUM('Asset Allocation'!I24))</f>
        <v/>
      </c>
      <c r="F24" t="str">
        <f>IF(A24="","",SUM('Asset Allocation'!C24))</f>
        <v/>
      </c>
      <c r="G24" t="str">
        <f>IF(A24="","",SUM('Asset Allocation'!J24))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Allocation'!D25,'Asset Allocation'!E25,'Asset Allocation'!F25,'Asset Allocation'!G25,'Asset Allocation'!H25,'Asset Allocation'!K25))</f>
        <v/>
      </c>
      <c r="C25" t="str">
        <f>IF(A25="","",SUM('Asset Allocation'!I25))</f>
        <v/>
      </c>
      <c r="F25" t="str">
        <f>IF(A25="","",SUM('Asset Allocation'!C25))</f>
        <v/>
      </c>
      <c r="G25" t="str">
        <f>IF(A25="","",SUM('Asset Allocation'!J25))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Allocation'!D26,'Asset Allocation'!E26,'Asset Allocation'!F26,'Asset Allocation'!G26,'Asset Allocation'!H26,'Asset Allocation'!K26))</f>
        <v/>
      </c>
      <c r="C26" t="str">
        <f>IF(A26="","",SUM('Asset Allocation'!I26))</f>
        <v/>
      </c>
      <c r="F26" t="str">
        <f>IF(A26="","",SUM('Asset Allocation'!C26))</f>
        <v/>
      </c>
      <c r="G26" t="str">
        <f>IF(A26="","",SUM('Asset Allocation'!J26))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Allocation'!D27,'Asset Allocation'!E27,'Asset Allocation'!F27,'Asset Allocation'!G27,'Asset Allocation'!H27,'Asset Allocation'!K27))</f>
        <v/>
      </c>
      <c r="C27" t="str">
        <f>IF(A27="","",SUM('Asset Allocation'!I27))</f>
        <v/>
      </c>
      <c r="F27" t="str">
        <f>IF(A27="","",SUM('Asset Allocation'!C27))</f>
        <v/>
      </c>
      <c r="G27" t="str">
        <f>IF(A27="","",SUM('Asset Allocation'!J27))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Allocation'!D28,'Asset Allocation'!E28,'Asset Allocation'!F28,'Asset Allocation'!G28,'Asset Allocation'!H28,'Asset Allocation'!K28))</f>
        <v/>
      </c>
      <c r="C28" t="str">
        <f>IF(A28="","",SUM('Asset Allocation'!I28))</f>
        <v/>
      </c>
      <c r="F28" t="str">
        <f>IF(A28="","",SUM('Asset Allocation'!C28))</f>
        <v/>
      </c>
      <c r="G28" t="str">
        <f>IF(A28="","",SUM('Asset Allocation'!J28))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Allocation'!D29,'Asset Allocation'!E29,'Asset Allocation'!F29,'Asset Allocation'!G29,'Asset Allocation'!H29,'Asset Allocation'!K29))</f>
        <v/>
      </c>
      <c r="C29" t="str">
        <f>IF(A29="","",SUM('Asset Allocation'!I29))</f>
        <v/>
      </c>
      <c r="F29" t="str">
        <f>IF(A29="","",SUM('Asset Allocation'!C29))</f>
        <v/>
      </c>
      <c r="G29" t="str">
        <f>IF(A29="","",SUM('Asset Allocation'!J29))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Allocation'!D30,'Asset Allocation'!E30,'Asset Allocation'!F30,'Asset Allocation'!G30,'Asset Allocation'!H30,'Asset Allocation'!K30))</f>
        <v/>
      </c>
      <c r="C30" t="str">
        <f>IF(A30="","",SUM('Asset Allocation'!I30))</f>
        <v/>
      </c>
      <c r="F30" t="str">
        <f>IF(A30="","",SUM('Asset Allocation'!C30))</f>
        <v/>
      </c>
      <c r="G30" t="str">
        <f>IF(A30="","",SUM('Asset Allocation'!J30))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Allocation'!D31,'Asset Allocation'!E31,'Asset Allocation'!F31,'Asset Allocation'!G31,'Asset Allocation'!H31,'Asset Allocation'!K31))</f>
        <v/>
      </c>
      <c r="C31" t="str">
        <f>IF(A31="","",SUM('Asset Allocation'!I31))</f>
        <v/>
      </c>
      <c r="F31" t="str">
        <f>IF(A31="","",SUM('Asset Allocation'!C31))</f>
        <v/>
      </c>
      <c r="G31" t="str">
        <f>IF(A31="","",SUM('Asset Allocation'!J31))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Allocation'!D32,'Asset Allocation'!E32,'Asset Allocation'!F32,'Asset Allocation'!G32,'Asset Allocation'!H32,'Asset Allocation'!K32))</f>
        <v/>
      </c>
      <c r="C32" t="str">
        <f>IF(A32="","",SUM('Asset Allocation'!I32))</f>
        <v/>
      </c>
      <c r="F32" t="str">
        <f>IF(A32="","",SUM('Asset Allocation'!C32))</f>
        <v/>
      </c>
      <c r="G32" t="str">
        <f>IF(A32="","",SUM('Asset Allocation'!J32))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Allocation'!D33,'Asset Allocation'!E33,'Asset Allocation'!F33,'Asset Allocation'!G33,'Asset Allocation'!H33,'Asset Allocation'!K33))</f>
        <v/>
      </c>
      <c r="C33" t="str">
        <f>IF(A33="","",SUM('Asset Allocation'!I33))</f>
        <v/>
      </c>
      <c r="F33" t="str">
        <f>IF(A33="","",SUM('Asset Allocation'!C33))</f>
        <v/>
      </c>
      <c r="G33" t="str">
        <f>IF(A33="","",SUM('Asset Allocation'!J33))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Allocation'!D34,'Asset Allocation'!E34,'Asset Allocation'!F34,'Asset Allocation'!G34,'Asset Allocation'!H34,'Asset Allocation'!K34))</f>
        <v/>
      </c>
      <c r="C34" t="str">
        <f>IF(A34="","",SUM('Asset Allocation'!I34))</f>
        <v/>
      </c>
      <c r="F34" t="str">
        <f>IF(A34="","",SUM('Asset Allocation'!C34))</f>
        <v/>
      </c>
      <c r="G34" t="str">
        <f>IF(A34="","",SUM('Asset Allocation'!J34))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Allocation'!D35,'Asset Allocation'!E35,'Asset Allocation'!F35,'Asset Allocation'!G35,'Asset Allocation'!H35,'Asset Allocation'!K35))</f>
        <v/>
      </c>
      <c r="C35" t="str">
        <f>IF(A35="","",SUM('Asset Allocation'!I35))</f>
        <v/>
      </c>
      <c r="F35" t="str">
        <f>IF(A35="","",SUM('Asset Allocation'!C35))</f>
        <v/>
      </c>
      <c r="G35" t="str">
        <f>IF(A35="","",SUM('Asset Allocation'!J35))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Allocation'!D36,'Asset Allocation'!E36,'Asset Allocation'!F36,'Asset Allocation'!G36,'Asset Allocation'!H36,'Asset Allocation'!K36))</f>
        <v/>
      </c>
      <c r="C36" t="str">
        <f>IF(A36="","",SUM('Asset Allocation'!I36))</f>
        <v/>
      </c>
      <c r="F36" t="str">
        <f>IF(A36="","",SUM('Asset Allocation'!C36))</f>
        <v/>
      </c>
      <c r="G36" t="str">
        <f>IF(A36="","",SUM('Asset Allocation'!J36))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Allocation'!D37,'Asset Allocation'!E37,'Asset Allocation'!F37,'Asset Allocation'!G37,'Asset Allocation'!H37,'Asset Allocation'!K37))</f>
        <v/>
      </c>
      <c r="C37" t="str">
        <f>IF(A37="","",SUM('Asset Allocation'!I37))</f>
        <v/>
      </c>
      <c r="F37" t="str">
        <f>IF(A37="","",SUM('Asset Allocation'!C37))</f>
        <v/>
      </c>
      <c r="G37" t="str">
        <f>IF(A37="","",SUM('Asset Allocation'!J37))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Allocation'!D38,'Asset Allocation'!E38,'Asset Allocation'!F38,'Asset Allocation'!G38,'Asset Allocation'!H38,'Asset Allocation'!K38))</f>
        <v/>
      </c>
      <c r="C38" t="str">
        <f>IF(A38="","",SUM('Asset Allocation'!I38))</f>
        <v/>
      </c>
      <c r="F38" t="str">
        <f>IF(A38="","",SUM('Asset Allocation'!C38))</f>
        <v/>
      </c>
      <c r="G38" t="str">
        <f>IF(A38="","",SUM('Asset Allocation'!J38))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Allocation'!D39,'Asset Allocation'!E39,'Asset Allocation'!F39,'Asset Allocation'!G39,'Asset Allocation'!H39,'Asset Allocation'!K39))</f>
        <v/>
      </c>
      <c r="C39" t="str">
        <f>IF(A39="","",SUM('Asset Allocation'!I39))</f>
        <v/>
      </c>
      <c r="F39" t="str">
        <f>IF(A39="","",SUM('Asset Allocation'!C39))</f>
        <v/>
      </c>
      <c r="G39" t="str">
        <f>IF(A39="","",SUM('Asset Allocation'!J39))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Allocation'!D40,'Asset Allocation'!E40,'Asset Allocation'!F40,'Asset Allocation'!G40,'Asset Allocation'!H40,'Asset Allocation'!K40))</f>
        <v/>
      </c>
      <c r="C40" t="str">
        <f>IF(A40="","",SUM('Asset Allocation'!I40))</f>
        <v/>
      </c>
      <c r="F40" t="str">
        <f>IF(A40="","",SUM('Asset Allocation'!C40))</f>
        <v/>
      </c>
      <c r="G40" t="str">
        <f>IF(A40="","",SUM('Asset Allocation'!J40))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Allocation'!D41,'Asset Allocation'!E41,'Asset Allocation'!F41,'Asset Allocation'!G41,'Asset Allocation'!H41,'Asset Allocation'!K41))</f>
        <v/>
      </c>
      <c r="C41" t="str">
        <f>IF(A41="","",SUM('Asset Allocation'!I41))</f>
        <v/>
      </c>
      <c r="F41" t="str">
        <f>IF(A41="","",SUM('Asset Allocation'!C41))</f>
        <v/>
      </c>
      <c r="G41" t="str">
        <f>IF(A41="","",SUM('Asset Allocation'!J41))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Allocation'!D42,'Asset Allocation'!E42,'Asset Allocation'!F42,'Asset Allocation'!G42,'Asset Allocation'!H42,'Asset Allocation'!K42))</f>
        <v/>
      </c>
      <c r="C42" t="str">
        <f>IF(A42="","",SUM('Asset Allocation'!I42))</f>
        <v/>
      </c>
      <c r="F42" t="str">
        <f>IF(A42="","",SUM('Asset Allocation'!C42))</f>
        <v/>
      </c>
      <c r="G42" t="str">
        <f>IF(A42="","",SUM('Asset Allocation'!J42))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Allocation'!D43,'Asset Allocation'!E43,'Asset Allocation'!F43,'Asset Allocation'!G43,'Asset Allocation'!H43,'Asset Allocation'!K43))</f>
        <v/>
      </c>
      <c r="C43" t="str">
        <f>IF(A43="","",SUM('Asset Allocation'!I43))</f>
        <v/>
      </c>
      <c r="F43" t="str">
        <f>IF(A43="","",SUM('Asset Allocation'!C43))</f>
        <v/>
      </c>
      <c r="G43" t="str">
        <f>IF(A43="","",SUM('Asset Allocation'!J43))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Allocation'!D44,'Asset Allocation'!E44,'Asset Allocation'!F44,'Asset Allocation'!G44,'Asset Allocation'!H44,'Asset Allocation'!K44))</f>
        <v/>
      </c>
      <c r="C44" t="str">
        <f>IF(A44="","",SUM('Asset Allocation'!I44))</f>
        <v/>
      </c>
      <c r="F44" t="str">
        <f>IF(A44="","",SUM('Asset Allocation'!C44))</f>
        <v/>
      </c>
      <c r="G44" t="str">
        <f>IF(A44="","",SUM('Asset Allocation'!J44))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Allocation'!D45,'Asset Allocation'!E45,'Asset Allocation'!F45,'Asset Allocation'!G45,'Asset Allocation'!H45,'Asset Allocation'!K45))</f>
        <v/>
      </c>
      <c r="C45" t="str">
        <f>IF(A45="","",SUM('Asset Allocation'!I45))</f>
        <v/>
      </c>
      <c r="F45" t="str">
        <f>IF(A45="","",SUM('Asset Allocation'!C45))</f>
        <v/>
      </c>
      <c r="G45" t="str">
        <f>IF(A45="","",SUM('Asset Allocation'!J45))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Allocation'!D46,'Asset Allocation'!E46,'Asset Allocation'!F46,'Asset Allocation'!G46,'Asset Allocation'!H46,'Asset Allocation'!K46))</f>
        <v/>
      </c>
      <c r="C46" t="str">
        <f>IF(A46="","",SUM('Asset Allocation'!I46))</f>
        <v/>
      </c>
      <c r="F46" t="str">
        <f>IF(A46="","",SUM('Asset Allocation'!C46))</f>
        <v/>
      </c>
      <c r="G46" t="str">
        <f>IF(A46="","",SUM('Asset Allocation'!J46))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Allocation'!D47,'Asset Allocation'!E47,'Asset Allocation'!F47,'Asset Allocation'!G47,'Asset Allocation'!H47,'Asset Allocation'!K47))</f>
        <v/>
      </c>
      <c r="C47" t="str">
        <f>IF(A47="","",SUM('Asset Allocation'!I47))</f>
        <v/>
      </c>
      <c r="F47" t="str">
        <f>IF(A47="","",SUM('Asset Allocation'!C47))</f>
        <v/>
      </c>
      <c r="G47" t="str">
        <f>IF(A47="","",SUM('Asset Allocation'!J47))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Allocation'!D48,'Asset Allocation'!E48,'Asset Allocation'!F48,'Asset Allocation'!G48,'Asset Allocation'!H48,'Asset Allocation'!K48))</f>
        <v/>
      </c>
      <c r="C48" t="str">
        <f>IF(A48="","",SUM('Asset Allocation'!I48))</f>
        <v/>
      </c>
      <c r="F48" t="str">
        <f>IF(A48="","",SUM('Asset Allocation'!C48))</f>
        <v/>
      </c>
      <c r="G48" t="str">
        <f>IF(A48="","",SUM('Asset Allocation'!J48))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Allocation'!D49,'Asset Allocation'!E49,'Asset Allocation'!F49,'Asset Allocation'!G49,'Asset Allocation'!H49,'Asset Allocation'!K49))</f>
        <v/>
      </c>
      <c r="C49" t="str">
        <f>IF(A49="","",SUM('Asset Allocation'!I49))</f>
        <v/>
      </c>
      <c r="F49" t="str">
        <f>IF(A49="","",SUM('Asset Allocation'!C49))</f>
        <v/>
      </c>
      <c r="G49" t="str">
        <f>IF(A49="","",SUM('Asset Allocation'!J49))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Allocation'!D50,'Asset Allocation'!E50,'Asset Allocation'!F50,'Asset Allocation'!G50,'Asset Allocation'!H50,'Asset Allocation'!K50))</f>
        <v/>
      </c>
      <c r="C50" t="str">
        <f>IF(A50="","",SUM('Asset Allocation'!I50))</f>
        <v/>
      </c>
      <c r="F50" t="str">
        <f>IF(A50="","",SUM('Asset Allocation'!C50))</f>
        <v/>
      </c>
      <c r="G50" t="str">
        <f>IF(A50="","",SUM('Asset Allocation'!J50))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RBC Brewin Dolphin MPS Cautious</v>
      </c>
      <c r="B2">
        <f>IFERROR(IF(A2="","",SUM('Asset Allocation'!K2)/'Broad Asset Allocation'!B2),0)</f>
        <v>0</v>
      </c>
      <c r="C2">
        <f>IFERROR(IF(A2="","",SUM('Asset Allocation'!D2)/'Broad Asset Allocation'!B2),0)</f>
        <v>0</v>
      </c>
      <c r="D2">
        <f>IFERROR(IF(A2="","",SUM('Asset Allocation'!F2)/'Broad Asset Allocation'!B2),0)</f>
        <v>0</v>
      </c>
      <c r="E2">
        <f>IFERROR(IF(A2="","",SUM('Asset Allocation'!G2)/'Broad Asset Allocation'!B2),0)</f>
        <v>0</v>
      </c>
      <c r="G2">
        <f>IFERROR(IF(A2="","",SUM('Asset Allocation'!E2,'Asset Allocation'!H2)/'Broad Asset Allocation'!B2),0)</f>
        <v>0</v>
      </c>
    </row>
    <row r="3" spans="1:8" x14ac:dyDescent="0.25">
      <c r="A3" t="str">
        <f>IF(Input!A4="","",Input!A4)</f>
        <v>RBC Brewin Dolphin MPS Cautious Higher Equity</v>
      </c>
      <c r="B3">
        <f>IFERROR(IF(A3="","",SUM('Asset Allocation'!K3)/'Broad Asset Allocation'!B3),0)</f>
        <v>0</v>
      </c>
      <c r="C3">
        <f>IFERROR(IF(A3="","",SUM('Asset Allocation'!D3)/'Broad Asset Allocation'!B3),0)</f>
        <v>0</v>
      </c>
      <c r="D3">
        <f>IFERROR(IF(A3="","",SUM('Asset Allocation'!F3)/'Broad Asset Allocation'!B3),0)</f>
        <v>0</v>
      </c>
      <c r="E3">
        <f>IFERROR(IF(A3="","",SUM('Asset Allocation'!G3)/'Broad Asset Allocation'!B3),0)</f>
        <v>0</v>
      </c>
      <c r="G3">
        <f>IFERROR(IF(A3="","",SUM('Asset Allocation'!E3,'Asset Allocation'!H3)/'Broad Asset Allocation'!B3),0)</f>
        <v>0</v>
      </c>
    </row>
    <row r="4" spans="1:8" x14ac:dyDescent="0.25">
      <c r="A4" t="str">
        <f>IF(Input!A5="","",Input!A5)</f>
        <v>RBC Brewin Dolphin MPS Income</v>
      </c>
      <c r="B4">
        <f>IFERROR(IF(A4="","",SUM('Asset Allocation'!K4)/'Broad Asset Allocation'!B4),0)</f>
        <v>0</v>
      </c>
      <c r="C4">
        <f>IFERROR(IF(A4="","",SUM('Asset Allocation'!D4)/'Broad Asset Allocation'!B4),0)</f>
        <v>0</v>
      </c>
      <c r="D4">
        <f>IFERROR(IF(A4="","",SUM('Asset Allocation'!F4)/'Broad Asset Allocation'!B4),0)</f>
        <v>0</v>
      </c>
      <c r="E4">
        <f>IFERROR(IF(A4="","",SUM('Asset Allocation'!G4)/'Broad Asset Allocation'!B4),0)</f>
        <v>0</v>
      </c>
      <c r="G4">
        <f>IFERROR(IF(A4="","",SUM('Asset Allocation'!E4,'Asset Allocation'!H4)/'Broad Asset Allocation'!B4),0)</f>
        <v>0</v>
      </c>
    </row>
    <row r="5" spans="1:8" x14ac:dyDescent="0.25">
      <c r="A5" t="str">
        <f>IF(Input!A6="","",Input!A6)</f>
        <v>RBC Brewin Dolphin MPS Income Higher Equity</v>
      </c>
      <c r="B5">
        <f>IFERROR(IF(A5="","",SUM('Asset Allocation'!K5)/'Broad Asset Allocation'!B5),0)</f>
        <v>0</v>
      </c>
      <c r="C5">
        <f>IFERROR(IF(A5="","",SUM('Asset Allocation'!D5)/'Broad Asset Allocation'!B5),0)</f>
        <v>0</v>
      </c>
      <c r="D5">
        <f>IFERROR(IF(A5="","",SUM('Asset Allocation'!F5)/'Broad Asset Allocation'!B5),0)</f>
        <v>0</v>
      </c>
      <c r="E5">
        <f>IFERROR(IF(A5="","",SUM('Asset Allocation'!G5)/'Broad Asset Allocation'!B5),0)</f>
        <v>0</v>
      </c>
      <c r="G5">
        <f>IFERROR(IF(A5="","",SUM('Asset Allocation'!E5,'Asset Allocation'!H5)/'Broad Asset Allocation'!B5),0)</f>
        <v>0</v>
      </c>
    </row>
    <row r="6" spans="1:8" x14ac:dyDescent="0.25">
      <c r="A6" t="str">
        <f>IF(Input!A7="","",Input!A7)</f>
        <v>RBC Brewin Dolphin MPS Balanced</v>
      </c>
      <c r="B6">
        <f>IFERROR(IF(A6="","",SUM('Asset Allocation'!K6)/'Broad Asset Allocation'!B6),0)</f>
        <v>0</v>
      </c>
      <c r="C6">
        <f>IFERROR(IF(A6="","",SUM('Asset Allocation'!D6)/'Broad Asset Allocation'!B6),0)</f>
        <v>0</v>
      </c>
      <c r="D6">
        <f>IFERROR(IF(A6="","",SUM('Asset Allocation'!F6)/'Broad Asset Allocation'!B6),0)</f>
        <v>0</v>
      </c>
      <c r="E6">
        <f>IFERROR(IF(A6="","",SUM('Asset Allocation'!G6)/'Broad Asset Allocation'!B6),0)</f>
        <v>0</v>
      </c>
      <c r="G6">
        <f>IFERROR(IF(A6="","",SUM('Asset Allocation'!E6,'Asset Allocation'!H6)/'Broad Asset Allocation'!B6),0)</f>
        <v>0</v>
      </c>
    </row>
    <row r="7" spans="1:8" x14ac:dyDescent="0.25">
      <c r="A7" t="str">
        <f>IF(Input!A8="","",Input!A8)</f>
        <v>RBC Brewin Dolphin MPS Growth</v>
      </c>
      <c r="B7">
        <f>IFERROR(IF(A7="","",SUM('Asset Allocation'!K7)/'Broad Asset Allocation'!B7),0)</f>
        <v>0</v>
      </c>
      <c r="C7">
        <f>IFERROR(IF(A7="","",SUM('Asset Allocation'!D7)/'Broad Asset Allocation'!B7),0)</f>
        <v>0</v>
      </c>
      <c r="D7">
        <f>IFERROR(IF(A7="","",SUM('Asset Allocation'!F7)/'Broad Asset Allocation'!B7),0)</f>
        <v>0</v>
      </c>
      <c r="E7">
        <f>IFERROR(IF(A7="","",SUM('Asset Allocation'!G7)/'Broad Asset Allocation'!B7),0)</f>
        <v>0</v>
      </c>
      <c r="G7">
        <f>IFERROR(IF(A7="","",SUM('Asset Allocation'!E7,'Asset Allocation'!H7)/'Broad Asset Allocation'!B7),0)</f>
        <v>0</v>
      </c>
    </row>
    <row r="8" spans="1:8" x14ac:dyDescent="0.25">
      <c r="A8" t="str">
        <f>IF(Input!A9="","",Input!A9)</f>
        <v>RBC Brewin Dolphin MPS Global Equity</v>
      </c>
      <c r="B8">
        <f>IFERROR(IF(A8="","",SUM('Asset Allocation'!K8)/'Broad Asset Allocation'!B8),0)</f>
        <v>0</v>
      </c>
      <c r="C8">
        <f>IFERROR(IF(A8="","",SUM('Asset Allocation'!D8)/'Broad Asset Allocation'!B8),0)</f>
        <v>0</v>
      </c>
      <c r="D8">
        <f>IFERROR(IF(A8="","",SUM('Asset Allocation'!F8)/'Broad Asset Allocation'!B8),0)</f>
        <v>0</v>
      </c>
      <c r="E8">
        <f>IFERROR(IF(A8="","",SUM('Asset Allocation'!G8)/'Broad Asset Allocation'!B8),0)</f>
        <v>0</v>
      </c>
      <c r="G8">
        <f>IFERROR(IF(A8="","",SUM('Asset Allocation'!E8,'Asset Allocation'!H8)/'Broad Asset Allocation'!B8),0)</f>
        <v>0</v>
      </c>
    </row>
    <row r="9" spans="1:8" x14ac:dyDescent="0.25">
      <c r="A9" t="str">
        <f>IF(Input!A10="","",Input!A10)</f>
        <v>RBC Brewin Dolphin Passive Plus MPS Cautious</v>
      </c>
      <c r="B9">
        <f>IFERROR(IF(A9="","",SUM('Asset Allocation'!K9)/'Broad Asset Allocation'!B9),0)</f>
        <v>0</v>
      </c>
      <c r="C9">
        <f>IFERROR(IF(A9="","",SUM('Asset Allocation'!D9)/'Broad Asset Allocation'!B9),0)</f>
        <v>0</v>
      </c>
      <c r="D9">
        <f>IFERROR(IF(A9="","",SUM('Asset Allocation'!F9)/'Broad Asset Allocation'!B9),0)</f>
        <v>0</v>
      </c>
      <c r="E9">
        <f>IFERROR(IF(A9="","",SUM('Asset Allocation'!G9)/'Broad Asset Allocation'!B9),0)</f>
        <v>0</v>
      </c>
      <c r="G9">
        <f>IFERROR(IF(A9="","",SUM('Asset Allocation'!E9,'Asset Allocation'!H9)/'Broad Asset Allocation'!B9),0)</f>
        <v>0</v>
      </c>
    </row>
    <row r="10" spans="1:8" x14ac:dyDescent="0.25">
      <c r="A10" t="str">
        <f>IF(Input!A11="","",Input!A11)</f>
        <v>RBC Brewin Dolphin Passive Plus MPS Cautious Higher Equity</v>
      </c>
      <c r="B10">
        <f>IFERROR(IF(A10="","",SUM('Asset Allocation'!K10)/'Broad Asset Allocation'!B10),0)</f>
        <v>0</v>
      </c>
      <c r="C10">
        <f>IFERROR(IF(A10="","",SUM('Asset Allocation'!D10)/'Broad Asset Allocation'!B10),0)</f>
        <v>0</v>
      </c>
      <c r="D10">
        <f>IFERROR(IF(A10="","",SUM('Asset Allocation'!F10)/'Broad Asset Allocation'!B10),0)</f>
        <v>0</v>
      </c>
      <c r="E10">
        <f>IFERROR(IF(A10="","",SUM('Asset Allocation'!G10)/'Broad Asset Allocation'!B10),0)</f>
        <v>0</v>
      </c>
      <c r="G10">
        <f>IFERROR(IF(A10="","",SUM('Asset Allocation'!E10,'Asset Allocation'!H10)/'Broad Asset Allocation'!B10),0)</f>
        <v>0</v>
      </c>
    </row>
    <row r="11" spans="1:8" x14ac:dyDescent="0.25">
      <c r="A11" t="str">
        <f>IF(Input!A12="","",Input!A12)</f>
        <v>RBC Brewin Dolphin Passive Plus MPS Income</v>
      </c>
      <c r="B11">
        <f>IFERROR(IF(A11="","",SUM('Asset Allocation'!K11)/'Broad Asset Allocation'!B11),0)</f>
        <v>0</v>
      </c>
      <c r="C11">
        <f>IFERROR(IF(A11="","",SUM('Asset Allocation'!D11)/'Broad Asset Allocation'!B11),0)</f>
        <v>0</v>
      </c>
      <c r="D11">
        <f>IFERROR(IF(A11="","",SUM('Asset Allocation'!F11)/'Broad Asset Allocation'!B11),0)</f>
        <v>0</v>
      </c>
      <c r="E11">
        <f>IFERROR(IF(A11="","",SUM('Asset Allocation'!G11)/'Broad Asset Allocation'!B11),0)</f>
        <v>0</v>
      </c>
      <c r="G11">
        <f>IFERROR(IF(A11="","",SUM('Asset Allocation'!E11,'Asset Allocation'!H11)/'Broad Asset Allocation'!B11),0)</f>
        <v>0</v>
      </c>
    </row>
    <row r="12" spans="1:8" x14ac:dyDescent="0.25">
      <c r="A12" t="str">
        <f>IF(Input!A13="","",Input!A13)</f>
        <v>RBC Brewin Dolphin Passive Plus MPS Income Higher Equity</v>
      </c>
      <c r="B12">
        <f>IFERROR(IF(A12="","",SUM('Asset Allocation'!K12)/'Broad Asset Allocation'!B12),0)</f>
        <v>0</v>
      </c>
      <c r="C12">
        <f>IFERROR(IF(A12="","",SUM('Asset Allocation'!D12)/'Broad Asset Allocation'!B12),0)</f>
        <v>0</v>
      </c>
      <c r="D12">
        <f>IFERROR(IF(A12="","",SUM('Asset Allocation'!F12)/'Broad Asset Allocation'!B12),0)</f>
        <v>0</v>
      </c>
      <c r="E12">
        <f>IFERROR(IF(A12="","",SUM('Asset Allocation'!G12)/'Broad Asset Allocation'!B12),0)</f>
        <v>0</v>
      </c>
      <c r="G12">
        <f>IFERROR(IF(A12="","",SUM('Asset Allocation'!E12,'Asset Allocation'!H12)/'Broad Asset Allocation'!B12),0)</f>
        <v>0</v>
      </c>
    </row>
    <row r="13" spans="1:8" x14ac:dyDescent="0.25">
      <c r="A13" t="str">
        <f>IF(Input!A14="","",Input!A14)</f>
        <v>RBC Brewin Dolphin Passive Plus MPS Balanced</v>
      </c>
      <c r="B13">
        <f>IFERROR(IF(A13="","",SUM('Asset Allocation'!K13)/'Broad Asset Allocation'!B13),0)</f>
        <v>0</v>
      </c>
      <c r="C13">
        <f>IFERROR(IF(A13="","",SUM('Asset Allocation'!D13)/'Broad Asset Allocation'!B13),0)</f>
        <v>0</v>
      </c>
      <c r="D13">
        <f>IFERROR(IF(A13="","",SUM('Asset Allocation'!F13)/'Broad Asset Allocation'!B13),0)</f>
        <v>0</v>
      </c>
      <c r="E13">
        <f>IFERROR(IF(A13="","",SUM('Asset Allocation'!G13)/'Broad Asset Allocation'!B13),0)</f>
        <v>0</v>
      </c>
      <c r="G13">
        <f>IFERROR(IF(A13="","",SUM('Asset Allocation'!E13,'Asset Allocation'!H13)/'Broad Asset Allocation'!B13),0)</f>
        <v>0</v>
      </c>
    </row>
    <row r="14" spans="1:8" x14ac:dyDescent="0.25">
      <c r="A14" t="str">
        <f>IF(Input!A15="","",Input!A15)</f>
        <v>RBC Brewin Dolphin Passive Plus MPS Growth</v>
      </c>
      <c r="B14">
        <f>IFERROR(IF(A14="","",SUM('Asset Allocation'!K14)/'Broad Asset Allocation'!B14),0)</f>
        <v>0</v>
      </c>
      <c r="C14">
        <f>IFERROR(IF(A14="","",SUM('Asset Allocation'!D14)/'Broad Asset Allocation'!B14),0)</f>
        <v>0</v>
      </c>
      <c r="D14">
        <f>IFERROR(IF(A14="","",SUM('Asset Allocation'!F14)/'Broad Asset Allocation'!B14),0)</f>
        <v>0</v>
      </c>
      <c r="E14">
        <f>IFERROR(IF(A14="","",SUM('Asset Allocation'!G14)/'Broad Asset Allocation'!B14),0)</f>
        <v>0</v>
      </c>
      <c r="G14">
        <f>IFERROR(IF(A14="","",SUM('Asset Allocation'!E14,'Asset Allocation'!H14)/'Broad Asset Allocation'!B14),0)</f>
        <v>0</v>
      </c>
    </row>
    <row r="15" spans="1:8" x14ac:dyDescent="0.25">
      <c r="A15" t="str">
        <f>IF(Input!A16="","",Input!A16)</f>
        <v>RBC Brewin Dolphin Passive Plus MPS Global Equity</v>
      </c>
      <c r="B15">
        <f>IFERROR(IF(A15="","",SUM('Asset Allocation'!K15)/'Broad Asset Allocation'!B15),0)</f>
        <v>0</v>
      </c>
      <c r="C15">
        <f>IFERROR(IF(A15="","",SUM('Asset Allocation'!D15)/'Broad Asset Allocation'!B15),0)</f>
        <v>0</v>
      </c>
      <c r="D15">
        <f>IFERROR(IF(A15="","",SUM('Asset Allocation'!F15)/'Broad Asset Allocation'!B15),0)</f>
        <v>0</v>
      </c>
      <c r="E15">
        <f>IFERROR(IF(A15="","",SUM('Asset Allocation'!G15)/'Broad Asset Allocation'!B15),0)</f>
        <v>0</v>
      </c>
      <c r="G15">
        <f>IFERROR(IF(A15="","",SUM('Asset Allocation'!E15,'Asset Allocation'!H15)/'Broad Asset Allocation'!B15),0)</f>
        <v>0</v>
      </c>
    </row>
    <row r="16" spans="1:8" x14ac:dyDescent="0.25">
      <c r="A16" t="str">
        <f>IF(Input!A17="","",Input!A17)</f>
        <v/>
      </c>
      <c r="B16" t="str">
        <f>IFERROR(IF(A16="","",SUM('Asset Allocation'!K16)/'Broad Asset Allocation'!B16),0)</f>
        <v/>
      </c>
      <c r="C16" t="str">
        <f>IFERROR(IF(A16="","",SUM('Asset Allocation'!D16)/'Broad Asset Allocation'!B16),0)</f>
        <v/>
      </c>
      <c r="D16" t="str">
        <f>IFERROR(IF(A16="","",SUM('Asset Allocation'!F16)/'Broad Asset Allocation'!B16),0)</f>
        <v/>
      </c>
      <c r="E16" t="str">
        <f>IFERROR(IF(A16="","",SUM('Asset Allocation'!G16)/'Broad Asset Allocation'!B16),0)</f>
        <v/>
      </c>
      <c r="G16" t="str">
        <f>IFERROR(IF(A16="","",SUM('Asset Allocation'!E16,'Asset Allocation'!H16)/'Broad Asset Allocation'!B16),0)</f>
        <v/>
      </c>
    </row>
    <row r="17" spans="1:7" x14ac:dyDescent="0.25">
      <c r="A17" t="str">
        <f>IF(Input!A18="","",Input!A18)</f>
        <v/>
      </c>
      <c r="B17" t="str">
        <f>IFERROR(IF(A17="","",SUM('Asset Allocation'!K17)/'Broad Asset Allocation'!B17),0)</f>
        <v/>
      </c>
      <c r="C17" t="str">
        <f>IFERROR(IF(A17="","",SUM('Asset Allocation'!D17)/'Broad Asset Allocation'!B17),0)</f>
        <v/>
      </c>
      <c r="D17" t="str">
        <f>IFERROR(IF(A17="","",SUM('Asset Allocation'!F17)/'Broad Asset Allocation'!B17),0)</f>
        <v/>
      </c>
      <c r="E17" t="str">
        <f>IFERROR(IF(A17="","",SUM('Asset Allocation'!G17)/'Broad Asset Allocation'!B17),0)</f>
        <v/>
      </c>
      <c r="G17" t="str">
        <f>IFERROR(IF(A17="","",SUM('Asset Allocation'!E17,'Asset Allocation'!H17)/'Broad Asset Allocation'!B17),0)</f>
        <v/>
      </c>
    </row>
    <row r="18" spans="1:7" x14ac:dyDescent="0.25">
      <c r="A18" t="str">
        <f>IF(Input!A19="","",Input!A19)</f>
        <v/>
      </c>
      <c r="B18" t="str">
        <f>IFERROR(IF(A18="","",SUM('Asset Allocation'!K18)/'Broad Asset Allocation'!B18),0)</f>
        <v/>
      </c>
      <c r="C18" t="str">
        <f>IFERROR(IF(A18="","",SUM('Asset Allocation'!D18)/'Broad Asset Allocation'!B18),0)</f>
        <v/>
      </c>
      <c r="D18" t="str">
        <f>IFERROR(IF(A18="","",SUM('Asset Allocation'!F18)/'Broad Asset Allocation'!B18),0)</f>
        <v/>
      </c>
      <c r="E18" t="str">
        <f>IFERROR(IF(A18="","",SUM('Asset Allocation'!G18)/'Broad Asset Allocation'!B18),0)</f>
        <v/>
      </c>
      <c r="G18" t="str">
        <f>IFERROR(IF(A18="","",SUM('Asset Allocation'!E18,'Asset Allocation'!H18)/'Broad Asset Allocation'!B18),0)</f>
        <v/>
      </c>
    </row>
    <row r="19" spans="1:7" x14ac:dyDescent="0.25">
      <c r="A19" t="str">
        <f>IF(Input!A20="","",Input!A20)</f>
        <v/>
      </c>
      <c r="B19" t="str">
        <f>IFERROR(IF(A19="","",SUM('Asset Allocation'!K19)/'Broad Asset Allocation'!B19),0)</f>
        <v/>
      </c>
      <c r="C19" t="str">
        <f>IFERROR(IF(A19="","",SUM('Asset Allocation'!D19)/'Broad Asset Allocation'!B19),0)</f>
        <v/>
      </c>
      <c r="D19" t="str">
        <f>IFERROR(IF(A19="","",SUM('Asset Allocation'!F19)/'Broad Asset Allocation'!B19),0)</f>
        <v/>
      </c>
      <c r="E19" t="str">
        <f>IFERROR(IF(A19="","",SUM('Asset Allocation'!G19)/'Broad Asset Allocation'!B19),0)</f>
        <v/>
      </c>
      <c r="G19" t="str">
        <f>IFERROR(IF(A19="","",SUM('Asset Allocation'!E19,'Asset Allocation'!H19)/'Broad Asset Allocation'!B19),0)</f>
        <v/>
      </c>
    </row>
    <row r="20" spans="1:7" x14ac:dyDescent="0.25">
      <c r="A20" t="str">
        <f>IF(Input!A21="","",Input!A21)</f>
        <v/>
      </c>
      <c r="B20" t="str">
        <f>IFERROR(IF(A20="","",SUM('Asset Allocation'!K20)/'Broad Asset Allocation'!B20),0)</f>
        <v/>
      </c>
      <c r="C20" t="str">
        <f>IFERROR(IF(A20="","",SUM('Asset Allocation'!D20)/'Broad Asset Allocation'!B20),0)</f>
        <v/>
      </c>
      <c r="D20" t="str">
        <f>IFERROR(IF(A20="","",SUM('Asset Allocation'!F20)/'Broad Asset Allocation'!B20),0)</f>
        <v/>
      </c>
      <c r="E20" t="str">
        <f>IFERROR(IF(A20="","",SUM('Asset Allocation'!G20)/'Broad Asset Allocation'!B20),0)</f>
        <v/>
      </c>
      <c r="G20" t="str">
        <f>IFERROR(IF(A20="","",SUM('Asset Allocation'!E20,'Asset Allocation'!H20)/'Broad Asset Allocation'!B20),0)</f>
        <v/>
      </c>
    </row>
    <row r="21" spans="1:7" x14ac:dyDescent="0.25">
      <c r="A21" t="str">
        <f>IF(Input!A22="","",Input!A22)</f>
        <v/>
      </c>
      <c r="B21" t="str">
        <f>IFERROR(IF(A21="","",SUM('Asset Allocation'!K21)/'Broad Asset Allocation'!B21),0)</f>
        <v/>
      </c>
      <c r="C21" t="str">
        <f>IFERROR(IF(A21="","",SUM('Asset Allocation'!D21)/'Broad Asset Allocation'!B21),0)</f>
        <v/>
      </c>
      <c r="D21" t="str">
        <f>IFERROR(IF(A21="","",SUM('Asset Allocation'!F21)/'Broad Asset Allocation'!B21),0)</f>
        <v/>
      </c>
      <c r="E21" t="str">
        <f>IFERROR(IF(A21="","",SUM('Asset Allocation'!G21)/'Broad Asset Allocation'!B21),0)</f>
        <v/>
      </c>
      <c r="G21" t="str">
        <f>IFERROR(IF(A21="","",SUM('Asset Allocation'!E21,'Asset Allocation'!H21)/'Broad Asset Allocation'!B21),0)</f>
        <v/>
      </c>
    </row>
    <row r="22" spans="1:7" x14ac:dyDescent="0.25">
      <c r="A22" t="str">
        <f>IF(Input!A23="","",Input!A23)</f>
        <v/>
      </c>
      <c r="B22" t="str">
        <f>IFERROR(IF(A22="","",SUM('Asset Allocation'!K22)/'Broad Asset Allocation'!B22),0)</f>
        <v/>
      </c>
      <c r="C22" t="str">
        <f>IFERROR(IF(A22="","",SUM('Asset Allocation'!D22)/'Broad Asset Allocation'!B22),0)</f>
        <v/>
      </c>
      <c r="D22" t="str">
        <f>IFERROR(IF(A22="","",SUM('Asset Allocation'!F22)/'Broad Asset Allocation'!B22),0)</f>
        <v/>
      </c>
      <c r="E22" t="str">
        <f>IFERROR(IF(A22="","",SUM('Asset Allocation'!G22)/'Broad Asset Allocation'!B22),0)</f>
        <v/>
      </c>
      <c r="G22" t="str">
        <f>IFERROR(IF(A22="","",SUM('Asset Allocation'!E22,'Asset Allocation'!H22)/'Broad Asset Allocation'!B22),0)</f>
        <v/>
      </c>
    </row>
    <row r="23" spans="1:7" x14ac:dyDescent="0.25">
      <c r="A23" t="str">
        <f>IF(Input!A24="","",Input!A24)</f>
        <v/>
      </c>
      <c r="B23" t="str">
        <f>IFERROR(IF(A23="","",SUM('Asset Allocation'!K23)/'Broad Asset Allocation'!B23),0)</f>
        <v/>
      </c>
      <c r="C23" t="str">
        <f>IFERROR(IF(A23="","",SUM('Asset Allocation'!D23)/'Broad Asset Allocation'!B23),0)</f>
        <v/>
      </c>
      <c r="D23" t="str">
        <f>IFERROR(IF(A23="","",SUM('Asset Allocation'!F23)/'Broad Asset Allocation'!B23),0)</f>
        <v/>
      </c>
      <c r="E23" t="str">
        <f>IFERROR(IF(A23="","",SUM('Asset Allocation'!G23)/'Broad Asset Allocation'!B23),0)</f>
        <v/>
      </c>
      <c r="G23" t="str">
        <f>IFERROR(IF(A23="","",SUM('Asset Allocation'!E23,'Asset Allocation'!H23)/'Broad Asset Allocation'!B23),0)</f>
        <v/>
      </c>
    </row>
    <row r="24" spans="1:7" x14ac:dyDescent="0.25">
      <c r="A24" t="str">
        <f>IF(Input!A25="","",Input!A25)</f>
        <v/>
      </c>
      <c r="B24" t="str">
        <f>IFERROR(IF(A24="","",SUM('Asset Allocation'!K24)/'Broad Asset Allocation'!B24),0)</f>
        <v/>
      </c>
      <c r="C24" t="str">
        <f>IFERROR(IF(A24="","",SUM('Asset Allocation'!D24)/'Broad Asset Allocation'!B24),0)</f>
        <v/>
      </c>
      <c r="D24" t="str">
        <f>IFERROR(IF(A24="","",SUM('Asset Allocation'!F24)/'Broad Asset Allocation'!B24),0)</f>
        <v/>
      </c>
      <c r="E24" t="str">
        <f>IFERROR(IF(A24="","",SUM('Asset Allocation'!G24)/'Broad Asset Allocation'!B24),0)</f>
        <v/>
      </c>
      <c r="G24" t="str">
        <f>IFERROR(IF(A24="","",SUM('Asset Allocation'!E24,'Asset Allocation'!H24)/'Broad Asset Allocation'!B24),0)</f>
        <v/>
      </c>
    </row>
    <row r="25" spans="1:7" x14ac:dyDescent="0.25">
      <c r="A25" t="str">
        <f>IF(Input!A26="","",Input!A26)</f>
        <v/>
      </c>
      <c r="B25" t="str">
        <f>IFERROR(IF(A25="","",SUM('Asset Allocation'!K25)/'Broad Asset Allocation'!B25),0)</f>
        <v/>
      </c>
      <c r="C25" t="str">
        <f>IFERROR(IF(A25="","",SUM('Asset Allocation'!D25)/'Broad Asset Allocation'!B25),0)</f>
        <v/>
      </c>
      <c r="D25" t="str">
        <f>IFERROR(IF(A25="","",SUM('Asset Allocation'!F25)/'Broad Asset Allocation'!B25),0)</f>
        <v/>
      </c>
      <c r="E25" t="str">
        <f>IFERROR(IF(A25="","",SUM('Asset Allocation'!G25)/'Broad Asset Allocation'!B25),0)</f>
        <v/>
      </c>
      <c r="G25" t="str">
        <f>IFERROR(IF(A25="","",SUM('Asset Allocation'!E25,'Asset Allocation'!H25)/'Broad Asset Allocation'!B25),0)</f>
        <v/>
      </c>
    </row>
    <row r="26" spans="1:7" x14ac:dyDescent="0.25">
      <c r="A26" t="str">
        <f>IF(Input!A27="","",Input!A27)</f>
        <v/>
      </c>
      <c r="B26" t="str">
        <f>IFERROR(IF(A26="","",SUM('Asset Allocation'!K26)/'Broad Asset Allocation'!B26),0)</f>
        <v/>
      </c>
      <c r="C26" t="str">
        <f>IFERROR(IF(A26="","",SUM('Asset Allocation'!D26)/'Broad Asset Allocation'!B26),0)</f>
        <v/>
      </c>
      <c r="D26" t="str">
        <f>IFERROR(IF(A26="","",SUM('Asset Allocation'!F26)/'Broad Asset Allocation'!B26),0)</f>
        <v/>
      </c>
      <c r="E26" t="str">
        <f>IFERROR(IF(A26="","",SUM('Asset Allocation'!G26)/'Broad Asset Allocation'!B26),0)</f>
        <v/>
      </c>
      <c r="G26" t="str">
        <f>IFERROR(IF(A26="","",SUM('Asset Allocation'!E26,'Asset Allocation'!H26)/'Broad Asset Allocation'!B26),0)</f>
        <v/>
      </c>
    </row>
    <row r="27" spans="1:7" x14ac:dyDescent="0.25">
      <c r="A27" t="str">
        <f>IF(Input!A28="","",Input!A28)</f>
        <v/>
      </c>
      <c r="B27" t="str">
        <f>IFERROR(IF(A27="","",SUM('Asset Allocation'!K27)/'Broad Asset Allocation'!B27),0)</f>
        <v/>
      </c>
      <c r="C27" t="str">
        <f>IFERROR(IF(A27="","",SUM('Asset Allocation'!D27)/'Broad Asset Allocation'!B27),0)</f>
        <v/>
      </c>
      <c r="D27" t="str">
        <f>IFERROR(IF(A27="","",SUM('Asset Allocation'!F27)/'Broad Asset Allocation'!B27),0)</f>
        <v/>
      </c>
      <c r="E27" t="str">
        <f>IFERROR(IF(A27="","",SUM('Asset Allocation'!G27)/'Broad Asset Allocation'!B27),0)</f>
        <v/>
      </c>
      <c r="G27" t="str">
        <f>IFERROR(IF(A27="","",SUM('Asset Allocation'!E27,'Asset Allocation'!H27)/'Broad Asset Allocation'!B27),0)</f>
        <v/>
      </c>
    </row>
    <row r="28" spans="1:7" x14ac:dyDescent="0.25">
      <c r="A28" t="str">
        <f>IF(Input!A29="","",Input!A29)</f>
        <v/>
      </c>
      <c r="B28" t="str">
        <f>IFERROR(IF(A28="","",SUM('Asset Allocation'!K28)/'Broad Asset Allocation'!B28),0)</f>
        <v/>
      </c>
      <c r="C28" t="str">
        <f>IFERROR(IF(A28="","",SUM('Asset Allocation'!D28)/'Broad Asset Allocation'!B28),0)</f>
        <v/>
      </c>
      <c r="D28" t="str">
        <f>IFERROR(IF(A28="","",SUM('Asset Allocation'!F28)/'Broad Asset Allocation'!B28),0)</f>
        <v/>
      </c>
      <c r="E28" t="str">
        <f>IFERROR(IF(A28="","",SUM('Asset Allocation'!G28)/'Broad Asset Allocation'!B28),0)</f>
        <v/>
      </c>
      <c r="G28" t="str">
        <f>IFERROR(IF(A28="","",SUM('Asset Allocation'!E28,'Asset Allocation'!H28)/'Broad Asset Allocation'!B28),0)</f>
        <v/>
      </c>
    </row>
    <row r="29" spans="1:7" x14ac:dyDescent="0.25">
      <c r="A29" t="str">
        <f>IF(Input!A30="","",Input!A30)</f>
        <v/>
      </c>
      <c r="B29" t="str">
        <f>IFERROR(IF(A29="","",SUM('Asset Allocation'!K29)/'Broad Asset Allocation'!B29),0)</f>
        <v/>
      </c>
      <c r="C29" t="str">
        <f>IFERROR(IF(A29="","",SUM('Asset Allocation'!D29)/'Broad Asset Allocation'!B29),0)</f>
        <v/>
      </c>
      <c r="D29" t="str">
        <f>IFERROR(IF(A29="","",SUM('Asset Allocation'!F29)/'Broad Asset Allocation'!B29),0)</f>
        <v/>
      </c>
      <c r="E29" t="str">
        <f>IFERROR(IF(A29="","",SUM('Asset Allocation'!G29)/'Broad Asset Allocation'!B29),0)</f>
        <v/>
      </c>
      <c r="G29" t="str">
        <f>IFERROR(IF(A29="","",SUM('Asset Allocation'!E29,'Asset Allocation'!H29)/'Broad Asset Allocation'!B29),0)</f>
        <v/>
      </c>
    </row>
    <row r="30" spans="1:7" x14ac:dyDescent="0.25">
      <c r="A30" t="str">
        <f>IF(Input!A31="","",Input!A31)</f>
        <v/>
      </c>
      <c r="B30" t="str">
        <f>IFERROR(IF(A30="","",SUM('Asset Allocation'!K30)/'Broad Asset Allocation'!B30),0)</f>
        <v/>
      </c>
      <c r="C30" t="str">
        <f>IFERROR(IF(A30="","",SUM('Asset Allocation'!D30)/'Broad Asset Allocation'!B30),0)</f>
        <v/>
      </c>
      <c r="D30" t="str">
        <f>IFERROR(IF(A30="","",SUM('Asset Allocation'!F30)/'Broad Asset Allocation'!B30),0)</f>
        <v/>
      </c>
      <c r="E30" t="str">
        <f>IFERROR(IF(A30="","",SUM('Asset Allocation'!G30)/'Broad Asset Allocation'!B30),0)</f>
        <v/>
      </c>
      <c r="G30" t="str">
        <f>IFERROR(IF(A30="","",SUM('Asset Allocation'!E30,'Asset Allocation'!H30)/'Broad Asset Allocation'!B30),0)</f>
        <v/>
      </c>
    </row>
    <row r="31" spans="1:7" x14ac:dyDescent="0.25">
      <c r="A31" t="str">
        <f>IF(Input!A32="","",Input!A32)</f>
        <v/>
      </c>
      <c r="B31" t="str">
        <f>IFERROR(IF(A31="","",SUM('Asset Allocation'!K31)/'Broad Asset Allocation'!B31),0)</f>
        <v/>
      </c>
      <c r="C31" t="str">
        <f>IFERROR(IF(A31="","",SUM('Asset Allocation'!D31)/'Broad Asset Allocation'!B31),0)</f>
        <v/>
      </c>
      <c r="D31" t="str">
        <f>IFERROR(IF(A31="","",SUM('Asset Allocation'!F31)/'Broad Asset Allocation'!B31),0)</f>
        <v/>
      </c>
      <c r="E31" t="str">
        <f>IFERROR(IF(A31="","",SUM('Asset Allocation'!G31)/'Broad Asset Allocation'!B31),0)</f>
        <v/>
      </c>
      <c r="G31" t="str">
        <f>IFERROR(IF(A31="","",SUM('Asset Allocation'!E31,'Asset Allocation'!H31)/'Broad Asset Allocation'!B31),0)</f>
        <v/>
      </c>
    </row>
    <row r="32" spans="1:7" x14ac:dyDescent="0.25">
      <c r="A32" t="str">
        <f>IF(Input!A33="","",Input!A33)</f>
        <v/>
      </c>
      <c r="B32" t="str">
        <f>IFERROR(IF(A32="","",SUM('Asset Allocation'!K32)/'Broad Asset Allocation'!B32),0)</f>
        <v/>
      </c>
      <c r="C32" t="str">
        <f>IFERROR(IF(A32="","",SUM('Asset Allocation'!D32)/'Broad Asset Allocation'!B32),0)</f>
        <v/>
      </c>
      <c r="D32" t="str">
        <f>IFERROR(IF(A32="","",SUM('Asset Allocation'!F32)/'Broad Asset Allocation'!B32),0)</f>
        <v/>
      </c>
      <c r="E32" t="str">
        <f>IFERROR(IF(A32="","",SUM('Asset Allocation'!G32)/'Broad Asset Allocation'!B32),0)</f>
        <v/>
      </c>
      <c r="G32" t="str">
        <f>IFERROR(IF(A32="","",SUM('Asset Allocation'!E32,'Asset Allocation'!H32)/'Broad Asset Allocation'!B32),0)</f>
        <v/>
      </c>
    </row>
    <row r="33" spans="1:7" x14ac:dyDescent="0.25">
      <c r="A33" t="str">
        <f>IF(Input!A34="","",Input!A34)</f>
        <v/>
      </c>
      <c r="B33" t="str">
        <f>IFERROR(IF(A33="","",SUM('Asset Allocation'!K33)/'Broad Asset Allocation'!B33),0)</f>
        <v/>
      </c>
      <c r="C33" t="str">
        <f>IFERROR(IF(A33="","",SUM('Asset Allocation'!D33)/'Broad Asset Allocation'!B33),0)</f>
        <v/>
      </c>
      <c r="D33" t="str">
        <f>IFERROR(IF(A33="","",SUM('Asset Allocation'!F33)/'Broad Asset Allocation'!B33),0)</f>
        <v/>
      </c>
      <c r="E33" t="str">
        <f>IFERROR(IF(A33="","",SUM('Asset Allocation'!G33)/'Broad Asset Allocation'!B33),0)</f>
        <v/>
      </c>
      <c r="G33" t="str">
        <f>IFERROR(IF(A33="","",SUM('Asset Allocation'!E33,'Asset Allocation'!H33)/'Broad Asset Allocation'!B33),0)</f>
        <v/>
      </c>
    </row>
    <row r="34" spans="1:7" x14ac:dyDescent="0.25">
      <c r="A34" t="str">
        <f>IF(Input!A35="","",Input!A35)</f>
        <v/>
      </c>
      <c r="B34" t="str">
        <f>IFERROR(IF(A34="","",SUM('Asset Allocation'!K34)/'Broad Asset Allocation'!B34),0)</f>
        <v/>
      </c>
      <c r="C34" t="str">
        <f>IFERROR(IF(A34="","",SUM('Asset Allocation'!D34)/'Broad Asset Allocation'!B34),0)</f>
        <v/>
      </c>
      <c r="D34" t="str">
        <f>IFERROR(IF(A34="","",SUM('Asset Allocation'!F34)/'Broad Asset Allocation'!B34),0)</f>
        <v/>
      </c>
      <c r="E34" t="str">
        <f>IFERROR(IF(A34="","",SUM('Asset Allocation'!G34)/'Broad Asset Allocation'!B34),0)</f>
        <v/>
      </c>
      <c r="G34" t="str">
        <f>IFERROR(IF(A34="","",SUM('Asset Allocation'!E34,'Asset Allocation'!H34)/'Broad Asset Allocation'!B34),0)</f>
        <v/>
      </c>
    </row>
    <row r="35" spans="1:7" x14ac:dyDescent="0.25">
      <c r="A35" t="str">
        <f>IF(Input!A36="","",Input!A36)</f>
        <v/>
      </c>
      <c r="B35" t="str">
        <f>IFERROR(IF(A35="","",SUM('Asset Allocation'!K35)/'Broad Asset Allocation'!B35),0)</f>
        <v/>
      </c>
      <c r="C35" t="str">
        <f>IFERROR(IF(A35="","",SUM('Asset Allocation'!D35)/'Broad Asset Allocation'!B35),0)</f>
        <v/>
      </c>
      <c r="D35" t="str">
        <f>IFERROR(IF(A35="","",SUM('Asset Allocation'!F35)/'Broad Asset Allocation'!B35),0)</f>
        <v/>
      </c>
      <c r="E35" t="str">
        <f>IFERROR(IF(A35="","",SUM('Asset Allocation'!G35)/'Broad Asset Allocation'!B35),0)</f>
        <v/>
      </c>
      <c r="G35" t="str">
        <f>IFERROR(IF(A35="","",SUM('Asset Allocation'!E35,'Asset Allocation'!H35)/'Broad Asset Allocation'!B35),0)</f>
        <v/>
      </c>
    </row>
    <row r="36" spans="1:7" x14ac:dyDescent="0.25">
      <c r="A36" t="str">
        <f>IF(Input!A37="","",Input!A37)</f>
        <v/>
      </c>
      <c r="B36" t="str">
        <f>IFERROR(IF(A36="","",SUM('Asset Allocation'!K36)/'Broad Asset Allocation'!B36),0)</f>
        <v/>
      </c>
      <c r="C36" t="str">
        <f>IFERROR(IF(A36="","",SUM('Asset Allocation'!D36)/'Broad Asset Allocation'!B36),0)</f>
        <v/>
      </c>
      <c r="D36" t="str">
        <f>IFERROR(IF(A36="","",SUM('Asset Allocation'!F36)/'Broad Asset Allocation'!B36),0)</f>
        <v/>
      </c>
      <c r="E36" t="str">
        <f>IFERROR(IF(A36="","",SUM('Asset Allocation'!G36)/'Broad Asset Allocation'!B36),0)</f>
        <v/>
      </c>
      <c r="G36" t="str">
        <f>IFERROR(IF(A36="","",SUM('Asset Allocation'!E36,'Asset Allocation'!H36)/'Broad Asset Allocation'!B36),0)</f>
        <v/>
      </c>
    </row>
    <row r="37" spans="1:7" x14ac:dyDescent="0.25">
      <c r="A37" t="str">
        <f>IF(Input!A38="","",Input!A38)</f>
        <v/>
      </c>
      <c r="B37" t="str">
        <f>IFERROR(IF(A37="","",SUM('Asset Allocation'!K37)/'Broad Asset Allocation'!B37),0)</f>
        <v/>
      </c>
      <c r="C37" t="str">
        <f>IFERROR(IF(A37="","",SUM('Asset Allocation'!D37)/'Broad Asset Allocation'!B37),0)</f>
        <v/>
      </c>
      <c r="D37" t="str">
        <f>IFERROR(IF(A37="","",SUM('Asset Allocation'!F37)/'Broad Asset Allocation'!B37),0)</f>
        <v/>
      </c>
      <c r="E37" t="str">
        <f>IFERROR(IF(A37="","",SUM('Asset Allocation'!G37)/'Broad Asset Allocation'!B37),0)</f>
        <v/>
      </c>
      <c r="G37" t="str">
        <f>IFERROR(IF(A37="","",SUM('Asset Allocation'!E37,'Asset Allocation'!H37)/'Broad Asset Allocation'!B37),0)</f>
        <v/>
      </c>
    </row>
    <row r="38" spans="1:7" x14ac:dyDescent="0.25">
      <c r="A38" t="str">
        <f>IF(Input!A39="","",Input!A39)</f>
        <v/>
      </c>
      <c r="B38" t="str">
        <f>IFERROR(IF(A38="","",SUM('Asset Allocation'!K38)/'Broad Asset Allocation'!B38),0)</f>
        <v/>
      </c>
      <c r="C38" t="str">
        <f>IFERROR(IF(A38="","",SUM('Asset Allocation'!D38)/'Broad Asset Allocation'!B38),0)</f>
        <v/>
      </c>
      <c r="D38" t="str">
        <f>IFERROR(IF(A38="","",SUM('Asset Allocation'!F38)/'Broad Asset Allocation'!B38),0)</f>
        <v/>
      </c>
      <c r="E38" t="str">
        <f>IFERROR(IF(A38="","",SUM('Asset Allocation'!G38)/'Broad Asset Allocation'!B38),0)</f>
        <v/>
      </c>
      <c r="G38" t="str">
        <f>IFERROR(IF(A38="","",SUM('Asset Allocation'!E38,'Asset Allocation'!H38)/'Broad Asset Allocation'!B38),0)</f>
        <v/>
      </c>
    </row>
    <row r="39" spans="1:7" x14ac:dyDescent="0.25">
      <c r="A39" t="str">
        <f>IF(Input!A40="","",Input!A40)</f>
        <v/>
      </c>
      <c r="B39" t="str">
        <f>IFERROR(IF(A39="","",SUM('Asset Allocation'!K39)/'Broad Asset Allocation'!B39),0)</f>
        <v/>
      </c>
      <c r="C39" t="str">
        <f>IFERROR(IF(A39="","",SUM('Asset Allocation'!D39)/'Broad Asset Allocation'!B39),0)</f>
        <v/>
      </c>
      <c r="D39" t="str">
        <f>IFERROR(IF(A39="","",SUM('Asset Allocation'!F39)/'Broad Asset Allocation'!B39),0)</f>
        <v/>
      </c>
      <c r="E39" t="str">
        <f>IFERROR(IF(A39="","",SUM('Asset Allocation'!G39)/'Broad Asset Allocation'!B39),0)</f>
        <v/>
      </c>
      <c r="G39" t="str">
        <f>IFERROR(IF(A39="","",SUM('Asset Allocation'!E39,'Asset Allocation'!H39)/'Broad Asset Allocation'!B39),0)</f>
        <v/>
      </c>
    </row>
    <row r="40" spans="1:7" x14ac:dyDescent="0.25">
      <c r="A40" t="str">
        <f>IF(Input!A41="","",Input!A41)</f>
        <v/>
      </c>
      <c r="B40" t="str">
        <f>IFERROR(IF(A40="","",SUM('Asset Allocation'!K40)/'Broad Asset Allocation'!B40),0)</f>
        <v/>
      </c>
      <c r="C40" t="str">
        <f>IFERROR(IF(A40="","",SUM('Asset Allocation'!D40)/'Broad Asset Allocation'!B40),0)</f>
        <v/>
      </c>
      <c r="D40" t="str">
        <f>IFERROR(IF(A40="","",SUM('Asset Allocation'!F40)/'Broad Asset Allocation'!B40),0)</f>
        <v/>
      </c>
      <c r="E40" t="str">
        <f>IFERROR(IF(A40="","",SUM('Asset Allocation'!G40)/'Broad Asset Allocation'!B40),0)</f>
        <v/>
      </c>
      <c r="G40" t="str">
        <f>IFERROR(IF(A40="","",SUM('Asset Allocation'!E40,'Asset Allocation'!H40)/'Broad Asset Allocation'!B40),0)</f>
        <v/>
      </c>
    </row>
    <row r="41" spans="1:7" x14ac:dyDescent="0.25">
      <c r="A41" t="str">
        <f>IF(Input!A42="","",Input!A42)</f>
        <v/>
      </c>
      <c r="B41" t="str">
        <f>IFERROR(IF(A41="","",SUM('Asset Allocation'!K41)/'Broad Asset Allocation'!B41),0)</f>
        <v/>
      </c>
      <c r="C41" t="str">
        <f>IFERROR(IF(A41="","",SUM('Asset Allocation'!D41)/'Broad Asset Allocation'!B41),0)</f>
        <v/>
      </c>
      <c r="D41" t="str">
        <f>IFERROR(IF(A41="","",SUM('Asset Allocation'!F41)/'Broad Asset Allocation'!B41),0)</f>
        <v/>
      </c>
      <c r="E41" t="str">
        <f>IFERROR(IF(A41="","",SUM('Asset Allocation'!G41)/'Broad Asset Allocation'!B41),0)</f>
        <v/>
      </c>
      <c r="G41" t="str">
        <f>IFERROR(IF(A41="","",SUM('Asset Allocation'!E41,'Asset Allocation'!H41)/'Broad Asset Allocation'!B41),0)</f>
        <v/>
      </c>
    </row>
    <row r="42" spans="1:7" x14ac:dyDescent="0.25">
      <c r="A42" t="str">
        <f>IF(Input!A43="","",Input!A43)</f>
        <v/>
      </c>
      <c r="B42" t="str">
        <f>IFERROR(IF(A42="","",SUM('Asset Allocation'!K42)/'Broad Asset Allocation'!B42),0)</f>
        <v/>
      </c>
      <c r="C42" t="str">
        <f>IFERROR(IF(A42="","",SUM('Asset Allocation'!D42)/'Broad Asset Allocation'!B42),0)</f>
        <v/>
      </c>
      <c r="D42" t="str">
        <f>IFERROR(IF(A42="","",SUM('Asset Allocation'!F42)/'Broad Asset Allocation'!B42),0)</f>
        <v/>
      </c>
      <c r="E42" t="str">
        <f>IFERROR(IF(A42="","",SUM('Asset Allocation'!G42)/'Broad Asset Allocation'!B42),0)</f>
        <v/>
      </c>
      <c r="G42" t="str">
        <f>IFERROR(IF(A42="","",SUM('Asset Allocation'!E42,'Asset Allocation'!H42)/'Broad Asset Allocation'!B42),0)</f>
        <v/>
      </c>
    </row>
    <row r="43" spans="1:7" x14ac:dyDescent="0.25">
      <c r="A43" t="str">
        <f>IF(Input!A44="","",Input!A44)</f>
        <v/>
      </c>
      <c r="B43" t="str">
        <f>IFERROR(IF(A43="","",SUM('Asset Allocation'!K43)/'Broad Asset Allocation'!B43),0)</f>
        <v/>
      </c>
      <c r="C43" t="str">
        <f>IFERROR(IF(A43="","",SUM('Asset Allocation'!D43)/'Broad Asset Allocation'!B43),0)</f>
        <v/>
      </c>
      <c r="D43" t="str">
        <f>IFERROR(IF(A43="","",SUM('Asset Allocation'!F43)/'Broad Asset Allocation'!B43),0)</f>
        <v/>
      </c>
      <c r="E43" t="str">
        <f>IFERROR(IF(A43="","",SUM('Asset Allocation'!G43)/'Broad Asset Allocation'!B43),0)</f>
        <v/>
      </c>
      <c r="G43" t="str">
        <f>IFERROR(IF(A43="","",SUM('Asset Allocation'!E43,'Asset Allocation'!H43)/'Broad Asset Allocation'!B43),0)</f>
        <v/>
      </c>
    </row>
    <row r="44" spans="1:7" x14ac:dyDescent="0.25">
      <c r="A44" t="str">
        <f>IF(Input!A45="","",Input!A45)</f>
        <v/>
      </c>
      <c r="B44" t="str">
        <f>IFERROR(IF(A44="","",SUM('Asset Allocation'!K44)/'Broad Asset Allocation'!B44),0)</f>
        <v/>
      </c>
      <c r="C44" t="str">
        <f>IFERROR(IF(A44="","",SUM('Asset Allocation'!D44)/'Broad Asset Allocation'!B44),0)</f>
        <v/>
      </c>
      <c r="D44" t="str">
        <f>IFERROR(IF(A44="","",SUM('Asset Allocation'!F44)/'Broad Asset Allocation'!B44),0)</f>
        <v/>
      </c>
      <c r="E44" t="str">
        <f>IFERROR(IF(A44="","",SUM('Asset Allocation'!G44)/'Broad Asset Allocation'!B44),0)</f>
        <v/>
      </c>
      <c r="G44" t="str">
        <f>IFERROR(IF(A44="","",SUM('Asset Allocation'!E44,'Asset Allocation'!H44)/'Broad Asset Allocation'!B44),0)</f>
        <v/>
      </c>
    </row>
    <row r="45" spans="1:7" x14ac:dyDescent="0.25">
      <c r="A45" t="str">
        <f>IF(Input!A46="","",Input!A46)</f>
        <v/>
      </c>
      <c r="B45" t="str">
        <f>IFERROR(IF(A45="","",SUM('Asset Allocation'!K45)/'Broad Asset Allocation'!B45),0)</f>
        <v/>
      </c>
      <c r="C45" t="str">
        <f>IFERROR(IF(A45="","",SUM('Asset Allocation'!D45)/'Broad Asset Allocation'!B45),0)</f>
        <v/>
      </c>
      <c r="D45" t="str">
        <f>IFERROR(IF(A45="","",SUM('Asset Allocation'!F45)/'Broad Asset Allocation'!B45),0)</f>
        <v/>
      </c>
      <c r="E45" t="str">
        <f>IFERROR(IF(A45="","",SUM('Asset Allocation'!G45)/'Broad Asset Allocation'!B45),0)</f>
        <v/>
      </c>
      <c r="G45" t="str">
        <f>IFERROR(IF(A45="","",SUM('Asset Allocation'!E45,'Asset Allocation'!H45)/'Broad Asset Allocation'!B45),0)</f>
        <v/>
      </c>
    </row>
    <row r="46" spans="1:7" x14ac:dyDescent="0.25">
      <c r="A46" t="str">
        <f>IF(Input!A47="","",Input!A47)</f>
        <v/>
      </c>
      <c r="B46" t="str">
        <f>IFERROR(IF(A46="","",SUM('Asset Allocation'!K46)/'Broad Asset Allocation'!B46),0)</f>
        <v/>
      </c>
      <c r="C46" t="str">
        <f>IFERROR(IF(A46="","",SUM('Asset Allocation'!D46)/'Broad Asset Allocation'!B46),0)</f>
        <v/>
      </c>
      <c r="D46" t="str">
        <f>IFERROR(IF(A46="","",SUM('Asset Allocation'!F46)/'Broad Asset Allocation'!B46),0)</f>
        <v/>
      </c>
      <c r="E46" t="str">
        <f>IFERROR(IF(A46="","",SUM('Asset Allocation'!G46)/'Broad Asset Allocation'!B46),0)</f>
        <v/>
      </c>
      <c r="G46" t="str">
        <f>IFERROR(IF(A46="","",SUM('Asset Allocation'!E46,'Asset Allocation'!H46)/'Broad Asset Allocation'!B46),0)</f>
        <v/>
      </c>
    </row>
    <row r="47" spans="1:7" x14ac:dyDescent="0.25">
      <c r="A47" t="str">
        <f>IF(Input!A48="","",Input!A48)</f>
        <v/>
      </c>
      <c r="B47" t="str">
        <f>IFERROR(IF(A47="","",SUM('Asset Allocation'!K47)/'Broad Asset Allocation'!B47),0)</f>
        <v/>
      </c>
      <c r="C47" t="str">
        <f>IFERROR(IF(A47="","",SUM('Asset Allocation'!D47)/'Broad Asset Allocation'!B47),0)</f>
        <v/>
      </c>
      <c r="D47" t="str">
        <f>IFERROR(IF(A47="","",SUM('Asset Allocation'!F47)/'Broad Asset Allocation'!B47),0)</f>
        <v/>
      </c>
      <c r="E47" t="str">
        <f>IFERROR(IF(A47="","",SUM('Asset Allocation'!G47)/'Broad Asset Allocation'!B47),0)</f>
        <v/>
      </c>
      <c r="G47" t="str">
        <f>IFERROR(IF(A47="","",SUM('Asset Allocation'!E47,'Asset Allocation'!H47)/'Broad Asset Allocation'!B47),0)</f>
        <v/>
      </c>
    </row>
    <row r="48" spans="1:7" x14ac:dyDescent="0.25">
      <c r="A48" t="str">
        <f>IF(Input!A49="","",Input!A49)</f>
        <v/>
      </c>
      <c r="B48" t="str">
        <f>IFERROR(IF(A48="","",SUM('Asset Allocation'!K48)/'Broad Asset Allocation'!B48),0)</f>
        <v/>
      </c>
      <c r="C48" t="str">
        <f>IFERROR(IF(A48="","",SUM('Asset Allocation'!D48)/'Broad Asset Allocation'!B48),0)</f>
        <v/>
      </c>
      <c r="D48" t="str">
        <f>IFERROR(IF(A48="","",SUM('Asset Allocation'!F48)/'Broad Asset Allocation'!B48),0)</f>
        <v/>
      </c>
      <c r="E48" t="str">
        <f>IFERROR(IF(A48="","",SUM('Asset Allocation'!G48)/'Broad Asset Allocation'!B48),0)</f>
        <v/>
      </c>
      <c r="G48" t="str">
        <f>IFERROR(IF(A48="","",SUM('Asset Allocation'!E48,'Asset Allocation'!H48)/'Broad Asset Allocation'!B48),0)</f>
        <v/>
      </c>
    </row>
    <row r="49" spans="1:7" x14ac:dyDescent="0.25">
      <c r="A49" t="str">
        <f>IF(Input!A50="","",Input!A50)</f>
        <v/>
      </c>
      <c r="B49" t="str">
        <f>IFERROR(IF(A49="","",SUM('Asset Allocation'!K49)/'Broad Asset Allocation'!B49),0)</f>
        <v/>
      </c>
      <c r="C49" t="str">
        <f>IFERROR(IF(A49="","",SUM('Asset Allocation'!D49)/'Broad Asset Allocation'!B49),0)</f>
        <v/>
      </c>
      <c r="D49" t="str">
        <f>IFERROR(IF(A49="","",SUM('Asset Allocation'!F49)/'Broad Asset Allocation'!B49),0)</f>
        <v/>
      </c>
      <c r="E49" t="str">
        <f>IFERROR(IF(A49="","",SUM('Asset Allocation'!G49)/'Broad Asset Allocation'!B49),0)</f>
        <v/>
      </c>
      <c r="G49" t="str">
        <f>IFERROR(IF(A49="","",SUM('Asset Allocation'!E49,'Asset Allocation'!H49)/'Broad Asset Allocation'!B49),0)</f>
        <v/>
      </c>
    </row>
    <row r="50" spans="1:7" x14ac:dyDescent="0.25">
      <c r="A50" t="str">
        <f>IF(Input!A51="","",Input!A51)</f>
        <v/>
      </c>
      <c r="B50" t="str">
        <f>IFERROR(IF(A50="","",SUM('Asset Allocation'!K50)/'Broad Asset Allocation'!B50),0)</f>
        <v/>
      </c>
      <c r="C50" t="str">
        <f>IFERROR(IF(A50="","",SUM('Asset Allocation'!D50)/'Broad Asset Allocation'!B50),0)</f>
        <v/>
      </c>
      <c r="D50" t="str">
        <f>IFERROR(IF(A50="","",SUM('Asset Allocation'!F50)/'Broad Asset Allocation'!B50),0)</f>
        <v/>
      </c>
      <c r="E50" t="str">
        <f>IFERROR(IF(A50="","",SUM('Asset Allocation'!G50)/'Broad Asset Allocation'!B50),0)</f>
        <v/>
      </c>
      <c r="G50" t="str">
        <f>IFERROR(IF(A50="","",SUM('Asset Allocation'!E50,'Asset Allocation'!H50)/'Broad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1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65</v>
      </c>
      <c r="F1" t="s">
        <v>52</v>
      </c>
      <c r="G1" t="s">
        <v>16</v>
      </c>
      <c r="H1" t="s">
        <v>53</v>
      </c>
    </row>
    <row r="2" spans="1:8" x14ac:dyDescent="0.25">
      <c r="A2" t="str">
        <f>IF(Input!A3="","",Input!A3)</f>
        <v>RBC Brewin Dolphin MPS Cautious</v>
      </c>
      <c r="H2">
        <f>IFERROR(IF(A2="","",SUM('Asset Allocation'!I2)/'Broad Asset Allocation'!C2),0)</f>
        <v>0</v>
      </c>
    </row>
    <row r="3" spans="1:8" x14ac:dyDescent="0.25">
      <c r="A3" t="str">
        <f>IF(Input!A4="","",Input!A4)</f>
        <v>RBC Brewin Dolphin MPS Cautious Higher Equity</v>
      </c>
      <c r="H3">
        <f>IFERROR(IF(A3="","",SUM('Asset Allocation'!I3)/'Broad Asset Allocation'!C3),0)</f>
        <v>0</v>
      </c>
    </row>
    <row r="4" spans="1:8" x14ac:dyDescent="0.25">
      <c r="A4" t="str">
        <f>IF(Input!A5="","",Input!A5)</f>
        <v>RBC Brewin Dolphin MPS Income</v>
      </c>
      <c r="H4">
        <f>IFERROR(IF(A4="","",SUM('Asset Allocation'!I4)/'Broad Asset Allocation'!C4),0)</f>
        <v>0</v>
      </c>
    </row>
    <row r="5" spans="1:8" x14ac:dyDescent="0.25">
      <c r="A5" t="str">
        <f>IF(Input!A6="","",Input!A6)</f>
        <v>RBC Brewin Dolphin MPS Income Higher Equity</v>
      </c>
      <c r="H5">
        <f>IFERROR(IF(A5="","",SUM('Asset Allocation'!I5)/'Broad Asset Allocation'!C5),0)</f>
        <v>0</v>
      </c>
    </row>
    <row r="6" spans="1:8" x14ac:dyDescent="0.25">
      <c r="A6" t="str">
        <f>IF(Input!A7="","",Input!A7)</f>
        <v>RBC Brewin Dolphin MPS Balanced</v>
      </c>
      <c r="H6">
        <f>IFERROR(IF(A6="","",SUM('Asset Allocation'!I6)/'Broad Asset Allocation'!C6),0)</f>
        <v>0</v>
      </c>
    </row>
    <row r="7" spans="1:8" x14ac:dyDescent="0.25">
      <c r="A7" t="str">
        <f>IF(Input!A8="","",Input!A8)</f>
        <v>RBC Brewin Dolphin MPS Growth</v>
      </c>
      <c r="H7">
        <f>IFERROR(IF(A7="","",SUM('Asset Allocation'!I7)/'Broad Asset Allocation'!C7),0)</f>
        <v>0</v>
      </c>
    </row>
    <row r="8" spans="1:8" x14ac:dyDescent="0.25">
      <c r="A8" t="str">
        <f>IF(Input!A9="","",Input!A9)</f>
        <v>RBC Brewin Dolphin MPS Global Equity</v>
      </c>
      <c r="H8">
        <f>IFERROR(IF(A8="","",SUM('Asset Allocation'!I8)/'Broad Asset Allocation'!C8),0)</f>
        <v>0</v>
      </c>
    </row>
    <row r="9" spans="1:8" x14ac:dyDescent="0.25">
      <c r="A9" t="str">
        <f>IF(Input!A10="","",Input!A10)</f>
        <v>RBC Brewin Dolphin Passive Plus MPS Cautious</v>
      </c>
      <c r="H9">
        <f>IFERROR(IF(A9="","",SUM('Asset Allocation'!I9)/'Broad Asset Allocation'!C9),0)</f>
        <v>0</v>
      </c>
    </row>
    <row r="10" spans="1:8" x14ac:dyDescent="0.25">
      <c r="A10" t="str">
        <f>IF(Input!A11="","",Input!A11)</f>
        <v>RBC Brewin Dolphin Passive Plus MPS Cautious Higher Equity</v>
      </c>
      <c r="H10">
        <f>IFERROR(IF(A10="","",SUM('Asset Allocation'!I10)/'Broad Asset Allocation'!C10),0)</f>
        <v>0</v>
      </c>
    </row>
    <row r="11" spans="1:8" x14ac:dyDescent="0.25">
      <c r="A11" t="str">
        <f>IF(Input!A12="","",Input!A12)</f>
        <v>RBC Brewin Dolphin Passive Plus MPS Income</v>
      </c>
      <c r="H11">
        <f>IFERROR(IF(A11="","",SUM('Asset Allocation'!I11)/'Broad Asset Allocation'!C11),0)</f>
        <v>0</v>
      </c>
    </row>
    <row r="12" spans="1:8" x14ac:dyDescent="0.25">
      <c r="A12" t="str">
        <f>IF(Input!A13="","",Input!A13)</f>
        <v>RBC Brewin Dolphin Passive Plus MPS Income Higher Equity</v>
      </c>
      <c r="H12">
        <f>IFERROR(IF(A12="","",SUM('Asset Allocation'!I12)/'Broad Asset Allocation'!C12),0)</f>
        <v>0</v>
      </c>
    </row>
    <row r="13" spans="1:8" x14ac:dyDescent="0.25">
      <c r="A13" t="str">
        <f>IF(Input!A14="","",Input!A14)</f>
        <v>RBC Brewin Dolphin Passive Plus MPS Balanced</v>
      </c>
      <c r="H13">
        <f>IFERROR(IF(A13="","",SUM('Asset Allocation'!I13)/'Broad Asset Allocation'!C13),0)</f>
        <v>0</v>
      </c>
    </row>
    <row r="14" spans="1:8" x14ac:dyDescent="0.25">
      <c r="A14" t="str">
        <f>IF(Input!A15="","",Input!A15)</f>
        <v>RBC Brewin Dolphin Passive Plus MPS Growth</v>
      </c>
      <c r="H14">
        <f>IFERROR(IF(A14="","",SUM('Asset Allocation'!I14)/'Broad Asset Allocation'!C14),0)</f>
        <v>0</v>
      </c>
    </row>
    <row r="15" spans="1:8" x14ac:dyDescent="0.25">
      <c r="A15" t="str">
        <f>IF(Input!A16="","",Input!A16)</f>
        <v>RBC Brewin Dolphin Passive Plus MPS Global Equity</v>
      </c>
      <c r="H15">
        <f>IFERROR(IF(A15="","",SUM('Asset Allocation'!I15)/'Broad Asset Allocation'!C15),0)</f>
        <v>0</v>
      </c>
    </row>
    <row r="16" spans="1:8" x14ac:dyDescent="0.25">
      <c r="A16" t="str">
        <f>IF(Input!A17="","",Input!A17)</f>
        <v/>
      </c>
      <c r="H16" t="str">
        <f>IFERROR(IF(A16="","",SUM('Asset Allocation'!I16)/'Broad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Allocation'!I17)/'Broad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Allocation'!I18)/'Broad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Allocation'!I19)/'Broad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Allocation'!I20)/'Broad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Allocation'!I21)/'Broad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Allocation'!I22)/'Broad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Allocation'!I23)/'Broad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Allocation'!I24)/'Broad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Allocation'!I25)/'Broad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Allocation'!I26)/'Broad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Allocation'!I27)/'Broad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Allocation'!I28)/'Broad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Allocation'!I29)/'Broad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Allocation'!I30)/'Broad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Allocation'!I31)/'Broad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Allocation'!I32)/'Broad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Allocation'!I33)/'Broad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Allocation'!I34)/'Broad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Allocation'!I35)/'Broad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Allocation'!I36)/'Broad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Allocation'!I37)/'Broad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Allocation'!I38)/'Broad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Allocation'!I39)/'Broad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Allocation'!I40)/'Broad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Allocation'!I41)/'Broad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Allocation'!I42)/'Broad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Allocation'!I43)/'Broad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Allocation'!I44)/'Broad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Allocation'!I45)/'Broad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Allocation'!I46)/'Broad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Allocation'!I47)/'Broad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Allocation'!I48)/'Broad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Allocation'!I49)/'Broad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Allocation'!I50)/'Broad Asset Allocation'!C50),0)</f>
        <v/>
      </c>
    </row>
    <row r="51" spans="1:8" x14ac:dyDescent="0.25">
      <c r="A5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topLeftCell="AF1"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2023-12-16T22:56:07Z</dcterms:modified>
</cp:coreProperties>
</file>