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tests\new_maia\"/>
    </mc:Choice>
  </mc:AlternateContent>
  <bookViews>
    <workbookView xWindow="1140" yWindow="1140" windowWidth="14400" windowHeight="7275" firstSheet="1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H11" i="8" s="1"/>
  <c r="A10" i="8"/>
  <c r="H10" i="8" s="1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1" i="38" l="1" a="1"/>
  <c r="B1" i="38" s="1"/>
  <c r="B1" i="39" a="1"/>
  <c r="B1" i="39" s="1"/>
  <c r="B1" i="37" a="1"/>
  <c r="B1" i="37" s="1"/>
  <c r="D7" i="31"/>
  <c r="E7" i="31"/>
  <c r="D31" i="31"/>
  <c r="E31" i="31"/>
  <c r="D47" i="31"/>
  <c r="E47" i="31"/>
  <c r="D8" i="31"/>
  <c r="E8" i="31"/>
  <c r="D16" i="31"/>
  <c r="E16" i="31"/>
  <c r="D24" i="31"/>
  <c r="E24" i="31"/>
  <c r="D32" i="31"/>
  <c r="E32" i="31"/>
  <c r="D40" i="31"/>
  <c r="E40" i="31"/>
  <c r="D48" i="31"/>
  <c r="E48" i="31"/>
  <c r="D15" i="31"/>
  <c r="E15" i="31"/>
  <c r="D23" i="31"/>
  <c r="E23" i="31"/>
  <c r="D39" i="31"/>
  <c r="E39" i="31"/>
  <c r="D9" i="31"/>
  <c r="E9" i="31"/>
  <c r="D17" i="31"/>
  <c r="E17" i="31"/>
  <c r="D25" i="31"/>
  <c r="E25" i="31"/>
  <c r="D33" i="31"/>
  <c r="E33" i="31"/>
  <c r="D41" i="31"/>
  <c r="E41" i="31"/>
  <c r="D49" i="31"/>
  <c r="E49" i="31"/>
  <c r="D18" i="31"/>
  <c r="E18" i="31"/>
  <c r="D50" i="31"/>
  <c r="E50" i="31"/>
  <c r="D3" i="31"/>
  <c r="E3" i="31"/>
  <c r="D11" i="31"/>
  <c r="E11" i="31"/>
  <c r="D19" i="31"/>
  <c r="E19" i="31"/>
  <c r="D27" i="31"/>
  <c r="E27" i="31"/>
  <c r="D35" i="31"/>
  <c r="E35" i="31"/>
  <c r="D43" i="31"/>
  <c r="E43" i="31"/>
  <c r="D10" i="31"/>
  <c r="E10" i="31"/>
  <c r="D42" i="31"/>
  <c r="E42" i="31"/>
  <c r="D4" i="31"/>
  <c r="E4" i="31"/>
  <c r="D12" i="31"/>
  <c r="E12" i="31"/>
  <c r="D20" i="31"/>
  <c r="E20" i="31"/>
  <c r="D28" i="31"/>
  <c r="E28" i="31"/>
  <c r="D36" i="31"/>
  <c r="E36" i="31"/>
  <c r="D44" i="31"/>
  <c r="E44" i="31"/>
  <c r="D26" i="31"/>
  <c r="E26" i="31"/>
  <c r="D5" i="31"/>
  <c r="E5" i="31"/>
  <c r="D21" i="31"/>
  <c r="E21" i="31"/>
  <c r="D29" i="31"/>
  <c r="E29" i="31"/>
  <c r="D37" i="31"/>
  <c r="E37" i="31"/>
  <c r="D45" i="31"/>
  <c r="E45" i="31"/>
  <c r="D2" i="31"/>
  <c r="E2" i="31"/>
  <c r="D34" i="31"/>
  <c r="E34" i="31"/>
  <c r="D13" i="31"/>
  <c r="E13" i="31"/>
  <c r="D6" i="31"/>
  <c r="E6" i="31"/>
  <c r="D14" i="31"/>
  <c r="E14" i="31"/>
  <c r="D22" i="31"/>
  <c r="E22" i="31"/>
  <c r="D30" i="31"/>
  <c r="E30" i="31"/>
  <c r="D38" i="31"/>
  <c r="E38" i="31"/>
  <c r="D46" i="31"/>
  <c r="E46" i="31"/>
  <c r="H17" i="7"/>
  <c r="C17" i="7"/>
  <c r="D17" i="7"/>
  <c r="E17" i="7"/>
  <c r="B17" i="7"/>
  <c r="F17" i="7"/>
  <c r="G17" i="7"/>
  <c r="D13" i="7"/>
  <c r="E13" i="7"/>
  <c r="F13" i="7"/>
  <c r="G13" i="7"/>
  <c r="C13" i="7"/>
  <c r="H13" i="7"/>
  <c r="B13" i="7"/>
  <c r="D21" i="7"/>
  <c r="G21" i="7"/>
  <c r="H21" i="7"/>
  <c r="B21" i="7"/>
  <c r="C21" i="7"/>
  <c r="E21" i="7"/>
  <c r="F21" i="7"/>
  <c r="D29" i="7"/>
  <c r="G29" i="7"/>
  <c r="C29" i="7"/>
  <c r="E29" i="7"/>
  <c r="F29" i="7"/>
  <c r="H29" i="7"/>
  <c r="B29" i="7"/>
  <c r="D37" i="7"/>
  <c r="G37" i="7"/>
  <c r="H37" i="7"/>
  <c r="C37" i="7"/>
  <c r="F37" i="7"/>
  <c r="B37" i="7"/>
  <c r="E37" i="7"/>
  <c r="D45" i="7"/>
  <c r="E45" i="7"/>
  <c r="G45" i="7"/>
  <c r="H45" i="7"/>
  <c r="C45" i="7"/>
  <c r="F45" i="7"/>
  <c r="B45" i="7"/>
  <c r="H49" i="7"/>
  <c r="C49" i="7"/>
  <c r="D49" i="7"/>
  <c r="E49" i="7"/>
  <c r="F49" i="7"/>
  <c r="G49" i="7"/>
  <c r="B49" i="7"/>
  <c r="E14" i="7"/>
  <c r="F14" i="7"/>
  <c r="H14" i="7"/>
  <c r="G14" i="7"/>
  <c r="D14" i="7"/>
  <c r="B14" i="7"/>
  <c r="C14" i="7"/>
  <c r="E22" i="7"/>
  <c r="H22" i="7"/>
  <c r="D22" i="7"/>
  <c r="F22" i="7"/>
  <c r="G22" i="7"/>
  <c r="B22" i="7"/>
  <c r="C22" i="7"/>
  <c r="E30" i="7"/>
  <c r="H30" i="7"/>
  <c r="B30" i="7"/>
  <c r="D30" i="7"/>
  <c r="G30" i="7"/>
  <c r="C30" i="7"/>
  <c r="F30" i="7"/>
  <c r="E38" i="7"/>
  <c r="F38" i="7"/>
  <c r="G38" i="7"/>
  <c r="H38" i="7"/>
  <c r="D38" i="7"/>
  <c r="B38" i="7"/>
  <c r="C38" i="7"/>
  <c r="E46" i="7"/>
  <c r="H46" i="7"/>
  <c r="D46" i="7"/>
  <c r="G46" i="7"/>
  <c r="B46" i="7"/>
  <c r="C46" i="7"/>
  <c r="F46" i="7"/>
  <c r="H25" i="7"/>
  <c r="C25" i="7"/>
  <c r="D25" i="7"/>
  <c r="E25" i="7"/>
  <c r="B25" i="7"/>
  <c r="F25" i="7"/>
  <c r="G25" i="7"/>
  <c r="F15" i="7"/>
  <c r="G15" i="7"/>
  <c r="B15" i="7"/>
  <c r="C15" i="7"/>
  <c r="D15" i="7"/>
  <c r="E15" i="7"/>
  <c r="H15" i="7"/>
  <c r="F23" i="7"/>
  <c r="G23" i="7"/>
  <c r="H23" i="7"/>
  <c r="B23" i="7"/>
  <c r="C23" i="7"/>
  <c r="D23" i="7"/>
  <c r="E23" i="7"/>
  <c r="F31" i="7"/>
  <c r="H31" i="7"/>
  <c r="B31" i="7"/>
  <c r="G31" i="7"/>
  <c r="C31" i="7"/>
  <c r="D31" i="7"/>
  <c r="E31" i="7"/>
  <c r="F39" i="7"/>
  <c r="B39" i="7"/>
  <c r="G39" i="7"/>
  <c r="H39" i="7"/>
  <c r="C39" i="7"/>
  <c r="D39" i="7"/>
  <c r="E39" i="7"/>
  <c r="F47" i="7"/>
  <c r="H47" i="7"/>
  <c r="B47" i="7"/>
  <c r="C47" i="7"/>
  <c r="G47" i="7"/>
  <c r="D47" i="7"/>
  <c r="E47" i="7"/>
  <c r="H33" i="7"/>
  <c r="C33" i="7"/>
  <c r="D33" i="7"/>
  <c r="G33" i="7"/>
  <c r="B33" i="7"/>
  <c r="E33" i="7"/>
  <c r="F33" i="7"/>
  <c r="G16" i="7"/>
  <c r="H16" i="7"/>
  <c r="B16" i="7"/>
  <c r="C16" i="7"/>
  <c r="D16" i="7"/>
  <c r="F16" i="7"/>
  <c r="E16" i="7"/>
  <c r="G24" i="7"/>
  <c r="H24" i="7"/>
  <c r="B24" i="7"/>
  <c r="F24" i="7"/>
  <c r="C24" i="7"/>
  <c r="D24" i="7"/>
  <c r="E24" i="7"/>
  <c r="G32" i="7"/>
  <c r="H32" i="7"/>
  <c r="B32" i="7"/>
  <c r="F32" i="7"/>
  <c r="C32" i="7"/>
  <c r="D32" i="7"/>
  <c r="E32" i="7"/>
  <c r="G40" i="7"/>
  <c r="B40" i="7"/>
  <c r="H40" i="7"/>
  <c r="C40" i="7"/>
  <c r="F40" i="7"/>
  <c r="D40" i="7"/>
  <c r="E40" i="7"/>
  <c r="G48" i="7"/>
  <c r="B48" i="7"/>
  <c r="C48" i="7"/>
  <c r="D48" i="7"/>
  <c r="H48" i="7"/>
  <c r="F48" i="7"/>
  <c r="E48" i="7"/>
  <c r="B10" i="7"/>
  <c r="C10" i="7"/>
  <c r="D10" i="7"/>
  <c r="E10" i="7"/>
  <c r="F10" i="7"/>
  <c r="G10" i="7"/>
  <c r="H10" i="7"/>
  <c r="C26" i="7"/>
  <c r="D26" i="7"/>
  <c r="H26" i="7"/>
  <c r="E26" i="7"/>
  <c r="B26" i="7"/>
  <c r="F26" i="7"/>
  <c r="G26" i="7"/>
  <c r="D42" i="7"/>
  <c r="E42" i="7"/>
  <c r="F42" i="7"/>
  <c r="H42" i="7"/>
  <c r="B42" i="7"/>
  <c r="G42" i="7"/>
  <c r="C42" i="7"/>
  <c r="B11" i="7"/>
  <c r="C11" i="7"/>
  <c r="D11" i="7"/>
  <c r="E11" i="7"/>
  <c r="F11" i="7"/>
  <c r="G11" i="7"/>
  <c r="H11" i="7"/>
  <c r="B19" i="7"/>
  <c r="D19" i="7"/>
  <c r="E19" i="7"/>
  <c r="F19" i="7"/>
  <c r="C19" i="7"/>
  <c r="G19" i="7"/>
  <c r="H19" i="7"/>
  <c r="B27" i="7"/>
  <c r="C27" i="7"/>
  <c r="E27" i="7"/>
  <c r="F27" i="7"/>
  <c r="D27" i="7"/>
  <c r="G27" i="7"/>
  <c r="H27" i="7"/>
  <c r="B35" i="7"/>
  <c r="E35" i="7"/>
  <c r="C35" i="7"/>
  <c r="D35" i="7"/>
  <c r="F35" i="7"/>
  <c r="G35" i="7"/>
  <c r="H35" i="7"/>
  <c r="B43" i="7"/>
  <c r="D43" i="7"/>
  <c r="E43" i="7"/>
  <c r="F43" i="7"/>
  <c r="G43" i="7"/>
  <c r="H43" i="7"/>
  <c r="C43" i="7"/>
  <c r="H41" i="7"/>
  <c r="C41" i="7"/>
  <c r="G41" i="7"/>
  <c r="B41" i="7"/>
  <c r="D41" i="7"/>
  <c r="E41" i="7"/>
  <c r="F41" i="7"/>
  <c r="B18" i="7"/>
  <c r="D18" i="7"/>
  <c r="E18" i="7"/>
  <c r="C18" i="7"/>
  <c r="F18" i="7"/>
  <c r="G18" i="7"/>
  <c r="H18" i="7"/>
  <c r="D34" i="7"/>
  <c r="E34" i="7"/>
  <c r="B34" i="7"/>
  <c r="F34" i="7"/>
  <c r="G34" i="7"/>
  <c r="H34" i="7"/>
  <c r="C34" i="7"/>
  <c r="B50" i="7"/>
  <c r="D50" i="7"/>
  <c r="E50" i="7"/>
  <c r="F50" i="7"/>
  <c r="H50" i="7"/>
  <c r="C50" i="7"/>
  <c r="G50" i="7"/>
  <c r="C12" i="7"/>
  <c r="D12" i="7"/>
  <c r="F12" i="7"/>
  <c r="G12" i="7"/>
  <c r="E12" i="7"/>
  <c r="H12" i="7"/>
  <c r="B12" i="7"/>
  <c r="C20" i="7"/>
  <c r="F20" i="7"/>
  <c r="B20" i="7"/>
  <c r="E20" i="7"/>
  <c r="G20" i="7"/>
  <c r="H20" i="7"/>
  <c r="D20" i="7"/>
  <c r="C28" i="7"/>
  <c r="F28" i="7"/>
  <c r="G28" i="7"/>
  <c r="H28" i="7"/>
  <c r="D28" i="7"/>
  <c r="B28" i="7"/>
  <c r="E28" i="7"/>
  <c r="C36" i="7"/>
  <c r="E36" i="7"/>
  <c r="F36" i="7"/>
  <c r="B36" i="7"/>
  <c r="G36" i="7"/>
  <c r="H36" i="7"/>
  <c r="D36" i="7"/>
  <c r="C44" i="7"/>
  <c r="F44" i="7"/>
  <c r="G44" i="7"/>
  <c r="D44" i="7"/>
  <c r="H44" i="7"/>
  <c r="E44" i="7"/>
  <c r="B44" i="7"/>
  <c r="E6" i="4"/>
  <c r="C6" i="4"/>
  <c r="H6" i="8" s="1"/>
  <c r="F6" i="4"/>
  <c r="G6" i="4"/>
  <c r="B6" i="4"/>
  <c r="E22" i="4"/>
  <c r="F22" i="4"/>
  <c r="G22" i="4"/>
  <c r="C22" i="4"/>
  <c r="B22" i="4"/>
  <c r="E46" i="4"/>
  <c r="F46" i="4"/>
  <c r="G46" i="4"/>
  <c r="B46" i="4"/>
  <c r="C46" i="4"/>
  <c r="B7" i="4"/>
  <c r="E7" i="4"/>
  <c r="F7" i="4"/>
  <c r="G7" i="4"/>
  <c r="C7" i="4"/>
  <c r="H7" i="8" s="1"/>
  <c r="G15" i="4"/>
  <c r="B15" i="4"/>
  <c r="F15" i="4"/>
  <c r="C15" i="4"/>
  <c r="E15" i="4"/>
  <c r="F23" i="4"/>
  <c r="G23" i="4"/>
  <c r="B23" i="4"/>
  <c r="C23" i="4"/>
  <c r="E23" i="4"/>
  <c r="G31" i="4"/>
  <c r="B31" i="4"/>
  <c r="E31" i="4"/>
  <c r="C31" i="4"/>
  <c r="F31" i="4"/>
  <c r="G39" i="4"/>
  <c r="B39" i="4"/>
  <c r="F39" i="4"/>
  <c r="C39" i="4"/>
  <c r="E39" i="4"/>
  <c r="G47" i="4"/>
  <c r="F47" i="4"/>
  <c r="B47" i="4"/>
  <c r="E47" i="4"/>
  <c r="C47" i="4"/>
  <c r="E14" i="4"/>
  <c r="G14" i="4"/>
  <c r="F14" i="4"/>
  <c r="C14" i="4"/>
  <c r="B14" i="4"/>
  <c r="B48" i="4"/>
  <c r="E48" i="4"/>
  <c r="C48" i="4"/>
  <c r="F48" i="4"/>
  <c r="G48" i="4"/>
  <c r="F9" i="4"/>
  <c r="C9" i="4"/>
  <c r="H9" i="8" s="1"/>
  <c r="G9" i="4"/>
  <c r="E9" i="4"/>
  <c r="B9" i="4"/>
  <c r="F17" i="4"/>
  <c r="G17" i="4"/>
  <c r="C17" i="4"/>
  <c r="E17" i="4"/>
  <c r="B17" i="4"/>
  <c r="F25" i="4"/>
  <c r="G25" i="4"/>
  <c r="C25" i="4"/>
  <c r="E25" i="4"/>
  <c r="B25" i="4"/>
  <c r="F33" i="4"/>
  <c r="G33" i="4"/>
  <c r="E33" i="4"/>
  <c r="C33" i="4"/>
  <c r="B33" i="4"/>
  <c r="F41" i="4"/>
  <c r="E41" i="4"/>
  <c r="G41" i="4"/>
  <c r="C41" i="4"/>
  <c r="B41" i="4"/>
  <c r="F49" i="4"/>
  <c r="C49" i="4"/>
  <c r="G49" i="4"/>
  <c r="B49" i="4"/>
  <c r="E49" i="4"/>
  <c r="B8" i="4"/>
  <c r="C8" i="4"/>
  <c r="H8" i="8" s="1"/>
  <c r="E8" i="4"/>
  <c r="F8" i="4"/>
  <c r="G8" i="4"/>
  <c r="B40" i="4"/>
  <c r="C40" i="4"/>
  <c r="E40" i="4"/>
  <c r="F40" i="4"/>
  <c r="G40" i="4"/>
  <c r="F2" i="4"/>
  <c r="C2" i="4"/>
  <c r="H2" i="8" s="1"/>
  <c r="E2" i="4"/>
  <c r="G2" i="4"/>
  <c r="B2" i="4"/>
  <c r="B10" i="4"/>
  <c r="G10" i="4"/>
  <c r="C10" i="4"/>
  <c r="F10" i="4"/>
  <c r="E10" i="4"/>
  <c r="B18" i="4"/>
  <c r="G18" i="4"/>
  <c r="C18" i="4"/>
  <c r="E18" i="4"/>
  <c r="F18" i="4"/>
  <c r="B26" i="4"/>
  <c r="C26" i="4"/>
  <c r="E26" i="4"/>
  <c r="F26" i="4"/>
  <c r="G26" i="4"/>
  <c r="B34" i="4"/>
  <c r="G34" i="4"/>
  <c r="C34" i="4"/>
  <c r="F34" i="4"/>
  <c r="E34" i="4"/>
  <c r="B42" i="4"/>
  <c r="G42" i="4"/>
  <c r="C42" i="4"/>
  <c r="E42" i="4"/>
  <c r="F42" i="4"/>
  <c r="B50" i="4"/>
  <c r="C50" i="4"/>
  <c r="F50" i="4"/>
  <c r="E50" i="4"/>
  <c r="G50" i="4"/>
  <c r="B16" i="4"/>
  <c r="C16" i="4"/>
  <c r="E16" i="4"/>
  <c r="F16" i="4"/>
  <c r="G16" i="4"/>
  <c r="C11" i="4"/>
  <c r="E11" i="4"/>
  <c r="F11" i="4"/>
  <c r="G11" i="4"/>
  <c r="B11" i="4"/>
  <c r="C19" i="4"/>
  <c r="E19" i="4"/>
  <c r="F19" i="4"/>
  <c r="B19" i="4"/>
  <c r="G19" i="4"/>
  <c r="C27" i="4"/>
  <c r="F27" i="4"/>
  <c r="E27" i="4"/>
  <c r="G27" i="4"/>
  <c r="B27" i="4"/>
  <c r="B35" i="4"/>
  <c r="C35" i="4"/>
  <c r="F35" i="4"/>
  <c r="E35" i="4"/>
  <c r="G35" i="4"/>
  <c r="C43" i="4"/>
  <c r="E43" i="4"/>
  <c r="F43" i="4"/>
  <c r="B43" i="4"/>
  <c r="G43" i="4"/>
  <c r="E30" i="4"/>
  <c r="G30" i="4"/>
  <c r="B30" i="4"/>
  <c r="F30" i="4"/>
  <c r="C30" i="4"/>
  <c r="B32" i="4"/>
  <c r="C32" i="4"/>
  <c r="E32" i="4"/>
  <c r="F32" i="4"/>
  <c r="G32" i="4"/>
  <c r="G4" i="4"/>
  <c r="F4" i="4"/>
  <c r="C4" i="4"/>
  <c r="H4" i="8" s="1"/>
  <c r="B4" i="4"/>
  <c r="E4" i="4"/>
  <c r="F12" i="4"/>
  <c r="G12" i="4"/>
  <c r="E12" i="4"/>
  <c r="B12" i="4"/>
  <c r="C12" i="4"/>
  <c r="G20" i="4"/>
  <c r="F20" i="4"/>
  <c r="C20" i="4"/>
  <c r="B20" i="4"/>
  <c r="E20" i="4"/>
  <c r="G28" i="4"/>
  <c r="F28" i="4"/>
  <c r="C28" i="4"/>
  <c r="E28" i="4"/>
  <c r="B28" i="4"/>
  <c r="G36" i="4"/>
  <c r="E36" i="4"/>
  <c r="F36" i="4"/>
  <c r="B36" i="4"/>
  <c r="C36" i="4"/>
  <c r="G44" i="4"/>
  <c r="F44" i="4"/>
  <c r="C44" i="4"/>
  <c r="B44" i="4"/>
  <c r="E44" i="4"/>
  <c r="E38" i="4"/>
  <c r="G38" i="4"/>
  <c r="F38" i="4"/>
  <c r="B38" i="4"/>
  <c r="C38" i="4"/>
  <c r="B24" i="4"/>
  <c r="E24" i="4"/>
  <c r="C24" i="4"/>
  <c r="F24" i="4"/>
  <c r="G24" i="4"/>
  <c r="C3" i="4"/>
  <c r="H3" i="8" s="1"/>
  <c r="E3" i="4"/>
  <c r="F3" i="4"/>
  <c r="B3" i="4"/>
  <c r="G3" i="4"/>
  <c r="C5" i="4"/>
  <c r="H5" i="8" s="1"/>
  <c r="B5" i="4"/>
  <c r="E5" i="4"/>
  <c r="F5" i="4"/>
  <c r="G5" i="4"/>
  <c r="B13" i="4"/>
  <c r="C13" i="4"/>
  <c r="E13" i="4"/>
  <c r="G13" i="4"/>
  <c r="F13" i="4"/>
  <c r="C21" i="4"/>
  <c r="B21" i="4"/>
  <c r="E21" i="4"/>
  <c r="F21" i="4"/>
  <c r="G21" i="4"/>
  <c r="B29" i="4"/>
  <c r="C29" i="4"/>
  <c r="E29" i="4"/>
  <c r="F29" i="4"/>
  <c r="G29" i="4"/>
  <c r="B37" i="4"/>
  <c r="C37" i="4"/>
  <c r="E37" i="4"/>
  <c r="G37" i="4"/>
  <c r="F37" i="4"/>
  <c r="C45" i="4"/>
  <c r="B45" i="4"/>
  <c r="E45" i="4"/>
  <c r="F45" i="4"/>
  <c r="G45" i="4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E7" i="7" l="1"/>
  <c r="B7" i="7"/>
  <c r="C7" i="7"/>
  <c r="D7" i="7"/>
  <c r="G7" i="7"/>
  <c r="F7" i="7"/>
  <c r="H7" i="7"/>
  <c r="B3" i="7"/>
  <c r="G3" i="7"/>
  <c r="C3" i="7"/>
  <c r="D3" i="7"/>
  <c r="E3" i="7"/>
  <c r="F3" i="7"/>
  <c r="H3" i="7"/>
  <c r="B4" i="7"/>
  <c r="D4" i="7"/>
  <c r="E4" i="7"/>
  <c r="F4" i="7"/>
  <c r="G4" i="7"/>
  <c r="H4" i="7"/>
  <c r="C4" i="7"/>
  <c r="F8" i="7"/>
  <c r="C8" i="7"/>
  <c r="D8" i="7"/>
  <c r="E8" i="7"/>
  <c r="G8" i="7"/>
  <c r="H8" i="7"/>
  <c r="B8" i="7"/>
  <c r="H2" i="7"/>
  <c r="B2" i="7"/>
  <c r="G2" i="7"/>
  <c r="E2" i="7"/>
  <c r="F2" i="7"/>
  <c r="D2" i="7"/>
  <c r="C2" i="7"/>
  <c r="G9" i="7"/>
  <c r="E9" i="7"/>
  <c r="F9" i="7"/>
  <c r="H9" i="7"/>
  <c r="B9" i="7"/>
  <c r="C9" i="7"/>
  <c r="D9" i="7"/>
  <c r="C5" i="7"/>
  <c r="F5" i="7"/>
  <c r="G5" i="7"/>
  <c r="B5" i="7"/>
  <c r="H5" i="7"/>
  <c r="D5" i="7"/>
  <c r="E5" i="7"/>
  <c r="D6" i="7"/>
  <c r="H6" i="7"/>
  <c r="B6" i="7"/>
  <c r="E6" i="7"/>
  <c r="C6" i="7"/>
  <c r="F6" i="7"/>
  <c r="G6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<sst xmlns="http://schemas.openxmlformats.org/spreadsheetml/2006/main" count="93" uniqueCount="66">
  <si>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</si>
  <si>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</si>
  <si>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</si>
  <si>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</si>
  <si>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</si>
  <si>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</si>
  <si>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</si>
  <si>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</si>
  <si>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</si>
  <si>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</si>
  <si>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</si>
  <si>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</si>
  <si>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</si>
  <si>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</si>
  <si>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</si>
  <si>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</si>
  <si>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</si>
  <si>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</si>
  <si>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</si>
  <si>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</si>
  <si>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</si>
  <si>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</si>
  <si>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</si>
  <si>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</si>
  <si>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</si>
  <si>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</si>
  <si>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</si>
  <si>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</si>
  <si>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MAIA Strategic Reserve</t>
  </si>
  <si>
    <t>MAIA Blended Cautious</t>
  </si>
  <si>
    <t>MAIA Blended Defensive</t>
  </si>
  <si>
    <t>MAIA Blended Income</t>
  </si>
  <si>
    <t>MAIA Blended Balanced Income</t>
  </si>
  <si>
    <t>MAIA Blended Balanced</t>
  </si>
  <si>
    <t>MAIA Blended Growth</t>
  </si>
  <si>
    <t>MAIA Blended Adventurous</t>
  </si>
  <si>
    <t>https://maia-am.co.uk/resources/</t>
  </si>
  <si>
    <t>ALL DOCUMENTS</t>
  </si>
  <si>
    <t>Annual Management Charge</t>
  </si>
  <si>
    <t>Ongoing Fund Charges*</t>
  </si>
  <si>
    <t>Fixed Interest</t>
  </si>
  <si>
    <t>UK Equity</t>
  </si>
  <si>
    <t>US Equity</t>
  </si>
  <si>
    <t>European Equity</t>
  </si>
  <si>
    <t>Japanese Equity</t>
  </si>
  <si>
    <t>Asian Equity</t>
  </si>
  <si>
    <t>Emerging Market Equity</t>
  </si>
  <si>
    <t>Thematic Equity</t>
  </si>
  <si>
    <t>Long Short Equity</t>
  </si>
  <si>
    <t>Defined Returns</t>
  </si>
  <si>
    <t>Gold</t>
  </si>
  <si>
    <t>Infrastructure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</si>
  <si>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</si>
  <si>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</si>
  <si>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</si>
  <si>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</si>
  <si>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</si>
  <si>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</si>
  <si>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http://maia-am.co.uk/wp-content/uploads/2023/12/MAIA-Strategic-Reserve-Q4-2023.pdf</t>
  </si>
  <si>
    <t>http://maia-am.co.uk/wp-content/uploads/2023/12/MAIA-Blended-Cautious-Q4-2023.pdf</t>
  </si>
  <si>
    <t>http://maia-am.co.uk/wp-content/uploads/2023/12/MAIA-Blended-Defensive-Q4-2023.pdf</t>
  </si>
  <si>
    <t>http://maia-am.co.uk/wp-content/uploads/2023/12/MAIA-Blended-Income-Q4-2023.pdf</t>
  </si>
  <si>
    <t>http://maia-am.co.uk/wp-content/uploads/2023/12/MAIA-Blended-Balanced-Income-Q4-2023.pdf</t>
  </si>
  <si>
    <t>http://maia-am.co.uk/wp-content/uploads/2023/12/MAIA-Blended-Balanced-Q4-2023.pdf</t>
  </si>
  <si>
    <t>http://maia-am.co.uk/wp-content/uploads/2023/12/MAIA-Blended-Growth-Q4-2023.pdf</t>
  </si>
  <si>
    <t>http://maia-am.co.uk/wp-content/uploads/2023/12/MAIA-Blended-Adventurous-Q4-2023.pdf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</si>
</sst>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</xdr:row>
      <xdr:rowOff>177800</xdr:rowOff>
    </xdr:from>
    <xdr:to>
      <xdr:col>9</xdr:col>
      <xdr:colOff>330482</xdr:colOff>
      <xdr:row>26</xdr:row>
      <xdr:rowOff>108183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4B50CA5-26B9-656B-085D-D97FC8DB7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61950"/>
          <a:ext cx="5486682" cy="45341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N11" sqref="N11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0"/>
  <sheetViews>
    <sheetView workbookViewId="0">
      <selection activeCell="B12" sqref="B12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28</v>
      </c>
      <c r="B3" t="str">
        <f>'PDF Scraping'!D2</f>
        <v>http://maia-am.co.uk/wp-content/uploads/2023/12/MAIA-Strategic-Reserve-Q4-2023.pdf</v>
      </c>
      <c r="J3" s="4"/>
    </row>
    <row r="4" spans="1:10" x14ac:dyDescent="0.25">
      <c r="A4" t="s">
        <v>29</v>
      </c>
      <c r="B4" t="str">
        <f>'PDF Scraping'!D3</f>
        <v>http://maia-am.co.uk/wp-content/uploads/2023/12/MAIA-Blended-Cautious-Q4-2023.pdf</v>
      </c>
      <c r="J4" s="4"/>
    </row>
    <row r="5" spans="1:10" x14ac:dyDescent="0.25">
      <c r="A5" t="s">
        <v>30</v>
      </c>
      <c r="B5" t="str">
        <f>'PDF Scraping'!D4</f>
        <v>http://maia-am.co.uk/wp-content/uploads/2023/12/MAIA-Blended-Defensive-Q4-2023.pdf</v>
      </c>
    </row>
    <row r="6" spans="1:10" x14ac:dyDescent="0.25">
      <c r="A6" t="s">
        <v>31</v>
      </c>
      <c r="B6" t="str">
        <f>'PDF Scraping'!D5</f>
        <v>http://maia-am.co.uk/wp-content/uploads/2023/12/MAIA-Blended-Income-Q4-2023.pdf</v>
      </c>
    </row>
    <row r="7" spans="1:10" x14ac:dyDescent="0.25">
      <c r="A7" t="s">
        <v>32</v>
      </c>
      <c r="B7" t="str">
        <f>'PDF Scraping'!D6</f>
        <v>http://maia-am.co.uk/wp-content/uploads/2023/12/MAIA-Blended-Balanced-Income-Q4-2023.pdf</v>
      </c>
    </row>
    <row r="8" spans="1:10" x14ac:dyDescent="0.25">
      <c r="A8" t="s">
        <v>33</v>
      </c>
      <c r="B8" t="str">
        <f>'PDF Scraping'!D7</f>
        <v>http://maia-am.co.uk/wp-content/uploads/2023/12/MAIA-Blended-Balanced-Q4-2023.pdf</v>
      </c>
    </row>
    <row r="9" spans="1:10" x14ac:dyDescent="0.25">
      <c r="A9" t="s">
        <v>34</v>
      </c>
      <c r="B9" t="str">
        <f>'PDF Scraping'!D8</f>
        <v>http://maia-am.co.uk/wp-content/uploads/2023/12/MAIA-Blended-Growth-Q4-2023.pdf</v>
      </c>
    </row>
    <row r="10" spans="1:10" x14ac:dyDescent="0.25">
      <c r="A10" t="s">
        <v>35</v>
      </c>
      <c r="B10" t="str">
        <f>'PDF Scraping'!D9</f>
        <v>http://maia-am.co.uk/wp-content/uploads/2023/12/MAIA-Blended-Adventurous-Q4-2023.pdf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B2" sqref="B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22</v>
      </c>
      <c r="C1" t="s">
        <v>38</v>
      </c>
      <c r="D1" t="s">
        <v>39</v>
      </c>
    </row>
    <row r="2" spans="1:6" x14ac:dyDescent="0.25">
      <c r="A2" t="str">
        <f>IF(Input!A3="","",Input!A3)</f>
        <v>MAIA Strategic Reserve</v>
      </c>
      <c r="B2" s="1"/>
      <c r="C2" s="5"/>
      <c r="D2" s="5"/>
      <c r="E2" s="5"/>
      <c r="F2" s="5"/>
    </row>
    <row r="3" spans="1:6" x14ac:dyDescent="0.25">
      <c r="A3" t="str">
        <f>IF(Input!A4="","",Input!A4)</f>
        <v>MAIA Blended Cautious</v>
      </c>
      <c r="B3" s="1"/>
      <c r="C3" s="5"/>
      <c r="D3" s="5"/>
      <c r="E3" s="5"/>
      <c r="F3" s="5"/>
    </row>
    <row r="4" spans="1:6" x14ac:dyDescent="0.25">
      <c r="A4" t="str">
        <f>IF(Input!A5="","",Input!A5)</f>
        <v>MAIA Blended Defensive</v>
      </c>
      <c r="B4" s="1"/>
      <c r="C4" s="5"/>
      <c r="D4" s="5"/>
      <c r="E4" s="5"/>
      <c r="F4" s="5"/>
    </row>
    <row r="5" spans="1:6" x14ac:dyDescent="0.25">
      <c r="A5" t="str">
        <f>IF(Input!A6="","",Input!A6)</f>
        <v>MAIA Blended Income</v>
      </c>
      <c r="B5" s="1"/>
      <c r="C5" s="5"/>
      <c r="D5" s="5"/>
      <c r="E5" s="5"/>
      <c r="F5" s="5"/>
    </row>
    <row r="6" spans="1:6" x14ac:dyDescent="0.25">
      <c r="A6" t="str">
        <f>IF(Input!A7="","",Input!A7)</f>
        <v>MAIA Blended Balanced Income</v>
      </c>
      <c r="B6" s="1"/>
      <c r="C6" s="5"/>
      <c r="D6" s="5"/>
      <c r="E6" s="5"/>
      <c r="F6" s="5"/>
    </row>
    <row r="7" spans="1:6" x14ac:dyDescent="0.25">
      <c r="A7" t="str">
        <f>IF(Input!A8="","",Input!A8)</f>
        <v>MAIA Blended Balanced</v>
      </c>
      <c r="B7" s="1"/>
      <c r="C7" s="5"/>
      <c r="D7" s="5"/>
      <c r="E7" s="5"/>
      <c r="F7" s="5"/>
    </row>
    <row r="8" spans="1:6" x14ac:dyDescent="0.25">
      <c r="A8" t="str">
        <f>IF(Input!A9="","",Input!A9)</f>
        <v>MAIA Blended Growth</v>
      </c>
      <c r="B8" s="1"/>
      <c r="C8" s="5"/>
      <c r="D8" s="5"/>
      <c r="E8" s="5"/>
      <c r="F8" s="5"/>
    </row>
    <row r="9" spans="1:6" x14ac:dyDescent="0.25">
      <c r="A9" t="str">
        <f>IF(Input!A10="","",Input!A10)</f>
        <v>MAIA Blended Adventurous</v>
      </c>
      <c r="B9" s="1"/>
      <c r="C9" s="5"/>
      <c r="D9" s="5"/>
      <c r="E9" s="5"/>
      <c r="F9" s="5"/>
    </row>
    <row r="10" spans="1:6" x14ac:dyDescent="0.25">
      <c r="A10" t="str">
        <f>IF(Input!A11="","",Input!A11)</f>
        <v/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/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I3" sqref="I3"/>
    </sheetView>
  </sheetViews>
  <sheetFormatPr defaultRowHeight="15" x14ac:dyDescent="0.25"/>
  <cols>
    <col min="1" max="1" width="27.7109375" bestFit="1" customWidth="1"/>
    <col min="2" max="2" width="12.140625" bestFit="1" customWidth="1"/>
    <col min="3" max="3" width="8.7109375" bestFit="1" customWidth="1"/>
    <col min="4" max="4" width="8.5703125" bestFit="1" customWidth="1"/>
    <col min="5" max="5" width="14.5703125" bestFit="1" customWidth="1"/>
    <col min="6" max="6" width="14.140625" bestFit="1" customWidth="1"/>
    <col min="7" max="7" width="11" bestFit="1" customWidth="1"/>
    <col min="8" max="8" width="20.85546875" bestFit="1" customWidth="1"/>
    <col min="9" max="9" width="14.140625" bestFit="1" customWidth="1"/>
    <col min="10" max="10" width="11.85546875" bestFit="1" customWidth="1"/>
    <col min="11" max="11" width="15.42578125" bestFit="1" customWidth="1"/>
    <col min="12" max="12" width="14.42578125" bestFit="1" customWidth="1"/>
    <col min="13" max="13" width="5.85546875" bestFit="1" customWidth="1"/>
    <col min="14" max="14" width="12.42578125" bestFit="1" customWidth="1"/>
    <col min="15" max="15" width="6.8554687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17</v>
      </c>
      <c r="K1" t="s">
        <v>48</v>
      </c>
      <c r="L1" t="s">
        <v>49</v>
      </c>
      <c r="M1" t="s">
        <v>50</v>
      </c>
      <c r="N1" t="s">
        <v>51</v>
      </c>
      <c r="O1" t="s">
        <v>4</v>
      </c>
    </row>
    <row r="2" spans="1:30" x14ac:dyDescent="0.25">
      <c r="A2" t="str">
        <f>IF(Input!A3="","",Input!A3)</f>
        <v>MAIA Strategic Reserve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MAIA Blended Cautious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MAIA Blended Defensive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MAIA Blended Income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MAIA Blended Balanced Income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MAIA Blended Balanced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MAIA Blended Growth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MAIA Blended Adventurous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D10" sqref="D10"/>
    </sheetView>
  </sheetViews>
  <sheetFormatPr defaultRowHeight="15" x14ac:dyDescent="0.25"/>
  <cols>
    <col min="1" max="1" width="29.85546875" bestFit="1" customWidth="1"/>
    <col min="2" max="2" width="31.85546875" bestFit="1" customWidth="1"/>
    <col min="3" max="3" width="29.85546875" bestFit="1" customWidth="1"/>
    <col min="4" max="4" width="112.140625" style="8" bestFit="1" customWidth="1"/>
    <col min="5" max="5" width="15.8554687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MAIA Strategic Reserve</v>
      </c>
      <c r="B2" t="s">
        <v>36</v>
      </c>
      <c r="C2" t="s">
        <v>28</v>
      </c>
      <c r="D2" s="8" t="s">
        <v>58</v>
      </c>
      <c r="E2" t="s">
        <v>37</v>
      </c>
    </row>
    <row r="3" spans="1:5" x14ac:dyDescent="0.25">
      <c r="A3" t="str">
        <f>IF(Input!A4="","",Input!A4)</f>
        <v>MAIA Blended Cautious</v>
      </c>
      <c r="B3" t="s">
        <v>36</v>
      </c>
      <c r="C3" t="s">
        <v>29</v>
      </c>
      <c r="D3" s="8" t="s">
        <v>59</v>
      </c>
      <c r="E3" t="s">
        <v>37</v>
      </c>
    </row>
    <row r="4" spans="1:5" x14ac:dyDescent="0.25">
      <c r="A4" t="str">
        <f>IF(Input!A5="","",Input!A5)</f>
        <v>MAIA Blended Defensive</v>
      </c>
      <c r="B4" t="s">
        <v>36</v>
      </c>
      <c r="C4" t="s">
        <v>30</v>
      </c>
      <c r="D4" s="8" t="s">
        <v>60</v>
      </c>
      <c r="E4" t="s">
        <v>37</v>
      </c>
    </row>
    <row r="5" spans="1:5" x14ac:dyDescent="0.25">
      <c r="A5" t="str">
        <f>IF(Input!A6="","",Input!A6)</f>
        <v>MAIA Blended Income</v>
      </c>
      <c r="B5" t="s">
        <v>36</v>
      </c>
      <c r="C5" t="s">
        <v>31</v>
      </c>
      <c r="D5" s="8" t="s">
        <v>61</v>
      </c>
      <c r="E5" t="s">
        <v>37</v>
      </c>
    </row>
    <row r="6" spans="1:5" x14ac:dyDescent="0.25">
      <c r="A6" t="str">
        <f>IF(Input!A7="","",Input!A7)</f>
        <v>MAIA Blended Balanced Income</v>
      </c>
      <c r="B6" t="s">
        <v>36</v>
      </c>
      <c r="C6" t="s">
        <v>32</v>
      </c>
      <c r="D6" s="8" t="s">
        <v>62</v>
      </c>
      <c r="E6" t="s">
        <v>37</v>
      </c>
    </row>
    <row r="7" spans="1:5" x14ac:dyDescent="0.25">
      <c r="A7" t="str">
        <f>IF(Input!A8="","",Input!A8)</f>
        <v>MAIA Blended Balanced</v>
      </c>
      <c r="B7" t="s">
        <v>36</v>
      </c>
      <c r="C7" t="s">
        <v>33</v>
      </c>
      <c r="D7" s="8" t="s">
        <v>63</v>
      </c>
      <c r="E7" t="s">
        <v>37</v>
      </c>
    </row>
    <row r="8" spans="1:5" x14ac:dyDescent="0.25">
      <c r="A8" t="str">
        <f>IF(Input!A9="","",Input!A9)</f>
        <v>MAIA Blended Growth</v>
      </c>
      <c r="B8" t="s">
        <v>36</v>
      </c>
      <c r="C8" t="s">
        <v>34</v>
      </c>
      <c r="D8" s="8" t="s">
        <v>64</v>
      </c>
      <c r="E8" t="s">
        <v>37</v>
      </c>
    </row>
    <row r="9" spans="1:5" x14ac:dyDescent="0.25">
      <c r="A9" t="str">
        <f>IF(Input!A10="","",Input!A10)</f>
        <v>MAIA Blended Adventurous</v>
      </c>
      <c r="B9" t="s">
        <v>36</v>
      </c>
      <c r="C9" t="s">
        <v>35</v>
      </c>
      <c r="D9" s="8" t="s">
        <v>65</v>
      </c>
      <c r="E9" t="s">
        <v>37</v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MAIA Strategic Reserve</v>
      </c>
      <c r="B2" s="1" t="e">
        <f>IF(A2="","",EOMONTH(SUBSTITUTE('Additional Information'!B2,".","/"),0))</f>
        <v>#VALUE!</v>
      </c>
    </row>
    <row r="3" spans="1:2" x14ac:dyDescent="0.25">
      <c r="A3" t="str">
        <f>IF(Input!A4="","",Input!A4)</f>
        <v>MAIA Blended Cautious</v>
      </c>
      <c r="B3" s="1" t="e">
        <f>IF(A3="","",EOMONTH(SUBSTITUTE('Additional Information'!B3,".","/"),0))</f>
        <v>#VALUE!</v>
      </c>
    </row>
    <row r="4" spans="1:2" x14ac:dyDescent="0.25">
      <c r="A4" t="str">
        <f>IF(Input!A5="","",Input!A5)</f>
        <v>MAIA Blended Defensive</v>
      </c>
      <c r="B4" s="1" t="e">
        <f>IF(A4="","",EOMONTH(SUBSTITUTE('Additional Information'!B4,".","/"),0))</f>
        <v>#VALUE!</v>
      </c>
    </row>
    <row r="5" spans="1:2" x14ac:dyDescent="0.25">
      <c r="A5" t="str">
        <f>IF(Input!A6="","",Input!A6)</f>
        <v>MAIA Blended Income</v>
      </c>
      <c r="B5" s="1" t="e">
        <f>IF(A5="","",EOMONTH(SUBSTITUTE('Additional Information'!B5,".","/"),0))</f>
        <v>#VALUE!</v>
      </c>
    </row>
    <row r="6" spans="1:2" x14ac:dyDescent="0.25">
      <c r="A6" t="str">
        <f>IF(Input!A7="","",Input!A7)</f>
        <v>MAIA Blended Balanced Income</v>
      </c>
      <c r="B6" s="1" t="e">
        <f>IF(A6="","",EOMONTH(SUBSTITUTE('Additional Information'!B6,".","/"),0))</f>
        <v>#VALUE!</v>
      </c>
    </row>
    <row r="7" spans="1:2" x14ac:dyDescent="0.25">
      <c r="A7" t="str">
        <f>IF(Input!A8="","",Input!A8)</f>
        <v>MAIA Blended Balanced</v>
      </c>
      <c r="B7" s="1" t="e">
        <f>IF(A7="","",EOMONTH(SUBSTITUTE('Additional Information'!B7,".","/"),0))</f>
        <v>#VALUE!</v>
      </c>
    </row>
    <row r="8" spans="1:2" x14ac:dyDescent="0.25">
      <c r="A8" t="str">
        <f>IF(Input!A9="","",Input!A9)</f>
        <v>MAIA Blended Growth</v>
      </c>
      <c r="B8" s="1" t="e">
        <f>IF(A8="","",EOMONTH(SUBSTITUTE('Additional Information'!B8,".","/"),0))</f>
        <v>#VALUE!</v>
      </c>
    </row>
    <row r="9" spans="1:2" x14ac:dyDescent="0.25">
      <c r="A9" t="str">
        <f>IF(Input!A10="","",Input!A10)</f>
        <v>MAIA Blended Adventurous</v>
      </c>
      <c r="B9" s="1" t="e">
        <f>IF(A9="","",EOMONTH(SUBSTITUTE('Additional Information'!B9,".","/"),0))</f>
        <v>#VALUE!</v>
      </c>
    </row>
    <row r="10" spans="1:2" x14ac:dyDescent="0.25">
      <c r="A10" t="str">
        <f>IF(Input!A11="","",Input!A11)</f>
        <v/>
      </c>
      <c r="B10" s="1" t="str">
        <f>IF(A10="","",EOMONTH(SUBSTITUTE('Additional Information'!B10,".","/"),0))</f>
        <v/>
      </c>
    </row>
    <row r="11" spans="1:2" x14ac:dyDescent="0.25">
      <c r="A11" t="str">
        <f>IF(Input!A12="","",Input!A12)</f>
        <v/>
      </c>
      <c r="B11" s="1" t="str">
        <f>IF(A11="","",EOMONTH(SUBSTITUTE('Additional Information'!B11,".","/"),0))</f>
        <v/>
      </c>
    </row>
    <row r="12" spans="1:2" x14ac:dyDescent="0.25">
      <c r="A12" t="str">
        <f>IF(Input!A13="","",Input!A13)</f>
        <v/>
      </c>
      <c r="B12" s="1" t="str">
        <f>IF(A12="","",EOMONTH(SUBSTITUTE('Additional Information'!B12,".","/"),0))</f>
        <v/>
      </c>
    </row>
    <row r="13" spans="1:2" x14ac:dyDescent="0.25">
      <c r="A13" t="str">
        <f>IF(Input!A14="","",Input!A14)</f>
        <v/>
      </c>
      <c r="B13" s="1" t="str">
        <f>IF(A13="","",EOMONTH(SUBSTITUTE('Additional Information'!B13,".","/"),0))</f>
        <v/>
      </c>
    </row>
    <row r="14" spans="1:2" x14ac:dyDescent="0.25">
      <c r="A14" t="str">
        <f>IF(Input!A15="","",Input!A15)</f>
        <v/>
      </c>
      <c r="B14" s="1" t="str">
        <f>IF(A14="","",EOMONTH(SUBSTITUTE('Additional Information'!B14,".","/"),0))</f>
        <v/>
      </c>
    </row>
    <row r="15" spans="1:2" x14ac:dyDescent="0.25">
      <c r="A15" t="str">
        <f>IF(Input!A16="","",Input!A16)</f>
        <v/>
      </c>
      <c r="B15" s="1" t="str">
        <f>IF(A15="","",EOMONTH(SUBSTITUTE('Additional Information'!B15,".","/"),0))</f>
        <v/>
      </c>
    </row>
    <row r="16" spans="1:2" x14ac:dyDescent="0.25">
      <c r="A16" t="str">
        <f>IF(Input!A17="","",Input!A17)</f>
        <v/>
      </c>
      <c r="B16" s="1" t="str">
        <f>IF(A16="","",EOMONTH(SUBSTITUTE('Additional Information'!B16,".","/"),0))</f>
        <v/>
      </c>
    </row>
    <row r="17" spans="1:2" x14ac:dyDescent="0.25">
      <c r="A17" t="str">
        <f>IF(Input!A18="","",Input!A18)</f>
        <v/>
      </c>
      <c r="B17" s="1" t="str">
        <f>IF(A17="","",EOMONTH(SUBSTITUTE('Additional Information'!B17,".","/"),0))</f>
        <v/>
      </c>
    </row>
    <row r="18" spans="1:2" x14ac:dyDescent="0.25">
      <c r="A18" t="str">
        <f>IF(Input!A19="","",Input!A19)</f>
        <v/>
      </c>
      <c r="B18" s="1" t="str">
        <f>IF(A18="","",EOMONTH(SUBSTITUTE('Additional Information'!B18,".","/"),0))</f>
        <v/>
      </c>
    </row>
    <row r="19" spans="1:2" x14ac:dyDescent="0.25">
      <c r="A19" t="str">
        <f>IF(Input!A20="","",Input!A20)</f>
        <v/>
      </c>
      <c r="B19" s="1" t="str">
        <f>IF(A19="","",EOMONTH(SUBSTITUTE('Additional Information'!B19,".","/"),0))</f>
        <v/>
      </c>
    </row>
    <row r="20" spans="1:2" x14ac:dyDescent="0.25">
      <c r="A20" t="str">
        <f>IF(Input!A21="","",Input!A21)</f>
        <v/>
      </c>
      <c r="B20" s="1" t="str">
        <f>IF(A20="","",EOMONTH(SUBSTITUTE('Additional Information'!B20,".","/"),0))</f>
        <v/>
      </c>
    </row>
    <row r="21" spans="1:2" x14ac:dyDescent="0.25">
      <c r="A21" t="str">
        <f>IF(Input!A22="","",Input!A22)</f>
        <v/>
      </c>
      <c r="B21" s="1" t="str">
        <f>IF(A21="","",EOMONTH(SUBSTITUTE('Additional Information'!B21,".","/"),0))</f>
        <v/>
      </c>
    </row>
    <row r="22" spans="1:2" x14ac:dyDescent="0.25">
      <c r="A22" t="str">
        <f>IF(Input!A23="","",Input!A23)</f>
        <v/>
      </c>
      <c r="B22" s="1" t="str">
        <f>IF(A22="","",EOMONTH(SUBSTITUTE('Additional Information'!B22,".","/"),0))</f>
        <v/>
      </c>
    </row>
    <row r="23" spans="1:2" x14ac:dyDescent="0.25">
      <c r="A23" t="str">
        <f>IF(Input!A24="","",Input!A24)</f>
        <v/>
      </c>
      <c r="B23" s="1" t="str">
        <f>IF(A23="","",EOMONTH(SUBSTITUTE('Additional Information'!B23,".","/"),0))</f>
        <v/>
      </c>
    </row>
    <row r="24" spans="1:2" x14ac:dyDescent="0.25">
      <c r="A24" t="str">
        <f>IF(Input!A25="","",Input!A25)</f>
        <v/>
      </c>
      <c r="B24" s="1" t="str">
        <f>IF(A24="","",EOMONTH(SUBSTITUTE('Additional Information'!B24,".","/"),0))</f>
        <v/>
      </c>
    </row>
    <row r="25" spans="1:2" x14ac:dyDescent="0.25">
      <c r="A25" t="str">
        <f>IF(Input!A26="","",Input!A26)</f>
        <v/>
      </c>
      <c r="B25" s="1" t="str">
        <f>IF(A25="","",EOMONTH(SUBSTITUTE('Additional Information'!B25,".","/"),0))</f>
        <v/>
      </c>
    </row>
    <row r="26" spans="1:2" x14ac:dyDescent="0.25">
      <c r="A26" t="str">
        <f>IF(Input!A27="","",Input!A27)</f>
        <v/>
      </c>
      <c r="B26" s="1" t="str">
        <f>IF(A26="","",EOMONTH(SUBSTITUTE('Additional Information'!B26,".","/"),0))</f>
        <v/>
      </c>
    </row>
    <row r="27" spans="1:2" x14ac:dyDescent="0.25">
      <c r="A27" t="str">
        <f>IF(Input!A28="","",Input!A28)</f>
        <v/>
      </c>
      <c r="B27" s="1" t="str">
        <f>IF(A27="","",EOMONTH(SUBSTITUTE('Additional Information'!B27,".","/"),0))</f>
        <v/>
      </c>
    </row>
    <row r="28" spans="1:2" x14ac:dyDescent="0.25">
      <c r="A28" t="str">
        <f>IF(Input!A29="","",Input!A29)</f>
        <v/>
      </c>
      <c r="B28" s="1" t="str">
        <f>IF(A28="","",EOMONTH(SUBSTITUTE('Additional Information'!B28,".","/"),0))</f>
        <v/>
      </c>
    </row>
    <row r="29" spans="1:2" x14ac:dyDescent="0.25">
      <c r="A29" t="str">
        <f>IF(Input!A30="","",Input!A30)</f>
        <v/>
      </c>
      <c r="B29" s="1" t="str">
        <f>IF(A29="","",EOMONTH(SUBSTITUTE('Additional Information'!B29,".","/"),0))</f>
        <v/>
      </c>
    </row>
    <row r="30" spans="1:2" x14ac:dyDescent="0.25">
      <c r="A30" t="str">
        <f>IF(Input!A31="","",Input!A31)</f>
        <v/>
      </c>
      <c r="B30" s="1" t="str">
        <f>IF(A30="","",EOMONTH(SUBSTITUTE('Additional Information'!B30,".","/"),0))</f>
        <v/>
      </c>
    </row>
    <row r="31" spans="1:2" x14ac:dyDescent="0.25">
      <c r="A31" t="str">
        <f>IF(Input!A32="","",Input!A32)</f>
        <v/>
      </c>
      <c r="B31" s="1" t="str">
        <f>IF(A31="","",EOMONTH(SUBSTITUTE('Additional Information'!B31,".","/"),0))</f>
        <v/>
      </c>
    </row>
    <row r="32" spans="1:2" x14ac:dyDescent="0.25">
      <c r="A32" t="str">
        <f>IF(Input!A33="","",Input!A33)</f>
        <v/>
      </c>
      <c r="B32" s="1" t="str">
        <f>IF(A32="","",EOMONTH(SUBSTITUTE('Additional Information'!B32,".","/"),0))</f>
        <v/>
      </c>
    </row>
    <row r="33" spans="1:2" x14ac:dyDescent="0.25">
      <c r="A33" t="str">
        <f>IF(Input!A34="","",Input!A34)</f>
        <v/>
      </c>
      <c r="B33" s="1" t="str">
        <f>IF(A33="","",EOMONTH(SUBSTITUTE('Additional Information'!B33,".","/"),0))</f>
        <v/>
      </c>
    </row>
    <row r="34" spans="1:2" x14ac:dyDescent="0.25">
      <c r="A34" t="str">
        <f>IF(Input!A35="","",Input!A35)</f>
        <v/>
      </c>
      <c r="B34" s="1" t="str">
        <f>IF(A34="","",EOMONTH(SUBSTITUTE('Additional Information'!B34,".","/"),0))</f>
        <v/>
      </c>
    </row>
    <row r="35" spans="1:2" x14ac:dyDescent="0.25">
      <c r="A35" t="str">
        <f>IF(Input!A36="","",Input!A36)</f>
        <v/>
      </c>
      <c r="B35" s="1" t="str">
        <f>IF(A35="","",EOMONTH(SUBSTITUTE('Additional Information'!B35,".","/"),0))</f>
        <v/>
      </c>
    </row>
    <row r="36" spans="1:2" x14ac:dyDescent="0.25">
      <c r="A36" t="str">
        <f>IF(Input!A37="","",Input!A37)</f>
        <v/>
      </c>
      <c r="B36" s="1" t="str">
        <f>IF(A36="","",EOMONTH(SUBSTITUTE('Additional Information'!B36,".","/"),0))</f>
        <v/>
      </c>
    </row>
    <row r="37" spans="1:2" x14ac:dyDescent="0.25">
      <c r="A37" t="str">
        <f>IF(Input!A38="","",Input!A38)</f>
        <v/>
      </c>
      <c r="B37" s="1" t="str">
        <f>IF(A37="","",EOMONTH(SUBSTITUTE('Additional Information'!B37,".","/"),0))</f>
        <v/>
      </c>
    </row>
    <row r="38" spans="1:2" x14ac:dyDescent="0.25">
      <c r="A38" t="str">
        <f>IF(Input!A39="","",Input!A39)</f>
        <v/>
      </c>
      <c r="B38" s="1" t="str">
        <f>IF(A38="","",EOMONTH(SUBSTITUTE('Additional Information'!B38,".","/"),0))</f>
        <v/>
      </c>
    </row>
    <row r="39" spans="1:2" x14ac:dyDescent="0.25">
      <c r="A39" t="str">
        <f>IF(Input!A40="","",Input!A40)</f>
        <v/>
      </c>
      <c r="B39" s="1" t="str">
        <f>IF(A39="","",EOMONTH(SUBSTITUTE('Additional Information'!B39,".","/"),0))</f>
        <v/>
      </c>
    </row>
    <row r="40" spans="1:2" x14ac:dyDescent="0.25">
      <c r="A40" t="str">
        <f>IF(Input!A41="","",Input!A41)</f>
        <v/>
      </c>
      <c r="B40" s="1" t="str">
        <f>IF(A40="","",EOMONTH(SUBSTITUTE('Additional Information'!B40,".","/"),0))</f>
        <v/>
      </c>
    </row>
    <row r="41" spans="1:2" x14ac:dyDescent="0.25">
      <c r="A41" t="str">
        <f>IF(Input!A42="","",Input!A42)</f>
        <v/>
      </c>
      <c r="B41" s="1" t="str">
        <f>IF(A41="","",EOMONTH(SUBSTITUTE('Additional Information'!B41,".","/"),0))</f>
        <v/>
      </c>
    </row>
    <row r="42" spans="1:2" x14ac:dyDescent="0.25">
      <c r="A42" t="str">
        <f>IF(Input!A43="","",Input!A43)</f>
        <v/>
      </c>
      <c r="B42" s="1" t="str">
        <f>IF(A42="","",EOMONTH(SUBSTITUTE('Additional Information'!B42,".","/"),0))</f>
        <v/>
      </c>
    </row>
    <row r="43" spans="1:2" x14ac:dyDescent="0.25">
      <c r="A43" t="str">
        <f>IF(Input!A44="","",Input!A44)</f>
        <v/>
      </c>
      <c r="B43" s="1" t="str">
        <f>IF(A43="","",EOMONTH(SUBSTITUTE('Additional Information'!B43,".","/"),0))</f>
        <v/>
      </c>
    </row>
    <row r="44" spans="1:2" x14ac:dyDescent="0.25">
      <c r="A44" t="str">
        <f>IF(Input!A45="","",Input!A45)</f>
        <v/>
      </c>
      <c r="B44" s="1" t="str">
        <f>IF(A44="","",EOMONTH(SUBSTITUTE('Additional Information'!B44,".","/"),0))</f>
        <v/>
      </c>
    </row>
    <row r="45" spans="1:2" x14ac:dyDescent="0.25">
      <c r="A45" t="str">
        <f>IF(Input!A46="","",Input!A46)</f>
        <v/>
      </c>
      <c r="B45" s="1" t="str">
        <f>IF(A45="","",EOMONTH(SUBSTITUTE('Additional Information'!B45,".","/"),0))</f>
        <v/>
      </c>
    </row>
    <row r="46" spans="1:2" x14ac:dyDescent="0.25">
      <c r="A46" t="str">
        <f>IF(Input!A47="","",Input!A47)</f>
        <v/>
      </c>
      <c r="B46" s="1" t="str">
        <f>IF(A46="","",EOMONTH(SUBSTITUTE('Additional Information'!B46,".","/"),0))</f>
        <v/>
      </c>
    </row>
    <row r="47" spans="1:2" x14ac:dyDescent="0.25">
      <c r="A47" t="str">
        <f>IF(Input!A48="","",Input!A48)</f>
        <v/>
      </c>
      <c r="B47" s="1" t="str">
        <f>IF(A47="","",EOMONTH(SUBSTITUTE('Additional Information'!B47,".","/"),0))</f>
        <v/>
      </c>
    </row>
    <row r="48" spans="1:2" x14ac:dyDescent="0.25">
      <c r="A48" t="str">
        <f>IF(Input!A49="","",Input!A49)</f>
        <v/>
      </c>
      <c r="B48" s="1" t="str">
        <f>IF(A48="","",EOMONTH(SUBSTITUTE('Additional Information'!B48,".","/"),0))</f>
        <v/>
      </c>
    </row>
    <row r="49" spans="1:2" x14ac:dyDescent="0.25">
      <c r="A49" t="str">
        <f>IF(Input!A50="","",Input!A50)</f>
        <v/>
      </c>
      <c r="B49" s="1" t="str">
        <f>IF(A49="","",EOMONTH(SUBSTITUTE('Additional Information'!B49,".","/"),0))</f>
        <v/>
      </c>
    </row>
    <row r="50" spans="1:2" x14ac:dyDescent="0.25">
      <c r="A50" t="str">
        <f>IF(Input!A51="","",Input!A51)</f>
        <v/>
      </c>
      <c r="B50" s="1" t="str">
        <f>IF(A50="","",EOMONTH(SUBSTITUTE('Additional Information'!B50,".","/"),0))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54</v>
      </c>
      <c r="D1" t="s">
        <v>18</v>
      </c>
      <c r="E1" t="s">
        <v>38</v>
      </c>
      <c r="F1" t="s">
        <v>55</v>
      </c>
      <c r="G1" t="s">
        <v>56</v>
      </c>
    </row>
    <row r="2" spans="1:7" x14ac:dyDescent="0.25">
      <c r="A2" t="str">
        <f>IF(Input!A3="","",Input!A3)</f>
        <v>MAIA Strategic Reserve</v>
      </c>
      <c r="D2" s="5">
        <f>IF(A2="","",SUM('Additional Information'!C2,'Additional Information'!D2))</f>
        <v>0</v>
      </c>
      <c r="E2">
        <f>IF(A2="","",SUM('Additional Information'!C2))</f>
        <v>0</v>
      </c>
    </row>
    <row r="3" spans="1:7" x14ac:dyDescent="0.25">
      <c r="A3" t="str">
        <f>IF(Input!A4="","",Input!A4)</f>
        <v>MAIA Blended Cautious</v>
      </c>
      <c r="D3" s="5">
        <f>IF(A3="","",SUM('Additional Information'!C3,'Additional Information'!D3))</f>
        <v>0</v>
      </c>
      <c r="E3">
        <f>IF(A3="","",SUM('Additional Information'!C3))</f>
        <v>0</v>
      </c>
    </row>
    <row r="4" spans="1:7" x14ac:dyDescent="0.25">
      <c r="A4" t="str">
        <f>IF(Input!A5="","",Input!A5)</f>
        <v>MAIA Blended Defensive</v>
      </c>
      <c r="D4" s="5">
        <f>IF(A4="","",SUM('Additional Information'!C4,'Additional Information'!D4))</f>
        <v>0</v>
      </c>
      <c r="E4">
        <f>IF(A4="","",SUM('Additional Information'!C4))</f>
        <v>0</v>
      </c>
    </row>
    <row r="5" spans="1:7" x14ac:dyDescent="0.25">
      <c r="A5" t="str">
        <f>IF(Input!A6="","",Input!A6)</f>
        <v>MAIA Blended Income</v>
      </c>
      <c r="D5" s="5">
        <f>IF(A5="","",SUM('Additional Information'!C5,'Additional Information'!D5))</f>
        <v>0</v>
      </c>
      <c r="E5">
        <f>IF(A5="","",SUM('Additional Information'!C5))</f>
        <v>0</v>
      </c>
    </row>
    <row r="6" spans="1:7" x14ac:dyDescent="0.25">
      <c r="A6" t="str">
        <f>IF(Input!A7="","",Input!A7)</f>
        <v>MAIA Blended Balanced Income</v>
      </c>
      <c r="D6" s="5">
        <f>IF(A6="","",SUM('Additional Information'!C6,'Additional Information'!D6))</f>
        <v>0</v>
      </c>
      <c r="E6">
        <f>IF(A6="","",SUM('Additional Information'!C6))</f>
        <v>0</v>
      </c>
    </row>
    <row r="7" spans="1:7" x14ac:dyDescent="0.25">
      <c r="A7" t="str">
        <f>IF(Input!A8="","",Input!A8)</f>
        <v>MAIA Blended Balanced</v>
      </c>
      <c r="D7" s="5">
        <f>IF(A7="","",SUM('Additional Information'!C7,'Additional Information'!D7))</f>
        <v>0</v>
      </c>
      <c r="E7">
        <f>IF(A7="","",SUM('Additional Information'!C7))</f>
        <v>0</v>
      </c>
    </row>
    <row r="8" spans="1:7" x14ac:dyDescent="0.25">
      <c r="A8" t="str">
        <f>IF(Input!A9="","",Input!A9)</f>
        <v>MAIA Blended Growth</v>
      </c>
      <c r="D8" s="5">
        <f>IF(A8="","",SUM('Additional Information'!C8,'Additional Information'!D8))</f>
        <v>0</v>
      </c>
      <c r="E8">
        <f>IF(A8="","",SUM('Additional Information'!C8))</f>
        <v>0</v>
      </c>
    </row>
    <row r="9" spans="1:7" x14ac:dyDescent="0.25">
      <c r="A9" t="str">
        <f>IF(Input!A10="","",Input!A10)</f>
        <v>MAIA Blended Adventurous</v>
      </c>
      <c r="D9" s="5">
        <f>IF(A9="","",SUM('Additional Information'!C9,'Additional Information'!D9))</f>
        <v>0</v>
      </c>
      <c r="E9">
        <f>IF(A9="","",SUM('Additional Information'!C9))</f>
        <v>0</v>
      </c>
    </row>
    <row r="10" spans="1:7" x14ac:dyDescent="0.25">
      <c r="A10" t="str">
        <f>IF(Input!A11="","",Input!A11)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</row>
    <row r="11" spans="1:7" x14ac:dyDescent="0.25">
      <c r="A11" t="str">
        <f>IF(Input!A12="","",Input!A12)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</row>
    <row r="12" spans="1:7" x14ac:dyDescent="0.25">
      <c r="A12" t="str">
        <f>IF(Input!A13="","",Input!A13)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</row>
    <row r="13" spans="1:7" x14ac:dyDescent="0.25">
      <c r="A13" t="str">
        <f>IF(Input!A14="","",Input!A14)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</row>
    <row r="14" spans="1:7" x14ac:dyDescent="0.25">
      <c r="A14" t="str">
        <f>IF(Input!A15="","",Input!A15)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</row>
    <row r="15" spans="1:7" x14ac:dyDescent="0.25">
      <c r="A15" t="str">
        <f>IF(Input!A16="","",Input!A16)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</row>
    <row r="16" spans="1:7" x14ac:dyDescent="0.25">
      <c r="A16" t="str">
        <f>IF(Input!A17="","",Input!A17)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</row>
    <row r="17" spans="1:5" x14ac:dyDescent="0.25">
      <c r="A17" t="str">
        <f>IF(Input!A18="","",Input!A18)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</row>
    <row r="18" spans="1:5" x14ac:dyDescent="0.25">
      <c r="A18" t="str">
        <f>IF(Input!A19="","",Input!A19)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</row>
    <row r="19" spans="1:5" x14ac:dyDescent="0.25">
      <c r="A19" t="str">
        <f>IF(Input!A20="","",Input!A20)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</row>
    <row r="20" spans="1:5" x14ac:dyDescent="0.25">
      <c r="A20" t="str">
        <f>IF(Input!A21="","",Input!A21)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</row>
    <row r="21" spans="1:5" x14ac:dyDescent="0.25">
      <c r="A21" t="str">
        <f>IF(Input!A22="","",Input!A22)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</row>
    <row r="22" spans="1:5" x14ac:dyDescent="0.25">
      <c r="A22" t="str">
        <f>IF(Input!A23="","",Input!A23)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</row>
    <row r="23" spans="1:5" x14ac:dyDescent="0.25">
      <c r="A23" t="str">
        <f>IF(Input!A24="","",Input!A24)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</row>
    <row r="24" spans="1:5" x14ac:dyDescent="0.25">
      <c r="A24" t="str">
        <f>IF(Input!A25="","",Input!A25)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</row>
    <row r="25" spans="1:5" x14ac:dyDescent="0.25">
      <c r="A25" t="str">
        <f>IF(Input!A26="","",Input!A26)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</row>
    <row r="26" spans="1:5" x14ac:dyDescent="0.25">
      <c r="A26" t="str">
        <f>IF(Input!A27="","",Input!A27)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25">
      <c r="A27" t="str">
        <f>IF(Input!A28="","",Input!A28)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25">
      <c r="A28" t="str">
        <f>IF(Input!A29="","",Input!A29)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25">
      <c r="A29" t="str">
        <f>IF(Input!A30="","",Input!A30)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25">
      <c r="A30" t="str">
        <f>IF(Input!A31="","",Input!A31)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25">
      <c r="A31" t="str">
        <f>IF(Input!A32="","",Input!A32)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25">
      <c r="A32" t="str">
        <f>IF(Input!A33="","",Input!A33)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25">
      <c r="A33" t="str">
        <f>IF(Input!A34="","",Input!A34)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25">
      <c r="A34" t="str">
        <f>IF(Input!A35="","",Input!A35)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MAIA Strategic Reserve</v>
      </c>
      <c r="B2">
        <f>IF(A2="","",SUM('Asset Allocation'!C2,'Asset Allocation'!D2,'Asset Allocation'!E2,'Asset Allocation'!F2,'Asset Allocation'!G2,'Asset Allocation'!H2,'Asset Allocation'!I2,'Asset Allocation'!J2,'Asset Allocation'!N2))</f>
        <v>0</v>
      </c>
      <c r="C2">
        <f>IF(A2="","",SUM('Asset Allocation'!B2))</f>
        <v>0</v>
      </c>
      <c r="E2">
        <f>IF(A2="","",SUM('Asset Allocation'!M2))</f>
        <v>0</v>
      </c>
      <c r="F2">
        <f>IF(A2="","",SUM('Asset Allocation'!K2,'Asset Allocation'!L2))</f>
        <v>0</v>
      </c>
      <c r="G2">
        <f>IF(A2="","",SUM('Asset Allocation'!O2))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MAIA Blended Cautious</v>
      </c>
      <c r="B3">
        <f>IF(A3="","",SUM('Asset Allocation'!C3,'Asset Allocation'!D3,'Asset Allocation'!E3,'Asset Allocation'!F3,'Asset Allocation'!G3,'Asset Allocation'!H3,'Asset Allocation'!I3,'Asset Allocation'!J3,'Asset Allocation'!N3))</f>
        <v>0</v>
      </c>
      <c r="C3">
        <f>IF(A3="","",SUM('Asset Allocation'!B3))</f>
        <v>0</v>
      </c>
      <c r="E3">
        <f>IF(A3="","",SUM('Asset Allocation'!M3))</f>
        <v>0</v>
      </c>
      <c r="F3">
        <f>IF(A3="","",SUM('Asset Allocation'!K3,'Asset Allocation'!L3))</f>
        <v>0</v>
      </c>
      <c r="G3">
        <f>IF(A3="","",SUM('Asset Allocation'!O3))</f>
        <v>0</v>
      </c>
      <c r="H3">
        <f t="shared" si="0"/>
        <v>1</v>
      </c>
    </row>
    <row r="4" spans="1:8" x14ac:dyDescent="0.25">
      <c r="A4" t="str">
        <f>IF(Input!A5="","",Input!A5)</f>
        <v>MAIA Blended Defensive</v>
      </c>
      <c r="B4">
        <f>IF(A4="","",SUM('Asset Allocation'!C4,'Asset Allocation'!D4,'Asset Allocation'!E4,'Asset Allocation'!F4,'Asset Allocation'!G4,'Asset Allocation'!H4,'Asset Allocation'!I4,'Asset Allocation'!J4,'Asset Allocation'!N4))</f>
        <v>0</v>
      </c>
      <c r="C4">
        <f>IF(A4="","",SUM('Asset Allocation'!B4))</f>
        <v>0</v>
      </c>
      <c r="E4">
        <f>IF(A4="","",SUM('Asset Allocation'!M4))</f>
        <v>0</v>
      </c>
      <c r="F4">
        <f>IF(A4="","",SUM('Asset Allocation'!K4,'Asset Allocation'!L4))</f>
        <v>0</v>
      </c>
      <c r="G4">
        <f>IF(A4="","",SUM('Asset Allocation'!O4))</f>
        <v>0</v>
      </c>
      <c r="H4">
        <f t="shared" si="0"/>
        <v>1</v>
      </c>
    </row>
    <row r="5" spans="1:8" x14ac:dyDescent="0.25">
      <c r="A5" t="str">
        <f>IF(Input!A6="","",Input!A6)</f>
        <v>MAIA Blended Income</v>
      </c>
      <c r="B5">
        <f>IF(A5="","",SUM('Asset Allocation'!C5,'Asset Allocation'!D5,'Asset Allocation'!E5,'Asset Allocation'!F5,'Asset Allocation'!G5,'Asset Allocation'!H5,'Asset Allocation'!I5,'Asset Allocation'!J5,'Asset Allocation'!N5))</f>
        <v>0</v>
      </c>
      <c r="C5">
        <f>IF(A5="","",SUM('Asset Allocation'!B5))</f>
        <v>0</v>
      </c>
      <c r="E5">
        <f>IF(A5="","",SUM('Asset Allocation'!M5))</f>
        <v>0</v>
      </c>
      <c r="F5">
        <f>IF(A5="","",SUM('Asset Allocation'!K5,'Asset Allocation'!L5))</f>
        <v>0</v>
      </c>
      <c r="G5">
        <f>IF(A5="","",SUM('Asset Allocation'!O5))</f>
        <v>0</v>
      </c>
      <c r="H5">
        <f t="shared" si="0"/>
        <v>1</v>
      </c>
    </row>
    <row r="6" spans="1:8" x14ac:dyDescent="0.25">
      <c r="A6" t="str">
        <f>IF(Input!A7="","",Input!A7)</f>
        <v>MAIA Blended Balanced Income</v>
      </c>
      <c r="B6">
        <f>IF(A6="","",SUM('Asset Allocation'!C6,'Asset Allocation'!D6,'Asset Allocation'!E6,'Asset Allocation'!F6,'Asset Allocation'!G6,'Asset Allocation'!H6,'Asset Allocation'!I6,'Asset Allocation'!J6,'Asset Allocation'!N6))</f>
        <v>0</v>
      </c>
      <c r="C6">
        <f>IF(A6="","",SUM('Asset Allocation'!B6))</f>
        <v>0</v>
      </c>
      <c r="E6">
        <f>IF(A6="","",SUM('Asset Allocation'!M6))</f>
        <v>0</v>
      </c>
      <c r="F6">
        <f>IF(A6="","",SUM('Asset Allocation'!K6,'Asset Allocation'!L6))</f>
        <v>0</v>
      </c>
      <c r="G6">
        <f>IF(A6="","",SUM('Asset Allocation'!O6))</f>
        <v>0</v>
      </c>
      <c r="H6">
        <f t="shared" si="0"/>
        <v>1</v>
      </c>
    </row>
    <row r="7" spans="1:8" x14ac:dyDescent="0.25">
      <c r="A7" t="str">
        <f>IF(Input!A8="","",Input!A8)</f>
        <v>MAIA Blended Balanced</v>
      </c>
      <c r="B7">
        <f>IF(A7="","",SUM('Asset Allocation'!C7,'Asset Allocation'!D7,'Asset Allocation'!E7,'Asset Allocation'!F7,'Asset Allocation'!G7,'Asset Allocation'!H7,'Asset Allocation'!I7,'Asset Allocation'!J7,'Asset Allocation'!N7))</f>
        <v>0</v>
      </c>
      <c r="C7">
        <f>IF(A7="","",SUM('Asset Allocation'!B7))</f>
        <v>0</v>
      </c>
      <c r="E7">
        <f>IF(A7="","",SUM('Asset Allocation'!M7))</f>
        <v>0</v>
      </c>
      <c r="F7">
        <f>IF(A7="","",SUM('Asset Allocation'!K7,'Asset Allocation'!L7))</f>
        <v>0</v>
      </c>
      <c r="G7">
        <f>IF(A7="","",SUM('Asset Allocation'!O7))</f>
        <v>0</v>
      </c>
      <c r="H7">
        <f t="shared" si="0"/>
        <v>1</v>
      </c>
    </row>
    <row r="8" spans="1:8" x14ac:dyDescent="0.25">
      <c r="A8" t="str">
        <f>IF(Input!A9="","",Input!A9)</f>
        <v>MAIA Blended Growth</v>
      </c>
      <c r="B8">
        <f>IF(A8="","",SUM('Asset Allocation'!C8,'Asset Allocation'!D8,'Asset Allocation'!E8,'Asset Allocation'!F8,'Asset Allocation'!G8,'Asset Allocation'!H8,'Asset Allocation'!I8,'Asset Allocation'!J8,'Asset Allocation'!N8))</f>
        <v>0</v>
      </c>
      <c r="C8">
        <f>IF(A8="","",SUM('Asset Allocation'!B8))</f>
        <v>0</v>
      </c>
      <c r="E8">
        <f>IF(A8="","",SUM('Asset Allocation'!M8))</f>
        <v>0</v>
      </c>
      <c r="F8">
        <f>IF(A8="","",SUM('Asset Allocation'!K8,'Asset Allocation'!L8))</f>
        <v>0</v>
      </c>
      <c r="G8">
        <f>IF(A8="","",SUM('Asset Allocation'!O8))</f>
        <v>0</v>
      </c>
      <c r="H8">
        <f t="shared" si="0"/>
        <v>1</v>
      </c>
    </row>
    <row r="9" spans="1:8" x14ac:dyDescent="0.25">
      <c r="A9" t="str">
        <f>IF(Input!A10="","",Input!A10)</f>
        <v>MAIA Blended Adventurous</v>
      </c>
      <c r="B9">
        <f>IF(A9="","",SUM('Asset Allocation'!C9,'Asset Allocation'!D9,'Asset Allocation'!E9,'Asset Allocation'!F9,'Asset Allocation'!G9,'Asset Allocation'!H9,'Asset Allocation'!I9,'Asset Allocation'!J9,'Asset Allocation'!N9))</f>
        <v>0</v>
      </c>
      <c r="C9">
        <f>IF(A9="","",SUM('Asset Allocation'!B9))</f>
        <v>0</v>
      </c>
      <c r="E9">
        <f>IF(A9="","",SUM('Asset Allocation'!M9))</f>
        <v>0</v>
      </c>
      <c r="F9">
        <f>IF(A9="","",SUM('Asset Allocation'!K9,'Asset Allocation'!L9))</f>
        <v>0</v>
      </c>
      <c r="G9">
        <f>IF(A9="","",SUM('Asset Allocation'!O9))</f>
        <v>0</v>
      </c>
      <c r="H9">
        <f t="shared" si="0"/>
        <v>1</v>
      </c>
    </row>
    <row r="10" spans="1:8" x14ac:dyDescent="0.25">
      <c r="A10" t="str">
        <f>IF(Input!A11="","",Input!A11)</f>
        <v/>
      </c>
      <c r="B10" t="str">
        <f>IF(A10="","",SUM('Asset Allocation'!C10,'Asset Allocation'!D10,'Asset Allocation'!E10,'Asset Allocation'!F10,'Asset Allocation'!G10,'Asset Allocation'!H10,'Asset Allocation'!I10,'Asset Allocation'!J10,'Asset Allocation'!N10))</f>
        <v/>
      </c>
      <c r="C10" t="str">
        <f>IF(A10="","",SUM('Asset Allocation'!B10))</f>
        <v/>
      </c>
      <c r="E10" t="str">
        <f>IF(A10="","",SUM('Asset Allocation'!M10))</f>
        <v/>
      </c>
      <c r="F10" t="str">
        <f>IF(A10="","",SUM('Asset Allocation'!K10,'Asset Allocation'!L10))</f>
        <v/>
      </c>
      <c r="G10" t="str">
        <f>IF(A10="","",SUM('Asset Allocation'!O10))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Allocation'!C11,'Asset Allocation'!D11,'Asset Allocation'!E11,'Asset Allocation'!F11,'Asset Allocation'!G11,'Asset Allocation'!H11,'Asset Allocation'!I11,'Asset Allocation'!J11,'Asset Allocation'!N11))</f>
        <v/>
      </c>
      <c r="C11" t="str">
        <f>IF(A11="","",SUM('Asset Allocation'!B11))</f>
        <v/>
      </c>
      <c r="E11" t="str">
        <f>IF(A11="","",SUM('Asset Allocation'!M11))</f>
        <v/>
      </c>
      <c r="F11" t="str">
        <f>IF(A11="","",SUM('Asset Allocation'!K11,'Asset Allocation'!L11))</f>
        <v/>
      </c>
      <c r="G11" t="str">
        <f>IF(A11="","",SUM('Asset Allocation'!O11))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Allocation'!C12,'Asset Allocation'!D12,'Asset Allocation'!E12,'Asset Allocation'!F12,'Asset Allocation'!G12,'Asset Allocation'!H12,'Asset Allocation'!I12,'Asset Allocation'!J12,'Asset Allocation'!N12))</f>
        <v/>
      </c>
      <c r="C12" t="str">
        <f>IF(A12="","",SUM('Asset Allocation'!B12))</f>
        <v/>
      </c>
      <c r="E12" t="str">
        <f>IF(A12="","",SUM('Asset Allocation'!M12))</f>
        <v/>
      </c>
      <c r="F12" t="str">
        <f>IF(A12="","",SUM('Asset Allocation'!K12,'Asset Allocation'!L12))</f>
        <v/>
      </c>
      <c r="G12" t="str">
        <f>IF(A12="","",SUM('Asset Allocation'!O12))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Allocation'!C13,'Asset Allocation'!D13,'Asset Allocation'!E13,'Asset Allocation'!F13,'Asset Allocation'!G13,'Asset Allocation'!H13,'Asset Allocation'!I13,'Asset Allocation'!J13,'Asset Allocation'!N13))</f>
        <v/>
      </c>
      <c r="C13" t="str">
        <f>IF(A13="","",SUM('Asset Allocation'!B13))</f>
        <v/>
      </c>
      <c r="E13" t="str">
        <f>IF(A13="","",SUM('Asset Allocation'!M13))</f>
        <v/>
      </c>
      <c r="F13" t="str">
        <f>IF(A13="","",SUM('Asset Allocation'!K13,'Asset Allocation'!L13))</f>
        <v/>
      </c>
      <c r="G13" t="str">
        <f>IF(A13="","",SUM('Asset Allocation'!O13))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Allocation'!C14,'Asset Allocation'!D14,'Asset Allocation'!E14,'Asset Allocation'!F14,'Asset Allocation'!G14,'Asset Allocation'!H14,'Asset Allocation'!I14,'Asset Allocation'!J14,'Asset Allocation'!N14))</f>
        <v/>
      </c>
      <c r="C14" t="str">
        <f>IF(A14="","",SUM('Asset Allocation'!B14))</f>
        <v/>
      </c>
      <c r="E14" t="str">
        <f>IF(A14="","",SUM('Asset Allocation'!M14))</f>
        <v/>
      </c>
      <c r="F14" t="str">
        <f>IF(A14="","",SUM('Asset Allocation'!K14,'Asset Allocation'!L14))</f>
        <v/>
      </c>
      <c r="G14" t="str">
        <f>IF(A14="","",SUM('Asset Allocation'!O14))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Allocation'!C15,'Asset Allocation'!D15,'Asset Allocation'!E15,'Asset Allocation'!F15,'Asset Allocation'!G15,'Asset Allocation'!H15,'Asset Allocation'!I15,'Asset Allocation'!J15,'Asset Allocation'!N15))</f>
        <v/>
      </c>
      <c r="C15" t="str">
        <f>IF(A15="","",SUM('Asset Allocation'!B15))</f>
        <v/>
      </c>
      <c r="E15" t="str">
        <f>IF(A15="","",SUM('Asset Allocation'!M15))</f>
        <v/>
      </c>
      <c r="F15" t="str">
        <f>IF(A15="","",SUM('Asset Allocation'!K15,'Asset Allocation'!L15))</f>
        <v/>
      </c>
      <c r="G15" t="str">
        <f>IF(A15="","",SUM('Asset Allocation'!O15))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Allocation'!C16,'Asset Allocation'!D16,'Asset Allocation'!E16,'Asset Allocation'!F16,'Asset Allocation'!G16,'Asset Allocation'!H16,'Asset Allocation'!I16,'Asset Allocation'!J16,'Asset Allocation'!N16))</f>
        <v/>
      </c>
      <c r="C16" t="str">
        <f>IF(A16="","",SUM('Asset Allocation'!B16))</f>
        <v/>
      </c>
      <c r="E16" t="str">
        <f>IF(A16="","",SUM('Asset Allocation'!M16))</f>
        <v/>
      </c>
      <c r="F16" t="str">
        <f>IF(A16="","",SUM('Asset Allocation'!K16,'Asset Allocation'!L16))</f>
        <v/>
      </c>
      <c r="G16" t="str">
        <f>IF(A16="","",SUM('Asset Allocation'!O16))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Allocation'!C17,'Asset Allocation'!D17,'Asset Allocation'!E17,'Asset Allocation'!F17,'Asset Allocation'!G17,'Asset Allocation'!H17,'Asset Allocation'!I17,'Asset Allocation'!J17,'Asset Allocation'!N17))</f>
        <v/>
      </c>
      <c r="C17" t="str">
        <f>IF(A17="","",SUM('Asset Allocation'!B17))</f>
        <v/>
      </c>
      <c r="E17" t="str">
        <f>IF(A17="","",SUM('Asset Allocation'!M17))</f>
        <v/>
      </c>
      <c r="F17" t="str">
        <f>IF(A17="","",SUM('Asset Allocation'!K17,'Asset Allocation'!L17))</f>
        <v/>
      </c>
      <c r="G17" t="str">
        <f>IF(A17="","",SUM('Asset Allocation'!O17))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Allocation'!C18,'Asset Allocation'!D18,'Asset Allocation'!E18,'Asset Allocation'!F18,'Asset Allocation'!G18,'Asset Allocation'!H18,'Asset Allocation'!I18,'Asset Allocation'!J18,'Asset Allocation'!N18))</f>
        <v/>
      </c>
      <c r="C18" t="str">
        <f>IF(A18="","",SUM('Asset Allocation'!B18))</f>
        <v/>
      </c>
      <c r="E18" t="str">
        <f>IF(A18="","",SUM('Asset Allocation'!M18))</f>
        <v/>
      </c>
      <c r="F18" t="str">
        <f>IF(A18="","",SUM('Asset Allocation'!K18,'Asset Allocation'!L18))</f>
        <v/>
      </c>
      <c r="G18" t="str">
        <f>IF(A18="","",SUM('Asset Allocation'!O18))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Allocation'!C19,'Asset Allocation'!D19,'Asset Allocation'!E19,'Asset Allocation'!F19,'Asset Allocation'!G19,'Asset Allocation'!H19,'Asset Allocation'!I19,'Asset Allocation'!J19,'Asset Allocation'!N19))</f>
        <v/>
      </c>
      <c r="C19" t="str">
        <f>IF(A19="","",SUM('Asset Allocation'!B19))</f>
        <v/>
      </c>
      <c r="E19" t="str">
        <f>IF(A19="","",SUM('Asset Allocation'!M19))</f>
        <v/>
      </c>
      <c r="F19" t="str">
        <f>IF(A19="","",SUM('Asset Allocation'!K19,'Asset Allocation'!L19))</f>
        <v/>
      </c>
      <c r="G19" t="str">
        <f>IF(A19="","",SUM('Asset Allocation'!O19))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Allocation'!C20,'Asset Allocation'!D20,'Asset Allocation'!E20,'Asset Allocation'!F20,'Asset Allocation'!G20,'Asset Allocation'!H20,'Asset Allocation'!I20,'Asset Allocation'!J20,'Asset Allocation'!N20))</f>
        <v/>
      </c>
      <c r="C20" t="str">
        <f>IF(A20="","",SUM('Asset Allocation'!B20))</f>
        <v/>
      </c>
      <c r="E20" t="str">
        <f>IF(A20="","",SUM('Asset Allocation'!M20))</f>
        <v/>
      </c>
      <c r="F20" t="str">
        <f>IF(A20="","",SUM('Asset Allocation'!K20,'Asset Allocation'!L20))</f>
        <v/>
      </c>
      <c r="G20" t="str">
        <f>IF(A20="","",SUM('Asset Allocation'!O20))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Allocation'!C21,'Asset Allocation'!D21,'Asset Allocation'!E21,'Asset Allocation'!F21,'Asset Allocation'!G21,'Asset Allocation'!H21,'Asset Allocation'!I21,'Asset Allocation'!J21,'Asset Allocation'!N21))</f>
        <v/>
      </c>
      <c r="C21" t="str">
        <f>IF(A21="","",SUM('Asset Allocation'!B21))</f>
        <v/>
      </c>
      <c r="E21" t="str">
        <f>IF(A21="","",SUM('Asset Allocation'!M21))</f>
        <v/>
      </c>
      <c r="F21" t="str">
        <f>IF(A21="","",SUM('Asset Allocation'!K21,'Asset Allocation'!L21))</f>
        <v/>
      </c>
      <c r="G21" t="str">
        <f>IF(A21="","",SUM('Asset Allocation'!O21))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Allocation'!C22,'Asset Allocation'!D22,'Asset Allocation'!E22,'Asset Allocation'!F22,'Asset Allocation'!G22,'Asset Allocation'!H22,'Asset Allocation'!I22,'Asset Allocation'!J22,'Asset Allocation'!N22))</f>
        <v/>
      </c>
      <c r="C22" t="str">
        <f>IF(A22="","",SUM('Asset Allocation'!B22))</f>
        <v/>
      </c>
      <c r="E22" t="str">
        <f>IF(A22="","",SUM('Asset Allocation'!M22))</f>
        <v/>
      </c>
      <c r="F22" t="str">
        <f>IF(A22="","",SUM('Asset Allocation'!K22,'Asset Allocation'!L22))</f>
        <v/>
      </c>
      <c r="G22" t="str">
        <f>IF(A22="","",SUM('Asset Allocation'!O22))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Allocation'!C23,'Asset Allocation'!D23,'Asset Allocation'!E23,'Asset Allocation'!F23,'Asset Allocation'!G23,'Asset Allocation'!H23,'Asset Allocation'!I23,'Asset Allocation'!J23,'Asset Allocation'!N23))</f>
        <v/>
      </c>
      <c r="C23" t="str">
        <f>IF(A23="","",SUM('Asset Allocation'!B23))</f>
        <v/>
      </c>
      <c r="E23" t="str">
        <f>IF(A23="","",SUM('Asset Allocation'!M23))</f>
        <v/>
      </c>
      <c r="F23" t="str">
        <f>IF(A23="","",SUM('Asset Allocation'!K23,'Asset Allocation'!L23))</f>
        <v/>
      </c>
      <c r="G23" t="str">
        <f>IF(A23="","",SUM('Asset Allocation'!O23))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Allocation'!C24,'Asset Allocation'!D24,'Asset Allocation'!E24,'Asset Allocation'!F24,'Asset Allocation'!G24,'Asset Allocation'!H24,'Asset Allocation'!I24,'Asset Allocation'!J24,'Asset Allocation'!N24))</f>
        <v/>
      </c>
      <c r="C24" t="str">
        <f>IF(A24="","",SUM('Asset Allocation'!B24))</f>
        <v/>
      </c>
      <c r="E24" t="str">
        <f>IF(A24="","",SUM('Asset Allocation'!M24))</f>
        <v/>
      </c>
      <c r="F24" t="str">
        <f>IF(A24="","",SUM('Asset Allocation'!K24,'Asset Allocation'!L24))</f>
        <v/>
      </c>
      <c r="G24" t="str">
        <f>IF(A24="","",SUM('Asset Allocation'!O24))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Allocation'!C25,'Asset Allocation'!D25,'Asset Allocation'!E25,'Asset Allocation'!F25,'Asset Allocation'!G25,'Asset Allocation'!H25,'Asset Allocation'!I25,'Asset Allocation'!J25,'Asset Allocation'!N25))</f>
        <v/>
      </c>
      <c r="C25" t="str">
        <f>IF(A25="","",SUM('Asset Allocation'!B25))</f>
        <v/>
      </c>
      <c r="E25" t="str">
        <f>IF(A25="","",SUM('Asset Allocation'!M25))</f>
        <v/>
      </c>
      <c r="F25" t="str">
        <f>IF(A25="","",SUM('Asset Allocation'!K25,'Asset Allocation'!L25))</f>
        <v/>
      </c>
      <c r="G25" t="str">
        <f>IF(A25="","",SUM('Asset Allocation'!O25))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Allocation'!C26,'Asset Allocation'!D26,'Asset Allocation'!E26,'Asset Allocation'!F26,'Asset Allocation'!G26,'Asset Allocation'!H26,'Asset Allocation'!I26,'Asset Allocation'!J26,'Asset Allocation'!N26))</f>
        <v/>
      </c>
      <c r="C26" t="str">
        <f>IF(A26="","",SUM('Asset Allocation'!B26))</f>
        <v/>
      </c>
      <c r="E26" t="str">
        <f>IF(A26="","",SUM('Asset Allocation'!M26))</f>
        <v/>
      </c>
      <c r="F26" t="str">
        <f>IF(A26="","",SUM('Asset Allocation'!K26,'Asset Allocation'!L26))</f>
        <v/>
      </c>
      <c r="G26" t="str">
        <f>IF(A26="","",SUM('Asset Allocation'!O26))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Allocation'!C27,'Asset Allocation'!D27,'Asset Allocation'!E27,'Asset Allocation'!F27,'Asset Allocation'!G27,'Asset Allocation'!H27,'Asset Allocation'!I27,'Asset Allocation'!J27,'Asset Allocation'!N27))</f>
        <v/>
      </c>
      <c r="C27" t="str">
        <f>IF(A27="","",SUM('Asset Allocation'!B27))</f>
        <v/>
      </c>
      <c r="E27" t="str">
        <f>IF(A27="","",SUM('Asset Allocation'!M27))</f>
        <v/>
      </c>
      <c r="F27" t="str">
        <f>IF(A27="","",SUM('Asset Allocation'!K27,'Asset Allocation'!L27))</f>
        <v/>
      </c>
      <c r="G27" t="str">
        <f>IF(A27="","",SUM('Asset Allocation'!O27))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Allocation'!C28,'Asset Allocation'!D28,'Asset Allocation'!E28,'Asset Allocation'!F28,'Asset Allocation'!G28,'Asset Allocation'!H28,'Asset Allocation'!I28,'Asset Allocation'!J28,'Asset Allocation'!N28))</f>
        <v/>
      </c>
      <c r="C28" t="str">
        <f>IF(A28="","",SUM('Asset Allocation'!B28))</f>
        <v/>
      </c>
      <c r="E28" t="str">
        <f>IF(A28="","",SUM('Asset Allocation'!M28))</f>
        <v/>
      </c>
      <c r="F28" t="str">
        <f>IF(A28="","",SUM('Asset Allocation'!K28,'Asset Allocation'!L28))</f>
        <v/>
      </c>
      <c r="G28" t="str">
        <f>IF(A28="","",SUM('Asset Allocation'!O28))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Allocation'!C29,'Asset Allocation'!D29,'Asset Allocation'!E29,'Asset Allocation'!F29,'Asset Allocation'!G29,'Asset Allocation'!H29,'Asset Allocation'!I29,'Asset Allocation'!J29,'Asset Allocation'!N29))</f>
        <v/>
      </c>
      <c r="C29" t="str">
        <f>IF(A29="","",SUM('Asset Allocation'!B29))</f>
        <v/>
      </c>
      <c r="E29" t="str">
        <f>IF(A29="","",SUM('Asset Allocation'!M29))</f>
        <v/>
      </c>
      <c r="F29" t="str">
        <f>IF(A29="","",SUM('Asset Allocation'!K29,'Asset Allocation'!L29))</f>
        <v/>
      </c>
      <c r="G29" t="str">
        <f>IF(A29="","",SUM('Asset Allocation'!O29))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Allocation'!C30,'Asset Allocation'!D30,'Asset Allocation'!E30,'Asset Allocation'!F30,'Asset Allocation'!G30,'Asset Allocation'!H30,'Asset Allocation'!I30,'Asset Allocation'!J30,'Asset Allocation'!N30))</f>
        <v/>
      </c>
      <c r="C30" t="str">
        <f>IF(A30="","",SUM('Asset Allocation'!B30))</f>
        <v/>
      </c>
      <c r="E30" t="str">
        <f>IF(A30="","",SUM('Asset Allocation'!M30))</f>
        <v/>
      </c>
      <c r="F30" t="str">
        <f>IF(A30="","",SUM('Asset Allocation'!K30,'Asset Allocation'!L30))</f>
        <v/>
      </c>
      <c r="G30" t="str">
        <f>IF(A30="","",SUM('Asset Allocation'!O30))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Allocation'!C31,'Asset Allocation'!D31,'Asset Allocation'!E31,'Asset Allocation'!F31,'Asset Allocation'!G31,'Asset Allocation'!H31,'Asset Allocation'!I31,'Asset Allocation'!J31,'Asset Allocation'!N31))</f>
        <v/>
      </c>
      <c r="C31" t="str">
        <f>IF(A31="","",SUM('Asset Allocation'!B31))</f>
        <v/>
      </c>
      <c r="E31" t="str">
        <f>IF(A31="","",SUM('Asset Allocation'!M31))</f>
        <v/>
      </c>
      <c r="F31" t="str">
        <f>IF(A31="","",SUM('Asset Allocation'!K31,'Asset Allocation'!L31))</f>
        <v/>
      </c>
      <c r="G31" t="str">
        <f>IF(A31="","",SUM('Asset Allocation'!O31))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Allocation'!C32,'Asset Allocation'!D32,'Asset Allocation'!E32,'Asset Allocation'!F32,'Asset Allocation'!G32,'Asset Allocation'!H32,'Asset Allocation'!I32,'Asset Allocation'!J32,'Asset Allocation'!N32))</f>
        <v/>
      </c>
      <c r="C32" t="str">
        <f>IF(A32="","",SUM('Asset Allocation'!B32))</f>
        <v/>
      </c>
      <c r="E32" t="str">
        <f>IF(A32="","",SUM('Asset Allocation'!M32))</f>
        <v/>
      </c>
      <c r="F32" t="str">
        <f>IF(A32="","",SUM('Asset Allocation'!K32,'Asset Allocation'!L32))</f>
        <v/>
      </c>
      <c r="G32" t="str">
        <f>IF(A32="","",SUM('Asset Allocation'!O32))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Allocation'!C33,'Asset Allocation'!D33,'Asset Allocation'!E33,'Asset Allocation'!F33,'Asset Allocation'!G33,'Asset Allocation'!H33,'Asset Allocation'!I33,'Asset Allocation'!J33,'Asset Allocation'!N33))</f>
        <v/>
      </c>
      <c r="C33" t="str">
        <f>IF(A33="","",SUM('Asset Allocation'!B33))</f>
        <v/>
      </c>
      <c r="E33" t="str">
        <f>IF(A33="","",SUM('Asset Allocation'!M33))</f>
        <v/>
      </c>
      <c r="F33" t="str">
        <f>IF(A33="","",SUM('Asset Allocation'!K33,'Asset Allocation'!L33))</f>
        <v/>
      </c>
      <c r="G33" t="str">
        <f>IF(A33="","",SUM('Asset Allocation'!O33))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Allocation'!C34,'Asset Allocation'!D34,'Asset Allocation'!E34,'Asset Allocation'!F34,'Asset Allocation'!G34,'Asset Allocation'!H34,'Asset Allocation'!I34,'Asset Allocation'!J34,'Asset Allocation'!N34))</f>
        <v/>
      </c>
      <c r="C34" t="str">
        <f>IF(A34="","",SUM('Asset Allocation'!B34))</f>
        <v/>
      </c>
      <c r="E34" t="str">
        <f>IF(A34="","",SUM('Asset Allocation'!M34))</f>
        <v/>
      </c>
      <c r="F34" t="str">
        <f>IF(A34="","",SUM('Asset Allocation'!K34,'Asset Allocation'!L34))</f>
        <v/>
      </c>
      <c r="G34" t="str">
        <f>IF(A34="","",SUM('Asset Allocation'!O34))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Allocation'!C35,'Asset Allocation'!D35,'Asset Allocation'!E35,'Asset Allocation'!F35,'Asset Allocation'!G35,'Asset Allocation'!H35,'Asset Allocation'!I35,'Asset Allocation'!J35,'Asset Allocation'!N35))</f>
        <v/>
      </c>
      <c r="C35" t="str">
        <f>IF(A35="","",SUM('Asset Allocation'!B35))</f>
        <v/>
      </c>
      <c r="E35" t="str">
        <f>IF(A35="","",SUM('Asset Allocation'!M35))</f>
        <v/>
      </c>
      <c r="F35" t="str">
        <f>IF(A35="","",SUM('Asset Allocation'!K35,'Asset Allocation'!L35))</f>
        <v/>
      </c>
      <c r="G35" t="str">
        <f>IF(A35="","",SUM('Asset Allocation'!O35))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Allocation'!C36,'Asset Allocation'!D36,'Asset Allocation'!E36,'Asset Allocation'!F36,'Asset Allocation'!G36,'Asset Allocation'!H36,'Asset Allocation'!I36,'Asset Allocation'!J36,'Asset Allocation'!N36))</f>
        <v/>
      </c>
      <c r="C36" t="str">
        <f>IF(A36="","",SUM('Asset Allocation'!B36))</f>
        <v/>
      </c>
      <c r="E36" t="str">
        <f>IF(A36="","",SUM('Asset Allocation'!M36))</f>
        <v/>
      </c>
      <c r="F36" t="str">
        <f>IF(A36="","",SUM('Asset Allocation'!K36,'Asset Allocation'!L36))</f>
        <v/>
      </c>
      <c r="G36" t="str">
        <f>IF(A36="","",SUM('Asset Allocation'!O36))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Allocation'!C37,'Asset Allocation'!D37,'Asset Allocation'!E37,'Asset Allocation'!F37,'Asset Allocation'!G37,'Asset Allocation'!H37,'Asset Allocation'!I37,'Asset Allocation'!J37,'Asset Allocation'!N37))</f>
        <v/>
      </c>
      <c r="C37" t="str">
        <f>IF(A37="","",SUM('Asset Allocation'!B37))</f>
        <v/>
      </c>
      <c r="E37" t="str">
        <f>IF(A37="","",SUM('Asset Allocation'!M37))</f>
        <v/>
      </c>
      <c r="F37" t="str">
        <f>IF(A37="","",SUM('Asset Allocation'!K37,'Asset Allocation'!L37))</f>
        <v/>
      </c>
      <c r="G37" t="str">
        <f>IF(A37="","",SUM('Asset Allocation'!O37))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Allocation'!C38,'Asset Allocation'!D38,'Asset Allocation'!E38,'Asset Allocation'!F38,'Asset Allocation'!G38,'Asset Allocation'!H38,'Asset Allocation'!I38,'Asset Allocation'!J38,'Asset Allocation'!N38))</f>
        <v/>
      </c>
      <c r="C38" t="str">
        <f>IF(A38="","",SUM('Asset Allocation'!B38))</f>
        <v/>
      </c>
      <c r="E38" t="str">
        <f>IF(A38="","",SUM('Asset Allocation'!M38))</f>
        <v/>
      </c>
      <c r="F38" t="str">
        <f>IF(A38="","",SUM('Asset Allocation'!K38,'Asset Allocation'!L38))</f>
        <v/>
      </c>
      <c r="G38" t="str">
        <f>IF(A38="","",SUM('Asset Allocation'!O38))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Allocation'!C39,'Asset Allocation'!D39,'Asset Allocation'!E39,'Asset Allocation'!F39,'Asset Allocation'!G39,'Asset Allocation'!H39,'Asset Allocation'!I39,'Asset Allocation'!J39,'Asset Allocation'!N39))</f>
        <v/>
      </c>
      <c r="C39" t="str">
        <f>IF(A39="","",SUM('Asset Allocation'!B39))</f>
        <v/>
      </c>
      <c r="E39" t="str">
        <f>IF(A39="","",SUM('Asset Allocation'!M39))</f>
        <v/>
      </c>
      <c r="F39" t="str">
        <f>IF(A39="","",SUM('Asset Allocation'!K39,'Asset Allocation'!L39))</f>
        <v/>
      </c>
      <c r="G39" t="str">
        <f>IF(A39="","",SUM('Asset Allocation'!O39))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Allocation'!C40,'Asset Allocation'!D40,'Asset Allocation'!E40,'Asset Allocation'!F40,'Asset Allocation'!G40,'Asset Allocation'!H40,'Asset Allocation'!I40,'Asset Allocation'!J40,'Asset Allocation'!N40))</f>
        <v/>
      </c>
      <c r="C40" t="str">
        <f>IF(A40="","",SUM('Asset Allocation'!B40))</f>
        <v/>
      </c>
      <c r="E40" t="str">
        <f>IF(A40="","",SUM('Asset Allocation'!M40))</f>
        <v/>
      </c>
      <c r="F40" t="str">
        <f>IF(A40="","",SUM('Asset Allocation'!K40,'Asset Allocation'!L40))</f>
        <v/>
      </c>
      <c r="G40" t="str">
        <f>IF(A40="","",SUM('Asset Allocation'!O40))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Allocation'!C41,'Asset Allocation'!D41,'Asset Allocation'!E41,'Asset Allocation'!F41,'Asset Allocation'!G41,'Asset Allocation'!H41,'Asset Allocation'!I41,'Asset Allocation'!J41,'Asset Allocation'!N41))</f>
        <v/>
      </c>
      <c r="C41" t="str">
        <f>IF(A41="","",SUM('Asset Allocation'!B41))</f>
        <v/>
      </c>
      <c r="E41" t="str">
        <f>IF(A41="","",SUM('Asset Allocation'!M41))</f>
        <v/>
      </c>
      <c r="F41" t="str">
        <f>IF(A41="","",SUM('Asset Allocation'!K41,'Asset Allocation'!L41))</f>
        <v/>
      </c>
      <c r="G41" t="str">
        <f>IF(A41="","",SUM('Asset Allocation'!O41))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Allocation'!C42,'Asset Allocation'!D42,'Asset Allocation'!E42,'Asset Allocation'!F42,'Asset Allocation'!G42,'Asset Allocation'!H42,'Asset Allocation'!I42,'Asset Allocation'!J42,'Asset Allocation'!N42))</f>
        <v/>
      </c>
      <c r="C42" t="str">
        <f>IF(A42="","",SUM('Asset Allocation'!B42))</f>
        <v/>
      </c>
      <c r="E42" t="str">
        <f>IF(A42="","",SUM('Asset Allocation'!M42))</f>
        <v/>
      </c>
      <c r="F42" t="str">
        <f>IF(A42="","",SUM('Asset Allocation'!K42,'Asset Allocation'!L42))</f>
        <v/>
      </c>
      <c r="G42" t="str">
        <f>IF(A42="","",SUM('Asset Allocation'!O42))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Allocation'!C43,'Asset Allocation'!D43,'Asset Allocation'!E43,'Asset Allocation'!F43,'Asset Allocation'!G43,'Asset Allocation'!H43,'Asset Allocation'!I43,'Asset Allocation'!J43,'Asset Allocation'!N43))</f>
        <v/>
      </c>
      <c r="C43" t="str">
        <f>IF(A43="","",SUM('Asset Allocation'!B43))</f>
        <v/>
      </c>
      <c r="E43" t="str">
        <f>IF(A43="","",SUM('Asset Allocation'!M43))</f>
        <v/>
      </c>
      <c r="F43" t="str">
        <f>IF(A43="","",SUM('Asset Allocation'!K43,'Asset Allocation'!L43))</f>
        <v/>
      </c>
      <c r="G43" t="str">
        <f>IF(A43="","",SUM('Asset Allocation'!O43))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Allocation'!C44,'Asset Allocation'!D44,'Asset Allocation'!E44,'Asset Allocation'!F44,'Asset Allocation'!G44,'Asset Allocation'!H44,'Asset Allocation'!I44,'Asset Allocation'!J44,'Asset Allocation'!N44))</f>
        <v/>
      </c>
      <c r="C44" t="str">
        <f>IF(A44="","",SUM('Asset Allocation'!B44))</f>
        <v/>
      </c>
      <c r="E44" t="str">
        <f>IF(A44="","",SUM('Asset Allocation'!M44))</f>
        <v/>
      </c>
      <c r="F44" t="str">
        <f>IF(A44="","",SUM('Asset Allocation'!K44,'Asset Allocation'!L44))</f>
        <v/>
      </c>
      <c r="G44" t="str">
        <f>IF(A44="","",SUM('Asset Allocation'!O44))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Allocation'!C45,'Asset Allocation'!D45,'Asset Allocation'!E45,'Asset Allocation'!F45,'Asset Allocation'!G45,'Asset Allocation'!H45,'Asset Allocation'!I45,'Asset Allocation'!J45,'Asset Allocation'!N45))</f>
        <v/>
      </c>
      <c r="C45" t="str">
        <f>IF(A45="","",SUM('Asset Allocation'!B45))</f>
        <v/>
      </c>
      <c r="E45" t="str">
        <f>IF(A45="","",SUM('Asset Allocation'!M45))</f>
        <v/>
      </c>
      <c r="F45" t="str">
        <f>IF(A45="","",SUM('Asset Allocation'!K45,'Asset Allocation'!L45))</f>
        <v/>
      </c>
      <c r="G45" t="str">
        <f>IF(A45="","",SUM('Asset Allocation'!O45))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Allocation'!C46,'Asset Allocation'!D46,'Asset Allocation'!E46,'Asset Allocation'!F46,'Asset Allocation'!G46,'Asset Allocation'!H46,'Asset Allocation'!I46,'Asset Allocation'!J46,'Asset Allocation'!N46))</f>
        <v/>
      </c>
      <c r="C46" t="str">
        <f>IF(A46="","",SUM('Asset Allocation'!B46))</f>
        <v/>
      </c>
      <c r="E46" t="str">
        <f>IF(A46="","",SUM('Asset Allocation'!M46))</f>
        <v/>
      </c>
      <c r="F46" t="str">
        <f>IF(A46="","",SUM('Asset Allocation'!K46,'Asset Allocation'!L46))</f>
        <v/>
      </c>
      <c r="G46" t="str">
        <f>IF(A46="","",SUM('Asset Allocation'!O46))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Allocation'!C47,'Asset Allocation'!D47,'Asset Allocation'!E47,'Asset Allocation'!F47,'Asset Allocation'!G47,'Asset Allocation'!H47,'Asset Allocation'!I47,'Asset Allocation'!J47,'Asset Allocation'!N47))</f>
        <v/>
      </c>
      <c r="C47" t="str">
        <f>IF(A47="","",SUM('Asset Allocation'!B47))</f>
        <v/>
      </c>
      <c r="E47" t="str">
        <f>IF(A47="","",SUM('Asset Allocation'!M47))</f>
        <v/>
      </c>
      <c r="F47" t="str">
        <f>IF(A47="","",SUM('Asset Allocation'!K47,'Asset Allocation'!L47))</f>
        <v/>
      </c>
      <c r="G47" t="str">
        <f>IF(A47="","",SUM('Asset Allocation'!O47))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Allocation'!C48,'Asset Allocation'!D48,'Asset Allocation'!E48,'Asset Allocation'!F48,'Asset Allocation'!G48,'Asset Allocation'!H48,'Asset Allocation'!I48,'Asset Allocation'!J48,'Asset Allocation'!N48))</f>
        <v/>
      </c>
      <c r="C48" t="str">
        <f>IF(A48="","",SUM('Asset Allocation'!B48))</f>
        <v/>
      </c>
      <c r="E48" t="str">
        <f>IF(A48="","",SUM('Asset Allocation'!M48))</f>
        <v/>
      </c>
      <c r="F48" t="str">
        <f>IF(A48="","",SUM('Asset Allocation'!K48,'Asset Allocation'!L48))</f>
        <v/>
      </c>
      <c r="G48" t="str">
        <f>IF(A48="","",SUM('Asset Allocation'!O48))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Allocation'!C49,'Asset Allocation'!D49,'Asset Allocation'!E49,'Asset Allocation'!F49,'Asset Allocation'!G49,'Asset Allocation'!H49,'Asset Allocation'!I49,'Asset Allocation'!J49,'Asset Allocation'!N49))</f>
        <v/>
      </c>
      <c r="C49" t="str">
        <f>IF(A49="","",SUM('Asset Allocation'!B49))</f>
        <v/>
      </c>
      <c r="E49" t="str">
        <f>IF(A49="","",SUM('Asset Allocation'!M49))</f>
        <v/>
      </c>
      <c r="F49" t="str">
        <f>IF(A49="","",SUM('Asset Allocation'!K49,'Asset Allocation'!L49))</f>
        <v/>
      </c>
      <c r="G49" t="str">
        <f>IF(A49="","",SUM('Asset Allocation'!O49))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Allocation'!C50,'Asset Allocation'!D50,'Asset Allocation'!E50,'Asset Allocation'!F50,'Asset Allocation'!G50,'Asset Allocation'!H50,'Asset Allocation'!I50,'Asset Allocation'!J50,'Asset Allocation'!N50))</f>
        <v/>
      </c>
      <c r="C50" t="str">
        <f>IF(A50="","",SUM('Asset Allocation'!B50))</f>
        <v/>
      </c>
      <c r="E50" t="str">
        <f>IF(A50="","",SUM('Asset Allocation'!M50))</f>
        <v/>
      </c>
      <c r="F50" t="str">
        <f>IF(A50="","",SUM('Asset Allocation'!K50,'Asset Allocation'!L50))</f>
        <v/>
      </c>
      <c r="G50" t="str">
        <f>IF(A50="","",SUM('Asset Allocation'!O50))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MAIA Strategic Reserve</v>
      </c>
      <c r="B2" s="6">
        <f>IFERROR(IF(A2="","",SUM('Asset Allocation'!D2)/'Broad Asset Allocation'!B2),0)</f>
        <v>0</v>
      </c>
      <c r="C2" s="6">
        <f>IFERROR(IF(A2="","",SUM('Asset Allocation'!C2)/'Broad Asset Allocation'!B2),0)</f>
        <v>0</v>
      </c>
      <c r="D2" s="6">
        <f>IFERROR(IF(A2="","",SUM('Asset Allocation'!E2)/'Broad Asset Allocation'!B2),0)</f>
        <v>0</v>
      </c>
      <c r="E2" s="6">
        <f>IFERROR(IF(A2="","",SUM('Asset Allocation'!F2)/'Broad Asset Allocation'!B2),0)</f>
        <v>0</v>
      </c>
      <c r="F2" s="6">
        <f>IFERROR(IF(A2="","",SUM('Asset Allocation'!G2)/'Broad Asset Allocation'!B2),0)</f>
        <v>0</v>
      </c>
      <c r="G2" s="6">
        <f>IFERROR(IF(A2="","",SUM('Asset Allocation'!H2)/'Broad Asset Allocation'!B2),0)</f>
        <v>0</v>
      </c>
      <c r="H2" s="6">
        <f>IFERROR(IF(A2="","",SUM('Asset Allocation'!I2,'Asset Allocation'!J2,'Asset Allocation'!N2)/'Broad Asset Allocation'!B2),0)</f>
        <v>0</v>
      </c>
    </row>
    <row r="3" spans="1:8" x14ac:dyDescent="0.25">
      <c r="A3" t="str">
        <f>IF(Input!A4="","",Input!A4)</f>
        <v>MAIA Blended Cautious</v>
      </c>
      <c r="B3" s="6">
        <f>IFERROR(IF(A3="","",SUM('Asset Allocation'!D3)/'Broad Asset Allocation'!B3),0)</f>
        <v>0</v>
      </c>
      <c r="C3" s="6">
        <f>IFERROR(IF(A3="","",SUM('Asset Allocation'!C3)/'Broad Asset Allocation'!B3),0)</f>
        <v>0</v>
      </c>
      <c r="D3" s="6">
        <f>IFERROR(IF(A3="","",SUM('Asset Allocation'!E3)/'Broad Asset Allocation'!B3),0)</f>
        <v>0</v>
      </c>
      <c r="E3" s="6">
        <f>IFERROR(IF(A3="","",SUM('Asset Allocation'!F3)/'Broad Asset Allocation'!B3),0)</f>
        <v>0</v>
      </c>
      <c r="F3" s="6">
        <f>IFERROR(IF(A3="","",SUM('Asset Allocation'!G3)/'Broad Asset Allocation'!B3),0)</f>
        <v>0</v>
      </c>
      <c r="G3" s="6">
        <f>IFERROR(IF(A3="","",SUM('Asset Allocation'!H3)/'Broad Asset Allocation'!B3),0)</f>
        <v>0</v>
      </c>
      <c r="H3" s="6">
        <f>IFERROR(IF(A3="","",SUM('Asset Allocation'!I3,'Asset Allocation'!J3,'Asset Allocation'!N3)/'Broad Asset Allocation'!B3),0)</f>
        <v>0</v>
      </c>
    </row>
    <row r="4" spans="1:8" x14ac:dyDescent="0.25">
      <c r="A4" t="str">
        <f>IF(Input!A5="","",Input!A5)</f>
        <v>MAIA Blended Defensive</v>
      </c>
      <c r="B4" s="6">
        <f>IFERROR(IF(A4="","",SUM('Asset Allocation'!D4)/'Broad Asset Allocation'!B4),0)</f>
        <v>0</v>
      </c>
      <c r="C4" s="6">
        <f>IFERROR(IF(A4="","",SUM('Asset Allocation'!C4)/'Broad Asset Allocation'!B4),0)</f>
        <v>0</v>
      </c>
      <c r="D4" s="6">
        <f>IFERROR(IF(A4="","",SUM('Asset Allocation'!E4)/'Broad Asset Allocation'!B4),0)</f>
        <v>0</v>
      </c>
      <c r="E4" s="6">
        <f>IFERROR(IF(A4="","",SUM('Asset Allocation'!F4)/'Broad Asset Allocation'!B4),0)</f>
        <v>0</v>
      </c>
      <c r="F4" s="6">
        <f>IFERROR(IF(A4="","",SUM('Asset Allocation'!G4)/'Broad Asset Allocation'!B4),0)</f>
        <v>0</v>
      </c>
      <c r="G4" s="6">
        <f>IFERROR(IF(A4="","",SUM('Asset Allocation'!H4)/'Broad Asset Allocation'!B4),0)</f>
        <v>0</v>
      </c>
      <c r="H4" s="6">
        <f>IFERROR(IF(A4="","",SUM('Asset Allocation'!I4,'Asset Allocation'!J4,'Asset Allocation'!N4)/'Broad Asset Allocation'!B4),0)</f>
        <v>0</v>
      </c>
    </row>
    <row r="5" spans="1:8" x14ac:dyDescent="0.25">
      <c r="A5" t="str">
        <f>IF(Input!A6="","",Input!A6)</f>
        <v>MAIA Blended Income</v>
      </c>
      <c r="B5" s="6">
        <f>IFERROR(IF(A5="","",SUM('Asset Allocation'!D5)/'Broad Asset Allocation'!B5),0)</f>
        <v>0</v>
      </c>
      <c r="C5" s="6">
        <f>IFERROR(IF(A5="","",SUM('Asset Allocation'!C5)/'Broad Asset Allocation'!B5),0)</f>
        <v>0</v>
      </c>
      <c r="D5" s="6">
        <f>IFERROR(IF(A5="","",SUM('Asset Allocation'!E5)/'Broad Asset Allocation'!B5),0)</f>
        <v>0</v>
      </c>
      <c r="E5" s="6">
        <f>IFERROR(IF(A5="","",SUM('Asset Allocation'!F5)/'Broad Asset Allocation'!B5),0)</f>
        <v>0</v>
      </c>
      <c r="F5" s="6">
        <f>IFERROR(IF(A5="","",SUM('Asset Allocation'!G5)/'Broad Asset Allocation'!B5),0)</f>
        <v>0</v>
      </c>
      <c r="G5" s="6">
        <f>IFERROR(IF(A5="","",SUM('Asset Allocation'!H5)/'Broad Asset Allocation'!B5),0)</f>
        <v>0</v>
      </c>
      <c r="H5" s="6">
        <f>IFERROR(IF(A5="","",SUM('Asset Allocation'!I5,'Asset Allocation'!J5,'Asset Allocation'!N5)/'Broad Asset Allocation'!B5),0)</f>
        <v>0</v>
      </c>
    </row>
    <row r="6" spans="1:8" x14ac:dyDescent="0.25">
      <c r="A6" t="str">
        <f>IF(Input!A7="","",Input!A7)</f>
        <v>MAIA Blended Balanced Income</v>
      </c>
      <c r="B6" s="6">
        <f>IFERROR(IF(A6="","",SUM('Asset Allocation'!D6)/'Broad Asset Allocation'!B6),0)</f>
        <v>0</v>
      </c>
      <c r="C6" s="6">
        <f>IFERROR(IF(A6="","",SUM('Asset Allocation'!C6)/'Broad Asset Allocation'!B6),0)</f>
        <v>0</v>
      </c>
      <c r="D6" s="6">
        <f>IFERROR(IF(A6="","",SUM('Asset Allocation'!E6)/'Broad Asset Allocation'!B6),0)</f>
        <v>0</v>
      </c>
      <c r="E6" s="6">
        <f>IFERROR(IF(A6="","",SUM('Asset Allocation'!F6)/'Broad Asset Allocation'!B6),0)</f>
        <v>0</v>
      </c>
      <c r="F6" s="6">
        <f>IFERROR(IF(A6="","",SUM('Asset Allocation'!G6)/'Broad Asset Allocation'!B6),0)</f>
        <v>0</v>
      </c>
      <c r="G6" s="6">
        <f>IFERROR(IF(A6="","",SUM('Asset Allocation'!H6)/'Broad Asset Allocation'!B6),0)</f>
        <v>0</v>
      </c>
      <c r="H6" s="6">
        <f>IFERROR(IF(A6="","",SUM('Asset Allocation'!I6,'Asset Allocation'!J6,'Asset Allocation'!N6)/'Broad Asset Allocation'!B6),0)</f>
        <v>0</v>
      </c>
    </row>
    <row r="7" spans="1:8" x14ac:dyDescent="0.25">
      <c r="A7" t="str">
        <f>IF(Input!A8="","",Input!A8)</f>
        <v>MAIA Blended Balanced</v>
      </c>
      <c r="B7" s="6">
        <f>IFERROR(IF(A7="","",SUM('Asset Allocation'!D7)/'Broad Asset Allocation'!B7),0)</f>
        <v>0</v>
      </c>
      <c r="C7" s="6">
        <f>IFERROR(IF(A7="","",SUM('Asset Allocation'!C7)/'Broad Asset Allocation'!B7),0)</f>
        <v>0</v>
      </c>
      <c r="D7" s="6">
        <f>IFERROR(IF(A7="","",SUM('Asset Allocation'!E7)/'Broad Asset Allocation'!B7),0)</f>
        <v>0</v>
      </c>
      <c r="E7" s="6">
        <f>IFERROR(IF(A7="","",SUM('Asset Allocation'!F7)/'Broad Asset Allocation'!B7),0)</f>
        <v>0</v>
      </c>
      <c r="F7" s="6">
        <f>IFERROR(IF(A7="","",SUM('Asset Allocation'!G7)/'Broad Asset Allocation'!B7),0)</f>
        <v>0</v>
      </c>
      <c r="G7" s="6">
        <f>IFERROR(IF(A7="","",SUM('Asset Allocation'!H7)/'Broad Asset Allocation'!B7),0)</f>
        <v>0</v>
      </c>
      <c r="H7" s="6">
        <f>IFERROR(IF(A7="","",SUM('Asset Allocation'!I7,'Asset Allocation'!J7,'Asset Allocation'!N7)/'Broad Asset Allocation'!B7),0)</f>
        <v>0</v>
      </c>
    </row>
    <row r="8" spans="1:8" x14ac:dyDescent="0.25">
      <c r="A8" t="str">
        <f>IF(Input!A9="","",Input!A9)</f>
        <v>MAIA Blended Growth</v>
      </c>
      <c r="B8" s="6">
        <f>IFERROR(IF(A8="","",SUM('Asset Allocation'!D8)/'Broad Asset Allocation'!B8),0)</f>
        <v>0</v>
      </c>
      <c r="C8" s="6">
        <f>IFERROR(IF(A8="","",SUM('Asset Allocation'!C8)/'Broad Asset Allocation'!B8),0)</f>
        <v>0</v>
      </c>
      <c r="D8" s="6">
        <f>IFERROR(IF(A8="","",SUM('Asset Allocation'!E8)/'Broad Asset Allocation'!B8),0)</f>
        <v>0</v>
      </c>
      <c r="E8" s="6">
        <f>IFERROR(IF(A8="","",SUM('Asset Allocation'!F8)/'Broad Asset Allocation'!B8),0)</f>
        <v>0</v>
      </c>
      <c r="F8" s="6">
        <f>IFERROR(IF(A8="","",SUM('Asset Allocation'!G8)/'Broad Asset Allocation'!B8),0)</f>
        <v>0</v>
      </c>
      <c r="G8" s="6">
        <f>IFERROR(IF(A8="","",SUM('Asset Allocation'!H8)/'Broad Asset Allocation'!B8),0)</f>
        <v>0</v>
      </c>
      <c r="H8" s="6">
        <f>IFERROR(IF(A8="","",SUM('Asset Allocation'!I8,'Asset Allocation'!J8,'Asset Allocation'!N8)/'Broad Asset Allocation'!B8),0)</f>
        <v>0</v>
      </c>
    </row>
    <row r="9" spans="1:8" x14ac:dyDescent="0.25">
      <c r="A9" t="str">
        <f>IF(Input!A10="","",Input!A10)</f>
        <v>MAIA Blended Adventurous</v>
      </c>
      <c r="B9" s="6">
        <f>IFERROR(IF(A9="","",SUM('Asset Allocation'!D9)/'Broad Asset Allocation'!B9),0)</f>
        <v>0</v>
      </c>
      <c r="C9" s="6">
        <f>IFERROR(IF(A9="","",SUM('Asset Allocation'!C9)/'Broad Asset Allocation'!B9),0)</f>
        <v>0</v>
      </c>
      <c r="D9" s="6">
        <f>IFERROR(IF(A9="","",SUM('Asset Allocation'!E9)/'Broad Asset Allocation'!B9),0)</f>
        <v>0</v>
      </c>
      <c r="E9" s="6">
        <f>IFERROR(IF(A9="","",SUM('Asset Allocation'!F9)/'Broad Asset Allocation'!B9),0)</f>
        <v>0</v>
      </c>
      <c r="F9" s="6">
        <f>IFERROR(IF(A9="","",SUM('Asset Allocation'!G9)/'Broad Asset Allocation'!B9),0)</f>
        <v>0</v>
      </c>
      <c r="G9" s="6">
        <f>IFERROR(IF(A9="","",SUM('Asset Allocation'!H9)/'Broad Asset Allocation'!B9),0)</f>
        <v>0</v>
      </c>
      <c r="H9" s="6">
        <f>IFERROR(IF(A9="","",SUM('Asset Allocation'!I9,'Asset Allocation'!J9,'Asset Allocation'!N9)/'Broad Asset Allocation'!B9),0)</f>
        <v>0</v>
      </c>
    </row>
    <row r="10" spans="1:8" x14ac:dyDescent="0.25">
      <c r="A10" t="str">
        <f>IF(Input!A11="","",Input!A11)</f>
        <v/>
      </c>
      <c r="B10" s="6" t="str">
        <f>IFERROR(IF(A10="","",SUM('Asset Allocation'!D10)/'Broad Asset Allocation'!B10),0)</f>
        <v/>
      </c>
      <c r="C10" s="6" t="str">
        <f>IFERROR(IF(A10="","",SUM('Asset Allocation'!C10)/'Broad Asset Allocation'!B10),0)</f>
        <v/>
      </c>
      <c r="D10" s="6" t="str">
        <f>IFERROR(IF(A10="","",SUM('Asset Allocation'!E10)/'Broad Asset Allocation'!B10),0)</f>
        <v/>
      </c>
      <c r="E10" s="6" t="str">
        <f>IFERROR(IF(A10="","",SUM('Asset Allocation'!F10)/'Broad Asset Allocation'!B10),0)</f>
        <v/>
      </c>
      <c r="F10" s="6" t="str">
        <f>IFERROR(IF(A10="","",SUM('Asset Allocation'!G10)/'Broad Asset Allocation'!B10),0)</f>
        <v/>
      </c>
      <c r="G10" s="6" t="str">
        <f>IFERROR(IF(A10="","",SUM('Asset Allocation'!H10)/'Broad Asset Allocation'!B10),0)</f>
        <v/>
      </c>
      <c r="H10" s="6" t="str">
        <f>IFERROR(IF(A10="","",SUM('Asset Allocation'!I10,'Asset Allocation'!J10,'Asset Allocation'!N10)/'Broad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Allocation'!D11)/'Broad Asset Allocation'!B11),0)</f>
        <v/>
      </c>
      <c r="C11" s="6" t="str">
        <f>IFERROR(IF(A11="","",SUM('Asset Allocation'!C11)/'Broad Asset Allocation'!B11),0)</f>
        <v/>
      </c>
      <c r="D11" s="6" t="str">
        <f>IFERROR(IF(A11="","",SUM('Asset Allocation'!E11)/'Broad Asset Allocation'!B11),0)</f>
        <v/>
      </c>
      <c r="E11" s="6" t="str">
        <f>IFERROR(IF(A11="","",SUM('Asset Allocation'!F11)/'Broad Asset Allocation'!B11),0)</f>
        <v/>
      </c>
      <c r="F11" s="6" t="str">
        <f>IFERROR(IF(A11="","",SUM('Asset Allocation'!G11)/'Broad Asset Allocation'!B11),0)</f>
        <v/>
      </c>
      <c r="G11" s="6" t="str">
        <f>IFERROR(IF(A11="","",SUM('Asset Allocation'!H11)/'Broad Asset Allocation'!B11),0)</f>
        <v/>
      </c>
      <c r="H11" s="6" t="str">
        <f>IFERROR(IF(A11="","",SUM('Asset Allocation'!I11,'Asset Allocation'!J11,'Asset Allocation'!N11)/'Broad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Allocation'!D12)/'Broad Asset Allocation'!B12),0)</f>
        <v/>
      </c>
      <c r="C12" s="6" t="str">
        <f>IFERROR(IF(A12="","",SUM('Asset Allocation'!C12)/'Broad Asset Allocation'!B12),0)</f>
        <v/>
      </c>
      <c r="D12" s="6" t="str">
        <f>IFERROR(IF(A12="","",SUM('Asset Allocation'!E12)/'Broad Asset Allocation'!B12),0)</f>
        <v/>
      </c>
      <c r="E12" s="6" t="str">
        <f>IFERROR(IF(A12="","",SUM('Asset Allocation'!F12)/'Broad Asset Allocation'!B12),0)</f>
        <v/>
      </c>
      <c r="F12" s="6" t="str">
        <f>IFERROR(IF(A12="","",SUM('Asset Allocation'!G12)/'Broad Asset Allocation'!B12),0)</f>
        <v/>
      </c>
      <c r="G12" s="6" t="str">
        <f>IFERROR(IF(A12="","",SUM('Asset Allocation'!H12)/'Broad Asset Allocation'!B12),0)</f>
        <v/>
      </c>
      <c r="H12" s="6" t="str">
        <f>IFERROR(IF(A12="","",SUM('Asset Allocation'!I12,'Asset Allocation'!J12,'Asset Allocation'!N12)/'Broad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Allocation'!D13)/'Broad Asset Allocation'!B13),0)</f>
        <v/>
      </c>
      <c r="C13" s="6" t="str">
        <f>IFERROR(IF(A13="","",SUM('Asset Allocation'!C13)/'Broad Asset Allocation'!B13),0)</f>
        <v/>
      </c>
      <c r="D13" s="6" t="str">
        <f>IFERROR(IF(A13="","",SUM('Asset Allocation'!E13)/'Broad Asset Allocation'!B13),0)</f>
        <v/>
      </c>
      <c r="E13" s="6" t="str">
        <f>IFERROR(IF(A13="","",SUM('Asset Allocation'!F13)/'Broad Asset Allocation'!B13),0)</f>
        <v/>
      </c>
      <c r="F13" s="6" t="str">
        <f>IFERROR(IF(A13="","",SUM('Asset Allocation'!G13)/'Broad Asset Allocation'!B13),0)</f>
        <v/>
      </c>
      <c r="G13" s="6" t="str">
        <f>IFERROR(IF(A13="","",SUM('Asset Allocation'!H13)/'Broad Asset Allocation'!B13),0)</f>
        <v/>
      </c>
      <c r="H13" s="6" t="str">
        <f>IFERROR(IF(A13="","",SUM('Asset Allocation'!I13,'Asset Allocation'!J13,'Asset Allocation'!N13)/'Broad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Allocation'!D14)/'Broad Asset Allocation'!B14),0)</f>
        <v/>
      </c>
      <c r="C14" s="6" t="str">
        <f>IFERROR(IF(A14="","",SUM('Asset Allocation'!C14)/'Broad Asset Allocation'!B14),0)</f>
        <v/>
      </c>
      <c r="D14" s="6" t="str">
        <f>IFERROR(IF(A14="","",SUM('Asset Allocation'!E14)/'Broad Asset Allocation'!B14),0)</f>
        <v/>
      </c>
      <c r="E14" s="6" t="str">
        <f>IFERROR(IF(A14="","",SUM('Asset Allocation'!F14)/'Broad Asset Allocation'!B14),0)</f>
        <v/>
      </c>
      <c r="F14" s="6" t="str">
        <f>IFERROR(IF(A14="","",SUM('Asset Allocation'!G14)/'Broad Asset Allocation'!B14),0)</f>
        <v/>
      </c>
      <c r="G14" s="6" t="str">
        <f>IFERROR(IF(A14="","",SUM('Asset Allocation'!H14)/'Broad Asset Allocation'!B14),0)</f>
        <v/>
      </c>
      <c r="H14" s="6" t="str">
        <f>IFERROR(IF(A14="","",SUM('Asset Allocation'!I14,'Asset Allocation'!J14,'Asset Allocation'!N14)/'Broad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Allocation'!D15)/'Broad Asset Allocation'!B15),0)</f>
        <v/>
      </c>
      <c r="C15" s="6" t="str">
        <f>IFERROR(IF(A15="","",SUM('Asset Allocation'!C15)/'Broad Asset Allocation'!B15),0)</f>
        <v/>
      </c>
      <c r="D15" s="6" t="str">
        <f>IFERROR(IF(A15="","",SUM('Asset Allocation'!E15)/'Broad Asset Allocation'!B15),0)</f>
        <v/>
      </c>
      <c r="E15" s="6" t="str">
        <f>IFERROR(IF(A15="","",SUM('Asset Allocation'!F15)/'Broad Asset Allocation'!B15),0)</f>
        <v/>
      </c>
      <c r="F15" s="6" t="str">
        <f>IFERROR(IF(A15="","",SUM('Asset Allocation'!G15)/'Broad Asset Allocation'!B15),0)</f>
        <v/>
      </c>
      <c r="G15" s="6" t="str">
        <f>IFERROR(IF(A15="","",SUM('Asset Allocation'!H15)/'Broad Asset Allocation'!B15),0)</f>
        <v/>
      </c>
      <c r="H15" s="6" t="str">
        <f>IFERROR(IF(A15="","",SUM('Asset Allocation'!I15,'Asset Allocation'!J15,'Asset Allocation'!N15)/'Broad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Allocation'!D16)/'Broad Asset Allocation'!B16),0)</f>
        <v/>
      </c>
      <c r="C16" s="6" t="str">
        <f>IFERROR(IF(A16="","",SUM('Asset Allocation'!C16)/'Broad Asset Allocation'!B16),0)</f>
        <v/>
      </c>
      <c r="D16" s="6" t="str">
        <f>IFERROR(IF(A16="","",SUM('Asset Allocation'!E16)/'Broad Asset Allocation'!B16),0)</f>
        <v/>
      </c>
      <c r="E16" s="6" t="str">
        <f>IFERROR(IF(A16="","",SUM('Asset Allocation'!F16)/'Broad Asset Allocation'!B16),0)</f>
        <v/>
      </c>
      <c r="F16" s="6" t="str">
        <f>IFERROR(IF(A16="","",SUM('Asset Allocation'!G16)/'Broad Asset Allocation'!B16),0)</f>
        <v/>
      </c>
      <c r="G16" s="6" t="str">
        <f>IFERROR(IF(A16="","",SUM('Asset Allocation'!H16)/'Broad Asset Allocation'!B16),0)</f>
        <v/>
      </c>
      <c r="H16" s="6" t="str">
        <f>IFERROR(IF(A16="","",SUM('Asset Allocation'!I16,'Asset Allocation'!J16,'Asset Allocation'!N16)/'Broad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Allocation'!D17)/'Broad Asset Allocation'!B17),0)</f>
        <v/>
      </c>
      <c r="C17" s="6" t="str">
        <f>IFERROR(IF(A17="","",SUM('Asset Allocation'!C17)/'Broad Asset Allocation'!B17),0)</f>
        <v/>
      </c>
      <c r="D17" s="6" t="str">
        <f>IFERROR(IF(A17="","",SUM('Asset Allocation'!E17)/'Broad Asset Allocation'!B17),0)</f>
        <v/>
      </c>
      <c r="E17" s="6" t="str">
        <f>IFERROR(IF(A17="","",SUM('Asset Allocation'!F17)/'Broad Asset Allocation'!B17),0)</f>
        <v/>
      </c>
      <c r="F17" s="6" t="str">
        <f>IFERROR(IF(A17="","",SUM('Asset Allocation'!G17)/'Broad Asset Allocation'!B17),0)</f>
        <v/>
      </c>
      <c r="G17" s="6" t="str">
        <f>IFERROR(IF(A17="","",SUM('Asset Allocation'!H17)/'Broad Asset Allocation'!B17),0)</f>
        <v/>
      </c>
      <c r="H17" s="6" t="str">
        <f>IFERROR(IF(A17="","",SUM('Asset Allocation'!I17,'Asset Allocation'!J17,'Asset Allocation'!N17)/'Broad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Allocation'!D18)/'Broad Asset Allocation'!B18),0)</f>
        <v/>
      </c>
      <c r="C18" s="6" t="str">
        <f>IFERROR(IF(A18="","",SUM('Asset Allocation'!C18)/'Broad Asset Allocation'!B18),0)</f>
        <v/>
      </c>
      <c r="D18" s="6" t="str">
        <f>IFERROR(IF(A18="","",SUM('Asset Allocation'!E18)/'Broad Asset Allocation'!B18),0)</f>
        <v/>
      </c>
      <c r="E18" s="6" t="str">
        <f>IFERROR(IF(A18="","",SUM('Asset Allocation'!F18)/'Broad Asset Allocation'!B18),0)</f>
        <v/>
      </c>
      <c r="F18" s="6" t="str">
        <f>IFERROR(IF(A18="","",SUM('Asset Allocation'!G18)/'Broad Asset Allocation'!B18),0)</f>
        <v/>
      </c>
      <c r="G18" s="6" t="str">
        <f>IFERROR(IF(A18="","",SUM('Asset Allocation'!H18)/'Broad Asset Allocation'!B18),0)</f>
        <v/>
      </c>
      <c r="H18" s="6" t="str">
        <f>IFERROR(IF(A18="","",SUM('Asset Allocation'!I18,'Asset Allocation'!J18,'Asset Allocation'!N18)/'Broad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Allocation'!D19)/'Broad Asset Allocation'!B19),0)</f>
        <v/>
      </c>
      <c r="C19" s="6" t="str">
        <f>IFERROR(IF(A19="","",SUM('Asset Allocation'!C19)/'Broad Asset Allocation'!B19),0)</f>
        <v/>
      </c>
      <c r="D19" s="6" t="str">
        <f>IFERROR(IF(A19="","",SUM('Asset Allocation'!E19)/'Broad Asset Allocation'!B19),0)</f>
        <v/>
      </c>
      <c r="E19" s="6" t="str">
        <f>IFERROR(IF(A19="","",SUM('Asset Allocation'!F19)/'Broad Asset Allocation'!B19),0)</f>
        <v/>
      </c>
      <c r="F19" s="6" t="str">
        <f>IFERROR(IF(A19="","",SUM('Asset Allocation'!G19)/'Broad Asset Allocation'!B19),0)</f>
        <v/>
      </c>
      <c r="G19" s="6" t="str">
        <f>IFERROR(IF(A19="","",SUM('Asset Allocation'!H19)/'Broad Asset Allocation'!B19),0)</f>
        <v/>
      </c>
      <c r="H19" s="6" t="str">
        <f>IFERROR(IF(A19="","",SUM('Asset Allocation'!I19,'Asset Allocation'!J19,'Asset Allocation'!N19)/'Broad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Allocation'!D20)/'Broad Asset Allocation'!B20),0)</f>
        <v/>
      </c>
      <c r="C20" s="6" t="str">
        <f>IFERROR(IF(A20="","",SUM('Asset Allocation'!C20)/'Broad Asset Allocation'!B20),0)</f>
        <v/>
      </c>
      <c r="D20" s="6" t="str">
        <f>IFERROR(IF(A20="","",SUM('Asset Allocation'!E20)/'Broad Asset Allocation'!B20),0)</f>
        <v/>
      </c>
      <c r="E20" s="6" t="str">
        <f>IFERROR(IF(A20="","",SUM('Asset Allocation'!F20)/'Broad Asset Allocation'!B20),0)</f>
        <v/>
      </c>
      <c r="F20" s="6" t="str">
        <f>IFERROR(IF(A20="","",SUM('Asset Allocation'!G20)/'Broad Asset Allocation'!B20),0)</f>
        <v/>
      </c>
      <c r="G20" s="6" t="str">
        <f>IFERROR(IF(A20="","",SUM('Asset Allocation'!H20)/'Broad Asset Allocation'!B20),0)</f>
        <v/>
      </c>
      <c r="H20" s="6" t="str">
        <f>IFERROR(IF(A20="","",SUM('Asset Allocation'!I20,'Asset Allocation'!J20,'Asset Allocation'!N20)/'Broad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Allocation'!D21)/'Broad Asset Allocation'!B21),0)</f>
        <v/>
      </c>
      <c r="C21" s="6" t="str">
        <f>IFERROR(IF(A21="","",SUM('Asset Allocation'!C21)/'Broad Asset Allocation'!B21),0)</f>
        <v/>
      </c>
      <c r="D21" s="6" t="str">
        <f>IFERROR(IF(A21="","",SUM('Asset Allocation'!E21)/'Broad Asset Allocation'!B21),0)</f>
        <v/>
      </c>
      <c r="E21" s="6" t="str">
        <f>IFERROR(IF(A21="","",SUM('Asset Allocation'!F21)/'Broad Asset Allocation'!B21),0)</f>
        <v/>
      </c>
      <c r="F21" s="6" t="str">
        <f>IFERROR(IF(A21="","",SUM('Asset Allocation'!G21)/'Broad Asset Allocation'!B21),0)</f>
        <v/>
      </c>
      <c r="G21" s="6" t="str">
        <f>IFERROR(IF(A21="","",SUM('Asset Allocation'!H21)/'Broad Asset Allocation'!B21),0)</f>
        <v/>
      </c>
      <c r="H21" s="6" t="str">
        <f>IFERROR(IF(A21="","",SUM('Asset Allocation'!I21,'Asset Allocation'!J21,'Asset Allocation'!N21)/'Broad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Allocation'!D22)/'Broad Asset Allocation'!B22),0)</f>
        <v/>
      </c>
      <c r="C22" s="6" t="str">
        <f>IFERROR(IF(A22="","",SUM('Asset Allocation'!C22)/'Broad Asset Allocation'!B22),0)</f>
        <v/>
      </c>
      <c r="D22" s="6" t="str">
        <f>IFERROR(IF(A22="","",SUM('Asset Allocation'!E22)/'Broad Asset Allocation'!B22),0)</f>
        <v/>
      </c>
      <c r="E22" s="6" t="str">
        <f>IFERROR(IF(A22="","",SUM('Asset Allocation'!F22)/'Broad Asset Allocation'!B22),0)</f>
        <v/>
      </c>
      <c r="F22" s="6" t="str">
        <f>IFERROR(IF(A22="","",SUM('Asset Allocation'!G22)/'Broad Asset Allocation'!B22),0)</f>
        <v/>
      </c>
      <c r="G22" s="6" t="str">
        <f>IFERROR(IF(A22="","",SUM('Asset Allocation'!H22)/'Broad Asset Allocation'!B22),0)</f>
        <v/>
      </c>
      <c r="H22" s="6" t="str">
        <f>IFERROR(IF(A22="","",SUM('Asset Allocation'!I22,'Asset Allocation'!J22,'Asset Allocation'!N22)/'Broad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Allocation'!D23)/'Broad Asset Allocation'!B23),0)</f>
        <v/>
      </c>
      <c r="C23" s="6" t="str">
        <f>IFERROR(IF(A23="","",SUM('Asset Allocation'!C23)/'Broad Asset Allocation'!B23),0)</f>
        <v/>
      </c>
      <c r="D23" s="6" t="str">
        <f>IFERROR(IF(A23="","",SUM('Asset Allocation'!E23)/'Broad Asset Allocation'!B23),0)</f>
        <v/>
      </c>
      <c r="E23" s="6" t="str">
        <f>IFERROR(IF(A23="","",SUM('Asset Allocation'!F23)/'Broad Asset Allocation'!B23),0)</f>
        <v/>
      </c>
      <c r="F23" s="6" t="str">
        <f>IFERROR(IF(A23="","",SUM('Asset Allocation'!G23)/'Broad Asset Allocation'!B23),0)</f>
        <v/>
      </c>
      <c r="G23" s="6" t="str">
        <f>IFERROR(IF(A23="","",SUM('Asset Allocation'!H23)/'Broad Asset Allocation'!B23),0)</f>
        <v/>
      </c>
      <c r="H23" s="6" t="str">
        <f>IFERROR(IF(A23="","",SUM('Asset Allocation'!I23,'Asset Allocation'!J23,'Asset Allocation'!N23)/'Broad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Allocation'!D24)/'Broad Asset Allocation'!B24),0)</f>
        <v/>
      </c>
      <c r="C24" s="6" t="str">
        <f>IFERROR(IF(A24="","",SUM('Asset Allocation'!C24)/'Broad Asset Allocation'!B24),0)</f>
        <v/>
      </c>
      <c r="D24" s="6" t="str">
        <f>IFERROR(IF(A24="","",SUM('Asset Allocation'!E24)/'Broad Asset Allocation'!B24),0)</f>
        <v/>
      </c>
      <c r="E24" s="6" t="str">
        <f>IFERROR(IF(A24="","",SUM('Asset Allocation'!F24)/'Broad Asset Allocation'!B24),0)</f>
        <v/>
      </c>
      <c r="F24" s="6" t="str">
        <f>IFERROR(IF(A24="","",SUM('Asset Allocation'!G24)/'Broad Asset Allocation'!B24),0)</f>
        <v/>
      </c>
      <c r="G24" s="6" t="str">
        <f>IFERROR(IF(A24="","",SUM('Asset Allocation'!H24)/'Broad Asset Allocation'!B24),0)</f>
        <v/>
      </c>
      <c r="H24" s="6" t="str">
        <f>IFERROR(IF(A24="","",SUM('Asset Allocation'!I24,'Asset Allocation'!J24,'Asset Allocation'!N24)/'Broad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Allocation'!D25)/'Broad Asset Allocation'!B25),0)</f>
        <v/>
      </c>
      <c r="C25" s="6" t="str">
        <f>IFERROR(IF(A25="","",SUM('Asset Allocation'!C25)/'Broad Asset Allocation'!B25),0)</f>
        <v/>
      </c>
      <c r="D25" s="6" t="str">
        <f>IFERROR(IF(A25="","",SUM('Asset Allocation'!E25)/'Broad Asset Allocation'!B25),0)</f>
        <v/>
      </c>
      <c r="E25" s="6" t="str">
        <f>IFERROR(IF(A25="","",SUM('Asset Allocation'!F25)/'Broad Asset Allocation'!B25),0)</f>
        <v/>
      </c>
      <c r="F25" s="6" t="str">
        <f>IFERROR(IF(A25="","",SUM('Asset Allocation'!G25)/'Broad Asset Allocation'!B25),0)</f>
        <v/>
      </c>
      <c r="G25" s="6" t="str">
        <f>IFERROR(IF(A25="","",SUM('Asset Allocation'!H25)/'Broad Asset Allocation'!B25),0)</f>
        <v/>
      </c>
      <c r="H25" s="6" t="str">
        <f>IFERROR(IF(A25="","",SUM('Asset Allocation'!I25,'Asset Allocation'!J25,'Asset Allocation'!N25)/'Broad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Allocation'!D26)/'Broad Asset Allocation'!B26),0)</f>
        <v/>
      </c>
      <c r="C26" s="6" t="str">
        <f>IFERROR(IF(A26="","",SUM('Asset Allocation'!C26)/'Broad Asset Allocation'!B26),0)</f>
        <v/>
      </c>
      <c r="D26" s="6" t="str">
        <f>IFERROR(IF(A26="","",SUM('Asset Allocation'!E26)/'Broad Asset Allocation'!B26),0)</f>
        <v/>
      </c>
      <c r="E26" s="6" t="str">
        <f>IFERROR(IF(A26="","",SUM('Asset Allocation'!F26)/'Broad Asset Allocation'!B26),0)</f>
        <v/>
      </c>
      <c r="F26" s="6" t="str">
        <f>IFERROR(IF(A26="","",SUM('Asset Allocation'!G26)/'Broad Asset Allocation'!B26),0)</f>
        <v/>
      </c>
      <c r="G26" s="6" t="str">
        <f>IFERROR(IF(A26="","",SUM('Asset Allocation'!H26)/'Broad Asset Allocation'!B26),0)</f>
        <v/>
      </c>
      <c r="H26" s="6" t="str">
        <f>IFERROR(IF(A26="","",SUM('Asset Allocation'!I26,'Asset Allocation'!J26,'Asset Allocation'!N26)/'Broad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Allocation'!D27)/'Broad Asset Allocation'!B27),0)</f>
        <v/>
      </c>
      <c r="C27" s="6" t="str">
        <f>IFERROR(IF(A27="","",SUM('Asset Allocation'!C27)/'Broad Asset Allocation'!B27),0)</f>
        <v/>
      </c>
      <c r="D27" s="6" t="str">
        <f>IFERROR(IF(A27="","",SUM('Asset Allocation'!E27)/'Broad Asset Allocation'!B27),0)</f>
        <v/>
      </c>
      <c r="E27" s="6" t="str">
        <f>IFERROR(IF(A27="","",SUM('Asset Allocation'!F27)/'Broad Asset Allocation'!B27),0)</f>
        <v/>
      </c>
      <c r="F27" s="6" t="str">
        <f>IFERROR(IF(A27="","",SUM('Asset Allocation'!G27)/'Broad Asset Allocation'!B27),0)</f>
        <v/>
      </c>
      <c r="G27" s="6" t="str">
        <f>IFERROR(IF(A27="","",SUM('Asset Allocation'!H27)/'Broad Asset Allocation'!B27),0)</f>
        <v/>
      </c>
      <c r="H27" s="6" t="str">
        <f>IFERROR(IF(A27="","",SUM('Asset Allocation'!I27,'Asset Allocation'!J27,'Asset Allocation'!N27)/'Broad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Allocation'!D28)/'Broad Asset Allocation'!B28),0)</f>
        <v/>
      </c>
      <c r="C28" s="6" t="str">
        <f>IFERROR(IF(A28="","",SUM('Asset Allocation'!C28)/'Broad Asset Allocation'!B28),0)</f>
        <v/>
      </c>
      <c r="D28" s="6" t="str">
        <f>IFERROR(IF(A28="","",SUM('Asset Allocation'!E28)/'Broad Asset Allocation'!B28),0)</f>
        <v/>
      </c>
      <c r="E28" s="6" t="str">
        <f>IFERROR(IF(A28="","",SUM('Asset Allocation'!F28)/'Broad Asset Allocation'!B28),0)</f>
        <v/>
      </c>
      <c r="F28" s="6" t="str">
        <f>IFERROR(IF(A28="","",SUM('Asset Allocation'!G28)/'Broad Asset Allocation'!B28),0)</f>
        <v/>
      </c>
      <c r="G28" s="6" t="str">
        <f>IFERROR(IF(A28="","",SUM('Asset Allocation'!H28)/'Broad Asset Allocation'!B28),0)</f>
        <v/>
      </c>
      <c r="H28" s="6" t="str">
        <f>IFERROR(IF(A28="","",SUM('Asset Allocation'!I28,'Asset Allocation'!J28,'Asset Allocation'!N28)/'Broad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Allocation'!D29)/'Broad Asset Allocation'!B29),0)</f>
        <v/>
      </c>
      <c r="C29" s="6" t="str">
        <f>IFERROR(IF(A29="","",SUM('Asset Allocation'!C29)/'Broad Asset Allocation'!B29),0)</f>
        <v/>
      </c>
      <c r="D29" s="6" t="str">
        <f>IFERROR(IF(A29="","",SUM('Asset Allocation'!E29)/'Broad Asset Allocation'!B29),0)</f>
        <v/>
      </c>
      <c r="E29" s="6" t="str">
        <f>IFERROR(IF(A29="","",SUM('Asset Allocation'!F29)/'Broad Asset Allocation'!B29),0)</f>
        <v/>
      </c>
      <c r="F29" s="6" t="str">
        <f>IFERROR(IF(A29="","",SUM('Asset Allocation'!G29)/'Broad Asset Allocation'!B29),0)</f>
        <v/>
      </c>
      <c r="G29" s="6" t="str">
        <f>IFERROR(IF(A29="","",SUM('Asset Allocation'!H29)/'Broad Asset Allocation'!B29),0)</f>
        <v/>
      </c>
      <c r="H29" s="6" t="str">
        <f>IFERROR(IF(A29="","",SUM('Asset Allocation'!I29,'Asset Allocation'!J29,'Asset Allocation'!N29)/'Broad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Allocation'!D30)/'Broad Asset Allocation'!B30),0)</f>
        <v/>
      </c>
      <c r="C30" s="6" t="str">
        <f>IFERROR(IF(A30="","",SUM('Asset Allocation'!C30)/'Broad Asset Allocation'!B30),0)</f>
        <v/>
      </c>
      <c r="D30" s="6" t="str">
        <f>IFERROR(IF(A30="","",SUM('Asset Allocation'!E30)/'Broad Asset Allocation'!B30),0)</f>
        <v/>
      </c>
      <c r="E30" s="6" t="str">
        <f>IFERROR(IF(A30="","",SUM('Asset Allocation'!F30)/'Broad Asset Allocation'!B30),0)</f>
        <v/>
      </c>
      <c r="F30" s="6" t="str">
        <f>IFERROR(IF(A30="","",SUM('Asset Allocation'!G30)/'Broad Asset Allocation'!B30),0)</f>
        <v/>
      </c>
      <c r="G30" s="6" t="str">
        <f>IFERROR(IF(A30="","",SUM('Asset Allocation'!H30)/'Broad Asset Allocation'!B30),0)</f>
        <v/>
      </c>
      <c r="H30" s="6" t="str">
        <f>IFERROR(IF(A30="","",SUM('Asset Allocation'!I30,'Asset Allocation'!J30,'Asset Allocation'!N30)/'Broad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Allocation'!D31)/'Broad Asset Allocation'!B31),0)</f>
        <v/>
      </c>
      <c r="C31" s="6" t="str">
        <f>IFERROR(IF(A31="","",SUM('Asset Allocation'!C31)/'Broad Asset Allocation'!B31),0)</f>
        <v/>
      </c>
      <c r="D31" s="6" t="str">
        <f>IFERROR(IF(A31="","",SUM('Asset Allocation'!E31)/'Broad Asset Allocation'!B31),0)</f>
        <v/>
      </c>
      <c r="E31" s="6" t="str">
        <f>IFERROR(IF(A31="","",SUM('Asset Allocation'!F31)/'Broad Asset Allocation'!B31),0)</f>
        <v/>
      </c>
      <c r="F31" s="6" t="str">
        <f>IFERROR(IF(A31="","",SUM('Asset Allocation'!G31)/'Broad Asset Allocation'!B31),0)</f>
        <v/>
      </c>
      <c r="G31" s="6" t="str">
        <f>IFERROR(IF(A31="","",SUM('Asset Allocation'!H31)/'Broad Asset Allocation'!B31),0)</f>
        <v/>
      </c>
      <c r="H31" s="6" t="str">
        <f>IFERROR(IF(A31="","",SUM('Asset Allocation'!I31,'Asset Allocation'!J31,'Asset Allocation'!N31)/'Broad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Allocation'!D32)/'Broad Asset Allocation'!B32),0)</f>
        <v/>
      </c>
      <c r="C32" s="6" t="str">
        <f>IFERROR(IF(A32="","",SUM('Asset Allocation'!C32)/'Broad Asset Allocation'!B32),0)</f>
        <v/>
      </c>
      <c r="D32" s="6" t="str">
        <f>IFERROR(IF(A32="","",SUM('Asset Allocation'!E32)/'Broad Asset Allocation'!B32),0)</f>
        <v/>
      </c>
      <c r="E32" s="6" t="str">
        <f>IFERROR(IF(A32="","",SUM('Asset Allocation'!F32)/'Broad Asset Allocation'!B32),0)</f>
        <v/>
      </c>
      <c r="F32" s="6" t="str">
        <f>IFERROR(IF(A32="","",SUM('Asset Allocation'!G32)/'Broad Asset Allocation'!B32),0)</f>
        <v/>
      </c>
      <c r="G32" s="6" t="str">
        <f>IFERROR(IF(A32="","",SUM('Asset Allocation'!H32)/'Broad Asset Allocation'!B32),0)</f>
        <v/>
      </c>
      <c r="H32" s="6" t="str">
        <f>IFERROR(IF(A32="","",SUM('Asset Allocation'!I32,'Asset Allocation'!J32,'Asset Allocation'!N32)/'Broad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Allocation'!D33)/'Broad Asset Allocation'!B33),0)</f>
        <v/>
      </c>
      <c r="C33" s="6" t="str">
        <f>IFERROR(IF(A33="","",SUM('Asset Allocation'!C33)/'Broad Asset Allocation'!B33),0)</f>
        <v/>
      </c>
      <c r="D33" s="6" t="str">
        <f>IFERROR(IF(A33="","",SUM('Asset Allocation'!E33)/'Broad Asset Allocation'!B33),0)</f>
        <v/>
      </c>
      <c r="E33" s="6" t="str">
        <f>IFERROR(IF(A33="","",SUM('Asset Allocation'!F33)/'Broad Asset Allocation'!B33),0)</f>
        <v/>
      </c>
      <c r="F33" s="6" t="str">
        <f>IFERROR(IF(A33="","",SUM('Asset Allocation'!G33)/'Broad Asset Allocation'!B33),0)</f>
        <v/>
      </c>
      <c r="G33" s="6" t="str">
        <f>IFERROR(IF(A33="","",SUM('Asset Allocation'!H33)/'Broad Asset Allocation'!B33),0)</f>
        <v/>
      </c>
      <c r="H33" s="6" t="str">
        <f>IFERROR(IF(A33="","",SUM('Asset Allocation'!I33,'Asset Allocation'!J33,'Asset Allocation'!N33)/'Broad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Allocation'!D34)/'Broad Asset Allocation'!B34),0)</f>
        <v/>
      </c>
      <c r="C34" s="6" t="str">
        <f>IFERROR(IF(A34="","",SUM('Asset Allocation'!C34)/'Broad Asset Allocation'!B34),0)</f>
        <v/>
      </c>
      <c r="D34" s="6" t="str">
        <f>IFERROR(IF(A34="","",SUM('Asset Allocation'!E34)/'Broad Asset Allocation'!B34),0)</f>
        <v/>
      </c>
      <c r="E34" s="6" t="str">
        <f>IFERROR(IF(A34="","",SUM('Asset Allocation'!F34)/'Broad Asset Allocation'!B34),0)</f>
        <v/>
      </c>
      <c r="F34" s="6" t="str">
        <f>IFERROR(IF(A34="","",SUM('Asset Allocation'!G34)/'Broad Asset Allocation'!B34),0)</f>
        <v/>
      </c>
      <c r="G34" s="6" t="str">
        <f>IFERROR(IF(A34="","",SUM('Asset Allocation'!H34)/'Broad Asset Allocation'!B34),0)</f>
        <v/>
      </c>
      <c r="H34" s="6" t="str">
        <f>IFERROR(IF(A34="","",SUM('Asset Allocation'!I34,'Asset Allocation'!J34,'Asset Allocation'!N34)/'Broad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Allocation'!D35)/'Broad Asset Allocation'!B35),0)</f>
        <v/>
      </c>
      <c r="C35" s="6" t="str">
        <f>IFERROR(IF(A35="","",SUM('Asset Allocation'!C35)/'Broad Asset Allocation'!B35),0)</f>
        <v/>
      </c>
      <c r="D35" s="6" t="str">
        <f>IFERROR(IF(A35="","",SUM('Asset Allocation'!E35)/'Broad Asset Allocation'!B35),0)</f>
        <v/>
      </c>
      <c r="E35" s="6" t="str">
        <f>IFERROR(IF(A35="","",SUM('Asset Allocation'!F35)/'Broad Asset Allocation'!B35),0)</f>
        <v/>
      </c>
      <c r="F35" s="6" t="str">
        <f>IFERROR(IF(A35="","",SUM('Asset Allocation'!G35)/'Broad Asset Allocation'!B35),0)</f>
        <v/>
      </c>
      <c r="G35" s="6" t="str">
        <f>IFERROR(IF(A35="","",SUM('Asset Allocation'!H35)/'Broad Asset Allocation'!B35),0)</f>
        <v/>
      </c>
      <c r="H35" s="6" t="str">
        <f>IFERROR(IF(A35="","",SUM('Asset Allocation'!I35,'Asset Allocation'!J35,'Asset Allocation'!N35)/'Broad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Allocation'!D36)/'Broad Asset Allocation'!B36),0)</f>
        <v/>
      </c>
      <c r="C36" s="6" t="str">
        <f>IFERROR(IF(A36="","",SUM('Asset Allocation'!C36)/'Broad Asset Allocation'!B36),0)</f>
        <v/>
      </c>
      <c r="D36" s="6" t="str">
        <f>IFERROR(IF(A36="","",SUM('Asset Allocation'!E36)/'Broad Asset Allocation'!B36),0)</f>
        <v/>
      </c>
      <c r="E36" s="6" t="str">
        <f>IFERROR(IF(A36="","",SUM('Asset Allocation'!F36)/'Broad Asset Allocation'!B36),0)</f>
        <v/>
      </c>
      <c r="F36" s="6" t="str">
        <f>IFERROR(IF(A36="","",SUM('Asset Allocation'!G36)/'Broad Asset Allocation'!B36),0)</f>
        <v/>
      </c>
      <c r="G36" s="6" t="str">
        <f>IFERROR(IF(A36="","",SUM('Asset Allocation'!H36)/'Broad Asset Allocation'!B36),0)</f>
        <v/>
      </c>
      <c r="H36" s="6" t="str">
        <f>IFERROR(IF(A36="","",SUM('Asset Allocation'!I36,'Asset Allocation'!J36,'Asset Allocation'!N36)/'Broad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Allocation'!D37)/'Broad Asset Allocation'!B37),0)</f>
        <v/>
      </c>
      <c r="C37" s="6" t="str">
        <f>IFERROR(IF(A37="","",SUM('Asset Allocation'!C37)/'Broad Asset Allocation'!B37),0)</f>
        <v/>
      </c>
      <c r="D37" s="6" t="str">
        <f>IFERROR(IF(A37="","",SUM('Asset Allocation'!E37)/'Broad Asset Allocation'!B37),0)</f>
        <v/>
      </c>
      <c r="E37" s="6" t="str">
        <f>IFERROR(IF(A37="","",SUM('Asset Allocation'!F37)/'Broad Asset Allocation'!B37),0)</f>
        <v/>
      </c>
      <c r="F37" s="6" t="str">
        <f>IFERROR(IF(A37="","",SUM('Asset Allocation'!G37)/'Broad Asset Allocation'!B37),0)</f>
        <v/>
      </c>
      <c r="G37" s="6" t="str">
        <f>IFERROR(IF(A37="","",SUM('Asset Allocation'!H37)/'Broad Asset Allocation'!B37),0)</f>
        <v/>
      </c>
      <c r="H37" s="6" t="str">
        <f>IFERROR(IF(A37="","",SUM('Asset Allocation'!I37,'Asset Allocation'!J37,'Asset Allocation'!N37)/'Broad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Allocation'!D38)/'Broad Asset Allocation'!B38),0)</f>
        <v/>
      </c>
      <c r="C38" s="6" t="str">
        <f>IFERROR(IF(A38="","",SUM('Asset Allocation'!C38)/'Broad Asset Allocation'!B38),0)</f>
        <v/>
      </c>
      <c r="D38" s="6" t="str">
        <f>IFERROR(IF(A38="","",SUM('Asset Allocation'!E38)/'Broad Asset Allocation'!B38),0)</f>
        <v/>
      </c>
      <c r="E38" s="6" t="str">
        <f>IFERROR(IF(A38="","",SUM('Asset Allocation'!F38)/'Broad Asset Allocation'!B38),0)</f>
        <v/>
      </c>
      <c r="F38" s="6" t="str">
        <f>IFERROR(IF(A38="","",SUM('Asset Allocation'!G38)/'Broad Asset Allocation'!B38),0)</f>
        <v/>
      </c>
      <c r="G38" s="6" t="str">
        <f>IFERROR(IF(A38="","",SUM('Asset Allocation'!H38)/'Broad Asset Allocation'!B38),0)</f>
        <v/>
      </c>
      <c r="H38" s="6" t="str">
        <f>IFERROR(IF(A38="","",SUM('Asset Allocation'!I38,'Asset Allocation'!J38,'Asset Allocation'!N38)/'Broad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Allocation'!D39)/'Broad Asset Allocation'!B39),0)</f>
        <v/>
      </c>
      <c r="C39" s="6" t="str">
        <f>IFERROR(IF(A39="","",SUM('Asset Allocation'!C39)/'Broad Asset Allocation'!B39),0)</f>
        <v/>
      </c>
      <c r="D39" s="6" t="str">
        <f>IFERROR(IF(A39="","",SUM('Asset Allocation'!E39)/'Broad Asset Allocation'!B39),0)</f>
        <v/>
      </c>
      <c r="E39" s="6" t="str">
        <f>IFERROR(IF(A39="","",SUM('Asset Allocation'!F39)/'Broad Asset Allocation'!B39),0)</f>
        <v/>
      </c>
      <c r="F39" s="6" t="str">
        <f>IFERROR(IF(A39="","",SUM('Asset Allocation'!G39)/'Broad Asset Allocation'!B39),0)</f>
        <v/>
      </c>
      <c r="G39" s="6" t="str">
        <f>IFERROR(IF(A39="","",SUM('Asset Allocation'!H39)/'Broad Asset Allocation'!B39),0)</f>
        <v/>
      </c>
      <c r="H39" s="6" t="str">
        <f>IFERROR(IF(A39="","",SUM('Asset Allocation'!I39,'Asset Allocation'!J39,'Asset Allocation'!N39)/'Broad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Allocation'!D40)/'Broad Asset Allocation'!B40),0)</f>
        <v/>
      </c>
      <c r="C40" s="6" t="str">
        <f>IFERROR(IF(A40="","",SUM('Asset Allocation'!C40)/'Broad Asset Allocation'!B40),0)</f>
        <v/>
      </c>
      <c r="D40" s="6" t="str">
        <f>IFERROR(IF(A40="","",SUM('Asset Allocation'!E40)/'Broad Asset Allocation'!B40),0)</f>
        <v/>
      </c>
      <c r="E40" s="6" t="str">
        <f>IFERROR(IF(A40="","",SUM('Asset Allocation'!F40)/'Broad Asset Allocation'!B40),0)</f>
        <v/>
      </c>
      <c r="F40" s="6" t="str">
        <f>IFERROR(IF(A40="","",SUM('Asset Allocation'!G40)/'Broad Asset Allocation'!B40),0)</f>
        <v/>
      </c>
      <c r="G40" s="6" t="str">
        <f>IFERROR(IF(A40="","",SUM('Asset Allocation'!H40)/'Broad Asset Allocation'!B40),0)</f>
        <v/>
      </c>
      <c r="H40" s="6" t="str">
        <f>IFERROR(IF(A40="","",SUM('Asset Allocation'!I40,'Asset Allocation'!J40,'Asset Allocation'!N40)/'Broad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Allocation'!D41)/'Broad Asset Allocation'!B41),0)</f>
        <v/>
      </c>
      <c r="C41" s="6" t="str">
        <f>IFERROR(IF(A41="","",SUM('Asset Allocation'!C41)/'Broad Asset Allocation'!B41),0)</f>
        <v/>
      </c>
      <c r="D41" s="6" t="str">
        <f>IFERROR(IF(A41="","",SUM('Asset Allocation'!E41)/'Broad Asset Allocation'!B41),0)</f>
        <v/>
      </c>
      <c r="E41" s="6" t="str">
        <f>IFERROR(IF(A41="","",SUM('Asset Allocation'!F41)/'Broad Asset Allocation'!B41),0)</f>
        <v/>
      </c>
      <c r="F41" s="6" t="str">
        <f>IFERROR(IF(A41="","",SUM('Asset Allocation'!G41)/'Broad Asset Allocation'!B41),0)</f>
        <v/>
      </c>
      <c r="G41" s="6" t="str">
        <f>IFERROR(IF(A41="","",SUM('Asset Allocation'!H41)/'Broad Asset Allocation'!B41),0)</f>
        <v/>
      </c>
      <c r="H41" s="6" t="str">
        <f>IFERROR(IF(A41="","",SUM('Asset Allocation'!I41,'Asset Allocation'!J41,'Asset Allocation'!N41)/'Broad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Allocation'!D42)/'Broad Asset Allocation'!B42),0)</f>
        <v/>
      </c>
      <c r="C42" s="6" t="str">
        <f>IFERROR(IF(A42="","",SUM('Asset Allocation'!C42)/'Broad Asset Allocation'!B42),0)</f>
        <v/>
      </c>
      <c r="D42" s="6" t="str">
        <f>IFERROR(IF(A42="","",SUM('Asset Allocation'!E42)/'Broad Asset Allocation'!B42),0)</f>
        <v/>
      </c>
      <c r="E42" s="6" t="str">
        <f>IFERROR(IF(A42="","",SUM('Asset Allocation'!F42)/'Broad Asset Allocation'!B42),0)</f>
        <v/>
      </c>
      <c r="F42" s="6" t="str">
        <f>IFERROR(IF(A42="","",SUM('Asset Allocation'!G42)/'Broad Asset Allocation'!B42),0)</f>
        <v/>
      </c>
      <c r="G42" s="6" t="str">
        <f>IFERROR(IF(A42="","",SUM('Asset Allocation'!H42)/'Broad Asset Allocation'!B42),0)</f>
        <v/>
      </c>
      <c r="H42" s="6" t="str">
        <f>IFERROR(IF(A42="","",SUM('Asset Allocation'!I42,'Asset Allocation'!J42,'Asset Allocation'!N42)/'Broad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Allocation'!D43)/'Broad Asset Allocation'!B43),0)</f>
        <v/>
      </c>
      <c r="C43" s="6" t="str">
        <f>IFERROR(IF(A43="","",SUM('Asset Allocation'!C43)/'Broad Asset Allocation'!B43),0)</f>
        <v/>
      </c>
      <c r="D43" s="6" t="str">
        <f>IFERROR(IF(A43="","",SUM('Asset Allocation'!E43)/'Broad Asset Allocation'!B43),0)</f>
        <v/>
      </c>
      <c r="E43" s="6" t="str">
        <f>IFERROR(IF(A43="","",SUM('Asset Allocation'!F43)/'Broad Asset Allocation'!B43),0)</f>
        <v/>
      </c>
      <c r="F43" s="6" t="str">
        <f>IFERROR(IF(A43="","",SUM('Asset Allocation'!G43)/'Broad Asset Allocation'!B43),0)</f>
        <v/>
      </c>
      <c r="G43" s="6" t="str">
        <f>IFERROR(IF(A43="","",SUM('Asset Allocation'!H43)/'Broad Asset Allocation'!B43),0)</f>
        <v/>
      </c>
      <c r="H43" s="6" t="str">
        <f>IFERROR(IF(A43="","",SUM('Asset Allocation'!I43,'Asset Allocation'!J43,'Asset Allocation'!N43)/'Broad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Allocation'!D44)/'Broad Asset Allocation'!B44),0)</f>
        <v/>
      </c>
      <c r="C44" s="6" t="str">
        <f>IFERROR(IF(A44="","",SUM('Asset Allocation'!C44)/'Broad Asset Allocation'!B44),0)</f>
        <v/>
      </c>
      <c r="D44" s="6" t="str">
        <f>IFERROR(IF(A44="","",SUM('Asset Allocation'!E44)/'Broad Asset Allocation'!B44),0)</f>
        <v/>
      </c>
      <c r="E44" s="6" t="str">
        <f>IFERROR(IF(A44="","",SUM('Asset Allocation'!F44)/'Broad Asset Allocation'!B44),0)</f>
        <v/>
      </c>
      <c r="F44" s="6" t="str">
        <f>IFERROR(IF(A44="","",SUM('Asset Allocation'!G44)/'Broad Asset Allocation'!B44),0)</f>
        <v/>
      </c>
      <c r="G44" s="6" t="str">
        <f>IFERROR(IF(A44="","",SUM('Asset Allocation'!H44)/'Broad Asset Allocation'!B44),0)</f>
        <v/>
      </c>
      <c r="H44" s="6" t="str">
        <f>IFERROR(IF(A44="","",SUM('Asset Allocation'!I44,'Asset Allocation'!J44,'Asset Allocation'!N44)/'Broad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Allocation'!D45)/'Broad Asset Allocation'!B45),0)</f>
        <v/>
      </c>
      <c r="C45" s="6" t="str">
        <f>IFERROR(IF(A45="","",SUM('Asset Allocation'!C45)/'Broad Asset Allocation'!B45),0)</f>
        <v/>
      </c>
      <c r="D45" s="6" t="str">
        <f>IFERROR(IF(A45="","",SUM('Asset Allocation'!E45)/'Broad Asset Allocation'!B45),0)</f>
        <v/>
      </c>
      <c r="E45" s="6" t="str">
        <f>IFERROR(IF(A45="","",SUM('Asset Allocation'!F45)/'Broad Asset Allocation'!B45),0)</f>
        <v/>
      </c>
      <c r="F45" s="6" t="str">
        <f>IFERROR(IF(A45="","",SUM('Asset Allocation'!G45)/'Broad Asset Allocation'!B45),0)</f>
        <v/>
      </c>
      <c r="G45" s="6" t="str">
        <f>IFERROR(IF(A45="","",SUM('Asset Allocation'!H45)/'Broad Asset Allocation'!B45),0)</f>
        <v/>
      </c>
      <c r="H45" s="6" t="str">
        <f>IFERROR(IF(A45="","",SUM('Asset Allocation'!I45,'Asset Allocation'!J45,'Asset Allocation'!N45)/'Broad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Allocation'!D46)/'Broad Asset Allocation'!B46),0)</f>
        <v/>
      </c>
      <c r="C46" s="6" t="str">
        <f>IFERROR(IF(A46="","",SUM('Asset Allocation'!C46)/'Broad Asset Allocation'!B46),0)</f>
        <v/>
      </c>
      <c r="D46" s="6" t="str">
        <f>IFERROR(IF(A46="","",SUM('Asset Allocation'!E46)/'Broad Asset Allocation'!B46),0)</f>
        <v/>
      </c>
      <c r="E46" s="6" t="str">
        <f>IFERROR(IF(A46="","",SUM('Asset Allocation'!F46)/'Broad Asset Allocation'!B46),0)</f>
        <v/>
      </c>
      <c r="F46" s="6" t="str">
        <f>IFERROR(IF(A46="","",SUM('Asset Allocation'!G46)/'Broad Asset Allocation'!B46),0)</f>
        <v/>
      </c>
      <c r="G46" s="6" t="str">
        <f>IFERROR(IF(A46="","",SUM('Asset Allocation'!H46)/'Broad Asset Allocation'!B46),0)</f>
        <v/>
      </c>
      <c r="H46" s="6" t="str">
        <f>IFERROR(IF(A46="","",SUM('Asset Allocation'!I46,'Asset Allocation'!J46,'Asset Allocation'!N46)/'Broad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Allocation'!D47)/'Broad Asset Allocation'!B47),0)</f>
        <v/>
      </c>
      <c r="C47" s="6" t="str">
        <f>IFERROR(IF(A47="","",SUM('Asset Allocation'!C47)/'Broad Asset Allocation'!B47),0)</f>
        <v/>
      </c>
      <c r="D47" s="6" t="str">
        <f>IFERROR(IF(A47="","",SUM('Asset Allocation'!E47)/'Broad Asset Allocation'!B47),0)</f>
        <v/>
      </c>
      <c r="E47" s="6" t="str">
        <f>IFERROR(IF(A47="","",SUM('Asset Allocation'!F47)/'Broad Asset Allocation'!B47),0)</f>
        <v/>
      </c>
      <c r="F47" s="6" t="str">
        <f>IFERROR(IF(A47="","",SUM('Asset Allocation'!G47)/'Broad Asset Allocation'!B47),0)</f>
        <v/>
      </c>
      <c r="G47" s="6" t="str">
        <f>IFERROR(IF(A47="","",SUM('Asset Allocation'!H47)/'Broad Asset Allocation'!B47),0)</f>
        <v/>
      </c>
      <c r="H47" s="6" t="str">
        <f>IFERROR(IF(A47="","",SUM('Asset Allocation'!I47,'Asset Allocation'!J47,'Asset Allocation'!N47)/'Broad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Allocation'!D48)/'Broad Asset Allocation'!B48),0)</f>
        <v/>
      </c>
      <c r="C48" s="6" t="str">
        <f>IFERROR(IF(A48="","",SUM('Asset Allocation'!C48)/'Broad Asset Allocation'!B48),0)</f>
        <v/>
      </c>
      <c r="D48" s="6" t="str">
        <f>IFERROR(IF(A48="","",SUM('Asset Allocation'!E48)/'Broad Asset Allocation'!B48),0)</f>
        <v/>
      </c>
      <c r="E48" s="6" t="str">
        <f>IFERROR(IF(A48="","",SUM('Asset Allocation'!F48)/'Broad Asset Allocation'!B48),0)</f>
        <v/>
      </c>
      <c r="F48" s="6" t="str">
        <f>IFERROR(IF(A48="","",SUM('Asset Allocation'!G48)/'Broad Asset Allocation'!B48),0)</f>
        <v/>
      </c>
      <c r="G48" s="6" t="str">
        <f>IFERROR(IF(A48="","",SUM('Asset Allocation'!H48)/'Broad Asset Allocation'!B48),0)</f>
        <v/>
      </c>
      <c r="H48" s="6" t="str">
        <f>IFERROR(IF(A48="","",SUM('Asset Allocation'!I48,'Asset Allocation'!J48,'Asset Allocation'!N48)/'Broad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Allocation'!D49)/'Broad Asset Allocation'!B49),0)</f>
        <v/>
      </c>
      <c r="C49" s="6" t="str">
        <f>IFERROR(IF(A49="","",SUM('Asset Allocation'!C49)/'Broad Asset Allocation'!B49),0)</f>
        <v/>
      </c>
      <c r="D49" s="6" t="str">
        <f>IFERROR(IF(A49="","",SUM('Asset Allocation'!E49)/'Broad Asset Allocation'!B49),0)</f>
        <v/>
      </c>
      <c r="E49" s="6" t="str">
        <f>IFERROR(IF(A49="","",SUM('Asset Allocation'!F49)/'Broad Asset Allocation'!B49),0)</f>
        <v/>
      </c>
      <c r="F49" s="6" t="str">
        <f>IFERROR(IF(A49="","",SUM('Asset Allocation'!G49)/'Broad Asset Allocation'!B49),0)</f>
        <v/>
      </c>
      <c r="G49" s="6" t="str">
        <f>IFERROR(IF(A49="","",SUM('Asset Allocation'!H49)/'Broad Asset Allocation'!B49),0)</f>
        <v/>
      </c>
      <c r="H49" s="6" t="str">
        <f>IFERROR(IF(A49="","",SUM('Asset Allocation'!I49,'Asset Allocation'!J49,'Asset Allocation'!N49)/'Broad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Allocation'!D50)/'Broad Asset Allocation'!B50),0)</f>
        <v/>
      </c>
      <c r="C50" s="6" t="str">
        <f>IFERROR(IF(A50="","",SUM('Asset Allocation'!C50)/'Broad Asset Allocation'!B50),0)</f>
        <v/>
      </c>
      <c r="D50" s="6" t="str">
        <f>IFERROR(IF(A50="","",SUM('Asset Allocation'!E50)/'Broad Asset Allocation'!B50),0)</f>
        <v/>
      </c>
      <c r="E50" s="6" t="str">
        <f>IFERROR(IF(A50="","",SUM('Asset Allocation'!F50)/'Broad Asset Allocation'!B50),0)</f>
        <v/>
      </c>
      <c r="F50" s="6" t="str">
        <f>IFERROR(IF(A50="","",SUM('Asset Allocation'!G50)/'Broad Asset Allocation'!B50),0)</f>
        <v/>
      </c>
      <c r="G50" s="6" t="str">
        <f>IFERROR(IF(A50="","",SUM('Asset Allocation'!H50)/'Broad Asset Allocation'!B50),0)</f>
        <v/>
      </c>
      <c r="H50" s="6" t="str">
        <f>IFERROR(IF(A50="","",SUM('Asset Allocation'!I50,'Asset Allocation'!J50,'Asset Allocation'!N50)/'Broad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57</v>
      </c>
      <c r="F1" t="s">
        <v>52</v>
      </c>
      <c r="G1" t="s">
        <v>16</v>
      </c>
      <c r="H1" t="s">
        <v>53</v>
      </c>
    </row>
    <row r="2" spans="1:8" x14ac:dyDescent="0.25">
      <c r="A2" t="str">
        <f>IF(Input!A3="","",Input!A3)</f>
        <v>MAIA Strategic Reserve</v>
      </c>
      <c r="H2">
        <f>IFERROR(IF(A2="","",SUM('Asset Allocation'!B2)/'Broad Asset Allocation'!C2),0)</f>
        <v>0</v>
      </c>
    </row>
    <row r="3" spans="1:8" x14ac:dyDescent="0.25">
      <c r="A3" t="str">
        <f>IF(Input!A4="","",Input!A4)</f>
        <v>MAIA Blended Cautious</v>
      </c>
      <c r="H3">
        <f>IFERROR(IF(A3="","",SUM('Asset Allocation'!B3)/'Broad Asset Allocation'!C3),0)</f>
        <v>0</v>
      </c>
    </row>
    <row r="4" spans="1:8" x14ac:dyDescent="0.25">
      <c r="A4" t="str">
        <f>IF(Input!A5="","",Input!A5)</f>
        <v>MAIA Blended Defensive</v>
      </c>
      <c r="H4">
        <f>IFERROR(IF(A4="","",SUM('Asset Allocation'!B4)/'Broad Asset Allocation'!C4),0)</f>
        <v>0</v>
      </c>
    </row>
    <row r="5" spans="1:8" x14ac:dyDescent="0.25">
      <c r="A5" t="str">
        <f>IF(Input!A6="","",Input!A6)</f>
        <v>MAIA Blended Income</v>
      </c>
      <c r="H5">
        <f>IFERROR(IF(A5="","",SUM('Asset Allocation'!B5)/'Broad Asset Allocation'!C5),0)</f>
        <v>0</v>
      </c>
    </row>
    <row r="6" spans="1:8" x14ac:dyDescent="0.25">
      <c r="A6" t="str">
        <f>IF(Input!A7="","",Input!A7)</f>
        <v>MAIA Blended Balanced Income</v>
      </c>
      <c r="H6">
        <f>IFERROR(IF(A6="","",SUM('Asset Allocation'!B6)/'Broad Asset Allocation'!C6),0)</f>
        <v>0</v>
      </c>
    </row>
    <row r="7" spans="1:8" x14ac:dyDescent="0.25">
      <c r="A7" t="str">
        <f>IF(Input!A8="","",Input!A8)</f>
        <v>MAIA Blended Balanced</v>
      </c>
      <c r="H7">
        <f>IFERROR(IF(A7="","",SUM('Asset Allocation'!B7)/'Broad Asset Allocation'!C7),0)</f>
        <v>0</v>
      </c>
    </row>
    <row r="8" spans="1:8" x14ac:dyDescent="0.25">
      <c r="A8" t="str">
        <f>IF(Input!A9="","",Input!A9)</f>
        <v>MAIA Blended Growth</v>
      </c>
      <c r="H8">
        <f>IFERROR(IF(A8="","",SUM('Asset Allocation'!B8)/'Broad Asset Allocation'!C8),0)</f>
        <v>0</v>
      </c>
    </row>
    <row r="9" spans="1:8" x14ac:dyDescent="0.25">
      <c r="A9" t="str">
        <f>IF(Input!A10="","",Input!A10)</f>
        <v>MAIA Blended Adventurous</v>
      </c>
      <c r="H9">
        <f>IFERROR(IF(A9="","",SUM('Asset Allocation'!B9)/'Broad Asset Allocation'!C9),0)</f>
        <v>0</v>
      </c>
    </row>
    <row r="10" spans="1:8" x14ac:dyDescent="0.25">
      <c r="A10" t="str">
        <f>IF(Input!A11="","",Input!A11)</f>
        <v/>
      </c>
      <c r="H10" t="str">
        <f>IFERROR(IF(A10="","",SUM('Asset Allocation'!B10)/'Broad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Allocation'!B11)/'Broad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MAIA Strategic Reserve</v>
      </c>
      <c r="C1" s="1" t="str">
        <v>MAIA Blended Cautious</v>
      </c>
      <c r="D1" t="str">
        <v>MAIA Blended Defensive</v>
      </c>
      <c r="E1" t="str">
        <v>MAIA Blended Income</v>
      </c>
      <c r="F1" t="str">
        <v>MAIA Blended Balanced Income</v>
      </c>
      <c r="G1" t="str">
        <v>MAIA Blended Balanced</v>
      </c>
      <c r="H1" t="str">
        <v>MAIA Blended Growth</v>
      </c>
      <c r="I1" t="str">
        <v>MAIA Blended Adventurous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2023-12-24T17:03:18Z</dcterms:modified>
</cp:coreProperties>
</file>