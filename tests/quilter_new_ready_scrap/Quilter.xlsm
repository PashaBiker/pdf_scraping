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quilter_new\"/>
    </mc:Choice>
  </mc:AlternateContent>
  <bookViews>
    <workbookView xWindow="2280" yWindow="2280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C38" i="7" l="1"/>
  <c r="H38" i="7"/>
  <c r="G38" i="7"/>
  <c r="C40" i="7"/>
  <c r="G40" i="7"/>
  <c r="H40" i="7"/>
  <c r="G48" i="7"/>
  <c r="H48" i="7"/>
  <c r="C48" i="7"/>
  <c r="G45" i="7"/>
  <c r="H45" i="7"/>
  <c r="C45" i="7"/>
  <c r="C39" i="7"/>
  <c r="H39" i="7"/>
  <c r="G39" i="7"/>
  <c r="H41" i="7"/>
  <c r="C41" i="7"/>
  <c r="G41" i="7"/>
  <c r="H49" i="7"/>
  <c r="G49" i="7"/>
  <c r="C49" i="7"/>
  <c r="C34" i="7"/>
  <c r="H34" i="7"/>
  <c r="G34" i="7"/>
  <c r="H42" i="7"/>
  <c r="C42" i="7"/>
  <c r="G42" i="7"/>
  <c r="G50" i="7"/>
  <c r="C50" i="7"/>
  <c r="H50" i="7"/>
  <c r="G37" i="7"/>
  <c r="H37" i="7"/>
  <c r="C37" i="7"/>
  <c r="C46" i="7"/>
  <c r="H46" i="7"/>
  <c r="G46" i="7"/>
  <c r="C47" i="7"/>
  <c r="G47" i="7"/>
  <c r="H47" i="7"/>
  <c r="C35" i="7"/>
  <c r="G35" i="7"/>
  <c r="H35" i="7"/>
  <c r="C43" i="7"/>
  <c r="G43" i="7"/>
  <c r="H43" i="7"/>
  <c r="G36" i="7"/>
  <c r="H36" i="7"/>
  <c r="C36" i="7"/>
  <c r="G44" i="7"/>
  <c r="C44" i="7"/>
  <c r="H44" i="7"/>
  <c r="F28" i="4"/>
  <c r="G28" i="4"/>
  <c r="B28" i="4"/>
  <c r="C28" i="4"/>
  <c r="H28" i="8" s="1"/>
  <c r="C37" i="4"/>
  <c r="B37" i="4"/>
  <c r="F37" i="4"/>
  <c r="G37" i="4"/>
  <c r="F4" i="4"/>
  <c r="C4" i="4"/>
  <c r="H4" i="8" s="1"/>
  <c r="G4" i="4"/>
  <c r="B4" i="4"/>
  <c r="F20" i="4"/>
  <c r="G20" i="4"/>
  <c r="B20" i="4"/>
  <c r="C20" i="4"/>
  <c r="H20" i="8" s="1"/>
  <c r="C21" i="4"/>
  <c r="H21" i="8" s="1"/>
  <c r="B21" i="4"/>
  <c r="F21" i="4"/>
  <c r="G21" i="4"/>
  <c r="F14" i="4"/>
  <c r="B14" i="4"/>
  <c r="C14" i="4"/>
  <c r="H14" i="8" s="1"/>
  <c r="G14" i="4"/>
  <c r="F46" i="4"/>
  <c r="G46" i="4"/>
  <c r="C46" i="4"/>
  <c r="B46" i="4"/>
  <c r="C7" i="4"/>
  <c r="H7" i="8" s="1"/>
  <c r="B7" i="4"/>
  <c r="G7" i="4"/>
  <c r="F7" i="4"/>
  <c r="C15" i="4"/>
  <c r="H15" i="8" s="1"/>
  <c r="B15" i="4"/>
  <c r="F15" i="4"/>
  <c r="G15" i="4"/>
  <c r="C23" i="4"/>
  <c r="H23" i="8" s="1"/>
  <c r="B23" i="4"/>
  <c r="F23" i="4"/>
  <c r="G23" i="4"/>
  <c r="B31" i="4"/>
  <c r="C31" i="4"/>
  <c r="H31" i="8" s="1"/>
  <c r="F31" i="4"/>
  <c r="G31" i="4"/>
  <c r="G39" i="4"/>
  <c r="C39" i="4"/>
  <c r="B39" i="4"/>
  <c r="F39" i="4"/>
  <c r="C47" i="4"/>
  <c r="B47" i="4"/>
  <c r="F47" i="4"/>
  <c r="G47" i="4"/>
  <c r="C45" i="4"/>
  <c r="G45" i="4"/>
  <c r="B45" i="4"/>
  <c r="F45" i="4"/>
  <c r="F22" i="4"/>
  <c r="B22" i="4"/>
  <c r="C22" i="4"/>
  <c r="H22" i="8" s="1"/>
  <c r="G22" i="4"/>
  <c r="F8" i="4"/>
  <c r="G8" i="4"/>
  <c r="C8" i="4"/>
  <c r="H8" i="8" s="1"/>
  <c r="B8" i="4"/>
  <c r="F24" i="4"/>
  <c r="G24" i="4"/>
  <c r="B24" i="4"/>
  <c r="C24" i="4"/>
  <c r="H24" i="8" s="1"/>
  <c r="F48" i="4"/>
  <c r="G48" i="4"/>
  <c r="B48" i="4"/>
  <c r="C48" i="4"/>
  <c r="C9" i="4"/>
  <c r="H9" i="8" s="1"/>
  <c r="B9" i="4"/>
  <c r="F9" i="4"/>
  <c r="G9" i="4"/>
  <c r="C25" i="4"/>
  <c r="H25" i="8" s="1"/>
  <c r="B25" i="4"/>
  <c r="G25" i="4"/>
  <c r="F25" i="4"/>
  <c r="C33" i="4"/>
  <c r="H33" i="8" s="1"/>
  <c r="B33" i="4"/>
  <c r="F33" i="4"/>
  <c r="G33" i="4"/>
  <c r="C41" i="4"/>
  <c r="B41" i="4"/>
  <c r="F41" i="4"/>
  <c r="G41" i="4"/>
  <c r="C49" i="4"/>
  <c r="B49" i="4"/>
  <c r="F49" i="4"/>
  <c r="G49" i="4"/>
  <c r="F36" i="4"/>
  <c r="G36" i="4"/>
  <c r="C36" i="4"/>
  <c r="B36" i="4"/>
  <c r="C5" i="4"/>
  <c r="H5" i="8" s="1"/>
  <c r="G5" i="4"/>
  <c r="B5" i="4"/>
  <c r="F5" i="4"/>
  <c r="C29" i="4"/>
  <c r="H29" i="8" s="1"/>
  <c r="B29" i="4"/>
  <c r="F29" i="4"/>
  <c r="G29" i="4"/>
  <c r="F30" i="4"/>
  <c r="B30" i="4"/>
  <c r="G30" i="4"/>
  <c r="C30" i="4"/>
  <c r="H30" i="8" s="1"/>
  <c r="F16" i="4"/>
  <c r="G16" i="4"/>
  <c r="B16" i="4"/>
  <c r="C16" i="4"/>
  <c r="H16" i="8" s="1"/>
  <c r="F40" i="4"/>
  <c r="G40" i="4"/>
  <c r="B40" i="4"/>
  <c r="C40" i="4"/>
  <c r="C17" i="4"/>
  <c r="H17" i="8" s="1"/>
  <c r="B17" i="4"/>
  <c r="F17" i="4"/>
  <c r="G17" i="4"/>
  <c r="G2" i="4"/>
  <c r="F2" i="4"/>
  <c r="B2" i="4"/>
  <c r="C2" i="4"/>
  <c r="H2" i="8" s="1"/>
  <c r="F10" i="4"/>
  <c r="G10" i="4"/>
  <c r="B10" i="4"/>
  <c r="C10" i="4"/>
  <c r="H10" i="8" s="1"/>
  <c r="F18" i="4"/>
  <c r="B18" i="4"/>
  <c r="C18" i="4"/>
  <c r="H18" i="8" s="1"/>
  <c r="G18" i="4"/>
  <c r="F26" i="4"/>
  <c r="C26" i="4"/>
  <c r="H26" i="8" s="1"/>
  <c r="G26" i="4"/>
  <c r="B26" i="4"/>
  <c r="F34" i="4"/>
  <c r="B34" i="4"/>
  <c r="G34" i="4"/>
  <c r="C34" i="4"/>
  <c r="F42" i="4"/>
  <c r="G42" i="4"/>
  <c r="B42" i="4"/>
  <c r="C42" i="4"/>
  <c r="F50" i="4"/>
  <c r="C50" i="4"/>
  <c r="G50" i="4"/>
  <c r="B50" i="4"/>
  <c r="F12" i="4"/>
  <c r="B12" i="4"/>
  <c r="G12" i="4"/>
  <c r="C12" i="4"/>
  <c r="H12" i="8" s="1"/>
  <c r="F44" i="4"/>
  <c r="B44" i="4"/>
  <c r="C44" i="4"/>
  <c r="G44" i="4"/>
  <c r="C13" i="4"/>
  <c r="H13" i="8" s="1"/>
  <c r="B13" i="4"/>
  <c r="F13" i="4"/>
  <c r="G13" i="4"/>
  <c r="F6" i="4"/>
  <c r="B6" i="4"/>
  <c r="G6" i="4"/>
  <c r="C6" i="4"/>
  <c r="H6" i="8" s="1"/>
  <c r="F38" i="4"/>
  <c r="B38" i="4"/>
  <c r="C38" i="4"/>
  <c r="G38" i="4"/>
  <c r="F32" i="4"/>
  <c r="C32" i="4"/>
  <c r="H32" i="8" s="1"/>
  <c r="G32" i="4"/>
  <c r="B32" i="4"/>
  <c r="C3" i="4"/>
  <c r="H3" i="8" s="1"/>
  <c r="B3" i="4"/>
  <c r="F3" i="4"/>
  <c r="G3" i="4"/>
  <c r="C11" i="4"/>
  <c r="H11" i="8" s="1"/>
  <c r="B11" i="4"/>
  <c r="F11" i="4"/>
  <c r="G11" i="4"/>
  <c r="C19" i="4"/>
  <c r="H19" i="8" s="1"/>
  <c r="B19" i="4"/>
  <c r="F19" i="4"/>
  <c r="G19" i="4"/>
  <c r="C27" i="4"/>
  <c r="H27" i="8" s="1"/>
  <c r="B27" i="4"/>
  <c r="F27" i="4"/>
  <c r="G27" i="4"/>
  <c r="C35" i="4"/>
  <c r="B35" i="4"/>
  <c r="G35" i="4"/>
  <c r="F35" i="4"/>
  <c r="C43" i="4"/>
  <c r="B43" i="4"/>
  <c r="G43" i="4"/>
  <c r="F43" i="4"/>
  <c r="C29" i="31"/>
  <c r="D29" i="31"/>
  <c r="E29" i="31"/>
  <c r="F29" i="31"/>
  <c r="G29" i="31"/>
  <c r="C45" i="31"/>
  <c r="D45" i="31"/>
  <c r="E45" i="31"/>
  <c r="F45" i="31"/>
  <c r="G45" i="31"/>
  <c r="F6" i="31"/>
  <c r="C6" i="31"/>
  <c r="G6" i="31"/>
  <c r="E6" i="31"/>
  <c r="D6" i="31"/>
  <c r="F14" i="31"/>
  <c r="C14" i="31"/>
  <c r="G14" i="31"/>
  <c r="D14" i="31"/>
  <c r="E14" i="31"/>
  <c r="F22" i="31"/>
  <c r="G22" i="31"/>
  <c r="C22" i="31"/>
  <c r="D22" i="31"/>
  <c r="E22" i="31"/>
  <c r="F30" i="31"/>
  <c r="G30" i="31"/>
  <c r="C30" i="31"/>
  <c r="D30" i="31"/>
  <c r="E30" i="31"/>
  <c r="F38" i="31"/>
  <c r="G38" i="31"/>
  <c r="C38" i="31"/>
  <c r="D38" i="31"/>
  <c r="E38" i="31"/>
  <c r="F46" i="31"/>
  <c r="G46" i="31"/>
  <c r="E46" i="31"/>
  <c r="D46" i="31"/>
  <c r="C46" i="31"/>
  <c r="C13" i="31"/>
  <c r="D13" i="31"/>
  <c r="E13" i="31"/>
  <c r="F13" i="31"/>
  <c r="G13" i="31"/>
  <c r="F23" i="31"/>
  <c r="C23" i="31"/>
  <c r="D23" i="31"/>
  <c r="E23" i="31"/>
  <c r="G23" i="31"/>
  <c r="D8" i="31"/>
  <c r="E8" i="31"/>
  <c r="F8" i="31"/>
  <c r="G8" i="31"/>
  <c r="C8" i="31"/>
  <c r="D16" i="31"/>
  <c r="E16" i="31"/>
  <c r="F16" i="31"/>
  <c r="G16" i="31"/>
  <c r="C16" i="31"/>
  <c r="D24" i="31"/>
  <c r="E24" i="31"/>
  <c r="F24" i="31"/>
  <c r="G24" i="31"/>
  <c r="C24" i="31"/>
  <c r="D32" i="31"/>
  <c r="E32" i="31"/>
  <c r="F32" i="31"/>
  <c r="G32" i="31"/>
  <c r="C32" i="31"/>
  <c r="D40" i="31"/>
  <c r="E40" i="31"/>
  <c r="F40" i="31"/>
  <c r="G40" i="31"/>
  <c r="C40" i="31"/>
  <c r="D48" i="31"/>
  <c r="E48" i="31"/>
  <c r="F48" i="31"/>
  <c r="C48" i="31"/>
  <c r="G48" i="31"/>
  <c r="C7" i="31"/>
  <c r="F7" i="31"/>
  <c r="D7" i="31"/>
  <c r="E7" i="31"/>
  <c r="G7" i="31"/>
  <c r="C47" i="31"/>
  <c r="F47" i="31"/>
  <c r="D47" i="31"/>
  <c r="E47" i="31"/>
  <c r="G47" i="31"/>
  <c r="G9" i="31"/>
  <c r="E9" i="31"/>
  <c r="D9" i="31"/>
  <c r="C9" i="31"/>
  <c r="F9" i="31"/>
  <c r="G17" i="31"/>
  <c r="D17" i="31"/>
  <c r="E17" i="31"/>
  <c r="F17" i="31"/>
  <c r="C17" i="31"/>
  <c r="G25" i="31"/>
  <c r="F25" i="31"/>
  <c r="E25" i="31"/>
  <c r="C25" i="31"/>
  <c r="D25" i="31"/>
  <c r="G33" i="31"/>
  <c r="F33" i="31"/>
  <c r="D33" i="31"/>
  <c r="C33" i="31"/>
  <c r="E33" i="31"/>
  <c r="G41" i="31"/>
  <c r="D41" i="31"/>
  <c r="C41" i="31"/>
  <c r="E41" i="31"/>
  <c r="F41" i="31"/>
  <c r="G49" i="31"/>
  <c r="D49" i="31"/>
  <c r="E49" i="31"/>
  <c r="F49" i="31"/>
  <c r="C49" i="31"/>
  <c r="C21" i="31"/>
  <c r="D21" i="31"/>
  <c r="E21" i="31"/>
  <c r="F21" i="31"/>
  <c r="G21" i="31"/>
  <c r="C15" i="31"/>
  <c r="D15" i="31"/>
  <c r="E15" i="31"/>
  <c r="F15" i="31"/>
  <c r="G15" i="31"/>
  <c r="G2" i="31"/>
  <c r="F2" i="31"/>
  <c r="C2" i="31"/>
  <c r="E2" i="31"/>
  <c r="D2" i="31"/>
  <c r="C10" i="31"/>
  <c r="G10" i="31"/>
  <c r="D10" i="31"/>
  <c r="E10" i="31"/>
  <c r="F10" i="31"/>
  <c r="C18" i="31"/>
  <c r="D18" i="31"/>
  <c r="E18" i="31"/>
  <c r="G18" i="31"/>
  <c r="F18" i="31"/>
  <c r="G26" i="31"/>
  <c r="C26" i="31"/>
  <c r="D26" i="31"/>
  <c r="E26" i="31"/>
  <c r="F26" i="31"/>
  <c r="G34" i="31"/>
  <c r="C34" i="31"/>
  <c r="D34" i="31"/>
  <c r="E34" i="31"/>
  <c r="F34" i="31"/>
  <c r="C42" i="31"/>
  <c r="D42" i="31"/>
  <c r="E42" i="31"/>
  <c r="F42" i="31"/>
  <c r="G42" i="31"/>
  <c r="C50" i="31"/>
  <c r="D50" i="31"/>
  <c r="E50" i="31"/>
  <c r="F50" i="31"/>
  <c r="G50" i="31"/>
  <c r="C5" i="31"/>
  <c r="D5" i="31"/>
  <c r="E5" i="31"/>
  <c r="F5" i="31"/>
  <c r="G5" i="31"/>
  <c r="C31" i="31"/>
  <c r="D31" i="31"/>
  <c r="G31" i="31"/>
  <c r="E31" i="31"/>
  <c r="F31" i="31"/>
  <c r="E3" i="31"/>
  <c r="C3" i="31"/>
  <c r="F3" i="31"/>
  <c r="D3" i="31"/>
  <c r="G3" i="31"/>
  <c r="E11" i="31"/>
  <c r="C11" i="31"/>
  <c r="D11" i="31"/>
  <c r="F11" i="31"/>
  <c r="G11" i="31"/>
  <c r="E19" i="31"/>
  <c r="D19" i="31"/>
  <c r="F19" i="31"/>
  <c r="C19" i="31"/>
  <c r="G19" i="31"/>
  <c r="E27" i="31"/>
  <c r="F27" i="31"/>
  <c r="C27" i="31"/>
  <c r="G27" i="31"/>
  <c r="D27" i="31"/>
  <c r="E35" i="31"/>
  <c r="F35" i="31"/>
  <c r="G35" i="31"/>
  <c r="C35" i="31"/>
  <c r="D35" i="31"/>
  <c r="E43" i="31"/>
  <c r="D43" i="31"/>
  <c r="F43" i="31"/>
  <c r="C43" i="31"/>
  <c r="G43" i="31"/>
  <c r="C37" i="31"/>
  <c r="D37" i="31"/>
  <c r="E37" i="31"/>
  <c r="F37" i="31"/>
  <c r="G37" i="31"/>
  <c r="G39" i="31"/>
  <c r="C39" i="31"/>
  <c r="D39" i="31"/>
  <c r="F39" i="31"/>
  <c r="E39" i="31"/>
  <c r="G4" i="31"/>
  <c r="F4" i="31"/>
  <c r="C4" i="31"/>
  <c r="D4" i="31"/>
  <c r="E4" i="31"/>
  <c r="F12" i="31"/>
  <c r="G12" i="31"/>
  <c r="C12" i="31"/>
  <c r="D12" i="31"/>
  <c r="E12" i="31"/>
  <c r="E20" i="31"/>
  <c r="G20" i="31"/>
  <c r="C20" i="31"/>
  <c r="F20" i="31"/>
  <c r="D20" i="31"/>
  <c r="G28" i="31"/>
  <c r="C28" i="31"/>
  <c r="E28" i="31"/>
  <c r="D28" i="31"/>
  <c r="F28" i="31"/>
  <c r="G36" i="31"/>
  <c r="C36" i="31"/>
  <c r="F36" i="31"/>
  <c r="D36" i="31"/>
  <c r="E36" i="31"/>
  <c r="E44" i="31"/>
  <c r="C44" i="31"/>
  <c r="F44" i="31"/>
  <c r="D44" i="31"/>
  <c r="G44" i="31"/>
  <c r="B1" i="39" a="1"/>
  <c r="B1" i="39" s="1"/>
  <c r="B1" i="38" a="1"/>
  <c r="B1" i="38" s="1"/>
  <c r="B1" i="37" a="1"/>
  <c r="B1" i="37" s="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19" i="7" l="1"/>
  <c r="H19" i="7"/>
  <c r="G19" i="7"/>
  <c r="C17" i="7"/>
  <c r="G17" i="7"/>
  <c r="H17" i="7"/>
  <c r="C8" i="7"/>
  <c r="H8" i="7"/>
  <c r="G8" i="7"/>
  <c r="C16" i="7"/>
  <c r="H16" i="7"/>
  <c r="G16" i="7"/>
  <c r="C20" i="7"/>
  <c r="G20" i="7"/>
  <c r="H20" i="7"/>
  <c r="G13" i="7"/>
  <c r="H13" i="7"/>
  <c r="C13" i="7"/>
  <c r="C25" i="7"/>
  <c r="G25" i="7"/>
  <c r="H25" i="7"/>
  <c r="C14" i="7"/>
  <c r="H14" i="7"/>
  <c r="G14" i="7"/>
  <c r="C12" i="7"/>
  <c r="H12" i="7"/>
  <c r="G12" i="7"/>
  <c r="G29" i="7"/>
  <c r="C29" i="7"/>
  <c r="H29" i="7"/>
  <c r="G7" i="7"/>
  <c r="H7" i="7"/>
  <c r="C7" i="7"/>
  <c r="C32" i="7"/>
  <c r="G32" i="7"/>
  <c r="H32" i="7"/>
  <c r="C4" i="7"/>
  <c r="H4" i="7"/>
  <c r="G4" i="7"/>
  <c r="H2" i="7"/>
  <c r="C2" i="7"/>
  <c r="G2" i="7"/>
  <c r="G5" i="7"/>
  <c r="C5" i="7"/>
  <c r="H5" i="7"/>
  <c r="C27" i="7"/>
  <c r="H27" i="7"/>
  <c r="G27" i="7"/>
  <c r="H18" i="7"/>
  <c r="G18" i="7"/>
  <c r="C18" i="7"/>
  <c r="C30" i="7"/>
  <c r="H30" i="7"/>
  <c r="G30" i="7"/>
  <c r="C33" i="7"/>
  <c r="H33" i="7"/>
  <c r="G33" i="7"/>
  <c r="C9" i="7"/>
  <c r="H9" i="7"/>
  <c r="G9" i="7"/>
  <c r="C22" i="7"/>
  <c r="G22" i="7"/>
  <c r="H22" i="7"/>
  <c r="G15" i="7"/>
  <c r="C15" i="7"/>
  <c r="H15" i="7"/>
  <c r="G21" i="7"/>
  <c r="C21" i="7"/>
  <c r="H21" i="7"/>
  <c r="H26" i="7"/>
  <c r="C26" i="7"/>
  <c r="G26" i="7"/>
  <c r="H10" i="7"/>
  <c r="G10" i="7"/>
  <c r="C10" i="7"/>
  <c r="C3" i="7"/>
  <c r="H3" i="7"/>
  <c r="G3" i="7"/>
  <c r="G23" i="7"/>
  <c r="C23" i="7"/>
  <c r="H23" i="7"/>
  <c r="C24" i="7"/>
  <c r="H24" i="7"/>
  <c r="G24" i="7"/>
  <c r="C28" i="7"/>
  <c r="G28" i="7"/>
  <c r="H28" i="7"/>
  <c r="C11" i="7"/>
  <c r="G11" i="7"/>
  <c r="H11" i="7"/>
  <c r="C6" i="7"/>
  <c r="H6" i="7"/>
  <c r="G6" i="7"/>
  <c r="G31" i="7"/>
  <c r="C31" i="7"/>
  <c r="H31" i="7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<sst xmlns="http://schemas.openxmlformats.org/spreadsheetml/2006/main" count="213" uniqueCount="148">
  <si>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</si>
  <si>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</si>
  <si>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</si>
  <si>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</si>
  <si>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</si>
  <si>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</si>
  <si>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</si>
  <si>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</si>
  <si>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</si>
  <si>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</si>
  <si>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</si>
  <si>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</si>
  <si>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</si>
  <si>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</si>
  <si>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</si>
  <si>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</si>
  <si>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</si>
  <si>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</si>
  <si>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</si>
  <si>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</si>
  <si>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</si>
  <si>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</si>
  <si>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</si>
  <si>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</si>
  <si>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</si>
  <si>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</si>
  <si>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</si>
  <si>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</si>
  <si>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</si>
  <si>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</si>
  <si>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</si>
  <si>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</si>
  <si>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</si>
  <si>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</si>
  <si>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</si>
  <si>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</si>
  <si>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WealthSelect Managed Active 10 factsheet</t>
  </si>
  <si>
    <t>WealthSelect Managed Active 3 factsheet</t>
  </si>
  <si>
    <t>WealthSelect Managed Active 4 factsheet</t>
  </si>
  <si>
    <t>WealthSelect Managed Active 5 factsheet</t>
  </si>
  <si>
    <t>WealthSelect Managed Active 6 factsheet</t>
  </si>
  <si>
    <t>WealthSelect Managed Active 7 factsheet</t>
  </si>
  <si>
    <t>WealthSelect Managed Active 8 factsheet</t>
  </si>
  <si>
    <t>WealthSelect Managed Active 9 factsheet</t>
  </si>
  <si>
    <t>WealthSelect Managed Blend 10 factsheet</t>
  </si>
  <si>
    <t>WealthSelect Managed Blend 3 factsheet</t>
  </si>
  <si>
    <t>WealthSelect Managed Blend 4 factsheet</t>
  </si>
  <si>
    <t>WealthSelect Managed Blend 5 factsheet</t>
  </si>
  <si>
    <t>WealthSelect Managed Blend 6 factsheet</t>
  </si>
  <si>
    <t>WealthSelect Managed Blend 7 factsheet</t>
  </si>
  <si>
    <t>WealthSelect Managed Blend 8 factsheet</t>
  </si>
  <si>
    <t>WealthSelect Managed Blend 9 factsheet</t>
  </si>
  <si>
    <t>WealthSelect Managed Passive 10 factsheet</t>
  </si>
  <si>
    <t>WealthSelect Managed Passive 3 factsheet</t>
  </si>
  <si>
    <t>WealthSelect Managed Passive 5 factsheet</t>
  </si>
  <si>
    <t>WealthSelect Managed Passive 6 factsheet</t>
  </si>
  <si>
    <t>WealthSelect Managed Passive 7 factsheet</t>
  </si>
  <si>
    <t>WealthSelect Managed Passive 8 factsheet</t>
  </si>
  <si>
    <t>WealthSelect Managed Passive 9 factsheet</t>
  </si>
  <si>
    <t>WealthSelect Sustainable Active 10 factsheet</t>
  </si>
  <si>
    <t>WealthSelect Sustainable Active 3 factsheet</t>
  </si>
  <si>
    <t>WealthSelect Sustainable Active 4 factsheet</t>
  </si>
  <si>
    <t>WealthSelect Sustainable Active 5 factsheet</t>
  </si>
  <si>
    <t>WealthSelect Sustainable Active 6 factsheet</t>
  </si>
  <si>
    <t>WealthSelect Sustainable Active 7 factsheet</t>
  </si>
  <si>
    <t>WealthSelect Sustainable Active 8 factsheet</t>
  </si>
  <si>
    <t>WealthSelect Sustainable Active 9 factsheet</t>
  </si>
  <si>
    <t>https://www.quilter.com/documents/?filters=116472%2c116442%2c137171&amp;page=1&amp;Region=uk&amp;Role=adv</t>
  </si>
  <si>
    <t>WealthSelect Managed Active 10</t>
  </si>
  <si>
    <t>WealthSelect Managed Active 3</t>
  </si>
  <si>
    <t>WealthSelect Managed Active 4</t>
  </si>
  <si>
    <t>WealthSelect Managed Active 5</t>
  </si>
  <si>
    <t>WealthSelect Managed Active 6</t>
  </si>
  <si>
    <t>WealthSelect Managed Active 7</t>
  </si>
  <si>
    <t>WealthSelect Managed Active 8</t>
  </si>
  <si>
    <t>WealthSelect Managed Active 9</t>
  </si>
  <si>
    <t>WealthSelect Managed Blend 10</t>
  </si>
  <si>
    <t>WealthSelect Managed Blend 3</t>
  </si>
  <si>
    <t>WealthSelect Managed Blend 4</t>
  </si>
  <si>
    <t>WealthSelect Managed Blend 5</t>
  </si>
  <si>
    <t>WealthSelect Managed Blend 6</t>
  </si>
  <si>
    <t>WealthSelect Managed Blend 7</t>
  </si>
  <si>
    <t>WealthSelect Managed Blend 8</t>
  </si>
  <si>
    <t>WealthSelect Managed Blend 9</t>
  </si>
  <si>
    <t>WealthSelect Managed Passive 10</t>
  </si>
  <si>
    <t>WealthSelect Managed Passive 3</t>
  </si>
  <si>
    <t>WealthSelect Managed Passive 5</t>
  </si>
  <si>
    <t>WealthSelect Managed Passive 6</t>
  </si>
  <si>
    <t>WealthSelect Managed Passive 7</t>
  </si>
  <si>
    <t>WealthSelect Managed Passive 8</t>
  </si>
  <si>
    <t>WealthSelect Managed Passive 9</t>
  </si>
  <si>
    <t>WealthSelect Sustainable Active 10</t>
  </si>
  <si>
    <t>WealthSelect Sustainable Active 3</t>
  </si>
  <si>
    <t>WealthSelect Sustainable Active 4</t>
  </si>
  <si>
    <t>WealthSelect Sustainable Active 5</t>
  </si>
  <si>
    <t>WealthSelect Sustainable Active 6</t>
  </si>
  <si>
    <t>WealthSelect Sustainable Active 7</t>
  </si>
  <si>
    <t>WealthSelect Sustainable Active 8</t>
  </si>
  <si>
    <t>WealthSelect Sustainable Active 9</t>
  </si>
  <si>
    <t>Weighted fund charge</t>
  </si>
  <si>
    <t>MPS charge</t>
  </si>
  <si>
    <t>3 years</t>
  </si>
  <si>
    <t>5 years</t>
  </si>
  <si>
    <t>WealthSelect Managed Passive 4 factsheet</t>
  </si>
  <si>
    <t>Developed markets (ex UK) equity</t>
  </si>
  <si>
    <t>Emerging markets equity</t>
  </si>
  <si>
    <t>UK equity</t>
  </si>
  <si>
    <t>Fixed interest</t>
  </si>
  <si>
    <t>Emerging markets multi-thematic equity</t>
  </si>
  <si>
    <t>Engagement equity</t>
  </si>
  <si>
    <t>Global multi-thematic equity</t>
  </si>
  <si>
    <t>Social equity</t>
  </si>
  <si>
    <t>Environmental equity</t>
  </si>
  <si>
    <t>Alternatives</t>
  </si>
  <si>
    <t>WealthSelect Managed Passive 4</t>
  </si>
  <si>
    <t>30 November 2023.</t>
  </si>
  <si>
    <t>https://www.quilter.com/siteassets/documents/platform/wealthselect/factsheets/MM00964_WealthSelectManagedActive10.pdf</t>
  </si>
  <si>
    <t>https://www.quilter.com/siteassets/documents/platform/wealthselect/factsheets/MM00957_WealthSelectManagedActive3.pdf</t>
  </si>
  <si>
    <t>https://www.quilter.com/siteassets/documents/platform/wealthselect/factsheets/MM00958_WealthSelectManagedActive4.pdf</t>
  </si>
  <si>
    <t>https://www.quilter.com/siteassets/documents/platform/wealthselect/factsheets/MM00959_WealthSelectManagedActive5.pdf</t>
  </si>
  <si>
    <t>https://www.quilter.com/siteassets/documents/platform/wealthselect/factsheets/MM00960_WealthSelectManagedActive6.pdf</t>
  </si>
  <si>
    <t>https://www.quilter.com/siteassets/documents/platform/wealthselect/factsheets/MM00961_WealthSelectManagedActive7.pdf</t>
  </si>
  <si>
    <t>https://www.quilter.com/siteassets/documents/platform/wealthselect/factsheets/MM00962_WealthSelectManagedActive8.pdf</t>
  </si>
  <si>
    <t>https://www.quilter.com/siteassets/documents/platform/wealthselect/factsheets/MM00963_WealthSelectManagedActive9.pdf</t>
  </si>
  <si>
    <t>https://www.quilter.com/siteassets/documents/platform/wealthselect/factsheets/MM00972_WealthSelectManagedBlend10.pdf</t>
  </si>
  <si>
    <t>https://www.quilter.com/siteassets/documents/platform/wealthselect/factsheets/MM00965_WealthSelectManagedBlend3.pdf</t>
  </si>
  <si>
    <t>https://www.quilter.com/siteassets/documents/platform/wealthselect/factsheets/MM00966_WealthSelectManagedBlend4.pdf</t>
  </si>
  <si>
    <t>https://www.quilter.com/siteassets/documents/platform/wealthselect/factsheets/MM00967_WealthSelectManagedBlend5.pdf</t>
  </si>
  <si>
    <t>https://www.quilter.com/siteassets/documents/platform/wealthselect/factsheets/MM00968_WealthSelectManagedBlend6.pdf</t>
  </si>
  <si>
    <t>https://www.quilter.com/siteassets/documents/platform/wealthselect/factsheets/MM00969_WealthSelectManagedBlend7.pdf</t>
  </si>
  <si>
    <t>https://www.quilter.com/siteassets/documents/platform/wealthselect/factsheets/MM00970_WealthSelectManagedBlend8.pdf</t>
  </si>
  <si>
    <t>https://www.quilter.com/siteassets/documents/platform/wealthselect/factsheets/MM00971_WealthSelectManagedBlend9.pdf</t>
  </si>
  <si>
    <t>https://www.quilter.com/siteassets/documents/platform/wealthselect/factsheets/mm01621_wealthselectmanagedpassive10.pdf</t>
  </si>
  <si>
    <t>https://www.quilter.com/siteassets/documents/platform/wealthselect/factsheets/mm01614_wealthselectmanagedpassive3.pdf</t>
  </si>
  <si>
    <t>https://www.quilter.com/siteassets/documents/platform/wealthselect/factsheets/mm01615_wealthselectmanagedpassive4.pdf</t>
  </si>
  <si>
    <t>https://www.quilter.com/siteassets/documents/platform/wealthselect/factsheets/mm01616_wealthselectmanagedpassive5.pdf</t>
  </si>
  <si>
    <t>https://www.quilter.com/siteassets/documents/platform/wealthselect/factsheets/mm01617_wealthselectmanagedpassive6.pdf</t>
  </si>
  <si>
    <t>https://www.quilter.com/siteassets/documents/platform/wealthselect/factsheets/mm01618_wealthselectmanagedpassive7.pdf</t>
  </si>
  <si>
    <t>https://www.quilter.com/siteassets/documents/platform/wealthselect/factsheets/mm01619_wealthselectmanagedpassive8.pdf</t>
  </si>
  <si>
    <t>https://www.quilter.com/siteassets/documents/platform/wealthselect/factsheets/mm01620_wealthselectmanagedpassive9.pdf</t>
  </si>
  <si>
    <t>https://www.quilter.com/siteassets/documents/platform/wealthselect/factsheets/mm01653_WealthSelectSustainableActive10.pdf</t>
  </si>
  <si>
    <t>https://www.quilter.com/siteassets/documents/platform/wealthselect/factsheets/mm01646_WealthSelectSustainableActive3.pdf</t>
  </si>
  <si>
    <t>https://www.quilter.com/siteassets/documents/platform/wealthselect/factsheets/mm01647_WealthSelectSustainableActive4.pdf</t>
  </si>
  <si>
    <t>https://www.quilter.com/siteassets/documents/platform/wealthselect/factsheets/mm01648_WealthSelectSustainableActive5.pdf</t>
  </si>
  <si>
    <t>https://www.quilter.com/siteassets/documents/platform/wealthselect/factsheets/mm01649_WealthSelectSustainableActive6.pdf</t>
  </si>
  <si>
    <t>https://www.quilter.com/siteassets/documents/platform/wealthselect/factsheets/mm01650_WealthSelectSustainableActive7.pdf</t>
  </si>
  <si>
    <t>https://www.quilter.com/siteassets/documents/platform/wealthselect/factsheets/mm01651_WealthSelectSustainableActive8.pdf</t>
  </si>
  <si>
    <t>https://www.quilter.com/siteassets/documents/platform/wealthselect/factsheets/mm01652_WealthSelectSustainableActive9.pdf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</si>
</sst>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  <xf numFmtId="164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5</xdr:col>
      <xdr:colOff>401272</xdr:colOff>
      <xdr:row>10</xdr:row>
      <xdr:rowOff>165234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88F051-742B-7F94-F007-DACCDA21B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449272" cy="1847984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11</xdr:row>
      <xdr:rowOff>127000</xdr:rowOff>
    </xdr:from>
    <xdr:to>
      <xdr:col>5</xdr:col>
      <xdr:colOff>562554</xdr:colOff>
      <xdr:row>16</xdr:row>
      <xdr:rowOff>171546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265A64-BD6D-FAFA-C629-79CA3D147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" y="2152650"/>
          <a:ext cx="3547054" cy="9652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76200</xdr:rowOff>
    </xdr:from>
    <xdr:to>
      <xdr:col>6</xdr:col>
      <xdr:colOff>330112</xdr:colOff>
      <xdr:row>23</xdr:row>
      <xdr:rowOff>108052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FEA5D0-968D-98E5-B195-B81EBF16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06750"/>
          <a:ext cx="3987712" cy="1136752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1</xdr:row>
      <xdr:rowOff>76200</xdr:rowOff>
    </xdr:from>
    <xdr:to>
      <xdr:col>13</xdr:col>
      <xdr:colOff>241501</xdr:colOff>
      <xdr:row>24</xdr:row>
      <xdr:rowOff>101819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28E8A91-1C39-ADB0-49BC-F0699CF6E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48150" y="260350"/>
          <a:ext cx="3918151" cy="42610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6" sqref="O6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4"/>
  <sheetViews>
    <sheetView workbookViewId="0">
      <selection activeCell="Q10" sqref="Q10:Q11"/>
    </sheetView>
  </sheetViews>
  <sheetFormatPr defaultRowHeight="15" x14ac:dyDescent="0.25"/>
  <cols>
    <col min="1" max="1" width="32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68</v>
      </c>
      <c r="B3" t="str">
        <f>'PDF Scraping'!D2</f>
        <v>https://www.quilter.com/siteassets/documents/platform/wealthselect/factsheets/MM00964_WealthSelectManagedActive10.pdf</v>
      </c>
      <c r="J3" s="4"/>
    </row>
    <row r="4" spans="1:10" x14ac:dyDescent="0.25">
      <c r="A4" t="s">
        <v>69</v>
      </c>
      <c r="B4" t="str">
        <f>'PDF Scraping'!D3</f>
        <v>https://www.quilter.com/siteassets/documents/platform/wealthselect/factsheets/MM00957_WealthSelectManagedActive3.pdf</v>
      </c>
      <c r="J4" s="4"/>
    </row>
    <row r="5" spans="1:10" x14ac:dyDescent="0.25">
      <c r="A5" t="s">
        <v>70</v>
      </c>
      <c r="B5" t="str">
        <f>'PDF Scraping'!D4</f>
        <v>https://www.quilter.com/siteassets/documents/platform/wealthselect/factsheets/MM00958_WealthSelectManagedActive4.pdf</v>
      </c>
    </row>
    <row r="6" spans="1:10" x14ac:dyDescent="0.25">
      <c r="A6" t="s">
        <v>71</v>
      </c>
      <c r="B6" t="str">
        <f>'PDF Scraping'!D5</f>
        <v>https://www.quilter.com/siteassets/documents/platform/wealthselect/factsheets/MM00959_WealthSelectManagedActive5.pdf</v>
      </c>
    </row>
    <row r="7" spans="1:10" x14ac:dyDescent="0.25">
      <c r="A7" t="s">
        <v>72</v>
      </c>
      <c r="B7" t="str">
        <f>'PDF Scraping'!D6</f>
        <v>https://www.quilter.com/siteassets/documents/platform/wealthselect/factsheets/MM00960_WealthSelectManagedActive6.pdf</v>
      </c>
    </row>
    <row r="8" spans="1:10" x14ac:dyDescent="0.25">
      <c r="A8" t="s">
        <v>73</v>
      </c>
      <c r="B8" t="str">
        <f>'PDF Scraping'!D7</f>
        <v>https://www.quilter.com/siteassets/documents/platform/wealthselect/factsheets/MM00961_WealthSelectManagedActive7.pdf</v>
      </c>
    </row>
    <row r="9" spans="1:10" x14ac:dyDescent="0.25">
      <c r="A9" t="s">
        <v>74</v>
      </c>
      <c r="B9" t="str">
        <f>'PDF Scraping'!D8</f>
        <v>https://www.quilter.com/siteassets/documents/platform/wealthselect/factsheets/MM00962_WealthSelectManagedActive8.pdf</v>
      </c>
    </row>
    <row r="10" spans="1:10" x14ac:dyDescent="0.25">
      <c r="A10" t="s">
        <v>75</v>
      </c>
      <c r="B10" t="str">
        <f>'PDF Scraping'!D9</f>
        <v>https://www.quilter.com/siteassets/documents/platform/wealthselect/factsheets/MM00963_WealthSelectManagedActive9.pdf</v>
      </c>
    </row>
    <row r="11" spans="1:10" x14ac:dyDescent="0.25">
      <c r="A11" t="s">
        <v>76</v>
      </c>
      <c r="B11" t="str">
        <f>'PDF Scraping'!D10</f>
        <v>https://www.quilter.com/siteassets/documents/platform/wealthselect/factsheets/MM00972_WealthSelectManagedBlend10.pdf</v>
      </c>
    </row>
    <row r="12" spans="1:10" x14ac:dyDescent="0.25">
      <c r="A12" t="s">
        <v>77</v>
      </c>
      <c r="B12" t="str">
        <f>'PDF Scraping'!D11</f>
        <v>https://www.quilter.com/siteassets/documents/platform/wealthselect/factsheets/MM00965_WealthSelectManagedBlend3.pdf</v>
      </c>
    </row>
    <row r="13" spans="1:10" x14ac:dyDescent="0.25">
      <c r="A13" t="s">
        <v>78</v>
      </c>
      <c r="B13" t="str">
        <f>'PDF Scraping'!D12</f>
        <v>https://www.quilter.com/siteassets/documents/platform/wealthselect/factsheets/MM00966_WealthSelectManagedBlend4.pdf</v>
      </c>
    </row>
    <row r="14" spans="1:10" x14ac:dyDescent="0.25">
      <c r="A14" t="s">
        <v>79</v>
      </c>
      <c r="B14" t="str">
        <f>'PDF Scraping'!D13</f>
        <v>https://www.quilter.com/siteassets/documents/platform/wealthselect/factsheets/MM00967_WealthSelectManagedBlend5.pdf</v>
      </c>
    </row>
    <row r="15" spans="1:10" x14ac:dyDescent="0.25">
      <c r="A15" t="s">
        <v>80</v>
      </c>
      <c r="B15" t="str">
        <f>'PDF Scraping'!D14</f>
        <v>https://www.quilter.com/siteassets/documents/platform/wealthselect/factsheets/MM00968_WealthSelectManagedBlend6.pdf</v>
      </c>
    </row>
    <row r="16" spans="1:10" x14ac:dyDescent="0.25">
      <c r="A16" t="s">
        <v>81</v>
      </c>
      <c r="B16" t="str">
        <f>'PDF Scraping'!D15</f>
        <v>https://www.quilter.com/siteassets/documents/platform/wealthselect/factsheets/MM00969_WealthSelectManagedBlend7.pdf</v>
      </c>
    </row>
    <row r="17" spans="1:2" x14ac:dyDescent="0.25">
      <c r="A17" t="s">
        <v>82</v>
      </c>
      <c r="B17" t="str">
        <f>'PDF Scraping'!D16</f>
        <v>https://www.quilter.com/siteassets/documents/platform/wealthselect/factsheets/MM00970_WealthSelectManagedBlend8.pdf</v>
      </c>
    </row>
    <row r="18" spans="1:2" x14ac:dyDescent="0.25">
      <c r="A18" t="s">
        <v>83</v>
      </c>
      <c r="B18" t="str">
        <f>'PDF Scraping'!D17</f>
        <v>https://www.quilter.com/siteassets/documents/platform/wealthselect/factsheets/MM00971_WealthSelectManagedBlend9.pdf</v>
      </c>
    </row>
    <row r="19" spans="1:2" x14ac:dyDescent="0.25">
      <c r="A19" t="s">
        <v>84</v>
      </c>
      <c r="B19" t="str">
        <f>'PDF Scraping'!D18</f>
        <v>https://www.quilter.com/siteassets/documents/platform/wealthselect/factsheets/mm01621_wealthselectmanagedpassive10.pdf</v>
      </c>
    </row>
    <row r="20" spans="1:2" x14ac:dyDescent="0.25">
      <c r="A20" t="s">
        <v>85</v>
      </c>
      <c r="B20" t="str">
        <f>'PDF Scraping'!D19</f>
        <v>https://www.quilter.com/siteassets/documents/platform/wealthselect/factsheets/mm01614_wealthselectmanagedpassive3.pdf</v>
      </c>
    </row>
    <row r="21" spans="1:2" x14ac:dyDescent="0.25">
      <c r="A21" s="8" t="s">
        <v>114</v>
      </c>
      <c r="B21" t="str">
        <f>'PDF Scraping'!D20</f>
        <v>https://www.quilter.com/siteassets/documents/platform/wealthselect/factsheets/mm01615_wealthselectmanagedpassive4.pdf</v>
      </c>
    </row>
    <row r="22" spans="1:2" x14ac:dyDescent="0.25">
      <c r="A22" t="s">
        <v>86</v>
      </c>
      <c r="B22" t="str">
        <f>'PDF Scraping'!D21</f>
        <v>https://www.quilter.com/siteassets/documents/platform/wealthselect/factsheets/mm01616_wealthselectmanagedpassive5.pdf</v>
      </c>
    </row>
    <row r="23" spans="1:2" x14ac:dyDescent="0.25">
      <c r="A23" t="s">
        <v>87</v>
      </c>
      <c r="B23" t="str">
        <f>'PDF Scraping'!D22</f>
        <v>https://www.quilter.com/siteassets/documents/platform/wealthselect/factsheets/mm01617_wealthselectmanagedpassive6.pdf</v>
      </c>
    </row>
    <row r="24" spans="1:2" x14ac:dyDescent="0.25">
      <c r="A24" t="s">
        <v>88</v>
      </c>
      <c r="B24" t="str">
        <f>'PDF Scraping'!D23</f>
        <v>https://www.quilter.com/siteassets/documents/platform/wealthselect/factsheets/mm01618_wealthselectmanagedpassive7.pdf</v>
      </c>
    </row>
    <row r="25" spans="1:2" x14ac:dyDescent="0.25">
      <c r="A25" t="s">
        <v>89</v>
      </c>
      <c r="B25" t="str">
        <f>'PDF Scraping'!D24</f>
        <v>https://www.quilter.com/siteassets/documents/platform/wealthselect/factsheets/mm01619_wealthselectmanagedpassive8.pdf</v>
      </c>
    </row>
    <row r="26" spans="1:2" x14ac:dyDescent="0.25">
      <c r="A26" t="s">
        <v>90</v>
      </c>
      <c r="B26" t="str">
        <f>'PDF Scraping'!D25</f>
        <v>https://www.quilter.com/siteassets/documents/platform/wealthselect/factsheets/mm01620_wealthselectmanagedpassive9.pdf</v>
      </c>
    </row>
    <row r="27" spans="1:2" x14ac:dyDescent="0.25">
      <c r="A27" t="s">
        <v>91</v>
      </c>
      <c r="B27" t="str">
        <f>'PDF Scraping'!D26</f>
        <v>https://www.quilter.com/siteassets/documents/platform/wealthselect/factsheets/mm01653_WealthSelectSustainableActive10.pdf</v>
      </c>
    </row>
    <row r="28" spans="1:2" x14ac:dyDescent="0.25">
      <c r="A28" t="s">
        <v>92</v>
      </c>
      <c r="B28" t="str">
        <f>'PDF Scraping'!D27</f>
        <v>https://www.quilter.com/siteassets/documents/platform/wealthselect/factsheets/mm01646_WealthSelectSustainableActive3.pdf</v>
      </c>
    </row>
    <row r="29" spans="1:2" x14ac:dyDescent="0.25">
      <c r="A29" t="s">
        <v>93</v>
      </c>
      <c r="B29" t="str">
        <f>'PDF Scraping'!D28</f>
        <v>https://www.quilter.com/siteassets/documents/platform/wealthselect/factsheets/mm01647_WealthSelectSustainableActive4.pdf</v>
      </c>
    </row>
    <row r="30" spans="1:2" x14ac:dyDescent="0.25">
      <c r="A30" t="s">
        <v>94</v>
      </c>
      <c r="B30" t="str">
        <f>'PDF Scraping'!D29</f>
        <v>https://www.quilter.com/siteassets/documents/platform/wealthselect/factsheets/mm01648_WealthSelectSustainableActive5.pdf</v>
      </c>
    </row>
    <row r="31" spans="1:2" x14ac:dyDescent="0.25">
      <c r="A31" t="s">
        <v>95</v>
      </c>
      <c r="B31" t="str">
        <f>'PDF Scraping'!D30</f>
        <v>https://www.quilter.com/siteassets/documents/platform/wealthselect/factsheets/mm01649_WealthSelectSustainableActive6.pdf</v>
      </c>
    </row>
    <row r="32" spans="1:2" x14ac:dyDescent="0.25">
      <c r="A32" t="s">
        <v>96</v>
      </c>
      <c r="B32" t="str">
        <f>'PDF Scraping'!D31</f>
        <v>https://www.quilter.com/siteassets/documents/platform/wealthselect/factsheets/mm01650_WealthSelectSustainableActive7.pdf</v>
      </c>
    </row>
    <row r="33" spans="1:2" x14ac:dyDescent="0.25">
      <c r="A33" t="s">
        <v>97</v>
      </c>
      <c r="B33" t="str">
        <f>'PDF Scraping'!D32</f>
        <v>https://www.quilter.com/siteassets/documents/platform/wealthselect/factsheets/mm01651_WealthSelectSustainableActive8.pdf</v>
      </c>
    </row>
    <row r="34" spans="1:2" x14ac:dyDescent="0.25">
      <c r="A34" t="s">
        <v>98</v>
      </c>
      <c r="B34" t="str">
        <f>'PDF Scraping'!D33</f>
        <v>https://www.quilter.com/siteassets/documents/platform/wealthselect/factsheets/mm01652_WealthSelectSustainableActive9.pdf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C7" sqref="C7"/>
    </sheetView>
  </sheetViews>
  <sheetFormatPr defaultRowHeight="15" x14ac:dyDescent="0.25"/>
  <cols>
    <col min="1" max="1" width="32.7109375" bestFit="1" customWidth="1"/>
    <col min="2" max="2" width="19.140625" customWidth="1"/>
    <col min="3" max="4" width="33.140625" style="10" bestFit="1" customWidth="1"/>
    <col min="5" max="5" width="6.85546875" style="10" bestFit="1" customWidth="1"/>
    <col min="6" max="7" width="7.140625" bestFit="1" customWidth="1"/>
  </cols>
  <sheetData>
    <row r="1" spans="1:9" x14ac:dyDescent="0.25">
      <c r="B1" t="s">
        <v>22</v>
      </c>
      <c r="C1" s="10" t="s">
        <v>99</v>
      </c>
      <c r="D1" s="10" t="s">
        <v>100</v>
      </c>
      <c r="E1" s="10" t="s">
        <v>35</v>
      </c>
      <c r="F1" t="s">
        <v>101</v>
      </c>
      <c r="G1" t="s">
        <v>102</v>
      </c>
    </row>
    <row r="2" spans="1:9" x14ac:dyDescent="0.25">
      <c r="A2" t="str">
        <f>IF(Input!A3="","",Input!A3)</f>
        <v>WealthSelect Managed Active 10</v>
      </c>
      <c r="B2" s="1" t="s">
        <v>115</v>
      </c>
      <c r="C2" s="11">
        <v>6.3E-3</v>
      </c>
      <c r="D2" s="11">
        <v>1.5E-3</v>
      </c>
      <c r="E2" s="11">
        <v>4.5999999999999999E-2</v>
      </c>
      <c r="F2" s="12">
        <v>0.19600000000000001</v>
      </c>
      <c r="G2" s="12">
        <v>0.47899999999999998</v>
      </c>
      <c r="H2" s="5"/>
      <c r="I2" s="5"/>
    </row>
    <row r="3" spans="1:9" x14ac:dyDescent="0.25">
      <c r="A3" t="str">
        <f>IF(Input!A4="","",Input!A4)</f>
        <v>WealthSelect Managed Active 3</v>
      </c>
      <c r="B3" s="1" t="s">
        <v>115</v>
      </c>
      <c r="C3" s="11">
        <v>4.5999999999999999E-3</v>
      </c>
      <c r="D3" s="11">
        <v>1.5E-3</v>
      </c>
      <c r="E3" s="11">
        <v>3.5000000000000003E-2</v>
      </c>
      <c r="F3" s="12">
        <v>2.5000000000000001E-2</v>
      </c>
      <c r="G3" s="12">
        <v>0.16800000000000001</v>
      </c>
      <c r="H3" s="5"/>
      <c r="I3" s="5"/>
    </row>
    <row r="4" spans="1:9" x14ac:dyDescent="0.25">
      <c r="A4" t="str">
        <f>IF(Input!A5="","",Input!A5)</f>
        <v>WealthSelect Managed Active 4</v>
      </c>
      <c r="B4" s="1" t="s">
        <v>115</v>
      </c>
      <c r="C4" s="11">
        <v>5.0000000000000001E-3</v>
      </c>
      <c r="D4" s="11">
        <v>1.5E-3</v>
      </c>
      <c r="E4" s="11">
        <v>3.7999999999999999E-2</v>
      </c>
      <c r="F4" s="12">
        <v>5.0999999999999997E-2</v>
      </c>
      <c r="G4" s="12">
        <v>0.20800000000000002</v>
      </c>
      <c r="H4" s="5"/>
      <c r="I4" s="5"/>
    </row>
    <row r="5" spans="1:9" x14ac:dyDescent="0.25">
      <c r="A5" t="str">
        <f>IF(Input!A6="","",Input!A6)</f>
        <v>WealthSelect Managed Active 5</v>
      </c>
      <c r="B5" s="1" t="s">
        <v>115</v>
      </c>
      <c r="C5" s="11">
        <v>5.5000000000000005E-3</v>
      </c>
      <c r="D5" s="11">
        <v>1.5E-3</v>
      </c>
      <c r="E5" s="11">
        <v>4.0999999999999995E-2</v>
      </c>
      <c r="F5" s="12">
        <v>7.6999999999999999E-2</v>
      </c>
      <c r="G5" s="12">
        <v>0.249</v>
      </c>
      <c r="H5" s="5"/>
      <c r="I5" s="5"/>
    </row>
    <row r="6" spans="1:9" x14ac:dyDescent="0.25">
      <c r="A6" t="str">
        <f>IF(Input!A7="","",Input!A7)</f>
        <v>WealthSelect Managed Active 6</v>
      </c>
      <c r="B6" s="1" t="s">
        <v>115</v>
      </c>
      <c r="C6" s="11">
        <v>6.0000000000000001E-3</v>
      </c>
      <c r="D6" s="11">
        <v>1.5E-3</v>
      </c>
      <c r="E6" s="11">
        <v>4.2999999999999997E-2</v>
      </c>
      <c r="F6" s="12">
        <v>0.106</v>
      </c>
      <c r="G6" s="12">
        <v>0.28699999999999998</v>
      </c>
      <c r="H6" s="5"/>
      <c r="I6" s="5"/>
    </row>
    <row r="7" spans="1:9" x14ac:dyDescent="0.25">
      <c r="A7" t="str">
        <f>IF(Input!A8="","",Input!A8)</f>
        <v>WealthSelect Managed Active 7</v>
      </c>
      <c r="B7" s="1" t="s">
        <v>115</v>
      </c>
      <c r="C7" s="11">
        <v>6.3E-3</v>
      </c>
      <c r="D7" s="11">
        <v>1.5E-3</v>
      </c>
      <c r="E7" s="11">
        <v>4.4999999999999998E-2</v>
      </c>
      <c r="F7" s="12">
        <v>0.13500000000000001</v>
      </c>
      <c r="G7" s="12">
        <v>0.32899999999999996</v>
      </c>
      <c r="H7" s="5"/>
      <c r="I7" s="5"/>
    </row>
    <row r="8" spans="1:9" x14ac:dyDescent="0.25">
      <c r="A8" t="str">
        <f>IF(Input!A9="","",Input!A9)</f>
        <v>WealthSelect Managed Active 8</v>
      </c>
      <c r="B8" s="1" t="s">
        <v>115</v>
      </c>
      <c r="C8" s="11">
        <v>6.5000000000000006E-3</v>
      </c>
      <c r="D8" s="11">
        <v>1.5E-3</v>
      </c>
      <c r="E8" s="11">
        <v>4.8000000000000001E-2</v>
      </c>
      <c r="F8" s="12">
        <v>0.16300000000000001</v>
      </c>
      <c r="G8" s="12">
        <v>0.379</v>
      </c>
      <c r="H8" s="5"/>
      <c r="I8" s="5"/>
    </row>
    <row r="9" spans="1:9" x14ac:dyDescent="0.25">
      <c r="A9" t="str">
        <f>IF(Input!A10="","",Input!A10)</f>
        <v>WealthSelect Managed Active 9</v>
      </c>
      <c r="B9" s="1" t="s">
        <v>115</v>
      </c>
      <c r="C9" s="11">
        <v>6.5000000000000006E-3</v>
      </c>
      <c r="D9" s="11">
        <v>1.5E-3</v>
      </c>
      <c r="E9" s="11">
        <v>4.5999999999999999E-2</v>
      </c>
      <c r="F9" s="12">
        <v>0.185</v>
      </c>
      <c r="G9" s="12">
        <v>0.439</v>
      </c>
      <c r="H9" s="5"/>
      <c r="I9" s="5"/>
    </row>
    <row r="10" spans="1:9" x14ac:dyDescent="0.25">
      <c r="A10" t="str">
        <f>IF(Input!A11="","",Input!A11)</f>
        <v>WealthSelect Managed Blend 10</v>
      </c>
      <c r="B10" s="1" t="s">
        <v>115</v>
      </c>
      <c r="C10" s="11">
        <v>4.4000000000000003E-3</v>
      </c>
      <c r="D10" s="11">
        <v>1.5E-3</v>
      </c>
      <c r="E10" s="11">
        <v>7.0999999999999994E-2</v>
      </c>
      <c r="F10" s="12">
        <v>0.18</v>
      </c>
      <c r="G10" s="12">
        <v>0.48700000000000004</v>
      </c>
      <c r="H10" s="5"/>
      <c r="I10" s="5"/>
    </row>
    <row r="11" spans="1:9" x14ac:dyDescent="0.25">
      <c r="A11" t="str">
        <f>IF(Input!A12="","",Input!A12)</f>
        <v>WealthSelect Managed Blend 3</v>
      </c>
      <c r="B11" s="1" t="s">
        <v>115</v>
      </c>
      <c r="C11" s="11">
        <v>4.4000000000000003E-3</v>
      </c>
      <c r="D11" s="11">
        <v>1.5E-3</v>
      </c>
      <c r="E11" s="11">
        <v>3.9E-2</v>
      </c>
      <c r="F11" s="12">
        <v>2.3E-2</v>
      </c>
      <c r="G11" s="12">
        <v>0.17100000000000001</v>
      </c>
      <c r="H11" s="5"/>
      <c r="I11" s="5"/>
    </row>
    <row r="12" spans="1:9" x14ac:dyDescent="0.25">
      <c r="A12" t="str">
        <f>IF(Input!A13="","",Input!A13)</f>
        <v>WealthSelect Managed Blend 4</v>
      </c>
      <c r="B12" s="1" t="s">
        <v>115</v>
      </c>
      <c r="C12" s="11">
        <v>4.5000000000000005E-3</v>
      </c>
      <c r="D12" s="11">
        <v>1.5E-3</v>
      </c>
      <c r="E12" s="11">
        <v>4.2999999999999997E-2</v>
      </c>
      <c r="F12" s="12">
        <v>4.9000000000000002E-2</v>
      </c>
      <c r="G12" s="12">
        <v>0.214</v>
      </c>
      <c r="H12" s="5"/>
      <c r="I12" s="5"/>
    </row>
    <row r="13" spans="1:9" x14ac:dyDescent="0.25">
      <c r="A13" t="str">
        <f>IF(Input!A14="","",Input!A14)</f>
        <v>WealthSelect Managed Blend 5</v>
      </c>
      <c r="B13" s="1" t="s">
        <v>115</v>
      </c>
      <c r="C13" s="11">
        <v>4.5000000000000005E-3</v>
      </c>
      <c r="D13" s="11">
        <v>1.5E-3</v>
      </c>
      <c r="E13" s="11">
        <v>4.7E-2</v>
      </c>
      <c r="F13" s="12">
        <v>6.9000000000000006E-2</v>
      </c>
      <c r="G13" s="12">
        <v>0.25</v>
      </c>
      <c r="H13" s="5"/>
      <c r="I13" s="5"/>
    </row>
    <row r="14" spans="1:9" x14ac:dyDescent="0.25">
      <c r="A14" t="str">
        <f>IF(Input!A15="","",Input!A15)</f>
        <v>WealthSelect Managed Blend 6</v>
      </c>
      <c r="B14" s="1" t="s">
        <v>115</v>
      </c>
      <c r="C14" s="11">
        <v>4.5000000000000005E-3</v>
      </c>
      <c r="D14" s="11">
        <v>1.5E-3</v>
      </c>
      <c r="E14" s="11">
        <v>0.05</v>
      </c>
      <c r="F14" s="12">
        <v>9.8000000000000004E-2</v>
      </c>
      <c r="G14" s="12">
        <v>0.28999999999999998</v>
      </c>
      <c r="H14" s="5"/>
      <c r="I14" s="5"/>
    </row>
    <row r="15" spans="1:9" x14ac:dyDescent="0.25">
      <c r="A15" t="str">
        <f>IF(Input!A16="","",Input!A16)</f>
        <v>WealthSelect Managed Blend 7</v>
      </c>
      <c r="B15" s="1" t="s">
        <v>115</v>
      </c>
      <c r="C15" s="11">
        <v>4.5000000000000005E-3</v>
      </c>
      <c r="D15" s="11">
        <v>1.5E-3</v>
      </c>
      <c r="E15" s="11">
        <v>5.2999999999999999E-2</v>
      </c>
      <c r="F15" s="12">
        <v>0.125</v>
      </c>
      <c r="G15" s="12">
        <v>0.32899999999999996</v>
      </c>
      <c r="H15" s="5"/>
      <c r="I15" s="5"/>
    </row>
    <row r="16" spans="1:9" x14ac:dyDescent="0.25">
      <c r="A16" t="str">
        <f>IF(Input!A17="","",Input!A17)</f>
        <v>WealthSelect Managed Blend 8</v>
      </c>
      <c r="B16" s="1" t="s">
        <v>115</v>
      </c>
      <c r="C16" s="11">
        <v>4.4000000000000003E-3</v>
      </c>
      <c r="D16" s="11">
        <v>1.5E-3</v>
      </c>
      <c r="E16" s="11">
        <v>5.7000000000000002E-2</v>
      </c>
      <c r="F16" s="12">
        <v>0.154</v>
      </c>
      <c r="G16" s="12">
        <v>0.38100000000000001</v>
      </c>
      <c r="H16" s="5"/>
      <c r="I16" s="5"/>
    </row>
    <row r="17" spans="1:9" x14ac:dyDescent="0.25">
      <c r="A17" t="str">
        <f>IF(Input!A18="","",Input!A18)</f>
        <v>WealthSelect Managed Blend 9</v>
      </c>
      <c r="B17" s="1" t="s">
        <v>115</v>
      </c>
      <c r="C17" s="11">
        <v>4.4000000000000003E-3</v>
      </c>
      <c r="D17" s="11">
        <v>1.5E-3</v>
      </c>
      <c r="E17" s="11">
        <v>6.4000000000000001E-2</v>
      </c>
      <c r="F17" s="12">
        <v>0.17199999999999999</v>
      </c>
      <c r="G17" s="12">
        <v>0.442</v>
      </c>
      <c r="H17" s="5"/>
      <c r="I17" s="5"/>
    </row>
    <row r="18" spans="1:9" x14ac:dyDescent="0.25">
      <c r="A18" t="str">
        <f>IF(Input!A19="","",Input!A19)</f>
        <v>WealthSelect Managed Passive 10</v>
      </c>
      <c r="B18" s="1" t="s">
        <v>115</v>
      </c>
      <c r="C18" s="11">
        <v>7.000000000000001E-4</v>
      </c>
      <c r="D18" s="11">
        <v>1.5E-3</v>
      </c>
      <c r="E18" s="11">
        <v>6.4000000000000001E-2</v>
      </c>
      <c r="F18" s="5"/>
      <c r="G18" s="5"/>
      <c r="H18" s="5"/>
      <c r="I18" s="5"/>
    </row>
    <row r="19" spans="1:9" x14ac:dyDescent="0.25">
      <c r="A19" t="str">
        <f>IF(Input!A20="","",Input!A20)</f>
        <v>WealthSelect Managed Passive 3</v>
      </c>
      <c r="B19" s="1" t="s">
        <v>115</v>
      </c>
      <c r="C19" s="11">
        <v>7.000000000000001E-4</v>
      </c>
      <c r="D19" s="11">
        <v>1.5E-3</v>
      </c>
      <c r="E19" s="11">
        <v>2.8999999999999998E-2</v>
      </c>
      <c r="F19" s="5"/>
      <c r="G19" s="5"/>
      <c r="H19" s="5"/>
      <c r="I19" s="5"/>
    </row>
    <row r="20" spans="1:9" x14ac:dyDescent="0.25">
      <c r="A20" t="str">
        <f>IF(Input!A21="","",Input!A21)</f>
        <v>WealthSelect Managed Passive 4</v>
      </c>
      <c r="B20" s="1" t="s">
        <v>115</v>
      </c>
      <c r="C20" s="11">
        <v>7.000000000000001E-4</v>
      </c>
      <c r="D20" s="11">
        <v>1.5E-3</v>
      </c>
      <c r="E20" s="11">
        <v>3.7000000000000005E-2</v>
      </c>
      <c r="F20" s="5"/>
      <c r="G20" s="5"/>
      <c r="H20" s="5"/>
      <c r="I20" s="5"/>
    </row>
    <row r="21" spans="1:9" x14ac:dyDescent="0.25">
      <c r="A21" t="str">
        <f>IF(Input!A22="","",Input!A22)</f>
        <v>WealthSelect Managed Passive 5</v>
      </c>
      <c r="B21" s="1" t="s">
        <v>115</v>
      </c>
      <c r="C21" s="11">
        <v>7.000000000000001E-4</v>
      </c>
      <c r="D21" s="11">
        <v>1.5E-3</v>
      </c>
      <c r="E21" s="11">
        <v>4.2999999999999997E-2</v>
      </c>
      <c r="F21" s="5"/>
      <c r="G21" s="5"/>
      <c r="H21" s="5"/>
      <c r="I21" s="5"/>
    </row>
    <row r="22" spans="1:9" x14ac:dyDescent="0.25">
      <c r="A22" t="str">
        <f>IF(Input!A23="","",Input!A23)</f>
        <v>WealthSelect Managed Passive 6</v>
      </c>
      <c r="B22" s="1" t="s">
        <v>115</v>
      </c>
      <c r="C22" s="11">
        <v>7.000000000000001E-4</v>
      </c>
      <c r="D22" s="11">
        <v>1.5E-3</v>
      </c>
      <c r="E22" s="11">
        <v>4.7E-2</v>
      </c>
      <c r="F22" s="5"/>
      <c r="G22" s="5"/>
      <c r="H22" s="5"/>
      <c r="I22" s="5"/>
    </row>
    <row r="23" spans="1:9" x14ac:dyDescent="0.25">
      <c r="A23" t="str">
        <f>IF(Input!A24="","",Input!A24)</f>
        <v>WealthSelect Managed Passive 7</v>
      </c>
      <c r="B23" s="1" t="s">
        <v>115</v>
      </c>
      <c r="C23" s="11">
        <v>7.000000000000001E-4</v>
      </c>
      <c r="D23" s="11">
        <v>1.5E-3</v>
      </c>
      <c r="E23" s="11">
        <v>5.0999999999999997E-2</v>
      </c>
      <c r="F23" s="5"/>
      <c r="G23" s="5"/>
      <c r="H23" s="5"/>
      <c r="I23" s="5"/>
    </row>
    <row r="24" spans="1:9" x14ac:dyDescent="0.25">
      <c r="A24" t="str">
        <f>IF(Input!A25="","",Input!A25)</f>
        <v>WealthSelect Managed Passive 8</v>
      </c>
      <c r="B24" s="1" t="s">
        <v>115</v>
      </c>
      <c r="C24" s="11">
        <v>7.000000000000001E-4</v>
      </c>
      <c r="D24" s="11">
        <v>1.5E-3</v>
      </c>
      <c r="E24" s="11">
        <v>5.2999999999999999E-2</v>
      </c>
      <c r="F24" s="5"/>
      <c r="G24" s="5"/>
      <c r="H24" s="5"/>
      <c r="I24" s="5"/>
    </row>
    <row r="25" spans="1:9" x14ac:dyDescent="0.25">
      <c r="A25" t="str">
        <f>IF(Input!A26="","",Input!A26)</f>
        <v>WealthSelect Managed Passive 9</v>
      </c>
      <c r="B25" s="7" t="s">
        <v>115</v>
      </c>
      <c r="C25" s="11">
        <v>7.000000000000001E-4</v>
      </c>
      <c r="D25" s="11">
        <v>1.5E-3</v>
      </c>
      <c r="E25" s="11">
        <v>0.06</v>
      </c>
      <c r="F25" s="5"/>
      <c r="G25" s="5"/>
      <c r="H25" s="5"/>
      <c r="I25" s="5"/>
    </row>
    <row r="26" spans="1:9" x14ac:dyDescent="0.25">
      <c r="A26" t="str">
        <f>IF(Input!A27="","",Input!A27)</f>
        <v>WealthSelect Sustainable Active 10</v>
      </c>
      <c r="B26" s="7" t="s">
        <v>115</v>
      </c>
      <c r="C26" s="11">
        <v>7.0999999999999995E-3</v>
      </c>
      <c r="D26" s="11">
        <v>2E-3</v>
      </c>
      <c r="E26" s="11">
        <v>-1.1000000000000001E-2</v>
      </c>
    </row>
    <row r="27" spans="1:9" x14ac:dyDescent="0.25">
      <c r="A27" t="str">
        <f>IF(Input!A28="","",Input!A28)</f>
        <v>WealthSelect Sustainable Active 3</v>
      </c>
      <c r="B27" s="7" t="s">
        <v>115</v>
      </c>
      <c r="C27" s="11">
        <v>3.7000000000000002E-3</v>
      </c>
      <c r="D27" s="11">
        <v>2E-3</v>
      </c>
      <c r="E27" s="11">
        <v>1.7000000000000001E-2</v>
      </c>
    </row>
    <row r="28" spans="1:9" x14ac:dyDescent="0.25">
      <c r="A28" t="str">
        <f>IF(Input!A29="","",Input!A29)</f>
        <v>WealthSelect Sustainable Active 4</v>
      </c>
      <c r="B28" s="7" t="s">
        <v>115</v>
      </c>
      <c r="C28" s="11">
        <v>4.0999999999999995E-3</v>
      </c>
      <c r="D28" s="11">
        <v>2E-3</v>
      </c>
      <c r="E28" s="11">
        <v>1.3999999999999999E-2</v>
      </c>
    </row>
    <row r="29" spans="1:9" x14ac:dyDescent="0.25">
      <c r="A29" t="str">
        <f>IF(Input!A30="","",Input!A30)</f>
        <v>WealthSelect Sustainable Active 5</v>
      </c>
      <c r="B29" s="7" t="s">
        <v>115</v>
      </c>
      <c r="C29" s="11">
        <v>4.5999999999999999E-3</v>
      </c>
      <c r="D29" s="11">
        <v>2E-3</v>
      </c>
      <c r="E29" s="11">
        <v>1.1000000000000001E-2</v>
      </c>
    </row>
    <row r="30" spans="1:9" x14ac:dyDescent="0.25">
      <c r="A30" t="str">
        <f>IF(Input!A31="","",Input!A31)</f>
        <v>WealthSelect Sustainable Active 6</v>
      </c>
      <c r="B30" s="7" t="s">
        <v>115</v>
      </c>
      <c r="C30" s="11">
        <v>5.1000000000000004E-3</v>
      </c>
      <c r="D30" s="11">
        <v>2E-3</v>
      </c>
      <c r="E30" s="11">
        <v>6.9999999999999993E-3</v>
      </c>
    </row>
    <row r="31" spans="1:9" x14ac:dyDescent="0.25">
      <c r="A31" t="str">
        <f>IF(Input!A32="","",Input!A32)</f>
        <v>WealthSelect Sustainable Active 7</v>
      </c>
      <c r="B31" s="7" t="s">
        <v>115</v>
      </c>
      <c r="C31" s="11">
        <v>5.6999999999999993E-3</v>
      </c>
      <c r="D31" s="11">
        <v>2E-3</v>
      </c>
      <c r="E31" s="11">
        <v>2E-3</v>
      </c>
    </row>
    <row r="32" spans="1:9" x14ac:dyDescent="0.25">
      <c r="A32" t="str">
        <f>IF(Input!A33="","",Input!A33)</f>
        <v>WealthSelect Sustainable Active 8</v>
      </c>
      <c r="B32" s="7" t="s">
        <v>115</v>
      </c>
      <c r="C32" s="11">
        <v>6.1999999999999998E-3</v>
      </c>
      <c r="D32" s="11">
        <v>2E-3</v>
      </c>
      <c r="E32" s="11">
        <v>-3.0000000000000001E-3</v>
      </c>
    </row>
    <row r="33" spans="1:5" x14ac:dyDescent="0.25">
      <c r="A33" t="str">
        <f>IF(Input!A34="","",Input!A34)</f>
        <v>WealthSelect Sustainable Active 9</v>
      </c>
      <c r="B33" s="7" t="s">
        <v>115</v>
      </c>
      <c r="C33" s="11">
        <v>6.7000000000000002E-3</v>
      </c>
      <c r="D33" s="11">
        <v>2E-3</v>
      </c>
      <c r="E33" s="11">
        <v>-8.0000000000000002E-3</v>
      </c>
    </row>
    <row r="34" spans="1:5" x14ac:dyDescent="0.25">
      <c r="A34" t="str">
        <f>IF(Input!A35="","",Input!A35)</f>
        <v/>
      </c>
      <c r="B34" s="7"/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1" sqref="B1"/>
    </sheetView>
  </sheetViews>
  <sheetFormatPr defaultRowHeight="15" x14ac:dyDescent="0.25"/>
  <cols>
    <col min="1" max="1" width="30" bestFit="1" customWidth="1"/>
    <col min="2" max="2" width="29.42578125" style="10" bestFit="1" customWidth="1"/>
    <col min="3" max="3" width="21.5703125" style="10" bestFit="1" customWidth="1"/>
    <col min="4" max="4" width="8.7109375" style="10" bestFit="1" customWidth="1"/>
    <col min="5" max="5" width="12" style="10" bestFit="1" customWidth="1"/>
    <col min="6" max="6" width="5.28515625" style="10" bestFit="1" customWidth="1"/>
    <col min="7" max="7" width="34.5703125" style="10" bestFit="1" customWidth="1"/>
    <col min="8" max="8" width="16.85546875" style="10" bestFit="1" customWidth="1"/>
    <col min="9" max="9" width="24.7109375" style="10" bestFit="1" customWidth="1"/>
    <col min="10" max="10" width="11.140625" style="10" bestFit="1" customWidth="1"/>
    <col min="11" max="11" width="18.85546875" style="10" bestFit="1" customWidth="1"/>
    <col min="12" max="12" width="10.7109375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104</v>
      </c>
      <c r="C1" s="10" t="s">
        <v>105</v>
      </c>
      <c r="D1" s="10" t="s">
        <v>106</v>
      </c>
      <c r="E1" s="10" t="s">
        <v>107</v>
      </c>
      <c r="F1" s="10" t="s">
        <v>4</v>
      </c>
      <c r="G1" s="10" t="s">
        <v>108</v>
      </c>
      <c r="H1" s="10" t="s">
        <v>109</v>
      </c>
      <c r="I1" s="10" t="s">
        <v>110</v>
      </c>
      <c r="J1" s="10" t="s">
        <v>111</v>
      </c>
      <c r="K1" t="s">
        <v>112</v>
      </c>
      <c r="L1" t="s">
        <v>113</v>
      </c>
    </row>
    <row r="2" spans="1:30" x14ac:dyDescent="0.25">
      <c r="A2" t="str">
        <f>IF(Input!A3="","",Input!A3)</f>
        <v>WealthSelect Managed Active 10</v>
      </c>
      <c r="B2" s="11">
        <v>0.83169999999999999</v>
      </c>
      <c r="C2" s="11">
        <v>7.1099999999999997E-2</v>
      </c>
      <c r="D2" s="11">
        <v>7.7100000000000002E-2</v>
      </c>
      <c r="L2" s="12">
        <v>2.0099999999999996E-2</v>
      </c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WealthSelect Managed Active 3</v>
      </c>
      <c r="B3" s="11">
        <v>0.14859999999999998</v>
      </c>
      <c r="C3" s="11">
        <v>1.44E-2</v>
      </c>
      <c r="D3" s="11">
        <v>7.0099999999999996E-2</v>
      </c>
      <c r="E3" s="11">
        <v>0.39590000000000003</v>
      </c>
      <c r="F3" s="11">
        <v>0.16300000000000001</v>
      </c>
      <c r="L3" s="12">
        <v>0.20800000000000002</v>
      </c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WealthSelect Managed Active 4</v>
      </c>
      <c r="B4" s="11">
        <v>0.2127</v>
      </c>
      <c r="C4" s="11">
        <v>2.0199999999999999E-2</v>
      </c>
      <c r="D4" s="11">
        <v>0.10039999999999999</v>
      </c>
      <c r="E4" s="11">
        <v>0.31859999999999999</v>
      </c>
      <c r="F4" s="11">
        <v>0.13220000000000001</v>
      </c>
      <c r="L4" s="12">
        <v>0.21590000000000001</v>
      </c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WealthSelect Managed Active 5</v>
      </c>
      <c r="B5" s="11">
        <v>0.27699999999999997</v>
      </c>
      <c r="C5" s="11">
        <v>2.6499999999999999E-2</v>
      </c>
      <c r="D5" s="11">
        <v>0.13119999999999998</v>
      </c>
      <c r="E5" s="11">
        <v>0.25670000000000004</v>
      </c>
      <c r="F5" s="11">
        <v>8.5199999999999998E-2</v>
      </c>
      <c r="L5" s="12">
        <v>0.2235</v>
      </c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WealthSelect Managed Active 6</v>
      </c>
      <c r="B6" s="11">
        <v>0.34179999999999999</v>
      </c>
      <c r="C6" s="11">
        <v>3.27E-2</v>
      </c>
      <c r="D6" s="11">
        <v>0.16170000000000001</v>
      </c>
      <c r="E6" s="11">
        <v>0.19829999999999998</v>
      </c>
      <c r="F6" s="11">
        <v>3.4500000000000003E-2</v>
      </c>
      <c r="L6" s="12">
        <v>0.23100000000000001</v>
      </c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WealthSelect Managed Active 7</v>
      </c>
      <c r="B7" s="11">
        <v>0.41520000000000001</v>
      </c>
      <c r="C7" s="11">
        <v>0.04</v>
      </c>
      <c r="D7" s="11">
        <v>0.19640000000000002</v>
      </c>
      <c r="E7" s="11">
        <v>0.14050000000000001</v>
      </c>
      <c r="F7" s="11">
        <v>3.2000000000000002E-3</v>
      </c>
      <c r="L7" s="12">
        <v>0.20469999999999999</v>
      </c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WealthSelect Managed Active 8</v>
      </c>
      <c r="B8" s="11">
        <v>0.49759999999999999</v>
      </c>
      <c r="C8" s="11">
        <v>4.7599999999999996E-2</v>
      </c>
      <c r="D8" s="11">
        <v>0.23519999999999999</v>
      </c>
      <c r="E8" s="11">
        <v>5.7099999999999998E-2</v>
      </c>
      <c r="F8" s="11">
        <v>3.2000000000000002E-3</v>
      </c>
      <c r="L8" s="12">
        <v>0.1593</v>
      </c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WealthSelect Managed Active 9</v>
      </c>
      <c r="B9" s="11">
        <v>0.66480000000000006</v>
      </c>
      <c r="C9" s="11">
        <v>5.9400000000000001E-2</v>
      </c>
      <c r="D9" s="11">
        <v>0.17010000000000003</v>
      </c>
      <c r="F9" s="11">
        <v>3.2000000000000002E-3</v>
      </c>
      <c r="L9" s="12">
        <v>0.1024</v>
      </c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WealthSelect Managed Blend 10</v>
      </c>
      <c r="B10" s="11">
        <v>0.80359999999999998</v>
      </c>
      <c r="C10" s="11">
        <v>8.0299999999999996E-2</v>
      </c>
      <c r="D10" s="11">
        <v>9.6099999999999991E-2</v>
      </c>
      <c r="L10" s="12">
        <v>2.0099999999999996E-2</v>
      </c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WealthSelect Managed Blend 3</v>
      </c>
      <c r="B11" s="11">
        <v>0.14349999999999999</v>
      </c>
      <c r="C11" s="11">
        <v>1.6E-2</v>
      </c>
      <c r="D11" s="11">
        <v>7.3700000000000002E-2</v>
      </c>
      <c r="E11" s="11">
        <v>0.39590000000000003</v>
      </c>
      <c r="F11" s="11">
        <v>0.16300000000000001</v>
      </c>
      <c r="L11" s="12">
        <v>0.20800000000000002</v>
      </c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WealthSelect Managed Blend 4</v>
      </c>
      <c r="B12" s="11">
        <v>0.2051</v>
      </c>
      <c r="C12" s="11">
        <v>2.29E-2</v>
      </c>
      <c r="D12" s="11">
        <v>0.10529999999999999</v>
      </c>
      <c r="E12" s="11">
        <v>0.31859999999999999</v>
      </c>
      <c r="F12" s="11">
        <v>0.13220000000000001</v>
      </c>
      <c r="L12" s="12">
        <v>0.21579999999999999</v>
      </c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WealthSelect Managed Blend 5</v>
      </c>
      <c r="B13" s="11">
        <v>0.26739999999999997</v>
      </c>
      <c r="C13" s="11">
        <v>2.9900000000000003E-2</v>
      </c>
      <c r="D13" s="11">
        <v>0.13739999999999999</v>
      </c>
      <c r="E13" s="11">
        <v>0.25670000000000004</v>
      </c>
      <c r="F13" s="11">
        <v>8.5199999999999998E-2</v>
      </c>
      <c r="L13" s="12">
        <v>0.2235</v>
      </c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WealthSelect Managed Blend 6</v>
      </c>
      <c r="B14" s="11">
        <v>0.33</v>
      </c>
      <c r="C14" s="11">
        <v>3.6600000000000001E-2</v>
      </c>
      <c r="D14" s="11">
        <v>0.16949999999999998</v>
      </c>
      <c r="E14" s="11">
        <v>0.19839999999999999</v>
      </c>
      <c r="F14" s="11">
        <v>3.4500000000000003E-2</v>
      </c>
      <c r="L14" s="12">
        <v>0.23100000000000001</v>
      </c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WealthSelect Managed Blend 7</v>
      </c>
      <c r="B15" s="11">
        <v>0.40100000000000002</v>
      </c>
      <c r="C15" s="11">
        <v>4.4600000000000001E-2</v>
      </c>
      <c r="D15" s="11">
        <v>0.20600000000000002</v>
      </c>
      <c r="E15" s="11">
        <v>0.14050000000000001</v>
      </c>
      <c r="F15" s="11">
        <v>3.2000000000000002E-3</v>
      </c>
      <c r="L15" s="12">
        <v>0.20480000000000001</v>
      </c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WealthSelect Managed Blend 8</v>
      </c>
      <c r="B16" s="11">
        <v>0.48049999999999998</v>
      </c>
      <c r="C16" s="11">
        <v>5.3200000000000004E-2</v>
      </c>
      <c r="D16" s="11">
        <v>0.24670000000000003</v>
      </c>
      <c r="E16" s="11">
        <v>5.7099999999999998E-2</v>
      </c>
      <c r="F16" s="11">
        <v>3.2000000000000002E-3</v>
      </c>
      <c r="L16" s="12">
        <v>0.1593</v>
      </c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WealthSelect Managed Blend 9</v>
      </c>
      <c r="B17" s="11">
        <v>0.64209999999999989</v>
      </c>
      <c r="C17" s="11">
        <v>6.7000000000000004E-2</v>
      </c>
      <c r="D17" s="11">
        <v>0.18530000000000002</v>
      </c>
      <c r="F17" s="11">
        <v>3.2000000000000002E-3</v>
      </c>
      <c r="L17" s="12">
        <v>0.1024</v>
      </c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WealthSelect Managed Passive 10</v>
      </c>
      <c r="B18" s="11">
        <v>0.68159999999999998</v>
      </c>
      <c r="C18" s="11">
        <v>0.2046</v>
      </c>
      <c r="D18" s="11">
        <v>0.10390000000000001</v>
      </c>
      <c r="F18" s="11">
        <v>0.01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WealthSelect Managed Passive 3</v>
      </c>
      <c r="B19" s="11">
        <v>0.1429</v>
      </c>
      <c r="C19" s="11">
        <v>3.3500000000000002E-2</v>
      </c>
      <c r="D19" s="11">
        <v>7.5800000000000006E-2</v>
      </c>
      <c r="E19" s="11">
        <v>0.49880000000000002</v>
      </c>
      <c r="F19" s="11">
        <v>0.24909999999999999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WealthSelect Managed Passive 4</v>
      </c>
      <c r="B20" s="11">
        <v>0.2102</v>
      </c>
      <c r="C20" s="11">
        <v>4.9599999999999998E-2</v>
      </c>
      <c r="D20" s="11">
        <v>0.1115</v>
      </c>
      <c r="E20" s="11">
        <v>0.37929999999999997</v>
      </c>
      <c r="F20" s="11">
        <v>0.24929999999999999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WealthSelect Managed Passive 5</v>
      </c>
      <c r="B21" s="11">
        <v>0.2717</v>
      </c>
      <c r="C21" s="11">
        <v>6.4500000000000002E-2</v>
      </c>
      <c r="D21" s="11">
        <v>0.14429999999999998</v>
      </c>
      <c r="E21" s="11">
        <v>0.31290000000000001</v>
      </c>
      <c r="F21" s="11">
        <v>0.20660000000000001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WealthSelect Managed Passive 6</v>
      </c>
      <c r="B22" s="11">
        <v>0.3337</v>
      </c>
      <c r="C22" s="11">
        <v>7.9100000000000004E-2</v>
      </c>
      <c r="D22" s="11">
        <v>0.1772</v>
      </c>
      <c r="E22" s="11">
        <v>0.26789999999999997</v>
      </c>
      <c r="F22" s="11">
        <v>0.1421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WealthSelect Managed Passive 7</v>
      </c>
      <c r="B23" s="11">
        <v>0.39630000000000004</v>
      </c>
      <c r="C23" s="11">
        <v>9.3800000000000008E-2</v>
      </c>
      <c r="D23" s="11">
        <v>0.21050000000000002</v>
      </c>
      <c r="E23" s="11">
        <v>0.223</v>
      </c>
      <c r="F23" s="11">
        <v>7.6299999999999993E-2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WealthSelect Managed Passive 8</v>
      </c>
      <c r="B24" s="11">
        <v>0.45760000000000001</v>
      </c>
      <c r="C24" s="11">
        <v>0.1101</v>
      </c>
      <c r="D24" s="11">
        <v>0.2437</v>
      </c>
      <c r="E24" s="11">
        <v>0.17850000000000002</v>
      </c>
      <c r="F24" s="11">
        <v>0.01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WealthSelect Managed Passive 9</v>
      </c>
      <c r="B25" s="11">
        <v>0.57119999999999993</v>
      </c>
      <c r="C25" s="11">
        <v>0.13689999999999999</v>
      </c>
      <c r="D25" s="11">
        <v>0.21079999999999999</v>
      </c>
      <c r="E25" s="11">
        <v>7.1099999999999997E-2</v>
      </c>
      <c r="F25" s="11">
        <v>0.01</v>
      </c>
      <c r="L25" s="5"/>
      <c r="M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WealthSelect Sustainable Active 10</v>
      </c>
      <c r="F26" s="11">
        <v>0.02</v>
      </c>
      <c r="H26" s="11">
        <v>4.9000000000000002E-2</v>
      </c>
      <c r="I26" s="11">
        <v>0.504</v>
      </c>
      <c r="J26" s="11">
        <v>0.19699999999999998</v>
      </c>
      <c r="K26" s="11">
        <v>0.23</v>
      </c>
      <c r="L26" s="5"/>
      <c r="M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WealthSelect Sustainable Active 3</v>
      </c>
      <c r="E27" s="11">
        <v>0.53200000000000003</v>
      </c>
      <c r="F27" s="11">
        <v>0.23100000000000001</v>
      </c>
      <c r="H27" s="11">
        <v>1.2E-2</v>
      </c>
      <c r="I27" s="11">
        <v>0.122</v>
      </c>
      <c r="J27" s="11">
        <v>4.8000000000000001E-2</v>
      </c>
      <c r="K27" s="11">
        <v>5.5999999999999994E-2</v>
      </c>
      <c r="L27" s="5"/>
      <c r="M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WealthSelect Sustainable Active 4</v>
      </c>
      <c r="E28" s="11">
        <v>0.42100000000000004</v>
      </c>
      <c r="F28" s="11">
        <v>0.23</v>
      </c>
      <c r="H28" s="11">
        <v>1.8000000000000002E-2</v>
      </c>
      <c r="I28" s="11">
        <v>0.18</v>
      </c>
      <c r="J28" s="11">
        <v>7.0000000000000007E-2</v>
      </c>
      <c r="K28" s="11">
        <v>8.199999999999999E-2</v>
      </c>
      <c r="L28" s="5"/>
      <c r="M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WealthSelect Sustainable Active 5</v>
      </c>
      <c r="E29" s="11">
        <v>0.33700000000000002</v>
      </c>
      <c r="F29" s="11">
        <v>0.21100000000000002</v>
      </c>
      <c r="H29" s="11">
        <v>2.3E-2</v>
      </c>
      <c r="I29" s="11">
        <v>0.23199999999999998</v>
      </c>
      <c r="J29" s="11">
        <v>9.0999999999999998E-2</v>
      </c>
      <c r="K29" s="11">
        <v>0.106</v>
      </c>
      <c r="L29" s="5"/>
      <c r="M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WealthSelect Sustainable Active 6</v>
      </c>
      <c r="E30" s="11">
        <v>0.29899999999999999</v>
      </c>
      <c r="F30" s="11">
        <v>0.151</v>
      </c>
      <c r="H30" s="11">
        <v>2.7999999999999997E-2</v>
      </c>
      <c r="I30" s="11">
        <v>0.28300000000000003</v>
      </c>
      <c r="J30" s="11">
        <v>0.11</v>
      </c>
      <c r="K30" s="11">
        <v>0.129</v>
      </c>
      <c r="L30" s="5"/>
      <c r="M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WealthSelect Sustainable Active 7</v>
      </c>
      <c r="E31" s="11">
        <v>0.26100000000000001</v>
      </c>
      <c r="F31" s="11">
        <v>8.6999999999999994E-2</v>
      </c>
      <c r="H31" s="11">
        <v>3.3000000000000002E-2</v>
      </c>
      <c r="I31" s="11">
        <v>0.33600000000000002</v>
      </c>
      <c r="J31" s="11">
        <v>0.13100000000000001</v>
      </c>
      <c r="K31" s="11">
        <v>0.153</v>
      </c>
      <c r="L31" s="5"/>
      <c r="M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WealthSelect Sustainable Active 8</v>
      </c>
      <c r="E32" s="11">
        <v>0.223</v>
      </c>
      <c r="F32" s="11">
        <v>2.3E-2</v>
      </c>
      <c r="H32" s="11">
        <v>3.7999999999999999E-2</v>
      </c>
      <c r="I32" s="11">
        <v>0.38799999999999996</v>
      </c>
      <c r="J32" s="11">
        <v>0.152</v>
      </c>
      <c r="K32" s="11">
        <v>0.17699999999999999</v>
      </c>
      <c r="L32" s="5"/>
      <c r="M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WealthSelect Sustainable Active 9</v>
      </c>
      <c r="E33" s="11">
        <v>0.105</v>
      </c>
      <c r="F33" s="11">
        <v>2.3E-2</v>
      </c>
      <c r="H33" s="11">
        <v>4.4000000000000004E-2</v>
      </c>
      <c r="I33" s="11">
        <v>0.44900000000000001</v>
      </c>
      <c r="J33" s="11">
        <v>0.17499999999999999</v>
      </c>
      <c r="K33" s="11">
        <v>0.20499999999999999</v>
      </c>
      <c r="L33" s="5"/>
      <c r="M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D34" sqref="D34"/>
    </sheetView>
  </sheetViews>
  <sheetFormatPr defaultRowHeight="15" x14ac:dyDescent="0.25"/>
  <cols>
    <col min="1" max="1" width="32.7109375" bestFit="1" customWidth="1"/>
    <col min="2" max="2" width="98.140625" bestFit="1" customWidth="1"/>
    <col min="3" max="3" width="41.7109375" bestFit="1" customWidth="1"/>
    <col min="4" max="4" width="122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WealthSelect Managed Active 10</v>
      </c>
      <c r="B2" t="s">
        <v>67</v>
      </c>
      <c r="C2" t="s">
        <v>36</v>
      </c>
      <c r="D2" s="8" t="s">
        <v>116</v>
      </c>
    </row>
    <row r="3" spans="1:5" x14ac:dyDescent="0.25">
      <c r="A3" t="str">
        <f>IF(Input!A4="","",Input!A4)</f>
        <v>WealthSelect Managed Active 3</v>
      </c>
      <c r="B3" t="s">
        <v>67</v>
      </c>
      <c r="C3" t="s">
        <v>37</v>
      </c>
      <c r="D3" s="8" t="s">
        <v>117</v>
      </c>
    </row>
    <row r="4" spans="1:5" x14ac:dyDescent="0.25">
      <c r="A4" t="str">
        <f>IF(Input!A5="","",Input!A5)</f>
        <v>WealthSelect Managed Active 4</v>
      </c>
      <c r="B4" t="s">
        <v>67</v>
      </c>
      <c r="C4" t="s">
        <v>38</v>
      </c>
      <c r="D4" s="8" t="s">
        <v>118</v>
      </c>
    </row>
    <row r="5" spans="1:5" x14ac:dyDescent="0.25">
      <c r="A5" t="str">
        <f>IF(Input!A6="","",Input!A6)</f>
        <v>WealthSelect Managed Active 5</v>
      </c>
      <c r="B5" t="s">
        <v>67</v>
      </c>
      <c r="C5" t="s">
        <v>39</v>
      </c>
      <c r="D5" s="8" t="s">
        <v>119</v>
      </c>
    </row>
    <row r="6" spans="1:5" x14ac:dyDescent="0.25">
      <c r="A6" t="str">
        <f>IF(Input!A7="","",Input!A7)</f>
        <v>WealthSelect Managed Active 6</v>
      </c>
      <c r="B6" t="s">
        <v>67</v>
      </c>
      <c r="C6" t="s">
        <v>40</v>
      </c>
      <c r="D6" s="8" t="s">
        <v>120</v>
      </c>
    </row>
    <row r="7" spans="1:5" x14ac:dyDescent="0.25">
      <c r="A7" t="str">
        <f>IF(Input!A8="","",Input!A8)</f>
        <v>WealthSelect Managed Active 7</v>
      </c>
      <c r="B7" t="s">
        <v>67</v>
      </c>
      <c r="C7" t="s">
        <v>41</v>
      </c>
      <c r="D7" s="8" t="s">
        <v>121</v>
      </c>
    </row>
    <row r="8" spans="1:5" x14ac:dyDescent="0.25">
      <c r="A8" t="str">
        <f>IF(Input!A9="","",Input!A9)</f>
        <v>WealthSelect Managed Active 8</v>
      </c>
      <c r="B8" t="s">
        <v>67</v>
      </c>
      <c r="C8" t="s">
        <v>42</v>
      </c>
      <c r="D8" s="8" t="s">
        <v>122</v>
      </c>
    </row>
    <row r="9" spans="1:5" x14ac:dyDescent="0.25">
      <c r="A9" t="str">
        <f>IF(Input!A10="","",Input!A10)</f>
        <v>WealthSelect Managed Active 9</v>
      </c>
      <c r="B9" t="s">
        <v>67</v>
      </c>
      <c r="C9" t="s">
        <v>43</v>
      </c>
      <c r="D9" s="8" t="s">
        <v>123</v>
      </c>
    </row>
    <row r="10" spans="1:5" x14ac:dyDescent="0.25">
      <c r="A10" t="str">
        <f>IF(Input!A11="","",Input!A11)</f>
        <v>WealthSelect Managed Blend 10</v>
      </c>
      <c r="B10" t="s">
        <v>67</v>
      </c>
      <c r="C10" t="s">
        <v>44</v>
      </c>
      <c r="D10" s="8" t="s">
        <v>124</v>
      </c>
    </row>
    <row r="11" spans="1:5" x14ac:dyDescent="0.25">
      <c r="A11" t="str">
        <f>IF(Input!A12="","",Input!A12)</f>
        <v>WealthSelect Managed Blend 3</v>
      </c>
      <c r="B11" t="s">
        <v>67</v>
      </c>
      <c r="C11" t="s">
        <v>45</v>
      </c>
      <c r="D11" s="8" t="s">
        <v>125</v>
      </c>
    </row>
    <row r="12" spans="1:5" x14ac:dyDescent="0.25">
      <c r="A12" t="str">
        <f>IF(Input!A13="","",Input!A13)</f>
        <v>WealthSelect Managed Blend 4</v>
      </c>
      <c r="B12" t="s">
        <v>67</v>
      </c>
      <c r="C12" t="s">
        <v>46</v>
      </c>
      <c r="D12" s="8" t="s">
        <v>126</v>
      </c>
    </row>
    <row r="13" spans="1:5" x14ac:dyDescent="0.25">
      <c r="A13" t="str">
        <f>IF(Input!A14="","",Input!A14)</f>
        <v>WealthSelect Managed Blend 5</v>
      </c>
      <c r="B13" t="s">
        <v>67</v>
      </c>
      <c r="C13" t="s">
        <v>47</v>
      </c>
      <c r="D13" s="8" t="s">
        <v>127</v>
      </c>
    </row>
    <row r="14" spans="1:5" x14ac:dyDescent="0.25">
      <c r="A14" t="str">
        <f>IF(Input!A15="","",Input!A15)</f>
        <v>WealthSelect Managed Blend 6</v>
      </c>
      <c r="B14" t="s">
        <v>67</v>
      </c>
      <c r="C14" t="s">
        <v>48</v>
      </c>
      <c r="D14" s="8" t="s">
        <v>128</v>
      </c>
    </row>
    <row r="15" spans="1:5" x14ac:dyDescent="0.25">
      <c r="A15" t="str">
        <f>IF(Input!A16="","",Input!A16)</f>
        <v>WealthSelect Managed Blend 7</v>
      </c>
      <c r="B15" t="s">
        <v>67</v>
      </c>
      <c r="C15" t="s">
        <v>49</v>
      </c>
      <c r="D15" s="8" t="s">
        <v>129</v>
      </c>
    </row>
    <row r="16" spans="1:5" x14ac:dyDescent="0.25">
      <c r="A16" t="str">
        <f>IF(Input!A17="","",Input!A17)</f>
        <v>WealthSelect Managed Blend 8</v>
      </c>
      <c r="B16" t="s">
        <v>67</v>
      </c>
      <c r="C16" t="s">
        <v>50</v>
      </c>
      <c r="D16" s="8" t="s">
        <v>130</v>
      </c>
    </row>
    <row r="17" spans="1:4" x14ac:dyDescent="0.25">
      <c r="A17" t="str">
        <f>IF(Input!A18="","",Input!A18)</f>
        <v>WealthSelect Managed Blend 9</v>
      </c>
      <c r="B17" t="s">
        <v>67</v>
      </c>
      <c r="C17" t="s">
        <v>51</v>
      </c>
      <c r="D17" s="8" t="s">
        <v>131</v>
      </c>
    </row>
    <row r="18" spans="1:4" x14ac:dyDescent="0.25">
      <c r="A18" t="str">
        <f>IF(Input!A19="","",Input!A19)</f>
        <v>WealthSelect Managed Passive 10</v>
      </c>
      <c r="B18" t="s">
        <v>67</v>
      </c>
      <c r="C18" t="s">
        <v>52</v>
      </c>
      <c r="D18" s="8" t="s">
        <v>132</v>
      </c>
    </row>
    <row r="19" spans="1:4" x14ac:dyDescent="0.25">
      <c r="A19" t="str">
        <f>IF(Input!A20="","",Input!A20)</f>
        <v>WealthSelect Managed Passive 3</v>
      </c>
      <c r="B19" t="s">
        <v>67</v>
      </c>
      <c r="C19" t="s">
        <v>53</v>
      </c>
      <c r="D19" s="8" t="s">
        <v>133</v>
      </c>
    </row>
    <row r="20" spans="1:4" x14ac:dyDescent="0.25">
      <c r="A20" t="str">
        <f>IF(Input!A21="","",Input!A21)</f>
        <v>WealthSelect Managed Passive 4</v>
      </c>
      <c r="B20" t="s">
        <v>67</v>
      </c>
      <c r="C20" t="s">
        <v>103</v>
      </c>
      <c r="D20" s="8" t="s">
        <v>134</v>
      </c>
    </row>
    <row r="21" spans="1:4" x14ac:dyDescent="0.25">
      <c r="A21" t="str">
        <f>IF(Input!A22="","",Input!A22)</f>
        <v>WealthSelect Managed Passive 5</v>
      </c>
      <c r="B21" t="s">
        <v>67</v>
      </c>
      <c r="C21" t="s">
        <v>54</v>
      </c>
      <c r="D21" s="8" t="s">
        <v>135</v>
      </c>
    </row>
    <row r="22" spans="1:4" x14ac:dyDescent="0.25">
      <c r="A22" t="str">
        <f>IF(Input!A23="","",Input!A23)</f>
        <v>WealthSelect Managed Passive 6</v>
      </c>
      <c r="B22" t="s">
        <v>67</v>
      </c>
      <c r="C22" t="s">
        <v>55</v>
      </c>
      <c r="D22" s="8" t="s">
        <v>136</v>
      </c>
    </row>
    <row r="23" spans="1:4" x14ac:dyDescent="0.25">
      <c r="A23" t="str">
        <f>IF(Input!A24="","",Input!A24)</f>
        <v>WealthSelect Managed Passive 7</v>
      </c>
      <c r="B23" t="s">
        <v>67</v>
      </c>
      <c r="C23" t="s">
        <v>56</v>
      </c>
      <c r="D23" s="8" t="s">
        <v>137</v>
      </c>
    </row>
    <row r="24" spans="1:4" x14ac:dyDescent="0.25">
      <c r="A24" t="str">
        <f>IF(Input!A25="","",Input!A25)</f>
        <v>WealthSelect Managed Passive 8</v>
      </c>
      <c r="B24" t="s">
        <v>67</v>
      </c>
      <c r="C24" t="s">
        <v>57</v>
      </c>
      <c r="D24" s="8" t="s">
        <v>138</v>
      </c>
    </row>
    <row r="25" spans="1:4" x14ac:dyDescent="0.25">
      <c r="A25" t="str">
        <f>IF(Input!A26="","",Input!A26)</f>
        <v>WealthSelect Managed Passive 9</v>
      </c>
      <c r="B25" t="s">
        <v>67</v>
      </c>
      <c r="C25" t="s">
        <v>58</v>
      </c>
      <c r="D25" s="8" t="s">
        <v>139</v>
      </c>
    </row>
    <row r="26" spans="1:4" x14ac:dyDescent="0.25">
      <c r="A26" t="str">
        <f>IF(Input!A27="","",Input!A27)</f>
        <v>WealthSelect Sustainable Active 10</v>
      </c>
      <c r="B26" t="s">
        <v>67</v>
      </c>
      <c r="C26" t="s">
        <v>59</v>
      </c>
      <c r="D26" s="8" t="s">
        <v>140</v>
      </c>
    </row>
    <row r="27" spans="1:4" x14ac:dyDescent="0.25">
      <c r="A27" t="str">
        <f>IF(Input!A28="","",Input!A28)</f>
        <v>WealthSelect Sustainable Active 3</v>
      </c>
      <c r="B27" t="s">
        <v>67</v>
      </c>
      <c r="C27" t="s">
        <v>60</v>
      </c>
      <c r="D27" s="8" t="s">
        <v>141</v>
      </c>
    </row>
    <row r="28" spans="1:4" x14ac:dyDescent="0.25">
      <c r="A28" t="str">
        <f>IF(Input!A29="","",Input!A29)</f>
        <v>WealthSelect Sustainable Active 4</v>
      </c>
      <c r="B28" t="s">
        <v>67</v>
      </c>
      <c r="C28" t="s">
        <v>61</v>
      </c>
      <c r="D28" s="8" t="s">
        <v>142</v>
      </c>
    </row>
    <row r="29" spans="1:4" x14ac:dyDescent="0.25">
      <c r="A29" t="str">
        <f>IF(Input!A30="","",Input!A30)</f>
        <v>WealthSelect Sustainable Active 5</v>
      </c>
      <c r="B29" t="s">
        <v>67</v>
      </c>
      <c r="C29" t="s">
        <v>62</v>
      </c>
      <c r="D29" s="8" t="s">
        <v>143</v>
      </c>
    </row>
    <row r="30" spans="1:4" x14ac:dyDescent="0.25">
      <c r="A30" t="str">
        <f>IF(Input!A31="","",Input!A31)</f>
        <v>WealthSelect Sustainable Active 6</v>
      </c>
      <c r="B30" t="s">
        <v>67</v>
      </c>
      <c r="C30" t="s">
        <v>63</v>
      </c>
      <c r="D30" s="8" t="s">
        <v>144</v>
      </c>
    </row>
    <row r="31" spans="1:4" x14ac:dyDescent="0.25">
      <c r="A31" t="str">
        <f>IF(Input!A32="","",Input!A32)</f>
        <v>WealthSelect Sustainable Active 7</v>
      </c>
      <c r="B31" t="s">
        <v>67</v>
      </c>
      <c r="C31" t="s">
        <v>64</v>
      </c>
      <c r="D31" s="8" t="s">
        <v>145</v>
      </c>
    </row>
    <row r="32" spans="1:4" x14ac:dyDescent="0.25">
      <c r="A32" t="str">
        <f>IF(Input!A33="","",Input!A33)</f>
        <v>WealthSelect Sustainable Active 8</v>
      </c>
      <c r="B32" t="s">
        <v>67</v>
      </c>
      <c r="C32" t="s">
        <v>65</v>
      </c>
      <c r="D32" s="8" t="s">
        <v>146</v>
      </c>
    </row>
    <row r="33" spans="1:4" x14ac:dyDescent="0.25">
      <c r="A33" t="str">
        <f>IF(Input!A34="","",Input!A34)</f>
        <v>WealthSelect Sustainable Active 9</v>
      </c>
      <c r="B33" t="s">
        <v>67</v>
      </c>
      <c r="C33" t="s">
        <v>66</v>
      </c>
      <c r="D33" s="8" t="s">
        <v>147</v>
      </c>
    </row>
    <row r="34" spans="1:4" x14ac:dyDescent="0.25">
      <c r="A34" t="str">
        <f>IF(Input!A35="","",Input!A35)</f>
        <v/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WealthSelect Managed Active 10</v>
      </c>
      <c r="B2" s="1" t="e">
        <f>IF(A2="","",EOMONTH(DATE(YEAR(IF(A2="","",'Additional Information'!B2)),MONTH(IF(A2="","",'Additional Information'!B2)),DAY(IF(A2="","",'Additional Information'!B2))),0))</f>
        <v>#VALUE!</v>
      </c>
    </row>
    <row r="3" spans="1:2" x14ac:dyDescent="0.25">
      <c r="A3" t="str">
        <f>IF(Input!A4="","",Input!A4)</f>
        <v>WealthSelect Managed Active 3</v>
      </c>
      <c r="B3" s="1" t="e">
        <f>IF(A3="","",EOMONTH(DATE(YEAR(IF(A3="","",'Additional Information'!B3)),MONTH(IF(A3="","",'Additional Information'!B3)),DAY(IF(A3="","",'Additional Information'!B3))),0))</f>
        <v>#VALUE!</v>
      </c>
    </row>
    <row r="4" spans="1:2" x14ac:dyDescent="0.25">
      <c r="A4" t="str">
        <f>IF(Input!A5="","",Input!A5)</f>
        <v>WealthSelect Managed Active 4</v>
      </c>
      <c r="B4" s="1" t="e">
        <f>IF(A4="","",EOMONTH(DATE(YEAR(IF(A4="","",'Additional Information'!B4)),MONTH(IF(A4="","",'Additional Information'!B4)),DAY(IF(A4="","",'Additional Information'!B4))),0))</f>
        <v>#VALUE!</v>
      </c>
    </row>
    <row r="5" spans="1:2" x14ac:dyDescent="0.25">
      <c r="A5" t="str">
        <f>IF(Input!A6="","",Input!A6)</f>
        <v>WealthSelect Managed Active 5</v>
      </c>
      <c r="B5" s="1" t="e">
        <f>IF(A5="","",EOMONTH(DATE(YEAR(IF(A5="","",'Additional Information'!B5)),MONTH(IF(A5="","",'Additional Information'!B5)),DAY(IF(A5="","",'Additional Information'!B5))),0))</f>
        <v>#VALUE!</v>
      </c>
    </row>
    <row r="6" spans="1:2" x14ac:dyDescent="0.25">
      <c r="A6" t="str">
        <f>IF(Input!A7="","",Input!A7)</f>
        <v>WealthSelect Managed Active 6</v>
      </c>
      <c r="B6" s="1" t="e">
        <f>IF(A6="","",EOMONTH(DATE(YEAR(IF(A6="","",'Additional Information'!B6)),MONTH(IF(A6="","",'Additional Information'!B6)),DAY(IF(A6="","",'Additional Information'!B6))),0))</f>
        <v>#VALUE!</v>
      </c>
    </row>
    <row r="7" spans="1:2" x14ac:dyDescent="0.25">
      <c r="A7" t="str">
        <f>IF(Input!A8="","",Input!A8)</f>
        <v>WealthSelect Managed Active 7</v>
      </c>
      <c r="B7" s="1" t="e">
        <f>IF(A7="","",EOMONTH(DATE(YEAR(IF(A7="","",'Additional Information'!B7)),MONTH(IF(A7="","",'Additional Information'!B7)),DAY(IF(A7="","",'Additional Information'!B7))),0))</f>
        <v>#VALUE!</v>
      </c>
    </row>
    <row r="8" spans="1:2" x14ac:dyDescent="0.25">
      <c r="A8" t="str">
        <f>IF(Input!A9="","",Input!A9)</f>
        <v>WealthSelect Managed Active 8</v>
      </c>
      <c r="B8" s="1" t="e">
        <f>IF(A8="","",EOMONTH(DATE(YEAR(IF(A8="","",'Additional Information'!B8)),MONTH(IF(A8="","",'Additional Information'!B8)),DAY(IF(A8="","",'Additional Information'!B8))),0))</f>
        <v>#VALUE!</v>
      </c>
    </row>
    <row r="9" spans="1:2" x14ac:dyDescent="0.25">
      <c r="A9" t="str">
        <f>IF(Input!A10="","",Input!A10)</f>
        <v>WealthSelect Managed Active 9</v>
      </c>
      <c r="B9" s="1" t="e">
        <f>IF(A9="","",EOMONTH(DATE(YEAR(IF(A9="","",'Additional Information'!B9)),MONTH(IF(A9="","",'Additional Information'!B9)),DAY(IF(A9="","",'Additional Information'!B9))),0))</f>
        <v>#VALUE!</v>
      </c>
    </row>
    <row r="10" spans="1:2" x14ac:dyDescent="0.25">
      <c r="A10" t="str">
        <f>IF(Input!A11="","",Input!A11)</f>
        <v>WealthSelect Managed Blend 10</v>
      </c>
      <c r="B10" s="1" t="e">
        <f>IF(A10="","",EOMONTH(DATE(YEAR(IF(A10="","",'Additional Information'!B10)),MONTH(IF(A10="","",'Additional Information'!B10)),DAY(IF(A10="","",'Additional Information'!B10))),0))</f>
        <v>#VALUE!</v>
      </c>
    </row>
    <row r="11" spans="1:2" x14ac:dyDescent="0.25">
      <c r="A11" t="str">
        <f>IF(Input!A12="","",Input!A12)</f>
        <v>WealthSelect Managed Blend 3</v>
      </c>
      <c r="B11" s="1" t="e">
        <f>IF(A11="","",EOMONTH(DATE(YEAR(IF(A11="","",'Additional Information'!B11)),MONTH(IF(A11="","",'Additional Information'!B11)),DAY(IF(A11="","",'Additional Information'!B11))),0))</f>
        <v>#VALUE!</v>
      </c>
    </row>
    <row r="12" spans="1:2" x14ac:dyDescent="0.25">
      <c r="A12" t="str">
        <f>IF(Input!A13="","",Input!A13)</f>
        <v>WealthSelect Managed Blend 4</v>
      </c>
      <c r="B12" s="1" t="e">
        <f>IF(A12="","",EOMONTH(DATE(YEAR(IF(A12="","",'Additional Information'!B12)),MONTH(IF(A12="","",'Additional Information'!B12)),DAY(IF(A12="","",'Additional Information'!B12))),0))</f>
        <v>#VALUE!</v>
      </c>
    </row>
    <row r="13" spans="1:2" x14ac:dyDescent="0.25">
      <c r="A13" t="str">
        <f>IF(Input!A14="","",Input!A14)</f>
        <v>WealthSelect Managed Blend 5</v>
      </c>
      <c r="B13" s="1" t="e">
        <f>IF(A13="","",EOMONTH(DATE(YEAR(IF(A13="","",'Additional Information'!B13)),MONTH(IF(A13="","",'Additional Information'!B13)),DAY(IF(A13="","",'Additional Information'!B13))),0))</f>
        <v>#VALUE!</v>
      </c>
    </row>
    <row r="14" spans="1:2" x14ac:dyDescent="0.25">
      <c r="A14" t="str">
        <f>IF(Input!A15="","",Input!A15)</f>
        <v>WealthSelect Managed Blend 6</v>
      </c>
      <c r="B14" s="1" t="e">
        <f>IF(A14="","",EOMONTH(DATE(YEAR(IF(A14="","",'Additional Information'!B14)),MONTH(IF(A14="","",'Additional Information'!B14)),DAY(IF(A14="","",'Additional Information'!B14))),0))</f>
        <v>#VALUE!</v>
      </c>
    </row>
    <row r="15" spans="1:2" x14ac:dyDescent="0.25">
      <c r="A15" t="str">
        <f>IF(Input!A16="","",Input!A16)</f>
        <v>WealthSelect Managed Blend 7</v>
      </c>
      <c r="B15" s="1" t="e">
        <f>IF(A15="","",EOMONTH(DATE(YEAR(IF(A15="","",'Additional Information'!B15)),MONTH(IF(A15="","",'Additional Information'!B15)),DAY(IF(A15="","",'Additional Information'!B15))),0))</f>
        <v>#VALUE!</v>
      </c>
    </row>
    <row r="16" spans="1:2" x14ac:dyDescent="0.25">
      <c r="A16" t="str">
        <f>IF(Input!A17="","",Input!A17)</f>
        <v>WealthSelect Managed Blend 8</v>
      </c>
      <c r="B16" s="1" t="e">
        <f>IF(A16="","",EOMONTH(DATE(YEAR(IF(A16="","",'Additional Information'!B16)),MONTH(IF(A16="","",'Additional Information'!B16)),DAY(IF(A16="","",'Additional Information'!B16))),0))</f>
        <v>#VALUE!</v>
      </c>
    </row>
    <row r="17" spans="1:2" x14ac:dyDescent="0.25">
      <c r="A17" t="str">
        <f>IF(Input!A18="","",Input!A18)</f>
        <v>WealthSelect Managed Blend 9</v>
      </c>
      <c r="B17" s="1" t="e">
        <f>IF(A17="","",EOMONTH(DATE(YEAR(IF(A17="","",'Additional Information'!B17)),MONTH(IF(A17="","",'Additional Information'!B17)),DAY(IF(A17="","",'Additional Information'!B17))),0))</f>
        <v>#VALUE!</v>
      </c>
    </row>
    <row r="18" spans="1:2" x14ac:dyDescent="0.25">
      <c r="A18" t="str">
        <f>IF(Input!A19="","",Input!A19)</f>
        <v>WealthSelect Managed Passive 10</v>
      </c>
      <c r="B18" s="1" t="e">
        <f>IF(A18="","",EOMONTH(DATE(YEAR(IF(A18="","",'Additional Information'!B18)),MONTH(IF(A18="","",'Additional Information'!B18)),DAY(IF(A18="","",'Additional Information'!B18))),0))</f>
        <v>#VALUE!</v>
      </c>
    </row>
    <row r="19" spans="1:2" x14ac:dyDescent="0.25">
      <c r="A19" t="str">
        <f>IF(Input!A20="","",Input!A20)</f>
        <v>WealthSelect Managed Passive 3</v>
      </c>
      <c r="B19" s="1" t="e">
        <f>IF(A19="","",EOMONTH(DATE(YEAR(IF(A19="","",'Additional Information'!B19)),MONTH(IF(A19="","",'Additional Information'!B19)),DAY(IF(A19="","",'Additional Information'!B19))),0))</f>
        <v>#VALUE!</v>
      </c>
    </row>
    <row r="20" spans="1:2" x14ac:dyDescent="0.25">
      <c r="A20" t="str">
        <f>IF(Input!A21="","",Input!A21)</f>
        <v>WealthSelect Managed Passive 4</v>
      </c>
      <c r="B20" s="1" t="e">
        <f>IF(A20="","",EOMONTH(DATE(YEAR(IF(A20="","",'Additional Information'!B20)),MONTH(IF(A20="","",'Additional Information'!B20)),DAY(IF(A20="","",'Additional Information'!B20))),0))</f>
        <v>#VALUE!</v>
      </c>
    </row>
    <row r="21" spans="1:2" x14ac:dyDescent="0.25">
      <c r="A21" t="str">
        <f>IF(Input!A22="","",Input!A22)</f>
        <v>WealthSelect Managed Passive 5</v>
      </c>
      <c r="B21" s="1" t="e">
        <f>IF(A21="","",EOMONTH(DATE(YEAR(IF(A21="","",'Additional Information'!B21)),MONTH(IF(A21="","",'Additional Information'!B21)),DAY(IF(A21="","",'Additional Information'!B21))),0))</f>
        <v>#VALUE!</v>
      </c>
    </row>
    <row r="22" spans="1:2" x14ac:dyDescent="0.25">
      <c r="A22" t="str">
        <f>IF(Input!A23="","",Input!A23)</f>
        <v>WealthSelect Managed Passive 6</v>
      </c>
      <c r="B22" s="1" t="e">
        <f>IF(A22="","",EOMONTH(DATE(YEAR(IF(A22="","",'Additional Information'!B22)),MONTH(IF(A22="","",'Additional Information'!B22)),DAY(IF(A22="","",'Additional Information'!B22))),0))</f>
        <v>#VALUE!</v>
      </c>
    </row>
    <row r="23" spans="1:2" x14ac:dyDescent="0.25">
      <c r="A23" t="str">
        <f>IF(Input!A24="","",Input!A24)</f>
        <v>WealthSelect Managed Passive 7</v>
      </c>
      <c r="B23" s="1" t="e">
        <f>IF(A23="","",EOMONTH(DATE(YEAR(IF(A23="","",'Additional Information'!B23)),MONTH(IF(A23="","",'Additional Information'!B23)),DAY(IF(A23="","",'Additional Information'!B23))),0))</f>
        <v>#VALUE!</v>
      </c>
    </row>
    <row r="24" spans="1:2" x14ac:dyDescent="0.25">
      <c r="A24" t="str">
        <f>IF(Input!A25="","",Input!A25)</f>
        <v>WealthSelect Managed Passive 8</v>
      </c>
      <c r="B24" s="1" t="e">
        <f>IF(A24="","",EOMONTH(DATE(YEAR(IF(A24="","",'Additional Information'!B24)),MONTH(IF(A24="","",'Additional Information'!B24)),DAY(IF(A24="","",'Additional Information'!B24))),0))</f>
        <v>#VALUE!</v>
      </c>
    </row>
    <row r="25" spans="1:2" x14ac:dyDescent="0.25">
      <c r="A25" t="str">
        <f>IF(Input!A26="","",Input!A26)</f>
        <v>WealthSelect Managed Passive 9</v>
      </c>
      <c r="B25" s="1" t="e">
        <f>IF(A25="","",EOMONTH(DATE(YEAR(IF(A25="","",'Additional Information'!B25)),MONTH(IF(A25="","",'Additional Information'!B25)),DAY(IF(A25="","",'Additional Information'!B25))),0))</f>
        <v>#VALUE!</v>
      </c>
    </row>
    <row r="26" spans="1:2" x14ac:dyDescent="0.25">
      <c r="A26" t="str">
        <f>IF(Input!A27="","",Input!A27)</f>
        <v>WealthSelect Sustainable Active 10</v>
      </c>
      <c r="B26" s="1" t="e">
        <f>IF(A26="","",EOMONTH(DATE(YEAR(IF(A26="","",'Additional Information'!B26)),MONTH(IF(A26="","",'Additional Information'!B26)),DAY(IF(A26="","",'Additional Information'!B26))),0))</f>
        <v>#VALUE!</v>
      </c>
    </row>
    <row r="27" spans="1:2" x14ac:dyDescent="0.25">
      <c r="A27" t="str">
        <f>IF(Input!A28="","",Input!A28)</f>
        <v>WealthSelect Sustainable Active 3</v>
      </c>
      <c r="B27" s="1" t="e">
        <f>IF(A27="","",EOMONTH(DATE(YEAR(IF(A27="","",'Additional Information'!B27)),MONTH(IF(A27="","",'Additional Information'!B27)),DAY(IF(A27="","",'Additional Information'!B27))),0))</f>
        <v>#VALUE!</v>
      </c>
    </row>
    <row r="28" spans="1:2" x14ac:dyDescent="0.25">
      <c r="A28" t="str">
        <f>IF(Input!A29="","",Input!A29)</f>
        <v>WealthSelect Sustainable Active 4</v>
      </c>
      <c r="B28" s="1" t="e">
        <f>IF(A28="","",EOMONTH(DATE(YEAR(IF(A28="","",'Additional Information'!B28)),MONTH(IF(A28="","",'Additional Information'!B28)),DAY(IF(A28="","",'Additional Information'!B28))),0))</f>
        <v>#VALUE!</v>
      </c>
    </row>
    <row r="29" spans="1:2" x14ac:dyDescent="0.25">
      <c r="A29" t="str">
        <f>IF(Input!A30="","",Input!A30)</f>
        <v>WealthSelect Sustainable Active 5</v>
      </c>
      <c r="B29" s="1" t="e">
        <f>IF(A29="","",EOMONTH(DATE(YEAR(IF(A29="","",'Additional Information'!B29)),MONTH(IF(A29="","",'Additional Information'!B29)),DAY(IF(A29="","",'Additional Information'!B29))),0))</f>
        <v>#VALUE!</v>
      </c>
    </row>
    <row r="30" spans="1:2" x14ac:dyDescent="0.25">
      <c r="A30" t="str">
        <f>IF(Input!A31="","",Input!A31)</f>
        <v>WealthSelect Sustainable Active 6</v>
      </c>
      <c r="B30" s="1" t="e">
        <f>IF(A30="","",EOMONTH(DATE(YEAR(IF(A30="","",'Additional Information'!B30)),MONTH(IF(A30="","",'Additional Information'!B30)),DAY(IF(A30="","",'Additional Information'!B30))),0))</f>
        <v>#VALUE!</v>
      </c>
    </row>
    <row r="31" spans="1:2" x14ac:dyDescent="0.25">
      <c r="A31" t="str">
        <f>IF(Input!A32="","",Input!A32)</f>
        <v>WealthSelect Sustainable Active 7</v>
      </c>
      <c r="B31" s="1" t="e">
        <f>IF(A31="","",EOMONTH(DATE(YEAR(IF(A31="","",'Additional Information'!B31)),MONTH(IF(A31="","",'Additional Information'!B31)),DAY(IF(A31="","",'Additional Information'!B31))),0))</f>
        <v>#VALUE!</v>
      </c>
    </row>
    <row r="32" spans="1:2" x14ac:dyDescent="0.25">
      <c r="A32" t="str">
        <f>IF(Input!A33="","",Input!A33)</f>
        <v>WealthSelect Sustainable Active 8</v>
      </c>
      <c r="B32" s="1" t="e">
        <f>IF(A32="","",EOMONTH(DATE(YEAR(IF(A32="","",'Additional Information'!B32)),MONTH(IF(A32="","",'Additional Information'!B32)),DAY(IF(A32="","",'Additional Information'!B32))),0))</f>
        <v>#VALUE!</v>
      </c>
    </row>
    <row r="33" spans="1:2" x14ac:dyDescent="0.25">
      <c r="A33" t="str">
        <f>IF(Input!A34="","",Input!A34)</f>
        <v>WealthSelect Sustainable Active 9</v>
      </c>
      <c r="B33" s="1" t="e">
        <f>IF(A33="","",EOMONTH(DATE(YEAR(IF(A33="","",'Additional Information'!B33)),MONTH(IF(A33="","",'Additional Information'!B33)),DAY(IF(A33="","",'Additional Information'!B33))),0))</f>
        <v>#VALUE!</v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WealthSelect Managed Active 10</v>
      </c>
      <c r="C2">
        <f>IF(A2="","",IF(OR('Additional Information'!E2="",'Additional Information'!E2="-"),"",'Additional Information'!E2))</f>
        <v>4.5999999999999999E-2</v>
      </c>
      <c r="D2" s="5">
        <f>IF(A2="","",SUM('Additional Information'!C2,'Additional Information'!D2))</f>
        <v>7.7999999999999996E-3</v>
      </c>
      <c r="E2">
        <f>IF(A2="","",SUM('Additional Information'!D2))</f>
        <v>1.5E-3</v>
      </c>
      <c r="F2">
        <f>IF(A2="","",IF(OR('Additional Information'!F2="",'Additional Information'!F2="-"),"",'Additional Information'!F2))</f>
        <v>0.19600000000000001</v>
      </c>
      <c r="G2">
        <f>IF(A2="","",IF(OR('Additional Information'!G2="",'Additional Information'!G2="-"),"",'Additional Information'!G2))</f>
        <v>0.47899999999999998</v>
      </c>
    </row>
    <row r="3" spans="1:7" x14ac:dyDescent="0.25">
      <c r="A3" t="str">
        <f>IF(Input!A4="","",Input!A4)</f>
        <v>WealthSelect Managed Active 3</v>
      </c>
      <c r="C3">
        <f>IF(A3="","",IF(OR('Additional Information'!E3="",'Additional Information'!E3="-"),"",'Additional Information'!E3))</f>
        <v>3.5000000000000003E-2</v>
      </c>
      <c r="D3" s="5">
        <f>IF(A3="","",SUM('Additional Information'!C3,'Additional Information'!D3))</f>
        <v>6.0999999999999995E-3</v>
      </c>
      <c r="E3">
        <f>IF(A3="","",SUM('Additional Information'!D3))</f>
        <v>1.5E-3</v>
      </c>
      <c r="F3">
        <f>IF(A3="","",IF(OR('Additional Information'!F3="",'Additional Information'!F3="-"),"",'Additional Information'!F3))</f>
        <v>2.5000000000000001E-2</v>
      </c>
      <c r="G3">
        <f>IF(A3="","",IF(OR('Additional Information'!G3="",'Additional Information'!G3="-"),"",'Additional Information'!G3))</f>
        <v>0.16800000000000001</v>
      </c>
    </row>
    <row r="4" spans="1:7" x14ac:dyDescent="0.25">
      <c r="A4" t="str">
        <f>IF(Input!A5="","",Input!A5)</f>
        <v>WealthSelect Managed Active 4</v>
      </c>
      <c r="C4">
        <f>IF(A4="","",IF(OR('Additional Information'!E4="",'Additional Information'!E4="-"),"",'Additional Information'!E4))</f>
        <v>3.7999999999999999E-2</v>
      </c>
      <c r="D4" s="5">
        <f>IF(A4="","",SUM('Additional Information'!C4,'Additional Information'!D4))</f>
        <v>6.5000000000000006E-3</v>
      </c>
      <c r="E4">
        <f>IF(A4="","",SUM('Additional Information'!D4))</f>
        <v>1.5E-3</v>
      </c>
      <c r="F4">
        <f>IF(A4="","",IF(OR('Additional Information'!F4="",'Additional Information'!F4="-"),"",'Additional Information'!F4))</f>
        <v>5.0999999999999997E-2</v>
      </c>
      <c r="G4">
        <f>IF(A4="","",IF(OR('Additional Information'!G4="",'Additional Information'!G4="-"),"",'Additional Information'!G4))</f>
        <v>0.20800000000000002</v>
      </c>
    </row>
    <row r="5" spans="1:7" x14ac:dyDescent="0.25">
      <c r="A5" t="str">
        <f>IF(Input!A6="","",Input!A6)</f>
        <v>WealthSelect Managed Active 5</v>
      </c>
      <c r="C5">
        <f>IF(A5="","",IF(OR('Additional Information'!E5="",'Additional Information'!E5="-"),"",'Additional Information'!E5))</f>
        <v>4.0999999999999995E-2</v>
      </c>
      <c r="D5" s="5">
        <f>IF(A5="","",SUM('Additional Information'!C5,'Additional Information'!D5))</f>
        <v>7.000000000000001E-3</v>
      </c>
      <c r="E5">
        <f>IF(A5="","",SUM('Additional Information'!D5))</f>
        <v>1.5E-3</v>
      </c>
      <c r="F5">
        <f>IF(A5="","",IF(OR('Additional Information'!F5="",'Additional Information'!F5="-"),"",'Additional Information'!F5))</f>
        <v>7.6999999999999999E-2</v>
      </c>
      <c r="G5">
        <f>IF(A5="","",IF(OR('Additional Information'!G5="",'Additional Information'!G5="-"),"",'Additional Information'!G5))</f>
        <v>0.249</v>
      </c>
    </row>
    <row r="6" spans="1:7" x14ac:dyDescent="0.25">
      <c r="A6" t="str">
        <f>IF(Input!A7="","",Input!A7)</f>
        <v>WealthSelect Managed Active 6</v>
      </c>
      <c r="C6">
        <f>IF(A6="","",IF(OR('Additional Information'!E6="",'Additional Information'!E6="-"),"",'Additional Information'!E6))</f>
        <v>4.2999999999999997E-2</v>
      </c>
      <c r="D6" s="5">
        <f>IF(A6="","",SUM('Additional Information'!C6,'Additional Information'!D6))</f>
        <v>7.4999999999999997E-3</v>
      </c>
      <c r="E6">
        <f>IF(A6="","",SUM('Additional Information'!D6))</f>
        <v>1.5E-3</v>
      </c>
      <c r="F6">
        <f>IF(A6="","",IF(OR('Additional Information'!F6="",'Additional Information'!F6="-"),"",'Additional Information'!F6))</f>
        <v>0.106</v>
      </c>
      <c r="G6">
        <f>IF(A6="","",IF(OR('Additional Information'!G6="",'Additional Information'!G6="-"),"",'Additional Information'!G6))</f>
        <v>0.28699999999999998</v>
      </c>
    </row>
    <row r="7" spans="1:7" x14ac:dyDescent="0.25">
      <c r="A7" t="str">
        <f>IF(Input!A8="","",Input!A8)</f>
        <v>WealthSelect Managed Active 7</v>
      </c>
      <c r="C7">
        <f>IF(A7="","",IF(OR('Additional Information'!E7="",'Additional Information'!E7="-"),"",'Additional Information'!E7))</f>
        <v>4.4999999999999998E-2</v>
      </c>
      <c r="D7" s="5">
        <f>IF(A7="","",SUM('Additional Information'!C7,'Additional Information'!D7))</f>
        <v>7.7999999999999996E-3</v>
      </c>
      <c r="E7">
        <f>IF(A7="","",SUM('Additional Information'!D7))</f>
        <v>1.5E-3</v>
      </c>
      <c r="F7">
        <f>IF(A7="","",IF(OR('Additional Information'!F7="",'Additional Information'!F7="-"),"",'Additional Information'!F7))</f>
        <v>0.13500000000000001</v>
      </c>
      <c r="G7">
        <f>IF(A7="","",IF(OR('Additional Information'!G7="",'Additional Information'!G7="-"),"",'Additional Information'!G7))</f>
        <v>0.32899999999999996</v>
      </c>
    </row>
    <row r="8" spans="1:7" x14ac:dyDescent="0.25">
      <c r="A8" t="str">
        <f>IF(Input!A9="","",Input!A9)</f>
        <v>WealthSelect Managed Active 8</v>
      </c>
      <c r="C8">
        <f>IF(A8="","",IF(OR('Additional Information'!E8="",'Additional Information'!E8="-"),"",'Additional Information'!E8))</f>
        <v>4.8000000000000001E-2</v>
      </c>
      <c r="D8" s="5">
        <f>IF(A8="","",SUM('Additional Information'!C8,'Additional Information'!D8))</f>
        <v>8.0000000000000002E-3</v>
      </c>
      <c r="E8">
        <f>IF(A8="","",SUM('Additional Information'!D8))</f>
        <v>1.5E-3</v>
      </c>
      <c r="F8">
        <f>IF(A8="","",IF(OR('Additional Information'!F8="",'Additional Information'!F8="-"),"",'Additional Information'!F8))</f>
        <v>0.16300000000000001</v>
      </c>
      <c r="G8">
        <f>IF(A8="","",IF(OR('Additional Information'!G8="",'Additional Information'!G8="-"),"",'Additional Information'!G8))</f>
        <v>0.379</v>
      </c>
    </row>
    <row r="9" spans="1:7" x14ac:dyDescent="0.25">
      <c r="A9" t="str">
        <f>IF(Input!A10="","",Input!A10)</f>
        <v>WealthSelect Managed Active 9</v>
      </c>
      <c r="C9">
        <f>IF(A9="","",IF(OR('Additional Information'!E9="",'Additional Information'!E9="-"),"",'Additional Information'!E9))</f>
        <v>4.5999999999999999E-2</v>
      </c>
      <c r="D9" s="5">
        <f>IF(A9="","",SUM('Additional Information'!C9,'Additional Information'!D9))</f>
        <v>8.0000000000000002E-3</v>
      </c>
      <c r="E9">
        <f>IF(A9="","",SUM('Additional Information'!D9))</f>
        <v>1.5E-3</v>
      </c>
      <c r="F9">
        <f>IF(A9="","",IF(OR('Additional Information'!F9="",'Additional Information'!F9="-"),"",'Additional Information'!F9))</f>
        <v>0.185</v>
      </c>
      <c r="G9">
        <f>IF(A9="","",IF(OR('Additional Information'!G9="",'Additional Information'!G9="-"),"",'Additional Information'!G9))</f>
        <v>0.439</v>
      </c>
    </row>
    <row r="10" spans="1:7" x14ac:dyDescent="0.25">
      <c r="A10" t="str">
        <f>IF(Input!A11="","",Input!A11)</f>
        <v>WealthSelect Managed Blend 10</v>
      </c>
      <c r="C10">
        <f>IF(A10="","",IF(OR('Additional Information'!E10="",'Additional Information'!E10="-"),"",'Additional Information'!E10))</f>
        <v>7.0999999999999994E-2</v>
      </c>
      <c r="D10" s="5">
        <f>IF(A10="","",SUM('Additional Information'!C10,'Additional Information'!D10))</f>
        <v>5.9000000000000007E-3</v>
      </c>
      <c r="E10">
        <f>IF(A10="","",SUM('Additional Information'!D10))</f>
        <v>1.5E-3</v>
      </c>
      <c r="F10">
        <f>IF(A10="","",IF(OR('Additional Information'!F10="",'Additional Information'!F10="-"),"",'Additional Information'!F10))</f>
        <v>0.18</v>
      </c>
      <c r="G10">
        <f>IF(A10="","",IF(OR('Additional Information'!G10="",'Additional Information'!G10="-"),"",'Additional Information'!G10))</f>
        <v>0.48700000000000004</v>
      </c>
    </row>
    <row r="11" spans="1:7" x14ac:dyDescent="0.25">
      <c r="A11" t="str">
        <f>IF(Input!A12="","",Input!A12)</f>
        <v>WealthSelect Managed Blend 3</v>
      </c>
      <c r="C11">
        <f>IF(A11="","",IF(OR('Additional Information'!E11="",'Additional Information'!E11="-"),"",'Additional Information'!E11))</f>
        <v>3.9E-2</v>
      </c>
      <c r="D11" s="5">
        <f>IF(A11="","",SUM('Additional Information'!C11,'Additional Information'!D11))</f>
        <v>5.9000000000000007E-3</v>
      </c>
      <c r="E11">
        <f>IF(A11="","",SUM('Additional Information'!D11))</f>
        <v>1.5E-3</v>
      </c>
      <c r="F11">
        <f>IF(A11="","",IF(OR('Additional Information'!F11="",'Additional Information'!F11="-"),"",'Additional Information'!F11))</f>
        <v>2.3E-2</v>
      </c>
      <c r="G11">
        <f>IF(A11="","",IF(OR('Additional Information'!G11="",'Additional Information'!G11="-"),"",'Additional Information'!G11))</f>
        <v>0.17100000000000001</v>
      </c>
    </row>
    <row r="12" spans="1:7" x14ac:dyDescent="0.25">
      <c r="A12" t="str">
        <f>IF(Input!A13="","",Input!A13)</f>
        <v>WealthSelect Managed Blend 4</v>
      </c>
      <c r="C12">
        <f>IF(A12="","",IF(OR('Additional Information'!E12="",'Additional Information'!E12="-"),"",'Additional Information'!E12))</f>
        <v>4.2999999999999997E-2</v>
      </c>
      <c r="D12" s="5">
        <f>IF(A12="","",SUM('Additional Information'!C12,'Additional Information'!D12))</f>
        <v>6.0000000000000001E-3</v>
      </c>
      <c r="E12">
        <f>IF(A12="","",SUM('Additional Information'!D12))</f>
        <v>1.5E-3</v>
      </c>
      <c r="F12">
        <f>IF(A12="","",IF(OR('Additional Information'!F12="",'Additional Information'!F12="-"),"",'Additional Information'!F12))</f>
        <v>4.9000000000000002E-2</v>
      </c>
      <c r="G12">
        <f>IF(A12="","",IF(OR('Additional Information'!G12="",'Additional Information'!G12="-"),"",'Additional Information'!G12))</f>
        <v>0.214</v>
      </c>
    </row>
    <row r="13" spans="1:7" x14ac:dyDescent="0.25">
      <c r="A13" t="str">
        <f>IF(Input!A14="","",Input!A14)</f>
        <v>WealthSelect Managed Blend 5</v>
      </c>
      <c r="C13">
        <f>IF(A13="","",IF(OR('Additional Information'!E13="",'Additional Information'!E13="-"),"",'Additional Information'!E13))</f>
        <v>4.7E-2</v>
      </c>
      <c r="D13" s="5">
        <f>IF(A13="","",SUM('Additional Information'!C13,'Additional Information'!D13))</f>
        <v>6.0000000000000001E-3</v>
      </c>
      <c r="E13">
        <f>IF(A13="","",SUM('Additional Information'!D13))</f>
        <v>1.5E-3</v>
      </c>
      <c r="F13">
        <f>IF(A13="","",IF(OR('Additional Information'!F13="",'Additional Information'!F13="-"),"",'Additional Information'!F13))</f>
        <v>6.9000000000000006E-2</v>
      </c>
      <c r="G13">
        <f>IF(A13="","",IF(OR('Additional Information'!G13="",'Additional Information'!G13="-"),"",'Additional Information'!G13))</f>
        <v>0.25</v>
      </c>
    </row>
    <row r="14" spans="1:7" x14ac:dyDescent="0.25">
      <c r="A14" t="str">
        <f>IF(Input!A15="","",Input!A15)</f>
        <v>WealthSelect Managed Blend 6</v>
      </c>
      <c r="C14">
        <f>IF(A14="","",IF(OR('Additional Information'!E14="",'Additional Information'!E14="-"),"",'Additional Information'!E14))</f>
        <v>0.05</v>
      </c>
      <c r="D14" s="5">
        <f>IF(A14="","",SUM('Additional Information'!C14,'Additional Information'!D14))</f>
        <v>6.0000000000000001E-3</v>
      </c>
      <c r="E14">
        <f>IF(A14="","",SUM('Additional Information'!D14))</f>
        <v>1.5E-3</v>
      </c>
      <c r="F14">
        <f>IF(A14="","",IF(OR('Additional Information'!F14="",'Additional Information'!F14="-"),"",'Additional Information'!F14))</f>
        <v>9.8000000000000004E-2</v>
      </c>
      <c r="G14">
        <f>IF(A14="","",IF(OR('Additional Information'!G14="",'Additional Information'!G14="-"),"",'Additional Information'!G14))</f>
        <v>0.28999999999999998</v>
      </c>
    </row>
    <row r="15" spans="1:7" x14ac:dyDescent="0.25">
      <c r="A15" t="str">
        <f>IF(Input!A16="","",Input!A16)</f>
        <v>WealthSelect Managed Blend 7</v>
      </c>
      <c r="C15">
        <f>IF(A15="","",IF(OR('Additional Information'!E15="",'Additional Information'!E15="-"),"",'Additional Information'!E15))</f>
        <v>5.2999999999999999E-2</v>
      </c>
      <c r="D15" s="5">
        <f>IF(A15="","",SUM('Additional Information'!C15,'Additional Information'!D15))</f>
        <v>6.0000000000000001E-3</v>
      </c>
      <c r="E15">
        <f>IF(A15="","",SUM('Additional Information'!D15))</f>
        <v>1.5E-3</v>
      </c>
      <c r="F15">
        <f>IF(A15="","",IF(OR('Additional Information'!F15="",'Additional Information'!F15="-"),"",'Additional Information'!F15))</f>
        <v>0.125</v>
      </c>
      <c r="G15">
        <f>IF(A15="","",IF(OR('Additional Information'!G15="",'Additional Information'!G15="-"),"",'Additional Information'!G15))</f>
        <v>0.32899999999999996</v>
      </c>
    </row>
    <row r="16" spans="1:7" x14ac:dyDescent="0.25">
      <c r="A16" t="str">
        <f>IF(Input!A17="","",Input!A17)</f>
        <v>WealthSelect Managed Blend 8</v>
      </c>
      <c r="C16">
        <f>IF(A16="","",IF(OR('Additional Information'!E16="",'Additional Information'!E16="-"),"",'Additional Information'!E16))</f>
        <v>5.7000000000000002E-2</v>
      </c>
      <c r="D16" s="5">
        <f>IF(A16="","",SUM('Additional Information'!C16,'Additional Information'!D16))</f>
        <v>5.9000000000000007E-3</v>
      </c>
      <c r="E16">
        <f>IF(A16="","",SUM('Additional Information'!D16))</f>
        <v>1.5E-3</v>
      </c>
      <c r="F16">
        <f>IF(A16="","",IF(OR('Additional Information'!F16="",'Additional Information'!F16="-"),"",'Additional Information'!F16))</f>
        <v>0.154</v>
      </c>
      <c r="G16">
        <f>IF(A16="","",IF(OR('Additional Information'!G16="",'Additional Information'!G16="-"),"",'Additional Information'!G16))</f>
        <v>0.38100000000000001</v>
      </c>
    </row>
    <row r="17" spans="1:7" x14ac:dyDescent="0.25">
      <c r="A17" t="str">
        <f>IF(Input!A18="","",Input!A18)</f>
        <v>WealthSelect Managed Blend 9</v>
      </c>
      <c r="C17">
        <f>IF(A17="","",IF(OR('Additional Information'!E17="",'Additional Information'!E17="-"),"",'Additional Information'!E17))</f>
        <v>6.4000000000000001E-2</v>
      </c>
      <c r="D17" s="5">
        <f>IF(A17="","",SUM('Additional Information'!C17,'Additional Information'!D17))</f>
        <v>5.9000000000000007E-3</v>
      </c>
      <c r="E17">
        <f>IF(A17="","",SUM('Additional Information'!D17))</f>
        <v>1.5E-3</v>
      </c>
      <c r="F17">
        <f>IF(A17="","",IF(OR('Additional Information'!F17="",'Additional Information'!F17="-"),"",'Additional Information'!F17))</f>
        <v>0.17199999999999999</v>
      </c>
      <c r="G17">
        <f>IF(A17="","",IF(OR('Additional Information'!G17="",'Additional Information'!G17="-"),"",'Additional Information'!G17))</f>
        <v>0.442</v>
      </c>
    </row>
    <row r="18" spans="1:7" x14ac:dyDescent="0.25">
      <c r="A18" t="str">
        <f>IF(Input!A19="","",Input!A19)</f>
        <v>WealthSelect Managed Passive 10</v>
      </c>
      <c r="C18">
        <f>IF(A18="","",IF(OR('Additional Information'!E18="",'Additional Information'!E18="-"),"",'Additional Information'!E18))</f>
        <v>6.4000000000000001E-2</v>
      </c>
      <c r="D18" s="5">
        <f>IF(A18="","",SUM('Additional Information'!C18,'Additional Information'!D18))</f>
        <v>2.2000000000000001E-3</v>
      </c>
      <c r="E18">
        <f>IF(A18="","",SUM('Additional Information'!D18))</f>
        <v>1.5E-3</v>
      </c>
      <c r="F18" t="str">
        <f>IF(A18="","",IF(OR('Additional Information'!F18="",'Additional Information'!F18="-"),"",'Additional Information'!F18))</f>
        <v/>
      </c>
      <c r="G18" t="str">
        <f>IF(A18="","",IF(OR('Additional Information'!G18="",'Additional Information'!G18="-"),"",'Additional Information'!G18))</f>
        <v/>
      </c>
    </row>
    <row r="19" spans="1:7" x14ac:dyDescent="0.25">
      <c r="A19" t="str">
        <f>IF(Input!A20="","",Input!A20)</f>
        <v>WealthSelect Managed Passive 3</v>
      </c>
      <c r="C19">
        <f>IF(A19="","",IF(OR('Additional Information'!E19="",'Additional Information'!E19="-"),"",'Additional Information'!E19))</f>
        <v>2.8999999999999998E-2</v>
      </c>
      <c r="D19" s="5">
        <f>IF(A19="","",SUM('Additional Information'!C19,'Additional Information'!D19))</f>
        <v>2.2000000000000001E-3</v>
      </c>
      <c r="E19">
        <f>IF(A19="","",SUM('Additional Information'!D19))</f>
        <v>1.5E-3</v>
      </c>
      <c r="F19" t="str">
        <f>IF(A19="","",IF(OR('Additional Information'!F19="",'Additional Information'!F19="-"),"",'Additional Information'!F19))</f>
        <v/>
      </c>
      <c r="G19" t="str">
        <f>IF(A19="","",IF(OR('Additional Information'!G19="",'Additional Information'!G19="-"),"",'Additional Information'!G19))</f>
        <v/>
      </c>
    </row>
    <row r="20" spans="1:7" x14ac:dyDescent="0.25">
      <c r="A20" t="str">
        <f>IF(Input!A21="","",Input!A21)</f>
        <v>WealthSelect Managed Passive 4</v>
      </c>
      <c r="C20">
        <f>IF(A20="","",IF(OR('Additional Information'!E20="",'Additional Information'!E20="-"),"",'Additional Information'!E20))</f>
        <v>3.7000000000000005E-2</v>
      </c>
      <c r="D20" s="5">
        <f>IF(A20="","",SUM('Additional Information'!C20,'Additional Information'!D20))</f>
        <v>2.2000000000000001E-3</v>
      </c>
      <c r="E20">
        <f>IF(A20="","",SUM('Additional Information'!D20))</f>
        <v>1.5E-3</v>
      </c>
      <c r="F20" t="str">
        <f>IF(A20="","",IF(OR('Additional Information'!F20="",'Additional Information'!F20="-"),"",'Additional Information'!F20))</f>
        <v/>
      </c>
      <c r="G20" t="str">
        <f>IF(A20="","",IF(OR('Additional Information'!G20="",'Additional Information'!G20="-"),"",'Additional Information'!G20))</f>
        <v/>
      </c>
    </row>
    <row r="21" spans="1:7" x14ac:dyDescent="0.25">
      <c r="A21" t="str">
        <f>IF(Input!A22="","",Input!A22)</f>
        <v>WealthSelect Managed Passive 5</v>
      </c>
      <c r="C21">
        <f>IF(A21="","",IF(OR('Additional Information'!E21="",'Additional Information'!E21="-"),"",'Additional Information'!E21))</f>
        <v>4.2999999999999997E-2</v>
      </c>
      <c r="D21" s="5">
        <f>IF(A21="","",SUM('Additional Information'!C21,'Additional Information'!D21))</f>
        <v>2.2000000000000001E-3</v>
      </c>
      <c r="E21">
        <f>IF(A21="","",SUM('Additional Information'!D21))</f>
        <v>1.5E-3</v>
      </c>
      <c r="F21" t="str">
        <f>IF(A21="","",IF(OR('Additional Information'!F21="",'Additional Information'!F21="-"),"",'Additional Information'!F21))</f>
        <v/>
      </c>
      <c r="G21" t="str">
        <f>IF(A21="","",IF(OR('Additional Information'!G21="",'Additional Information'!G21="-"),"",'Additional Information'!G21))</f>
        <v/>
      </c>
    </row>
    <row r="22" spans="1:7" x14ac:dyDescent="0.25">
      <c r="A22" t="str">
        <f>IF(Input!A23="","",Input!A23)</f>
        <v>WealthSelect Managed Passive 6</v>
      </c>
      <c r="C22">
        <f>IF(A22="","",IF(OR('Additional Information'!E22="",'Additional Information'!E22="-"),"",'Additional Information'!E22))</f>
        <v>4.7E-2</v>
      </c>
      <c r="D22" s="5">
        <f>IF(A22="","",SUM('Additional Information'!C22,'Additional Information'!D22))</f>
        <v>2.2000000000000001E-3</v>
      </c>
      <c r="E22">
        <f>IF(A22="","",SUM('Additional Information'!D22))</f>
        <v>1.5E-3</v>
      </c>
      <c r="F22" t="str">
        <f>IF(A22="","",IF(OR('Additional Information'!F22="",'Additional Information'!F22="-"),"",'Additional Information'!F22))</f>
        <v/>
      </c>
      <c r="G22" t="str">
        <f>IF(A22="","",IF(OR('Additional Information'!G22="",'Additional Information'!G22="-"),"",'Additional Information'!G22))</f>
        <v/>
      </c>
    </row>
    <row r="23" spans="1:7" x14ac:dyDescent="0.25">
      <c r="A23" t="str">
        <f>IF(Input!A24="","",Input!A24)</f>
        <v>WealthSelect Managed Passive 7</v>
      </c>
      <c r="C23">
        <f>IF(A23="","",IF(OR('Additional Information'!E23="",'Additional Information'!E23="-"),"",'Additional Information'!E23))</f>
        <v>5.0999999999999997E-2</v>
      </c>
      <c r="D23" s="5">
        <f>IF(A23="","",SUM('Additional Information'!C23,'Additional Information'!D23))</f>
        <v>2.2000000000000001E-3</v>
      </c>
      <c r="E23">
        <f>IF(A23="","",SUM('Additional Information'!D23))</f>
        <v>1.5E-3</v>
      </c>
      <c r="F23" t="str">
        <f>IF(A23="","",IF(OR('Additional Information'!F23="",'Additional Information'!F23="-"),"",'Additional Information'!F23))</f>
        <v/>
      </c>
      <c r="G23" t="str">
        <f>IF(A23="","",IF(OR('Additional Information'!G23="",'Additional Information'!G23="-"),"",'Additional Information'!G23))</f>
        <v/>
      </c>
    </row>
    <row r="24" spans="1:7" x14ac:dyDescent="0.25">
      <c r="A24" t="str">
        <f>IF(Input!A25="","",Input!A25)</f>
        <v>WealthSelect Managed Passive 8</v>
      </c>
      <c r="C24">
        <f>IF(A24="","",IF(OR('Additional Information'!E24="",'Additional Information'!E24="-"),"",'Additional Information'!E24))</f>
        <v>5.2999999999999999E-2</v>
      </c>
      <c r="D24" s="5">
        <f>IF(A24="","",SUM('Additional Information'!C24,'Additional Information'!D24))</f>
        <v>2.2000000000000001E-3</v>
      </c>
      <c r="E24">
        <f>IF(A24="","",SUM('Additional Information'!D24))</f>
        <v>1.5E-3</v>
      </c>
      <c r="F24" t="str">
        <f>IF(A24="","",IF(OR('Additional Information'!F24="",'Additional Information'!F24="-"),"",'Additional Information'!F24))</f>
        <v/>
      </c>
      <c r="G24" t="str">
        <f>IF(A24="","",IF(OR('Additional Information'!G24="",'Additional Information'!G24="-"),"",'Additional Information'!G24))</f>
        <v/>
      </c>
    </row>
    <row r="25" spans="1:7" x14ac:dyDescent="0.25">
      <c r="A25" t="str">
        <f>IF(Input!A26="","",Input!A26)</f>
        <v>WealthSelect Managed Passive 9</v>
      </c>
      <c r="C25">
        <f>IF(A25="","",IF(OR('Additional Information'!E25="",'Additional Information'!E25="-"),"",'Additional Information'!E25))</f>
        <v>0.06</v>
      </c>
      <c r="D25" s="5">
        <f>IF(A25="","",SUM('Additional Information'!C25,'Additional Information'!D25))</f>
        <v>2.2000000000000001E-3</v>
      </c>
      <c r="E25">
        <f>IF(A25="","",SUM('Additional Information'!D25))</f>
        <v>1.5E-3</v>
      </c>
      <c r="F25" t="str">
        <f>IF(A25="","",IF(OR('Additional Information'!F25="",'Additional Information'!F25="-"),"",'Additional Information'!F25))</f>
        <v/>
      </c>
      <c r="G25" t="str">
        <f>IF(A25="","",IF(OR('Additional Information'!G25="",'Additional Information'!G25="-"),"",'Additional Information'!G25))</f>
        <v/>
      </c>
    </row>
    <row r="26" spans="1:7" x14ac:dyDescent="0.25">
      <c r="A26" t="str">
        <f>IF(Input!A27="","",Input!A27)</f>
        <v>WealthSelect Sustainable Active 10</v>
      </c>
      <c r="C26">
        <f>IF(A26="","",IF(OR('Additional Information'!E26="",'Additional Information'!E26="-"),"",'Additional Information'!E26))</f>
        <v>-1.1000000000000001E-2</v>
      </c>
      <c r="D26" s="5">
        <f>IF(A26="","",SUM('Additional Information'!C26,'Additional Information'!D26))</f>
        <v>9.1000000000000004E-3</v>
      </c>
      <c r="E26">
        <f>IF(A26="","",SUM('Additional Information'!D26))</f>
        <v>2E-3</v>
      </c>
      <c r="F26" t="str">
        <f>IF(A26="","",IF(OR('Additional Information'!F26="",'Additional Information'!F26="-"),"",'Additional Information'!F26))</f>
        <v/>
      </c>
      <c r="G26" t="str">
        <f>IF(A26="","",IF(OR('Additional Information'!G26="",'Additional Information'!G26="-"),"",'Additional Information'!G26))</f>
        <v/>
      </c>
    </row>
    <row r="27" spans="1:7" x14ac:dyDescent="0.25">
      <c r="A27" t="str">
        <f>IF(Input!A28="","",Input!A28)</f>
        <v>WealthSelect Sustainable Active 3</v>
      </c>
      <c r="C27">
        <f>IF(A27="","",IF(OR('Additional Information'!E27="",'Additional Information'!E27="-"),"",'Additional Information'!E27))</f>
        <v>1.7000000000000001E-2</v>
      </c>
      <c r="D27" s="5">
        <f>IF(A27="","",SUM('Additional Information'!C27,'Additional Information'!D27))</f>
        <v>5.7000000000000002E-3</v>
      </c>
      <c r="E27">
        <f>IF(A27="","",SUM('Additional Information'!D27))</f>
        <v>2E-3</v>
      </c>
      <c r="F27" t="str">
        <f>IF(A27="","",IF(OR('Additional Information'!F27="",'Additional Information'!F27="-"),"",'Additional Information'!F27))</f>
        <v/>
      </c>
      <c r="G27" t="str">
        <f>IF(A27="","",IF(OR('Additional Information'!G27="",'Additional Information'!G27="-"),"",'Additional Information'!G27))</f>
        <v/>
      </c>
    </row>
    <row r="28" spans="1:7" x14ac:dyDescent="0.25">
      <c r="A28" t="str">
        <f>IF(Input!A29="","",Input!A29)</f>
        <v>WealthSelect Sustainable Active 4</v>
      </c>
      <c r="C28">
        <f>IF(A28="","",IF(OR('Additional Information'!E28="",'Additional Information'!E28="-"),"",'Additional Information'!E28))</f>
        <v>1.3999999999999999E-2</v>
      </c>
      <c r="D28" s="5">
        <f>IF(A28="","",SUM('Additional Information'!C28,'Additional Information'!D28))</f>
        <v>6.0999999999999995E-3</v>
      </c>
      <c r="E28">
        <f>IF(A28="","",SUM('Additional Information'!D28))</f>
        <v>2E-3</v>
      </c>
      <c r="F28" t="str">
        <f>IF(A28="","",IF(OR('Additional Information'!F28="",'Additional Information'!F28="-"),"",'Additional Information'!F28))</f>
        <v/>
      </c>
      <c r="G28" t="str">
        <f>IF(A28="","",IF(OR('Additional Information'!G28="",'Additional Information'!G28="-"),"",'Additional Information'!G28))</f>
        <v/>
      </c>
    </row>
    <row r="29" spans="1:7" x14ac:dyDescent="0.25">
      <c r="A29" t="str">
        <f>IF(Input!A30="","",Input!A30)</f>
        <v>WealthSelect Sustainable Active 5</v>
      </c>
      <c r="C29">
        <f>IF(A29="","",IF(OR('Additional Information'!E29="",'Additional Information'!E29="-"),"",'Additional Information'!E29))</f>
        <v>1.1000000000000001E-2</v>
      </c>
      <c r="D29" s="5">
        <f>IF(A29="","",SUM('Additional Information'!C29,'Additional Information'!D29))</f>
        <v>6.6E-3</v>
      </c>
      <c r="E29">
        <f>IF(A29="","",SUM('Additional Information'!D29))</f>
        <v>2E-3</v>
      </c>
      <c r="F29" t="str">
        <f>IF(A29="","",IF(OR('Additional Information'!F29="",'Additional Information'!F29="-"),"",'Additional Information'!F29))</f>
        <v/>
      </c>
      <c r="G29" t="str">
        <f>IF(A29="","",IF(OR('Additional Information'!G29="",'Additional Information'!G29="-"),"",'Additional Information'!G29))</f>
        <v/>
      </c>
    </row>
    <row r="30" spans="1:7" x14ac:dyDescent="0.25">
      <c r="A30" t="str">
        <f>IF(Input!A31="","",Input!A31)</f>
        <v>WealthSelect Sustainable Active 6</v>
      </c>
      <c r="C30">
        <f>IF(A30="","",IF(OR('Additional Information'!E30="",'Additional Information'!E30="-"),"",'Additional Information'!E30))</f>
        <v>6.9999999999999993E-3</v>
      </c>
      <c r="D30" s="5">
        <f>IF(A30="","",SUM('Additional Information'!C30,'Additional Information'!D30))</f>
        <v>7.1000000000000004E-3</v>
      </c>
      <c r="E30">
        <f>IF(A30="","",SUM('Additional Information'!D30))</f>
        <v>2E-3</v>
      </c>
      <c r="F30" t="str">
        <f>IF(A30="","",IF(OR('Additional Information'!F30="",'Additional Information'!F30="-"),"",'Additional Information'!F30))</f>
        <v/>
      </c>
      <c r="G30" t="str">
        <f>IF(A30="","",IF(OR('Additional Information'!G30="",'Additional Information'!G30="-"),"",'Additional Information'!G30))</f>
        <v/>
      </c>
    </row>
    <row r="31" spans="1:7" x14ac:dyDescent="0.25">
      <c r="A31" t="str">
        <f>IF(Input!A32="","",Input!A32)</f>
        <v>WealthSelect Sustainable Active 7</v>
      </c>
      <c r="C31">
        <f>IF(A31="","",IF(OR('Additional Information'!E31="",'Additional Information'!E31="-"),"",'Additional Information'!E31))</f>
        <v>2E-3</v>
      </c>
      <c r="D31" s="5">
        <f>IF(A31="","",SUM('Additional Information'!C31,'Additional Information'!D31))</f>
        <v>7.6999999999999994E-3</v>
      </c>
      <c r="E31">
        <f>IF(A31="","",SUM('Additional Information'!D31))</f>
        <v>2E-3</v>
      </c>
      <c r="F31" t="str">
        <f>IF(A31="","",IF(OR('Additional Information'!F31="",'Additional Information'!F31="-"),"",'Additional Information'!F31))</f>
        <v/>
      </c>
      <c r="G31" t="str">
        <f>IF(A31="","",IF(OR('Additional Information'!G31="",'Additional Information'!G31="-"),"",'Additional Information'!G31))</f>
        <v/>
      </c>
    </row>
    <row r="32" spans="1:7" x14ac:dyDescent="0.25">
      <c r="A32" t="str">
        <f>IF(Input!A33="","",Input!A33)</f>
        <v>WealthSelect Sustainable Active 8</v>
      </c>
      <c r="C32">
        <f>IF(A32="","",IF(OR('Additional Information'!E32="",'Additional Information'!E32="-"),"",'Additional Information'!E32))</f>
        <v>-3.0000000000000001E-3</v>
      </c>
      <c r="D32" s="5">
        <f>IF(A32="","",SUM('Additional Information'!C32,'Additional Information'!D32))</f>
        <v>8.199999999999999E-3</v>
      </c>
      <c r="E32">
        <f>IF(A32="","",SUM('Additional Information'!D32))</f>
        <v>2E-3</v>
      </c>
      <c r="F32" t="str">
        <f>IF(A32="","",IF(OR('Additional Information'!F32="",'Additional Information'!F32="-"),"",'Additional Information'!F32))</f>
        <v/>
      </c>
      <c r="G32" t="str">
        <f>IF(A32="","",IF(OR('Additional Information'!G32="",'Additional Information'!G32="-"),"",'Additional Information'!G32))</f>
        <v/>
      </c>
    </row>
    <row r="33" spans="1:7" x14ac:dyDescent="0.25">
      <c r="A33" t="str">
        <f>IF(Input!A34="","",Input!A34)</f>
        <v>WealthSelect Sustainable Active 9</v>
      </c>
      <c r="C33">
        <f>IF(A33="","",IF(OR('Additional Information'!E33="",'Additional Information'!E33="-"),"",'Additional Information'!E33))</f>
        <v>-8.0000000000000002E-3</v>
      </c>
      <c r="D33" s="5">
        <f>IF(A33="","",SUM('Additional Information'!C33,'Additional Information'!D33))</f>
        <v>8.6999999999999994E-3</v>
      </c>
      <c r="E33">
        <f>IF(A33="","",SUM('Additional Information'!D33))</f>
        <v>2E-3</v>
      </c>
      <c r="F33" t="str">
        <f>IF(A33="","",IF(OR('Additional Information'!F33="",'Additional Information'!F33="-"),"",'Additional Information'!F33))</f>
        <v/>
      </c>
      <c r="G33" t="str">
        <f>IF(A33="","",IF(OR('Additional Information'!G33="",'Additional Information'!G33="-"),"",'Additional Information'!G33))</f>
        <v/>
      </c>
    </row>
    <row r="34" spans="1:7" x14ac:dyDescent="0.25">
      <c r="A34" t="str">
        <f>IF(Input!A35="","",Input!A35)</f>
        <v/>
      </c>
      <c r="C34" t="str">
        <f>IF(A34="","",IF(OR('Additional Information'!E34="",'Additional Information'!E34="-"),"",'Additional Information'!E34))</f>
        <v/>
      </c>
      <c r="D34" s="5" t="str">
        <f>IF(A34="","",SUM('Additional Information'!C34,'Additional Information'!D34))</f>
        <v/>
      </c>
      <c r="E34" t="str">
        <f>IF(A34="","",SUM('Additional Information'!D34))</f>
        <v/>
      </c>
      <c r="F34" t="str">
        <f>IF(A34="","",IF(OR('Additional Information'!F34="",'Additional Information'!F34="-"),"",'Additional Information'!F34))</f>
        <v/>
      </c>
      <c r="G34" t="str">
        <f>IF(A34="","",IF(OR('Additional Information'!G34="",'Additional Information'!G34="-"),"",'Additional Information'!G34))</f>
        <v/>
      </c>
    </row>
    <row r="35" spans="1:7" x14ac:dyDescent="0.25">
      <c r="A35" t="str">
        <f>IF(Input!A36="","",Input!A36)</f>
        <v/>
      </c>
      <c r="C35" t="str">
        <f>IF(A35="","",IF(OR('Additional Information'!E35="",'Additional Information'!E35="-"),"",'Additional Information'!E35))</f>
        <v/>
      </c>
      <c r="D35" s="5" t="str">
        <f>IF(A35="","",SUM('Additional Information'!C35,'Additional Information'!D35))</f>
        <v/>
      </c>
      <c r="E35" t="str">
        <f>IF(A35="","",SUM('Additional Information'!D35))</f>
        <v/>
      </c>
      <c r="F35" t="str">
        <f>IF(A35="","",IF(OR('Additional Information'!F35="",'Additional Information'!F35="-"),"",'Additional Information'!F35))</f>
        <v/>
      </c>
      <c r="G35" t="str">
        <f>IF(A35="","",IF(OR('Additional Information'!G35="",'Additional Information'!G35="-"),"",'Additional Information'!G35))</f>
        <v/>
      </c>
    </row>
    <row r="36" spans="1:7" x14ac:dyDescent="0.25">
      <c r="A36" t="str">
        <f>IF(Input!A37="","",Input!A37)</f>
        <v/>
      </c>
      <c r="C36" t="str">
        <f>IF(A36="","",IF(OR('Additional Information'!E36="",'Additional Information'!E36="-"),"",'Additional Information'!E36))</f>
        <v/>
      </c>
      <c r="D36" s="5" t="str">
        <f>IF(A36="","",SUM('Additional Information'!C36,'Additional Information'!D36))</f>
        <v/>
      </c>
      <c r="E36" t="str">
        <f>IF(A36="","",SUM('Additional Information'!D36))</f>
        <v/>
      </c>
      <c r="F36" t="str">
        <f>IF(A36="","",IF(OR('Additional Information'!F36="",'Additional Information'!F36="-"),"",'Additional Information'!F36))</f>
        <v/>
      </c>
      <c r="G36" t="str">
        <f>IF(A36="","",IF(OR('Additional Information'!G36="",'Additional Information'!G36="-"),"",'Additional Information'!G36))</f>
        <v/>
      </c>
    </row>
    <row r="37" spans="1:7" x14ac:dyDescent="0.25">
      <c r="A37" t="str">
        <f>IF(Input!A38="","",Input!A38)</f>
        <v/>
      </c>
      <c r="C37" t="str">
        <f>IF(A37="","",IF(OR('Additional Information'!E37="",'Additional Information'!E37="-"),"",'Additional Information'!E37))</f>
        <v/>
      </c>
      <c r="D37" s="5" t="str">
        <f>IF(A37="","",SUM('Additional Information'!C37,'Additional Information'!D37))</f>
        <v/>
      </c>
      <c r="E37" t="str">
        <f>IF(A37="","",SUM('Additional Information'!D37))</f>
        <v/>
      </c>
      <c r="F37" t="str">
        <f>IF(A37="","",IF(OR('Additional Information'!F37="",'Additional Information'!F37="-"),"",'Additional Information'!F37))</f>
        <v/>
      </c>
      <c r="G37" t="str">
        <f>IF(A37="","",IF(OR('Additional Information'!G37="",'Additional Information'!G37="-"),"",'Additional Information'!G37))</f>
        <v/>
      </c>
    </row>
    <row r="38" spans="1:7" x14ac:dyDescent="0.25">
      <c r="A38" t="str">
        <f>IF(Input!A39="","",Input!A39)</f>
        <v/>
      </c>
      <c r="C38" t="str">
        <f>IF(A38="","",IF(OR('Additional Information'!E38="",'Additional Information'!E38="-"),"",'Additional Information'!E38))</f>
        <v/>
      </c>
      <c r="D38" s="5" t="str">
        <f>IF(A38="","",SUM('Additional Information'!C38,'Additional Information'!D38))</f>
        <v/>
      </c>
      <c r="E38" t="str">
        <f>IF(A38="","",SUM('Additional Information'!D38))</f>
        <v/>
      </c>
      <c r="F38" t="str">
        <f>IF(A38="","",IF(OR('Additional Information'!F38="",'Additional Information'!F38="-"),"",'Additional Information'!F38))</f>
        <v/>
      </c>
      <c r="G38" t="str">
        <f>IF(A38="","",IF(OR('Additional Information'!G38="",'Additional Information'!G38="-"),"",'Additional Information'!G38))</f>
        <v/>
      </c>
    </row>
    <row r="39" spans="1:7" x14ac:dyDescent="0.25">
      <c r="A39" t="str">
        <f>IF(Input!A40="","",Input!A40)</f>
        <v/>
      </c>
      <c r="C39" t="str">
        <f>IF(A39="","",IF(OR('Additional Information'!E39="",'Additional Information'!E39="-"),"",'Additional Information'!E39))</f>
        <v/>
      </c>
      <c r="D39" s="5" t="str">
        <f>IF(A39="","",SUM('Additional Information'!C39,'Additional Information'!D39))</f>
        <v/>
      </c>
      <c r="E39" t="str">
        <f>IF(A39="","",SUM('Additional Information'!D39))</f>
        <v/>
      </c>
      <c r="F39" t="str">
        <f>IF(A39="","",IF(OR('Additional Information'!F39="",'Additional Information'!F39="-"),"",'Additional Information'!F39))</f>
        <v/>
      </c>
      <c r="G39" t="str">
        <f>IF(A39="","",IF(OR('Additional Information'!G39="",'Additional Information'!G39="-"),"",'Additional Information'!G39))</f>
        <v/>
      </c>
    </row>
    <row r="40" spans="1:7" x14ac:dyDescent="0.25">
      <c r="A40" t="str">
        <f>IF(Input!A41="","",Input!A41)</f>
        <v/>
      </c>
      <c r="C40" t="str">
        <f>IF(A40="","",IF(OR('Additional Information'!E40="",'Additional Information'!E40="-"),"",'Additional Information'!E40))</f>
        <v/>
      </c>
      <c r="D40" s="5" t="str">
        <f>IF(A40="","",SUM('Additional Information'!C40,'Additional Information'!D40))</f>
        <v/>
      </c>
      <c r="E40" t="str">
        <f>IF(A40="","",SUM('Additional Information'!D40))</f>
        <v/>
      </c>
      <c r="F40" t="str">
        <f>IF(A40="","",IF(OR('Additional Information'!F40="",'Additional Information'!F40="-"),"",'Additional Information'!F40))</f>
        <v/>
      </c>
      <c r="G40" t="str">
        <f>IF(A40="","",IF(OR('Additional Information'!G40="",'Additional Information'!G40="-"),"",'Additional Information'!G40))</f>
        <v/>
      </c>
    </row>
    <row r="41" spans="1:7" x14ac:dyDescent="0.25">
      <c r="A41" t="str">
        <f>IF(Input!A42="","",Input!A42)</f>
        <v/>
      </c>
      <c r="C41" t="str">
        <f>IF(A41="","",IF(OR('Additional Information'!E41="",'Additional Information'!E41="-"),"",'Additional Information'!E41))</f>
        <v/>
      </c>
      <c r="D41" s="5" t="str">
        <f>IF(A41="","",SUM('Additional Information'!C41,'Additional Information'!D41))</f>
        <v/>
      </c>
      <c r="E41" t="str">
        <f>IF(A41="","",SUM('Additional Information'!D41))</f>
        <v/>
      </c>
      <c r="F41" t="str">
        <f>IF(A41="","",IF(OR('Additional Information'!F41="",'Additional Information'!F41="-"),"",'Additional Information'!F41))</f>
        <v/>
      </c>
      <c r="G41" t="str">
        <f>IF(A41="","",IF(OR('Additional Information'!G41="",'Additional Information'!G41="-"),"",'Additional Information'!G41))</f>
        <v/>
      </c>
    </row>
    <row r="42" spans="1:7" x14ac:dyDescent="0.25">
      <c r="A42" t="str">
        <f>IF(Input!A43="","",Input!A43)</f>
        <v/>
      </c>
      <c r="C42" t="str">
        <f>IF(A42="","",IF(OR('Additional Information'!E42="",'Additional Information'!E42="-"),"",'Additional Information'!E42))</f>
        <v/>
      </c>
      <c r="D42" s="5" t="str">
        <f>IF(A42="","",SUM('Additional Information'!C42,'Additional Information'!D42))</f>
        <v/>
      </c>
      <c r="E42" t="str">
        <f>IF(A42="","",SUM('Additional Information'!D42))</f>
        <v/>
      </c>
      <c r="F42" t="str">
        <f>IF(A42="","",IF(OR('Additional Information'!F42="",'Additional Information'!F42="-"),"",'Additional Information'!F42))</f>
        <v/>
      </c>
      <c r="G42" t="str">
        <f>IF(A42="","",IF(OR('Additional Information'!G42="",'Additional Information'!G42="-"),"",'Additional Information'!G42))</f>
        <v/>
      </c>
    </row>
    <row r="43" spans="1:7" x14ac:dyDescent="0.25">
      <c r="A43" t="str">
        <f>IF(Input!A44="","",Input!A44)</f>
        <v/>
      </c>
      <c r="C43" t="str">
        <f>IF(A43="","",IF(OR('Additional Information'!E43="",'Additional Information'!E43="-"),"",'Additional Information'!E43))</f>
        <v/>
      </c>
      <c r="D43" s="5" t="str">
        <f>IF(A43="","",SUM('Additional Information'!C43,'Additional Information'!D43))</f>
        <v/>
      </c>
      <c r="E43" t="str">
        <f>IF(A43="","",SUM('Additional Information'!D43))</f>
        <v/>
      </c>
      <c r="F43" t="str">
        <f>IF(A43="","",IF(OR('Additional Information'!F43="",'Additional Information'!F43="-"),"",'Additional Information'!F43))</f>
        <v/>
      </c>
      <c r="G43" t="str">
        <f>IF(A43="","",IF(OR('Additional Information'!G43="",'Additional Information'!G43="-"),"",'Additional Information'!G43))</f>
        <v/>
      </c>
    </row>
    <row r="44" spans="1:7" x14ac:dyDescent="0.25">
      <c r="A44" t="str">
        <f>IF(Input!A45="","",Input!A45)</f>
        <v/>
      </c>
      <c r="C44" t="str">
        <f>IF(A44="","",IF(OR('Additional Information'!E44="",'Additional Information'!E44="-"),"",'Additional Information'!E44))</f>
        <v/>
      </c>
      <c r="D44" s="5" t="str">
        <f>IF(A44="","",SUM('Additional Information'!C44,'Additional Information'!D44))</f>
        <v/>
      </c>
      <c r="E44" t="str">
        <f>IF(A44="","",SUM('Additional Information'!D44))</f>
        <v/>
      </c>
      <c r="F44" t="str">
        <f>IF(A44="","",IF(OR('Additional Information'!F44="",'Additional Information'!F44="-"),"",'Additional Information'!F44))</f>
        <v/>
      </c>
      <c r="G44" t="str">
        <f>IF(A44="","",IF(OR('Additional Information'!G44="",'Additional Information'!G44="-"),"",'Additional Information'!G44))</f>
        <v/>
      </c>
    </row>
    <row r="45" spans="1:7" x14ac:dyDescent="0.25">
      <c r="A45" t="str">
        <f>IF(Input!A46="","",Input!A46)</f>
        <v/>
      </c>
      <c r="C45" t="str">
        <f>IF(A45="","",IF(OR('Additional Information'!E45="",'Additional Information'!E45="-"),"",'Additional Information'!E45))</f>
        <v/>
      </c>
      <c r="D45" s="5" t="str">
        <f>IF(A45="","",SUM('Additional Information'!C45,'Additional Information'!D45))</f>
        <v/>
      </c>
      <c r="E45" t="str">
        <f>IF(A45="","",SUM('Additional Information'!D45))</f>
        <v/>
      </c>
      <c r="F45" t="str">
        <f>IF(A45="","",IF(OR('Additional Information'!F45="",'Additional Information'!F45="-"),"",'Additional Information'!F45))</f>
        <v/>
      </c>
      <c r="G45" t="str">
        <f>IF(A45="","",IF(OR('Additional Information'!G45="",'Additional Information'!G45="-"),"",'Additional Information'!G45))</f>
        <v/>
      </c>
    </row>
    <row r="46" spans="1:7" x14ac:dyDescent="0.25">
      <c r="A46" t="str">
        <f>IF(Input!A47="","",Input!A47)</f>
        <v/>
      </c>
      <c r="C46" t="str">
        <f>IF(A46="","",IF(OR('Additional Information'!E46="",'Additional Information'!E46="-"),"",'Additional Information'!E46))</f>
        <v/>
      </c>
      <c r="D46" s="5" t="str">
        <f>IF(A46="","",SUM('Additional Information'!C46,'Additional Information'!D46))</f>
        <v/>
      </c>
      <c r="E46" t="str">
        <f>IF(A46="","",SUM('Additional Information'!D46))</f>
        <v/>
      </c>
      <c r="F46" t="str">
        <f>IF(A46="","",IF(OR('Additional Information'!F46="",'Additional Information'!F46="-"),"",'Additional Information'!F46))</f>
        <v/>
      </c>
      <c r="G46" t="str">
        <f>IF(A46="","",IF(OR('Additional Information'!G46="",'Additional Information'!G46="-"),"",'Additional Information'!G46))</f>
        <v/>
      </c>
    </row>
    <row r="47" spans="1:7" x14ac:dyDescent="0.25">
      <c r="A47" t="str">
        <f>IF(Input!A48="","",Input!A48)</f>
        <v/>
      </c>
      <c r="C47" t="str">
        <f>IF(A47="","",IF(OR('Additional Information'!E47="",'Additional Information'!E47="-"),"",'Additional Information'!E47))</f>
        <v/>
      </c>
      <c r="D47" s="5" t="str">
        <f>IF(A47="","",SUM('Additional Information'!C47,'Additional Information'!D47))</f>
        <v/>
      </c>
      <c r="E47" t="str">
        <f>IF(A47="","",SUM('Additional Information'!D47))</f>
        <v/>
      </c>
      <c r="F47" t="str">
        <f>IF(A47="","",IF(OR('Additional Information'!F47="",'Additional Information'!F47="-"),"",'Additional Information'!F47))</f>
        <v/>
      </c>
      <c r="G47" t="str">
        <f>IF(A47="","",IF(OR('Additional Information'!G47="",'Additional Information'!G47="-"),"",'Additional Information'!G47))</f>
        <v/>
      </c>
    </row>
    <row r="48" spans="1:7" x14ac:dyDescent="0.25">
      <c r="A48" t="str">
        <f>IF(Input!A49="","",Input!A49)</f>
        <v/>
      </c>
      <c r="C48" t="str">
        <f>IF(A48="","",IF(OR('Additional Information'!E48="",'Additional Information'!E48="-"),"",'Additional Information'!E48))</f>
        <v/>
      </c>
      <c r="D48" s="5" t="str">
        <f>IF(A48="","",SUM('Additional Information'!C48,'Additional Information'!D48))</f>
        <v/>
      </c>
      <c r="E48" t="str">
        <f>IF(A48="","",SUM('Additional Information'!D48))</f>
        <v/>
      </c>
      <c r="F48" t="str">
        <f>IF(A48="","",IF(OR('Additional Information'!F48="",'Additional Information'!F48="-"),"",'Additional Information'!F48))</f>
        <v/>
      </c>
      <c r="G48" t="str">
        <f>IF(A48="","",IF(OR('Additional Information'!G48="",'Additional Information'!G48="-"),"",'Additional Information'!G48))</f>
        <v/>
      </c>
    </row>
    <row r="49" spans="1:7" x14ac:dyDescent="0.25">
      <c r="A49" t="str">
        <f>IF(Input!A50="","",Input!A50)</f>
        <v/>
      </c>
      <c r="C49" t="str">
        <f>IF(A49="","",IF(OR('Additional Information'!E49="",'Additional Information'!E49="-"),"",'Additional Information'!E49))</f>
        <v/>
      </c>
      <c r="D49" s="5" t="str">
        <f>IF(A49="","",SUM('Additional Information'!C49,'Additional Information'!D49))</f>
        <v/>
      </c>
      <c r="E49" t="str">
        <f>IF(A49="","",SUM('Additional Information'!D49))</f>
        <v/>
      </c>
      <c r="F49" t="str">
        <f>IF(A49="","",IF(OR('Additional Information'!F49="",'Additional Information'!F49="-"),"",'Additional Information'!F49))</f>
        <v/>
      </c>
      <c r="G49" t="str">
        <f>IF(A49="","",IF(OR('Additional Information'!G49="",'Additional Information'!G49="-"),"",'Additional Information'!G49))</f>
        <v/>
      </c>
    </row>
    <row r="50" spans="1:7" x14ac:dyDescent="0.25">
      <c r="A50" t="str">
        <f>IF(Input!A51="","",Input!A51)</f>
        <v/>
      </c>
      <c r="C50" t="str">
        <f>IF(A50="","",IF(OR('Additional Information'!E50="",'Additional Information'!E50="-"),"",'Additional Information'!E50))</f>
        <v/>
      </c>
      <c r="D50" s="5" t="str">
        <f>IF(A50="","",SUM('Additional Information'!C50,'Additional Information'!D50))</f>
        <v/>
      </c>
      <c r="E50" t="str">
        <f>IF(A50="","",SUM('Additional Information'!D50))</f>
        <v/>
      </c>
      <c r="F50" t="str">
        <f>IF(A50="","",IF(OR('Additional Information'!F50="",'Additional Information'!F50="-"),"",'Additional Information'!F50))</f>
        <v/>
      </c>
      <c r="G50" t="str">
        <f>IF(A50="","",IF(OR('Additional Information'!G50="",'Additional Information'!G50="-"),"",'Additional Information'!G50))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WealthSelect Managed Active 10</v>
      </c>
      <c r="B2">
        <f>IF(A2="","",SUM('Asset Allocation'!B2,'Asset Allocation'!C2,'Asset Allocation'!D2,'Asset Allocation'!G2,'Asset Allocation'!H2,'Asset Allocation'!I2,'Asset Allocation'!J2,'Asset Allocation'!K2))</f>
        <v>0.97989999999999999</v>
      </c>
      <c r="C2">
        <f>IF(A2="","",SUM('Asset Allocation'!E2))</f>
        <v>0</v>
      </c>
      <c r="F2">
        <f>IF(A2="","",SUM('Asset Allocation'!L2))</f>
        <v>2.0099999999999996E-2</v>
      </c>
      <c r="G2">
        <f>IF(A2="","",SUM('Asset Allocation'!F2))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WealthSelect Managed Active 3</v>
      </c>
      <c r="B3">
        <f>IF(A3="","",SUM('Asset Allocation'!B3,'Asset Allocation'!C3,'Asset Allocation'!D3,'Asset Allocation'!G3,'Asset Allocation'!H3,'Asset Allocation'!I3,'Asset Allocation'!J3,'Asset Allocation'!K3))</f>
        <v>0.23309999999999997</v>
      </c>
      <c r="C3">
        <f>IF(A3="","",SUM('Asset Allocation'!E3))</f>
        <v>0.39590000000000003</v>
      </c>
      <c r="F3">
        <f>IF(A3="","",SUM('Asset Allocation'!L3))</f>
        <v>0.20800000000000002</v>
      </c>
      <c r="G3">
        <f>IF(A3="","",SUM('Asset Allocation'!F3))</f>
        <v>0.16300000000000001</v>
      </c>
      <c r="H3">
        <f t="shared" si="0"/>
        <v>0</v>
      </c>
    </row>
    <row r="4" spans="1:8" x14ac:dyDescent="0.25">
      <c r="A4" t="str">
        <f>IF(Input!A5="","",Input!A5)</f>
        <v>WealthSelect Managed Active 4</v>
      </c>
      <c r="B4">
        <f>IF(A4="","",SUM('Asset Allocation'!B4,'Asset Allocation'!C4,'Asset Allocation'!D4,'Asset Allocation'!G4,'Asset Allocation'!H4,'Asset Allocation'!I4,'Asset Allocation'!J4,'Asset Allocation'!K4))</f>
        <v>0.33329999999999999</v>
      </c>
      <c r="C4">
        <f>IF(A4="","",SUM('Asset Allocation'!E4))</f>
        <v>0.31859999999999999</v>
      </c>
      <c r="F4">
        <f>IF(A4="","",SUM('Asset Allocation'!L4))</f>
        <v>0.21590000000000001</v>
      </c>
      <c r="G4">
        <f>IF(A4="","",SUM('Asset Allocation'!F4))</f>
        <v>0.13220000000000001</v>
      </c>
      <c r="H4">
        <f t="shared" si="0"/>
        <v>1.1102230246251565E-16</v>
      </c>
    </row>
    <row r="5" spans="1:8" x14ac:dyDescent="0.25">
      <c r="A5" t="str">
        <f>IF(Input!A6="","",Input!A6)</f>
        <v>WealthSelect Managed Active 5</v>
      </c>
      <c r="B5">
        <f>IF(A5="","",SUM('Asset Allocation'!B5,'Asset Allocation'!C5,'Asset Allocation'!D5,'Asset Allocation'!G5,'Asset Allocation'!H5,'Asset Allocation'!I5,'Asset Allocation'!J5,'Asset Allocation'!K5))</f>
        <v>0.43469999999999998</v>
      </c>
      <c r="C5">
        <f>IF(A5="","",SUM('Asset Allocation'!E5))</f>
        <v>0.25670000000000004</v>
      </c>
      <c r="F5">
        <f>IF(A5="","",SUM('Asset Allocation'!L5))</f>
        <v>0.2235</v>
      </c>
      <c r="G5">
        <f>IF(A5="","",SUM('Asset Allocation'!F5))</f>
        <v>8.5199999999999998E-2</v>
      </c>
      <c r="H5">
        <f t="shared" si="0"/>
        <v>-9.9999999999988987E-5</v>
      </c>
    </row>
    <row r="6" spans="1:8" x14ac:dyDescent="0.25">
      <c r="A6" t="str">
        <f>IF(Input!A7="","",Input!A7)</f>
        <v>WealthSelect Managed Active 6</v>
      </c>
      <c r="B6">
        <f>IF(A6="","",SUM('Asset Allocation'!B6,'Asset Allocation'!C6,'Asset Allocation'!D6,'Asset Allocation'!G6,'Asset Allocation'!H6,'Asset Allocation'!I6,'Asset Allocation'!J6,'Asset Allocation'!K6))</f>
        <v>0.53620000000000001</v>
      </c>
      <c r="C6">
        <f>IF(A6="","",SUM('Asset Allocation'!E6))</f>
        <v>0.19829999999999998</v>
      </c>
      <c r="F6">
        <f>IF(A6="","",SUM('Asset Allocation'!L6))</f>
        <v>0.23100000000000001</v>
      </c>
      <c r="G6">
        <f>IF(A6="","",SUM('Asset Allocation'!F6))</f>
        <v>3.4500000000000003E-2</v>
      </c>
      <c r="H6">
        <f t="shared" si="0"/>
        <v>1.1102230246251565E-16</v>
      </c>
    </row>
    <row r="7" spans="1:8" x14ac:dyDescent="0.25">
      <c r="A7" t="str">
        <f>IF(Input!A8="","",Input!A8)</f>
        <v>WealthSelect Managed Active 7</v>
      </c>
      <c r="B7">
        <f>IF(A7="","",SUM('Asset Allocation'!B7,'Asset Allocation'!C7,'Asset Allocation'!D7,'Asset Allocation'!G7,'Asset Allocation'!H7,'Asset Allocation'!I7,'Asset Allocation'!J7,'Asset Allocation'!K7))</f>
        <v>0.65159999999999996</v>
      </c>
      <c r="C7">
        <f>IF(A7="","",SUM('Asset Allocation'!E7))</f>
        <v>0.14050000000000001</v>
      </c>
      <c r="F7">
        <f>IF(A7="","",SUM('Asset Allocation'!L7))</f>
        <v>0.20469999999999999</v>
      </c>
      <c r="G7">
        <f>IF(A7="","",SUM('Asset Allocation'!F7))</f>
        <v>3.2000000000000002E-3</v>
      </c>
      <c r="H7">
        <f t="shared" si="0"/>
        <v>0</v>
      </c>
    </row>
    <row r="8" spans="1:8" x14ac:dyDescent="0.25">
      <c r="A8" t="str">
        <f>IF(Input!A9="","",Input!A9)</f>
        <v>WealthSelect Managed Active 8</v>
      </c>
      <c r="B8">
        <f>IF(A8="","",SUM('Asset Allocation'!B8,'Asset Allocation'!C8,'Asset Allocation'!D8,'Asset Allocation'!G8,'Asset Allocation'!H8,'Asset Allocation'!I8,'Asset Allocation'!J8,'Asset Allocation'!K8))</f>
        <v>0.78039999999999998</v>
      </c>
      <c r="C8">
        <f>IF(A8="","",SUM('Asset Allocation'!E8))</f>
        <v>5.7099999999999998E-2</v>
      </c>
      <c r="F8">
        <f>IF(A8="","",SUM('Asset Allocation'!L8))</f>
        <v>0.1593</v>
      </c>
      <c r="G8">
        <f>IF(A8="","",SUM('Asset Allocation'!F8))</f>
        <v>3.2000000000000002E-3</v>
      </c>
      <c r="H8">
        <f t="shared" si="0"/>
        <v>0</v>
      </c>
    </row>
    <row r="9" spans="1:8" x14ac:dyDescent="0.25">
      <c r="A9" t="str">
        <f>IF(Input!A10="","",Input!A10)</f>
        <v>WealthSelect Managed Active 9</v>
      </c>
      <c r="B9">
        <f>IF(A9="","",SUM('Asset Allocation'!B9,'Asset Allocation'!C9,'Asset Allocation'!D9,'Asset Allocation'!G9,'Asset Allocation'!H9,'Asset Allocation'!I9,'Asset Allocation'!J9,'Asset Allocation'!K9))</f>
        <v>0.89430000000000009</v>
      </c>
      <c r="C9">
        <f>IF(A9="","",SUM('Asset Allocation'!E9))</f>
        <v>0</v>
      </c>
      <c r="F9">
        <f>IF(A9="","",SUM('Asset Allocation'!L9))</f>
        <v>0.1024</v>
      </c>
      <c r="G9">
        <f>IF(A9="","",SUM('Asset Allocation'!F9))</f>
        <v>3.2000000000000002E-3</v>
      </c>
      <c r="H9">
        <f t="shared" si="0"/>
        <v>9.9999999999877964E-5</v>
      </c>
    </row>
    <row r="10" spans="1:8" x14ac:dyDescent="0.25">
      <c r="A10" t="str">
        <f>IF(Input!A11="","",Input!A11)</f>
        <v>WealthSelect Managed Blend 10</v>
      </c>
      <c r="B10">
        <f>IF(A10="","",SUM('Asset Allocation'!B10,'Asset Allocation'!C10,'Asset Allocation'!D10,'Asset Allocation'!G10,'Asset Allocation'!H10,'Asset Allocation'!I10,'Asset Allocation'!J10,'Asset Allocation'!K10))</f>
        <v>0.98</v>
      </c>
      <c r="C10">
        <f>IF(A10="","",SUM('Asset Allocation'!E10))</f>
        <v>0</v>
      </c>
      <c r="F10">
        <f>IF(A10="","",SUM('Asset Allocation'!L10))</f>
        <v>2.0099999999999996E-2</v>
      </c>
      <c r="G10">
        <f>IF(A10="","",SUM('Asset Allocation'!F10))</f>
        <v>0</v>
      </c>
      <c r="H10">
        <f t="shared" si="0"/>
        <v>-9.9999999999988987E-5</v>
      </c>
    </row>
    <row r="11" spans="1:8" x14ac:dyDescent="0.25">
      <c r="A11" t="str">
        <f>IF(Input!A12="","",Input!A12)</f>
        <v>WealthSelect Managed Blend 3</v>
      </c>
      <c r="B11">
        <f>IF(A11="","",SUM('Asset Allocation'!B11,'Asset Allocation'!C11,'Asset Allocation'!D11,'Asset Allocation'!G11,'Asset Allocation'!H11,'Asset Allocation'!I11,'Asset Allocation'!J11,'Asset Allocation'!K11))</f>
        <v>0.23319999999999996</v>
      </c>
      <c r="C11">
        <f>IF(A11="","",SUM('Asset Allocation'!E11))</f>
        <v>0.39590000000000003</v>
      </c>
      <c r="F11">
        <f>IF(A11="","",SUM('Asset Allocation'!L11))</f>
        <v>0.20800000000000002</v>
      </c>
      <c r="G11">
        <f>IF(A11="","",SUM('Asset Allocation'!F11))</f>
        <v>0.16300000000000001</v>
      </c>
      <c r="H11">
        <f t="shared" si="0"/>
        <v>-9.9999999999988987E-5</v>
      </c>
    </row>
    <row r="12" spans="1:8" x14ac:dyDescent="0.25">
      <c r="A12" t="str">
        <f>IF(Input!A13="","",Input!A13)</f>
        <v>WealthSelect Managed Blend 4</v>
      </c>
      <c r="B12">
        <f>IF(A12="","",SUM('Asset Allocation'!B12,'Asset Allocation'!C12,'Asset Allocation'!D12,'Asset Allocation'!G12,'Asset Allocation'!H12,'Asset Allocation'!I12,'Asset Allocation'!J12,'Asset Allocation'!K12))</f>
        <v>0.33329999999999999</v>
      </c>
      <c r="C12">
        <f>IF(A12="","",SUM('Asset Allocation'!E12))</f>
        <v>0.31859999999999999</v>
      </c>
      <c r="F12">
        <f>IF(A12="","",SUM('Asset Allocation'!L12))</f>
        <v>0.21579999999999999</v>
      </c>
      <c r="G12">
        <f>IF(A12="","",SUM('Asset Allocation'!F12))</f>
        <v>0.13220000000000001</v>
      </c>
      <c r="H12">
        <f t="shared" si="0"/>
        <v>1.0000000000010001E-4</v>
      </c>
    </row>
    <row r="13" spans="1:8" x14ac:dyDescent="0.25">
      <c r="A13" t="str">
        <f>IF(Input!A14="","",Input!A14)</f>
        <v>WealthSelect Managed Blend 5</v>
      </c>
      <c r="B13">
        <f>IF(A13="","",SUM('Asset Allocation'!B13,'Asset Allocation'!C13,'Asset Allocation'!D13,'Asset Allocation'!G13,'Asset Allocation'!H13,'Asset Allocation'!I13,'Asset Allocation'!J13,'Asset Allocation'!K13))</f>
        <v>0.43469999999999998</v>
      </c>
      <c r="C13">
        <f>IF(A13="","",SUM('Asset Allocation'!E13))</f>
        <v>0.25670000000000004</v>
      </c>
      <c r="F13">
        <f>IF(A13="","",SUM('Asset Allocation'!L13))</f>
        <v>0.2235</v>
      </c>
      <c r="G13">
        <f>IF(A13="","",SUM('Asset Allocation'!F13))</f>
        <v>8.5199999999999998E-2</v>
      </c>
      <c r="H13">
        <f t="shared" si="0"/>
        <v>-9.9999999999988987E-5</v>
      </c>
    </row>
    <row r="14" spans="1:8" x14ac:dyDescent="0.25">
      <c r="A14" t="str">
        <f>IF(Input!A15="","",Input!A15)</f>
        <v>WealthSelect Managed Blend 6</v>
      </c>
      <c r="B14">
        <f>IF(A14="","",SUM('Asset Allocation'!B14,'Asset Allocation'!C14,'Asset Allocation'!D14,'Asset Allocation'!G14,'Asset Allocation'!H14,'Asset Allocation'!I14,'Asset Allocation'!J14,'Asset Allocation'!K14))</f>
        <v>0.53610000000000002</v>
      </c>
      <c r="C14">
        <f>IF(A14="","",SUM('Asset Allocation'!E14))</f>
        <v>0.19839999999999999</v>
      </c>
      <c r="F14">
        <f>IF(A14="","",SUM('Asset Allocation'!L14))</f>
        <v>0.23100000000000001</v>
      </c>
      <c r="G14">
        <f>IF(A14="","",SUM('Asset Allocation'!F14))</f>
        <v>3.4500000000000003E-2</v>
      </c>
      <c r="H14">
        <f t="shared" si="0"/>
        <v>0</v>
      </c>
    </row>
    <row r="15" spans="1:8" x14ac:dyDescent="0.25">
      <c r="A15" t="str">
        <f>IF(Input!A16="","",Input!A16)</f>
        <v>WealthSelect Managed Blend 7</v>
      </c>
      <c r="B15">
        <f>IF(A15="","",SUM('Asset Allocation'!B15,'Asset Allocation'!C15,'Asset Allocation'!D15,'Asset Allocation'!G15,'Asset Allocation'!H15,'Asset Allocation'!I15,'Asset Allocation'!J15,'Asset Allocation'!K15))</f>
        <v>0.65159999999999996</v>
      </c>
      <c r="C15">
        <f>IF(A15="","",SUM('Asset Allocation'!E15))</f>
        <v>0.14050000000000001</v>
      </c>
      <c r="F15">
        <f>IF(A15="","",SUM('Asset Allocation'!L15))</f>
        <v>0.20480000000000001</v>
      </c>
      <c r="G15">
        <f>IF(A15="","",SUM('Asset Allocation'!F15))</f>
        <v>3.2000000000000002E-3</v>
      </c>
      <c r="H15">
        <f t="shared" si="0"/>
        <v>-9.9999999999988987E-5</v>
      </c>
    </row>
    <row r="16" spans="1:8" x14ac:dyDescent="0.25">
      <c r="A16" t="str">
        <f>IF(Input!A17="","",Input!A17)</f>
        <v>WealthSelect Managed Blend 8</v>
      </c>
      <c r="B16">
        <f>IF(A16="","",SUM('Asset Allocation'!B16,'Asset Allocation'!C16,'Asset Allocation'!D16,'Asset Allocation'!G16,'Asset Allocation'!H16,'Asset Allocation'!I16,'Asset Allocation'!J16,'Asset Allocation'!K16))</f>
        <v>0.78039999999999998</v>
      </c>
      <c r="C16">
        <f>IF(A16="","",SUM('Asset Allocation'!E16))</f>
        <v>5.7099999999999998E-2</v>
      </c>
      <c r="F16">
        <f>IF(A16="","",SUM('Asset Allocation'!L16))</f>
        <v>0.1593</v>
      </c>
      <c r="G16">
        <f>IF(A16="","",SUM('Asset Allocation'!F16))</f>
        <v>3.2000000000000002E-3</v>
      </c>
      <c r="H16">
        <f t="shared" si="0"/>
        <v>0</v>
      </c>
    </row>
    <row r="17" spans="1:8" x14ac:dyDescent="0.25">
      <c r="A17" t="str">
        <f>IF(Input!A18="","",Input!A18)</f>
        <v>WealthSelect Managed Blend 9</v>
      </c>
      <c r="B17">
        <f>IF(A17="","",SUM('Asset Allocation'!B17,'Asset Allocation'!C17,'Asset Allocation'!D17,'Asset Allocation'!G17,'Asset Allocation'!H17,'Asset Allocation'!I17,'Asset Allocation'!J17,'Asset Allocation'!K17))</f>
        <v>0.89439999999999986</v>
      </c>
      <c r="C17">
        <f>IF(A17="","",SUM('Asset Allocation'!E17))</f>
        <v>0</v>
      </c>
      <c r="F17">
        <f>IF(A17="","",SUM('Asset Allocation'!L17))</f>
        <v>0.1024</v>
      </c>
      <c r="G17">
        <f>IF(A17="","",SUM('Asset Allocation'!F17))</f>
        <v>3.2000000000000002E-3</v>
      </c>
      <c r="H17">
        <f t="shared" si="0"/>
        <v>1.1102230246251565E-16</v>
      </c>
    </row>
    <row r="18" spans="1:8" x14ac:dyDescent="0.25">
      <c r="A18" t="str">
        <f>IF(Input!A19="","",Input!A19)</f>
        <v>WealthSelect Managed Passive 10</v>
      </c>
      <c r="B18">
        <f>IF(A18="","",SUM('Asset Allocation'!B18,'Asset Allocation'!C18,'Asset Allocation'!D18,'Asset Allocation'!G18,'Asset Allocation'!H18,'Asset Allocation'!I18,'Asset Allocation'!J18,'Asset Allocation'!K18))</f>
        <v>0.99009999999999998</v>
      </c>
      <c r="C18">
        <f>IF(A18="","",SUM('Asset Allocation'!E18))</f>
        <v>0</v>
      </c>
      <c r="F18">
        <f>IF(A18="","",SUM('Asset Allocation'!L18))</f>
        <v>0</v>
      </c>
      <c r="G18">
        <f>IF(A18="","",SUM('Asset Allocation'!F18))</f>
        <v>0.01</v>
      </c>
      <c r="H18">
        <f t="shared" si="0"/>
        <v>-9.9999999999988987E-5</v>
      </c>
    </row>
    <row r="19" spans="1:8" x14ac:dyDescent="0.25">
      <c r="A19" t="str">
        <f>IF(Input!A20="","",Input!A20)</f>
        <v>WealthSelect Managed Passive 3</v>
      </c>
      <c r="B19">
        <f>IF(A19="","",SUM('Asset Allocation'!B19,'Asset Allocation'!C19,'Asset Allocation'!D19,'Asset Allocation'!G19,'Asset Allocation'!H19,'Asset Allocation'!I19,'Asset Allocation'!J19,'Asset Allocation'!K19))</f>
        <v>0.25219999999999998</v>
      </c>
      <c r="C19">
        <f>IF(A19="","",SUM('Asset Allocation'!E19))</f>
        <v>0.49880000000000002</v>
      </c>
      <c r="F19">
        <f>IF(A19="","",SUM('Asset Allocation'!L19))</f>
        <v>0</v>
      </c>
      <c r="G19">
        <f>IF(A19="","",SUM('Asset Allocation'!F19))</f>
        <v>0.24909999999999999</v>
      </c>
      <c r="H19">
        <f t="shared" si="0"/>
        <v>-9.9999999999988987E-5</v>
      </c>
    </row>
    <row r="20" spans="1:8" x14ac:dyDescent="0.25">
      <c r="A20" t="str">
        <f>IF(Input!A21="","",Input!A21)</f>
        <v>WealthSelect Managed Passive 4</v>
      </c>
      <c r="B20">
        <f>IF(A20="","",SUM('Asset Allocation'!B20,'Asset Allocation'!C20,'Asset Allocation'!D20,'Asset Allocation'!G20,'Asset Allocation'!H20,'Asset Allocation'!I20,'Asset Allocation'!J20,'Asset Allocation'!K20))</f>
        <v>0.37129999999999996</v>
      </c>
      <c r="C20">
        <f>IF(A20="","",SUM('Asset Allocation'!E20))</f>
        <v>0.37929999999999997</v>
      </c>
      <c r="F20">
        <f>IF(A20="","",SUM('Asset Allocation'!L20))</f>
        <v>0</v>
      </c>
      <c r="G20">
        <f>IF(A20="","",SUM('Asset Allocation'!F20))</f>
        <v>0.24929999999999999</v>
      </c>
      <c r="H20">
        <f t="shared" si="0"/>
        <v>1.0000000000010001E-4</v>
      </c>
    </row>
    <row r="21" spans="1:8" x14ac:dyDescent="0.25">
      <c r="A21" t="str">
        <f>IF(Input!A22="","",Input!A22)</f>
        <v>WealthSelect Managed Passive 5</v>
      </c>
      <c r="B21">
        <f>IF(A21="","",SUM('Asset Allocation'!B21,'Asset Allocation'!C21,'Asset Allocation'!D21,'Asset Allocation'!G21,'Asset Allocation'!H21,'Asset Allocation'!I21,'Asset Allocation'!J21,'Asset Allocation'!K21))</f>
        <v>0.48049999999999998</v>
      </c>
      <c r="C21">
        <f>IF(A21="","",SUM('Asset Allocation'!E21))</f>
        <v>0.31290000000000001</v>
      </c>
      <c r="F21">
        <f>IF(A21="","",SUM('Asset Allocation'!L21))</f>
        <v>0</v>
      </c>
      <c r="G21">
        <f>IF(A21="","",SUM('Asset Allocation'!F21))</f>
        <v>0.20660000000000001</v>
      </c>
      <c r="H21">
        <f t="shared" si="0"/>
        <v>0</v>
      </c>
    </row>
    <row r="22" spans="1:8" x14ac:dyDescent="0.25">
      <c r="A22" t="str">
        <f>IF(Input!A23="","",Input!A23)</f>
        <v>WealthSelect Managed Passive 6</v>
      </c>
      <c r="B22">
        <f>IF(A22="","",SUM('Asset Allocation'!B22,'Asset Allocation'!C22,'Asset Allocation'!D22,'Asset Allocation'!G22,'Asset Allocation'!H22,'Asset Allocation'!I22,'Asset Allocation'!J22,'Asset Allocation'!K22))</f>
        <v>0.59</v>
      </c>
      <c r="C22">
        <f>IF(A22="","",SUM('Asset Allocation'!E22))</f>
        <v>0.26789999999999997</v>
      </c>
      <c r="F22">
        <f>IF(A22="","",SUM('Asset Allocation'!L22))</f>
        <v>0</v>
      </c>
      <c r="G22">
        <f>IF(A22="","",SUM('Asset Allocation'!F22))</f>
        <v>0.1421</v>
      </c>
      <c r="H22">
        <f t="shared" si="0"/>
        <v>1.1102230246251565E-16</v>
      </c>
    </row>
    <row r="23" spans="1:8" x14ac:dyDescent="0.25">
      <c r="A23" t="str">
        <f>IF(Input!A24="","",Input!A24)</f>
        <v>WealthSelect Managed Passive 7</v>
      </c>
      <c r="B23">
        <f>IF(A23="","",SUM('Asset Allocation'!B23,'Asset Allocation'!C23,'Asset Allocation'!D23,'Asset Allocation'!G23,'Asset Allocation'!H23,'Asset Allocation'!I23,'Asset Allocation'!J23,'Asset Allocation'!K23))</f>
        <v>0.70060000000000011</v>
      </c>
      <c r="C23">
        <f>IF(A23="","",SUM('Asset Allocation'!E23))</f>
        <v>0.223</v>
      </c>
      <c r="F23">
        <f>IF(A23="","",SUM('Asset Allocation'!L23))</f>
        <v>0</v>
      </c>
      <c r="G23">
        <f>IF(A23="","",SUM('Asset Allocation'!F23))</f>
        <v>7.6299999999999993E-2</v>
      </c>
      <c r="H23">
        <f t="shared" si="0"/>
        <v>9.9999999999877964E-5</v>
      </c>
    </row>
    <row r="24" spans="1:8" x14ac:dyDescent="0.25">
      <c r="A24" t="str">
        <f>IF(Input!A25="","",Input!A25)</f>
        <v>WealthSelect Managed Passive 8</v>
      </c>
      <c r="B24">
        <f>IF(A24="","",SUM('Asset Allocation'!B24,'Asset Allocation'!C24,'Asset Allocation'!D24,'Asset Allocation'!G24,'Asset Allocation'!H24,'Asset Allocation'!I24,'Asset Allocation'!J24,'Asset Allocation'!K24))</f>
        <v>0.81140000000000001</v>
      </c>
      <c r="C24">
        <f>IF(A24="","",SUM('Asset Allocation'!E24))</f>
        <v>0.17850000000000002</v>
      </c>
      <c r="F24">
        <f>IF(A24="","",SUM('Asset Allocation'!L24))</f>
        <v>0</v>
      </c>
      <c r="G24">
        <f>IF(A24="","",SUM('Asset Allocation'!F24))</f>
        <v>0.01</v>
      </c>
      <c r="H24">
        <f t="shared" si="0"/>
        <v>9.9999999999988987E-5</v>
      </c>
    </row>
    <row r="25" spans="1:8" x14ac:dyDescent="0.25">
      <c r="A25" t="str">
        <f>IF(Input!A26="","",Input!A26)</f>
        <v>WealthSelect Managed Passive 9</v>
      </c>
      <c r="B25">
        <f>IF(A25="","",SUM('Asset Allocation'!B25,'Asset Allocation'!C25,'Asset Allocation'!D25,'Asset Allocation'!G25,'Asset Allocation'!H25,'Asset Allocation'!I25,'Asset Allocation'!J25,'Asset Allocation'!K25))</f>
        <v>0.91889999999999994</v>
      </c>
      <c r="C25">
        <f>IF(A25="","",SUM('Asset Allocation'!E25))</f>
        <v>7.1099999999999997E-2</v>
      </c>
      <c r="F25">
        <f>IF(A25="","",SUM('Asset Allocation'!L25))</f>
        <v>0</v>
      </c>
      <c r="G25">
        <f>IF(A25="","",SUM('Asset Allocation'!F25))</f>
        <v>0.01</v>
      </c>
      <c r="H25">
        <f t="shared" si="0"/>
        <v>0</v>
      </c>
    </row>
    <row r="26" spans="1:8" x14ac:dyDescent="0.25">
      <c r="A26" t="str">
        <f>IF(Input!A27="","",Input!A27)</f>
        <v>WealthSelect Sustainable Active 10</v>
      </c>
      <c r="B26">
        <f>IF(A26="","",SUM('Asset Allocation'!B26,'Asset Allocation'!C26,'Asset Allocation'!D26,'Asset Allocation'!G26,'Asset Allocation'!H26,'Asset Allocation'!I26,'Asset Allocation'!J26,'Asset Allocation'!K26))</f>
        <v>0.98</v>
      </c>
      <c r="C26">
        <f>IF(A26="","",SUM('Asset Allocation'!E26))</f>
        <v>0</v>
      </c>
      <c r="F26">
        <f>IF(A26="","",SUM('Asset Allocation'!L26))</f>
        <v>0</v>
      </c>
      <c r="G26">
        <f>IF(A26="","",SUM('Asset Allocation'!F26))</f>
        <v>0.02</v>
      </c>
      <c r="H26">
        <f t="shared" si="0"/>
        <v>0</v>
      </c>
    </row>
    <row r="27" spans="1:8" x14ac:dyDescent="0.25">
      <c r="A27" t="str">
        <f>IF(Input!A28="","",Input!A28)</f>
        <v>WealthSelect Sustainable Active 3</v>
      </c>
      <c r="B27">
        <f>IF(A27="","",SUM('Asset Allocation'!B27,'Asset Allocation'!C27,'Asset Allocation'!D27,'Asset Allocation'!G27,'Asset Allocation'!H27,'Asset Allocation'!I27,'Asset Allocation'!J27,'Asset Allocation'!K27))</f>
        <v>0.23799999999999999</v>
      </c>
      <c r="C27">
        <f>IF(A27="","",SUM('Asset Allocation'!E27))</f>
        <v>0.53200000000000003</v>
      </c>
      <c r="F27">
        <f>IF(A27="","",SUM('Asset Allocation'!L27))</f>
        <v>0</v>
      </c>
      <c r="G27">
        <f>IF(A27="","",SUM('Asset Allocation'!F27))</f>
        <v>0.23100000000000001</v>
      </c>
      <c r="H27">
        <f t="shared" si="0"/>
        <v>-1.0000000000001119E-3</v>
      </c>
    </row>
    <row r="28" spans="1:8" x14ac:dyDescent="0.25">
      <c r="A28" t="str">
        <f>IF(Input!A29="","",Input!A29)</f>
        <v>WealthSelect Sustainable Active 4</v>
      </c>
      <c r="B28">
        <f>IF(A28="","",SUM('Asset Allocation'!B28,'Asset Allocation'!C28,'Asset Allocation'!D28,'Asset Allocation'!G28,'Asset Allocation'!H28,'Asset Allocation'!I28,'Asset Allocation'!J28,'Asset Allocation'!K28))</f>
        <v>0.35</v>
      </c>
      <c r="C28">
        <f>IF(A28="","",SUM('Asset Allocation'!E28))</f>
        <v>0.42100000000000004</v>
      </c>
      <c r="F28">
        <f>IF(A28="","",SUM('Asset Allocation'!L28))</f>
        <v>0</v>
      </c>
      <c r="G28">
        <f>IF(A28="","",SUM('Asset Allocation'!F28))</f>
        <v>0.23</v>
      </c>
      <c r="H28">
        <f t="shared" si="0"/>
        <v>-1.0000000000001119E-3</v>
      </c>
    </row>
    <row r="29" spans="1:8" x14ac:dyDescent="0.25">
      <c r="A29" t="str">
        <f>IF(Input!A30="","",Input!A30)</f>
        <v>WealthSelect Sustainable Active 5</v>
      </c>
      <c r="B29">
        <f>IF(A29="","",SUM('Asset Allocation'!B29,'Asset Allocation'!C29,'Asset Allocation'!D29,'Asset Allocation'!G29,'Asset Allocation'!H29,'Asset Allocation'!I29,'Asset Allocation'!J29,'Asset Allocation'!K29))</f>
        <v>0.45199999999999996</v>
      </c>
      <c r="C29">
        <f>IF(A29="","",SUM('Asset Allocation'!E29))</f>
        <v>0.33700000000000002</v>
      </c>
      <c r="F29">
        <f>IF(A29="","",SUM('Asset Allocation'!L29))</f>
        <v>0</v>
      </c>
      <c r="G29">
        <f>IF(A29="","",SUM('Asset Allocation'!F29))</f>
        <v>0.21100000000000002</v>
      </c>
      <c r="H29">
        <f t="shared" si="0"/>
        <v>0</v>
      </c>
    </row>
    <row r="30" spans="1:8" x14ac:dyDescent="0.25">
      <c r="A30" t="str">
        <f>IF(Input!A31="","",Input!A31)</f>
        <v>WealthSelect Sustainable Active 6</v>
      </c>
      <c r="B30">
        <f>IF(A30="","",SUM('Asset Allocation'!B30,'Asset Allocation'!C30,'Asset Allocation'!D30,'Asset Allocation'!G30,'Asset Allocation'!H30,'Asset Allocation'!I30,'Asset Allocation'!J30,'Asset Allocation'!K30))</f>
        <v>0.55000000000000004</v>
      </c>
      <c r="C30">
        <f>IF(A30="","",SUM('Asset Allocation'!E30))</f>
        <v>0.29899999999999999</v>
      </c>
      <c r="F30">
        <f>IF(A30="","",SUM('Asset Allocation'!L30))</f>
        <v>0</v>
      </c>
      <c r="G30">
        <f>IF(A30="","",SUM('Asset Allocation'!F30))</f>
        <v>0.151</v>
      </c>
      <c r="H30">
        <f t="shared" si="0"/>
        <v>0</v>
      </c>
    </row>
    <row r="31" spans="1:8" x14ac:dyDescent="0.25">
      <c r="A31" t="str">
        <f>IF(Input!A32="","",Input!A32)</f>
        <v>WealthSelect Sustainable Active 7</v>
      </c>
      <c r="B31">
        <f>IF(A31="","",SUM('Asset Allocation'!B31,'Asset Allocation'!C31,'Asset Allocation'!D31,'Asset Allocation'!G31,'Asset Allocation'!H31,'Asset Allocation'!I31,'Asset Allocation'!J31,'Asset Allocation'!K31))</f>
        <v>0.65300000000000002</v>
      </c>
      <c r="C31">
        <f>IF(A31="","",SUM('Asset Allocation'!E31))</f>
        <v>0.26100000000000001</v>
      </c>
      <c r="F31">
        <f>IF(A31="","",SUM('Asset Allocation'!L31))</f>
        <v>0</v>
      </c>
      <c r="G31">
        <f>IF(A31="","",SUM('Asset Allocation'!F31))</f>
        <v>8.6999999999999994E-2</v>
      </c>
      <c r="H31">
        <f t="shared" si="0"/>
        <v>-1.0000000000001119E-3</v>
      </c>
    </row>
    <row r="32" spans="1:8" x14ac:dyDescent="0.25">
      <c r="A32" t="str">
        <f>IF(Input!A33="","",Input!A33)</f>
        <v>WealthSelect Sustainable Active 8</v>
      </c>
      <c r="B32">
        <f>IF(A32="","",SUM('Asset Allocation'!B32,'Asset Allocation'!C32,'Asset Allocation'!D32,'Asset Allocation'!G32,'Asset Allocation'!H32,'Asset Allocation'!I32,'Asset Allocation'!J32,'Asset Allocation'!K32))</f>
        <v>0.75499999999999989</v>
      </c>
      <c r="C32">
        <f>IF(A32="","",SUM('Asset Allocation'!E32))</f>
        <v>0.223</v>
      </c>
      <c r="F32">
        <f>IF(A32="","",SUM('Asset Allocation'!L32))</f>
        <v>0</v>
      </c>
      <c r="G32">
        <f>IF(A32="","",SUM('Asset Allocation'!F32))</f>
        <v>2.3E-2</v>
      </c>
      <c r="H32">
        <f t="shared" si="0"/>
        <v>-9.9999999999988987E-4</v>
      </c>
    </row>
    <row r="33" spans="1:8" x14ac:dyDescent="0.25">
      <c r="A33" t="str">
        <f>IF(Input!A34="","",Input!A34)</f>
        <v>WealthSelect Sustainable Active 9</v>
      </c>
      <c r="B33">
        <f>IF(A33="","",SUM('Asset Allocation'!B33,'Asset Allocation'!C33,'Asset Allocation'!D33,'Asset Allocation'!G33,'Asset Allocation'!H33,'Asset Allocation'!I33,'Asset Allocation'!J33,'Asset Allocation'!K33))</f>
        <v>0.87299999999999989</v>
      </c>
      <c r="C33">
        <f>IF(A33="","",SUM('Asset Allocation'!E33))</f>
        <v>0.105</v>
      </c>
      <c r="F33">
        <f>IF(A33="","",SUM('Asset Allocation'!L33))</f>
        <v>0</v>
      </c>
      <c r="G33">
        <f>IF(A33="","",SUM('Asset Allocation'!F33))</f>
        <v>2.3E-2</v>
      </c>
      <c r="H33">
        <f t="shared" si="0"/>
        <v>-9.9999999999988987E-4</v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Allocation'!G34,'Asset Allocation'!H34,'Asset Allocation'!I34,'Asset Allocation'!J34,'Asset Allocation'!K34))</f>
        <v/>
      </c>
      <c r="C34" t="str">
        <f>IF(A34="","",SUM('Asset Allocation'!E34))</f>
        <v/>
      </c>
      <c r="F34" t="str">
        <f>IF(A34="","",SUM('Asset Allocation'!L34))</f>
        <v/>
      </c>
      <c r="G34" t="str">
        <f>IF(A34="","",SUM('Asset Allocation'!F34))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Allocation'!G35,'Asset Allocation'!H35,'Asset Allocation'!I35,'Asset Allocation'!J35,'Asset Allocation'!K35))</f>
        <v/>
      </c>
      <c r="C35" t="str">
        <f>IF(A35="","",SUM('Asset Allocation'!E35))</f>
        <v/>
      </c>
      <c r="F35" t="str">
        <f>IF(A35="","",SUM('Asset Allocation'!L35))</f>
        <v/>
      </c>
      <c r="G35" t="str">
        <f>IF(A35="","",SUM('Asset Allocation'!F35))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Allocation'!G36,'Asset Allocation'!H36,'Asset Allocation'!I36,'Asset Allocation'!J36,'Asset Allocation'!K36))</f>
        <v/>
      </c>
      <c r="C36" t="str">
        <f>IF(A36="","",SUM('Asset Allocation'!E36))</f>
        <v/>
      </c>
      <c r="F36" t="str">
        <f>IF(A36="","",SUM('Asset Allocation'!L36))</f>
        <v/>
      </c>
      <c r="G36" t="str">
        <f>IF(A36="","",SUM('Asset Allocation'!F36))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Allocation'!G37,'Asset Allocation'!H37,'Asset Allocation'!I37,'Asset Allocation'!J37,'Asset Allocation'!K37))</f>
        <v/>
      </c>
      <c r="C37" t="str">
        <f>IF(A37="","",SUM('Asset Allocation'!E37))</f>
        <v/>
      </c>
      <c r="F37" t="str">
        <f>IF(A37="","",SUM('Asset Allocation'!L37))</f>
        <v/>
      </c>
      <c r="G37" t="str">
        <f>IF(A37="","",SUM('Asset Allocation'!F37))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Allocation'!G38,'Asset Allocation'!H38,'Asset Allocation'!I38,'Asset Allocation'!J38,'Asset Allocation'!K38))</f>
        <v/>
      </c>
      <c r="C38" t="str">
        <f>IF(A38="","",SUM('Asset Allocation'!E38))</f>
        <v/>
      </c>
      <c r="F38" t="str">
        <f>IF(A38="","",SUM('Asset Allocation'!L38))</f>
        <v/>
      </c>
      <c r="G38" t="str">
        <f>IF(A38="","",SUM('Asset Allocation'!F38))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Allocation'!G39,'Asset Allocation'!H39,'Asset Allocation'!I39,'Asset Allocation'!J39,'Asset Allocation'!K39))</f>
        <v/>
      </c>
      <c r="C39" t="str">
        <f>IF(A39="","",SUM('Asset Allocation'!E39))</f>
        <v/>
      </c>
      <c r="F39" t="str">
        <f>IF(A39="","",SUM('Asset Allocation'!L39))</f>
        <v/>
      </c>
      <c r="G39" t="str">
        <f>IF(A39="","",SUM('Asset Allocation'!F39))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Allocation'!G40,'Asset Allocation'!H40,'Asset Allocation'!I40,'Asset Allocation'!J40,'Asset Allocation'!K40))</f>
        <v/>
      </c>
      <c r="C40" t="str">
        <f>IF(A40="","",SUM('Asset Allocation'!E40))</f>
        <v/>
      </c>
      <c r="F40" t="str">
        <f>IF(A40="","",SUM('Asset Allocation'!L40))</f>
        <v/>
      </c>
      <c r="G40" t="str">
        <f>IF(A40="","",SUM('Asset Allocation'!F40))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Allocation'!G41,'Asset Allocation'!H41,'Asset Allocation'!I41,'Asset Allocation'!J41,'Asset Allocation'!K41))</f>
        <v/>
      </c>
      <c r="C41" t="str">
        <f>IF(A41="","",SUM('Asset Allocation'!E41))</f>
        <v/>
      </c>
      <c r="F41" t="str">
        <f>IF(A41="","",SUM('Asset Allocation'!L41))</f>
        <v/>
      </c>
      <c r="G41" t="str">
        <f>IF(A41="","",SUM('Asset Allocation'!F41))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Allocation'!G42,'Asset Allocation'!H42,'Asset Allocation'!I42,'Asset Allocation'!J42,'Asset Allocation'!K42))</f>
        <v/>
      </c>
      <c r="C42" t="str">
        <f>IF(A42="","",SUM('Asset Allocation'!E42))</f>
        <v/>
      </c>
      <c r="F42" t="str">
        <f>IF(A42="","",SUM('Asset Allocation'!L42))</f>
        <v/>
      </c>
      <c r="G42" t="str">
        <f>IF(A42="","",SUM('Asset Allocation'!F42))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Allocation'!G43,'Asset Allocation'!H43,'Asset Allocation'!I43,'Asset Allocation'!J43,'Asset Allocation'!K43))</f>
        <v/>
      </c>
      <c r="C43" t="str">
        <f>IF(A43="","",SUM('Asset Allocation'!E43))</f>
        <v/>
      </c>
      <c r="F43" t="str">
        <f>IF(A43="","",SUM('Asset Allocation'!L43))</f>
        <v/>
      </c>
      <c r="G43" t="str">
        <f>IF(A43="","",SUM('Asset Allocation'!F43))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Allocation'!G44,'Asset Allocation'!H44,'Asset Allocation'!I44,'Asset Allocation'!J44,'Asset Allocation'!K44))</f>
        <v/>
      </c>
      <c r="C44" t="str">
        <f>IF(A44="","",SUM('Asset Allocation'!E44))</f>
        <v/>
      </c>
      <c r="F44" t="str">
        <f>IF(A44="","",SUM('Asset Allocation'!L44))</f>
        <v/>
      </c>
      <c r="G44" t="str">
        <f>IF(A44="","",SUM('Asset Allocation'!F44))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Allocation'!G45,'Asset Allocation'!H45,'Asset Allocation'!I45,'Asset Allocation'!J45,'Asset Allocation'!K45))</f>
        <v/>
      </c>
      <c r="C45" t="str">
        <f>IF(A45="","",SUM('Asset Allocation'!E45))</f>
        <v/>
      </c>
      <c r="F45" t="str">
        <f>IF(A45="","",SUM('Asset Allocation'!L45))</f>
        <v/>
      </c>
      <c r="G45" t="str">
        <f>IF(A45="","",SUM('Asset Allocation'!F45))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Allocation'!G46,'Asset Allocation'!H46,'Asset Allocation'!I46,'Asset Allocation'!J46,'Asset Allocation'!K46))</f>
        <v/>
      </c>
      <c r="C46" t="str">
        <f>IF(A46="","",SUM('Asset Allocation'!E46))</f>
        <v/>
      </c>
      <c r="F46" t="str">
        <f>IF(A46="","",SUM('Asset Allocation'!L46))</f>
        <v/>
      </c>
      <c r="G46" t="str">
        <f>IF(A46="","",SUM('Asset Allocation'!F46))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Allocation'!G47,'Asset Allocation'!H47,'Asset Allocation'!I47,'Asset Allocation'!J47,'Asset Allocation'!K47))</f>
        <v/>
      </c>
      <c r="C47" t="str">
        <f>IF(A47="","",SUM('Asset Allocation'!E47))</f>
        <v/>
      </c>
      <c r="F47" t="str">
        <f>IF(A47="","",SUM('Asset Allocation'!L47))</f>
        <v/>
      </c>
      <c r="G47" t="str">
        <f>IF(A47="","",SUM('Asset Allocation'!F47))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Allocation'!G48,'Asset Allocation'!H48,'Asset Allocation'!I48,'Asset Allocation'!J48,'Asset Allocation'!K48))</f>
        <v/>
      </c>
      <c r="C48" t="str">
        <f>IF(A48="","",SUM('Asset Allocation'!E48))</f>
        <v/>
      </c>
      <c r="F48" t="str">
        <f>IF(A48="","",SUM('Asset Allocation'!L48))</f>
        <v/>
      </c>
      <c r="G48" t="str">
        <f>IF(A48="","",SUM('Asset Allocation'!F48))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Allocation'!G49,'Asset Allocation'!H49,'Asset Allocation'!I49,'Asset Allocation'!J49,'Asset Allocation'!K49))</f>
        <v/>
      </c>
      <c r="C49" t="str">
        <f>IF(A49="","",SUM('Asset Allocation'!E49))</f>
        <v/>
      </c>
      <c r="F49" t="str">
        <f>IF(A49="","",SUM('Asset Allocation'!L49))</f>
        <v/>
      </c>
      <c r="G49" t="str">
        <f>IF(A49="","",SUM('Asset Allocation'!F49))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Allocation'!G50,'Asset Allocation'!H50,'Asset Allocation'!I50,'Asset Allocation'!J50,'Asset Allocation'!K50))</f>
        <v/>
      </c>
      <c r="C50" t="str">
        <f>IF(A50="","",SUM('Asset Allocation'!E50))</f>
        <v/>
      </c>
      <c r="F50" t="str">
        <f>IF(A50="","",SUM('Asset Allocation'!L50))</f>
        <v/>
      </c>
      <c r="G50" t="str">
        <f>IF(A50="","",SUM('Asset Allocation'!F50))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WealthSelect Managed Active 10</v>
      </c>
      <c r="B2" s="6"/>
      <c r="C2" s="6">
        <f>IFERROR(IF(A2="","",SUM('Asset Allocation'!D2)/'Broad Asset Allocation'!B2),0)</f>
        <v>7.8681498112052259E-2</v>
      </c>
      <c r="D2" s="6"/>
      <c r="E2" s="6"/>
      <c r="F2" s="6"/>
      <c r="G2" s="6">
        <f>IFERROR(IF(A2="","",SUM('Asset Allocation'!C2,'Asset Allocation'!G2)/'Broad Asset Allocation'!B2),0)</f>
        <v>7.255842432901316E-2</v>
      </c>
      <c r="H2" s="6">
        <f>IFERROR(IF(A2="","",SUM('Asset Allocation'!B2,'Asset Allocation'!H2,'Asset Allocation'!I2,'Asset Allocation'!J2,'Asset Allocation'!K2)/'Broad Asset Allocation'!B2),0)</f>
        <v>0.84876007755893457</v>
      </c>
    </row>
    <row r="3" spans="1:8" x14ac:dyDescent="0.25">
      <c r="A3" t="str">
        <f>IF(Input!A4="","",Input!A4)</f>
        <v>WealthSelect Managed Active 3</v>
      </c>
      <c r="B3" s="6"/>
      <c r="C3" s="6">
        <f>IFERROR(IF(A3="","",SUM('Asset Allocation'!D3)/'Broad Asset Allocation'!B3),0)</f>
        <v>0.30072930072930076</v>
      </c>
      <c r="D3" s="6"/>
      <c r="E3" s="6"/>
      <c r="F3" s="6"/>
      <c r="G3" s="6">
        <f>IFERROR(IF(A3="","",SUM('Asset Allocation'!C3,'Asset Allocation'!G3)/'Broad Asset Allocation'!B3),0)</f>
        <v>6.1776061776061784E-2</v>
      </c>
      <c r="H3" s="6">
        <f>IFERROR(IF(A3="","",SUM('Asset Allocation'!B3,'Asset Allocation'!H3,'Asset Allocation'!I3,'Asset Allocation'!J3,'Asset Allocation'!K3)/'Broad Asset Allocation'!B3),0)</f>
        <v>0.63749463749463753</v>
      </c>
    </row>
    <row r="4" spans="1:8" x14ac:dyDescent="0.25">
      <c r="A4" t="str">
        <f>IF(Input!A5="","",Input!A5)</f>
        <v>WealthSelect Managed Active 4</v>
      </c>
      <c r="B4" s="6"/>
      <c r="C4" s="6">
        <f>IFERROR(IF(A4="","",SUM('Asset Allocation'!D4)/'Broad Asset Allocation'!B4),0)</f>
        <v>0.30123012301230123</v>
      </c>
      <c r="D4" s="6"/>
      <c r="E4" s="6"/>
      <c r="F4" s="6"/>
      <c r="G4" s="6">
        <f>IFERROR(IF(A4="","",SUM('Asset Allocation'!C4,'Asset Allocation'!G4)/'Broad Asset Allocation'!B4),0)</f>
        <v>6.0606060606060608E-2</v>
      </c>
      <c r="H4" s="6">
        <f>IFERROR(IF(A4="","",SUM('Asset Allocation'!B4,'Asset Allocation'!H4,'Asset Allocation'!I4,'Asset Allocation'!J4,'Asset Allocation'!K4)/'Broad Asset Allocation'!B4),0)</f>
        <v>0.63816381638163822</v>
      </c>
    </row>
    <row r="5" spans="1:8" x14ac:dyDescent="0.25">
      <c r="A5" t="str">
        <f>IF(Input!A6="","",Input!A6)</f>
        <v>WealthSelect Managed Active 5</v>
      </c>
      <c r="B5" s="6"/>
      <c r="C5" s="6">
        <f>IFERROR(IF(A5="","",SUM('Asset Allocation'!D5)/'Broad Asset Allocation'!B5),0)</f>
        <v>0.30181734529560617</v>
      </c>
      <c r="D5" s="6"/>
      <c r="E5" s="6"/>
      <c r="F5" s="6"/>
      <c r="G5" s="6">
        <f>IFERROR(IF(A5="","",SUM('Asset Allocation'!C5,'Asset Allocation'!G5)/'Broad Asset Allocation'!B5),0)</f>
        <v>6.0961582700713141E-2</v>
      </c>
      <c r="H5" s="6">
        <f>IFERROR(IF(A5="","",SUM('Asset Allocation'!B5,'Asset Allocation'!H5,'Asset Allocation'!I5,'Asset Allocation'!J5,'Asset Allocation'!K5)/'Broad Asset Allocation'!B5),0)</f>
        <v>0.63722107200368061</v>
      </c>
    </row>
    <row r="6" spans="1:8" x14ac:dyDescent="0.25">
      <c r="A6" t="str">
        <f>IF(Input!A7="","",Input!A7)</f>
        <v>WealthSelect Managed Active 6</v>
      </c>
      <c r="B6" s="6"/>
      <c r="C6" s="6">
        <f>IFERROR(IF(A6="","",SUM('Asset Allocation'!D6)/'Broad Asset Allocation'!B6),0)</f>
        <v>0.30156657963446476</v>
      </c>
      <c r="D6" s="6"/>
      <c r="E6" s="6"/>
      <c r="F6" s="6"/>
      <c r="G6" s="6">
        <f>IFERROR(IF(A6="","",SUM('Asset Allocation'!C6,'Asset Allocation'!G6)/'Broad Asset Allocation'!B6),0)</f>
        <v>6.0984707198806415E-2</v>
      </c>
      <c r="H6" s="6">
        <f>IFERROR(IF(A6="","",SUM('Asset Allocation'!B6,'Asset Allocation'!H6,'Asset Allocation'!I6,'Asset Allocation'!J6,'Asset Allocation'!K6)/'Broad Asset Allocation'!B6),0)</f>
        <v>0.6374487131667288</v>
      </c>
    </row>
    <row r="7" spans="1:8" x14ac:dyDescent="0.25">
      <c r="A7" t="str">
        <f>IF(Input!A8="","",Input!A8)</f>
        <v>WealthSelect Managed Active 7</v>
      </c>
      <c r="B7" s="6"/>
      <c r="C7" s="6">
        <f>IFERROR(IF(A7="","",SUM('Asset Allocation'!D7)/'Broad Asset Allocation'!B7),0)</f>
        <v>0.30141190914671584</v>
      </c>
      <c r="D7" s="6"/>
      <c r="E7" s="6"/>
      <c r="F7" s="6"/>
      <c r="G7" s="6">
        <f>IFERROR(IF(A7="","",SUM('Asset Allocation'!C7,'Asset Allocation'!G7)/'Broad Asset Allocation'!B7),0)</f>
        <v>6.1387354205033766E-2</v>
      </c>
      <c r="H7" s="6">
        <f>IFERROR(IF(A7="","",SUM('Asset Allocation'!B7,'Asset Allocation'!H7,'Asset Allocation'!I7,'Asset Allocation'!J7,'Asset Allocation'!K7)/'Broad Asset Allocation'!B7),0)</f>
        <v>0.6372007366482505</v>
      </c>
    </row>
    <row r="8" spans="1:8" x14ac:dyDescent="0.25">
      <c r="A8" t="str">
        <f>IF(Input!A9="","",Input!A9)</f>
        <v>WealthSelect Managed Active 8</v>
      </c>
      <c r="B8" s="6"/>
      <c r="C8" s="6">
        <f>IFERROR(IF(A8="","",SUM('Asset Allocation'!D8)/'Broad Asset Allocation'!B8),0)</f>
        <v>0.30138390568939005</v>
      </c>
      <c r="D8" s="6"/>
      <c r="E8" s="6"/>
      <c r="F8" s="6"/>
      <c r="G8" s="6">
        <f>IFERROR(IF(A8="","",SUM('Asset Allocation'!C8,'Asset Allocation'!G8)/'Broad Asset Allocation'!B8),0)</f>
        <v>6.099436186570989E-2</v>
      </c>
      <c r="H8" s="6">
        <f>IFERROR(IF(A8="","",SUM('Asset Allocation'!B8,'Asset Allocation'!H8,'Asset Allocation'!I8,'Asset Allocation'!J8,'Asset Allocation'!K8)/'Broad Asset Allocation'!B8),0)</f>
        <v>0.63762173244490006</v>
      </c>
    </row>
    <row r="9" spans="1:8" x14ac:dyDescent="0.25">
      <c r="A9" t="str">
        <f>IF(Input!A10="","",Input!A10)</f>
        <v>WealthSelect Managed Active 9</v>
      </c>
      <c r="B9" s="6"/>
      <c r="C9" s="6">
        <f>IFERROR(IF(A9="","",SUM('Asset Allocation'!D9)/'Broad Asset Allocation'!B9),0)</f>
        <v>0.19020462931902046</v>
      </c>
      <c r="D9" s="6"/>
      <c r="E9" s="6"/>
      <c r="F9" s="6"/>
      <c r="G9" s="6">
        <f>IFERROR(IF(A9="","",SUM('Asset Allocation'!C9,'Asset Allocation'!G9)/'Broad Asset Allocation'!B9),0)</f>
        <v>6.6420664206642055E-2</v>
      </c>
      <c r="H9" s="6">
        <f>IFERROR(IF(A9="","",SUM('Asset Allocation'!B9,'Asset Allocation'!H9,'Asset Allocation'!I9,'Asset Allocation'!J9,'Asset Allocation'!K9)/'Broad Asset Allocation'!B9),0)</f>
        <v>0.74337470647433745</v>
      </c>
    </row>
    <row r="10" spans="1:8" x14ac:dyDescent="0.25">
      <c r="A10" t="str">
        <f>IF(Input!A11="","",Input!A11)</f>
        <v>WealthSelect Managed Blend 10</v>
      </c>
      <c r="B10" s="6"/>
      <c r="C10" s="6">
        <f>IFERROR(IF(A10="","",SUM('Asset Allocation'!D10)/'Broad Asset Allocation'!B10),0)</f>
        <v>9.8061224489795915E-2</v>
      </c>
      <c r="D10" s="6"/>
      <c r="E10" s="6"/>
      <c r="F10" s="6"/>
      <c r="G10" s="6">
        <f>IFERROR(IF(A10="","",SUM('Asset Allocation'!C10,'Asset Allocation'!G10)/'Broad Asset Allocation'!B10),0)</f>
        <v>8.1938775510204079E-2</v>
      </c>
      <c r="H10" s="6">
        <f>IFERROR(IF(A10="","",SUM('Asset Allocation'!B10,'Asset Allocation'!H10,'Asset Allocation'!I10,'Asset Allocation'!J10,'Asset Allocation'!K10)/'Broad Asset Allocation'!B10),0)</f>
        <v>0.82</v>
      </c>
    </row>
    <row r="11" spans="1:8" x14ac:dyDescent="0.25">
      <c r="A11" t="str">
        <f>IF(Input!A12="","",Input!A12)</f>
        <v>WealthSelect Managed Blend 3</v>
      </c>
      <c r="B11" s="6"/>
      <c r="C11" s="6">
        <f>IFERROR(IF(A11="","",SUM('Asset Allocation'!D11)/'Broad Asset Allocation'!B11),0)</f>
        <v>0.31603773584905664</v>
      </c>
      <c r="D11" s="6"/>
      <c r="E11" s="6"/>
      <c r="F11" s="6"/>
      <c r="G11" s="6">
        <f>IFERROR(IF(A11="","",SUM('Asset Allocation'!C11,'Asset Allocation'!G11)/'Broad Asset Allocation'!B11),0)</f>
        <v>6.8610634648370514E-2</v>
      </c>
      <c r="H11" s="6">
        <f>IFERROR(IF(A11="","",SUM('Asset Allocation'!B11,'Asset Allocation'!H11,'Asset Allocation'!I11,'Asset Allocation'!J11,'Asset Allocation'!K11)/'Broad Asset Allocation'!B11),0)</f>
        <v>0.61535162950257294</v>
      </c>
    </row>
    <row r="12" spans="1:8" x14ac:dyDescent="0.25">
      <c r="A12" t="str">
        <f>IF(Input!A13="","",Input!A13)</f>
        <v>WealthSelect Managed Blend 4</v>
      </c>
      <c r="B12" s="6"/>
      <c r="C12" s="6">
        <f>IFERROR(IF(A12="","",SUM('Asset Allocation'!D12)/'Broad Asset Allocation'!B12),0)</f>
        <v>0.3159315931593159</v>
      </c>
      <c r="D12" s="6"/>
      <c r="E12" s="6"/>
      <c r="F12" s="6"/>
      <c r="G12" s="6">
        <f>IFERROR(IF(A12="","",SUM('Asset Allocation'!C12,'Asset Allocation'!G12)/'Broad Asset Allocation'!B12),0)</f>
        <v>6.8706870687068711E-2</v>
      </c>
      <c r="H12" s="6">
        <f>IFERROR(IF(A12="","",SUM('Asset Allocation'!B12,'Asset Allocation'!H12,'Asset Allocation'!I12,'Asset Allocation'!J12,'Asset Allocation'!K12)/'Broad Asset Allocation'!B12),0)</f>
        <v>0.61536153615361544</v>
      </c>
    </row>
    <row r="13" spans="1:8" x14ac:dyDescent="0.25">
      <c r="A13" t="str">
        <f>IF(Input!A14="","",Input!A14)</f>
        <v>WealthSelect Managed Blend 5</v>
      </c>
      <c r="B13" s="6"/>
      <c r="C13" s="6">
        <f>IFERROR(IF(A13="","",SUM('Asset Allocation'!D13)/'Broad Asset Allocation'!B13),0)</f>
        <v>0.31608005521048999</v>
      </c>
      <c r="D13" s="6"/>
      <c r="E13" s="6"/>
      <c r="F13" s="6"/>
      <c r="G13" s="6">
        <f>IFERROR(IF(A13="","",SUM('Asset Allocation'!C13,'Asset Allocation'!G13)/'Broad Asset Allocation'!B13),0)</f>
        <v>6.8783068783068793E-2</v>
      </c>
      <c r="H13" s="6">
        <f>IFERROR(IF(A13="","",SUM('Asset Allocation'!B13,'Asset Allocation'!H13,'Asset Allocation'!I13,'Asset Allocation'!J13,'Asset Allocation'!K13)/'Broad Asset Allocation'!B13),0)</f>
        <v>0.61513687600644118</v>
      </c>
    </row>
    <row r="14" spans="1:8" x14ac:dyDescent="0.25">
      <c r="A14" t="str">
        <f>IF(Input!A15="","",Input!A15)</f>
        <v>WealthSelect Managed Blend 6</v>
      </c>
      <c r="B14" s="6"/>
      <c r="C14" s="6">
        <f>IFERROR(IF(A14="","",SUM('Asset Allocation'!D14)/'Broad Asset Allocation'!B14),0)</f>
        <v>0.31617235590374926</v>
      </c>
      <c r="D14" s="6"/>
      <c r="E14" s="6"/>
      <c r="F14" s="6"/>
      <c r="G14" s="6">
        <f>IFERROR(IF(A14="","",SUM('Asset Allocation'!C14,'Asset Allocation'!G14)/'Broad Asset Allocation'!B14),0)</f>
        <v>6.8270844991606044E-2</v>
      </c>
      <c r="H14" s="6">
        <f>IFERROR(IF(A14="","",SUM('Asset Allocation'!B14,'Asset Allocation'!H14,'Asset Allocation'!I14,'Asset Allocation'!J14,'Asset Allocation'!K14)/'Broad Asset Allocation'!B14),0)</f>
        <v>0.61555679910464467</v>
      </c>
    </row>
    <row r="15" spans="1:8" x14ac:dyDescent="0.25">
      <c r="A15" t="str">
        <f>IF(Input!A16="","",Input!A16)</f>
        <v>WealthSelect Managed Blend 7</v>
      </c>
      <c r="B15" s="6"/>
      <c r="C15" s="6">
        <f>IFERROR(IF(A15="","",SUM('Asset Allocation'!D15)/'Broad Asset Allocation'!B15),0)</f>
        <v>0.31614487415592391</v>
      </c>
      <c r="D15" s="6"/>
      <c r="E15" s="6"/>
      <c r="F15" s="6"/>
      <c r="G15" s="6">
        <f>IFERROR(IF(A15="","",SUM('Asset Allocation'!C15,'Asset Allocation'!G15)/'Broad Asset Allocation'!B15),0)</f>
        <v>6.8446899938612651E-2</v>
      </c>
      <c r="H15" s="6">
        <f>IFERROR(IF(A15="","",SUM('Asset Allocation'!B15,'Asset Allocation'!H15,'Asset Allocation'!I15,'Asset Allocation'!J15,'Asset Allocation'!K15)/'Broad Asset Allocation'!B15),0)</f>
        <v>0.61540822590546351</v>
      </c>
    </row>
    <row r="16" spans="1:8" x14ac:dyDescent="0.25">
      <c r="A16" t="str">
        <f>IF(Input!A17="","",Input!A17)</f>
        <v>WealthSelect Managed Blend 8</v>
      </c>
      <c r="B16" s="6"/>
      <c r="C16" s="6">
        <f>IFERROR(IF(A16="","",SUM('Asset Allocation'!D16)/'Broad Asset Allocation'!B16),0)</f>
        <v>0.31611993849308051</v>
      </c>
      <c r="D16" s="6"/>
      <c r="E16" s="6"/>
      <c r="F16" s="6"/>
      <c r="G16" s="6">
        <f>IFERROR(IF(A16="","",SUM('Asset Allocation'!C16,'Asset Allocation'!G16)/'Broad Asset Allocation'!B16),0)</f>
        <v>6.8170169144028708E-2</v>
      </c>
      <c r="H16" s="6">
        <f>IFERROR(IF(A16="","",SUM('Asset Allocation'!B16,'Asset Allocation'!H16,'Asset Allocation'!I16,'Asset Allocation'!J16,'Asset Allocation'!K16)/'Broad Asset Allocation'!B16),0)</f>
        <v>0.61570989236289086</v>
      </c>
    </row>
    <row r="17" spans="1:8" x14ac:dyDescent="0.25">
      <c r="A17" t="str">
        <f>IF(Input!A18="","",Input!A18)</f>
        <v>WealthSelect Managed Blend 9</v>
      </c>
      <c r="B17" s="6"/>
      <c r="C17" s="6">
        <f>IFERROR(IF(A17="","",SUM('Asset Allocation'!D17)/'Broad Asset Allocation'!B17),0)</f>
        <v>0.20717799642218251</v>
      </c>
      <c r="D17" s="6"/>
      <c r="E17" s="6"/>
      <c r="F17" s="6"/>
      <c r="G17" s="6">
        <f>IFERROR(IF(A17="","",SUM('Asset Allocation'!C17,'Asset Allocation'!G17)/'Broad Asset Allocation'!B17),0)</f>
        <v>7.4910554561717371E-2</v>
      </c>
      <c r="H17" s="6">
        <f>IFERROR(IF(A17="","",SUM('Asset Allocation'!B17,'Asset Allocation'!H17,'Asset Allocation'!I17,'Asset Allocation'!J17,'Asset Allocation'!K17)/'Broad Asset Allocation'!B17),0)</f>
        <v>0.71791144901610016</v>
      </c>
    </row>
    <row r="18" spans="1:8" x14ac:dyDescent="0.25">
      <c r="A18" t="str">
        <f>IF(Input!A19="","",Input!A19)</f>
        <v>WealthSelect Managed Passive 10</v>
      </c>
      <c r="B18" s="6"/>
      <c r="C18" s="6">
        <f>IFERROR(IF(A18="","",SUM('Asset Allocation'!D18)/'Broad Asset Allocation'!B18),0)</f>
        <v>0.10493889506110494</v>
      </c>
      <c r="D18" s="6"/>
      <c r="E18" s="6"/>
      <c r="F18" s="6"/>
      <c r="G18" s="6">
        <f>IFERROR(IF(A18="","",SUM('Asset Allocation'!C18,'Asset Allocation'!G18)/'Broad Asset Allocation'!B18),0)</f>
        <v>0.20664579335420666</v>
      </c>
      <c r="H18" s="6">
        <f>IFERROR(IF(A18="","",SUM('Asset Allocation'!B18,'Asset Allocation'!H18,'Asset Allocation'!I18,'Asset Allocation'!J18,'Asset Allocation'!K18)/'Broad Asset Allocation'!B18),0)</f>
        <v>0.68841531158468838</v>
      </c>
    </row>
    <row r="19" spans="1:8" x14ac:dyDescent="0.25">
      <c r="A19" t="str">
        <f>IF(Input!A20="","",Input!A20)</f>
        <v>WealthSelect Managed Passive 3</v>
      </c>
      <c r="B19" s="6"/>
      <c r="C19" s="6">
        <f>IFERROR(IF(A19="","",SUM('Asset Allocation'!D19)/'Broad Asset Allocation'!B19),0)</f>
        <v>0.30055511498810472</v>
      </c>
      <c r="D19" s="6"/>
      <c r="E19" s="6"/>
      <c r="F19" s="6"/>
      <c r="G19" s="6">
        <f>IFERROR(IF(A19="","",SUM('Asset Allocation'!C19,'Asset Allocation'!G19)/'Broad Asset Allocation'!B19),0)</f>
        <v>0.13283108643933389</v>
      </c>
      <c r="H19" s="6">
        <f>IFERROR(IF(A19="","",SUM('Asset Allocation'!B19,'Asset Allocation'!H19,'Asset Allocation'!I19,'Asset Allocation'!J19,'Asset Allocation'!K19)/'Broad Asset Allocation'!B19),0)</f>
        <v>0.56661379857256156</v>
      </c>
    </row>
    <row r="20" spans="1:8" x14ac:dyDescent="0.25">
      <c r="A20" t="str">
        <f>IF(Input!A21="","",Input!A21)</f>
        <v>WealthSelect Managed Passive 4</v>
      </c>
      <c r="B20" s="6"/>
      <c r="C20" s="6">
        <f>IFERROR(IF(A20="","",SUM('Asset Allocation'!D20)/'Broad Asset Allocation'!B20),0)</f>
        <v>0.30029625639644497</v>
      </c>
      <c r="D20" s="6"/>
      <c r="E20" s="6"/>
      <c r="F20" s="6"/>
      <c r="G20" s="6">
        <f>IFERROR(IF(A20="","",SUM('Asset Allocation'!C20,'Asset Allocation'!G20)/'Broad Asset Allocation'!B20),0)</f>
        <v>0.13358470239698358</v>
      </c>
      <c r="H20" s="6">
        <f>IFERROR(IF(A20="","",SUM('Asset Allocation'!B20,'Asset Allocation'!H20,'Asset Allocation'!I20,'Asset Allocation'!J20,'Asset Allocation'!K20)/'Broad Asset Allocation'!B20),0)</f>
        <v>0.56611904120657153</v>
      </c>
    </row>
    <row r="21" spans="1:8" x14ac:dyDescent="0.25">
      <c r="A21" t="str">
        <f>IF(Input!A22="","",Input!A22)</f>
        <v>WealthSelect Managed Passive 5</v>
      </c>
      <c r="B21" s="6"/>
      <c r="C21" s="6">
        <f>IFERROR(IF(A21="","",SUM('Asset Allocation'!D21)/'Broad Asset Allocation'!B21),0)</f>
        <v>0.30031217481789801</v>
      </c>
      <c r="D21" s="6"/>
      <c r="E21" s="6"/>
      <c r="F21" s="6"/>
      <c r="G21" s="6">
        <f>IFERROR(IF(A21="","",SUM('Asset Allocation'!C21,'Asset Allocation'!G21)/'Broad Asset Allocation'!B21),0)</f>
        <v>0.13423517169614985</v>
      </c>
      <c r="H21" s="6">
        <f>IFERROR(IF(A21="","",SUM('Asset Allocation'!B21,'Asset Allocation'!H21,'Asset Allocation'!I21,'Asset Allocation'!J21,'Asset Allocation'!K21)/'Broad Asset Allocation'!B21),0)</f>
        <v>0.56545265348595219</v>
      </c>
    </row>
    <row r="22" spans="1:8" x14ac:dyDescent="0.25">
      <c r="A22" t="str">
        <f>IF(Input!A23="","",Input!A23)</f>
        <v>WealthSelect Managed Passive 6</v>
      </c>
      <c r="B22" s="6"/>
      <c r="C22" s="6">
        <f>IFERROR(IF(A22="","",SUM('Asset Allocation'!D22)/'Broad Asset Allocation'!B22),0)</f>
        <v>0.30033898305084744</v>
      </c>
      <c r="D22" s="6"/>
      <c r="E22" s="6"/>
      <c r="F22" s="6"/>
      <c r="G22" s="6">
        <f>IFERROR(IF(A22="","",SUM('Asset Allocation'!C22,'Asset Allocation'!G22)/'Broad Asset Allocation'!B22),0)</f>
        <v>0.13406779661016952</v>
      </c>
      <c r="H22" s="6">
        <f>IFERROR(IF(A22="","",SUM('Asset Allocation'!B22,'Asset Allocation'!H22,'Asset Allocation'!I22,'Asset Allocation'!J22,'Asset Allocation'!K22)/'Broad Asset Allocation'!B22),0)</f>
        <v>0.56559322033898307</v>
      </c>
    </row>
    <row r="23" spans="1:8" x14ac:dyDescent="0.25">
      <c r="A23" t="str">
        <f>IF(Input!A24="","",Input!A24)</f>
        <v>WealthSelect Managed Passive 7</v>
      </c>
      <c r="B23" s="6"/>
      <c r="C23" s="6">
        <f>IFERROR(IF(A23="","",SUM('Asset Allocation'!D23)/'Broad Asset Allocation'!B23),0)</f>
        <v>0.30045675135598054</v>
      </c>
      <c r="D23" s="6"/>
      <c r="E23" s="6"/>
      <c r="F23" s="6"/>
      <c r="G23" s="6">
        <f>IFERROR(IF(A23="","",SUM('Asset Allocation'!C23,'Asset Allocation'!G23)/'Broad Asset Allocation'!B23),0)</f>
        <v>0.13388524122180986</v>
      </c>
      <c r="H23" s="6">
        <f>IFERROR(IF(A23="","",SUM('Asset Allocation'!B23,'Asset Allocation'!H23,'Asset Allocation'!I23,'Asset Allocation'!J23,'Asset Allocation'!K23)/'Broad Asset Allocation'!B23),0)</f>
        <v>0.56565800742220951</v>
      </c>
    </row>
    <row r="24" spans="1:8" x14ac:dyDescent="0.25">
      <c r="A24" t="str">
        <f>IF(Input!A25="","",Input!A25)</f>
        <v>WealthSelect Managed Passive 8</v>
      </c>
      <c r="B24" s="6"/>
      <c r="C24" s="6">
        <f>IFERROR(IF(A24="","",SUM('Asset Allocation'!D24)/'Broad Asset Allocation'!B24),0)</f>
        <v>0.30034508257333004</v>
      </c>
      <c r="D24" s="6"/>
      <c r="E24" s="6"/>
      <c r="F24" s="6"/>
      <c r="G24" s="6">
        <f>IFERROR(IF(A24="","",SUM('Asset Allocation'!C24,'Asset Allocation'!G24)/'Broad Asset Allocation'!B24),0)</f>
        <v>0.135691397584422</v>
      </c>
      <c r="H24" s="6">
        <f>IFERROR(IF(A24="","",SUM('Asset Allocation'!B24,'Asset Allocation'!H24,'Asset Allocation'!I24,'Asset Allocation'!J24,'Asset Allocation'!K24)/'Broad Asset Allocation'!B24),0)</f>
        <v>0.56396351984224802</v>
      </c>
    </row>
    <row r="25" spans="1:8" x14ac:dyDescent="0.25">
      <c r="A25" t="str">
        <f>IF(Input!A26="","",Input!A26)</f>
        <v>WealthSelect Managed Passive 9</v>
      </c>
      <c r="B25" s="6"/>
      <c r="C25" s="6">
        <f>IFERROR(IF(A25="","",SUM('Asset Allocation'!D25)/'Broad Asset Allocation'!B25),0)</f>
        <v>0.2294047230384155</v>
      </c>
      <c r="D25" s="6"/>
      <c r="E25" s="6"/>
      <c r="F25" s="6"/>
      <c r="G25" s="6">
        <f>IFERROR(IF(A25="","",SUM('Asset Allocation'!C25,'Asset Allocation'!G25)/'Broad Asset Allocation'!B25),0)</f>
        <v>0.14898247905103928</v>
      </c>
      <c r="H25" s="6">
        <f>IFERROR(IF(A25="","",SUM('Asset Allocation'!B25,'Asset Allocation'!H25,'Asset Allocation'!I25,'Asset Allocation'!J25,'Asset Allocation'!K25)/'Broad Asset Allocation'!B25),0)</f>
        <v>0.62161279791054513</v>
      </c>
    </row>
    <row r="26" spans="1:8" x14ac:dyDescent="0.25">
      <c r="A26" t="str">
        <f>IF(Input!A27="","",Input!A27)</f>
        <v>WealthSelect Sustainable Active 10</v>
      </c>
      <c r="B26" s="6"/>
      <c r="C26" s="6">
        <f>IFERROR(IF(A26="","",SUM('Asset Allocation'!D26)/'Broad Asset Allocation'!B26),0)</f>
        <v>0</v>
      </c>
      <c r="D26" s="6"/>
      <c r="E26" s="6"/>
      <c r="F26" s="6"/>
      <c r="G26" s="6">
        <f>IFERROR(IF(A26="","",SUM('Asset Allocation'!C26,'Asset Allocation'!G26)/'Broad Asset Allocation'!B26),0)</f>
        <v>0</v>
      </c>
      <c r="H26" s="6">
        <f>IFERROR(IF(A26="","",SUM('Asset Allocation'!B26,'Asset Allocation'!H26,'Asset Allocation'!I26,'Asset Allocation'!J26,'Asset Allocation'!K26)/'Broad Asset Allocation'!B26),0)</f>
        <v>1</v>
      </c>
    </row>
    <row r="27" spans="1:8" x14ac:dyDescent="0.25">
      <c r="A27" t="str">
        <f>IF(Input!A28="","",Input!A28)</f>
        <v>WealthSelect Sustainable Active 3</v>
      </c>
      <c r="B27" s="6"/>
      <c r="C27" s="6">
        <f>IFERROR(IF(A27="","",SUM('Asset Allocation'!D27)/'Broad Asset Allocation'!B27),0)</f>
        <v>0</v>
      </c>
      <c r="D27" s="6"/>
      <c r="E27" s="6"/>
      <c r="F27" s="6"/>
      <c r="G27" s="6">
        <f>IFERROR(IF(A27="","",SUM('Asset Allocation'!C27,'Asset Allocation'!G27)/'Broad Asset Allocation'!B27),0)</f>
        <v>0</v>
      </c>
      <c r="H27" s="6">
        <f>IFERROR(IF(A27="","",SUM('Asset Allocation'!B27,'Asset Allocation'!H27,'Asset Allocation'!I27,'Asset Allocation'!J27,'Asset Allocation'!K27)/'Broad Asset Allocation'!B27),0)</f>
        <v>1</v>
      </c>
    </row>
    <row r="28" spans="1:8" x14ac:dyDescent="0.25">
      <c r="A28" t="str">
        <f>IF(Input!A29="","",Input!A29)</f>
        <v>WealthSelect Sustainable Active 4</v>
      </c>
      <c r="B28" s="6"/>
      <c r="C28" s="6">
        <f>IFERROR(IF(A28="","",SUM('Asset Allocation'!D28)/'Broad Asset Allocation'!B28),0)</f>
        <v>0</v>
      </c>
      <c r="D28" s="6"/>
      <c r="E28" s="6"/>
      <c r="F28" s="6"/>
      <c r="G28" s="6">
        <f>IFERROR(IF(A28="","",SUM('Asset Allocation'!C28,'Asset Allocation'!G28)/'Broad Asset Allocation'!B28),0)</f>
        <v>0</v>
      </c>
      <c r="H28" s="6">
        <f>IFERROR(IF(A28="","",SUM('Asset Allocation'!B28,'Asset Allocation'!H28,'Asset Allocation'!I28,'Asset Allocation'!J28,'Asset Allocation'!K28)/'Broad Asset Allocation'!B28),0)</f>
        <v>1</v>
      </c>
    </row>
    <row r="29" spans="1:8" x14ac:dyDescent="0.25">
      <c r="A29" t="str">
        <f>IF(Input!A30="","",Input!A30)</f>
        <v>WealthSelect Sustainable Active 5</v>
      </c>
      <c r="B29" s="6"/>
      <c r="C29" s="6">
        <f>IFERROR(IF(A29="","",SUM('Asset Allocation'!D29)/'Broad Asset Allocation'!B29),0)</f>
        <v>0</v>
      </c>
      <c r="D29" s="6"/>
      <c r="E29" s="6"/>
      <c r="F29" s="6"/>
      <c r="G29" s="6">
        <f>IFERROR(IF(A29="","",SUM('Asset Allocation'!C29,'Asset Allocation'!G29)/'Broad Asset Allocation'!B29),0)</f>
        <v>0</v>
      </c>
      <c r="H29" s="6">
        <f>IFERROR(IF(A29="","",SUM('Asset Allocation'!B29,'Asset Allocation'!H29,'Asset Allocation'!I29,'Asset Allocation'!J29,'Asset Allocation'!K29)/'Broad Asset Allocation'!B29),0)</f>
        <v>1</v>
      </c>
    </row>
    <row r="30" spans="1:8" x14ac:dyDescent="0.25">
      <c r="A30" t="str">
        <f>IF(Input!A31="","",Input!A31)</f>
        <v>WealthSelect Sustainable Active 6</v>
      </c>
      <c r="B30" s="6"/>
      <c r="C30" s="6">
        <f>IFERROR(IF(A30="","",SUM('Asset Allocation'!D30)/'Broad Asset Allocation'!B30),0)</f>
        <v>0</v>
      </c>
      <c r="D30" s="6"/>
      <c r="E30" s="6"/>
      <c r="F30" s="6"/>
      <c r="G30" s="6">
        <f>IFERROR(IF(A30="","",SUM('Asset Allocation'!C30,'Asset Allocation'!G30)/'Broad Asset Allocation'!B30),0)</f>
        <v>0</v>
      </c>
      <c r="H30" s="6">
        <f>IFERROR(IF(A30="","",SUM('Asset Allocation'!B30,'Asset Allocation'!H30,'Asset Allocation'!I30,'Asset Allocation'!J30,'Asset Allocation'!K30)/'Broad Asset Allocation'!B30),0)</f>
        <v>1</v>
      </c>
    </row>
    <row r="31" spans="1:8" x14ac:dyDescent="0.25">
      <c r="A31" t="str">
        <f>IF(Input!A32="","",Input!A32)</f>
        <v>WealthSelect Sustainable Active 7</v>
      </c>
      <c r="B31" s="6"/>
      <c r="C31" s="6">
        <f>IFERROR(IF(A31="","",SUM('Asset Allocation'!D31)/'Broad Asset Allocation'!B31),0)</f>
        <v>0</v>
      </c>
      <c r="D31" s="6"/>
      <c r="E31" s="6"/>
      <c r="F31" s="6"/>
      <c r="G31" s="6">
        <f>IFERROR(IF(A31="","",SUM('Asset Allocation'!C31,'Asset Allocation'!G31)/'Broad Asset Allocation'!B31),0)</f>
        <v>0</v>
      </c>
      <c r="H31" s="6">
        <f>IFERROR(IF(A31="","",SUM('Asset Allocation'!B31,'Asset Allocation'!H31,'Asset Allocation'!I31,'Asset Allocation'!J31,'Asset Allocation'!K31)/'Broad Asset Allocation'!B31),0)</f>
        <v>1</v>
      </c>
    </row>
    <row r="32" spans="1:8" x14ac:dyDescent="0.25">
      <c r="A32" t="str">
        <f>IF(Input!A33="","",Input!A33)</f>
        <v>WealthSelect Sustainable Active 8</v>
      </c>
      <c r="B32" s="6"/>
      <c r="C32" s="6">
        <f>IFERROR(IF(A32="","",SUM('Asset Allocation'!D32)/'Broad Asset Allocation'!B32),0)</f>
        <v>0</v>
      </c>
      <c r="D32" s="6"/>
      <c r="E32" s="6"/>
      <c r="F32" s="6"/>
      <c r="G32" s="6">
        <f>IFERROR(IF(A32="","",SUM('Asset Allocation'!C32,'Asset Allocation'!G32)/'Broad Asset Allocation'!B32),0)</f>
        <v>0</v>
      </c>
      <c r="H32" s="6">
        <f>IFERROR(IF(A32="","",SUM('Asset Allocation'!B32,'Asset Allocation'!H32,'Asset Allocation'!I32,'Asset Allocation'!J32,'Asset Allocation'!K32)/'Broad Asset Allocation'!B32),0)</f>
        <v>1</v>
      </c>
    </row>
    <row r="33" spans="1:8" x14ac:dyDescent="0.25">
      <c r="A33" t="str">
        <f>IF(Input!A34="","",Input!A34)</f>
        <v>WealthSelect Sustainable Active 9</v>
      </c>
      <c r="B33" s="6"/>
      <c r="C33" s="6">
        <f>IFERROR(IF(A33="","",SUM('Asset Allocation'!D33)/'Broad Asset Allocation'!B33),0)</f>
        <v>0</v>
      </c>
      <c r="D33" s="6"/>
      <c r="E33" s="6"/>
      <c r="F33" s="6"/>
      <c r="G33" s="6">
        <f>IFERROR(IF(A33="","",SUM('Asset Allocation'!C33,'Asset Allocation'!G33)/'Broad Asset Allocation'!B33),0)</f>
        <v>0</v>
      </c>
      <c r="H33" s="6">
        <f>IFERROR(IF(A33="","",SUM('Asset Allocation'!B33,'Asset Allocation'!H33,'Asset Allocation'!I33,'Asset Allocation'!J33,'Asset Allocation'!K33)/'Broad Asset Allocation'!B33),0)</f>
        <v>1</v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Allocation'!D34)/'Broad Asset Allocation'!B34),0)</f>
        <v/>
      </c>
      <c r="D34" s="6"/>
      <c r="E34" s="6"/>
      <c r="F34" s="6"/>
      <c r="G34" s="6" t="str">
        <f>IFERROR(IF(A34="","",SUM('Asset Allocation'!C34,'Asset Allocation'!G34)/'Broad Asset Allocation'!B34),0)</f>
        <v/>
      </c>
      <c r="H34" s="6" t="str">
        <f>IFERROR(IF(A34="","",SUM('Asset Allocation'!B34,'Asset Allocation'!H34,'Asset Allocation'!I34,'Asset Allocation'!J34,'Asset Allocation'!K34)/'Broad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Allocation'!D35)/'Broad Asset Allocation'!B35),0)</f>
        <v/>
      </c>
      <c r="D35" s="6"/>
      <c r="E35" s="6"/>
      <c r="F35" s="6"/>
      <c r="G35" s="6" t="str">
        <f>IFERROR(IF(A35="","",SUM('Asset Allocation'!C35,'Asset Allocation'!G35)/'Broad Asset Allocation'!B35),0)</f>
        <v/>
      </c>
      <c r="H35" s="6" t="str">
        <f>IFERROR(IF(A35="","",SUM('Asset Allocation'!B35,'Asset Allocation'!H35,'Asset Allocation'!I35,'Asset Allocation'!J35,'Asset Allocation'!K35)/'Broad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Allocation'!D36)/'Broad Asset Allocation'!B36),0)</f>
        <v/>
      </c>
      <c r="D36" s="6"/>
      <c r="E36" s="6"/>
      <c r="F36" s="6"/>
      <c r="G36" s="6" t="str">
        <f>IFERROR(IF(A36="","",SUM('Asset Allocation'!C36,'Asset Allocation'!G36)/'Broad Asset Allocation'!B36),0)</f>
        <v/>
      </c>
      <c r="H36" s="6" t="str">
        <f>IFERROR(IF(A36="","",SUM('Asset Allocation'!B36,'Asset Allocation'!H36,'Asset Allocation'!I36,'Asset Allocation'!J36,'Asset Allocation'!K36)/'Broad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Allocation'!D37)/'Broad Asset Allocation'!B37),0)</f>
        <v/>
      </c>
      <c r="D37" s="6"/>
      <c r="E37" s="6"/>
      <c r="F37" s="6"/>
      <c r="G37" s="6" t="str">
        <f>IFERROR(IF(A37="","",SUM('Asset Allocation'!C37,'Asset Allocation'!G37)/'Broad Asset Allocation'!B37),0)</f>
        <v/>
      </c>
      <c r="H37" s="6" t="str">
        <f>IFERROR(IF(A37="","",SUM('Asset Allocation'!B37,'Asset Allocation'!H37,'Asset Allocation'!I37,'Asset Allocation'!J37,'Asset Allocation'!K37)/'Broad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Allocation'!D38)/'Broad Asset Allocation'!B38),0)</f>
        <v/>
      </c>
      <c r="D38" s="6"/>
      <c r="E38" s="6"/>
      <c r="F38" s="6"/>
      <c r="G38" s="6" t="str">
        <f>IFERROR(IF(A38="","",SUM('Asset Allocation'!C38,'Asset Allocation'!G38)/'Broad Asset Allocation'!B38),0)</f>
        <v/>
      </c>
      <c r="H38" s="6" t="str">
        <f>IFERROR(IF(A38="","",SUM('Asset Allocation'!B38,'Asset Allocation'!H38,'Asset Allocation'!I38,'Asset Allocation'!J38,'Asset Allocation'!K38)/'Broad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Allocation'!D39)/'Broad Asset Allocation'!B39),0)</f>
        <v/>
      </c>
      <c r="D39" s="6"/>
      <c r="E39" s="6"/>
      <c r="F39" s="6"/>
      <c r="G39" s="6" t="str">
        <f>IFERROR(IF(A39="","",SUM('Asset Allocation'!C39,'Asset Allocation'!G39)/'Broad Asset Allocation'!B39),0)</f>
        <v/>
      </c>
      <c r="H39" s="6" t="str">
        <f>IFERROR(IF(A39="","",SUM('Asset Allocation'!B39,'Asset Allocation'!H39,'Asset Allocation'!I39,'Asset Allocation'!J39,'Asset Allocation'!K39)/'Broad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Allocation'!D40)/'Broad Asset Allocation'!B40),0)</f>
        <v/>
      </c>
      <c r="D40" s="6"/>
      <c r="E40" s="6"/>
      <c r="F40" s="6"/>
      <c r="G40" s="6" t="str">
        <f>IFERROR(IF(A40="","",SUM('Asset Allocation'!C40,'Asset Allocation'!G40)/'Broad Asset Allocation'!B40),0)</f>
        <v/>
      </c>
      <c r="H40" s="6" t="str">
        <f>IFERROR(IF(A40="","",SUM('Asset Allocation'!B40,'Asset Allocation'!H40,'Asset Allocation'!I40,'Asset Allocation'!J40,'Asset Allocation'!K40)/'Broad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Allocation'!D41)/'Broad Asset Allocation'!B41),0)</f>
        <v/>
      </c>
      <c r="D41" s="6"/>
      <c r="E41" s="6"/>
      <c r="F41" s="6"/>
      <c r="G41" s="6" t="str">
        <f>IFERROR(IF(A41="","",SUM('Asset Allocation'!C41,'Asset Allocation'!G41)/'Broad Asset Allocation'!B41),0)</f>
        <v/>
      </c>
      <c r="H41" s="6" t="str">
        <f>IFERROR(IF(A41="","",SUM('Asset Allocation'!B41,'Asset Allocation'!H41,'Asset Allocation'!I41,'Asset Allocation'!J41,'Asset Allocation'!K41)/'Broad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Allocation'!D42)/'Broad Asset Allocation'!B42),0)</f>
        <v/>
      </c>
      <c r="D42" s="6"/>
      <c r="E42" s="6"/>
      <c r="F42" s="6"/>
      <c r="G42" s="6" t="str">
        <f>IFERROR(IF(A42="","",SUM('Asset Allocation'!C42,'Asset Allocation'!G42)/'Broad Asset Allocation'!B42),0)</f>
        <v/>
      </c>
      <c r="H42" s="6" t="str">
        <f>IFERROR(IF(A42="","",SUM('Asset Allocation'!B42,'Asset Allocation'!H42,'Asset Allocation'!I42,'Asset Allocation'!J42,'Asset Allocation'!K42)/'Broad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Allocation'!D43)/'Broad Asset Allocation'!B43),0)</f>
        <v/>
      </c>
      <c r="D43" s="6"/>
      <c r="E43" s="6"/>
      <c r="F43" s="6"/>
      <c r="G43" s="6" t="str">
        <f>IFERROR(IF(A43="","",SUM('Asset Allocation'!C43,'Asset Allocation'!G43)/'Broad Asset Allocation'!B43),0)</f>
        <v/>
      </c>
      <c r="H43" s="6" t="str">
        <f>IFERROR(IF(A43="","",SUM('Asset Allocation'!B43,'Asset Allocation'!H43,'Asset Allocation'!I43,'Asset Allocation'!J43,'Asset Allocation'!K43)/'Broad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Allocation'!D44)/'Broad Asset Allocation'!B44),0)</f>
        <v/>
      </c>
      <c r="D44" s="6"/>
      <c r="E44" s="6"/>
      <c r="F44" s="6"/>
      <c r="G44" s="6" t="str">
        <f>IFERROR(IF(A44="","",SUM('Asset Allocation'!C44,'Asset Allocation'!G44)/'Broad Asset Allocation'!B44),0)</f>
        <v/>
      </c>
      <c r="H44" s="6" t="str">
        <f>IFERROR(IF(A44="","",SUM('Asset Allocation'!B44,'Asset Allocation'!H44,'Asset Allocation'!I44,'Asset Allocation'!J44,'Asset Allocation'!K44)/'Broad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Allocation'!D45)/'Broad Asset Allocation'!B45),0)</f>
        <v/>
      </c>
      <c r="D45" s="6"/>
      <c r="E45" s="6"/>
      <c r="F45" s="6"/>
      <c r="G45" s="6" t="str">
        <f>IFERROR(IF(A45="","",SUM('Asset Allocation'!C45,'Asset Allocation'!G45)/'Broad Asset Allocation'!B45),0)</f>
        <v/>
      </c>
      <c r="H45" s="6" t="str">
        <f>IFERROR(IF(A45="","",SUM('Asset Allocation'!B45,'Asset Allocation'!H45,'Asset Allocation'!I45,'Asset Allocation'!J45,'Asset Allocation'!K45)/'Broad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Allocation'!D46)/'Broad Asset Allocation'!B46),0)</f>
        <v/>
      </c>
      <c r="D46" s="6"/>
      <c r="E46" s="6"/>
      <c r="F46" s="6"/>
      <c r="G46" s="6" t="str">
        <f>IFERROR(IF(A46="","",SUM('Asset Allocation'!C46,'Asset Allocation'!G46)/'Broad Asset Allocation'!B46),0)</f>
        <v/>
      </c>
      <c r="H46" s="6" t="str">
        <f>IFERROR(IF(A46="","",SUM('Asset Allocation'!B46,'Asset Allocation'!H46,'Asset Allocation'!I46,'Asset Allocation'!J46,'Asset Allocation'!K46)/'Broad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Allocation'!D47)/'Broad Asset Allocation'!B47),0)</f>
        <v/>
      </c>
      <c r="D47" s="6"/>
      <c r="E47" s="6"/>
      <c r="F47" s="6"/>
      <c r="G47" s="6" t="str">
        <f>IFERROR(IF(A47="","",SUM('Asset Allocation'!C47,'Asset Allocation'!G47)/'Broad Asset Allocation'!B47),0)</f>
        <v/>
      </c>
      <c r="H47" s="6" t="str">
        <f>IFERROR(IF(A47="","",SUM('Asset Allocation'!B47,'Asset Allocation'!H47,'Asset Allocation'!I47,'Asset Allocation'!J47,'Asset Allocation'!K47)/'Broad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Allocation'!D48)/'Broad Asset Allocation'!B48),0)</f>
        <v/>
      </c>
      <c r="D48" s="6"/>
      <c r="E48" s="6"/>
      <c r="F48" s="6"/>
      <c r="G48" s="6" t="str">
        <f>IFERROR(IF(A48="","",SUM('Asset Allocation'!C48,'Asset Allocation'!G48)/'Broad Asset Allocation'!B48),0)</f>
        <v/>
      </c>
      <c r="H48" s="6" t="str">
        <f>IFERROR(IF(A48="","",SUM('Asset Allocation'!B48,'Asset Allocation'!H48,'Asset Allocation'!I48,'Asset Allocation'!J48,'Asset Allocation'!K48)/'Broad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Allocation'!D49)/'Broad Asset Allocation'!B49),0)</f>
        <v/>
      </c>
      <c r="D49" s="6"/>
      <c r="E49" s="6"/>
      <c r="F49" s="6"/>
      <c r="G49" s="6" t="str">
        <f>IFERROR(IF(A49="","",SUM('Asset Allocation'!C49,'Asset Allocation'!G49)/'Broad Asset Allocation'!B49),0)</f>
        <v/>
      </c>
      <c r="H49" s="6" t="str">
        <f>IFERROR(IF(A49="","",SUM('Asset Allocation'!B49,'Asset Allocation'!H49,'Asset Allocation'!I49,'Asset Allocation'!J49,'Asset Allocation'!K49)/'Broad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Allocation'!D50)/'Broad Asset Allocation'!B50),0)</f>
        <v/>
      </c>
      <c r="D50" s="6"/>
      <c r="E50" s="6"/>
      <c r="F50" s="6"/>
      <c r="G50" s="6" t="str">
        <f>IFERROR(IF(A50="","",SUM('Asset Allocation'!C50,'Asset Allocation'!G50)/'Broad Asset Allocation'!B50),0)</f>
        <v/>
      </c>
      <c r="H50" s="6" t="str">
        <f>IFERROR(IF(A50="","",SUM('Asset Allocation'!B50,'Asset Allocation'!H50,'Asset Allocation'!I50,'Asset Allocation'!J50,'Asset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WealthSelect Managed Active 10</v>
      </c>
      <c r="H2">
        <f>IFERROR(IF(A2="","",SUM('Asset Allocation'!E2)/'Broad Asset Allocation'!C2),0)</f>
        <v>0</v>
      </c>
    </row>
    <row r="3" spans="1:8" x14ac:dyDescent="0.25">
      <c r="A3" t="str">
        <f>IF(Input!A4="","",Input!A4)</f>
        <v>WealthSelect Managed Active 3</v>
      </c>
      <c r="H3">
        <f>IFERROR(IF(A3="","",SUM('Asset Allocation'!E3)/'Broad Asset Allocation'!C3),0)</f>
        <v>1</v>
      </c>
    </row>
    <row r="4" spans="1:8" x14ac:dyDescent="0.25">
      <c r="A4" t="str">
        <f>IF(Input!A5="","",Input!A5)</f>
        <v>WealthSelect Managed Active 4</v>
      </c>
      <c r="H4">
        <f>IFERROR(IF(A4="","",SUM('Asset Allocation'!E4)/'Broad Asset Allocation'!C4),0)</f>
        <v>1</v>
      </c>
    </row>
    <row r="5" spans="1:8" x14ac:dyDescent="0.25">
      <c r="A5" t="str">
        <f>IF(Input!A6="","",Input!A6)</f>
        <v>WealthSelect Managed Active 5</v>
      </c>
      <c r="H5">
        <f>IFERROR(IF(A5="","",SUM('Asset Allocation'!E5)/'Broad Asset Allocation'!C5),0)</f>
        <v>1</v>
      </c>
    </row>
    <row r="6" spans="1:8" x14ac:dyDescent="0.25">
      <c r="A6" t="str">
        <f>IF(Input!A7="","",Input!A7)</f>
        <v>WealthSelect Managed Active 6</v>
      </c>
      <c r="H6">
        <f>IFERROR(IF(A6="","",SUM('Asset Allocation'!E6)/'Broad Asset Allocation'!C6),0)</f>
        <v>1</v>
      </c>
    </row>
    <row r="7" spans="1:8" x14ac:dyDescent="0.25">
      <c r="A7" t="str">
        <f>IF(Input!A8="","",Input!A8)</f>
        <v>WealthSelect Managed Active 7</v>
      </c>
      <c r="H7">
        <f>IFERROR(IF(A7="","",SUM('Asset Allocation'!E7)/'Broad Asset Allocation'!C7),0)</f>
        <v>1</v>
      </c>
    </row>
    <row r="8" spans="1:8" x14ac:dyDescent="0.25">
      <c r="A8" t="str">
        <f>IF(Input!A9="","",Input!A9)</f>
        <v>WealthSelect Managed Active 8</v>
      </c>
      <c r="H8">
        <f>IFERROR(IF(A8="","",SUM('Asset Allocation'!E8)/'Broad Asset Allocation'!C8),0)</f>
        <v>1</v>
      </c>
    </row>
    <row r="9" spans="1:8" x14ac:dyDescent="0.25">
      <c r="A9" t="str">
        <f>IF(Input!A10="","",Input!A10)</f>
        <v>WealthSelect Managed Active 9</v>
      </c>
      <c r="H9">
        <f>IFERROR(IF(A9="","",SUM('Asset Allocation'!E9)/'Broad Asset Allocation'!C9),0)</f>
        <v>0</v>
      </c>
    </row>
    <row r="10" spans="1:8" x14ac:dyDescent="0.25">
      <c r="A10" t="str">
        <f>IF(Input!A11="","",Input!A11)</f>
        <v>WealthSelect Managed Blend 10</v>
      </c>
      <c r="H10">
        <f>IFERROR(IF(A10="","",SUM('Asset Allocation'!E10)/'Broad Asset Allocation'!C10),0)</f>
        <v>0</v>
      </c>
    </row>
    <row r="11" spans="1:8" x14ac:dyDescent="0.25">
      <c r="A11" t="str">
        <f>IF(Input!A12="","",Input!A12)</f>
        <v>WealthSelect Managed Blend 3</v>
      </c>
      <c r="H11">
        <f>IFERROR(IF(A11="","",SUM('Asset Allocation'!E11)/'Broad Asset Allocation'!C11),0)</f>
        <v>1</v>
      </c>
    </row>
    <row r="12" spans="1:8" x14ac:dyDescent="0.25">
      <c r="A12" t="str">
        <f>IF(Input!A13="","",Input!A13)</f>
        <v>WealthSelect Managed Blend 4</v>
      </c>
      <c r="H12">
        <f>IFERROR(IF(A12="","",SUM('Asset Allocation'!E12)/'Broad Asset Allocation'!C12),0)</f>
        <v>1</v>
      </c>
    </row>
    <row r="13" spans="1:8" x14ac:dyDescent="0.25">
      <c r="A13" t="str">
        <f>IF(Input!A14="","",Input!A14)</f>
        <v>WealthSelect Managed Blend 5</v>
      </c>
      <c r="H13">
        <f>IFERROR(IF(A13="","",SUM('Asset Allocation'!E13)/'Broad Asset Allocation'!C13),0)</f>
        <v>1</v>
      </c>
    </row>
    <row r="14" spans="1:8" x14ac:dyDescent="0.25">
      <c r="A14" t="str">
        <f>IF(Input!A15="","",Input!A15)</f>
        <v>WealthSelect Managed Blend 6</v>
      </c>
      <c r="H14">
        <f>IFERROR(IF(A14="","",SUM('Asset Allocation'!E14)/'Broad Asset Allocation'!C14),0)</f>
        <v>1</v>
      </c>
    </row>
    <row r="15" spans="1:8" x14ac:dyDescent="0.25">
      <c r="A15" t="str">
        <f>IF(Input!A16="","",Input!A16)</f>
        <v>WealthSelect Managed Blend 7</v>
      </c>
      <c r="H15">
        <f>IFERROR(IF(A15="","",SUM('Asset Allocation'!E15)/'Broad Asset Allocation'!C15),0)</f>
        <v>1</v>
      </c>
    </row>
    <row r="16" spans="1:8" x14ac:dyDescent="0.25">
      <c r="A16" t="str">
        <f>IF(Input!A17="","",Input!A17)</f>
        <v>WealthSelect Managed Blend 8</v>
      </c>
      <c r="H16">
        <f>IFERROR(IF(A16="","",SUM('Asset Allocation'!E16)/'Broad Asset Allocation'!C16),0)</f>
        <v>1</v>
      </c>
    </row>
    <row r="17" spans="1:8" x14ac:dyDescent="0.25">
      <c r="A17" t="str">
        <f>IF(Input!A18="","",Input!A18)</f>
        <v>WealthSelect Managed Blend 9</v>
      </c>
      <c r="H17">
        <f>IFERROR(IF(A17="","",SUM('Asset Allocation'!E17)/'Broad Asset Allocation'!C17),0)</f>
        <v>0</v>
      </c>
    </row>
    <row r="18" spans="1:8" x14ac:dyDescent="0.25">
      <c r="A18" t="str">
        <f>IF(Input!A19="","",Input!A19)</f>
        <v>WealthSelect Managed Passive 10</v>
      </c>
      <c r="H18">
        <f>IFERROR(IF(A18="","",SUM('Asset Allocation'!E18)/'Broad Asset Allocation'!C18),0)</f>
        <v>0</v>
      </c>
    </row>
    <row r="19" spans="1:8" x14ac:dyDescent="0.25">
      <c r="A19" t="str">
        <f>IF(Input!A20="","",Input!A20)</f>
        <v>WealthSelect Managed Passive 3</v>
      </c>
      <c r="H19">
        <f>IFERROR(IF(A19="","",SUM('Asset Allocation'!E19)/'Broad Asset Allocation'!C19),0)</f>
        <v>1</v>
      </c>
    </row>
    <row r="20" spans="1:8" x14ac:dyDescent="0.25">
      <c r="A20" t="str">
        <f>IF(Input!A21="","",Input!A21)</f>
        <v>WealthSelect Managed Passive 4</v>
      </c>
      <c r="H20">
        <f>IFERROR(IF(A20="","",SUM('Asset Allocation'!E20)/'Broad Asset Allocation'!C20),0)</f>
        <v>1</v>
      </c>
    </row>
    <row r="21" spans="1:8" x14ac:dyDescent="0.25">
      <c r="A21" t="str">
        <f>IF(Input!A22="","",Input!A22)</f>
        <v>WealthSelect Managed Passive 5</v>
      </c>
      <c r="H21">
        <f>IFERROR(IF(A21="","",SUM('Asset Allocation'!E21)/'Broad Asset Allocation'!C21),0)</f>
        <v>1</v>
      </c>
    </row>
    <row r="22" spans="1:8" x14ac:dyDescent="0.25">
      <c r="A22" t="str">
        <f>IF(Input!A23="","",Input!A23)</f>
        <v>WealthSelect Managed Passive 6</v>
      </c>
      <c r="H22">
        <f>IFERROR(IF(A22="","",SUM('Asset Allocation'!E22)/'Broad Asset Allocation'!C22),0)</f>
        <v>1</v>
      </c>
    </row>
    <row r="23" spans="1:8" x14ac:dyDescent="0.25">
      <c r="A23" t="str">
        <f>IF(Input!A24="","",Input!A24)</f>
        <v>WealthSelect Managed Passive 7</v>
      </c>
      <c r="H23">
        <f>IFERROR(IF(A23="","",SUM('Asset Allocation'!E23)/'Broad Asset Allocation'!C23),0)</f>
        <v>1</v>
      </c>
    </row>
    <row r="24" spans="1:8" x14ac:dyDescent="0.25">
      <c r="A24" t="str">
        <f>IF(Input!A25="","",Input!A25)</f>
        <v>WealthSelect Managed Passive 8</v>
      </c>
      <c r="H24">
        <f>IFERROR(IF(A24="","",SUM('Asset Allocation'!E24)/'Broad Asset Allocation'!C24),0)</f>
        <v>1</v>
      </c>
    </row>
    <row r="25" spans="1:8" x14ac:dyDescent="0.25">
      <c r="A25" t="str">
        <f>IF(Input!A26="","",Input!A26)</f>
        <v>WealthSelect Managed Passive 9</v>
      </c>
      <c r="H25">
        <f>IFERROR(IF(A25="","",SUM('Asset Allocation'!E25)/'Broad Asset Allocation'!C25),0)</f>
        <v>1</v>
      </c>
    </row>
    <row r="26" spans="1:8" x14ac:dyDescent="0.25">
      <c r="A26" t="str">
        <f>IF(Input!A27="","",Input!A27)</f>
        <v>WealthSelect Sustainable Active 10</v>
      </c>
      <c r="H26">
        <f>IFERROR(IF(A26="","",SUM('Asset Allocation'!E26)/'Broad Asset Allocation'!C26),0)</f>
        <v>0</v>
      </c>
    </row>
    <row r="27" spans="1:8" x14ac:dyDescent="0.25">
      <c r="A27" t="str">
        <f>IF(Input!A28="","",Input!A28)</f>
        <v>WealthSelect Sustainable Active 3</v>
      </c>
      <c r="H27">
        <f>IFERROR(IF(A27="","",SUM('Asset Allocation'!E27)/'Broad Asset Allocation'!C27),0)</f>
        <v>1</v>
      </c>
    </row>
    <row r="28" spans="1:8" x14ac:dyDescent="0.25">
      <c r="A28" t="str">
        <f>IF(Input!A29="","",Input!A29)</f>
        <v>WealthSelect Sustainable Active 4</v>
      </c>
      <c r="H28">
        <f>IFERROR(IF(A28="","",SUM('Asset Allocation'!E28)/'Broad Asset Allocation'!C28),0)</f>
        <v>1</v>
      </c>
    </row>
    <row r="29" spans="1:8" x14ac:dyDescent="0.25">
      <c r="A29" t="str">
        <f>IF(Input!A30="","",Input!A30)</f>
        <v>WealthSelect Sustainable Active 5</v>
      </c>
      <c r="H29">
        <f>IFERROR(IF(A29="","",SUM('Asset Allocation'!E29)/'Broad Asset Allocation'!C29),0)</f>
        <v>1</v>
      </c>
    </row>
    <row r="30" spans="1:8" x14ac:dyDescent="0.25">
      <c r="A30" t="str">
        <f>IF(Input!A31="","",Input!A31)</f>
        <v>WealthSelect Sustainable Active 6</v>
      </c>
      <c r="H30">
        <f>IFERROR(IF(A30="","",SUM('Asset Allocation'!E30)/'Broad Asset Allocation'!C30),0)</f>
        <v>1</v>
      </c>
    </row>
    <row r="31" spans="1:8" x14ac:dyDescent="0.25">
      <c r="A31" t="str">
        <f>IF(Input!A32="","",Input!A32)</f>
        <v>WealthSelect Sustainable Active 7</v>
      </c>
      <c r="H31">
        <f>IFERROR(IF(A31="","",SUM('Asset Allocation'!E31)/'Broad Asset Allocation'!C31),0)</f>
        <v>1</v>
      </c>
    </row>
    <row r="32" spans="1:8" x14ac:dyDescent="0.25">
      <c r="A32" t="str">
        <f>IF(Input!A33="","",Input!A33)</f>
        <v>WealthSelect Sustainable Active 8</v>
      </c>
      <c r="H32">
        <f>IFERROR(IF(A32="","",SUM('Asset Allocation'!E32)/'Broad Asset Allocation'!C32),0)</f>
        <v>1</v>
      </c>
    </row>
    <row r="33" spans="1:8" x14ac:dyDescent="0.25">
      <c r="A33" t="str">
        <f>IF(Input!A34="","",Input!A34)</f>
        <v>WealthSelect Sustainable Active 9</v>
      </c>
      <c r="H33">
        <f>IFERROR(IF(A33="","",SUM('Asset Allocation'!E33)/'Broad Asset Allocation'!C33),0)</f>
        <v>1</v>
      </c>
    </row>
    <row r="34" spans="1:8" x14ac:dyDescent="0.25">
      <c r="A34" t="str">
        <f>IF(Input!A35="","",Input!A35)</f>
        <v/>
      </c>
      <c r="H34" t="str">
        <f>IFERROR(IF(A34="","",SUM('Asset Allocation'!E34)/'Broad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Allocation'!E35)/'Broad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Allocation'!E36)/'Broad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Allocation'!E37)/'Broad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Allocation'!E38)/'Broad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Allocation'!E39)/'Broad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Allocation'!E40)/'Broad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Allocation'!E41)/'Broad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Allocation'!E42)/'Broad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Allocation'!E43)/'Broad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Allocation'!E44)/'Broad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Allocation'!E45)/'Broad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Allocation'!E46)/'Broad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Allocation'!E47)/'Broad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Allocation'!E48)/'Broad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Allocation'!E49)/'Broad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Allocation'!E50)/'Broad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WealthSelect Managed Active 10</v>
      </c>
      <c r="C1" s="1" t="str">
        <v>WealthSelect Managed Active 3</v>
      </c>
      <c r="D1" t="str">
        <v>WealthSelect Managed Active 4</v>
      </c>
      <c r="E1" t="str">
        <v>WealthSelect Managed Active 5</v>
      </c>
      <c r="F1" t="str">
        <v>WealthSelect Managed Active 6</v>
      </c>
      <c r="G1" t="str">
        <v>WealthSelect Managed Active 7</v>
      </c>
      <c r="H1" t="str">
        <v>WealthSelect Managed Active 8</v>
      </c>
      <c r="I1" t="str">
        <v>WealthSelect Managed Active 9</v>
      </c>
      <c r="J1" t="str">
        <v>WealthSelect Managed Blend 10</v>
      </c>
      <c r="K1" t="str">
        <v>WealthSelect Managed Blend 3</v>
      </c>
      <c r="L1" t="str">
        <v>WealthSelect Managed Blend 4</v>
      </c>
      <c r="M1" t="str">
        <v>WealthSelect Managed Blend 5</v>
      </c>
      <c r="N1" t="str">
        <v>WealthSelect Managed Blend 6</v>
      </c>
      <c r="O1" t="str">
        <v>WealthSelect Managed Blend 7</v>
      </c>
      <c r="P1" t="str">
        <v>WealthSelect Managed Blend 8</v>
      </c>
      <c r="Q1" t="str">
        <v>WealthSelect Managed Blend 9</v>
      </c>
      <c r="R1" t="str">
        <v>WealthSelect Managed Passive 10</v>
      </c>
      <c r="S1" t="str">
        <v>WealthSelect Managed Passive 3</v>
      </c>
      <c r="T1" t="str">
        <v>WealthSelect Managed Passive 4</v>
      </c>
      <c r="U1" t="str">
        <v>WealthSelect Managed Passive 5</v>
      </c>
      <c r="V1" t="str">
        <v>WealthSelect Managed Passive 6</v>
      </c>
      <c r="W1" t="str">
        <v>WealthSelect Managed Passive 7</v>
      </c>
      <c r="X1" t="str">
        <v>WealthSelect Managed Passive 8</v>
      </c>
      <c r="Y1" t="str">
        <v>WealthSelect Managed Passive 9</v>
      </c>
      <c r="Z1" t="str">
        <v>WealthSelect Sustainable Active 10</v>
      </c>
      <c r="AA1" t="str">
        <v>WealthSelect Sustainable Active 3</v>
      </c>
      <c r="AB1" t="str">
        <v>WealthSelect Sustainable Active 4</v>
      </c>
      <c r="AC1" t="str">
        <v>WealthSelect Sustainable Active 5</v>
      </c>
      <c r="AD1" t="str">
        <v>WealthSelect Sustainable Active 6</v>
      </c>
      <c r="AE1" t="str">
        <v>WealthSelect Sustainable Active 7</v>
      </c>
      <c r="AF1" t="str">
        <v>WealthSelect Sustainable Active 8</v>
      </c>
      <c r="AG1" t="str">
        <v>WealthSelect Sustainable Active 9</v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2023-12-25T08:37:26Z</dcterms:modified>
</cp:coreProperties>
</file>