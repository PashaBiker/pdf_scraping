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tests\Whitechurch\"/>
    </mc:Choice>
  </mc:AlternateContent>
  <bookViews>
    <workbookView xWindow="-105" yWindow="-105" windowWidth="19425" windowHeight="1030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" l="1"/>
  <c r="B13" i="1"/>
  <c r="B14" i="1"/>
  <c r="B15" i="1"/>
  <c r="B16" i="1"/>
  <c r="B17" i="1"/>
  <c r="B4" i="1"/>
  <c r="B5" i="1"/>
  <c r="B6" i="1"/>
  <c r="B7" i="1"/>
  <c r="B8" i="1"/>
  <c r="B9" i="1"/>
  <c r="B10" i="1"/>
  <c r="B11" i="1"/>
  <c r="A2" i="35"/>
  <c r="A3" i="35"/>
  <c r="A4" i="35"/>
  <c r="A5" i="35"/>
  <c r="A6" i="35"/>
  <c r="A7" i="35"/>
  <c r="A8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31" i="31" l="1"/>
  <c r="B31" i="31"/>
  <c r="C31" i="31"/>
  <c r="E31" i="31"/>
  <c r="C16" i="31"/>
  <c r="E16" i="31"/>
  <c r="B16" i="31"/>
  <c r="G16" i="31"/>
  <c r="E40" i="31"/>
  <c r="B40" i="31"/>
  <c r="C40" i="31"/>
  <c r="G40" i="31"/>
  <c r="G17" i="31"/>
  <c r="B17" i="31"/>
  <c r="C17" i="31"/>
  <c r="E17" i="31"/>
  <c r="G41" i="31"/>
  <c r="B41" i="31"/>
  <c r="C41" i="31"/>
  <c r="E41" i="31"/>
  <c r="G2" i="31"/>
  <c r="C2" i="31"/>
  <c r="B2" i="31"/>
  <c r="B10" i="31"/>
  <c r="C10" i="31"/>
  <c r="E10" i="31"/>
  <c r="G10" i="31"/>
  <c r="C18" i="31"/>
  <c r="B18" i="31"/>
  <c r="E18" i="31"/>
  <c r="G18" i="31"/>
  <c r="G26" i="31"/>
  <c r="B26" i="31"/>
  <c r="C26" i="31"/>
  <c r="E26" i="31"/>
  <c r="B34" i="31"/>
  <c r="C34" i="31"/>
  <c r="E34" i="31"/>
  <c r="G34" i="31"/>
  <c r="C42" i="31"/>
  <c r="G42" i="31"/>
  <c r="B42" i="31"/>
  <c r="E42" i="31"/>
  <c r="E50" i="31"/>
  <c r="B50" i="31"/>
  <c r="C50" i="31"/>
  <c r="G50" i="31"/>
  <c r="G23" i="31"/>
  <c r="C23" i="31"/>
  <c r="B23" i="31"/>
  <c r="E23" i="31"/>
  <c r="C8" i="31"/>
  <c r="E8" i="31"/>
  <c r="B8" i="31"/>
  <c r="G8" i="31"/>
  <c r="G9" i="31"/>
  <c r="B9" i="31"/>
  <c r="C9" i="31"/>
  <c r="E9" i="31"/>
  <c r="G11" i="31"/>
  <c r="B11" i="31"/>
  <c r="C11" i="31"/>
  <c r="E11" i="31"/>
  <c r="G19" i="31"/>
  <c r="C19" i="31"/>
  <c r="B19" i="31"/>
  <c r="E19" i="31"/>
  <c r="G27" i="31"/>
  <c r="C27" i="31"/>
  <c r="B27" i="31"/>
  <c r="E27" i="31"/>
  <c r="G35" i="31"/>
  <c r="B35" i="31"/>
  <c r="C35" i="31"/>
  <c r="E35" i="31"/>
  <c r="G43" i="31"/>
  <c r="C43" i="31"/>
  <c r="B43" i="31"/>
  <c r="E43" i="31"/>
  <c r="G7" i="31"/>
  <c r="B7" i="31"/>
  <c r="C7" i="31"/>
  <c r="E7" i="31"/>
  <c r="G47" i="31"/>
  <c r="B47" i="31"/>
  <c r="C47" i="31"/>
  <c r="E47" i="31"/>
  <c r="C48" i="31"/>
  <c r="G48" i="31"/>
  <c r="B48" i="31"/>
  <c r="E48" i="31"/>
  <c r="G49" i="31"/>
  <c r="B49" i="31"/>
  <c r="E49" i="31"/>
  <c r="C49" i="31"/>
  <c r="G3" i="31"/>
  <c r="C3" i="31"/>
  <c r="B3" i="31"/>
  <c r="E3" i="31"/>
  <c r="G4" i="31"/>
  <c r="B4" i="31"/>
  <c r="C4" i="31"/>
  <c r="E4" i="31"/>
  <c r="C12" i="31"/>
  <c r="E12" i="31"/>
  <c r="G12" i="31"/>
  <c r="B12" i="31"/>
  <c r="E20" i="31"/>
  <c r="G20" i="31"/>
  <c r="B20" i="31"/>
  <c r="C20" i="31"/>
  <c r="C28" i="31"/>
  <c r="E28" i="31"/>
  <c r="B28" i="31"/>
  <c r="G28" i="31"/>
  <c r="C36" i="31"/>
  <c r="E36" i="31"/>
  <c r="G36" i="31"/>
  <c r="B36" i="31"/>
  <c r="E44" i="31"/>
  <c r="G44" i="31"/>
  <c r="B44" i="31"/>
  <c r="C44" i="31"/>
  <c r="G39" i="31"/>
  <c r="B39" i="31"/>
  <c r="C39" i="31"/>
  <c r="E39" i="31"/>
  <c r="C32" i="31"/>
  <c r="E32" i="31"/>
  <c r="G32" i="31"/>
  <c r="B32" i="31"/>
  <c r="G33" i="31"/>
  <c r="B33" i="31"/>
  <c r="C33" i="31"/>
  <c r="E33" i="31"/>
  <c r="G5" i="31"/>
  <c r="B5" i="31"/>
  <c r="C5" i="31"/>
  <c r="E5" i="31"/>
  <c r="G13" i="31"/>
  <c r="B13" i="31"/>
  <c r="C13" i="31"/>
  <c r="E13" i="31"/>
  <c r="G21" i="31"/>
  <c r="B21" i="31"/>
  <c r="C21" i="31"/>
  <c r="E21" i="31"/>
  <c r="G29" i="31"/>
  <c r="B29" i="31"/>
  <c r="C29" i="31"/>
  <c r="E29" i="31"/>
  <c r="G37" i="31"/>
  <c r="B37" i="31"/>
  <c r="C37" i="31"/>
  <c r="E37" i="31"/>
  <c r="G45" i="31"/>
  <c r="B45" i="31"/>
  <c r="C45" i="31"/>
  <c r="E45" i="31"/>
  <c r="G15" i="31"/>
  <c r="B15" i="31"/>
  <c r="C15" i="31"/>
  <c r="E15" i="31"/>
  <c r="C24" i="31"/>
  <c r="B24" i="31"/>
  <c r="E24" i="31"/>
  <c r="G24" i="31"/>
  <c r="G25" i="31"/>
  <c r="B25" i="31"/>
  <c r="C25" i="31"/>
  <c r="E25" i="31"/>
  <c r="C6" i="31"/>
  <c r="E6" i="31"/>
  <c r="B6" i="31"/>
  <c r="G6" i="31"/>
  <c r="B14" i="31"/>
  <c r="C14" i="31"/>
  <c r="E14" i="31"/>
  <c r="G14" i="31"/>
  <c r="C22" i="31"/>
  <c r="B22" i="31"/>
  <c r="E22" i="31"/>
  <c r="G22" i="31"/>
  <c r="B30" i="31"/>
  <c r="C30" i="31"/>
  <c r="E30" i="31"/>
  <c r="G30" i="31"/>
  <c r="G38" i="31"/>
  <c r="B38" i="31"/>
  <c r="C38" i="31"/>
  <c r="E38" i="31"/>
  <c r="B46" i="31"/>
  <c r="C46" i="31"/>
  <c r="E46" i="31"/>
  <c r="G46" i="31"/>
  <c r="B1" i="39" a="1"/>
  <c r="B1" i="39" s="1"/>
  <c r="B1" i="38" a="1"/>
  <c r="B1" i="38" s="1"/>
  <c r="B1" i="37" a="1"/>
  <c r="B1" i="37" s="1"/>
  <c r="F20" i="8"/>
  <c r="H20" i="8"/>
  <c r="F28" i="8"/>
  <c r="H28" i="8"/>
  <c r="F36" i="8"/>
  <c r="H36" i="8"/>
  <c r="H44" i="8"/>
  <c r="F44" i="8"/>
  <c r="F21" i="8"/>
  <c r="H21" i="8"/>
  <c r="F29" i="8"/>
  <c r="H29" i="8"/>
  <c r="F37" i="8"/>
  <c r="H37" i="8"/>
  <c r="F45" i="8"/>
  <c r="H45" i="8"/>
  <c r="F22" i="8"/>
  <c r="H22" i="8"/>
  <c r="F30" i="8"/>
  <c r="H30" i="8"/>
  <c r="F38" i="8"/>
  <c r="H38" i="8"/>
  <c r="F46" i="8"/>
  <c r="H46" i="8"/>
  <c r="F23" i="8"/>
  <c r="H23" i="8"/>
  <c r="F31" i="8"/>
  <c r="H31" i="8"/>
  <c r="F39" i="8"/>
  <c r="H39" i="8"/>
  <c r="H47" i="8"/>
  <c r="F47" i="8"/>
  <c r="F24" i="8"/>
  <c r="H24" i="8"/>
  <c r="H32" i="8"/>
  <c r="F32" i="8"/>
  <c r="F40" i="8"/>
  <c r="H40" i="8"/>
  <c r="F48" i="8"/>
  <c r="H48" i="8"/>
  <c r="F17" i="8"/>
  <c r="H17" i="8"/>
  <c r="F25" i="8"/>
  <c r="H25" i="8"/>
  <c r="F33" i="8"/>
  <c r="H33" i="8"/>
  <c r="F41" i="8"/>
  <c r="H41" i="8"/>
  <c r="F49" i="8"/>
  <c r="H49" i="8"/>
  <c r="F18" i="8"/>
  <c r="H18" i="8"/>
  <c r="F26" i="8"/>
  <c r="H26" i="8"/>
  <c r="F34" i="8"/>
  <c r="H34" i="8"/>
  <c r="F42" i="8"/>
  <c r="H42" i="8"/>
  <c r="F50" i="8"/>
  <c r="H50" i="8"/>
  <c r="F19" i="8"/>
  <c r="H19" i="8"/>
  <c r="F27" i="8"/>
  <c r="H27" i="8"/>
  <c r="F35" i="8"/>
  <c r="H35" i="8"/>
  <c r="F43" i="8"/>
  <c r="H43" i="8"/>
  <c r="G21" i="7"/>
  <c r="C21" i="7"/>
  <c r="H21" i="7"/>
  <c r="C29" i="7"/>
  <c r="G29" i="7"/>
  <c r="H29" i="7"/>
  <c r="C37" i="7"/>
  <c r="G37" i="7"/>
  <c r="H37" i="7"/>
  <c r="H45" i="7"/>
  <c r="G45" i="7"/>
  <c r="C45" i="7"/>
  <c r="G22" i="7"/>
  <c r="H22" i="7"/>
  <c r="C22" i="7"/>
  <c r="G30" i="7"/>
  <c r="H30" i="7"/>
  <c r="C30" i="7"/>
  <c r="G38" i="7"/>
  <c r="H38" i="7"/>
  <c r="C38" i="7"/>
  <c r="G46" i="7"/>
  <c r="H46" i="7"/>
  <c r="C46" i="7"/>
  <c r="G23" i="7"/>
  <c r="C23" i="7"/>
  <c r="H23" i="7"/>
  <c r="G31" i="7"/>
  <c r="C31" i="7"/>
  <c r="H31" i="7"/>
  <c r="C39" i="7"/>
  <c r="G39" i="7"/>
  <c r="H39" i="7"/>
  <c r="C47" i="7"/>
  <c r="G47" i="7"/>
  <c r="H47" i="7"/>
  <c r="C24" i="7"/>
  <c r="H24" i="7"/>
  <c r="G24" i="7"/>
  <c r="H32" i="7"/>
  <c r="G32" i="7"/>
  <c r="C32" i="7"/>
  <c r="C40" i="7"/>
  <c r="G40" i="7"/>
  <c r="H40" i="7"/>
  <c r="C48" i="7"/>
  <c r="G48" i="7"/>
  <c r="H48" i="7"/>
  <c r="G17" i="7"/>
  <c r="C17" i="7"/>
  <c r="H17" i="7"/>
  <c r="G25" i="7"/>
  <c r="C25" i="7"/>
  <c r="H25" i="7"/>
  <c r="G33" i="7"/>
  <c r="C33" i="7"/>
  <c r="H33" i="7"/>
  <c r="C41" i="7"/>
  <c r="G41" i="7"/>
  <c r="H41" i="7"/>
  <c r="G49" i="7"/>
  <c r="C49" i="7"/>
  <c r="H49" i="7"/>
  <c r="H18" i="7"/>
  <c r="C18" i="7"/>
  <c r="G18" i="7"/>
  <c r="H26" i="7"/>
  <c r="G26" i="7"/>
  <c r="C26" i="7"/>
  <c r="H34" i="7"/>
  <c r="G34" i="7"/>
  <c r="C34" i="7"/>
  <c r="H42" i="7"/>
  <c r="G42" i="7"/>
  <c r="C42" i="7"/>
  <c r="H50" i="7"/>
  <c r="G50" i="7"/>
  <c r="C50" i="7"/>
  <c r="C19" i="7"/>
  <c r="H19" i="7"/>
  <c r="G19" i="7"/>
  <c r="C27" i="7"/>
  <c r="H27" i="7"/>
  <c r="G27" i="7"/>
  <c r="G35" i="7"/>
  <c r="C35" i="7"/>
  <c r="H35" i="7"/>
  <c r="C43" i="7"/>
  <c r="G43" i="7"/>
  <c r="H43" i="7"/>
  <c r="C20" i="7"/>
  <c r="H20" i="7"/>
  <c r="G20" i="7"/>
  <c r="C28" i="7"/>
  <c r="H28" i="7"/>
  <c r="G28" i="7"/>
  <c r="H36" i="7"/>
  <c r="C36" i="7"/>
  <c r="G36" i="7"/>
  <c r="H44" i="7"/>
  <c r="C44" i="7"/>
  <c r="G44" i="7"/>
  <c r="F2" i="4"/>
  <c r="E2" i="4"/>
  <c r="D2" i="4"/>
  <c r="B2" i="4"/>
  <c r="C2" i="4"/>
  <c r="G2" i="4"/>
  <c r="F50" i="4"/>
  <c r="G50" i="4"/>
  <c r="C50" i="4"/>
  <c r="B50" i="4"/>
  <c r="D50" i="4"/>
  <c r="E50" i="4"/>
  <c r="B27" i="4"/>
  <c r="C27" i="4"/>
  <c r="D27" i="4"/>
  <c r="G27" i="4"/>
  <c r="F27" i="4"/>
  <c r="E27" i="4"/>
  <c r="D12" i="4"/>
  <c r="E12" i="4"/>
  <c r="G12" i="4"/>
  <c r="F12" i="4"/>
  <c r="B12" i="4"/>
  <c r="C12" i="4"/>
  <c r="B6" i="4"/>
  <c r="C6" i="4"/>
  <c r="D6" i="4"/>
  <c r="E6" i="4"/>
  <c r="F6" i="4"/>
  <c r="G6" i="4"/>
  <c r="B14" i="4"/>
  <c r="C14" i="4"/>
  <c r="D14" i="4"/>
  <c r="E14" i="4"/>
  <c r="F14" i="4"/>
  <c r="G14" i="4"/>
  <c r="B22" i="4"/>
  <c r="C22" i="4"/>
  <c r="D22" i="4"/>
  <c r="E22" i="4"/>
  <c r="F22" i="4"/>
  <c r="G22" i="4"/>
  <c r="B30" i="4"/>
  <c r="C30" i="4"/>
  <c r="D30" i="4"/>
  <c r="E30" i="4"/>
  <c r="F30" i="4"/>
  <c r="G30" i="4"/>
  <c r="B38" i="4"/>
  <c r="C38" i="4"/>
  <c r="D38" i="4"/>
  <c r="E38" i="4"/>
  <c r="F38" i="4"/>
  <c r="G38" i="4"/>
  <c r="B46" i="4"/>
  <c r="D46" i="4"/>
  <c r="F46" i="4"/>
  <c r="C46" i="4"/>
  <c r="E46" i="4"/>
  <c r="G46" i="4"/>
  <c r="F34" i="4"/>
  <c r="G34" i="4"/>
  <c r="B34" i="4"/>
  <c r="D34" i="4"/>
  <c r="C34" i="4"/>
  <c r="E34" i="4"/>
  <c r="B19" i="4"/>
  <c r="C19" i="4"/>
  <c r="D19" i="4"/>
  <c r="E19" i="4"/>
  <c r="G19" i="4"/>
  <c r="F19" i="4"/>
  <c r="D4" i="4"/>
  <c r="E4" i="4"/>
  <c r="G4" i="4"/>
  <c r="F4" i="4"/>
  <c r="B4" i="4"/>
  <c r="C4" i="4"/>
  <c r="E7" i="4"/>
  <c r="G7" i="4"/>
  <c r="F7" i="4"/>
  <c r="B7" i="4"/>
  <c r="D7" i="4"/>
  <c r="C7" i="4"/>
  <c r="E15" i="4"/>
  <c r="G15" i="4"/>
  <c r="F15" i="4"/>
  <c r="B15" i="4"/>
  <c r="D15" i="4"/>
  <c r="C15" i="4"/>
  <c r="E23" i="4"/>
  <c r="G23" i="4"/>
  <c r="F23" i="4"/>
  <c r="B23" i="4"/>
  <c r="C23" i="4"/>
  <c r="D23" i="4"/>
  <c r="E31" i="4"/>
  <c r="G31" i="4"/>
  <c r="F31" i="4"/>
  <c r="B31" i="4"/>
  <c r="C31" i="4"/>
  <c r="D31" i="4"/>
  <c r="E39" i="4"/>
  <c r="G39" i="4"/>
  <c r="F39" i="4"/>
  <c r="C39" i="4"/>
  <c r="B39" i="4"/>
  <c r="D39" i="4"/>
  <c r="E47" i="4"/>
  <c r="F47" i="4"/>
  <c r="B47" i="4"/>
  <c r="D47" i="4"/>
  <c r="G47" i="4"/>
  <c r="C47" i="4"/>
  <c r="F18" i="4"/>
  <c r="G18" i="4"/>
  <c r="B18" i="4"/>
  <c r="C18" i="4"/>
  <c r="D18" i="4"/>
  <c r="E18" i="4"/>
  <c r="B3" i="4"/>
  <c r="C3" i="4"/>
  <c r="D3" i="4"/>
  <c r="G3" i="4"/>
  <c r="F3" i="4"/>
  <c r="E3" i="4"/>
  <c r="F16" i="4"/>
  <c r="B16" i="4"/>
  <c r="C16" i="4"/>
  <c r="D16" i="4"/>
  <c r="E16" i="4"/>
  <c r="G16" i="4"/>
  <c r="F24" i="4"/>
  <c r="B24" i="4"/>
  <c r="C24" i="4"/>
  <c r="D24" i="4"/>
  <c r="E24" i="4"/>
  <c r="G24" i="4"/>
  <c r="F32" i="4"/>
  <c r="B32" i="4"/>
  <c r="C32" i="4"/>
  <c r="D32" i="4"/>
  <c r="E32" i="4"/>
  <c r="G32" i="4"/>
  <c r="F40" i="4"/>
  <c r="B40" i="4"/>
  <c r="C40" i="4"/>
  <c r="D40" i="4"/>
  <c r="G40" i="4"/>
  <c r="E40" i="4"/>
  <c r="F48" i="4"/>
  <c r="B48" i="4"/>
  <c r="D48" i="4"/>
  <c r="E48" i="4"/>
  <c r="C48" i="4"/>
  <c r="G48" i="4"/>
  <c r="F26" i="4"/>
  <c r="G26" i="4"/>
  <c r="E26" i="4"/>
  <c r="C26" i="4"/>
  <c r="B26" i="4"/>
  <c r="D26" i="4"/>
  <c r="B11" i="4"/>
  <c r="C11" i="4"/>
  <c r="D11" i="4"/>
  <c r="F11" i="4"/>
  <c r="E11" i="4"/>
  <c r="G11" i="4"/>
  <c r="F8" i="4"/>
  <c r="B8" i="4"/>
  <c r="C8" i="4"/>
  <c r="E8" i="4"/>
  <c r="G8" i="4"/>
  <c r="D8" i="4"/>
  <c r="C9" i="4"/>
  <c r="F9" i="4"/>
  <c r="D9" i="4"/>
  <c r="E9" i="4"/>
  <c r="G9" i="4"/>
  <c r="B9" i="4"/>
  <c r="C17" i="4"/>
  <c r="F17" i="4"/>
  <c r="D17" i="4"/>
  <c r="E17" i="4"/>
  <c r="G17" i="4"/>
  <c r="B17" i="4"/>
  <c r="C25" i="4"/>
  <c r="F25" i="4"/>
  <c r="D25" i="4"/>
  <c r="E25" i="4"/>
  <c r="G25" i="4"/>
  <c r="B25" i="4"/>
  <c r="C33" i="4"/>
  <c r="F33" i="4"/>
  <c r="D33" i="4"/>
  <c r="E33" i="4"/>
  <c r="G33" i="4"/>
  <c r="B33" i="4"/>
  <c r="C41" i="4"/>
  <c r="F41" i="4"/>
  <c r="E41" i="4"/>
  <c r="G41" i="4"/>
  <c r="D41" i="4"/>
  <c r="B41" i="4"/>
  <c r="C49" i="4"/>
  <c r="F49" i="4"/>
  <c r="E49" i="4"/>
  <c r="B49" i="4"/>
  <c r="D49" i="4"/>
  <c r="G49" i="4"/>
  <c r="F10" i="4"/>
  <c r="G10" i="4"/>
  <c r="B10" i="4"/>
  <c r="C10" i="4"/>
  <c r="D10" i="4"/>
  <c r="E10" i="4"/>
  <c r="B35" i="4"/>
  <c r="C35" i="4"/>
  <c r="D35" i="4"/>
  <c r="F35" i="4"/>
  <c r="E35" i="4"/>
  <c r="G35" i="4"/>
  <c r="D20" i="4"/>
  <c r="E20" i="4"/>
  <c r="G20" i="4"/>
  <c r="B20" i="4"/>
  <c r="C20" i="4"/>
  <c r="F20" i="4"/>
  <c r="D28" i="4"/>
  <c r="E28" i="4"/>
  <c r="G28" i="4"/>
  <c r="C28" i="4"/>
  <c r="F28" i="4"/>
  <c r="B28" i="4"/>
  <c r="D36" i="4"/>
  <c r="E36" i="4"/>
  <c r="G36" i="4"/>
  <c r="B36" i="4"/>
  <c r="F36" i="4"/>
  <c r="C36" i="4"/>
  <c r="D44" i="4"/>
  <c r="G44" i="4"/>
  <c r="B44" i="4"/>
  <c r="C44" i="4"/>
  <c r="F44" i="4"/>
  <c r="E44" i="4"/>
  <c r="F42" i="4"/>
  <c r="G42" i="4"/>
  <c r="B42" i="4"/>
  <c r="E42" i="4"/>
  <c r="C42" i="4"/>
  <c r="D42" i="4"/>
  <c r="C43" i="4"/>
  <c r="E43" i="4"/>
  <c r="F43" i="4"/>
  <c r="B43" i="4"/>
  <c r="D43" i="4"/>
  <c r="G43" i="4"/>
  <c r="B5" i="4"/>
  <c r="C5" i="4"/>
  <c r="F5" i="4"/>
  <c r="D5" i="4"/>
  <c r="E5" i="4"/>
  <c r="G5" i="4"/>
  <c r="B13" i="4"/>
  <c r="G13" i="4"/>
  <c r="C13" i="4"/>
  <c r="D13" i="4"/>
  <c r="F13" i="4"/>
  <c r="E13" i="4"/>
  <c r="B21" i="4"/>
  <c r="F21" i="4"/>
  <c r="D21" i="4"/>
  <c r="G21" i="4"/>
  <c r="E21" i="4"/>
  <c r="C21" i="4"/>
  <c r="B29" i="4"/>
  <c r="F29" i="4"/>
  <c r="D29" i="4"/>
  <c r="G29" i="4"/>
  <c r="C29" i="4"/>
  <c r="E29" i="4"/>
  <c r="B37" i="4"/>
  <c r="F37" i="4"/>
  <c r="C37" i="4"/>
  <c r="G37" i="4"/>
  <c r="D37" i="4"/>
  <c r="E37" i="4"/>
  <c r="F45" i="4"/>
  <c r="B45" i="4"/>
  <c r="G45" i="4"/>
  <c r="C45" i="4"/>
  <c r="D45" i="4"/>
  <c r="E45" i="4"/>
  <c r="E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F15" i="8" l="1"/>
  <c r="H15" i="8"/>
  <c r="F6" i="8"/>
  <c r="H6" i="8"/>
  <c r="C13" i="7"/>
  <c r="H13" i="7"/>
  <c r="G13" i="7"/>
  <c r="F16" i="8"/>
  <c r="H16" i="8"/>
  <c r="G3" i="7"/>
  <c r="H3" i="7"/>
  <c r="C3" i="7"/>
  <c r="G6" i="7"/>
  <c r="C6" i="7"/>
  <c r="H6" i="7"/>
  <c r="C16" i="7"/>
  <c r="H16" i="7"/>
  <c r="G16" i="7"/>
  <c r="G15" i="7"/>
  <c r="H15" i="7"/>
  <c r="C15" i="7"/>
  <c r="F14" i="8"/>
  <c r="H14" i="8"/>
  <c r="H12" i="8"/>
  <c r="F12" i="8"/>
  <c r="H13" i="8"/>
  <c r="F13" i="8"/>
  <c r="C8" i="7"/>
  <c r="H8" i="7"/>
  <c r="G8" i="7"/>
  <c r="F3" i="8"/>
  <c r="H3" i="8"/>
  <c r="G7" i="7"/>
  <c r="H7" i="7"/>
  <c r="C7" i="7"/>
  <c r="H9" i="8"/>
  <c r="F9" i="8"/>
  <c r="G14" i="7"/>
  <c r="C14" i="7"/>
  <c r="H14" i="7"/>
  <c r="C12" i="7"/>
  <c r="H12" i="7"/>
  <c r="G12" i="7"/>
  <c r="H4" i="8"/>
  <c r="F4" i="8"/>
  <c r="F10" i="8"/>
  <c r="H10" i="8"/>
  <c r="C10" i="7"/>
  <c r="H10" i="7"/>
  <c r="G10" i="7"/>
  <c r="C4" i="7"/>
  <c r="H4" i="7"/>
  <c r="G4" i="7"/>
  <c r="F2" i="8"/>
  <c r="H2" i="8"/>
  <c r="H5" i="8"/>
  <c r="F5" i="8"/>
  <c r="C9" i="7"/>
  <c r="G9" i="7"/>
  <c r="H9" i="7"/>
  <c r="F11" i="8"/>
  <c r="H11" i="8"/>
  <c r="F7" i="8"/>
  <c r="H7" i="8"/>
  <c r="G2" i="7"/>
  <c r="H2" i="7"/>
  <c r="C2" i="7"/>
  <c r="F8" i="8"/>
  <c r="H8" i="8"/>
  <c r="C11" i="7"/>
  <c r="H11" i="7"/>
  <c r="G11" i="7"/>
  <c r="C5" i="7"/>
  <c r="H5" i="7"/>
  <c r="G5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<sst xmlns="http://schemas.openxmlformats.org/spreadsheetml/2006/main" count="121" uniqueCount="81">
  <si>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</si>
  <si>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</si>
  <si>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</si>
  <si>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</si>
  <si>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</si>
  <si>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</si>
  <si>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</si>
  <si>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</si>
  <si>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</si>
  <si>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</si>
  <si>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</si>
  <si>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</si>
  <si>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</si>
  <si>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</si>
  <si>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</si>
  <si>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</si>
  <si>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</si>
  <si>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</si>
  <si>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</si>
  <si>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</si>
  <si>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</si>
  <si>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</si>
  <si>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</si>
  <si>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</si>
  <si>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</si>
  <si>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</si>
  <si>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</si>
  <si>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</si>
  <si>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Commodity</t>
  </si>
  <si>
    <t>Property</t>
  </si>
  <si>
    <t>Dynamic Defensive</t>
  </si>
  <si>
    <t>Dynamic Cautious</t>
  </si>
  <si>
    <t>Dynamic Balanced</t>
  </si>
  <si>
    <t>Dynamic Steady Growth</t>
  </si>
  <si>
    <t>Cautious Growth</t>
  </si>
  <si>
    <t>Monthly Distribution</t>
  </si>
  <si>
    <t>Global Income and Growth</t>
  </si>
  <si>
    <t>Stockmarket Growth</t>
  </si>
  <si>
    <t>Energy and Global Shift</t>
  </si>
  <si>
    <t>UK Equity</t>
  </si>
  <si>
    <t>Global Developed Equity</t>
  </si>
  <si>
    <t>Global Emerging Equity</t>
  </si>
  <si>
    <t>Energy &amp; Renewables</t>
  </si>
  <si>
    <t>Renewable Energy</t>
  </si>
  <si>
    <t>Alternatve</t>
  </si>
  <si>
    <t>UK Fixed Income</t>
  </si>
  <si>
    <t>Global Developed Fixed Income</t>
  </si>
  <si>
    <t>Global Emerging Fixed Income</t>
  </si>
  <si>
    <t>Other</t>
  </si>
  <si>
    <t>Cash &amp; Money Market</t>
  </si>
  <si>
    <t>0-12m</t>
  </si>
  <si>
    <t>1m</t>
  </si>
  <si>
    <t>Whitechurch Annual Management Fee*</t>
  </si>
  <si>
    <t>https://www.whitechurch.co.uk/financial-advisors/services/investment-services/portfolio-management-service/</t>
  </si>
  <si>
    <t>Click here for the latest PMS Factsheets</t>
  </si>
  <si>
    <t>Ethical Balanced</t>
  </si>
  <si>
    <t>Click here for the latest PMS Ethical Balanced Factsheet</t>
  </si>
  <si>
    <t>Responsible Defensive</t>
  </si>
  <si>
    <t>Responsible Cautious</t>
  </si>
  <si>
    <t>Responsible Balanced</t>
  </si>
  <si>
    <t>Responsible Steady Growth</t>
  </si>
  <si>
    <t>Responsible Growth</t>
  </si>
  <si>
    <t>Click here for the latest PMS Responsible Dynamics Factsheets</t>
  </si>
  <si>
    <t>Annual Management Charge</t>
  </si>
  <si>
    <t>Emerging Market Debt</t>
  </si>
  <si>
    <t>Unclassified</t>
  </si>
  <si>
    <t>Alternative</t>
  </si>
  <si>
    <t>1 Year Performance</t>
  </si>
  <si>
    <t>3 Year Performance</t>
  </si>
  <si>
    <t>5 Year Performance</t>
  </si>
  <si>
    <t>High Yield</t>
  </si>
  <si>
    <t>3m</t>
  </si>
  <si>
    <t>12-24m</t>
  </si>
  <si>
    <t>24-36m</t>
  </si>
  <si>
    <t>36-48m</t>
  </si>
  <si>
    <t>48-60m</t>
  </si>
  <si>
    <t>5 Year Cumulative</t>
  </si>
  <si>
    <t>Volatility  (3 Years)</t>
  </si>
  <si>
    <t>https://www.whitechurch.co.uk/whitechurch-co-uk/_img/Quarterly/2023/Q3%202023/PMS Q3 2023.pdf</t>
  </si>
  <si>
    <t>https://www.whitechurch.co.uk/whitechurch-co-uk/_img/Quarterly/2023/Q3%202023/Ethical Factsheet Q3 2023.pdf</t>
  </si>
  <si>
    <t>https://www.whitechurch.co.uk/whitechurch-co-uk/_img/Quarterly/2023/Q3%202023/Responsible Dynamics Q3 2023 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</si>
</sst>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82550</xdr:rowOff>
    </xdr:from>
    <xdr:to>
      <xdr:col>5</xdr:col>
      <xdr:colOff>294523</xdr:colOff>
      <xdr:row>6</xdr:row>
      <xdr:rowOff>63585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A7E83F-AD0E-9C3F-07F3-95725191D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66700"/>
          <a:ext cx="3342522" cy="9017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171450</xdr:rowOff>
    </xdr:from>
    <xdr:to>
      <xdr:col>5</xdr:col>
      <xdr:colOff>505018</xdr:colOff>
      <xdr:row>19</xdr:row>
      <xdr:rowOff>171614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BC0A6C0-568A-B3F8-0F7E-EC06A63B7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276350"/>
          <a:ext cx="3553018" cy="23941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19050</xdr:rowOff>
    </xdr:from>
    <xdr:to>
      <xdr:col>7</xdr:col>
      <xdr:colOff>332519</xdr:colOff>
      <xdr:row>30</xdr:row>
      <xdr:rowOff>120751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8CF09F9-5664-2CAE-777B-C760ED9DE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886200"/>
          <a:ext cx="4599719" cy="17590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/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7"/>
  <sheetViews>
    <sheetView workbookViewId="0">
      <selection activeCell="B14" sqref="B14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30</v>
      </c>
      <c r="B3" t="str">
        <f>'PDF Scraping'!D2</f>
        <v>https://www.whitechurch.co.uk/whitechurch-co-uk/_img/Quarterly/2023/Q3%202023/PMS Q3 2023.pdf</v>
      </c>
      <c r="J3" s="4"/>
    </row>
    <row r="4" spans="1:10" x14ac:dyDescent="0.25">
      <c r="A4" t="s">
        <v>31</v>
      </c>
      <c r="B4" t="str">
        <f>'PDF Scraping'!D3</f>
        <v>https://www.whitechurch.co.uk/whitechurch-co-uk/_img/Quarterly/2023/Q3%202023/PMS Q3 2023.pdf</v>
      </c>
      <c r="J4" s="4"/>
    </row>
    <row r="5" spans="1:10" x14ac:dyDescent="0.25">
      <c r="A5" t="s">
        <v>32</v>
      </c>
      <c r="B5" t="str">
        <f>'PDF Scraping'!D4</f>
        <v>https://www.whitechurch.co.uk/whitechurch-co-uk/_img/Quarterly/2023/Q3%202023/PMS Q3 2023.pdf</v>
      </c>
    </row>
    <row r="6" spans="1:10" x14ac:dyDescent="0.25">
      <c r="A6" t="s">
        <v>33</v>
      </c>
      <c r="B6" t="str">
        <f>'PDF Scraping'!D5</f>
        <v>https://www.whitechurch.co.uk/whitechurch-co-uk/_img/Quarterly/2023/Q3%202023/PMS Q3 2023.pdf</v>
      </c>
    </row>
    <row r="7" spans="1:10" x14ac:dyDescent="0.25">
      <c r="A7" t="s">
        <v>34</v>
      </c>
      <c r="B7" t="str">
        <f>'PDF Scraping'!D6</f>
        <v>https://www.whitechurch.co.uk/whitechurch-co-uk/_img/Quarterly/2023/Q3%202023/PMS Q3 2023.pdf</v>
      </c>
    </row>
    <row r="8" spans="1:10" x14ac:dyDescent="0.25">
      <c r="A8" t="s">
        <v>35</v>
      </c>
      <c r="B8" t="str">
        <f>'PDF Scraping'!D7</f>
        <v>https://www.whitechurch.co.uk/whitechurch-co-uk/_img/Quarterly/2023/Q3%202023/PMS Q3 2023.pdf</v>
      </c>
    </row>
    <row r="9" spans="1:10" x14ac:dyDescent="0.25">
      <c r="A9" t="s">
        <v>36</v>
      </c>
      <c r="B9" t="str">
        <f>'PDF Scraping'!D8</f>
        <v>https://www.whitechurch.co.uk/whitechurch-co-uk/_img/Quarterly/2023/Q3%202023/PMS Q3 2023.pdf</v>
      </c>
    </row>
    <row r="10" spans="1:10" x14ac:dyDescent="0.25">
      <c r="A10" t="s">
        <v>37</v>
      </c>
      <c r="B10" t="str">
        <f>'PDF Scraping'!D9</f>
        <v>https://www.whitechurch.co.uk/whitechurch-co-uk/_img/Quarterly/2023/Q3%202023/PMS Q3 2023.pdf</v>
      </c>
    </row>
    <row r="11" spans="1:10" x14ac:dyDescent="0.25">
      <c r="A11" t="s">
        <v>38</v>
      </c>
      <c r="B11" t="str">
        <f>'PDF Scraping'!D10</f>
        <v>https://www.whitechurch.co.uk/whitechurch-co-uk/_img/Quarterly/2023/Q3%202023/PMS Q3 2023.pdf</v>
      </c>
    </row>
    <row r="12" spans="1:10" x14ac:dyDescent="0.25">
      <c r="A12" t="s">
        <v>55</v>
      </c>
      <c r="B12" t="str">
        <f>'PDF Scraping'!D11</f>
        <v>https://www.whitechurch.co.uk/whitechurch-co-uk/_img/Quarterly/2023/Q3%202023/Ethical Factsheet Q3 2023.pdf</v>
      </c>
    </row>
    <row r="13" spans="1:10" x14ac:dyDescent="0.25">
      <c r="A13" t="s">
        <v>57</v>
      </c>
      <c r="B13" t="str">
        <f>'PDF Scraping'!D12</f>
        <v>https://www.whitechurch.co.uk/whitechurch-co-uk/_img/Quarterly/2023/Q3%202023/Responsible Dynamics Q3 2023 .pdf</v>
      </c>
    </row>
    <row r="14" spans="1:10" x14ac:dyDescent="0.25">
      <c r="A14" t="s">
        <v>58</v>
      </c>
      <c r="B14" t="str">
        <f>'PDF Scraping'!D13</f>
        <v>https://www.whitechurch.co.uk/whitechurch-co-uk/_img/Quarterly/2023/Q3%202023/Responsible Dynamics Q3 2023 .pdf</v>
      </c>
    </row>
    <row r="15" spans="1:10" x14ac:dyDescent="0.25">
      <c r="A15" t="s">
        <v>59</v>
      </c>
      <c r="B15" t="str">
        <f>'PDF Scraping'!D14</f>
        <v>https://www.whitechurch.co.uk/whitechurch-co-uk/_img/Quarterly/2023/Q3%202023/Responsible Dynamics Q3 2023 .pdf</v>
      </c>
    </row>
    <row r="16" spans="1:10" x14ac:dyDescent="0.25">
      <c r="A16" t="s">
        <v>60</v>
      </c>
      <c r="B16" t="str">
        <f>'PDF Scraping'!D15</f>
        <v>https://www.whitechurch.co.uk/whitechurch-co-uk/_img/Quarterly/2023/Q3%202023/Responsible Dynamics Q3 2023 .pdf</v>
      </c>
    </row>
    <row r="17" spans="1:2" x14ac:dyDescent="0.25">
      <c r="A17" t="s">
        <v>61</v>
      </c>
      <c r="B17" t="str">
        <f>'PDF Scraping'!D16</f>
        <v>https://www.whitechurch.co.uk/whitechurch-co-uk/_img/Quarterly/2023/Q3%202023/Responsible Dynamics Q3 2023 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L50"/>
  <sheetViews>
    <sheetView topLeftCell="C1" workbookViewId="0">
      <selection activeCell="K1" sqref="K1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12" x14ac:dyDescent="0.25">
      <c r="B1" t="s">
        <v>22</v>
      </c>
      <c r="C1" t="s">
        <v>52</v>
      </c>
      <c r="D1" t="s">
        <v>50</v>
      </c>
      <c r="E1" t="s">
        <v>51</v>
      </c>
      <c r="F1" t="s">
        <v>71</v>
      </c>
      <c r="G1" t="s">
        <v>72</v>
      </c>
      <c r="H1" t="s">
        <v>73</v>
      </c>
      <c r="I1" t="s">
        <v>74</v>
      </c>
      <c r="J1" t="s">
        <v>75</v>
      </c>
      <c r="K1" t="s">
        <v>76</v>
      </c>
      <c r="L1" t="s">
        <v>77</v>
      </c>
    </row>
    <row r="2" spans="1:12" x14ac:dyDescent="0.25">
      <c r="A2" t="str">
        <f>IF(Input!A3="","",Input!A3)</f>
        <v>Dynamic Defensive</v>
      </c>
      <c r="B2" s="1"/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x14ac:dyDescent="0.25">
      <c r="A3" t="str">
        <f>IF(Input!A4="","",Input!A4)</f>
        <v>Dynamic Cautious</v>
      </c>
      <c r="B3" s="1"/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 x14ac:dyDescent="0.25">
      <c r="A4" t="str">
        <f>IF(Input!A5="","",Input!A5)</f>
        <v>Dynamic Balanced</v>
      </c>
      <c r="B4" s="1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 x14ac:dyDescent="0.25">
      <c r="A5" t="str">
        <f>IF(Input!A6="","",Input!A6)</f>
        <v>Dynamic Steady Growth</v>
      </c>
      <c r="B5" s="1"/>
      <c r="C5" s="5"/>
      <c r="D5" s="5"/>
      <c r="E5" s="5"/>
      <c r="F5" s="5"/>
      <c r="G5" s="5"/>
      <c r="H5" s="5"/>
      <c r="I5" s="5"/>
      <c r="J5" s="5"/>
      <c r="K5" s="5"/>
      <c r="L5" s="5"/>
    </row>
    <row r="6" spans="1:12" x14ac:dyDescent="0.25">
      <c r="A6" t="str">
        <f>IF(Input!A7="","",Input!A7)</f>
        <v>Cautious Growth</v>
      </c>
      <c r="B6" s="1"/>
      <c r="C6" s="5"/>
      <c r="D6" s="5"/>
      <c r="E6" s="5"/>
      <c r="F6" s="5"/>
      <c r="G6" s="5"/>
      <c r="H6" s="5"/>
      <c r="I6" s="5"/>
      <c r="J6" s="5"/>
      <c r="K6" s="5"/>
      <c r="L6" s="5"/>
    </row>
    <row r="7" spans="1:12" x14ac:dyDescent="0.25">
      <c r="A7" t="str">
        <f>IF(Input!A8="","",Input!A8)</f>
        <v>Monthly Distribution</v>
      </c>
      <c r="B7" s="1"/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 x14ac:dyDescent="0.25">
      <c r="A8" t="str">
        <f>IF(Input!A9="","",Input!A9)</f>
        <v>Global Income and Growth</v>
      </c>
      <c r="B8" s="1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x14ac:dyDescent="0.25">
      <c r="A9" t="str">
        <f>IF(Input!A10="","",Input!A10)</f>
        <v>Stockmarket Growth</v>
      </c>
      <c r="B9" s="1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12" x14ac:dyDescent="0.25">
      <c r="A10" t="str">
        <f>IF(Input!A11="","",Input!A11)</f>
        <v>Energy and Global Shift</v>
      </c>
      <c r="B10" s="1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2" x14ac:dyDescent="0.25">
      <c r="A11" t="str">
        <f>IF(Input!A12="","",Input!A12)</f>
        <v>Ethical Balanced</v>
      </c>
      <c r="B11" s="1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2" x14ac:dyDescent="0.25">
      <c r="A12" t="str">
        <f>IF(Input!A13="","",Input!A13)</f>
        <v>Responsible Defensive</v>
      </c>
      <c r="B12" s="1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2" x14ac:dyDescent="0.25">
      <c r="A13" t="str">
        <f>IF(Input!A14="","",Input!A14)</f>
        <v>Responsible Cautious</v>
      </c>
      <c r="B13" s="1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12" x14ac:dyDescent="0.25">
      <c r="A14" t="str">
        <f>IF(Input!A15="","",Input!A15)</f>
        <v>Responsible Balanced</v>
      </c>
      <c r="B14" s="1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12" x14ac:dyDescent="0.25">
      <c r="A15" t="str">
        <f>IF(Input!A16="","",Input!A16)</f>
        <v>Responsible Steady Growth</v>
      </c>
      <c r="B15" s="1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2" x14ac:dyDescent="0.25">
      <c r="A16" t="str">
        <f>IF(Input!A17="","",Input!A17)</f>
        <v>Responsible Growth</v>
      </c>
      <c r="B16" s="1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opLeftCell="E1" workbookViewId="0">
      <selection activeCell="H2" sqref="H2:J2"/>
    </sheetView>
  </sheetViews>
  <sheetFormatPr defaultRowHeight="15" x14ac:dyDescent="0.25"/>
  <cols>
    <col min="1" max="1" width="23.85546875" bestFit="1" customWidth="1"/>
    <col min="2" max="2" width="8.7109375" bestFit="1" customWidth="1"/>
    <col min="3" max="3" width="21.42578125" bestFit="1" customWidth="1"/>
    <col min="4" max="4" width="20.140625" bestFit="1" customWidth="1"/>
    <col min="5" max="5" width="18.85546875" bestFit="1" customWidth="1"/>
    <col min="6" max="6" width="16.140625" bestFit="1" customWidth="1"/>
    <col min="7" max="7" width="9.42578125" bestFit="1" customWidth="1"/>
    <col min="8" max="8" width="14.5703125" bestFit="1" customWidth="1"/>
    <col min="9" max="9" width="27.42578125" bestFit="1" customWidth="1"/>
    <col min="10" max="10" width="26.140625" bestFit="1" customWidth="1"/>
    <col min="11" max="11" width="8" bestFit="1" customWidth="1"/>
    <col min="12" max="12" width="10.42578125" bestFit="1" customWidth="1"/>
    <col min="13" max="13" width="6.85546875" bestFit="1" customWidth="1"/>
    <col min="14" max="14" width="19.5703125" bestFit="1" customWidth="1"/>
    <col min="15" max="15" width="9.85546875" bestFit="1" customWidth="1"/>
    <col min="16" max="16" width="15.140625" bestFit="1" customWidth="1"/>
    <col min="17" max="17" width="8" bestFit="1" customWidth="1"/>
    <col min="18" max="18" width="11.85546875" bestFit="1" customWidth="1"/>
    <col min="19" max="19" width="7.5703125" bestFit="1" customWidth="1"/>
    <col min="20" max="20" width="11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29</v>
      </c>
      <c r="L1" t="s">
        <v>28</v>
      </c>
      <c r="M1" t="s">
        <v>48</v>
      </c>
      <c r="N1" t="s">
        <v>49</v>
      </c>
      <c r="O1" t="s">
        <v>66</v>
      </c>
    </row>
    <row r="2" spans="1:30" x14ac:dyDescent="0.25">
      <c r="A2" t="str">
        <f>IF(Input!A3="","",Input!A3)</f>
        <v>Dynamic Defensive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Dynamic Cautious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Dynamic Balanced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Dynamic Steady Growth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Cautious Growth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Monthly Distribution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Global Income and Growth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Stockmarket Growth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Energy and Global Shift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Ethical Balanced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Responsible Defensive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Responsible Cautious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Responsible Balanced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Responsible Steady Growth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Responsible Growth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C1" workbookViewId="0">
      <selection activeCell="D27" sqref="D27"/>
    </sheetView>
  </sheetViews>
  <sheetFormatPr defaultRowHeight="15" x14ac:dyDescent="0.25"/>
  <cols>
    <col min="1" max="1" width="25.85546875" bestFit="1" customWidth="1"/>
    <col min="2" max="2" width="105" bestFit="1" customWidth="1"/>
    <col min="3" max="3" width="57.42578125" bestFit="1" customWidth="1"/>
    <col min="4" max="4" width="112.28515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Dynamic Defensive</v>
      </c>
      <c r="B2" t="s">
        <v>53</v>
      </c>
      <c r="C2" t="s">
        <v>54</v>
      </c>
      <c r="D2" s="8" t="s">
        <v>78</v>
      </c>
    </row>
    <row r="3" spans="1:5" x14ac:dyDescent="0.25">
      <c r="A3" t="str">
        <f>IF(Input!A4="","",Input!A4)</f>
        <v>Dynamic Cautious</v>
      </c>
      <c r="B3" t="s">
        <v>53</v>
      </c>
      <c r="C3" t="s">
        <v>54</v>
      </c>
      <c r="D3" s="8" t="s">
        <v>78</v>
      </c>
    </row>
    <row r="4" spans="1:5" x14ac:dyDescent="0.25">
      <c r="A4" t="str">
        <f>IF(Input!A5="","",Input!A5)</f>
        <v>Dynamic Balanced</v>
      </c>
      <c r="B4" t="s">
        <v>53</v>
      </c>
      <c r="C4" t="s">
        <v>54</v>
      </c>
      <c r="D4" s="8" t="s">
        <v>78</v>
      </c>
    </row>
    <row r="5" spans="1:5" x14ac:dyDescent="0.25">
      <c r="A5" t="str">
        <f>IF(Input!A6="","",Input!A6)</f>
        <v>Dynamic Steady Growth</v>
      </c>
      <c r="B5" t="s">
        <v>53</v>
      </c>
      <c r="C5" t="s">
        <v>54</v>
      </c>
      <c r="D5" s="8" t="s">
        <v>78</v>
      </c>
    </row>
    <row r="6" spans="1:5" x14ac:dyDescent="0.25">
      <c r="A6" t="str">
        <f>IF(Input!A7="","",Input!A7)</f>
        <v>Cautious Growth</v>
      </c>
      <c r="B6" t="s">
        <v>53</v>
      </c>
      <c r="C6" t="s">
        <v>54</v>
      </c>
      <c r="D6" s="8" t="s">
        <v>78</v>
      </c>
    </row>
    <row r="7" spans="1:5" x14ac:dyDescent="0.25">
      <c r="A7" t="str">
        <f>IF(Input!A8="","",Input!A8)</f>
        <v>Monthly Distribution</v>
      </c>
      <c r="B7" t="s">
        <v>53</v>
      </c>
      <c r="C7" t="s">
        <v>54</v>
      </c>
      <c r="D7" s="8" t="s">
        <v>78</v>
      </c>
    </row>
    <row r="8" spans="1:5" x14ac:dyDescent="0.25">
      <c r="A8" t="str">
        <f>IF(Input!A9="","",Input!A9)</f>
        <v>Global Income and Growth</v>
      </c>
      <c r="B8" t="s">
        <v>53</v>
      </c>
      <c r="C8" t="s">
        <v>54</v>
      </c>
      <c r="D8" s="8" t="s">
        <v>78</v>
      </c>
    </row>
    <row r="9" spans="1:5" x14ac:dyDescent="0.25">
      <c r="A9" t="str">
        <f>IF(Input!A10="","",Input!A10)</f>
        <v>Stockmarket Growth</v>
      </c>
      <c r="B9" t="s">
        <v>53</v>
      </c>
      <c r="C9" t="s">
        <v>54</v>
      </c>
      <c r="D9" s="8" t="s">
        <v>78</v>
      </c>
    </row>
    <row r="10" spans="1:5" x14ac:dyDescent="0.25">
      <c r="A10" t="str">
        <f>IF(Input!A11="","",Input!A11)</f>
        <v>Energy and Global Shift</v>
      </c>
      <c r="B10" t="s">
        <v>53</v>
      </c>
      <c r="C10" t="s">
        <v>54</v>
      </c>
      <c r="D10" s="8" t="s">
        <v>78</v>
      </c>
    </row>
    <row r="11" spans="1:5" x14ac:dyDescent="0.25">
      <c r="A11" t="str">
        <f>IF(Input!A12="","",Input!A12)</f>
        <v>Ethical Balanced</v>
      </c>
      <c r="B11" t="s">
        <v>53</v>
      </c>
      <c r="C11" t="s">
        <v>56</v>
      </c>
      <c r="D11" s="8" t="s">
        <v>79</v>
      </c>
    </row>
    <row r="12" spans="1:5" x14ac:dyDescent="0.25">
      <c r="A12" t="str">
        <f>IF(Input!A13="","",Input!A13)</f>
        <v>Responsible Defensive</v>
      </c>
      <c r="B12" t="s">
        <v>53</v>
      </c>
      <c r="C12" t="s">
        <v>62</v>
      </c>
      <c r="D12" s="8" t="s">
        <v>80</v>
      </c>
    </row>
    <row r="13" spans="1:5" x14ac:dyDescent="0.25">
      <c r="A13" t="str">
        <f>IF(Input!A14="","",Input!A14)</f>
        <v>Responsible Cautious</v>
      </c>
      <c r="B13" t="s">
        <v>53</v>
      </c>
      <c r="C13" t="s">
        <v>62</v>
      </c>
      <c r="D13" s="8" t="s">
        <v>80</v>
      </c>
    </row>
    <row r="14" spans="1:5" x14ac:dyDescent="0.25">
      <c r="A14" t="str">
        <f>IF(Input!A15="","",Input!A15)</f>
        <v>Responsible Balanced</v>
      </c>
      <c r="B14" t="s">
        <v>53</v>
      </c>
      <c r="C14" t="s">
        <v>62</v>
      </c>
      <c r="D14" s="8" t="s">
        <v>80</v>
      </c>
    </row>
    <row r="15" spans="1:5" x14ac:dyDescent="0.25">
      <c r="A15" t="str">
        <f>IF(Input!A16="","",Input!A16)</f>
        <v>Responsible Steady Growth</v>
      </c>
      <c r="B15" t="s">
        <v>53</v>
      </c>
      <c r="C15" t="s">
        <v>62</v>
      </c>
      <c r="D15" s="8" t="s">
        <v>80</v>
      </c>
    </row>
    <row r="16" spans="1:5" x14ac:dyDescent="0.25">
      <c r="A16" t="str">
        <f>IF(Input!A17="","",Input!A17)</f>
        <v>Responsible Growth</v>
      </c>
      <c r="B16" t="s">
        <v>53</v>
      </c>
      <c r="C16" t="s">
        <v>62</v>
      </c>
      <c r="D16" s="8" t="s">
        <v>80</v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F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  <col min="6" max="6" width="10.42578125" bestFit="1" customWidth="1"/>
  </cols>
  <sheetData>
    <row r="1" spans="1:6" x14ac:dyDescent="0.25">
      <c r="B1" t="s">
        <v>22</v>
      </c>
    </row>
    <row r="2" spans="1:6" x14ac:dyDescent="0.25">
      <c r="A2" t="str">
        <f>IF(Input!A3="","",Input!A3)</f>
        <v>Dynamic Defensive</v>
      </c>
      <c r="B2" s="1" t="e">
        <f>IF(A2="","",EOMONTH(DATE(RIGHT('Additional Information'!B2,4),MONTH(1&amp;MID('Additional Information'!B2,SEARCH(" ",'Additional Information'!B2,1)+1,SEARCH(" ",'Additional Information'!B2,SEARCH(" ",'Additional Information'!B2,1)+1)-SEARCH(" ",'Additional Information'!B2,1))),LEFT('Additional Information'!B2,2)),0))</f>
        <v>#VALUE!</v>
      </c>
      <c r="F2" s="1"/>
    </row>
    <row r="3" spans="1:6" x14ac:dyDescent="0.25">
      <c r="A3" t="str">
        <f>IF(Input!A4="","",Input!A4)</f>
        <v>Dynamic Cautious</v>
      </c>
      <c r="B3" s="1" t="e">
        <f>IF(A3="","",EOMONTH(DATE(RIGHT('Additional Information'!B3,4),MONTH(1&amp;MID('Additional Information'!B3,SEARCH(" ",'Additional Information'!B3,1)+1,SEARCH(" ",'Additional Information'!B3,SEARCH(" ",'Additional Information'!B3,1)+1)-SEARCH(" ",'Additional Information'!B3,1))),LEFT('Additional Information'!B3,2)),0))</f>
        <v>#VALUE!</v>
      </c>
    </row>
    <row r="4" spans="1:6" x14ac:dyDescent="0.25">
      <c r="A4" t="str">
        <f>IF(Input!A5="","",Input!A5)</f>
        <v>Dynamic Balanced</v>
      </c>
      <c r="B4" s="1" t="e">
        <f>IF(A4="","",EOMONTH(DATE(RIGHT('Additional Information'!B4,4),MONTH(1&amp;MID('Additional Information'!B4,SEARCH(" ",'Additional Information'!B4,1)+1,SEARCH(" ",'Additional Information'!B4,SEARCH(" ",'Additional Information'!B4,1)+1)-SEARCH(" ",'Additional Information'!B4,1))),LEFT('Additional Information'!B4,2)),0))</f>
        <v>#VALUE!</v>
      </c>
    </row>
    <row r="5" spans="1:6" x14ac:dyDescent="0.25">
      <c r="A5" t="str">
        <f>IF(Input!A6="","",Input!A6)</f>
        <v>Dynamic Steady Growth</v>
      </c>
      <c r="B5" s="1" t="e">
        <f>IF(A5="","",EOMONTH(DATE(RIGHT('Additional Information'!B5,4),MONTH(1&amp;MID('Additional Information'!B5,SEARCH(" ",'Additional Information'!B5,1)+1,SEARCH(" ",'Additional Information'!B5,SEARCH(" ",'Additional Information'!B5,1)+1)-SEARCH(" ",'Additional Information'!B5,1))),LEFT('Additional Information'!B5,2)),0))</f>
        <v>#VALUE!</v>
      </c>
    </row>
    <row r="6" spans="1:6" x14ac:dyDescent="0.25">
      <c r="A6" t="str">
        <f>IF(Input!A7="","",Input!A7)</f>
        <v>Cautious Growth</v>
      </c>
      <c r="B6" s="1" t="e">
        <f>IF(A6="","",EOMONTH(DATE(RIGHT('Additional Information'!B6,4),MONTH(1&amp;MID('Additional Information'!B6,SEARCH(" ",'Additional Information'!B6,1)+1,SEARCH(" ",'Additional Information'!B6,SEARCH(" ",'Additional Information'!B6,1)+1)-SEARCH(" ",'Additional Information'!B6,1))),LEFT('Additional Information'!B6,2)),0))</f>
        <v>#VALUE!</v>
      </c>
    </row>
    <row r="7" spans="1:6" x14ac:dyDescent="0.25">
      <c r="A7" t="str">
        <f>IF(Input!A8="","",Input!A8)</f>
        <v>Monthly Distribution</v>
      </c>
      <c r="B7" s="1" t="e">
        <f>IF(A7="","",EOMONTH(DATE(RIGHT('Additional Information'!B7,4),MONTH(1&amp;MID('Additional Information'!B7,SEARCH(" ",'Additional Information'!B7,1)+1,SEARCH(" ",'Additional Information'!B7,SEARCH(" ",'Additional Information'!B7,1)+1)-SEARCH(" ",'Additional Information'!B7,1))),LEFT('Additional Information'!B7,2)),0))</f>
        <v>#VALUE!</v>
      </c>
    </row>
    <row r="8" spans="1:6" x14ac:dyDescent="0.25">
      <c r="A8" t="str">
        <f>IF(Input!A9="","",Input!A9)</f>
        <v>Global Income and Growth</v>
      </c>
      <c r="B8" s="1" t="e">
        <f>IF(A8="","",EOMONTH(DATE(RIGHT('Additional Information'!B8,4),MONTH(1&amp;MID('Additional Information'!B8,SEARCH(" ",'Additional Information'!B8,1)+1,SEARCH(" ",'Additional Information'!B8,SEARCH(" ",'Additional Information'!B8,1)+1)-SEARCH(" ",'Additional Information'!B8,1))),LEFT('Additional Information'!B8,2)),0))</f>
        <v>#VALUE!</v>
      </c>
    </row>
    <row r="9" spans="1:6" x14ac:dyDescent="0.25">
      <c r="A9" t="str">
        <f>IF(Input!A10="","",Input!A10)</f>
        <v>Stockmarket Growth</v>
      </c>
      <c r="B9" s="1" t="e">
        <f>IF(A9="","",EOMONTH(DATE(RIGHT('Additional Information'!B9,4),MONTH(1&amp;MID('Additional Information'!B9,SEARCH(" ",'Additional Information'!B9,1)+1,SEARCH(" ",'Additional Information'!B9,SEARCH(" ",'Additional Information'!B9,1)+1)-SEARCH(" ",'Additional Information'!B9,1))),LEFT('Additional Information'!B9,2)),0))</f>
        <v>#VALUE!</v>
      </c>
    </row>
    <row r="10" spans="1:6" x14ac:dyDescent="0.25">
      <c r="A10" t="str">
        <f>IF(Input!A11="","",Input!A11)</f>
        <v>Energy and Global Shift</v>
      </c>
      <c r="B10" s="1" t="e">
        <f>IF(A10="","",EOMONTH(DATE(RIGHT('Additional Information'!B10,4),MONTH(1&amp;MID('Additional Information'!B10,SEARCH(" ",'Additional Information'!B10,1)+1,SEARCH(" ",'Additional Information'!B10,SEARCH(" ",'Additional Information'!B10,1)+1)-SEARCH(" ",'Additional Information'!B10,1))),LEFT('Additional Information'!B10,2)),0))</f>
        <v>#VALUE!</v>
      </c>
    </row>
    <row r="11" spans="1:6" x14ac:dyDescent="0.25">
      <c r="A11" t="str">
        <f>IF(Input!A12="","",Input!A12)</f>
        <v>Ethical Balanced</v>
      </c>
      <c r="B11" s="1" t="e">
        <f>IF(A11="","",EOMONTH(DATE(RIGHT('Additional Information'!B11,4),MONTH(1&amp;MID('Additional Information'!B11,SEARCH(" ",'Additional Information'!B11,1)+1,SEARCH(" ",'Additional Information'!B11,SEARCH(" ",'Additional Information'!B11,1)+1)-SEARCH(" ",'Additional Information'!B11,1))),LEFT('Additional Information'!B11,2)),0))</f>
        <v>#VALUE!</v>
      </c>
    </row>
    <row r="12" spans="1:6" x14ac:dyDescent="0.25">
      <c r="A12" t="str">
        <f>IF(Input!A13="","",Input!A13)</f>
        <v>Responsible Defensive</v>
      </c>
      <c r="B12" s="1" t="e">
        <f>IF(A12="","",EOMONTH(DATE(RIGHT('Additional Information'!B12,4),MONTH(1&amp;MID('Additional Information'!B12,SEARCH(" ",'Additional Information'!B12,1)+1,SEARCH(" ",'Additional Information'!B12,SEARCH(" ",'Additional Information'!B12,1)+1)-SEARCH(" ",'Additional Information'!B12,1))),LEFT('Additional Information'!B12,2)),0))</f>
        <v>#VALUE!</v>
      </c>
    </row>
    <row r="13" spans="1:6" x14ac:dyDescent="0.25">
      <c r="A13" t="str">
        <f>IF(Input!A14="","",Input!A14)</f>
        <v>Responsible Cautious</v>
      </c>
      <c r="B13" s="1" t="e">
        <f>IF(A13="","",EOMONTH(DATE(RIGHT('Additional Information'!B13,4),MONTH(1&amp;MID('Additional Information'!B13,SEARCH(" ",'Additional Information'!B13,1)+1,SEARCH(" ",'Additional Information'!B13,SEARCH(" ",'Additional Information'!B13,1)+1)-SEARCH(" ",'Additional Information'!B13,1))),LEFT('Additional Information'!B13,2)),0))</f>
        <v>#VALUE!</v>
      </c>
    </row>
    <row r="14" spans="1:6" x14ac:dyDescent="0.25">
      <c r="A14" t="str">
        <f>IF(Input!A15="","",Input!A15)</f>
        <v>Responsible Balanced</v>
      </c>
      <c r="B14" s="1" t="e">
        <f>IF(A14="","",EOMONTH(DATE(RIGHT('Additional Information'!B14,4),MONTH(1&amp;MID('Additional Information'!B14,SEARCH(" ",'Additional Information'!B14,1)+1,SEARCH(" ",'Additional Information'!B14,SEARCH(" ",'Additional Information'!B14,1)+1)-SEARCH(" ",'Additional Information'!B14,1))),LEFT('Additional Information'!B14,2)),0))</f>
        <v>#VALUE!</v>
      </c>
    </row>
    <row r="15" spans="1:6" x14ac:dyDescent="0.25">
      <c r="A15" t="str">
        <f>IF(Input!A16="","",Input!A16)</f>
        <v>Responsible Steady Growth</v>
      </c>
      <c r="B15" s="1" t="e">
        <f>IF(A15="","",EOMONTH(DATE(RIGHT('Additional Information'!B15,4),MONTH(1&amp;MID('Additional Information'!B15,SEARCH(" ",'Additional Information'!B15,1)+1,SEARCH(" ",'Additional Information'!B15,SEARCH(" ",'Additional Information'!B15,1)+1)-SEARCH(" ",'Additional Information'!B15,1))),LEFT('Additional Information'!B15,2)),0))</f>
        <v>#VALUE!</v>
      </c>
    </row>
    <row r="16" spans="1:6" x14ac:dyDescent="0.25">
      <c r="A16" t="str">
        <f>IF(Input!A17="","",Input!A17)</f>
        <v>Responsible Growth</v>
      </c>
      <c r="B16" s="1" t="e">
        <f>IF(A16="","",EOMONTH(DATE(RIGHT('Additional Information'!B16,4),MONTH(1&amp;MID('Additional Information'!B16,SEARCH(" ",'Additional Information'!B16,1)+1,SEARCH(" ",'Additional Information'!B16,SEARCH(" ",'Additional Information'!B16,1)+1)-SEARCH(" ",'Additional Information'!B16,1))),LEFT('Additional Information'!B16,2)),0))</f>
        <v>#VALUE!</v>
      </c>
    </row>
    <row r="17" spans="1:2" x14ac:dyDescent="0.25">
      <c r="A17" t="str">
        <f>IF(Input!A18="","",Input!A18)</f>
        <v/>
      </c>
      <c r="B17" s="1" t="str">
        <f>IF(A17="","",EOMONTH(DATE(RIGHT('Additional Information'!B17,4),MONTH(1&amp;MID('Additional Information'!B17,SEARCH(" ",'Additional Information'!B17,1)+1,SEARCH(" ",'Additional Information'!B17,SEARCH(" ",'Additional Information'!B17,1)+1)-SEARCH(" ",'Additional Information'!B17,1))),LEFT('Additional Information'!B17,2)),0))</f>
        <v/>
      </c>
    </row>
    <row r="18" spans="1:2" x14ac:dyDescent="0.25">
      <c r="A18" t="str">
        <f>IF(Input!A19="","",Input!A19)</f>
        <v/>
      </c>
      <c r="B18" s="1" t="str">
        <f>IF(A18="","",EOMONTH(DATE(RIGHT('Additional Information'!B18,4),MONTH(1&amp;MID('Additional Information'!B18,SEARCH(" ",'Additional Information'!B18,1)+1,SEARCH(" ",'Additional Information'!B18,SEARCH(" ",'Additional Information'!B18,1)+1)-SEARCH(" ",'Additional Information'!B18,1))),LEFT('Additional Information'!B18,2)),0))</f>
        <v/>
      </c>
    </row>
    <row r="19" spans="1:2" x14ac:dyDescent="0.25">
      <c r="A19" t="str">
        <f>IF(Input!A20="","",Input!A20)</f>
        <v/>
      </c>
      <c r="B19" s="1" t="str">
        <f>IF(A19="","",EOMONTH(DATE(RIGHT('Additional Information'!B19,4),MONTH(1&amp;MID('Additional Information'!B19,SEARCH(" ",'Additional Information'!B19,1)+1,SEARCH(" ",'Additional Information'!B19,SEARCH(" ",'Additional Information'!B19,1)+1)-SEARCH(" ",'Additional Information'!B19,1))),LEFT('Additional Information'!B19,2)),0))</f>
        <v/>
      </c>
    </row>
    <row r="20" spans="1:2" x14ac:dyDescent="0.25">
      <c r="A20" t="str">
        <f>IF(Input!A21="","",Input!A21)</f>
        <v/>
      </c>
      <c r="B20" s="1" t="str">
        <f>IF(A20="","",EOMONTH(DATE(RIGHT('Additional Information'!B20,4),MONTH(1&amp;MID('Additional Information'!B20,SEARCH(" ",'Additional Information'!B20,1)+1,SEARCH(" ",'Additional Information'!B20,SEARCH(" ",'Additional Information'!B20,1)+1)-SEARCH(" ",'Additional Information'!B20,1))),LEFT('Additional Information'!B20,2)),0))</f>
        <v/>
      </c>
    </row>
    <row r="21" spans="1:2" x14ac:dyDescent="0.25">
      <c r="A21" t="str">
        <f>IF(Input!A22="","",Input!A22)</f>
        <v/>
      </c>
      <c r="B21" s="1" t="str">
        <f>IF(A21="","",EOMONTH(DATE(RIGHT('Additional Information'!B21,4),MONTH(1&amp;MID('Additional Information'!B21,SEARCH(" ",'Additional Information'!B21,1)+1,SEARCH(" ",'Additional Information'!B21,SEARCH(" ",'Additional Information'!B21,1)+1)-SEARCH(" ",'Additional Information'!B21,1))),LEFT('Additional Information'!B21,2)),0))</f>
        <v/>
      </c>
    </row>
    <row r="22" spans="1:2" x14ac:dyDescent="0.25">
      <c r="A22" t="str">
        <f>IF(Input!A23="","",Input!A23)</f>
        <v/>
      </c>
      <c r="B22" s="1" t="str">
        <f>IF(A22="","",EOMONTH(DATE(RIGHT('Additional Information'!B22,4),MONTH(1&amp;MID('Additional Information'!B22,SEARCH(" ",'Additional Information'!B22,1)+1,SEARCH(" ",'Additional Information'!B22,SEARCH(" ",'Additional Information'!B22,1)+1)-SEARCH(" ",'Additional Information'!B22,1))),LEFT('Additional Information'!B22,2)),0))</f>
        <v/>
      </c>
    </row>
    <row r="23" spans="1:2" x14ac:dyDescent="0.25">
      <c r="A23" t="str">
        <f>IF(Input!A24="","",Input!A24)</f>
        <v/>
      </c>
      <c r="B23" s="1" t="str">
        <f>IF(A23="","",EOMONTH(DATE(RIGHT('Additional Information'!B23,4),MONTH(1&amp;MID('Additional Information'!B23,SEARCH(" ",'Additional Information'!B23,1)+1,SEARCH(" ",'Additional Information'!B23,SEARCH(" ",'Additional Information'!B23,1)+1)-SEARCH(" ",'Additional Information'!B23,1))),LEFT('Additional Information'!B23,2)),0))</f>
        <v/>
      </c>
    </row>
    <row r="24" spans="1:2" x14ac:dyDescent="0.25">
      <c r="A24" t="str">
        <f>IF(Input!A25="","",Input!A25)</f>
        <v/>
      </c>
      <c r="B24" s="1" t="str">
        <f>IF(A24="","",EOMONTH(DATE(RIGHT('Additional Information'!B24,4),MONTH(1&amp;MID('Additional Information'!B24,SEARCH(" ",'Additional Information'!B24,1)+1,SEARCH(" ",'Additional Information'!B24,SEARCH(" ",'Additional Information'!B24,1)+1)-SEARCH(" ",'Additional Information'!B24,1))),LEFT('Additional Information'!B24,2)),0))</f>
        <v/>
      </c>
    </row>
    <row r="25" spans="1:2" x14ac:dyDescent="0.25">
      <c r="A25" t="str">
        <f>IF(Input!A26="","",Input!A26)</f>
        <v/>
      </c>
      <c r="B25" s="1" t="str">
        <f>IF(A25="","",EOMONTH(DATE(RIGHT('Additional Information'!B25,4),MONTH(1&amp;MID('Additional Information'!B25,SEARCH(" ",'Additional Information'!B25,1)+1,SEARCH(" ",'Additional Information'!B25,SEARCH(" ",'Additional Information'!B25,1)+1)-SEARCH(" ",'Additional Information'!B25,1))),LEFT('Additional Information'!B25,2)),0))</f>
        <v/>
      </c>
    </row>
    <row r="26" spans="1:2" x14ac:dyDescent="0.25">
      <c r="A26" t="str">
        <f>IF(Input!A27="","",Input!A27)</f>
        <v/>
      </c>
      <c r="B26" s="1" t="str">
        <f>IF(A26="","",EOMONTH(DATE(RIGHT('Additional Information'!B26,4),MONTH(1&amp;MID('Additional Information'!B26,SEARCH(" ",'Additional Information'!B26,1)+1,SEARCH(" ",'Additional Information'!B26,SEARCH(" ",'Additional Information'!B26,1)+1)-SEARCH(" ",'Additional Information'!B26,1))),LEFT('Additional Information'!B26,2)),0))</f>
        <v/>
      </c>
    </row>
    <row r="27" spans="1:2" x14ac:dyDescent="0.25">
      <c r="A27" t="str">
        <f>IF(Input!A28="","",Input!A28)</f>
        <v/>
      </c>
      <c r="B27" s="1" t="str">
        <f>IF(A27="","",EOMONTH(DATE(RIGHT('Additional Information'!B27,4),MONTH(1&amp;MID('Additional Information'!B27,SEARCH(" ",'Additional Information'!B27,1)+1,SEARCH(" ",'Additional Information'!B27,SEARCH(" ",'Additional Information'!B27,1)+1)-SEARCH(" ",'Additional Information'!B27,1))),LEFT('Additional Information'!B27,2)),0))</f>
        <v/>
      </c>
    </row>
    <row r="28" spans="1:2" x14ac:dyDescent="0.25">
      <c r="A28" t="str">
        <f>IF(Input!A29="","",Input!A29)</f>
        <v/>
      </c>
      <c r="B28" s="1" t="str">
        <f>IF(A28="","",EOMONTH(DATE(RIGHT('Additional Information'!B28,4),MONTH(1&amp;MID('Additional Information'!B28,SEARCH(" ",'Additional Information'!B28,1)+1,SEARCH(" ",'Additional Information'!B28,SEARCH(" ",'Additional Information'!B28,1)+1)-SEARCH(" ",'Additional Information'!B28,1))),LEFT('Additional Information'!B28,2)),0))</f>
        <v/>
      </c>
    </row>
    <row r="29" spans="1:2" x14ac:dyDescent="0.25">
      <c r="A29" t="str">
        <f>IF(Input!A30="","",Input!A30)</f>
        <v/>
      </c>
      <c r="B29" s="1" t="str">
        <f>IF(A29="","",EOMONTH(DATE(RIGHT('Additional Information'!B29,4),MONTH(1&amp;MID('Additional Information'!B29,SEARCH(" ",'Additional Information'!B29,1)+1,SEARCH(" ",'Additional Information'!B29,SEARCH(" ",'Additional Information'!B29,1)+1)-SEARCH(" ",'Additional Information'!B29,1))),LEFT('Additional Information'!B29,2)),0))</f>
        <v/>
      </c>
    </row>
    <row r="30" spans="1:2" x14ac:dyDescent="0.25">
      <c r="A30" t="str">
        <f>IF(Input!A31="","",Input!A31)</f>
        <v/>
      </c>
      <c r="B30" s="1" t="str">
        <f>IF(A30="","",EOMONTH(DATE(RIGHT('Additional Information'!B30,4),MONTH(1&amp;MID('Additional Information'!B30,SEARCH(" ",'Additional Information'!B30,1)+1,SEARCH(" ",'Additional Information'!B30,SEARCH(" ",'Additional Information'!B30,1)+1)-SEARCH(" ",'Additional Information'!B30,1))),LEFT('Additional Information'!B30,2)),0))</f>
        <v/>
      </c>
    </row>
    <row r="31" spans="1:2" x14ac:dyDescent="0.25">
      <c r="A31" t="str">
        <f>IF(Input!A32="","",Input!A32)</f>
        <v/>
      </c>
      <c r="B31" s="1" t="str">
        <f>IF(A31="","",EOMONTH(DATE(RIGHT('Additional Information'!B31,4),MONTH(1&amp;MID('Additional Information'!B31,SEARCH(" ",'Additional Information'!B31,1)+1,SEARCH(" ",'Additional Information'!B31,SEARCH(" ",'Additional Information'!B31,1)+1)-SEARCH(" ",'Additional Information'!B31,1))),LEFT('Additional Information'!B31,2)),0))</f>
        <v/>
      </c>
    </row>
    <row r="32" spans="1:2" x14ac:dyDescent="0.25">
      <c r="A32" t="str">
        <f>IF(Input!A33="","",Input!A33)</f>
        <v/>
      </c>
      <c r="B32" s="1" t="str">
        <f>IF(A32="","",EOMONTH(DATE(RIGHT('Additional Information'!B32,4),MONTH(1&amp;MID('Additional Information'!B32,SEARCH(" ",'Additional Information'!B32,1)+1,SEARCH(" ",'Additional Information'!B32,SEARCH(" ",'Additional Information'!B32,1)+1)-SEARCH(" ",'Additional Information'!B32,1))),LEFT('Additional Information'!B32,2)),0))</f>
        <v/>
      </c>
    </row>
    <row r="33" spans="1:2" x14ac:dyDescent="0.25">
      <c r="A33" t="str">
        <f>IF(Input!A34="","",Input!A34)</f>
        <v/>
      </c>
      <c r="B33" s="1" t="str">
        <f>IF(A33="","",EOMONTH(DATE(RIGHT('Additional Information'!B33,4),MONTH(1&amp;MID('Additional Information'!B33,SEARCH(" ",'Additional Information'!B33,1)+1,SEARCH(" ",'Additional Information'!B33,SEARCH(" ",'Additional Information'!B33,1)+1)-SEARCH(" ",'Additional Information'!B33,1))),LEFT('Additional Information'!B33,2)),0))</f>
        <v/>
      </c>
    </row>
    <row r="34" spans="1:2" x14ac:dyDescent="0.25">
      <c r="A34" t="str">
        <f>IF(Input!A35="","",Input!A35)</f>
        <v/>
      </c>
      <c r="B34" s="1" t="str">
        <f>IF(A34="","",EOMONTH(DATE(RIGHT('Additional Information'!B34,4),MONTH(1&amp;MID('Additional Information'!B34,SEARCH(" ",'Additional Information'!B34,1)+1,SEARCH(" ",'Additional Information'!B34,SEARCH(" ",'Additional Information'!B34,1)+1)-SEARCH(" ",'Additional Information'!B34,1))),LEFT('Additional Information'!B34,2)),0))</f>
        <v/>
      </c>
    </row>
    <row r="35" spans="1:2" x14ac:dyDescent="0.25">
      <c r="A35" t="str">
        <f>IF(Input!A36="","",Input!A36)</f>
        <v/>
      </c>
      <c r="B35" s="1" t="str">
        <f>IF(A35="","",EOMONTH(DATE(RIGHT('Additional Information'!B35,4),MONTH(1&amp;MID('Additional Information'!B35,SEARCH(" ",'Additional Information'!B35,1)+1,SEARCH(" ",'Additional Information'!B35,SEARCH(" ",'Additional Information'!B35,1)+1)-SEARCH(" ",'Additional Information'!B35,1))),LEFT('Additional Information'!B35,2)),0))</f>
        <v/>
      </c>
    </row>
    <row r="36" spans="1:2" x14ac:dyDescent="0.25">
      <c r="A36" t="str">
        <f>IF(Input!A37="","",Input!A37)</f>
        <v/>
      </c>
      <c r="B36" s="1" t="str">
        <f>IF(A36="","",EOMONTH(DATE(RIGHT('Additional Information'!B36,4),MONTH(1&amp;MID('Additional Information'!B36,SEARCH(" ",'Additional Information'!B36,1)+1,SEARCH(" ",'Additional Information'!B36,SEARCH(" ",'Additional Information'!B36,1)+1)-SEARCH(" ",'Additional Information'!B36,1))),LEFT('Additional Information'!B36,2)),0))</f>
        <v/>
      </c>
    </row>
    <row r="37" spans="1:2" x14ac:dyDescent="0.25">
      <c r="A37" t="str">
        <f>IF(Input!A38="","",Input!A38)</f>
        <v/>
      </c>
      <c r="B37" s="1" t="str">
        <f>IF(A37="","",EOMONTH(DATE(RIGHT('Additional Information'!B37,4),MONTH(1&amp;MID('Additional Information'!B37,SEARCH(" ",'Additional Information'!B37,1)+1,SEARCH(" ",'Additional Information'!B37,SEARCH(" ",'Additional Information'!B37,1)+1)-SEARCH(" ",'Additional Information'!B37,1))),LEFT('Additional Information'!B37,2)),0))</f>
        <v/>
      </c>
    </row>
    <row r="38" spans="1:2" x14ac:dyDescent="0.25">
      <c r="A38" t="str">
        <f>IF(Input!A39="","",Input!A39)</f>
        <v/>
      </c>
      <c r="B38" s="1" t="str">
        <f>IF(A38="","",EOMONTH(DATE(RIGHT('Additional Information'!B38,4),MONTH(1&amp;MID('Additional Information'!B38,SEARCH(" ",'Additional Information'!B38,1)+1,SEARCH(" ",'Additional Information'!B38,SEARCH(" ",'Additional Information'!B38,1)+1)-SEARCH(" ",'Additional Information'!B38,1))),LEFT('Additional Information'!B38,2)),0))</f>
        <v/>
      </c>
    </row>
    <row r="39" spans="1:2" x14ac:dyDescent="0.25">
      <c r="A39" t="str">
        <f>IF(Input!A40="","",Input!A40)</f>
        <v/>
      </c>
      <c r="B39" s="1" t="str">
        <f>IF(A39="","",EOMONTH(DATE(RIGHT('Additional Information'!B39,4),MONTH(1&amp;MID('Additional Information'!B39,SEARCH(" ",'Additional Information'!B39,1)+1,SEARCH(" ",'Additional Information'!B39,SEARCH(" ",'Additional Information'!B39,1)+1)-SEARCH(" ",'Additional Information'!B39,1))),LEFT('Additional Information'!B39,2)),0))</f>
        <v/>
      </c>
    </row>
    <row r="40" spans="1:2" x14ac:dyDescent="0.25">
      <c r="A40" t="str">
        <f>IF(Input!A41="","",Input!A41)</f>
        <v/>
      </c>
      <c r="B40" s="1" t="str">
        <f>IF(A40="","",EOMONTH(DATE(RIGHT('Additional Information'!B40,4),MONTH(1&amp;MID('Additional Information'!B40,SEARCH(" ",'Additional Information'!B40,1)+1,SEARCH(" ",'Additional Information'!B40,SEARCH(" ",'Additional Information'!B40,1)+1)-SEARCH(" ",'Additional Information'!B40,1))),LEFT('Additional Information'!B40,2)),0))</f>
        <v/>
      </c>
    </row>
    <row r="41" spans="1:2" x14ac:dyDescent="0.25">
      <c r="A41" t="str">
        <f>IF(Input!A42="","",Input!A42)</f>
        <v/>
      </c>
      <c r="B41" s="1" t="str">
        <f>IF(A41="","",EOMONTH(DATE(RIGHT('Additional Information'!B41,4),MONTH(1&amp;MID('Additional Information'!B41,SEARCH(" ",'Additional Information'!B41,1)+1,SEARCH(" ",'Additional Information'!B41,SEARCH(" ",'Additional Information'!B41,1)+1)-SEARCH(" ",'Additional Information'!B41,1))),LEFT('Additional Information'!B41,2)),0))</f>
        <v/>
      </c>
    </row>
    <row r="42" spans="1:2" x14ac:dyDescent="0.25">
      <c r="A42" t="str">
        <f>IF(Input!A43="","",Input!A43)</f>
        <v/>
      </c>
      <c r="B42" s="1" t="str">
        <f>IF(A42="","",EOMONTH(DATE(RIGHT('Additional Information'!B42,4),MONTH(1&amp;MID('Additional Information'!B42,SEARCH(" ",'Additional Information'!B42,1)+1,SEARCH(" ",'Additional Information'!B42,SEARCH(" ",'Additional Information'!B42,1)+1)-SEARCH(" ",'Additional Information'!B42,1))),LEFT('Additional Information'!B42,2)),0))</f>
        <v/>
      </c>
    </row>
    <row r="43" spans="1:2" x14ac:dyDescent="0.25">
      <c r="A43" t="str">
        <f>IF(Input!A44="","",Input!A44)</f>
        <v/>
      </c>
      <c r="B43" s="1" t="str">
        <f>IF(A43="","",EOMONTH(DATE(RIGHT('Additional Information'!B43,4),MONTH(1&amp;MID('Additional Information'!B43,SEARCH(" ",'Additional Information'!B43,1)+1,SEARCH(" ",'Additional Information'!B43,SEARCH(" ",'Additional Information'!B43,1)+1)-SEARCH(" ",'Additional Information'!B43,1))),LEFT('Additional Information'!B43,2)),0))</f>
        <v/>
      </c>
    </row>
    <row r="44" spans="1:2" x14ac:dyDescent="0.25">
      <c r="A44" t="str">
        <f>IF(Input!A45="","",Input!A45)</f>
        <v/>
      </c>
      <c r="B44" s="1" t="str">
        <f>IF(A44="","",EOMONTH(DATE(RIGHT('Additional Information'!B44,4),MONTH(1&amp;MID('Additional Information'!B44,SEARCH(" ",'Additional Information'!B44,1)+1,SEARCH(" ",'Additional Information'!B44,SEARCH(" ",'Additional Information'!B44,1)+1)-SEARCH(" ",'Additional Information'!B44,1))),LEFT('Additional Information'!B44,2)),0))</f>
        <v/>
      </c>
    </row>
    <row r="45" spans="1:2" x14ac:dyDescent="0.25">
      <c r="A45" t="str">
        <f>IF(Input!A46="","",Input!A46)</f>
        <v/>
      </c>
      <c r="B45" s="1" t="str">
        <f>IF(A45="","",EOMONTH(DATE(RIGHT('Additional Information'!B45,4),MONTH(1&amp;MID('Additional Information'!B45,SEARCH(" ",'Additional Information'!B45,1)+1,SEARCH(" ",'Additional Information'!B45,SEARCH(" ",'Additional Information'!B45,1)+1)-SEARCH(" ",'Additional Information'!B45,1))),LEFT('Additional Information'!B45,2)),0))</f>
        <v/>
      </c>
    </row>
    <row r="46" spans="1:2" x14ac:dyDescent="0.25">
      <c r="A46" t="str">
        <f>IF(Input!A47="","",Input!A47)</f>
        <v/>
      </c>
      <c r="B46" s="1" t="str">
        <f>IF(A46="","",EOMONTH(DATE(RIGHT('Additional Information'!B46,4),MONTH(1&amp;MID('Additional Information'!B46,SEARCH(" ",'Additional Information'!B46,1)+1,SEARCH(" ",'Additional Information'!B46,SEARCH(" ",'Additional Information'!B46,1)+1)-SEARCH(" ",'Additional Information'!B46,1))),LEFT('Additional Information'!B46,2)),0))</f>
        <v/>
      </c>
    </row>
    <row r="47" spans="1:2" x14ac:dyDescent="0.25">
      <c r="A47" t="str">
        <f>IF(Input!A48="","",Input!A48)</f>
        <v/>
      </c>
      <c r="B47" s="1" t="str">
        <f>IF(A47="","",EOMONTH(DATE(RIGHT('Additional Information'!B47,4),MONTH(1&amp;MID('Additional Information'!B47,SEARCH(" ",'Additional Information'!B47,1)+1,SEARCH(" ",'Additional Information'!B47,SEARCH(" ",'Additional Information'!B47,1)+1)-SEARCH(" ",'Additional Information'!B47,1))),LEFT('Additional Information'!B47,2)),0))</f>
        <v/>
      </c>
    </row>
    <row r="48" spans="1:2" x14ac:dyDescent="0.25">
      <c r="A48" t="str">
        <f>IF(Input!A49="","",Input!A49)</f>
        <v/>
      </c>
      <c r="B48" s="1" t="str">
        <f>IF(A48="","",EOMONTH(DATE(RIGHT('Additional Information'!B48,4),MONTH(1&amp;MID('Additional Information'!B48,SEARCH(" ",'Additional Information'!B48,1)+1,SEARCH(" ",'Additional Information'!B48,SEARCH(" ",'Additional Information'!B48,1)+1)-SEARCH(" ",'Additional Information'!B48,1))),LEFT('Additional Information'!B48,2)),0))</f>
        <v/>
      </c>
    </row>
    <row r="49" spans="1:2" x14ac:dyDescent="0.25">
      <c r="A49" t="str">
        <f>IF(Input!A50="","",Input!A50)</f>
        <v/>
      </c>
      <c r="B49" s="1" t="str">
        <f>IF(A49="","",EOMONTH(DATE(RIGHT('Additional Information'!B49,4),MONTH(1&amp;MID('Additional Information'!B49,SEARCH(" ",'Additional Information'!B49,1)+1,SEARCH(" ",'Additional Information'!B49,SEARCH(" ",'Additional Information'!B49,1)+1)-SEARCH(" ",'Additional Information'!B49,1))),LEFT('Additional Information'!B49,2)),0))</f>
        <v/>
      </c>
    </row>
    <row r="50" spans="1:2" x14ac:dyDescent="0.25">
      <c r="A50" t="str">
        <f>IF(Input!A51="","",Input!A51)</f>
        <v/>
      </c>
      <c r="B50" s="1" t="str">
        <f>IF(A50="","",EOMONTH(DATE(RIGHT('Additional Information'!B50,4),MONTH(1&amp;MID('Additional Information'!B50,SEARCH(" ",'Additional Information'!B50,1)+1,SEARCH(" ",'Additional Information'!B50,SEARCH(" ",'Additional Information'!B50,1)+1)-SEARCH(" ",'Additional Information'!B50,1))),LEFT('Additional Information'!B50,2)),0))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67</v>
      </c>
      <c r="D1" t="s">
        <v>18</v>
      </c>
      <c r="E1" t="s">
        <v>63</v>
      </c>
      <c r="F1" t="s">
        <v>68</v>
      </c>
      <c r="G1" t="s">
        <v>69</v>
      </c>
    </row>
    <row r="2" spans="1:7" x14ac:dyDescent="0.25">
      <c r="A2" t="str">
        <f>IF(Input!A3="","",Input!A3)</f>
        <v>Dynamic Defensive</v>
      </c>
      <c r="B2" t="str">
        <f>IF(A2="","",IF(OR('Additional Information'!E2="",'Additional Information'!E2="-"),"",'Additional Information'!E2))</f>
        <v/>
      </c>
      <c r="C2" t="str">
        <f>IF(A2="","",IF(OR('Additional Information'!D2="",'Additional Information'!D2="-"),"",'Additional Information'!D2))</f>
        <v/>
      </c>
      <c r="D2" s="5"/>
      <c r="E2">
        <f>IF(A2="","",SUM('Additional Information'!C2))</f>
        <v>0</v>
      </c>
      <c r="G2" t="str">
        <f>IF(A2="","",IF(OR('Additional Information'!K2="",'Additional Information'!K2="-"),"",'Additional Information'!K2))</f>
        <v/>
      </c>
    </row>
    <row r="3" spans="1:7" x14ac:dyDescent="0.25">
      <c r="A3" t="str">
        <f>IF(Input!A4="","",Input!A4)</f>
        <v>Dynamic Cautious</v>
      </c>
      <c r="B3" t="str">
        <f>IF(A3="","",IF(OR('Additional Information'!E3="",'Additional Information'!E3="-"),"",'Additional Information'!E3))</f>
        <v/>
      </c>
      <c r="C3" t="str">
        <f>IF(A3="","",IF(OR('Additional Information'!D3="",'Additional Information'!D3="-"),"",'Additional Information'!D3))</f>
        <v/>
      </c>
      <c r="D3" s="5"/>
      <c r="E3">
        <f>IF(A3="","",SUM('Additional Information'!C3))</f>
        <v>0</v>
      </c>
      <c r="G3" t="str">
        <f>IF(A3="","",IF(OR('Additional Information'!K3="",'Additional Information'!K3="-"),"",'Additional Information'!K3))</f>
        <v/>
      </c>
    </row>
    <row r="4" spans="1:7" x14ac:dyDescent="0.25">
      <c r="A4" t="str">
        <f>IF(Input!A5="","",Input!A5)</f>
        <v>Dynamic Balanced</v>
      </c>
      <c r="B4" t="str">
        <f>IF(A4="","",IF(OR('Additional Information'!E4="",'Additional Information'!E4="-"),"",'Additional Information'!E4))</f>
        <v/>
      </c>
      <c r="C4" t="str">
        <f>IF(A4="","",IF(OR('Additional Information'!D4="",'Additional Information'!D4="-"),"",'Additional Information'!D4))</f>
        <v/>
      </c>
      <c r="D4" s="5"/>
      <c r="E4">
        <f>IF(A4="","",SUM('Additional Information'!C4))</f>
        <v>0</v>
      </c>
      <c r="G4" t="str">
        <f>IF(A4="","",IF(OR('Additional Information'!K4="",'Additional Information'!K4="-"),"",'Additional Information'!K4))</f>
        <v/>
      </c>
    </row>
    <row r="5" spans="1:7" x14ac:dyDescent="0.25">
      <c r="A5" t="str">
        <f>IF(Input!A6="","",Input!A6)</f>
        <v>Dynamic Steady Growth</v>
      </c>
      <c r="B5" t="str">
        <f>IF(A5="","",IF(OR('Additional Information'!E5="",'Additional Information'!E5="-"),"",'Additional Information'!E5))</f>
        <v/>
      </c>
      <c r="C5" t="str">
        <f>IF(A5="","",IF(OR('Additional Information'!D5="",'Additional Information'!D5="-"),"",'Additional Information'!D5))</f>
        <v/>
      </c>
      <c r="D5" s="5"/>
      <c r="E5">
        <f>IF(A5="","",SUM('Additional Information'!C5))</f>
        <v>0</v>
      </c>
      <c r="G5" t="str">
        <f>IF(A5="","",IF(OR('Additional Information'!K5="",'Additional Information'!K5="-"),"",'Additional Information'!K5))</f>
        <v/>
      </c>
    </row>
    <row r="6" spans="1:7" x14ac:dyDescent="0.25">
      <c r="A6" t="str">
        <f>IF(Input!A7="","",Input!A7)</f>
        <v>Cautious Growth</v>
      </c>
      <c r="B6" t="str">
        <f>IF(A6="","",IF(OR('Additional Information'!E6="",'Additional Information'!E6="-"),"",'Additional Information'!E6))</f>
        <v/>
      </c>
      <c r="C6" t="str">
        <f>IF(A6="","",IF(OR('Additional Information'!D6="",'Additional Information'!D6="-"),"",'Additional Information'!D6))</f>
        <v/>
      </c>
      <c r="D6" s="5"/>
      <c r="E6">
        <f>IF(A6="","",SUM('Additional Information'!C6))</f>
        <v>0</v>
      </c>
      <c r="G6" t="str">
        <f>IF(A6="","",IF(OR('Additional Information'!K6="",'Additional Information'!K6="-"),"",'Additional Information'!K6))</f>
        <v/>
      </c>
    </row>
    <row r="7" spans="1:7" x14ac:dyDescent="0.25">
      <c r="A7" t="str">
        <f>IF(Input!A8="","",Input!A8)</f>
        <v>Monthly Distribution</v>
      </c>
      <c r="B7" t="str">
        <f>IF(A7="","",IF(OR('Additional Information'!E7="",'Additional Information'!E7="-"),"",'Additional Information'!E7))</f>
        <v/>
      </c>
      <c r="C7" t="str">
        <f>IF(A7="","",IF(OR('Additional Information'!D7="",'Additional Information'!D7="-"),"",'Additional Information'!D7))</f>
        <v/>
      </c>
      <c r="D7" s="5"/>
      <c r="E7">
        <f>IF(A7="","",SUM('Additional Information'!C7))</f>
        <v>0</v>
      </c>
      <c r="G7" t="str">
        <f>IF(A7="","",IF(OR('Additional Information'!K7="",'Additional Information'!K7="-"),"",'Additional Information'!K7))</f>
        <v/>
      </c>
    </row>
    <row r="8" spans="1:7" x14ac:dyDescent="0.25">
      <c r="A8" t="str">
        <f>IF(Input!A9="","",Input!A9)</f>
        <v>Global Income and Growth</v>
      </c>
      <c r="B8" t="str">
        <f>IF(A8="","",IF(OR('Additional Information'!E8="",'Additional Information'!E8="-"),"",'Additional Information'!E8))</f>
        <v/>
      </c>
      <c r="C8" t="str">
        <f>IF(A8="","",IF(OR('Additional Information'!D8="",'Additional Information'!D8="-"),"",'Additional Information'!D8))</f>
        <v/>
      </c>
      <c r="D8" s="5"/>
      <c r="E8">
        <f>IF(A8="","",SUM('Additional Information'!C8))</f>
        <v>0</v>
      </c>
      <c r="G8" t="str">
        <f>IF(A8="","",IF(OR('Additional Information'!K8="",'Additional Information'!K8="-"),"",'Additional Information'!K8))</f>
        <v/>
      </c>
    </row>
    <row r="9" spans="1:7" x14ac:dyDescent="0.25">
      <c r="A9" t="str">
        <f>IF(Input!A10="","",Input!A10)</f>
        <v>Stockmarket Growth</v>
      </c>
      <c r="B9" t="str">
        <f>IF(A9="","",IF(OR('Additional Information'!E9="",'Additional Information'!E9="-"),"",'Additional Information'!E9))</f>
        <v/>
      </c>
      <c r="C9" t="str">
        <f>IF(A9="","",IF(OR('Additional Information'!D9="",'Additional Information'!D9="-"),"",'Additional Information'!D9))</f>
        <v/>
      </c>
      <c r="D9" s="5"/>
      <c r="E9">
        <f>IF(A9="","",SUM('Additional Information'!C9))</f>
        <v>0</v>
      </c>
      <c r="G9" t="str">
        <f>IF(A9="","",IF(OR('Additional Information'!K9="",'Additional Information'!K9="-"),"",'Additional Information'!K9))</f>
        <v/>
      </c>
    </row>
    <row r="10" spans="1:7" x14ac:dyDescent="0.25">
      <c r="A10" t="str">
        <f>IF(Input!A11="","",Input!A11)</f>
        <v>Energy and Global Shift</v>
      </c>
      <c r="B10" t="str">
        <f>IF(A10="","",IF(OR('Additional Information'!E10="",'Additional Information'!E10="-"),"",'Additional Information'!E10))</f>
        <v/>
      </c>
      <c r="C10" t="str">
        <f>IF(A10="","",IF(OR('Additional Information'!D10="",'Additional Information'!D10="-"),"",'Additional Information'!D10))</f>
        <v/>
      </c>
      <c r="D10" s="5"/>
      <c r="E10">
        <f>IF(A10="","",SUM('Additional Information'!C10))</f>
        <v>0</v>
      </c>
      <c r="G10" t="str">
        <f>IF(A10="","",IF(OR('Additional Information'!K10="",'Additional Information'!K10="-"),"",'Additional Information'!K10))</f>
        <v/>
      </c>
    </row>
    <row r="11" spans="1:7" x14ac:dyDescent="0.25">
      <c r="A11" t="str">
        <f>IF(Input!A12="","",Input!A12)</f>
        <v>Ethical Balanced</v>
      </c>
      <c r="B11" t="str">
        <f>IF(A11="","",IF(OR('Additional Information'!E11="",'Additional Information'!E11="-"),"",'Additional Information'!E11))</f>
        <v/>
      </c>
      <c r="C11" t="str">
        <f>IF(A11="","",IF(OR('Additional Information'!D11="",'Additional Information'!D11="-"),"",'Additional Information'!D11))</f>
        <v/>
      </c>
      <c r="D11" s="5"/>
      <c r="E11">
        <f>IF(A11="","",SUM('Additional Information'!C11))</f>
        <v>0</v>
      </c>
      <c r="G11" t="str">
        <f>IF(A11="","",IF(OR('Additional Information'!K11="",'Additional Information'!K11="-"),"",'Additional Information'!K11))</f>
        <v/>
      </c>
    </row>
    <row r="12" spans="1:7" x14ac:dyDescent="0.25">
      <c r="A12" t="str">
        <f>IF(Input!A13="","",Input!A13)</f>
        <v>Responsible Defensive</v>
      </c>
      <c r="B12" t="str">
        <f>IF(A12="","",IF(OR('Additional Information'!E12="",'Additional Information'!E12="-"),"",'Additional Information'!E12))</f>
        <v/>
      </c>
      <c r="C12" t="str">
        <f>IF(A12="","",IF(OR('Additional Information'!D12="",'Additional Information'!D12="-"),"",'Additional Information'!D12))</f>
        <v/>
      </c>
      <c r="D12" s="5"/>
      <c r="E12">
        <f>IF(A12="","",SUM('Additional Information'!C12))</f>
        <v>0</v>
      </c>
      <c r="G12" t="str">
        <f>IF(A12="","",IF(OR('Additional Information'!K12="",'Additional Information'!K12="-"),"",'Additional Information'!K12))</f>
        <v/>
      </c>
    </row>
    <row r="13" spans="1:7" x14ac:dyDescent="0.25">
      <c r="A13" t="str">
        <f>IF(Input!A14="","",Input!A14)</f>
        <v>Responsible Cautious</v>
      </c>
      <c r="B13" t="str">
        <f>IF(A13="","",IF(OR('Additional Information'!E13="",'Additional Information'!E13="-"),"",'Additional Information'!E13))</f>
        <v/>
      </c>
      <c r="C13" t="str">
        <f>IF(A13="","",IF(OR('Additional Information'!D13="",'Additional Information'!D13="-"),"",'Additional Information'!D13))</f>
        <v/>
      </c>
      <c r="D13" s="5"/>
      <c r="E13">
        <f>IF(A13="","",SUM('Additional Information'!C13))</f>
        <v>0</v>
      </c>
      <c r="G13" t="str">
        <f>IF(A13="","",IF(OR('Additional Information'!K13="",'Additional Information'!K13="-"),"",'Additional Information'!K13))</f>
        <v/>
      </c>
    </row>
    <row r="14" spans="1:7" x14ac:dyDescent="0.25">
      <c r="A14" t="str">
        <f>IF(Input!A15="","",Input!A15)</f>
        <v>Responsible Balanced</v>
      </c>
      <c r="B14" t="str">
        <f>IF(A14="","",IF(OR('Additional Information'!E14="",'Additional Information'!E14="-"),"",'Additional Information'!E14))</f>
        <v/>
      </c>
      <c r="C14" t="str">
        <f>IF(A14="","",IF(OR('Additional Information'!D14="",'Additional Information'!D14="-"),"",'Additional Information'!D14))</f>
        <v/>
      </c>
      <c r="D14" s="5"/>
      <c r="E14">
        <f>IF(A14="","",SUM('Additional Information'!C14))</f>
        <v>0</v>
      </c>
      <c r="G14" t="str">
        <f>IF(A14="","",IF(OR('Additional Information'!K14="",'Additional Information'!K14="-"),"",'Additional Information'!K14))</f>
        <v/>
      </c>
    </row>
    <row r="15" spans="1:7" x14ac:dyDescent="0.25">
      <c r="A15" t="str">
        <f>IF(Input!A16="","",Input!A16)</f>
        <v>Responsible Steady Growth</v>
      </c>
      <c r="B15" t="str">
        <f>IF(A15="","",IF(OR('Additional Information'!E15="",'Additional Information'!E15="-"),"",'Additional Information'!E15))</f>
        <v/>
      </c>
      <c r="C15" t="str">
        <f>IF(A15="","",IF(OR('Additional Information'!D15="",'Additional Information'!D15="-"),"",'Additional Information'!D15))</f>
        <v/>
      </c>
      <c r="D15" s="5"/>
      <c r="E15">
        <f>IF(A15="","",SUM('Additional Information'!C15))</f>
        <v>0</v>
      </c>
      <c r="G15" t="str">
        <f>IF(A15="","",IF(OR('Additional Information'!K15="",'Additional Information'!K15="-"),"",'Additional Information'!K15))</f>
        <v/>
      </c>
    </row>
    <row r="16" spans="1:7" x14ac:dyDescent="0.25">
      <c r="A16" t="str">
        <f>IF(Input!A17="","",Input!A17)</f>
        <v>Responsible Growth</v>
      </c>
      <c r="B16" t="str">
        <f>IF(A16="","",IF(OR('Additional Information'!E16="",'Additional Information'!E16="-"),"",'Additional Information'!E16))</f>
        <v/>
      </c>
      <c r="C16" t="str">
        <f>IF(A16="","",IF(OR('Additional Information'!D16="",'Additional Information'!D16="-"),"",'Additional Information'!D16))</f>
        <v/>
      </c>
      <c r="D16" s="5"/>
      <c r="E16">
        <f>IF(A16="","",SUM('Additional Information'!C16))</f>
        <v>0</v>
      </c>
      <c r="G16" t="str">
        <f>IF(A16="","",IF(OR('Additional Information'!K16="",'Additional Information'!K16="-"),"",'Additional Information'!K16))</f>
        <v/>
      </c>
    </row>
    <row r="17" spans="1:7" x14ac:dyDescent="0.25">
      <c r="A17" t="str">
        <f>IF(Input!A18="","",Input!A18)</f>
        <v/>
      </c>
      <c r="B17" t="str">
        <f>IF(A17="","",IF(OR('Additional Information'!E17="",'Additional Information'!E17="-"),"",'Additional Information'!E17))</f>
        <v/>
      </c>
      <c r="C17" t="str">
        <f>IF(A17="","",IF(OR('Additional Information'!D17="",'Additional Information'!D17="-"),"",'Additional Information'!D17))</f>
        <v/>
      </c>
      <c r="D17" s="5"/>
      <c r="E17" t="str">
        <f>IF(A17="","",SUM('Additional Information'!C17))</f>
        <v/>
      </c>
      <c r="G17" t="str">
        <f>IF(A17="","",IF(OR('Additional Information'!K17="",'Additional Information'!K17="-"),"",'Additional Information'!K17))</f>
        <v/>
      </c>
    </row>
    <row r="18" spans="1:7" x14ac:dyDescent="0.25">
      <c r="A18" t="str">
        <f>IF(Input!A19="","",Input!A19)</f>
        <v/>
      </c>
      <c r="B18" t="str">
        <f>IF(A18="","",IF(OR('Additional Information'!E18="",'Additional Information'!E18="-"),"",'Additional Information'!E18))</f>
        <v/>
      </c>
      <c r="C18" t="str">
        <f>IF(A18="","",IF(OR('Additional Information'!D18="",'Additional Information'!D18="-"),"",'Additional Information'!D18))</f>
        <v/>
      </c>
      <c r="D18" s="5"/>
      <c r="E18" t="str">
        <f>IF(A18="","",SUM('Additional Information'!C18))</f>
        <v/>
      </c>
      <c r="G18" t="str">
        <f>IF(A18="","",IF(OR('Additional Information'!K18="",'Additional Information'!K18="-"),"",'Additional Information'!K18))</f>
        <v/>
      </c>
    </row>
    <row r="19" spans="1:7" x14ac:dyDescent="0.25">
      <c r="A19" t="str">
        <f>IF(Input!A20="","",Input!A20)</f>
        <v/>
      </c>
      <c r="B19" t="str">
        <f>IF(A19="","",IF(OR('Additional Information'!E19="",'Additional Information'!E19="-"),"",'Additional Information'!E19))</f>
        <v/>
      </c>
      <c r="C19" t="str">
        <f>IF(A19="","",IF(OR('Additional Information'!D19="",'Additional Information'!D19="-"),"",'Additional Information'!D19))</f>
        <v/>
      </c>
      <c r="D19" s="5"/>
      <c r="E19" t="str">
        <f>IF(A19="","",SUM('Additional Information'!C19))</f>
        <v/>
      </c>
      <c r="G19" t="str">
        <f>IF(A19="","",IF(OR('Additional Information'!K19="",'Additional Information'!K19="-"),"",'Additional Information'!K19))</f>
        <v/>
      </c>
    </row>
    <row r="20" spans="1:7" x14ac:dyDescent="0.25">
      <c r="A20" t="str">
        <f>IF(Input!A21="","",Input!A21)</f>
        <v/>
      </c>
      <c r="B20" t="str">
        <f>IF(A20="","",IF(OR('Additional Information'!E20="",'Additional Information'!E20="-"),"",'Additional Information'!E20))</f>
        <v/>
      </c>
      <c r="C20" t="str">
        <f>IF(A20="","",IF(OR('Additional Information'!D20="",'Additional Information'!D20="-"),"",'Additional Information'!D20))</f>
        <v/>
      </c>
      <c r="D20" s="5"/>
      <c r="E20" t="str">
        <f>IF(A20="","",SUM('Additional Information'!C20))</f>
        <v/>
      </c>
      <c r="G20" t="str">
        <f>IF(A20="","",IF(OR('Additional Information'!K20="",'Additional Information'!K20="-"),"",'Additional Information'!K20))</f>
        <v/>
      </c>
    </row>
    <row r="21" spans="1:7" x14ac:dyDescent="0.25">
      <c r="A21" t="str">
        <f>IF(Input!A22="","",Input!A22)</f>
        <v/>
      </c>
      <c r="B21" t="str">
        <f>IF(A21="","",IF(OR('Additional Information'!E21="",'Additional Information'!E21="-"),"",'Additional Information'!E21))</f>
        <v/>
      </c>
      <c r="C21" t="str">
        <f>IF(A21="","",IF(OR('Additional Information'!D21="",'Additional Information'!D21="-"),"",'Additional Information'!D21))</f>
        <v/>
      </c>
      <c r="D21" s="5"/>
      <c r="E21" t="str">
        <f>IF(A21="","",SUM('Additional Information'!C21))</f>
        <v/>
      </c>
      <c r="G21" t="str">
        <f>IF(A21="","",IF(OR('Additional Information'!K21="",'Additional Information'!K21="-"),"",'Additional Information'!K21))</f>
        <v/>
      </c>
    </row>
    <row r="22" spans="1:7" x14ac:dyDescent="0.25">
      <c r="A22" t="str">
        <f>IF(Input!A23="","",Input!A23)</f>
        <v/>
      </c>
      <c r="B22" t="str">
        <f>IF(A22="","",IF(OR('Additional Information'!E22="",'Additional Information'!E22="-"),"",'Additional Information'!E22))</f>
        <v/>
      </c>
      <c r="C22" t="str">
        <f>IF(A22="","",IF(OR('Additional Information'!D22="",'Additional Information'!D22="-"),"",'Additional Information'!D22))</f>
        <v/>
      </c>
      <c r="D22" s="5"/>
      <c r="E22" t="str">
        <f>IF(A22="","",SUM('Additional Information'!C22))</f>
        <v/>
      </c>
      <c r="G22" t="str">
        <f>IF(A22="","",IF(OR('Additional Information'!K22="",'Additional Information'!K22="-"),"",'Additional Information'!K22))</f>
        <v/>
      </c>
    </row>
    <row r="23" spans="1:7" x14ac:dyDescent="0.25">
      <c r="A23" t="str">
        <f>IF(Input!A24="","",Input!A24)</f>
        <v/>
      </c>
      <c r="B23" t="str">
        <f>IF(A23="","",IF(OR('Additional Information'!E23="",'Additional Information'!E23="-"),"",'Additional Information'!E23))</f>
        <v/>
      </c>
      <c r="C23" t="str">
        <f>IF(A23="","",IF(OR('Additional Information'!D23="",'Additional Information'!D23="-"),"",'Additional Information'!D23))</f>
        <v/>
      </c>
      <c r="D23" s="5"/>
      <c r="E23" t="str">
        <f>IF(A23="","",SUM('Additional Information'!C23))</f>
        <v/>
      </c>
      <c r="G23" t="str">
        <f>IF(A23="","",IF(OR('Additional Information'!K23="",'Additional Information'!K23="-"),"",'Additional Information'!K23))</f>
        <v/>
      </c>
    </row>
    <row r="24" spans="1:7" x14ac:dyDescent="0.25">
      <c r="A24" t="str">
        <f>IF(Input!A25="","",Input!A25)</f>
        <v/>
      </c>
      <c r="B24" t="str">
        <f>IF(A24="","",IF(OR('Additional Information'!E24="",'Additional Information'!E24="-"),"",'Additional Information'!E24))</f>
        <v/>
      </c>
      <c r="C24" t="str">
        <f>IF(A24="","",IF(OR('Additional Information'!D24="",'Additional Information'!D24="-"),"",'Additional Information'!D24))</f>
        <v/>
      </c>
      <c r="D24" s="5"/>
      <c r="E24" t="str">
        <f>IF(A24="","",SUM('Additional Information'!C24))</f>
        <v/>
      </c>
      <c r="G24" t="str">
        <f>IF(A24="","",IF(OR('Additional Information'!K24="",'Additional Information'!K24="-"),"",'Additional Information'!K24))</f>
        <v/>
      </c>
    </row>
    <row r="25" spans="1:7" x14ac:dyDescent="0.25">
      <c r="A25" t="str">
        <f>IF(Input!A26="","",Input!A26)</f>
        <v/>
      </c>
      <c r="B25" t="str">
        <f>IF(A25="","",IF(OR('Additional Information'!E25="",'Additional Information'!E25="-"),"",'Additional Information'!E25))</f>
        <v/>
      </c>
      <c r="C25" t="str">
        <f>IF(A25="","",IF(OR('Additional Information'!D25="",'Additional Information'!D25="-"),"",'Additional Information'!D25))</f>
        <v/>
      </c>
      <c r="D25" s="5"/>
      <c r="E25" t="str">
        <f>IF(A25="","",SUM('Additional Information'!C25))</f>
        <v/>
      </c>
      <c r="G25" t="str">
        <f>IF(A25="","",IF(OR('Additional Information'!K25="",'Additional Information'!K25="-"),"",'Additional Information'!K25))</f>
        <v/>
      </c>
    </row>
    <row r="26" spans="1:7" x14ac:dyDescent="0.25">
      <c r="A26" t="str">
        <f>IF(Input!A27="","",Input!A27)</f>
        <v/>
      </c>
      <c r="B26" t="str">
        <f>IF(A26="","",IF(OR('Additional Information'!E26="",'Additional Information'!E26="-"),"",'Additional Information'!E26))</f>
        <v/>
      </c>
      <c r="C26" t="str">
        <f>IF(A26="","",IF(OR('Additional Information'!D26="",'Additional Information'!D26="-"),"",'Additional Information'!D26))</f>
        <v/>
      </c>
      <c r="D26" s="5"/>
      <c r="E26" t="str">
        <f>IF(A26="","",SUM('Additional Information'!C26))</f>
        <v/>
      </c>
      <c r="G26" t="str">
        <f>IF(A26="","",IF(OR('Additional Information'!K26="",'Additional Information'!K26="-"),"",'Additional Information'!K26))</f>
        <v/>
      </c>
    </row>
    <row r="27" spans="1:7" x14ac:dyDescent="0.25">
      <c r="A27" t="str">
        <f>IF(Input!A28="","",Input!A28)</f>
        <v/>
      </c>
      <c r="B27" t="str">
        <f>IF(A27="","",IF(OR('Additional Information'!E27="",'Additional Information'!E27="-"),"",'Additional Information'!E27))</f>
        <v/>
      </c>
      <c r="C27" t="str">
        <f>IF(A27="","",IF(OR('Additional Information'!D27="",'Additional Information'!D27="-"),"",'Additional Information'!D27))</f>
        <v/>
      </c>
      <c r="D27" s="5"/>
      <c r="E27" t="str">
        <f>IF(A27="","",SUM('Additional Information'!C27))</f>
        <v/>
      </c>
      <c r="G27" t="str">
        <f>IF(A27="","",IF(OR('Additional Information'!K27="",'Additional Information'!K27="-"),"",'Additional Information'!K27))</f>
        <v/>
      </c>
    </row>
    <row r="28" spans="1:7" x14ac:dyDescent="0.25">
      <c r="A28" t="str">
        <f>IF(Input!A29="","",Input!A29)</f>
        <v/>
      </c>
      <c r="B28" t="str">
        <f>IF(A28="","",IF(OR('Additional Information'!E28="",'Additional Information'!E28="-"),"",'Additional Information'!E28))</f>
        <v/>
      </c>
      <c r="C28" t="str">
        <f>IF(A28="","",IF(OR('Additional Information'!D28="",'Additional Information'!D28="-"),"",'Additional Information'!D28))</f>
        <v/>
      </c>
      <c r="D28" s="5"/>
      <c r="E28" t="str">
        <f>IF(A28="","",SUM('Additional Information'!C28))</f>
        <v/>
      </c>
      <c r="G28" t="str">
        <f>IF(A28="","",IF(OR('Additional Information'!K28="",'Additional Information'!K28="-"),"",'Additional Information'!K28))</f>
        <v/>
      </c>
    </row>
    <row r="29" spans="1:7" x14ac:dyDescent="0.25">
      <c r="A29" t="str">
        <f>IF(Input!A30="","",Input!A30)</f>
        <v/>
      </c>
      <c r="B29" t="str">
        <f>IF(A29="","",IF(OR('Additional Information'!E29="",'Additional Information'!E29="-"),"",'Additional Information'!E29))</f>
        <v/>
      </c>
      <c r="C29" t="str">
        <f>IF(A29="","",IF(OR('Additional Information'!D29="",'Additional Information'!D29="-"),"",'Additional Information'!D29))</f>
        <v/>
      </c>
      <c r="D29" s="5"/>
      <c r="E29" t="str">
        <f>IF(A29="","",SUM('Additional Information'!C29))</f>
        <v/>
      </c>
      <c r="G29" t="str">
        <f>IF(A29="","",IF(OR('Additional Information'!K29="",'Additional Information'!K29="-"),"",'Additional Information'!K29))</f>
        <v/>
      </c>
    </row>
    <row r="30" spans="1:7" x14ac:dyDescent="0.25">
      <c r="A30" t="str">
        <f>IF(Input!A31="","",Input!A31)</f>
        <v/>
      </c>
      <c r="B30" t="str">
        <f>IF(A30="","",IF(OR('Additional Information'!E30="",'Additional Information'!E30="-"),"",'Additional Information'!E30))</f>
        <v/>
      </c>
      <c r="C30" t="str">
        <f>IF(A30="","",IF(OR('Additional Information'!D30="",'Additional Information'!D30="-"),"",'Additional Information'!D30))</f>
        <v/>
      </c>
      <c r="D30" s="5"/>
      <c r="E30" t="str">
        <f>IF(A30="","",SUM('Additional Information'!C30))</f>
        <v/>
      </c>
      <c r="G30" t="str">
        <f>IF(A30="","",IF(OR('Additional Information'!K30="",'Additional Information'!K30="-"),"",'Additional Information'!K30))</f>
        <v/>
      </c>
    </row>
    <row r="31" spans="1:7" x14ac:dyDescent="0.25">
      <c r="A31" t="str">
        <f>IF(Input!A32="","",Input!A32)</f>
        <v/>
      </c>
      <c r="B31" t="str">
        <f>IF(A31="","",IF(OR('Additional Information'!E31="",'Additional Information'!E31="-"),"",'Additional Information'!E31))</f>
        <v/>
      </c>
      <c r="C31" t="str">
        <f>IF(A31="","",IF(OR('Additional Information'!D31="",'Additional Information'!D31="-"),"",'Additional Information'!D31))</f>
        <v/>
      </c>
      <c r="D31" s="5"/>
      <c r="E31" t="str">
        <f>IF(A31="","",SUM('Additional Information'!C31))</f>
        <v/>
      </c>
      <c r="G31" t="str">
        <f>IF(A31="","",IF(OR('Additional Information'!K31="",'Additional Information'!K31="-"),"",'Additional Information'!K31))</f>
        <v/>
      </c>
    </row>
    <row r="32" spans="1:7" x14ac:dyDescent="0.25">
      <c r="A32" t="str">
        <f>IF(Input!A33="","",Input!A33)</f>
        <v/>
      </c>
      <c r="B32" t="str">
        <f>IF(A32="","",IF(OR('Additional Information'!E32="",'Additional Information'!E32="-"),"",'Additional Information'!E32))</f>
        <v/>
      </c>
      <c r="C32" t="str">
        <f>IF(A32="","",IF(OR('Additional Information'!D32="",'Additional Information'!D32="-"),"",'Additional Information'!D32))</f>
        <v/>
      </c>
      <c r="D32" s="5"/>
      <c r="E32" t="str">
        <f>IF(A32="","",SUM('Additional Information'!C32))</f>
        <v/>
      </c>
      <c r="G32" t="str">
        <f>IF(A32="","",IF(OR('Additional Information'!K32="",'Additional Information'!K32="-"),"",'Additional Information'!K32))</f>
        <v/>
      </c>
    </row>
    <row r="33" spans="1:7" x14ac:dyDescent="0.25">
      <c r="A33" t="str">
        <f>IF(Input!A34="","",Input!A34)</f>
        <v/>
      </c>
      <c r="B33" t="str">
        <f>IF(A33="","",IF(OR('Additional Information'!E33="",'Additional Information'!E33="-"),"",'Additional Information'!E33))</f>
        <v/>
      </c>
      <c r="C33" t="str">
        <f>IF(A33="","",IF(OR('Additional Information'!D33="",'Additional Information'!D33="-"),"",'Additional Information'!D33))</f>
        <v/>
      </c>
      <c r="D33" s="5"/>
      <c r="E33" t="str">
        <f>IF(A33="","",SUM('Additional Information'!C33))</f>
        <v/>
      </c>
      <c r="G33" t="str">
        <f>IF(A33="","",IF(OR('Additional Information'!K33="",'Additional Information'!K33="-"),"",'Additional Information'!K33))</f>
        <v/>
      </c>
    </row>
    <row r="34" spans="1:7" x14ac:dyDescent="0.25">
      <c r="A34" t="str">
        <f>IF(Input!A35="","",Input!A35)</f>
        <v/>
      </c>
      <c r="B34" t="str">
        <f>IF(A34="","",IF(OR('Additional Information'!E34="",'Additional Information'!E34="-"),"",'Additional Information'!E34))</f>
        <v/>
      </c>
      <c r="C34" t="str">
        <f>IF(A34="","",IF(OR('Additional Information'!D34="",'Additional Information'!D34="-"),"",'Additional Information'!D34))</f>
        <v/>
      </c>
      <c r="D34" s="5"/>
      <c r="E34" t="str">
        <f>IF(A34="","",SUM('Additional Information'!C34))</f>
        <v/>
      </c>
      <c r="G34" t="str">
        <f>IF(A34="","",IF(OR('Additional Information'!K34="",'Additional Information'!K34="-"),"",'Additional Information'!K34))</f>
        <v/>
      </c>
    </row>
    <row r="35" spans="1:7" x14ac:dyDescent="0.25">
      <c r="A35" t="str">
        <f>IF(Input!A36="","",Input!A36)</f>
        <v/>
      </c>
      <c r="B35" t="str">
        <f>IF(A35="","",IF(OR('Additional Information'!E35="",'Additional Information'!E35="-"),"",'Additional Information'!E35))</f>
        <v/>
      </c>
      <c r="C35" t="str">
        <f>IF(A35="","",IF(OR('Additional Information'!D35="",'Additional Information'!D35="-"),"",'Additional Information'!D35))</f>
        <v/>
      </c>
      <c r="D35" s="5"/>
      <c r="E35" t="str">
        <f>IF(A35="","",SUM('Additional Information'!C35))</f>
        <v/>
      </c>
      <c r="G35" t="str">
        <f>IF(A35="","",IF(OR('Additional Information'!K35="",'Additional Information'!K35="-"),"",'Additional Information'!K35))</f>
        <v/>
      </c>
    </row>
    <row r="36" spans="1:7" x14ac:dyDescent="0.25">
      <c r="A36" t="str">
        <f>IF(Input!A37="","",Input!A37)</f>
        <v/>
      </c>
      <c r="B36" t="str">
        <f>IF(A36="","",IF(OR('Additional Information'!E36="",'Additional Information'!E36="-"),"",'Additional Information'!E36))</f>
        <v/>
      </c>
      <c r="C36" t="str">
        <f>IF(A36="","",IF(OR('Additional Information'!D36="",'Additional Information'!D36="-"),"",'Additional Information'!D36))</f>
        <v/>
      </c>
      <c r="D36" s="5"/>
      <c r="E36" t="str">
        <f>IF(A36="","",SUM('Additional Information'!C36))</f>
        <v/>
      </c>
      <c r="G36" t="str">
        <f>IF(A36="","",IF(OR('Additional Information'!K36="",'Additional Information'!K36="-"),"",'Additional Information'!K36))</f>
        <v/>
      </c>
    </row>
    <row r="37" spans="1:7" x14ac:dyDescent="0.25">
      <c r="A37" t="str">
        <f>IF(Input!A38="","",Input!A38)</f>
        <v/>
      </c>
      <c r="B37" t="str">
        <f>IF(A37="","",IF(OR('Additional Information'!E37="",'Additional Information'!E37="-"),"",'Additional Information'!E37))</f>
        <v/>
      </c>
      <c r="C37" t="str">
        <f>IF(A37="","",IF(OR('Additional Information'!D37="",'Additional Information'!D37="-"),"",'Additional Information'!D37))</f>
        <v/>
      </c>
      <c r="D37" s="5"/>
      <c r="E37" t="str">
        <f>IF(A37="","",SUM('Additional Information'!C37))</f>
        <v/>
      </c>
      <c r="G37" t="str">
        <f>IF(A37="","",IF(OR('Additional Information'!K37="",'Additional Information'!K37="-"),"",'Additional Information'!K37))</f>
        <v/>
      </c>
    </row>
    <row r="38" spans="1:7" x14ac:dyDescent="0.25">
      <c r="A38" t="str">
        <f>IF(Input!A39="","",Input!A39)</f>
        <v/>
      </c>
      <c r="B38" t="str">
        <f>IF(A38="","",IF(OR('Additional Information'!E38="",'Additional Information'!E38="-"),"",'Additional Information'!E38))</f>
        <v/>
      </c>
      <c r="C38" t="str">
        <f>IF(A38="","",IF(OR('Additional Information'!D38="",'Additional Information'!D38="-"),"",'Additional Information'!D38))</f>
        <v/>
      </c>
      <c r="D38" s="5"/>
      <c r="E38" t="str">
        <f>IF(A38="","",SUM('Additional Information'!C38))</f>
        <v/>
      </c>
      <c r="G38" t="str">
        <f>IF(A38="","",IF(OR('Additional Information'!K38="",'Additional Information'!K38="-"),"",'Additional Information'!K38))</f>
        <v/>
      </c>
    </row>
    <row r="39" spans="1:7" x14ac:dyDescent="0.25">
      <c r="A39" t="str">
        <f>IF(Input!A40="","",Input!A40)</f>
        <v/>
      </c>
      <c r="B39" t="str">
        <f>IF(A39="","",IF(OR('Additional Information'!E39="",'Additional Information'!E39="-"),"",'Additional Information'!E39))</f>
        <v/>
      </c>
      <c r="C39" t="str">
        <f>IF(A39="","",IF(OR('Additional Information'!D39="",'Additional Information'!D39="-"),"",'Additional Information'!D39))</f>
        <v/>
      </c>
      <c r="D39" s="5"/>
      <c r="E39" t="str">
        <f>IF(A39="","",SUM('Additional Information'!C39))</f>
        <v/>
      </c>
      <c r="G39" t="str">
        <f>IF(A39="","",IF(OR('Additional Information'!K39="",'Additional Information'!K39="-"),"",'Additional Information'!K39))</f>
        <v/>
      </c>
    </row>
    <row r="40" spans="1:7" x14ac:dyDescent="0.25">
      <c r="A40" t="str">
        <f>IF(Input!A41="","",Input!A41)</f>
        <v/>
      </c>
      <c r="B40" t="str">
        <f>IF(A40="","",IF(OR('Additional Information'!E40="",'Additional Information'!E40="-"),"",'Additional Information'!E40))</f>
        <v/>
      </c>
      <c r="C40" t="str">
        <f>IF(A40="","",IF(OR('Additional Information'!D40="",'Additional Information'!D40="-"),"",'Additional Information'!D40))</f>
        <v/>
      </c>
      <c r="D40" s="5"/>
      <c r="E40" t="str">
        <f>IF(A40="","",SUM('Additional Information'!C40))</f>
        <v/>
      </c>
      <c r="G40" t="str">
        <f>IF(A40="","",IF(OR('Additional Information'!K40="",'Additional Information'!K40="-"),"",'Additional Information'!K40))</f>
        <v/>
      </c>
    </row>
    <row r="41" spans="1:7" x14ac:dyDescent="0.25">
      <c r="A41" t="str">
        <f>IF(Input!A42="","",Input!A42)</f>
        <v/>
      </c>
      <c r="B41" t="str">
        <f>IF(A41="","",IF(OR('Additional Information'!E41="",'Additional Information'!E41="-"),"",'Additional Information'!E41))</f>
        <v/>
      </c>
      <c r="C41" t="str">
        <f>IF(A41="","",IF(OR('Additional Information'!D41="",'Additional Information'!D41="-"),"",'Additional Information'!D41))</f>
        <v/>
      </c>
      <c r="D41" s="5"/>
      <c r="E41" t="str">
        <f>IF(A41="","",SUM('Additional Information'!C41))</f>
        <v/>
      </c>
      <c r="G41" t="str">
        <f>IF(A41="","",IF(OR('Additional Information'!K41="",'Additional Information'!K41="-"),"",'Additional Information'!K41))</f>
        <v/>
      </c>
    </row>
    <row r="42" spans="1:7" x14ac:dyDescent="0.25">
      <c r="A42" t="str">
        <f>IF(Input!A43="","",Input!A43)</f>
        <v/>
      </c>
      <c r="B42" t="str">
        <f>IF(A42="","",IF(OR('Additional Information'!E42="",'Additional Information'!E42="-"),"",'Additional Information'!E42))</f>
        <v/>
      </c>
      <c r="C42" t="str">
        <f>IF(A42="","",IF(OR('Additional Information'!D42="",'Additional Information'!D42="-"),"",'Additional Information'!D42))</f>
        <v/>
      </c>
      <c r="D42" s="5"/>
      <c r="E42" t="str">
        <f>IF(A42="","",SUM('Additional Information'!C42))</f>
        <v/>
      </c>
      <c r="G42" t="str">
        <f>IF(A42="","",IF(OR('Additional Information'!K42="",'Additional Information'!K42="-"),"",'Additional Information'!K42))</f>
        <v/>
      </c>
    </row>
    <row r="43" spans="1:7" x14ac:dyDescent="0.25">
      <c r="A43" t="str">
        <f>IF(Input!A44="","",Input!A44)</f>
        <v/>
      </c>
      <c r="B43" t="str">
        <f>IF(A43="","",IF(OR('Additional Information'!E43="",'Additional Information'!E43="-"),"",'Additional Information'!E43))</f>
        <v/>
      </c>
      <c r="C43" t="str">
        <f>IF(A43="","",IF(OR('Additional Information'!D43="",'Additional Information'!D43="-"),"",'Additional Information'!D43))</f>
        <v/>
      </c>
      <c r="D43" s="5"/>
      <c r="E43" t="str">
        <f>IF(A43="","",SUM('Additional Information'!C43))</f>
        <v/>
      </c>
      <c r="G43" t="str">
        <f>IF(A43="","",IF(OR('Additional Information'!K43="",'Additional Information'!K43="-"),"",'Additional Information'!K43))</f>
        <v/>
      </c>
    </row>
    <row r="44" spans="1:7" x14ac:dyDescent="0.25">
      <c r="A44" t="str">
        <f>IF(Input!A45="","",Input!A45)</f>
        <v/>
      </c>
      <c r="B44" t="str">
        <f>IF(A44="","",IF(OR('Additional Information'!E44="",'Additional Information'!E44="-"),"",'Additional Information'!E44))</f>
        <v/>
      </c>
      <c r="C44" t="str">
        <f>IF(A44="","",IF(OR('Additional Information'!D44="",'Additional Information'!D44="-"),"",'Additional Information'!D44))</f>
        <v/>
      </c>
      <c r="D44" s="5"/>
      <c r="E44" t="str">
        <f>IF(A44="","",SUM('Additional Information'!C44))</f>
        <v/>
      </c>
      <c r="G44" t="str">
        <f>IF(A44="","",IF(OR('Additional Information'!K44="",'Additional Information'!K44="-"),"",'Additional Information'!K44))</f>
        <v/>
      </c>
    </row>
    <row r="45" spans="1:7" x14ac:dyDescent="0.25">
      <c r="A45" t="str">
        <f>IF(Input!A46="","",Input!A46)</f>
        <v/>
      </c>
      <c r="B45" t="str">
        <f>IF(A45="","",IF(OR('Additional Information'!E45="",'Additional Information'!E45="-"),"",'Additional Information'!E45))</f>
        <v/>
      </c>
      <c r="C45" t="str">
        <f>IF(A45="","",IF(OR('Additional Information'!D45="",'Additional Information'!D45="-"),"",'Additional Information'!D45))</f>
        <v/>
      </c>
      <c r="D45" s="5"/>
      <c r="E45" t="str">
        <f>IF(A45="","",SUM('Additional Information'!C45))</f>
        <v/>
      </c>
      <c r="G45" t="str">
        <f>IF(A45="","",IF(OR('Additional Information'!K45="",'Additional Information'!K45="-"),"",'Additional Information'!K45))</f>
        <v/>
      </c>
    </row>
    <row r="46" spans="1:7" x14ac:dyDescent="0.25">
      <c r="A46" t="str">
        <f>IF(Input!A47="","",Input!A47)</f>
        <v/>
      </c>
      <c r="B46" t="str">
        <f>IF(A46="","",IF(OR('Additional Information'!E46="",'Additional Information'!E46="-"),"",'Additional Information'!E46))</f>
        <v/>
      </c>
      <c r="C46" t="str">
        <f>IF(A46="","",IF(OR('Additional Information'!D46="",'Additional Information'!D46="-"),"",'Additional Information'!D46))</f>
        <v/>
      </c>
      <c r="D46" s="5"/>
      <c r="E46" t="str">
        <f>IF(A46="","",SUM('Additional Information'!C46))</f>
        <v/>
      </c>
      <c r="G46" t="str">
        <f>IF(A46="","",IF(OR('Additional Information'!K46="",'Additional Information'!K46="-"),"",'Additional Information'!K46))</f>
        <v/>
      </c>
    </row>
    <row r="47" spans="1:7" x14ac:dyDescent="0.25">
      <c r="A47" t="str">
        <f>IF(Input!A48="","",Input!A48)</f>
        <v/>
      </c>
      <c r="B47" t="str">
        <f>IF(A47="","",IF(OR('Additional Information'!E47="",'Additional Information'!E47="-"),"",'Additional Information'!E47))</f>
        <v/>
      </c>
      <c r="C47" t="str">
        <f>IF(A47="","",IF(OR('Additional Information'!D47="",'Additional Information'!D47="-"),"",'Additional Information'!D47))</f>
        <v/>
      </c>
      <c r="D47" s="5"/>
      <c r="E47" t="str">
        <f>IF(A47="","",SUM('Additional Information'!C47))</f>
        <v/>
      </c>
      <c r="G47" t="str">
        <f>IF(A47="","",IF(OR('Additional Information'!K47="",'Additional Information'!K47="-"),"",'Additional Information'!K47))</f>
        <v/>
      </c>
    </row>
    <row r="48" spans="1:7" x14ac:dyDescent="0.25">
      <c r="A48" t="str">
        <f>IF(Input!A49="","",Input!A49)</f>
        <v/>
      </c>
      <c r="B48" t="str">
        <f>IF(A48="","",IF(OR('Additional Information'!E48="",'Additional Information'!E48="-"),"",'Additional Information'!E48))</f>
        <v/>
      </c>
      <c r="C48" t="str">
        <f>IF(A48="","",IF(OR('Additional Information'!D48="",'Additional Information'!D48="-"),"",'Additional Information'!D48))</f>
        <v/>
      </c>
      <c r="D48" s="5"/>
      <c r="E48" t="str">
        <f>IF(A48="","",SUM('Additional Information'!C48))</f>
        <v/>
      </c>
      <c r="G48" t="str">
        <f>IF(A48="","",IF(OR('Additional Information'!K48="",'Additional Information'!K48="-"),"",'Additional Information'!K48))</f>
        <v/>
      </c>
    </row>
    <row r="49" spans="1:7" x14ac:dyDescent="0.25">
      <c r="A49" t="str">
        <f>IF(Input!A50="","",Input!A50)</f>
        <v/>
      </c>
      <c r="B49" t="str">
        <f>IF(A49="","",IF(OR('Additional Information'!E49="",'Additional Information'!E49="-"),"",'Additional Information'!E49))</f>
        <v/>
      </c>
      <c r="C49" t="str">
        <f>IF(A49="","",IF(OR('Additional Information'!D49="",'Additional Information'!D49="-"),"",'Additional Information'!D49))</f>
        <v/>
      </c>
      <c r="D49" s="5"/>
      <c r="E49" t="str">
        <f>IF(A49="","",SUM('Additional Information'!C49))</f>
        <v/>
      </c>
      <c r="G49" t="str">
        <f>IF(A49="","",IF(OR('Additional Information'!K49="",'Additional Information'!K49="-"),"",'Additional Information'!K49))</f>
        <v/>
      </c>
    </row>
    <row r="50" spans="1:7" x14ac:dyDescent="0.25">
      <c r="A50" t="str">
        <f>IF(Input!A51="","",Input!A51)</f>
        <v/>
      </c>
      <c r="B50" t="str">
        <f>IF(A50="","",IF(OR('Additional Information'!E50="",'Additional Information'!E50="-"),"",'Additional Information'!E50))</f>
        <v/>
      </c>
      <c r="C50" t="str">
        <f>IF(A50="","",IF(OR('Additional Information'!D50="",'Additional Information'!D50="-"),"",'Additional Information'!D50))</f>
        <v/>
      </c>
      <c r="D50" s="5"/>
      <c r="E50" t="str">
        <f>IF(A50="","",SUM('Additional Information'!C50))</f>
        <v/>
      </c>
      <c r="G50" t="str">
        <f>IF(A50="","",IF(OR('Additional Information'!K50="",'Additional Information'!K50="-"),"",'Additional Information'!K50))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Dynamic Defensive</v>
      </c>
      <c r="B2">
        <f>IF(A2="","",SUM('Asset Allocation'!B2,'Asset Allocation'!C2,'Asset Allocation'!D2,'Asset Allocation'!E2,'Asset Allocation'!F2))</f>
        <v>0</v>
      </c>
      <c r="C2">
        <f>IF(A2="","",SUM('Asset Allocation'!H2,'Asset Allocation'!I2,'Asset Allocation'!J2))</f>
        <v>0</v>
      </c>
      <c r="D2">
        <f>IF(A2="","",SUM('Asset Allocation'!K2))</f>
        <v>0</v>
      </c>
      <c r="E2">
        <f>IF(A2="","",SUM('Asset Allocation'!L2))</f>
        <v>0</v>
      </c>
      <c r="F2">
        <f>IF(A2="","",SUM('Asset Allocation'!G2,'Asset Allocation'!M2,'Asset Allocation'!O2))</f>
        <v>0</v>
      </c>
      <c r="G2">
        <f>IF(A2="","",SUM('Asset Allocation'!N2))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Dynamic Cautious</v>
      </c>
      <c r="B3">
        <f>IF(A3="","",SUM('Asset Allocation'!B3,'Asset Allocation'!C3,'Asset Allocation'!D3,'Asset Allocation'!E3,'Asset Allocation'!F3))</f>
        <v>0</v>
      </c>
      <c r="C3">
        <f>IF(A3="","",SUM('Asset Allocation'!H3,'Asset Allocation'!I3,'Asset Allocation'!J3))</f>
        <v>0</v>
      </c>
      <c r="D3">
        <f>IF(A3="","",SUM('Asset Allocation'!K3))</f>
        <v>0</v>
      </c>
      <c r="E3">
        <f>IF(A3="","",SUM('Asset Allocation'!L3))</f>
        <v>0</v>
      </c>
      <c r="F3">
        <f>IF(A3="","",SUM('Asset Allocation'!G3,'Asset Allocation'!M3,'Asset Allocation'!O3))</f>
        <v>0</v>
      </c>
      <c r="G3">
        <f>IF(A3="","",SUM('Asset Allocation'!N3))</f>
        <v>0</v>
      </c>
      <c r="H3">
        <f t="shared" si="0"/>
        <v>1</v>
      </c>
    </row>
    <row r="4" spans="1:8" x14ac:dyDescent="0.25">
      <c r="A4" t="str">
        <f>IF(Input!A5="","",Input!A5)</f>
        <v>Dynamic Balanced</v>
      </c>
      <c r="B4">
        <f>IF(A4="","",SUM('Asset Allocation'!B4,'Asset Allocation'!C4,'Asset Allocation'!D4,'Asset Allocation'!E4,'Asset Allocation'!F4))</f>
        <v>0</v>
      </c>
      <c r="C4">
        <f>IF(A4="","",SUM('Asset Allocation'!H4,'Asset Allocation'!I4,'Asset Allocation'!J4))</f>
        <v>0</v>
      </c>
      <c r="D4">
        <f>IF(A4="","",SUM('Asset Allocation'!K4))</f>
        <v>0</v>
      </c>
      <c r="E4">
        <f>IF(A4="","",SUM('Asset Allocation'!L4))</f>
        <v>0</v>
      </c>
      <c r="F4">
        <f>IF(A4="","",SUM('Asset Allocation'!G4,'Asset Allocation'!M4,'Asset Allocation'!O4))</f>
        <v>0</v>
      </c>
      <c r="G4">
        <f>IF(A4="","",SUM('Asset Allocation'!N4))</f>
        <v>0</v>
      </c>
      <c r="H4">
        <f t="shared" si="0"/>
        <v>1</v>
      </c>
    </row>
    <row r="5" spans="1:8" x14ac:dyDescent="0.25">
      <c r="A5" t="str">
        <f>IF(Input!A6="","",Input!A6)</f>
        <v>Dynamic Steady Growth</v>
      </c>
      <c r="B5">
        <f>IF(A5="","",SUM('Asset Allocation'!B5,'Asset Allocation'!C5,'Asset Allocation'!D5,'Asset Allocation'!E5,'Asset Allocation'!F5))</f>
        <v>0</v>
      </c>
      <c r="C5">
        <f>IF(A5="","",SUM('Asset Allocation'!H5,'Asset Allocation'!I5,'Asset Allocation'!J5))</f>
        <v>0</v>
      </c>
      <c r="D5">
        <f>IF(A5="","",SUM('Asset Allocation'!K5))</f>
        <v>0</v>
      </c>
      <c r="E5">
        <f>IF(A5="","",SUM('Asset Allocation'!L5))</f>
        <v>0</v>
      </c>
      <c r="F5">
        <f>IF(A5="","",SUM('Asset Allocation'!G5,'Asset Allocation'!M5,'Asset Allocation'!O5))</f>
        <v>0</v>
      </c>
      <c r="G5">
        <f>IF(A5="","",SUM('Asset Allocation'!N5))</f>
        <v>0</v>
      </c>
      <c r="H5">
        <f t="shared" si="0"/>
        <v>1</v>
      </c>
    </row>
    <row r="6" spans="1:8" x14ac:dyDescent="0.25">
      <c r="A6" t="str">
        <f>IF(Input!A7="","",Input!A7)</f>
        <v>Cautious Growth</v>
      </c>
      <c r="B6">
        <f>IF(A6="","",SUM('Asset Allocation'!B6,'Asset Allocation'!C6,'Asset Allocation'!D6,'Asset Allocation'!E6,'Asset Allocation'!F6))</f>
        <v>0</v>
      </c>
      <c r="C6">
        <f>IF(A6="","",SUM('Asset Allocation'!H6,'Asset Allocation'!I6,'Asset Allocation'!J6))</f>
        <v>0</v>
      </c>
      <c r="D6">
        <f>IF(A6="","",SUM('Asset Allocation'!K6))</f>
        <v>0</v>
      </c>
      <c r="E6">
        <f>IF(A6="","",SUM('Asset Allocation'!L6))</f>
        <v>0</v>
      </c>
      <c r="F6">
        <f>IF(A6="","",SUM('Asset Allocation'!G6,'Asset Allocation'!M6,'Asset Allocation'!O6))</f>
        <v>0</v>
      </c>
      <c r="G6">
        <f>IF(A6="","",SUM('Asset Allocation'!N6))</f>
        <v>0</v>
      </c>
      <c r="H6">
        <f t="shared" si="0"/>
        <v>1</v>
      </c>
    </row>
    <row r="7" spans="1:8" x14ac:dyDescent="0.25">
      <c r="A7" t="str">
        <f>IF(Input!A8="","",Input!A8)</f>
        <v>Monthly Distribution</v>
      </c>
      <c r="B7">
        <f>IF(A7="","",SUM('Asset Allocation'!B7,'Asset Allocation'!C7,'Asset Allocation'!D7,'Asset Allocation'!E7,'Asset Allocation'!F7))</f>
        <v>0</v>
      </c>
      <c r="C7">
        <f>IF(A7="","",SUM('Asset Allocation'!H7,'Asset Allocation'!I7,'Asset Allocation'!J7))</f>
        <v>0</v>
      </c>
      <c r="D7">
        <f>IF(A7="","",SUM('Asset Allocation'!K7))</f>
        <v>0</v>
      </c>
      <c r="E7">
        <f>IF(A7="","",SUM('Asset Allocation'!L7))</f>
        <v>0</v>
      </c>
      <c r="F7">
        <f>IF(A7="","",SUM('Asset Allocation'!G7,'Asset Allocation'!M7,'Asset Allocation'!O7))</f>
        <v>0</v>
      </c>
      <c r="G7">
        <f>IF(A7="","",SUM('Asset Allocation'!N7))</f>
        <v>0</v>
      </c>
      <c r="H7">
        <f t="shared" si="0"/>
        <v>1</v>
      </c>
    </row>
    <row r="8" spans="1:8" x14ac:dyDescent="0.25">
      <c r="A8" t="str">
        <f>IF(Input!A9="","",Input!A9)</f>
        <v>Global Income and Growth</v>
      </c>
      <c r="B8">
        <f>IF(A8="","",SUM('Asset Allocation'!B8,'Asset Allocation'!C8,'Asset Allocation'!D8,'Asset Allocation'!E8,'Asset Allocation'!F8))</f>
        <v>0</v>
      </c>
      <c r="C8">
        <f>IF(A8="","",SUM('Asset Allocation'!H8,'Asset Allocation'!I8,'Asset Allocation'!J8))</f>
        <v>0</v>
      </c>
      <c r="D8">
        <f>IF(A8="","",SUM('Asset Allocation'!K8))</f>
        <v>0</v>
      </c>
      <c r="E8">
        <f>IF(A8="","",SUM('Asset Allocation'!L8))</f>
        <v>0</v>
      </c>
      <c r="F8">
        <f>IF(A8="","",SUM('Asset Allocation'!G8,'Asset Allocation'!M8,'Asset Allocation'!O8))</f>
        <v>0</v>
      </c>
      <c r="G8">
        <f>IF(A8="","",SUM('Asset Allocation'!N8))</f>
        <v>0</v>
      </c>
      <c r="H8">
        <f t="shared" si="0"/>
        <v>1</v>
      </c>
    </row>
    <row r="9" spans="1:8" x14ac:dyDescent="0.25">
      <c r="A9" t="str">
        <f>IF(Input!A10="","",Input!A10)</f>
        <v>Stockmarket Growth</v>
      </c>
      <c r="B9">
        <f>IF(A9="","",SUM('Asset Allocation'!B9,'Asset Allocation'!C9,'Asset Allocation'!D9,'Asset Allocation'!E9,'Asset Allocation'!F9))</f>
        <v>0</v>
      </c>
      <c r="C9">
        <f>IF(A9="","",SUM('Asset Allocation'!H9,'Asset Allocation'!I9,'Asset Allocation'!J9))</f>
        <v>0</v>
      </c>
      <c r="D9">
        <f>IF(A9="","",SUM('Asset Allocation'!K9))</f>
        <v>0</v>
      </c>
      <c r="E9">
        <f>IF(A9="","",SUM('Asset Allocation'!L9))</f>
        <v>0</v>
      </c>
      <c r="F9">
        <f>IF(A9="","",SUM('Asset Allocation'!G9,'Asset Allocation'!M9,'Asset Allocation'!O9))</f>
        <v>0</v>
      </c>
      <c r="G9">
        <f>IF(A9="","",SUM('Asset Allocation'!N9))</f>
        <v>0</v>
      </c>
      <c r="H9">
        <f t="shared" si="0"/>
        <v>1</v>
      </c>
    </row>
    <row r="10" spans="1:8" x14ac:dyDescent="0.25">
      <c r="A10" t="str">
        <f>IF(Input!A11="","",Input!A11)</f>
        <v>Energy and Global Shift</v>
      </c>
      <c r="B10">
        <f>IF(A10="","",SUM('Asset Allocation'!B10,'Asset Allocation'!C10,'Asset Allocation'!D10,'Asset Allocation'!E10,'Asset Allocation'!F10))</f>
        <v>0</v>
      </c>
      <c r="C10">
        <f>IF(A10="","",SUM('Asset Allocation'!H10,'Asset Allocation'!I10,'Asset Allocation'!J10))</f>
        <v>0</v>
      </c>
      <c r="D10">
        <f>IF(A10="","",SUM('Asset Allocation'!K10))</f>
        <v>0</v>
      </c>
      <c r="E10">
        <f>IF(A10="","",SUM('Asset Allocation'!L10))</f>
        <v>0</v>
      </c>
      <c r="F10">
        <f>IF(A10="","",SUM('Asset Allocation'!G10,'Asset Allocation'!M10,'Asset Allocation'!O10))</f>
        <v>0</v>
      </c>
      <c r="G10">
        <f>IF(A10="","",SUM('Asset Allocation'!N10))</f>
        <v>0</v>
      </c>
      <c r="H10">
        <f t="shared" si="0"/>
        <v>1</v>
      </c>
    </row>
    <row r="11" spans="1:8" x14ac:dyDescent="0.25">
      <c r="A11" t="str">
        <f>IF(Input!A12="","",Input!A12)</f>
        <v>Ethical Balanced</v>
      </c>
      <c r="B11">
        <f>IF(A11="","",SUM('Asset Allocation'!B11,'Asset Allocation'!C11,'Asset Allocation'!D11,'Asset Allocation'!E11,'Asset Allocation'!F11))</f>
        <v>0</v>
      </c>
      <c r="C11">
        <f>IF(A11="","",SUM('Asset Allocation'!H11,'Asset Allocation'!I11,'Asset Allocation'!J11))</f>
        <v>0</v>
      </c>
      <c r="D11">
        <f>IF(A11="","",SUM('Asset Allocation'!K11))</f>
        <v>0</v>
      </c>
      <c r="E11">
        <f>IF(A11="","",SUM('Asset Allocation'!L11))</f>
        <v>0</v>
      </c>
      <c r="F11">
        <f>IF(A11="","",SUM('Asset Allocation'!G11,'Asset Allocation'!M11,'Asset Allocation'!O11))</f>
        <v>0</v>
      </c>
      <c r="G11">
        <f>IF(A11="","",SUM('Asset Allocation'!N11))</f>
        <v>0</v>
      </c>
      <c r="H11">
        <f t="shared" si="0"/>
        <v>1</v>
      </c>
    </row>
    <row r="12" spans="1:8" x14ac:dyDescent="0.25">
      <c r="A12" t="str">
        <f>IF(Input!A13="","",Input!A13)</f>
        <v>Responsible Defensive</v>
      </c>
      <c r="B12">
        <f>IF(A12="","",SUM('Asset Allocation'!B12,'Asset Allocation'!C12,'Asset Allocation'!D12,'Asset Allocation'!E12,'Asset Allocation'!F12))</f>
        <v>0</v>
      </c>
      <c r="C12">
        <f>IF(A12="","",SUM('Asset Allocation'!H12,'Asset Allocation'!I12,'Asset Allocation'!J12))</f>
        <v>0</v>
      </c>
      <c r="D12">
        <f>IF(A12="","",SUM('Asset Allocation'!K12))</f>
        <v>0</v>
      </c>
      <c r="E12">
        <f>IF(A12="","",SUM('Asset Allocation'!L12))</f>
        <v>0</v>
      </c>
      <c r="F12">
        <f>IF(A12="","",SUM('Asset Allocation'!G12,'Asset Allocation'!M12,'Asset Allocation'!O12))</f>
        <v>0</v>
      </c>
      <c r="G12">
        <f>IF(A12="","",SUM('Asset Allocation'!N12))</f>
        <v>0</v>
      </c>
      <c r="H12">
        <f t="shared" si="0"/>
        <v>1</v>
      </c>
    </row>
    <row r="13" spans="1:8" x14ac:dyDescent="0.25">
      <c r="A13" t="str">
        <f>IF(Input!A14="","",Input!A14)</f>
        <v>Responsible Cautious</v>
      </c>
      <c r="B13">
        <f>IF(A13="","",SUM('Asset Allocation'!B13,'Asset Allocation'!C13,'Asset Allocation'!D13,'Asset Allocation'!E13,'Asset Allocation'!F13))</f>
        <v>0</v>
      </c>
      <c r="C13">
        <f>IF(A13="","",SUM('Asset Allocation'!H13,'Asset Allocation'!I13,'Asset Allocation'!J13))</f>
        <v>0</v>
      </c>
      <c r="D13">
        <f>IF(A13="","",SUM('Asset Allocation'!K13))</f>
        <v>0</v>
      </c>
      <c r="E13">
        <f>IF(A13="","",SUM('Asset Allocation'!L13))</f>
        <v>0</v>
      </c>
      <c r="F13">
        <f>IF(A13="","",SUM('Asset Allocation'!G13,'Asset Allocation'!M13,'Asset Allocation'!O13))</f>
        <v>0</v>
      </c>
      <c r="G13">
        <f>IF(A13="","",SUM('Asset Allocation'!N13))</f>
        <v>0</v>
      </c>
      <c r="H13">
        <f t="shared" si="0"/>
        <v>1</v>
      </c>
    </row>
    <row r="14" spans="1:8" x14ac:dyDescent="0.25">
      <c r="A14" t="str">
        <f>IF(Input!A15="","",Input!A15)</f>
        <v>Responsible Balanced</v>
      </c>
      <c r="B14">
        <f>IF(A14="","",SUM('Asset Allocation'!B14,'Asset Allocation'!C14,'Asset Allocation'!D14,'Asset Allocation'!E14,'Asset Allocation'!F14))</f>
        <v>0</v>
      </c>
      <c r="C14">
        <f>IF(A14="","",SUM('Asset Allocation'!H14,'Asset Allocation'!I14,'Asset Allocation'!J14))</f>
        <v>0</v>
      </c>
      <c r="D14">
        <f>IF(A14="","",SUM('Asset Allocation'!K14))</f>
        <v>0</v>
      </c>
      <c r="E14">
        <f>IF(A14="","",SUM('Asset Allocation'!L14))</f>
        <v>0</v>
      </c>
      <c r="F14">
        <f>IF(A14="","",SUM('Asset Allocation'!G14,'Asset Allocation'!M14,'Asset Allocation'!O14))</f>
        <v>0</v>
      </c>
      <c r="G14">
        <f>IF(A14="","",SUM('Asset Allocation'!N14))</f>
        <v>0</v>
      </c>
      <c r="H14">
        <f t="shared" si="0"/>
        <v>1</v>
      </c>
    </row>
    <row r="15" spans="1:8" x14ac:dyDescent="0.25">
      <c r="A15" t="str">
        <f>IF(Input!A16="","",Input!A16)</f>
        <v>Responsible Steady Growth</v>
      </c>
      <c r="B15">
        <f>IF(A15="","",SUM('Asset Allocation'!B15,'Asset Allocation'!C15,'Asset Allocation'!D15,'Asset Allocation'!E15,'Asset Allocation'!F15))</f>
        <v>0</v>
      </c>
      <c r="C15">
        <f>IF(A15="","",SUM('Asset Allocation'!H15,'Asset Allocation'!I15,'Asset Allocation'!J15))</f>
        <v>0</v>
      </c>
      <c r="D15">
        <f>IF(A15="","",SUM('Asset Allocation'!K15))</f>
        <v>0</v>
      </c>
      <c r="E15">
        <f>IF(A15="","",SUM('Asset Allocation'!L15))</f>
        <v>0</v>
      </c>
      <c r="F15">
        <f>IF(A15="","",SUM('Asset Allocation'!G15,'Asset Allocation'!M15,'Asset Allocation'!O15))</f>
        <v>0</v>
      </c>
      <c r="G15">
        <f>IF(A15="","",SUM('Asset Allocation'!N15))</f>
        <v>0</v>
      </c>
      <c r="H15">
        <f t="shared" si="0"/>
        <v>1</v>
      </c>
    </row>
    <row r="16" spans="1:8" x14ac:dyDescent="0.25">
      <c r="A16" t="str">
        <f>IF(Input!A17="","",Input!A17)</f>
        <v>Responsible Growth</v>
      </c>
      <c r="B16">
        <f>IF(A16="","",SUM('Asset Allocation'!B16,'Asset Allocation'!C16,'Asset Allocation'!D16,'Asset Allocation'!E16,'Asset Allocation'!F16))</f>
        <v>0</v>
      </c>
      <c r="C16">
        <f>IF(A16="","",SUM('Asset Allocation'!H16,'Asset Allocation'!I16,'Asset Allocation'!J16))</f>
        <v>0</v>
      </c>
      <c r="D16">
        <f>IF(A16="","",SUM('Asset Allocation'!K16))</f>
        <v>0</v>
      </c>
      <c r="E16">
        <f>IF(A16="","",SUM('Asset Allocation'!L16))</f>
        <v>0</v>
      </c>
      <c r="F16">
        <f>IF(A16="","",SUM('Asset Allocation'!G16,'Asset Allocation'!M16,'Asset Allocation'!O16))</f>
        <v>0</v>
      </c>
      <c r="G16">
        <f>IF(A16="","",SUM('Asset Allocation'!N16))</f>
        <v>0</v>
      </c>
      <c r="H16">
        <f t="shared" si="0"/>
        <v>1</v>
      </c>
    </row>
    <row r="17" spans="1:8" x14ac:dyDescent="0.25">
      <c r="A17" t="str">
        <f>IF(Input!A18="","",Input!A18)</f>
        <v/>
      </c>
      <c r="B17" t="str">
        <f>IF(A17="","",SUM('Asset Allocation'!B17,'Asset Allocation'!C17,'Asset Allocation'!D17,'Asset Allocation'!E17,'Asset Allocation'!F17))</f>
        <v/>
      </c>
      <c r="C17" t="str">
        <f>IF(A17="","",SUM('Asset Allocation'!H17,'Asset Allocation'!I17,'Asset Allocation'!J17))</f>
        <v/>
      </c>
      <c r="D17" t="str">
        <f>IF(A17="","",SUM('Asset Allocation'!K17))</f>
        <v/>
      </c>
      <c r="E17" t="str">
        <f>IF(A17="","",SUM('Asset Allocation'!L17))</f>
        <v/>
      </c>
      <c r="F17" t="str">
        <f>IF(A17="","",SUM('Asset Allocation'!G17,'Asset Allocation'!M17,'Asset Allocation'!O17))</f>
        <v/>
      </c>
      <c r="G17" t="str">
        <f>IF(A17="","",SUM('Asset Allocation'!N17))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Allocation'!B18,'Asset Allocation'!C18,'Asset Allocation'!D18,'Asset Allocation'!E18,'Asset Allocation'!F18))</f>
        <v/>
      </c>
      <c r="C18" t="str">
        <f>IF(A18="","",SUM('Asset Allocation'!H18,'Asset Allocation'!I18,'Asset Allocation'!J18))</f>
        <v/>
      </c>
      <c r="D18" t="str">
        <f>IF(A18="","",SUM('Asset Allocation'!K18))</f>
        <v/>
      </c>
      <c r="E18" t="str">
        <f>IF(A18="","",SUM('Asset Allocation'!L18))</f>
        <v/>
      </c>
      <c r="F18" t="str">
        <f>IF(A18="","",SUM('Asset Allocation'!G18,'Asset Allocation'!M18,'Asset Allocation'!O18))</f>
        <v/>
      </c>
      <c r="G18" t="str">
        <f>IF(A18="","",SUM('Asset Allocation'!N18))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Allocation'!B19,'Asset Allocation'!C19,'Asset Allocation'!D19,'Asset Allocation'!E19,'Asset Allocation'!F19))</f>
        <v/>
      </c>
      <c r="C19" t="str">
        <f>IF(A19="","",SUM('Asset Allocation'!H19,'Asset Allocation'!I19,'Asset Allocation'!J19))</f>
        <v/>
      </c>
      <c r="D19" t="str">
        <f>IF(A19="","",SUM('Asset Allocation'!K19))</f>
        <v/>
      </c>
      <c r="E19" t="str">
        <f>IF(A19="","",SUM('Asset Allocation'!L19))</f>
        <v/>
      </c>
      <c r="F19" t="str">
        <f>IF(A19="","",SUM('Asset Allocation'!G19,'Asset Allocation'!M19,'Asset Allocation'!O19))</f>
        <v/>
      </c>
      <c r="G19" t="str">
        <f>IF(A19="","",SUM('Asset Allocation'!N19))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Allocation'!B20,'Asset Allocation'!C20,'Asset Allocation'!D20,'Asset Allocation'!E20,'Asset Allocation'!F20))</f>
        <v/>
      </c>
      <c r="C20" t="str">
        <f>IF(A20="","",SUM('Asset Allocation'!H20,'Asset Allocation'!I20,'Asset Allocation'!J20))</f>
        <v/>
      </c>
      <c r="D20" t="str">
        <f>IF(A20="","",SUM('Asset Allocation'!K20))</f>
        <v/>
      </c>
      <c r="E20" t="str">
        <f>IF(A20="","",SUM('Asset Allocation'!L20))</f>
        <v/>
      </c>
      <c r="F20" t="str">
        <f>IF(A20="","",SUM('Asset Allocation'!G20,'Asset Allocation'!M20,'Asset Allocation'!O20))</f>
        <v/>
      </c>
      <c r="G20" t="str">
        <f>IF(A20="","",SUM('Asset Allocation'!N20))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Allocation'!B21,'Asset Allocation'!C21,'Asset Allocation'!D21,'Asset Allocation'!E21,'Asset Allocation'!F21))</f>
        <v/>
      </c>
      <c r="C21" t="str">
        <f>IF(A21="","",SUM('Asset Allocation'!H21,'Asset Allocation'!I21,'Asset Allocation'!J21))</f>
        <v/>
      </c>
      <c r="D21" t="str">
        <f>IF(A21="","",SUM('Asset Allocation'!K21))</f>
        <v/>
      </c>
      <c r="E21" t="str">
        <f>IF(A21="","",SUM('Asset Allocation'!L21))</f>
        <v/>
      </c>
      <c r="F21" t="str">
        <f>IF(A21="","",SUM('Asset Allocation'!G21,'Asset Allocation'!M21,'Asset Allocation'!O21))</f>
        <v/>
      </c>
      <c r="G21" t="str">
        <f>IF(A21="","",SUM('Asset Allocation'!N21))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Allocation'!B22,'Asset Allocation'!C22,'Asset Allocation'!D22,'Asset Allocation'!E22,'Asset Allocation'!F22))</f>
        <v/>
      </c>
      <c r="C22" t="str">
        <f>IF(A22="","",SUM('Asset Allocation'!H22,'Asset Allocation'!I22,'Asset Allocation'!J22))</f>
        <v/>
      </c>
      <c r="D22" t="str">
        <f>IF(A22="","",SUM('Asset Allocation'!K22))</f>
        <v/>
      </c>
      <c r="E22" t="str">
        <f>IF(A22="","",SUM('Asset Allocation'!L22))</f>
        <v/>
      </c>
      <c r="F22" t="str">
        <f>IF(A22="","",SUM('Asset Allocation'!G22,'Asset Allocation'!M22,'Asset Allocation'!O22))</f>
        <v/>
      </c>
      <c r="G22" t="str">
        <f>IF(A22="","",SUM('Asset Allocation'!N22))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Allocation'!B23,'Asset Allocation'!C23,'Asset Allocation'!D23,'Asset Allocation'!E23,'Asset Allocation'!F23))</f>
        <v/>
      </c>
      <c r="C23" t="str">
        <f>IF(A23="","",SUM('Asset Allocation'!H23,'Asset Allocation'!I23,'Asset Allocation'!J23))</f>
        <v/>
      </c>
      <c r="D23" t="str">
        <f>IF(A23="","",SUM('Asset Allocation'!K23))</f>
        <v/>
      </c>
      <c r="E23" t="str">
        <f>IF(A23="","",SUM('Asset Allocation'!L23))</f>
        <v/>
      </c>
      <c r="F23" t="str">
        <f>IF(A23="","",SUM('Asset Allocation'!G23,'Asset Allocation'!M23,'Asset Allocation'!O23))</f>
        <v/>
      </c>
      <c r="G23" t="str">
        <f>IF(A23="","",SUM('Asset Allocation'!N23))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Allocation'!B24,'Asset Allocation'!C24,'Asset Allocation'!D24,'Asset Allocation'!E24,'Asset Allocation'!F24))</f>
        <v/>
      </c>
      <c r="C24" t="str">
        <f>IF(A24="","",SUM('Asset Allocation'!H24,'Asset Allocation'!I24,'Asset Allocation'!J24))</f>
        <v/>
      </c>
      <c r="D24" t="str">
        <f>IF(A24="","",SUM('Asset Allocation'!K24))</f>
        <v/>
      </c>
      <c r="E24" t="str">
        <f>IF(A24="","",SUM('Asset Allocation'!L24))</f>
        <v/>
      </c>
      <c r="F24" t="str">
        <f>IF(A24="","",SUM('Asset Allocation'!G24,'Asset Allocation'!M24,'Asset Allocation'!O24))</f>
        <v/>
      </c>
      <c r="G24" t="str">
        <f>IF(A24="","",SUM('Asset Allocation'!N24))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Allocation'!B25,'Asset Allocation'!C25,'Asset Allocation'!D25,'Asset Allocation'!E25,'Asset Allocation'!F25))</f>
        <v/>
      </c>
      <c r="C25" t="str">
        <f>IF(A25="","",SUM('Asset Allocation'!H25,'Asset Allocation'!I25,'Asset Allocation'!J25))</f>
        <v/>
      </c>
      <c r="D25" t="str">
        <f>IF(A25="","",SUM('Asset Allocation'!K25))</f>
        <v/>
      </c>
      <c r="E25" t="str">
        <f>IF(A25="","",SUM('Asset Allocation'!L25))</f>
        <v/>
      </c>
      <c r="F25" t="str">
        <f>IF(A25="","",SUM('Asset Allocation'!G25,'Asset Allocation'!M25,'Asset Allocation'!O25))</f>
        <v/>
      </c>
      <c r="G25" t="str">
        <f>IF(A25="","",SUM('Asset Allocation'!N25))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Allocation'!B26,'Asset Allocation'!C26,'Asset Allocation'!D26,'Asset Allocation'!E26,'Asset Allocation'!F26))</f>
        <v/>
      </c>
      <c r="C26" t="str">
        <f>IF(A26="","",SUM('Asset Allocation'!H26,'Asset Allocation'!I26,'Asset Allocation'!J26))</f>
        <v/>
      </c>
      <c r="D26" t="str">
        <f>IF(A26="","",SUM('Asset Allocation'!K26))</f>
        <v/>
      </c>
      <c r="E26" t="str">
        <f>IF(A26="","",SUM('Asset Allocation'!L26))</f>
        <v/>
      </c>
      <c r="F26" t="str">
        <f>IF(A26="","",SUM('Asset Allocation'!G26,'Asset Allocation'!M26,'Asset Allocation'!O26))</f>
        <v/>
      </c>
      <c r="G26" t="str">
        <f>IF(A26="","",SUM('Asset Allocation'!N26))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Allocation'!B27,'Asset Allocation'!C27,'Asset Allocation'!D27,'Asset Allocation'!E27,'Asset Allocation'!F27))</f>
        <v/>
      </c>
      <c r="C27" t="str">
        <f>IF(A27="","",SUM('Asset Allocation'!H27,'Asset Allocation'!I27,'Asset Allocation'!J27))</f>
        <v/>
      </c>
      <c r="D27" t="str">
        <f>IF(A27="","",SUM('Asset Allocation'!K27))</f>
        <v/>
      </c>
      <c r="E27" t="str">
        <f>IF(A27="","",SUM('Asset Allocation'!L27))</f>
        <v/>
      </c>
      <c r="F27" t="str">
        <f>IF(A27="","",SUM('Asset Allocation'!G27,'Asset Allocation'!M27,'Asset Allocation'!O27))</f>
        <v/>
      </c>
      <c r="G27" t="str">
        <f>IF(A27="","",SUM('Asset Allocation'!N27))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Allocation'!B28,'Asset Allocation'!C28,'Asset Allocation'!D28,'Asset Allocation'!E28,'Asset Allocation'!F28))</f>
        <v/>
      </c>
      <c r="C28" t="str">
        <f>IF(A28="","",SUM('Asset Allocation'!H28,'Asset Allocation'!I28,'Asset Allocation'!J28))</f>
        <v/>
      </c>
      <c r="D28" t="str">
        <f>IF(A28="","",SUM('Asset Allocation'!K28))</f>
        <v/>
      </c>
      <c r="E28" t="str">
        <f>IF(A28="","",SUM('Asset Allocation'!L28))</f>
        <v/>
      </c>
      <c r="F28" t="str">
        <f>IF(A28="","",SUM('Asset Allocation'!G28,'Asset Allocation'!M28,'Asset Allocation'!O28))</f>
        <v/>
      </c>
      <c r="G28" t="str">
        <f>IF(A28="","",SUM('Asset Allocation'!N28))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Allocation'!B29,'Asset Allocation'!C29,'Asset Allocation'!D29,'Asset Allocation'!E29,'Asset Allocation'!F29))</f>
        <v/>
      </c>
      <c r="C29" t="str">
        <f>IF(A29="","",SUM('Asset Allocation'!H29,'Asset Allocation'!I29,'Asset Allocation'!J29))</f>
        <v/>
      </c>
      <c r="D29" t="str">
        <f>IF(A29="","",SUM('Asset Allocation'!K29))</f>
        <v/>
      </c>
      <c r="E29" t="str">
        <f>IF(A29="","",SUM('Asset Allocation'!L29))</f>
        <v/>
      </c>
      <c r="F29" t="str">
        <f>IF(A29="","",SUM('Asset Allocation'!G29,'Asset Allocation'!M29,'Asset Allocation'!O29))</f>
        <v/>
      </c>
      <c r="G29" t="str">
        <f>IF(A29="","",SUM('Asset Allocation'!N29))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Allocation'!B30,'Asset Allocation'!C30,'Asset Allocation'!D30,'Asset Allocation'!E30,'Asset Allocation'!F30))</f>
        <v/>
      </c>
      <c r="C30" t="str">
        <f>IF(A30="","",SUM('Asset Allocation'!H30,'Asset Allocation'!I30,'Asset Allocation'!J30))</f>
        <v/>
      </c>
      <c r="D30" t="str">
        <f>IF(A30="","",SUM('Asset Allocation'!K30))</f>
        <v/>
      </c>
      <c r="E30" t="str">
        <f>IF(A30="","",SUM('Asset Allocation'!L30))</f>
        <v/>
      </c>
      <c r="F30" t="str">
        <f>IF(A30="","",SUM('Asset Allocation'!G30,'Asset Allocation'!M30,'Asset Allocation'!O30))</f>
        <v/>
      </c>
      <c r="G30" t="str">
        <f>IF(A30="","",SUM('Asset Allocation'!N30))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Allocation'!B31,'Asset Allocation'!C31,'Asset Allocation'!D31,'Asset Allocation'!E31,'Asset Allocation'!F31))</f>
        <v/>
      </c>
      <c r="C31" t="str">
        <f>IF(A31="","",SUM('Asset Allocation'!H31,'Asset Allocation'!I31,'Asset Allocation'!J31))</f>
        <v/>
      </c>
      <c r="D31" t="str">
        <f>IF(A31="","",SUM('Asset Allocation'!K31))</f>
        <v/>
      </c>
      <c r="E31" t="str">
        <f>IF(A31="","",SUM('Asset Allocation'!L31))</f>
        <v/>
      </c>
      <c r="F31" t="str">
        <f>IF(A31="","",SUM('Asset Allocation'!G31,'Asset Allocation'!M31,'Asset Allocation'!O31))</f>
        <v/>
      </c>
      <c r="G31" t="str">
        <f>IF(A31="","",SUM('Asset Allocation'!N31))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Allocation'!B32,'Asset Allocation'!C32,'Asset Allocation'!D32,'Asset Allocation'!E32,'Asset Allocation'!F32))</f>
        <v/>
      </c>
      <c r="C32" t="str">
        <f>IF(A32="","",SUM('Asset Allocation'!H32,'Asset Allocation'!I32,'Asset Allocation'!J32))</f>
        <v/>
      </c>
      <c r="D32" t="str">
        <f>IF(A32="","",SUM('Asset Allocation'!K32))</f>
        <v/>
      </c>
      <c r="E32" t="str">
        <f>IF(A32="","",SUM('Asset Allocation'!L32))</f>
        <v/>
      </c>
      <c r="F32" t="str">
        <f>IF(A32="","",SUM('Asset Allocation'!G32,'Asset Allocation'!M32,'Asset Allocation'!O32))</f>
        <v/>
      </c>
      <c r="G32" t="str">
        <f>IF(A32="","",SUM('Asset Allocation'!N32))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Allocation'!B33,'Asset Allocation'!C33,'Asset Allocation'!D33,'Asset Allocation'!E33,'Asset Allocation'!F33))</f>
        <v/>
      </c>
      <c r="C33" t="str">
        <f>IF(A33="","",SUM('Asset Allocation'!H33,'Asset Allocation'!I33,'Asset Allocation'!J33))</f>
        <v/>
      </c>
      <c r="D33" t="str">
        <f>IF(A33="","",SUM('Asset Allocation'!K33))</f>
        <v/>
      </c>
      <c r="E33" t="str">
        <f>IF(A33="","",SUM('Asset Allocation'!L33))</f>
        <v/>
      </c>
      <c r="F33" t="str">
        <f>IF(A33="","",SUM('Asset Allocation'!G33,'Asset Allocation'!M33,'Asset Allocation'!O33))</f>
        <v/>
      </c>
      <c r="G33" t="str">
        <f>IF(A33="","",SUM('Asset Allocation'!N33))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Allocation'!D34,'Asset Allocation'!E34,'Asset Allocation'!F34))</f>
        <v/>
      </c>
      <c r="C34" t="str">
        <f>IF(A34="","",SUM('Asset Allocation'!H34,'Asset Allocation'!I34,'Asset Allocation'!J34))</f>
        <v/>
      </c>
      <c r="D34" t="str">
        <f>IF(A34="","",SUM('Asset Allocation'!K34))</f>
        <v/>
      </c>
      <c r="E34" t="str">
        <f>IF(A34="","",SUM('Asset Allocation'!L34))</f>
        <v/>
      </c>
      <c r="F34" t="str">
        <f>IF(A34="","",SUM('Asset Allocation'!G34,'Asset Allocation'!M34,'Asset Allocation'!O34))</f>
        <v/>
      </c>
      <c r="G34" t="str">
        <f>IF(A34="","",SUM('Asset Allocation'!N34))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Allocation'!D35,'Asset Allocation'!E35,'Asset Allocation'!F35))</f>
        <v/>
      </c>
      <c r="C35" t="str">
        <f>IF(A35="","",SUM('Asset Allocation'!H35,'Asset Allocation'!I35,'Asset Allocation'!J35))</f>
        <v/>
      </c>
      <c r="D35" t="str">
        <f>IF(A35="","",SUM('Asset Allocation'!K35))</f>
        <v/>
      </c>
      <c r="E35" t="str">
        <f>IF(A35="","",SUM('Asset Allocation'!L35))</f>
        <v/>
      </c>
      <c r="F35" t="str">
        <f>IF(A35="","",SUM('Asset Allocation'!G35,'Asset Allocation'!M35,'Asset Allocation'!O35))</f>
        <v/>
      </c>
      <c r="G35" t="str">
        <f>IF(A35="","",SUM('Asset Allocation'!N35))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Allocation'!D36,'Asset Allocation'!E36,'Asset Allocation'!F36))</f>
        <v/>
      </c>
      <c r="C36" t="str">
        <f>IF(A36="","",SUM('Asset Allocation'!H36,'Asset Allocation'!I36,'Asset Allocation'!J36))</f>
        <v/>
      </c>
      <c r="D36" t="str">
        <f>IF(A36="","",SUM('Asset Allocation'!K36))</f>
        <v/>
      </c>
      <c r="E36" t="str">
        <f>IF(A36="","",SUM('Asset Allocation'!L36))</f>
        <v/>
      </c>
      <c r="F36" t="str">
        <f>IF(A36="","",SUM('Asset Allocation'!G36,'Asset Allocation'!M36,'Asset Allocation'!O36))</f>
        <v/>
      </c>
      <c r="G36" t="str">
        <f>IF(A36="","",SUM('Asset Allocation'!N36))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Allocation'!D37,'Asset Allocation'!E37,'Asset Allocation'!F37))</f>
        <v/>
      </c>
      <c r="C37" t="str">
        <f>IF(A37="","",SUM('Asset Allocation'!H37,'Asset Allocation'!I37,'Asset Allocation'!J37))</f>
        <v/>
      </c>
      <c r="D37" t="str">
        <f>IF(A37="","",SUM('Asset Allocation'!K37))</f>
        <v/>
      </c>
      <c r="E37" t="str">
        <f>IF(A37="","",SUM('Asset Allocation'!L37))</f>
        <v/>
      </c>
      <c r="F37" t="str">
        <f>IF(A37="","",SUM('Asset Allocation'!G37,'Asset Allocation'!M37,'Asset Allocation'!O37))</f>
        <v/>
      </c>
      <c r="G37" t="str">
        <f>IF(A37="","",SUM('Asset Allocation'!N37))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Allocation'!D38,'Asset Allocation'!E38,'Asset Allocation'!F38))</f>
        <v/>
      </c>
      <c r="C38" t="str">
        <f>IF(A38="","",SUM('Asset Allocation'!H38,'Asset Allocation'!I38,'Asset Allocation'!J38))</f>
        <v/>
      </c>
      <c r="D38" t="str">
        <f>IF(A38="","",SUM('Asset Allocation'!K38))</f>
        <v/>
      </c>
      <c r="E38" t="str">
        <f>IF(A38="","",SUM('Asset Allocation'!L38))</f>
        <v/>
      </c>
      <c r="F38" t="str">
        <f>IF(A38="","",SUM('Asset Allocation'!G38,'Asset Allocation'!M38,'Asset Allocation'!O38))</f>
        <v/>
      </c>
      <c r="G38" t="str">
        <f>IF(A38="","",SUM('Asset Allocation'!N38))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Allocation'!D39,'Asset Allocation'!E39,'Asset Allocation'!F39))</f>
        <v/>
      </c>
      <c r="C39" t="str">
        <f>IF(A39="","",SUM('Asset Allocation'!H39,'Asset Allocation'!I39,'Asset Allocation'!J39))</f>
        <v/>
      </c>
      <c r="D39" t="str">
        <f>IF(A39="","",SUM('Asset Allocation'!K39))</f>
        <v/>
      </c>
      <c r="E39" t="str">
        <f>IF(A39="","",SUM('Asset Allocation'!L39))</f>
        <v/>
      </c>
      <c r="F39" t="str">
        <f>IF(A39="","",SUM('Asset Allocation'!G39,'Asset Allocation'!M39,'Asset Allocation'!O39))</f>
        <v/>
      </c>
      <c r="G39" t="str">
        <f>IF(A39="","",SUM('Asset Allocation'!N39))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Allocation'!D40,'Asset Allocation'!E40,'Asset Allocation'!F40))</f>
        <v/>
      </c>
      <c r="C40" t="str">
        <f>IF(A40="","",SUM('Asset Allocation'!H40,'Asset Allocation'!I40,'Asset Allocation'!J40))</f>
        <v/>
      </c>
      <c r="D40" t="str">
        <f>IF(A40="","",SUM('Asset Allocation'!K40))</f>
        <v/>
      </c>
      <c r="E40" t="str">
        <f>IF(A40="","",SUM('Asset Allocation'!L40))</f>
        <v/>
      </c>
      <c r="F40" t="str">
        <f>IF(A40="","",SUM('Asset Allocation'!G40,'Asset Allocation'!M40,'Asset Allocation'!O40))</f>
        <v/>
      </c>
      <c r="G40" t="str">
        <f>IF(A40="","",SUM('Asset Allocation'!N40))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Allocation'!D41,'Asset Allocation'!E41,'Asset Allocation'!F41))</f>
        <v/>
      </c>
      <c r="C41" t="str">
        <f>IF(A41="","",SUM('Asset Allocation'!H41,'Asset Allocation'!I41,'Asset Allocation'!J41))</f>
        <v/>
      </c>
      <c r="D41" t="str">
        <f>IF(A41="","",SUM('Asset Allocation'!K41))</f>
        <v/>
      </c>
      <c r="E41" t="str">
        <f>IF(A41="","",SUM('Asset Allocation'!L41))</f>
        <v/>
      </c>
      <c r="F41" t="str">
        <f>IF(A41="","",SUM('Asset Allocation'!G41,'Asset Allocation'!M41,'Asset Allocation'!O41))</f>
        <v/>
      </c>
      <c r="G41" t="str">
        <f>IF(A41="","",SUM('Asset Allocation'!N41))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Allocation'!D42,'Asset Allocation'!E42,'Asset Allocation'!F42))</f>
        <v/>
      </c>
      <c r="C42" t="str">
        <f>IF(A42="","",SUM('Asset Allocation'!H42,'Asset Allocation'!I42,'Asset Allocation'!J42))</f>
        <v/>
      </c>
      <c r="D42" t="str">
        <f>IF(A42="","",SUM('Asset Allocation'!K42))</f>
        <v/>
      </c>
      <c r="E42" t="str">
        <f>IF(A42="","",SUM('Asset Allocation'!L42))</f>
        <v/>
      </c>
      <c r="F42" t="str">
        <f>IF(A42="","",SUM('Asset Allocation'!G42,'Asset Allocation'!M42,'Asset Allocation'!O42))</f>
        <v/>
      </c>
      <c r="G42" t="str">
        <f>IF(A42="","",SUM('Asset Allocation'!N42))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Allocation'!D43,'Asset Allocation'!E43,'Asset Allocation'!F43))</f>
        <v/>
      </c>
      <c r="C43" t="str">
        <f>IF(A43="","",SUM('Asset Allocation'!H43,'Asset Allocation'!I43,'Asset Allocation'!J43))</f>
        <v/>
      </c>
      <c r="D43" t="str">
        <f>IF(A43="","",SUM('Asset Allocation'!K43))</f>
        <v/>
      </c>
      <c r="E43" t="str">
        <f>IF(A43="","",SUM('Asset Allocation'!L43))</f>
        <v/>
      </c>
      <c r="F43" t="str">
        <f>IF(A43="","",SUM('Asset Allocation'!G43,'Asset Allocation'!M43,'Asset Allocation'!O43))</f>
        <v/>
      </c>
      <c r="G43" t="str">
        <f>IF(A43="","",SUM('Asset Allocation'!N43))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Allocation'!D44,'Asset Allocation'!E44,'Asset Allocation'!F44))</f>
        <v/>
      </c>
      <c r="C44" t="str">
        <f>IF(A44="","",SUM('Asset Allocation'!H44,'Asset Allocation'!I44,'Asset Allocation'!J44))</f>
        <v/>
      </c>
      <c r="D44" t="str">
        <f>IF(A44="","",SUM('Asset Allocation'!K44))</f>
        <v/>
      </c>
      <c r="E44" t="str">
        <f>IF(A44="","",SUM('Asset Allocation'!L44))</f>
        <v/>
      </c>
      <c r="F44" t="str">
        <f>IF(A44="","",SUM('Asset Allocation'!G44,'Asset Allocation'!M44,'Asset Allocation'!O44))</f>
        <v/>
      </c>
      <c r="G44" t="str">
        <f>IF(A44="","",SUM('Asset Allocation'!N44))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Allocation'!D45,'Asset Allocation'!E45,'Asset Allocation'!F45))</f>
        <v/>
      </c>
      <c r="C45" t="str">
        <f>IF(A45="","",SUM('Asset Allocation'!H45,'Asset Allocation'!I45,'Asset Allocation'!J45))</f>
        <v/>
      </c>
      <c r="D45" t="str">
        <f>IF(A45="","",SUM('Asset Allocation'!K45))</f>
        <v/>
      </c>
      <c r="E45" t="str">
        <f>IF(A45="","",SUM('Asset Allocation'!L45))</f>
        <v/>
      </c>
      <c r="F45" t="str">
        <f>IF(A45="","",SUM('Asset Allocation'!G45,'Asset Allocation'!M45,'Asset Allocation'!O45))</f>
        <v/>
      </c>
      <c r="G45" t="str">
        <f>IF(A45="","",SUM('Asset Allocation'!N45))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Allocation'!D46,'Asset Allocation'!E46,'Asset Allocation'!F46))</f>
        <v/>
      </c>
      <c r="C46" t="str">
        <f>IF(A46="","",SUM('Asset Allocation'!H46,'Asset Allocation'!I46,'Asset Allocation'!J46))</f>
        <v/>
      </c>
      <c r="D46" t="str">
        <f>IF(A46="","",SUM('Asset Allocation'!K46))</f>
        <v/>
      </c>
      <c r="E46" t="str">
        <f>IF(A46="","",SUM('Asset Allocation'!L46))</f>
        <v/>
      </c>
      <c r="F46" t="str">
        <f>IF(A46="","",SUM('Asset Allocation'!G46,'Asset Allocation'!M46,'Asset Allocation'!O46))</f>
        <v/>
      </c>
      <c r="G46" t="str">
        <f>IF(A46="","",SUM('Asset Allocation'!N46))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Allocation'!D47,'Asset Allocation'!E47,'Asset Allocation'!F47))</f>
        <v/>
      </c>
      <c r="C47" t="str">
        <f>IF(A47="","",SUM('Asset Allocation'!H47,'Asset Allocation'!I47,'Asset Allocation'!J47))</f>
        <v/>
      </c>
      <c r="D47" t="str">
        <f>IF(A47="","",SUM('Asset Allocation'!K47))</f>
        <v/>
      </c>
      <c r="E47" t="str">
        <f>IF(A47="","",SUM('Asset Allocation'!L47))</f>
        <v/>
      </c>
      <c r="F47" t="str">
        <f>IF(A47="","",SUM('Asset Allocation'!G47,'Asset Allocation'!M47,'Asset Allocation'!O47))</f>
        <v/>
      </c>
      <c r="G47" t="str">
        <f>IF(A47="","",SUM('Asset Allocation'!N47))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Allocation'!D48,'Asset Allocation'!E48,'Asset Allocation'!F48))</f>
        <v/>
      </c>
      <c r="C48" t="str">
        <f>IF(A48="","",SUM('Asset Allocation'!H48,'Asset Allocation'!I48,'Asset Allocation'!J48))</f>
        <v/>
      </c>
      <c r="D48" t="str">
        <f>IF(A48="","",SUM('Asset Allocation'!K48))</f>
        <v/>
      </c>
      <c r="E48" t="str">
        <f>IF(A48="","",SUM('Asset Allocation'!L48))</f>
        <v/>
      </c>
      <c r="F48" t="str">
        <f>IF(A48="","",SUM('Asset Allocation'!G48,'Asset Allocation'!M48,'Asset Allocation'!O48))</f>
        <v/>
      </c>
      <c r="G48" t="str">
        <f>IF(A48="","",SUM('Asset Allocation'!N48))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Allocation'!D49,'Asset Allocation'!E49,'Asset Allocation'!F49))</f>
        <v/>
      </c>
      <c r="C49" t="str">
        <f>IF(A49="","",SUM('Asset Allocation'!H49,'Asset Allocation'!I49,'Asset Allocation'!J49))</f>
        <v/>
      </c>
      <c r="D49" t="str">
        <f>IF(A49="","",SUM('Asset Allocation'!K49))</f>
        <v/>
      </c>
      <c r="E49" t="str">
        <f>IF(A49="","",SUM('Asset Allocation'!L49))</f>
        <v/>
      </c>
      <c r="F49" t="str">
        <f>IF(A49="","",SUM('Asset Allocation'!G49,'Asset Allocation'!M49,'Asset Allocation'!O49))</f>
        <v/>
      </c>
      <c r="G49" t="str">
        <f>IF(A49="","",SUM('Asset Allocation'!N49))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Allocation'!D50,'Asset Allocation'!E50,'Asset Allocation'!F50))</f>
        <v/>
      </c>
      <c r="C50" t="str">
        <f>IF(A50="","",SUM('Asset Allocation'!H50,'Asset Allocation'!I50,'Asset Allocation'!J50))</f>
        <v/>
      </c>
      <c r="D50" t="str">
        <f>IF(A50="","",SUM('Asset Allocation'!K50))</f>
        <v/>
      </c>
      <c r="E50" t="str">
        <f>IF(A50="","",SUM('Asset Allocation'!L50))</f>
        <v/>
      </c>
      <c r="F50" t="str">
        <f>IF(A50="","",SUM('Asset Allocation'!G50,'Asset Allocation'!M50,'Asset Allocation'!O50))</f>
        <v/>
      </c>
      <c r="G50" t="str">
        <f>IF(A50="","",SUM('Asset Allocation'!N50))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Dynamic Defensive</v>
      </c>
      <c r="B2" s="6"/>
      <c r="C2" s="6">
        <f>IFERROR(IF(A2="","",SUM('Asset Allocation'!B2)/'Broad Asset Allocation'!B2),0)</f>
        <v>0</v>
      </c>
      <c r="D2" s="6"/>
      <c r="E2" s="6"/>
      <c r="F2" s="6"/>
      <c r="G2" s="6">
        <f>IFERROR(IF(A2="","",SUM('Asset Allocation'!D2)/'Broad Asset Allocation'!B2),0)</f>
        <v>0</v>
      </c>
      <c r="H2" s="6">
        <f>IFERROR(IF(A2="","",SUM('Asset Allocation'!C2,'Asset Allocation'!E2,'Asset Allocation'!F2)/'Broad Asset Allocation'!B2),0)</f>
        <v>0</v>
      </c>
    </row>
    <row r="3" spans="1:8" x14ac:dyDescent="0.25">
      <c r="A3" t="str">
        <f>IF(Input!A4="","",Input!A4)</f>
        <v>Dynamic Cautious</v>
      </c>
      <c r="B3" s="6"/>
      <c r="C3" s="6">
        <f>IFERROR(IF(A3="","",SUM('Asset Allocation'!B3)/'Broad Asset Allocation'!B3),0)</f>
        <v>0</v>
      </c>
      <c r="D3" s="6"/>
      <c r="E3" s="6"/>
      <c r="F3" s="6"/>
      <c r="G3" s="6">
        <f>IFERROR(IF(A3="","",SUM('Asset Allocation'!D3)/'Broad Asset Allocation'!B3),0)</f>
        <v>0</v>
      </c>
      <c r="H3" s="6">
        <f>IFERROR(IF(A3="","",SUM('Asset Allocation'!C3,'Asset Allocation'!E3,'Asset Allocation'!F3)/'Broad Asset Allocation'!B3),0)</f>
        <v>0</v>
      </c>
    </row>
    <row r="4" spans="1:8" x14ac:dyDescent="0.25">
      <c r="A4" t="str">
        <f>IF(Input!A5="","",Input!A5)</f>
        <v>Dynamic Balanced</v>
      </c>
      <c r="B4" s="6"/>
      <c r="C4" s="6">
        <f>IFERROR(IF(A4="","",SUM('Asset Allocation'!B4)/'Broad Asset Allocation'!B4),0)</f>
        <v>0</v>
      </c>
      <c r="D4" s="6"/>
      <c r="E4" s="6"/>
      <c r="F4" s="6"/>
      <c r="G4" s="6">
        <f>IFERROR(IF(A4="","",SUM('Asset Allocation'!D4)/'Broad Asset Allocation'!B4),0)</f>
        <v>0</v>
      </c>
      <c r="H4" s="6">
        <f>IFERROR(IF(A4="","",SUM('Asset Allocation'!C4,'Asset Allocation'!E4,'Asset Allocation'!F4)/'Broad Asset Allocation'!B4),0)</f>
        <v>0</v>
      </c>
    </row>
    <row r="5" spans="1:8" x14ac:dyDescent="0.25">
      <c r="A5" t="str">
        <f>IF(Input!A6="","",Input!A6)</f>
        <v>Dynamic Steady Growth</v>
      </c>
      <c r="B5" s="6"/>
      <c r="C5" s="6">
        <f>IFERROR(IF(A5="","",SUM('Asset Allocation'!B5)/'Broad Asset Allocation'!B5),0)</f>
        <v>0</v>
      </c>
      <c r="D5" s="6"/>
      <c r="E5" s="6"/>
      <c r="F5" s="6"/>
      <c r="G5" s="6">
        <f>IFERROR(IF(A5="","",SUM('Asset Allocation'!D5)/'Broad Asset Allocation'!B5),0)</f>
        <v>0</v>
      </c>
      <c r="H5" s="6">
        <f>IFERROR(IF(A5="","",SUM('Asset Allocation'!C5,'Asset Allocation'!E5,'Asset Allocation'!F5)/'Broad Asset Allocation'!B5),0)</f>
        <v>0</v>
      </c>
    </row>
    <row r="6" spans="1:8" x14ac:dyDescent="0.25">
      <c r="A6" t="str">
        <f>IF(Input!A7="","",Input!A7)</f>
        <v>Cautious Growth</v>
      </c>
      <c r="B6" s="6"/>
      <c r="C6" s="6">
        <f>IFERROR(IF(A6="","",SUM('Asset Allocation'!B6)/'Broad Asset Allocation'!B6),0)</f>
        <v>0</v>
      </c>
      <c r="D6" s="6"/>
      <c r="E6" s="6"/>
      <c r="F6" s="6"/>
      <c r="G6" s="6">
        <f>IFERROR(IF(A6="","",SUM('Asset Allocation'!D6)/'Broad Asset Allocation'!B6),0)</f>
        <v>0</v>
      </c>
      <c r="H6" s="6">
        <f>IFERROR(IF(A6="","",SUM('Asset Allocation'!C6,'Asset Allocation'!E6,'Asset Allocation'!F6)/'Broad Asset Allocation'!B6),0)</f>
        <v>0</v>
      </c>
    </row>
    <row r="7" spans="1:8" x14ac:dyDescent="0.25">
      <c r="A7" t="str">
        <f>IF(Input!A8="","",Input!A8)</f>
        <v>Monthly Distribution</v>
      </c>
      <c r="B7" s="6"/>
      <c r="C7" s="6">
        <f>IFERROR(IF(A7="","",SUM('Asset Allocation'!B7)/'Broad Asset Allocation'!B7),0)</f>
        <v>0</v>
      </c>
      <c r="D7" s="6"/>
      <c r="E7" s="6"/>
      <c r="F7" s="6"/>
      <c r="G7" s="6">
        <f>IFERROR(IF(A7="","",SUM('Asset Allocation'!D7)/'Broad Asset Allocation'!B7),0)</f>
        <v>0</v>
      </c>
      <c r="H7" s="6">
        <f>IFERROR(IF(A7="","",SUM('Asset Allocation'!C7,'Asset Allocation'!E7,'Asset Allocation'!F7)/'Broad Asset Allocation'!B7),0)</f>
        <v>0</v>
      </c>
    </row>
    <row r="8" spans="1:8" x14ac:dyDescent="0.25">
      <c r="A8" t="str">
        <f>IF(Input!A9="","",Input!A9)</f>
        <v>Global Income and Growth</v>
      </c>
      <c r="B8" s="6"/>
      <c r="C8" s="6">
        <f>IFERROR(IF(A8="","",SUM('Asset Allocation'!B8)/'Broad Asset Allocation'!B8),0)</f>
        <v>0</v>
      </c>
      <c r="D8" s="6"/>
      <c r="E8" s="6"/>
      <c r="F8" s="6"/>
      <c r="G8" s="6">
        <f>IFERROR(IF(A8="","",SUM('Asset Allocation'!D8)/'Broad Asset Allocation'!B8),0)</f>
        <v>0</v>
      </c>
      <c r="H8" s="6">
        <f>IFERROR(IF(A8="","",SUM('Asset Allocation'!C8,'Asset Allocation'!E8,'Asset Allocation'!F8)/'Broad Asset Allocation'!B8),0)</f>
        <v>0</v>
      </c>
    </row>
    <row r="9" spans="1:8" x14ac:dyDescent="0.25">
      <c r="A9" t="str">
        <f>IF(Input!A10="","",Input!A10)</f>
        <v>Stockmarket Growth</v>
      </c>
      <c r="B9" s="6"/>
      <c r="C9" s="6">
        <f>IFERROR(IF(A9="","",SUM('Asset Allocation'!B9)/'Broad Asset Allocation'!B9),0)</f>
        <v>0</v>
      </c>
      <c r="D9" s="6"/>
      <c r="E9" s="6"/>
      <c r="F9" s="6"/>
      <c r="G9" s="6">
        <f>IFERROR(IF(A9="","",SUM('Asset Allocation'!D9)/'Broad Asset Allocation'!B9),0)</f>
        <v>0</v>
      </c>
      <c r="H9" s="6">
        <f>IFERROR(IF(A9="","",SUM('Asset Allocation'!C9,'Asset Allocation'!E9,'Asset Allocation'!F9)/'Broad Asset Allocation'!B9),0)</f>
        <v>0</v>
      </c>
    </row>
    <row r="10" spans="1:8" x14ac:dyDescent="0.25">
      <c r="A10" t="str">
        <f>IF(Input!A11="","",Input!A11)</f>
        <v>Energy and Global Shift</v>
      </c>
      <c r="B10" s="6"/>
      <c r="C10" s="6">
        <f>IFERROR(IF(A10="","",SUM('Asset Allocation'!B10)/'Broad Asset Allocation'!B10),0)</f>
        <v>0</v>
      </c>
      <c r="D10" s="6"/>
      <c r="E10" s="6"/>
      <c r="F10" s="6"/>
      <c r="G10" s="6">
        <f>IFERROR(IF(A10="","",SUM('Asset Allocation'!D10)/'Broad Asset Allocation'!B10),0)</f>
        <v>0</v>
      </c>
      <c r="H10" s="6">
        <f>IFERROR(IF(A10="","",SUM('Asset Allocation'!C10,'Asset Allocation'!E10,'Asset Allocation'!F10)/'Broad Asset Allocation'!B10),0)</f>
        <v>0</v>
      </c>
    </row>
    <row r="11" spans="1:8" x14ac:dyDescent="0.25">
      <c r="A11" t="str">
        <f>IF(Input!A12="","",Input!A12)</f>
        <v>Ethical Balanced</v>
      </c>
      <c r="B11" s="6"/>
      <c r="C11" s="6">
        <f>IFERROR(IF(A11="","",SUM('Asset Allocation'!B11)/'Broad Asset Allocation'!B11),0)</f>
        <v>0</v>
      </c>
      <c r="D11" s="6"/>
      <c r="E11" s="6"/>
      <c r="F11" s="6"/>
      <c r="G11" s="6">
        <f>IFERROR(IF(A11="","",SUM('Asset Allocation'!D11)/'Broad Asset Allocation'!B11),0)</f>
        <v>0</v>
      </c>
      <c r="H11" s="6">
        <f>IFERROR(IF(A11="","",SUM('Asset Allocation'!C11,'Asset Allocation'!E11,'Asset Allocation'!F11)/'Broad Asset Allocation'!B11),0)</f>
        <v>0</v>
      </c>
    </row>
    <row r="12" spans="1:8" x14ac:dyDescent="0.25">
      <c r="A12" t="str">
        <f>IF(Input!A13="","",Input!A13)</f>
        <v>Responsible Defensive</v>
      </c>
      <c r="B12" s="6"/>
      <c r="C12" s="6">
        <f>IFERROR(IF(A12="","",SUM('Asset Allocation'!B12)/'Broad Asset Allocation'!B12),0)</f>
        <v>0</v>
      </c>
      <c r="D12" s="6"/>
      <c r="E12" s="6"/>
      <c r="F12" s="6"/>
      <c r="G12" s="6">
        <f>IFERROR(IF(A12="","",SUM('Asset Allocation'!D12)/'Broad Asset Allocation'!B12),0)</f>
        <v>0</v>
      </c>
      <c r="H12" s="6">
        <f>IFERROR(IF(A12="","",SUM('Asset Allocation'!C12,'Asset Allocation'!E12,'Asset Allocation'!F12)/'Broad Asset Allocation'!B12),0)</f>
        <v>0</v>
      </c>
    </row>
    <row r="13" spans="1:8" x14ac:dyDescent="0.25">
      <c r="A13" t="str">
        <f>IF(Input!A14="","",Input!A14)</f>
        <v>Responsible Cautious</v>
      </c>
      <c r="B13" s="6"/>
      <c r="C13" s="6">
        <f>IFERROR(IF(A13="","",SUM('Asset Allocation'!B13)/'Broad Asset Allocation'!B13),0)</f>
        <v>0</v>
      </c>
      <c r="D13" s="6"/>
      <c r="E13" s="6"/>
      <c r="F13" s="6"/>
      <c r="G13" s="6">
        <f>IFERROR(IF(A13="","",SUM('Asset Allocation'!D13)/'Broad Asset Allocation'!B13),0)</f>
        <v>0</v>
      </c>
      <c r="H13" s="6">
        <f>IFERROR(IF(A13="","",SUM('Asset Allocation'!C13,'Asset Allocation'!E13,'Asset Allocation'!F13)/'Broad Asset Allocation'!B13),0)</f>
        <v>0</v>
      </c>
    </row>
    <row r="14" spans="1:8" x14ac:dyDescent="0.25">
      <c r="A14" t="str">
        <f>IF(Input!A15="","",Input!A15)</f>
        <v>Responsible Balanced</v>
      </c>
      <c r="B14" s="6"/>
      <c r="C14" s="6">
        <f>IFERROR(IF(A14="","",SUM('Asset Allocation'!B14)/'Broad Asset Allocation'!B14),0)</f>
        <v>0</v>
      </c>
      <c r="D14" s="6"/>
      <c r="E14" s="6"/>
      <c r="F14" s="6"/>
      <c r="G14" s="6">
        <f>IFERROR(IF(A14="","",SUM('Asset Allocation'!D14)/'Broad Asset Allocation'!B14),0)</f>
        <v>0</v>
      </c>
      <c r="H14" s="6">
        <f>IFERROR(IF(A14="","",SUM('Asset Allocation'!C14,'Asset Allocation'!E14,'Asset Allocation'!F14)/'Broad Asset Allocation'!B14),0)</f>
        <v>0</v>
      </c>
    </row>
    <row r="15" spans="1:8" x14ac:dyDescent="0.25">
      <c r="A15" t="str">
        <f>IF(Input!A16="","",Input!A16)</f>
        <v>Responsible Steady Growth</v>
      </c>
      <c r="B15" s="6"/>
      <c r="C15" s="6">
        <f>IFERROR(IF(A15="","",SUM('Asset Allocation'!B15)/'Broad Asset Allocation'!B15),0)</f>
        <v>0</v>
      </c>
      <c r="D15" s="6"/>
      <c r="E15" s="6"/>
      <c r="F15" s="6"/>
      <c r="G15" s="6">
        <f>IFERROR(IF(A15="","",SUM('Asset Allocation'!D15)/'Broad Asset Allocation'!B15),0)</f>
        <v>0</v>
      </c>
      <c r="H15" s="6">
        <f>IFERROR(IF(A15="","",SUM('Asset Allocation'!C15,'Asset Allocation'!E15,'Asset Allocation'!F15)/'Broad Asset Allocation'!B15),0)</f>
        <v>0</v>
      </c>
    </row>
    <row r="16" spans="1:8" x14ac:dyDescent="0.25">
      <c r="A16" t="str">
        <f>IF(Input!A17="","",Input!A17)</f>
        <v>Responsible Growth</v>
      </c>
      <c r="B16" s="6"/>
      <c r="C16" s="6">
        <f>IFERROR(IF(A16="","",SUM('Asset Allocation'!B16)/'Broad Asset Allocation'!B16),0)</f>
        <v>0</v>
      </c>
      <c r="D16" s="6"/>
      <c r="E16" s="6"/>
      <c r="F16" s="6"/>
      <c r="G16" s="6">
        <f>IFERROR(IF(A16="","",SUM('Asset Allocation'!D16)/'Broad Asset Allocation'!B16),0)</f>
        <v>0</v>
      </c>
      <c r="H16" s="6">
        <f>IFERROR(IF(A16="","",SUM('Asset Allocation'!C16,'Asset Allocation'!E16,'Asset Allocation'!F16)/'Broad Asset Allocation'!B16),0)</f>
        <v>0</v>
      </c>
    </row>
    <row r="17" spans="1:8" x14ac:dyDescent="0.25">
      <c r="A17" t="str">
        <f>IF(Input!A18="","",Input!A18)</f>
        <v/>
      </c>
      <c r="B17" s="6"/>
      <c r="C17" s="6" t="str">
        <f>IFERROR(IF(A17="","",SUM('Asset Allocation'!B17)/'Broad Asset Allocation'!B17),0)</f>
        <v/>
      </c>
      <c r="D17" s="6"/>
      <c r="E17" s="6"/>
      <c r="F17" s="6"/>
      <c r="G17" s="6" t="str">
        <f>IFERROR(IF(A17="","",SUM('Asset Allocation'!D17)/'Broad Asset Allocation'!B17),0)</f>
        <v/>
      </c>
      <c r="H17" s="6" t="str">
        <f>IFERROR(IF(A17="","",SUM('Asset Allocation'!C17,'Asset Allocation'!E17,'Asset Allocation'!F17)/'Broad Asset Allocation'!B17),0)</f>
        <v/>
      </c>
    </row>
    <row r="18" spans="1:8" x14ac:dyDescent="0.25">
      <c r="A18" t="str">
        <f>IF(Input!A19="","",Input!A19)</f>
        <v/>
      </c>
      <c r="B18" s="6"/>
      <c r="C18" s="6" t="str">
        <f>IFERROR(IF(A18="","",SUM('Asset Allocation'!B18)/'Broad Asset Allocation'!B18),0)</f>
        <v/>
      </c>
      <c r="D18" s="6"/>
      <c r="E18" s="6"/>
      <c r="F18" s="6"/>
      <c r="G18" s="6" t="str">
        <f>IFERROR(IF(A18="","",SUM('Asset Allocation'!D18)/'Broad Asset Allocation'!B18),0)</f>
        <v/>
      </c>
      <c r="H18" s="6" t="str">
        <f>IFERROR(IF(A18="","",SUM('Asset Allocation'!C18,'Asset Allocation'!E18,'Asset Allocation'!F18)/'Broad Asset Allocation'!B18),0)</f>
        <v/>
      </c>
    </row>
    <row r="19" spans="1:8" x14ac:dyDescent="0.25">
      <c r="A19" t="str">
        <f>IF(Input!A20="","",Input!A20)</f>
        <v/>
      </c>
      <c r="B19" s="6"/>
      <c r="C19" s="6" t="str">
        <f>IFERROR(IF(A19="","",SUM('Asset Allocation'!B19)/'Broad Asset Allocation'!B19),0)</f>
        <v/>
      </c>
      <c r="D19" s="6"/>
      <c r="E19" s="6"/>
      <c r="F19" s="6"/>
      <c r="G19" s="6" t="str">
        <f>IFERROR(IF(A19="","",SUM('Asset Allocation'!D19)/'Broad Asset Allocation'!B19),0)</f>
        <v/>
      </c>
      <c r="H19" s="6" t="str">
        <f>IFERROR(IF(A19="","",SUM('Asset Allocation'!C19,'Asset Allocation'!E19,'Asset Allocation'!F19)/'Broad Asset Allocation'!B19),0)</f>
        <v/>
      </c>
    </row>
    <row r="20" spans="1:8" x14ac:dyDescent="0.25">
      <c r="A20" t="str">
        <f>IF(Input!A21="","",Input!A21)</f>
        <v/>
      </c>
      <c r="B20" s="6"/>
      <c r="C20" s="6" t="str">
        <f>IFERROR(IF(A20="","",SUM('Asset Allocation'!B20)/'Broad Asset Allocation'!B20),0)</f>
        <v/>
      </c>
      <c r="D20" s="6"/>
      <c r="E20" s="6"/>
      <c r="F20" s="6"/>
      <c r="G20" s="6" t="str">
        <f>IFERROR(IF(A20="","",SUM('Asset Allocation'!D20)/'Broad Asset Allocation'!B20),0)</f>
        <v/>
      </c>
      <c r="H20" s="6" t="str">
        <f>IFERROR(IF(A20="","",SUM('Asset Allocation'!C20,'Asset Allocation'!E20,'Asset Allocation'!F20)/'Broad Asset Allocation'!B20),0)</f>
        <v/>
      </c>
    </row>
    <row r="21" spans="1:8" x14ac:dyDescent="0.25">
      <c r="A21" t="str">
        <f>IF(Input!A22="","",Input!A22)</f>
        <v/>
      </c>
      <c r="B21" s="6"/>
      <c r="C21" s="6" t="str">
        <f>IFERROR(IF(A21="","",SUM('Asset Allocation'!B21)/'Broad Asset Allocation'!B21),0)</f>
        <v/>
      </c>
      <c r="D21" s="6"/>
      <c r="E21" s="6"/>
      <c r="F21" s="6"/>
      <c r="G21" s="6" t="str">
        <f>IFERROR(IF(A21="","",SUM('Asset Allocation'!D21)/'Broad Asset Allocation'!B21),0)</f>
        <v/>
      </c>
      <c r="H21" s="6" t="str">
        <f>IFERROR(IF(A21="","",SUM('Asset Allocation'!C21,'Asset Allocation'!E21,'Asset Allocation'!F21)/'Broad Asset Allocation'!B21),0)</f>
        <v/>
      </c>
    </row>
    <row r="22" spans="1:8" x14ac:dyDescent="0.25">
      <c r="A22" t="str">
        <f>IF(Input!A23="","",Input!A23)</f>
        <v/>
      </c>
      <c r="B22" s="6"/>
      <c r="C22" s="6" t="str">
        <f>IFERROR(IF(A22="","",SUM('Asset Allocation'!B22)/'Broad Asset Allocation'!B22),0)</f>
        <v/>
      </c>
      <c r="D22" s="6"/>
      <c r="E22" s="6"/>
      <c r="F22" s="6"/>
      <c r="G22" s="6" t="str">
        <f>IFERROR(IF(A22="","",SUM('Asset Allocation'!D22)/'Broad Asset Allocation'!B22),0)</f>
        <v/>
      </c>
      <c r="H22" s="6" t="str">
        <f>IFERROR(IF(A22="","",SUM('Asset Allocation'!C22,'Asset Allocation'!E22,'Asset Allocation'!F22)/'Broad Asset Allocation'!B22),0)</f>
        <v/>
      </c>
    </row>
    <row r="23" spans="1:8" x14ac:dyDescent="0.25">
      <c r="A23" t="str">
        <f>IF(Input!A24="","",Input!A24)</f>
        <v/>
      </c>
      <c r="B23" s="6"/>
      <c r="C23" s="6" t="str">
        <f>IFERROR(IF(A23="","",SUM('Asset Allocation'!B23)/'Broad Asset Allocation'!B23),0)</f>
        <v/>
      </c>
      <c r="D23" s="6"/>
      <c r="E23" s="6"/>
      <c r="F23" s="6"/>
      <c r="G23" s="6" t="str">
        <f>IFERROR(IF(A23="","",SUM('Asset Allocation'!D23)/'Broad Asset Allocation'!B23),0)</f>
        <v/>
      </c>
      <c r="H23" s="6" t="str">
        <f>IFERROR(IF(A23="","",SUM('Asset Allocation'!C23,'Asset Allocation'!E23,'Asset Allocation'!F23)/'Broad Asset Allocation'!B23),0)</f>
        <v/>
      </c>
    </row>
    <row r="24" spans="1:8" x14ac:dyDescent="0.25">
      <c r="A24" t="str">
        <f>IF(Input!A25="","",Input!A25)</f>
        <v/>
      </c>
      <c r="B24" s="6"/>
      <c r="C24" s="6" t="str">
        <f>IFERROR(IF(A24="","",SUM('Asset Allocation'!B24)/'Broad Asset Allocation'!B24),0)</f>
        <v/>
      </c>
      <c r="D24" s="6"/>
      <c r="E24" s="6"/>
      <c r="F24" s="6"/>
      <c r="G24" s="6" t="str">
        <f>IFERROR(IF(A24="","",SUM('Asset Allocation'!D24)/'Broad Asset Allocation'!B24),0)</f>
        <v/>
      </c>
      <c r="H24" s="6" t="str">
        <f>IFERROR(IF(A24="","",SUM('Asset Allocation'!C24,'Asset Allocation'!E24,'Asset Allocation'!F24)/'Broad Asset Allocation'!B24),0)</f>
        <v/>
      </c>
    </row>
    <row r="25" spans="1:8" x14ac:dyDescent="0.25">
      <c r="A25" t="str">
        <f>IF(Input!A26="","",Input!A26)</f>
        <v/>
      </c>
      <c r="B25" s="6"/>
      <c r="C25" s="6" t="str">
        <f>IFERROR(IF(A25="","",SUM('Asset Allocation'!B25)/'Broad Asset Allocation'!B25),0)</f>
        <v/>
      </c>
      <c r="D25" s="6"/>
      <c r="E25" s="6"/>
      <c r="F25" s="6"/>
      <c r="G25" s="6" t="str">
        <f>IFERROR(IF(A25="","",SUM('Asset Allocation'!D25)/'Broad Asset Allocation'!B25),0)</f>
        <v/>
      </c>
      <c r="H25" s="6" t="str">
        <f>IFERROR(IF(A25="","",SUM('Asset Allocation'!C25,'Asset Allocation'!E25,'Asset Allocation'!F25)/'Broad Asset Allocation'!B25),0)</f>
        <v/>
      </c>
    </row>
    <row r="26" spans="1:8" x14ac:dyDescent="0.25">
      <c r="A26" t="str">
        <f>IF(Input!A27="","",Input!A27)</f>
        <v/>
      </c>
      <c r="B26" s="6"/>
      <c r="C26" s="6" t="str">
        <f>IFERROR(IF(A26="","",SUM('Asset Allocation'!B26)/'Broad Asset Allocation'!B26),0)</f>
        <v/>
      </c>
      <c r="D26" s="6"/>
      <c r="E26" s="6"/>
      <c r="F26" s="6"/>
      <c r="G26" s="6" t="str">
        <f>IFERROR(IF(A26="","",SUM('Asset Allocation'!D26)/'Broad Asset Allocation'!B26),0)</f>
        <v/>
      </c>
      <c r="H26" s="6" t="str">
        <f>IFERROR(IF(A26="","",SUM('Asset Allocation'!C26,'Asset Allocation'!E26,'Asset Allocation'!F26)/'Broad Asset Allocation'!B26),0)</f>
        <v/>
      </c>
    </row>
    <row r="27" spans="1:8" x14ac:dyDescent="0.25">
      <c r="A27" t="str">
        <f>IF(Input!A28="","",Input!A28)</f>
        <v/>
      </c>
      <c r="B27" s="6"/>
      <c r="C27" s="6" t="str">
        <f>IFERROR(IF(A27="","",SUM('Asset Allocation'!B27)/'Broad Asset Allocation'!B27),0)</f>
        <v/>
      </c>
      <c r="D27" s="6"/>
      <c r="E27" s="6"/>
      <c r="F27" s="6"/>
      <c r="G27" s="6" t="str">
        <f>IFERROR(IF(A27="","",SUM('Asset Allocation'!D27)/'Broad Asset Allocation'!B27),0)</f>
        <v/>
      </c>
      <c r="H27" s="6" t="str">
        <f>IFERROR(IF(A27="","",SUM('Asset Allocation'!C27,'Asset Allocation'!E27,'Asset Allocation'!F27)/'Broad Asset Allocation'!B27),0)</f>
        <v/>
      </c>
    </row>
    <row r="28" spans="1:8" x14ac:dyDescent="0.25">
      <c r="A28" t="str">
        <f>IF(Input!A29="","",Input!A29)</f>
        <v/>
      </c>
      <c r="B28" s="6"/>
      <c r="C28" s="6" t="str">
        <f>IFERROR(IF(A28="","",SUM('Asset Allocation'!B28)/'Broad Asset Allocation'!B28),0)</f>
        <v/>
      </c>
      <c r="D28" s="6"/>
      <c r="E28" s="6"/>
      <c r="F28" s="6"/>
      <c r="G28" s="6" t="str">
        <f>IFERROR(IF(A28="","",SUM('Asset Allocation'!D28)/'Broad Asset Allocation'!B28),0)</f>
        <v/>
      </c>
      <c r="H28" s="6" t="str">
        <f>IFERROR(IF(A28="","",SUM('Asset Allocation'!C28,'Asset Allocation'!E28,'Asset Allocation'!F28)/'Broad Asset Allocation'!B28),0)</f>
        <v/>
      </c>
    </row>
    <row r="29" spans="1:8" x14ac:dyDescent="0.25">
      <c r="A29" t="str">
        <f>IF(Input!A30="","",Input!A30)</f>
        <v/>
      </c>
      <c r="B29" s="6"/>
      <c r="C29" s="6" t="str">
        <f>IFERROR(IF(A29="","",SUM('Asset Allocation'!B29)/'Broad Asset Allocation'!B29),0)</f>
        <v/>
      </c>
      <c r="D29" s="6"/>
      <c r="E29" s="6"/>
      <c r="F29" s="6"/>
      <c r="G29" s="6" t="str">
        <f>IFERROR(IF(A29="","",SUM('Asset Allocation'!D29)/'Broad Asset Allocation'!B29),0)</f>
        <v/>
      </c>
      <c r="H29" s="6" t="str">
        <f>IFERROR(IF(A29="","",SUM('Asset Allocation'!C29,'Asset Allocation'!E29,'Asset Allocation'!F29)/'Broad Asset Allocation'!B29),0)</f>
        <v/>
      </c>
    </row>
    <row r="30" spans="1:8" x14ac:dyDescent="0.25">
      <c r="A30" t="str">
        <f>IF(Input!A31="","",Input!A31)</f>
        <v/>
      </c>
      <c r="B30" s="6"/>
      <c r="C30" s="6" t="str">
        <f>IFERROR(IF(A30="","",SUM('Asset Allocation'!B30)/'Broad Asset Allocation'!B30),0)</f>
        <v/>
      </c>
      <c r="D30" s="6"/>
      <c r="E30" s="6"/>
      <c r="F30" s="6"/>
      <c r="G30" s="6" t="str">
        <f>IFERROR(IF(A30="","",SUM('Asset Allocation'!D30)/'Broad Asset Allocation'!B30),0)</f>
        <v/>
      </c>
      <c r="H30" s="6" t="str">
        <f>IFERROR(IF(A30="","",SUM('Asset Allocation'!C30,'Asset Allocation'!E30,'Asset Allocation'!F30)/'Broad Asset Allocation'!B30),0)</f>
        <v/>
      </c>
    </row>
    <row r="31" spans="1:8" x14ac:dyDescent="0.25">
      <c r="A31" t="str">
        <f>IF(Input!A32="","",Input!A32)</f>
        <v/>
      </c>
      <c r="B31" s="6"/>
      <c r="C31" s="6" t="str">
        <f>IFERROR(IF(A31="","",SUM('Asset Allocation'!B31)/'Broad Asset Allocation'!B31),0)</f>
        <v/>
      </c>
      <c r="D31" s="6"/>
      <c r="E31" s="6"/>
      <c r="F31" s="6"/>
      <c r="G31" s="6" t="str">
        <f>IFERROR(IF(A31="","",SUM('Asset Allocation'!D31)/'Broad Asset Allocation'!B31),0)</f>
        <v/>
      </c>
      <c r="H31" s="6" t="str">
        <f>IFERROR(IF(A31="","",SUM('Asset Allocation'!C31,'Asset Allocation'!E31,'Asset Allocation'!F31)/'Broad Asset Allocation'!B31),0)</f>
        <v/>
      </c>
    </row>
    <row r="32" spans="1:8" x14ac:dyDescent="0.25">
      <c r="A32" t="str">
        <f>IF(Input!A33="","",Input!A33)</f>
        <v/>
      </c>
      <c r="B32" s="6"/>
      <c r="C32" s="6" t="str">
        <f>IFERROR(IF(A32="","",SUM('Asset Allocation'!B32)/'Broad Asset Allocation'!B32),0)</f>
        <v/>
      </c>
      <c r="D32" s="6"/>
      <c r="E32" s="6"/>
      <c r="F32" s="6"/>
      <c r="G32" s="6" t="str">
        <f>IFERROR(IF(A32="","",SUM('Asset Allocation'!D32)/'Broad Asset Allocation'!B32),0)</f>
        <v/>
      </c>
      <c r="H32" s="6" t="str">
        <f>IFERROR(IF(A32="","",SUM('Asset Allocation'!C32,'Asset Allocation'!E32,'Asset Allocation'!F32)/'Broad Asset Allocation'!B32),0)</f>
        <v/>
      </c>
    </row>
    <row r="33" spans="1:8" x14ac:dyDescent="0.25">
      <c r="A33" t="str">
        <f>IF(Input!A34="","",Input!A34)</f>
        <v/>
      </c>
      <c r="B33" s="6"/>
      <c r="C33" s="6" t="str">
        <f>IFERROR(IF(A33="","",SUM('Asset Allocation'!B33)/'Broad Asset Allocation'!B33),0)</f>
        <v/>
      </c>
      <c r="D33" s="6"/>
      <c r="E33" s="6"/>
      <c r="F33" s="6"/>
      <c r="G33" s="6" t="str">
        <f>IFERROR(IF(A33="","",SUM('Asset Allocation'!D33)/'Broad Asset Allocation'!B33),0)</f>
        <v/>
      </c>
      <c r="H33" s="6" t="str">
        <f>IFERROR(IF(A33="","",SUM('Asset Allocation'!C33,'Asset Allocation'!E33,'Asset Allocation'!F33)/'Broad Asset Allocation'!B33),0)</f>
        <v/>
      </c>
    </row>
    <row r="34" spans="1:8" x14ac:dyDescent="0.25">
      <c r="A34" t="str">
        <f>IF(Input!A35="","",Input!A35)</f>
        <v/>
      </c>
      <c r="B34" s="6"/>
      <c r="C34" s="6" t="str">
        <f>IFERROR(IF(A34="","",SUM('Asset Allocation'!B34)/'Broad Asset Allocation'!B34),0)</f>
        <v/>
      </c>
      <c r="D34" s="6"/>
      <c r="E34" s="6"/>
      <c r="F34" s="6"/>
      <c r="G34" s="6" t="str">
        <f>IFERROR(IF(A34="","",SUM('Asset Allocation'!D34)/'Broad Asset Allocation'!B34),0)</f>
        <v/>
      </c>
      <c r="H34" s="6" t="str">
        <f>IFERROR(IF(A34="","",SUM('Asset Allocation'!C34,'Asset Allocation'!E34,'Asset Allocation'!F34)/'Broad Asset Allocation'!B34),0)</f>
        <v/>
      </c>
    </row>
    <row r="35" spans="1:8" x14ac:dyDescent="0.25">
      <c r="A35" t="str">
        <f>IF(Input!A36="","",Input!A36)</f>
        <v/>
      </c>
      <c r="B35" s="6"/>
      <c r="C35" s="6" t="str">
        <f>IFERROR(IF(A35="","",SUM('Asset Allocation'!B35)/'Broad Asset Allocation'!B35),0)</f>
        <v/>
      </c>
      <c r="D35" s="6"/>
      <c r="E35" s="6"/>
      <c r="F35" s="6"/>
      <c r="G35" s="6" t="str">
        <f>IFERROR(IF(A35="","",SUM('Asset Allocation'!D35)/'Broad Asset Allocation'!B35),0)</f>
        <v/>
      </c>
      <c r="H35" s="6" t="str">
        <f>IFERROR(IF(A35="","",SUM('Asset Allocation'!C35,'Asset Allocation'!E35,'Asset Allocation'!F35)/'Broad Asset Allocation'!B35),0)</f>
        <v/>
      </c>
    </row>
    <row r="36" spans="1:8" x14ac:dyDescent="0.25">
      <c r="A36" t="str">
        <f>IF(Input!A37="","",Input!A37)</f>
        <v/>
      </c>
      <c r="B36" s="6"/>
      <c r="C36" s="6" t="str">
        <f>IFERROR(IF(A36="","",SUM('Asset Allocation'!B36)/'Broad Asset Allocation'!B36),0)</f>
        <v/>
      </c>
      <c r="D36" s="6"/>
      <c r="E36" s="6"/>
      <c r="F36" s="6"/>
      <c r="G36" s="6" t="str">
        <f>IFERROR(IF(A36="","",SUM('Asset Allocation'!D36)/'Broad Asset Allocation'!B36),0)</f>
        <v/>
      </c>
      <c r="H36" s="6" t="str">
        <f>IFERROR(IF(A36="","",SUM('Asset Allocation'!C36,'Asset Allocation'!E36,'Asset Allocation'!F36)/'Broad Asset Allocation'!B36),0)</f>
        <v/>
      </c>
    </row>
    <row r="37" spans="1:8" x14ac:dyDescent="0.25">
      <c r="A37" t="str">
        <f>IF(Input!A38="","",Input!A38)</f>
        <v/>
      </c>
      <c r="B37" s="6"/>
      <c r="C37" s="6" t="str">
        <f>IFERROR(IF(A37="","",SUM('Asset Allocation'!B37)/'Broad Asset Allocation'!B37),0)</f>
        <v/>
      </c>
      <c r="D37" s="6"/>
      <c r="E37" s="6"/>
      <c r="F37" s="6"/>
      <c r="G37" s="6" t="str">
        <f>IFERROR(IF(A37="","",SUM('Asset Allocation'!D37)/'Broad Asset Allocation'!B37),0)</f>
        <v/>
      </c>
      <c r="H37" s="6" t="str">
        <f>IFERROR(IF(A37="","",SUM('Asset Allocation'!C37,'Asset Allocation'!E37,'Asset Allocation'!F37)/'Broad Asset Allocation'!B37),0)</f>
        <v/>
      </c>
    </row>
    <row r="38" spans="1:8" x14ac:dyDescent="0.25">
      <c r="A38" t="str">
        <f>IF(Input!A39="","",Input!A39)</f>
        <v/>
      </c>
      <c r="B38" s="6"/>
      <c r="C38" s="6" t="str">
        <f>IFERROR(IF(A38="","",SUM('Asset Allocation'!B38)/'Broad Asset Allocation'!B38),0)</f>
        <v/>
      </c>
      <c r="D38" s="6"/>
      <c r="E38" s="6"/>
      <c r="F38" s="6"/>
      <c r="G38" s="6" t="str">
        <f>IFERROR(IF(A38="","",SUM('Asset Allocation'!D38)/'Broad Asset Allocation'!B38),0)</f>
        <v/>
      </c>
      <c r="H38" s="6" t="str">
        <f>IFERROR(IF(A38="","",SUM('Asset Allocation'!C38,'Asset Allocation'!E38,'Asset Allocation'!F38)/'Broad Asset Allocation'!B38),0)</f>
        <v/>
      </c>
    </row>
    <row r="39" spans="1:8" x14ac:dyDescent="0.25">
      <c r="A39" t="str">
        <f>IF(Input!A40="","",Input!A40)</f>
        <v/>
      </c>
      <c r="B39" s="6"/>
      <c r="C39" s="6" t="str">
        <f>IFERROR(IF(A39="","",SUM('Asset Allocation'!B39)/'Broad Asset Allocation'!B39),0)</f>
        <v/>
      </c>
      <c r="D39" s="6"/>
      <c r="E39" s="6"/>
      <c r="F39" s="6"/>
      <c r="G39" s="6" t="str">
        <f>IFERROR(IF(A39="","",SUM('Asset Allocation'!D39)/'Broad Asset Allocation'!B39),0)</f>
        <v/>
      </c>
      <c r="H39" s="6" t="str">
        <f>IFERROR(IF(A39="","",SUM('Asset Allocation'!C39,'Asset Allocation'!E39,'Asset Allocation'!F39)/'Broad Asset Allocation'!B39),0)</f>
        <v/>
      </c>
    </row>
    <row r="40" spans="1:8" x14ac:dyDescent="0.25">
      <c r="A40" t="str">
        <f>IF(Input!A41="","",Input!A41)</f>
        <v/>
      </c>
      <c r="B40" s="6"/>
      <c r="C40" s="6" t="str">
        <f>IFERROR(IF(A40="","",SUM('Asset Allocation'!B40)/'Broad Asset Allocation'!B40),0)</f>
        <v/>
      </c>
      <c r="D40" s="6"/>
      <c r="E40" s="6"/>
      <c r="F40" s="6"/>
      <c r="G40" s="6" t="str">
        <f>IFERROR(IF(A40="","",SUM('Asset Allocation'!D40)/'Broad Asset Allocation'!B40),0)</f>
        <v/>
      </c>
      <c r="H40" s="6" t="str">
        <f>IFERROR(IF(A40="","",SUM('Asset Allocation'!C40,'Asset Allocation'!E40,'Asset Allocation'!F40)/'Broad Asset Allocation'!B40),0)</f>
        <v/>
      </c>
    </row>
    <row r="41" spans="1:8" x14ac:dyDescent="0.25">
      <c r="A41" t="str">
        <f>IF(Input!A42="","",Input!A42)</f>
        <v/>
      </c>
      <c r="B41" s="6"/>
      <c r="C41" s="6" t="str">
        <f>IFERROR(IF(A41="","",SUM('Asset Allocation'!B41)/'Broad Asset Allocation'!B41),0)</f>
        <v/>
      </c>
      <c r="D41" s="6"/>
      <c r="E41" s="6"/>
      <c r="F41" s="6"/>
      <c r="G41" s="6" t="str">
        <f>IFERROR(IF(A41="","",SUM('Asset Allocation'!D41)/'Broad Asset Allocation'!B41),0)</f>
        <v/>
      </c>
      <c r="H41" s="6" t="str">
        <f>IFERROR(IF(A41="","",SUM('Asset Allocation'!C41,'Asset Allocation'!E41,'Asset Allocation'!F41)/'Broad Asset Allocation'!B41),0)</f>
        <v/>
      </c>
    </row>
    <row r="42" spans="1:8" x14ac:dyDescent="0.25">
      <c r="A42" t="str">
        <f>IF(Input!A43="","",Input!A43)</f>
        <v/>
      </c>
      <c r="B42" s="6"/>
      <c r="C42" s="6" t="str">
        <f>IFERROR(IF(A42="","",SUM('Asset Allocation'!B42)/'Broad Asset Allocation'!B42),0)</f>
        <v/>
      </c>
      <c r="D42" s="6"/>
      <c r="E42" s="6"/>
      <c r="F42" s="6"/>
      <c r="G42" s="6" t="str">
        <f>IFERROR(IF(A42="","",SUM('Asset Allocation'!D42)/'Broad Asset Allocation'!B42),0)</f>
        <v/>
      </c>
      <c r="H42" s="6" t="str">
        <f>IFERROR(IF(A42="","",SUM('Asset Allocation'!C42,'Asset Allocation'!E42,'Asset Allocation'!F42)/'Broad Asset Allocation'!B42),0)</f>
        <v/>
      </c>
    </row>
    <row r="43" spans="1:8" x14ac:dyDescent="0.25">
      <c r="A43" t="str">
        <f>IF(Input!A44="","",Input!A44)</f>
        <v/>
      </c>
      <c r="B43" s="6"/>
      <c r="C43" s="6" t="str">
        <f>IFERROR(IF(A43="","",SUM('Asset Allocation'!B43)/'Broad Asset Allocation'!B43),0)</f>
        <v/>
      </c>
      <c r="D43" s="6"/>
      <c r="E43" s="6"/>
      <c r="F43" s="6"/>
      <c r="G43" s="6" t="str">
        <f>IFERROR(IF(A43="","",SUM('Asset Allocation'!D43)/'Broad Asset Allocation'!B43),0)</f>
        <v/>
      </c>
      <c r="H43" s="6" t="str">
        <f>IFERROR(IF(A43="","",SUM('Asset Allocation'!C43,'Asset Allocation'!E43,'Asset Allocation'!F43)/'Broad Asset Allocation'!B43),0)</f>
        <v/>
      </c>
    </row>
    <row r="44" spans="1:8" x14ac:dyDescent="0.25">
      <c r="A44" t="str">
        <f>IF(Input!A45="","",Input!A45)</f>
        <v/>
      </c>
      <c r="B44" s="6"/>
      <c r="C44" s="6" t="str">
        <f>IFERROR(IF(A44="","",SUM('Asset Allocation'!B44)/'Broad Asset Allocation'!B44),0)</f>
        <v/>
      </c>
      <c r="D44" s="6"/>
      <c r="E44" s="6"/>
      <c r="F44" s="6"/>
      <c r="G44" s="6" t="str">
        <f>IFERROR(IF(A44="","",SUM('Asset Allocation'!D44)/'Broad Asset Allocation'!B44),0)</f>
        <v/>
      </c>
      <c r="H44" s="6" t="str">
        <f>IFERROR(IF(A44="","",SUM('Asset Allocation'!C44,'Asset Allocation'!E44,'Asset Allocation'!F44)/'Broad Asset Allocation'!B44),0)</f>
        <v/>
      </c>
    </row>
    <row r="45" spans="1:8" x14ac:dyDescent="0.25">
      <c r="A45" t="str">
        <f>IF(Input!A46="","",Input!A46)</f>
        <v/>
      </c>
      <c r="B45" s="6"/>
      <c r="C45" s="6" t="str">
        <f>IFERROR(IF(A45="","",SUM('Asset Allocation'!B45)/'Broad Asset Allocation'!B45),0)</f>
        <v/>
      </c>
      <c r="D45" s="6"/>
      <c r="E45" s="6"/>
      <c r="F45" s="6"/>
      <c r="G45" s="6" t="str">
        <f>IFERROR(IF(A45="","",SUM('Asset Allocation'!D45)/'Broad Asset Allocation'!B45),0)</f>
        <v/>
      </c>
      <c r="H45" s="6" t="str">
        <f>IFERROR(IF(A45="","",SUM('Asset Allocation'!C45,'Asset Allocation'!E45,'Asset Allocation'!F45)/'Broad Asset Allocation'!B45),0)</f>
        <v/>
      </c>
    </row>
    <row r="46" spans="1:8" x14ac:dyDescent="0.25">
      <c r="A46" t="str">
        <f>IF(Input!A47="","",Input!A47)</f>
        <v/>
      </c>
      <c r="B46" s="6"/>
      <c r="C46" s="6" t="str">
        <f>IFERROR(IF(A46="","",SUM('Asset Allocation'!B46)/'Broad Asset Allocation'!B46),0)</f>
        <v/>
      </c>
      <c r="D46" s="6"/>
      <c r="E46" s="6"/>
      <c r="F46" s="6"/>
      <c r="G46" s="6" t="str">
        <f>IFERROR(IF(A46="","",SUM('Asset Allocation'!D46)/'Broad Asset Allocation'!B46),0)</f>
        <v/>
      </c>
      <c r="H46" s="6" t="str">
        <f>IFERROR(IF(A46="","",SUM('Asset Allocation'!C46,'Asset Allocation'!E46,'Asset Allocation'!F46)/'Broad Asset Allocation'!B46),0)</f>
        <v/>
      </c>
    </row>
    <row r="47" spans="1:8" x14ac:dyDescent="0.25">
      <c r="A47" t="str">
        <f>IF(Input!A48="","",Input!A48)</f>
        <v/>
      </c>
      <c r="B47" s="6"/>
      <c r="C47" s="6" t="str">
        <f>IFERROR(IF(A47="","",SUM('Asset Allocation'!B47)/'Broad Asset Allocation'!B47),0)</f>
        <v/>
      </c>
      <c r="D47" s="6"/>
      <c r="E47" s="6"/>
      <c r="F47" s="6"/>
      <c r="G47" s="6" t="str">
        <f>IFERROR(IF(A47="","",SUM('Asset Allocation'!D47)/'Broad Asset Allocation'!B47),0)</f>
        <v/>
      </c>
      <c r="H47" s="6" t="str">
        <f>IFERROR(IF(A47="","",SUM('Asset Allocation'!C47,'Asset Allocation'!E47,'Asset Allocation'!F47)/'Broad Asset Allocation'!B47),0)</f>
        <v/>
      </c>
    </row>
    <row r="48" spans="1:8" x14ac:dyDescent="0.25">
      <c r="A48" t="str">
        <f>IF(Input!A49="","",Input!A49)</f>
        <v/>
      </c>
      <c r="B48" s="6"/>
      <c r="C48" s="6" t="str">
        <f>IFERROR(IF(A48="","",SUM('Asset Allocation'!B48)/'Broad Asset Allocation'!B48),0)</f>
        <v/>
      </c>
      <c r="D48" s="6"/>
      <c r="E48" s="6"/>
      <c r="F48" s="6"/>
      <c r="G48" s="6" t="str">
        <f>IFERROR(IF(A48="","",SUM('Asset Allocation'!D48)/'Broad Asset Allocation'!B48),0)</f>
        <v/>
      </c>
      <c r="H48" s="6" t="str">
        <f>IFERROR(IF(A48="","",SUM('Asset Allocation'!C48,'Asset Allocation'!E48,'Asset Allocation'!F48)/'Broad Asset Allocation'!B48),0)</f>
        <v/>
      </c>
    </row>
    <row r="49" spans="1:8" x14ac:dyDescent="0.25">
      <c r="A49" t="str">
        <f>IF(Input!A50="","",Input!A50)</f>
        <v/>
      </c>
      <c r="B49" s="6"/>
      <c r="C49" s="6" t="str">
        <f>IFERROR(IF(A49="","",SUM('Asset Allocation'!B49)/'Broad Asset Allocation'!B49),0)</f>
        <v/>
      </c>
      <c r="D49" s="6"/>
      <c r="E49" s="6"/>
      <c r="F49" s="6"/>
      <c r="G49" s="6" t="str">
        <f>IFERROR(IF(A49="","",SUM('Asset Allocation'!D49)/'Broad Asset Allocation'!B49),0)</f>
        <v/>
      </c>
      <c r="H49" s="6" t="str">
        <f>IFERROR(IF(A49="","",SUM('Asset Allocation'!C49,'Asset Allocation'!E49,'Asset Allocation'!F49)/'Broad Asset Allocation'!B49),0)</f>
        <v/>
      </c>
    </row>
    <row r="50" spans="1:8" x14ac:dyDescent="0.25">
      <c r="A50" t="str">
        <f>IF(Input!A51="","",Input!A51)</f>
        <v/>
      </c>
      <c r="B50" s="6"/>
      <c r="C50" s="6" t="str">
        <f>IFERROR(IF(A50="","",SUM('Asset Allocation'!B50)/'Broad Asset Allocation'!B50),0)</f>
        <v/>
      </c>
      <c r="D50" s="6"/>
      <c r="E50" s="6"/>
      <c r="F50" s="6"/>
      <c r="G50" s="6" t="str">
        <f>IFERROR(IF(A50="","",SUM('Asset Allocation'!D50)/'Broad Asset Allocation'!B50),0)</f>
        <v/>
      </c>
      <c r="H50" s="6" t="str">
        <f>IFERROR(IF(A50="","",SUM('Asset Allocation'!C50,'Asset Allocation'!E50,'Asset Allocation'!F50)/'Broad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70</v>
      </c>
      <c r="F1" t="s">
        <v>64</v>
      </c>
      <c r="G1" t="s">
        <v>16</v>
      </c>
      <c r="H1" t="s">
        <v>65</v>
      </c>
    </row>
    <row r="2" spans="1:8" x14ac:dyDescent="0.25">
      <c r="A2" t="str">
        <f>IF(Input!A3="","",Input!A3)</f>
        <v>Dynamic Defensive</v>
      </c>
      <c r="F2">
        <f>IFERROR(IF(A2="","",SUM('Asset Allocation'!J2)/'Broad Asset Allocation'!C2),0)</f>
        <v>0</v>
      </c>
      <c r="H2">
        <f>IFERROR(IF(A2="","",SUM('Asset Allocation'!H2,'Asset Allocation'!I2)/'Broad Asset Allocation'!C2),0)</f>
        <v>0</v>
      </c>
    </row>
    <row r="3" spans="1:8" x14ac:dyDescent="0.25">
      <c r="A3" t="str">
        <f>IF(Input!A4="","",Input!A4)</f>
        <v>Dynamic Cautious</v>
      </c>
      <c r="F3">
        <f>IFERROR(IF(A3="","",SUM('Asset Allocation'!J3)/'Broad Asset Allocation'!C3),0)</f>
        <v>0</v>
      </c>
      <c r="H3">
        <f>IFERROR(IF(A3="","",SUM('Asset Allocation'!H3,'Asset Allocation'!I3)/'Broad Asset Allocation'!C3),0)</f>
        <v>0</v>
      </c>
    </row>
    <row r="4" spans="1:8" x14ac:dyDescent="0.25">
      <c r="A4" t="str">
        <f>IF(Input!A5="","",Input!A5)</f>
        <v>Dynamic Balanced</v>
      </c>
      <c r="F4">
        <f>IFERROR(IF(A4="","",SUM('Asset Allocation'!J4)/'Broad Asset Allocation'!C4),0)</f>
        <v>0</v>
      </c>
      <c r="H4">
        <f>IFERROR(IF(A4="","",SUM('Asset Allocation'!H4,'Asset Allocation'!I4)/'Broad Asset Allocation'!C4),0)</f>
        <v>0</v>
      </c>
    </row>
    <row r="5" spans="1:8" x14ac:dyDescent="0.25">
      <c r="A5" t="str">
        <f>IF(Input!A6="","",Input!A6)</f>
        <v>Dynamic Steady Growth</v>
      </c>
      <c r="F5">
        <f>IFERROR(IF(A5="","",SUM('Asset Allocation'!J5)/'Broad Asset Allocation'!C5),0)</f>
        <v>0</v>
      </c>
      <c r="H5">
        <f>IFERROR(IF(A5="","",SUM('Asset Allocation'!H5,'Asset Allocation'!I5)/'Broad Asset Allocation'!C5),0)</f>
        <v>0</v>
      </c>
    </row>
    <row r="6" spans="1:8" x14ac:dyDescent="0.25">
      <c r="A6" t="str">
        <f>IF(Input!A7="","",Input!A7)</f>
        <v>Cautious Growth</v>
      </c>
      <c r="F6">
        <f>IFERROR(IF(A6="","",SUM('Asset Allocation'!J6)/'Broad Asset Allocation'!C6),0)</f>
        <v>0</v>
      </c>
      <c r="H6">
        <f>IFERROR(IF(A6="","",SUM('Asset Allocation'!H6,'Asset Allocation'!I6)/'Broad Asset Allocation'!C6),0)</f>
        <v>0</v>
      </c>
    </row>
    <row r="7" spans="1:8" x14ac:dyDescent="0.25">
      <c r="A7" t="str">
        <f>IF(Input!A8="","",Input!A8)</f>
        <v>Monthly Distribution</v>
      </c>
      <c r="F7">
        <f>IFERROR(IF(A7="","",SUM('Asset Allocation'!J7)/'Broad Asset Allocation'!C7),0)</f>
        <v>0</v>
      </c>
      <c r="H7">
        <f>IFERROR(IF(A7="","",SUM('Asset Allocation'!H7,'Asset Allocation'!I7)/'Broad Asset Allocation'!C7),0)</f>
        <v>0</v>
      </c>
    </row>
    <row r="8" spans="1:8" x14ac:dyDescent="0.25">
      <c r="A8" t="str">
        <f>IF(Input!A9="","",Input!A9)</f>
        <v>Global Income and Growth</v>
      </c>
      <c r="F8">
        <f>IFERROR(IF(A8="","",SUM('Asset Allocation'!J8)/'Broad Asset Allocation'!C8),0)</f>
        <v>0</v>
      </c>
      <c r="H8">
        <f>IFERROR(IF(A8="","",SUM('Asset Allocation'!H8,'Asset Allocation'!I8)/'Broad Asset Allocation'!C8),0)</f>
        <v>0</v>
      </c>
    </row>
    <row r="9" spans="1:8" x14ac:dyDescent="0.25">
      <c r="A9" t="str">
        <f>IF(Input!A10="","",Input!A10)</f>
        <v>Stockmarket Growth</v>
      </c>
      <c r="F9">
        <f>IFERROR(IF(A9="","",SUM('Asset Allocation'!J9)/'Broad Asset Allocation'!C9),0)</f>
        <v>0</v>
      </c>
      <c r="H9">
        <f>IFERROR(IF(A9="","",SUM('Asset Allocation'!H9,'Asset Allocation'!I9)/'Broad Asset Allocation'!C9),0)</f>
        <v>0</v>
      </c>
    </row>
    <row r="10" spans="1:8" x14ac:dyDescent="0.25">
      <c r="A10" t="str">
        <f>IF(Input!A11="","",Input!A11)</f>
        <v>Energy and Global Shift</v>
      </c>
      <c r="F10">
        <f>IFERROR(IF(A10="","",SUM('Asset Allocation'!J10)/'Broad Asset Allocation'!C10),0)</f>
        <v>0</v>
      </c>
      <c r="H10">
        <f>IFERROR(IF(A10="","",SUM('Asset Allocation'!H10,'Asset Allocation'!I10)/'Broad Asset Allocation'!C10),0)</f>
        <v>0</v>
      </c>
    </row>
    <row r="11" spans="1:8" x14ac:dyDescent="0.25">
      <c r="A11" t="str">
        <f>IF(Input!A12="","",Input!A12)</f>
        <v>Ethical Balanced</v>
      </c>
      <c r="F11">
        <f>IFERROR(IF(A11="","",SUM('Asset Allocation'!J11)/'Broad Asset Allocation'!C11),0)</f>
        <v>0</v>
      </c>
      <c r="H11">
        <f>IFERROR(IF(A11="","",SUM('Asset Allocation'!H11,'Asset Allocation'!I11)/'Broad Asset Allocation'!C11),0)</f>
        <v>0</v>
      </c>
    </row>
    <row r="12" spans="1:8" x14ac:dyDescent="0.25">
      <c r="A12" t="str">
        <f>IF(Input!A13="","",Input!A13)</f>
        <v>Responsible Defensive</v>
      </c>
      <c r="F12">
        <f>IFERROR(IF(A12="","",SUM('Asset Allocation'!J12)/'Broad Asset Allocation'!C12),0)</f>
        <v>0</v>
      </c>
      <c r="H12">
        <f>IFERROR(IF(A12="","",SUM('Asset Allocation'!H12,'Asset Allocation'!I12)/'Broad Asset Allocation'!C12),0)</f>
        <v>0</v>
      </c>
    </row>
    <row r="13" spans="1:8" x14ac:dyDescent="0.25">
      <c r="A13" t="str">
        <f>IF(Input!A14="","",Input!A14)</f>
        <v>Responsible Cautious</v>
      </c>
      <c r="F13">
        <f>IFERROR(IF(A13="","",SUM('Asset Allocation'!J13)/'Broad Asset Allocation'!C13),0)</f>
        <v>0</v>
      </c>
      <c r="H13">
        <f>IFERROR(IF(A13="","",SUM('Asset Allocation'!H13,'Asset Allocation'!I13)/'Broad Asset Allocation'!C13),0)</f>
        <v>0</v>
      </c>
    </row>
    <row r="14" spans="1:8" x14ac:dyDescent="0.25">
      <c r="A14" t="str">
        <f>IF(Input!A15="","",Input!A15)</f>
        <v>Responsible Balanced</v>
      </c>
      <c r="F14">
        <f>IFERROR(IF(A14="","",SUM('Asset Allocation'!J14)/'Broad Asset Allocation'!C14),0)</f>
        <v>0</v>
      </c>
      <c r="H14">
        <f>IFERROR(IF(A14="","",SUM('Asset Allocation'!H14,'Asset Allocation'!I14)/'Broad Asset Allocation'!C14),0)</f>
        <v>0</v>
      </c>
    </row>
    <row r="15" spans="1:8" x14ac:dyDescent="0.25">
      <c r="A15" t="str">
        <f>IF(Input!A16="","",Input!A16)</f>
        <v>Responsible Steady Growth</v>
      </c>
      <c r="F15">
        <f>IFERROR(IF(A15="","",SUM('Asset Allocation'!J15)/'Broad Asset Allocation'!C15),0)</f>
        <v>0</v>
      </c>
      <c r="H15">
        <f>IFERROR(IF(A15="","",SUM('Asset Allocation'!H15,'Asset Allocation'!I15)/'Broad Asset Allocation'!C15),0)</f>
        <v>0</v>
      </c>
    </row>
    <row r="16" spans="1:8" x14ac:dyDescent="0.25">
      <c r="A16" t="str">
        <f>IF(Input!A17="","",Input!A17)</f>
        <v>Responsible Growth</v>
      </c>
      <c r="F16">
        <f>IFERROR(IF(A16="","",SUM('Asset Allocation'!J16)/'Broad Asset Allocation'!C16),0)</f>
        <v>0</v>
      </c>
      <c r="H16">
        <f>IFERROR(IF(A16="","",SUM('Asset Allocation'!H16,'Asset Allocation'!I16)/'Broad Asset Allocation'!C16),0)</f>
        <v>0</v>
      </c>
    </row>
    <row r="17" spans="1:8" x14ac:dyDescent="0.25">
      <c r="A17" t="str">
        <f>IF(Input!A18="","",Input!A18)</f>
        <v/>
      </c>
      <c r="F17" t="str">
        <f>IFERROR(IF(A17="","",SUM('Asset Allocation'!J17)/'Broad Asset Allocation'!C17),0)</f>
        <v/>
      </c>
      <c r="H17" t="str">
        <f>IFERROR(IF(A17="","",SUM('Asset Allocation'!H17,'Asset Allocation'!I17)/'Broad Asset Allocation'!C17),0)</f>
        <v/>
      </c>
    </row>
    <row r="18" spans="1:8" x14ac:dyDescent="0.25">
      <c r="A18" t="str">
        <f>IF(Input!A19="","",Input!A19)</f>
        <v/>
      </c>
      <c r="F18" t="str">
        <f>IFERROR(IF(A18="","",SUM('Asset Allocation'!J18)/'Broad Asset Allocation'!C18),0)</f>
        <v/>
      </c>
      <c r="H18" t="str">
        <f>IFERROR(IF(A18="","",SUM('Asset Allocation'!H18,'Asset Allocation'!I18)/'Broad Asset Allocation'!C18),0)</f>
        <v/>
      </c>
    </row>
    <row r="19" spans="1:8" x14ac:dyDescent="0.25">
      <c r="A19" t="str">
        <f>IF(Input!A20="","",Input!A20)</f>
        <v/>
      </c>
      <c r="F19" t="str">
        <f>IFERROR(IF(A19="","",SUM('Asset Allocation'!J19)/'Broad Asset Allocation'!C19),0)</f>
        <v/>
      </c>
      <c r="H19" t="str">
        <f>IFERROR(IF(A19="","",SUM('Asset Allocation'!H19,'Asset Allocation'!I19)/'Broad Asset Allocation'!C19),0)</f>
        <v/>
      </c>
    </row>
    <row r="20" spans="1:8" x14ac:dyDescent="0.25">
      <c r="A20" t="str">
        <f>IF(Input!A21="","",Input!A21)</f>
        <v/>
      </c>
      <c r="F20" t="str">
        <f>IFERROR(IF(A20="","",SUM('Asset Allocation'!J20)/'Broad Asset Allocation'!C20),0)</f>
        <v/>
      </c>
      <c r="H20" t="str">
        <f>IFERROR(IF(A20="","",SUM('Asset Allocation'!H20,'Asset Allocation'!I20)/'Broad Asset Allocation'!C20),0)</f>
        <v/>
      </c>
    </row>
    <row r="21" spans="1:8" x14ac:dyDescent="0.25">
      <c r="A21" t="str">
        <f>IF(Input!A22="","",Input!A22)</f>
        <v/>
      </c>
      <c r="F21" t="str">
        <f>IFERROR(IF(A21="","",SUM('Asset Allocation'!J21)/'Broad Asset Allocation'!C21),0)</f>
        <v/>
      </c>
      <c r="H21" t="str">
        <f>IFERROR(IF(A21="","",SUM('Asset Allocation'!H21,'Asset Allocation'!I21)/'Broad Asset Allocation'!C21),0)</f>
        <v/>
      </c>
    </row>
    <row r="22" spans="1:8" x14ac:dyDescent="0.25">
      <c r="A22" t="str">
        <f>IF(Input!A23="","",Input!A23)</f>
        <v/>
      </c>
      <c r="F22" t="str">
        <f>IFERROR(IF(A22="","",SUM('Asset Allocation'!J22)/'Broad Asset Allocation'!C22),0)</f>
        <v/>
      </c>
      <c r="H22" t="str">
        <f>IFERROR(IF(A22="","",SUM('Asset Allocation'!H22,'Asset Allocation'!I22)/'Broad Asset Allocation'!C22),0)</f>
        <v/>
      </c>
    </row>
    <row r="23" spans="1:8" x14ac:dyDescent="0.25">
      <c r="A23" t="str">
        <f>IF(Input!A24="","",Input!A24)</f>
        <v/>
      </c>
      <c r="F23" t="str">
        <f>IFERROR(IF(A23="","",SUM('Asset Allocation'!J23)/'Broad Asset Allocation'!C23),0)</f>
        <v/>
      </c>
      <c r="H23" t="str">
        <f>IFERROR(IF(A23="","",SUM('Asset Allocation'!H23,'Asset Allocation'!I23)/'Broad Asset Allocation'!C23),0)</f>
        <v/>
      </c>
    </row>
    <row r="24" spans="1:8" x14ac:dyDescent="0.25">
      <c r="A24" t="str">
        <f>IF(Input!A25="","",Input!A25)</f>
        <v/>
      </c>
      <c r="F24" t="str">
        <f>IFERROR(IF(A24="","",SUM('Asset Allocation'!J24)/'Broad Asset Allocation'!C24),0)</f>
        <v/>
      </c>
      <c r="H24" t="str">
        <f>IFERROR(IF(A24="","",SUM('Asset Allocation'!H24,'Asset Allocation'!I24)/'Broad Asset Allocation'!C24),0)</f>
        <v/>
      </c>
    </row>
    <row r="25" spans="1:8" x14ac:dyDescent="0.25">
      <c r="A25" t="str">
        <f>IF(Input!A26="","",Input!A26)</f>
        <v/>
      </c>
      <c r="F25" t="str">
        <f>IFERROR(IF(A25="","",SUM('Asset Allocation'!J25)/'Broad Asset Allocation'!C25),0)</f>
        <v/>
      </c>
      <c r="H25" t="str">
        <f>IFERROR(IF(A25="","",SUM('Asset Allocation'!H25,'Asset Allocation'!I25)/'Broad Asset Allocation'!C25),0)</f>
        <v/>
      </c>
    </row>
    <row r="26" spans="1:8" x14ac:dyDescent="0.25">
      <c r="A26" t="str">
        <f>IF(Input!A27="","",Input!A27)</f>
        <v/>
      </c>
      <c r="F26" t="str">
        <f>IFERROR(IF(A26="","",SUM('Asset Allocation'!J26)/'Broad Asset Allocation'!C26),0)</f>
        <v/>
      </c>
      <c r="H26" t="str">
        <f>IFERROR(IF(A26="","",SUM('Asset Allocation'!H26,'Asset Allocation'!I26)/'Broad Asset Allocation'!C26),0)</f>
        <v/>
      </c>
    </row>
    <row r="27" spans="1:8" x14ac:dyDescent="0.25">
      <c r="A27" t="str">
        <f>IF(Input!A28="","",Input!A28)</f>
        <v/>
      </c>
      <c r="F27" t="str">
        <f>IFERROR(IF(A27="","",SUM('Asset Allocation'!J27)/'Broad Asset Allocation'!C27),0)</f>
        <v/>
      </c>
      <c r="H27" t="str">
        <f>IFERROR(IF(A27="","",SUM('Asset Allocation'!H27,'Asset Allocation'!I27)/'Broad Asset Allocation'!C27),0)</f>
        <v/>
      </c>
    </row>
    <row r="28" spans="1:8" x14ac:dyDescent="0.25">
      <c r="A28" t="str">
        <f>IF(Input!A29="","",Input!A29)</f>
        <v/>
      </c>
      <c r="F28" t="str">
        <f>IFERROR(IF(A28="","",SUM('Asset Allocation'!J28)/'Broad Asset Allocation'!C28),0)</f>
        <v/>
      </c>
      <c r="H28" t="str">
        <f>IFERROR(IF(A28="","",SUM('Asset Allocation'!H28,'Asset Allocation'!I28)/'Broad Asset Allocation'!C28),0)</f>
        <v/>
      </c>
    </row>
    <row r="29" spans="1:8" x14ac:dyDescent="0.25">
      <c r="A29" t="str">
        <f>IF(Input!A30="","",Input!A30)</f>
        <v/>
      </c>
      <c r="F29" t="str">
        <f>IFERROR(IF(A29="","",SUM('Asset Allocation'!J29)/'Broad Asset Allocation'!C29),0)</f>
        <v/>
      </c>
      <c r="H29" t="str">
        <f>IFERROR(IF(A29="","",SUM('Asset Allocation'!H29,'Asset Allocation'!I29)/'Broad Asset Allocation'!C29),0)</f>
        <v/>
      </c>
    </row>
    <row r="30" spans="1:8" x14ac:dyDescent="0.25">
      <c r="A30" t="str">
        <f>IF(Input!A31="","",Input!A31)</f>
        <v/>
      </c>
      <c r="F30" t="str">
        <f>IFERROR(IF(A30="","",SUM('Asset Allocation'!J30)/'Broad Asset Allocation'!C30),0)</f>
        <v/>
      </c>
      <c r="H30" t="str">
        <f>IFERROR(IF(A30="","",SUM('Asset Allocation'!H30,'Asset Allocation'!I30)/'Broad Asset Allocation'!C30),0)</f>
        <v/>
      </c>
    </row>
    <row r="31" spans="1:8" x14ac:dyDescent="0.25">
      <c r="A31" t="str">
        <f>IF(Input!A32="","",Input!A32)</f>
        <v/>
      </c>
      <c r="F31" t="str">
        <f>IFERROR(IF(A31="","",SUM('Asset Allocation'!J31)/'Broad Asset Allocation'!C31),0)</f>
        <v/>
      </c>
      <c r="H31" t="str">
        <f>IFERROR(IF(A31="","",SUM('Asset Allocation'!H31,'Asset Allocation'!I31)/'Broad Asset Allocation'!C31),0)</f>
        <v/>
      </c>
    </row>
    <row r="32" spans="1:8" x14ac:dyDescent="0.25">
      <c r="A32" t="str">
        <f>IF(Input!A33="","",Input!A33)</f>
        <v/>
      </c>
      <c r="F32" t="str">
        <f>IFERROR(IF(A32="","",SUM('Asset Allocation'!J32)/'Broad Asset Allocation'!C32),0)</f>
        <v/>
      </c>
      <c r="H32" t="str">
        <f>IFERROR(IF(A32="","",SUM('Asset Allocation'!H32,'Asset Allocation'!I32)/'Broad Asset Allocation'!C32),0)</f>
        <v/>
      </c>
    </row>
    <row r="33" spans="1:8" x14ac:dyDescent="0.25">
      <c r="A33" t="str">
        <f>IF(Input!A34="","",Input!A34)</f>
        <v/>
      </c>
      <c r="F33" t="str">
        <f>IFERROR(IF(A33="","",SUM('Asset Allocation'!J33)/'Broad Asset Allocation'!C33),0)</f>
        <v/>
      </c>
      <c r="H33" t="str">
        <f>IFERROR(IF(A33="","",SUM('Asset Allocation'!H33,'Asset Allocation'!I33)/'Broad Asset Allocation'!C33),0)</f>
        <v/>
      </c>
    </row>
    <row r="34" spans="1:8" x14ac:dyDescent="0.25">
      <c r="A34" t="str">
        <f>IF(Input!A35="","",Input!A35)</f>
        <v/>
      </c>
      <c r="F34" t="str">
        <f>IFERROR(IF(A34="","",SUM('Asset Allocation'!J34)/'Broad Asset Allocation'!C34),0)</f>
        <v/>
      </c>
      <c r="H34" t="str">
        <f>IFERROR(IF(A34="","",SUM('Asset Allocation'!H34,'Asset Allocation'!I34)/'Broad Asset Allocation'!C34),0)</f>
        <v/>
      </c>
    </row>
    <row r="35" spans="1:8" x14ac:dyDescent="0.25">
      <c r="A35" t="str">
        <f>IF(Input!A36="","",Input!A36)</f>
        <v/>
      </c>
      <c r="F35" t="str">
        <f>IFERROR(IF(A35="","",SUM('Asset Allocation'!J35)/'Broad Asset Allocation'!C35),0)</f>
        <v/>
      </c>
      <c r="H35" t="str">
        <f>IFERROR(IF(A35="","",SUM('Asset Allocation'!H35,'Asset Allocation'!I35)/'Broad Asset Allocation'!C35),0)</f>
        <v/>
      </c>
    </row>
    <row r="36" spans="1:8" x14ac:dyDescent="0.25">
      <c r="A36" t="str">
        <f>IF(Input!A37="","",Input!A37)</f>
        <v/>
      </c>
      <c r="F36" t="str">
        <f>IFERROR(IF(A36="","",SUM('Asset Allocation'!J36)/'Broad Asset Allocation'!C36),0)</f>
        <v/>
      </c>
      <c r="H36" t="str">
        <f>IFERROR(IF(A36="","",SUM('Asset Allocation'!H36,'Asset Allocation'!I36)/'Broad Asset Allocation'!C36),0)</f>
        <v/>
      </c>
    </row>
    <row r="37" spans="1:8" x14ac:dyDescent="0.25">
      <c r="A37" t="str">
        <f>IF(Input!A38="","",Input!A38)</f>
        <v/>
      </c>
      <c r="F37" t="str">
        <f>IFERROR(IF(A37="","",SUM('Asset Allocation'!J37)/'Broad Asset Allocation'!C37),0)</f>
        <v/>
      </c>
      <c r="H37" t="str">
        <f>IFERROR(IF(A37="","",SUM('Asset Allocation'!H37,'Asset Allocation'!I37)/'Broad Asset Allocation'!C37),0)</f>
        <v/>
      </c>
    </row>
    <row r="38" spans="1:8" x14ac:dyDescent="0.25">
      <c r="A38" t="str">
        <f>IF(Input!A39="","",Input!A39)</f>
        <v/>
      </c>
      <c r="F38" t="str">
        <f>IFERROR(IF(A38="","",SUM('Asset Allocation'!J38)/'Broad Asset Allocation'!C38),0)</f>
        <v/>
      </c>
      <c r="H38" t="str">
        <f>IFERROR(IF(A38="","",SUM('Asset Allocation'!H38,'Asset Allocation'!I38)/'Broad Asset Allocation'!C38),0)</f>
        <v/>
      </c>
    </row>
    <row r="39" spans="1:8" x14ac:dyDescent="0.25">
      <c r="A39" t="str">
        <f>IF(Input!A40="","",Input!A40)</f>
        <v/>
      </c>
      <c r="F39" t="str">
        <f>IFERROR(IF(A39="","",SUM('Asset Allocation'!J39)/'Broad Asset Allocation'!C39),0)</f>
        <v/>
      </c>
      <c r="H39" t="str">
        <f>IFERROR(IF(A39="","",SUM('Asset Allocation'!H39,'Asset Allocation'!I39)/'Broad Asset Allocation'!C39),0)</f>
        <v/>
      </c>
    </row>
    <row r="40" spans="1:8" x14ac:dyDescent="0.25">
      <c r="A40" t="str">
        <f>IF(Input!A41="","",Input!A41)</f>
        <v/>
      </c>
      <c r="F40" t="str">
        <f>IFERROR(IF(A40="","",SUM('Asset Allocation'!J40)/'Broad Asset Allocation'!C40),0)</f>
        <v/>
      </c>
      <c r="H40" t="str">
        <f>IFERROR(IF(A40="","",SUM('Asset Allocation'!H40,'Asset Allocation'!I40)/'Broad Asset Allocation'!C40),0)</f>
        <v/>
      </c>
    </row>
    <row r="41" spans="1:8" x14ac:dyDescent="0.25">
      <c r="A41" t="str">
        <f>IF(Input!A42="","",Input!A42)</f>
        <v/>
      </c>
      <c r="F41" t="str">
        <f>IFERROR(IF(A41="","",SUM('Asset Allocation'!J41)/'Broad Asset Allocation'!C41),0)</f>
        <v/>
      </c>
      <c r="H41" t="str">
        <f>IFERROR(IF(A41="","",SUM('Asset Allocation'!H41,'Asset Allocation'!I41)/'Broad Asset Allocation'!C41),0)</f>
        <v/>
      </c>
    </row>
    <row r="42" spans="1:8" x14ac:dyDescent="0.25">
      <c r="A42" t="str">
        <f>IF(Input!A43="","",Input!A43)</f>
        <v/>
      </c>
      <c r="F42" t="str">
        <f>IFERROR(IF(A42="","",SUM('Asset Allocation'!J42)/'Broad Asset Allocation'!C42),0)</f>
        <v/>
      </c>
      <c r="H42" t="str">
        <f>IFERROR(IF(A42="","",SUM('Asset Allocation'!H42,'Asset Allocation'!I42)/'Broad Asset Allocation'!C42),0)</f>
        <v/>
      </c>
    </row>
    <row r="43" spans="1:8" x14ac:dyDescent="0.25">
      <c r="A43" t="str">
        <f>IF(Input!A44="","",Input!A44)</f>
        <v/>
      </c>
      <c r="F43" t="str">
        <f>IFERROR(IF(A43="","",SUM('Asset Allocation'!J43)/'Broad Asset Allocation'!C43),0)</f>
        <v/>
      </c>
      <c r="H43" t="str">
        <f>IFERROR(IF(A43="","",SUM('Asset Allocation'!H43,'Asset Allocation'!I43)/'Broad Asset Allocation'!C43),0)</f>
        <v/>
      </c>
    </row>
    <row r="44" spans="1:8" x14ac:dyDescent="0.25">
      <c r="A44" t="str">
        <f>IF(Input!A45="","",Input!A45)</f>
        <v/>
      </c>
      <c r="F44" t="str">
        <f>IFERROR(IF(A44="","",SUM('Asset Allocation'!J44)/'Broad Asset Allocation'!C44),0)</f>
        <v/>
      </c>
      <c r="H44" t="str">
        <f>IFERROR(IF(A44="","",SUM('Asset Allocation'!H44,'Asset Allocation'!I44)/'Broad Asset Allocation'!C44),0)</f>
        <v/>
      </c>
    </row>
    <row r="45" spans="1:8" x14ac:dyDescent="0.25">
      <c r="A45" t="str">
        <f>IF(Input!A46="","",Input!A46)</f>
        <v/>
      </c>
      <c r="F45" t="str">
        <f>IFERROR(IF(A45="","",SUM('Asset Allocation'!J45)/'Broad Asset Allocation'!C45),0)</f>
        <v/>
      </c>
      <c r="H45" t="str">
        <f>IFERROR(IF(A45="","",SUM('Asset Allocation'!H45,'Asset Allocation'!I45)/'Broad Asset Allocation'!C45),0)</f>
        <v/>
      </c>
    </row>
    <row r="46" spans="1:8" x14ac:dyDescent="0.25">
      <c r="A46" t="str">
        <f>IF(Input!A47="","",Input!A47)</f>
        <v/>
      </c>
      <c r="F46" t="str">
        <f>IFERROR(IF(A46="","",SUM('Asset Allocation'!J46)/'Broad Asset Allocation'!C46),0)</f>
        <v/>
      </c>
      <c r="H46" t="str">
        <f>IFERROR(IF(A46="","",SUM('Asset Allocation'!H46,'Asset Allocation'!I46)/'Broad Asset Allocation'!C46),0)</f>
        <v/>
      </c>
    </row>
    <row r="47" spans="1:8" x14ac:dyDescent="0.25">
      <c r="A47" t="str">
        <f>IF(Input!A48="","",Input!A48)</f>
        <v/>
      </c>
      <c r="F47" t="str">
        <f>IFERROR(IF(A47="","",SUM('Asset Allocation'!J47)/'Broad Asset Allocation'!C47),0)</f>
        <v/>
      </c>
      <c r="H47" t="str">
        <f>IFERROR(IF(A47="","",SUM('Asset Allocation'!H47,'Asset Allocation'!I47)/'Broad Asset Allocation'!C47),0)</f>
        <v/>
      </c>
    </row>
    <row r="48" spans="1:8" x14ac:dyDescent="0.25">
      <c r="A48" t="str">
        <f>IF(Input!A49="","",Input!A49)</f>
        <v/>
      </c>
      <c r="F48" t="str">
        <f>IFERROR(IF(A48="","",SUM('Asset Allocation'!J48)/'Broad Asset Allocation'!C48),0)</f>
        <v/>
      </c>
      <c r="H48" t="str">
        <f>IFERROR(IF(A48="","",SUM('Asset Allocation'!H48,'Asset Allocation'!I48)/'Broad Asset Allocation'!C48),0)</f>
        <v/>
      </c>
    </row>
    <row r="49" spans="1:8" x14ac:dyDescent="0.25">
      <c r="A49" t="str">
        <f>IF(Input!A50="","",Input!A50)</f>
        <v/>
      </c>
      <c r="F49" t="str">
        <f>IFERROR(IF(A49="","",SUM('Asset Allocation'!J49)/'Broad Asset Allocation'!C49),0)</f>
        <v/>
      </c>
      <c r="H49" t="str">
        <f>IFERROR(IF(A49="","",SUM('Asset Allocation'!H49,'Asset Allocation'!I49)/'Broad Asset Allocation'!C49),0)</f>
        <v/>
      </c>
    </row>
    <row r="50" spans="1:8" x14ac:dyDescent="0.25">
      <c r="A50" t="str">
        <f>IF(Input!A51="","",Input!A51)</f>
        <v/>
      </c>
      <c r="F50" t="str">
        <f>IFERROR(IF(A50="","",SUM('Asset Allocation'!J50)/'Broad Asset Allocation'!C50),0)</f>
        <v/>
      </c>
      <c r="H50" t="str">
        <f>IFERROR(IF(A50="","",SUM('Asset Allocation'!H50,'Asset Allocation'!I50)/'Broad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Dynamic Defensive</v>
      </c>
      <c r="C1" s="1" t="str">
        <v>Dynamic Cautious</v>
      </c>
      <c r="D1" t="str">
        <v>Dynamic Balanced</v>
      </c>
      <c r="E1" t="str">
        <v>Dynamic Steady Growth</v>
      </c>
      <c r="F1" t="str">
        <v>Cautious Growth</v>
      </c>
      <c r="G1" t="str">
        <v>Monthly Distribution</v>
      </c>
      <c r="H1" t="str">
        <v>Global Income and Growth</v>
      </c>
      <c r="I1" t="str">
        <v>Stockmarket Growth</v>
      </c>
      <c r="J1" t="str">
        <v>Energy and Global Shift</v>
      </c>
      <c r="K1" t="str">
        <v>Ethical Balanced</v>
      </c>
      <c r="L1" t="str">
        <v>Responsible Defensive</v>
      </c>
      <c r="M1" t="str">
        <v>Responsible Cautious</v>
      </c>
      <c r="N1" t="str">
        <v>Responsible Balanced</v>
      </c>
      <c r="O1" t="str">
        <v>Responsible Steady Growth</v>
      </c>
      <c r="P1" t="str">
        <v>Responsible Growth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2023-10-28T16:50:43Z</dcterms:modified>
</cp:coreProperties>
</file>