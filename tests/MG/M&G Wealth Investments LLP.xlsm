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MG\"/>
    </mc:Choice>
  </mc:AlternateContent>
  <bookViews>
    <workbookView xWindow="1515" yWindow="1515" windowWidth="14400" windowHeight="7275" firstSheet="1" activeTab="1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10" i="1"/>
  <c r="B11" i="1"/>
  <c r="B12" i="1"/>
  <c r="B13" i="1"/>
  <c r="B14" i="1"/>
  <c r="B15" i="1"/>
  <c r="B16" i="1"/>
  <c r="B17" i="1"/>
  <c r="B18" i="1"/>
  <c r="B19" i="1"/>
  <c r="B4" i="1"/>
  <c r="B5" i="1"/>
  <c r="B6" i="1"/>
  <c r="B7" i="1"/>
  <c r="B8" i="1"/>
  <c r="B9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9" l="1" a="1"/>
  <c r="B1" i="39" s="1"/>
  <c r="B1" i="38" a="1"/>
  <c r="B1" i="38" s="1"/>
  <c r="E31" i="31"/>
  <c r="C31" i="31"/>
  <c r="D31" i="31"/>
  <c r="F31" i="31"/>
  <c r="G31" i="31"/>
  <c r="F39" i="31"/>
  <c r="C39" i="31"/>
  <c r="D39" i="31"/>
  <c r="E39" i="31"/>
  <c r="G39" i="31"/>
  <c r="E47" i="31"/>
  <c r="F47" i="31"/>
  <c r="C47" i="31"/>
  <c r="D47" i="31"/>
  <c r="G47" i="31"/>
  <c r="C8" i="31"/>
  <c r="E8" i="31"/>
  <c r="D8" i="31"/>
  <c r="F8" i="31"/>
  <c r="G8" i="31"/>
  <c r="C16" i="31"/>
  <c r="E16" i="31"/>
  <c r="D16" i="31"/>
  <c r="F16" i="31"/>
  <c r="G16" i="31"/>
  <c r="C24" i="31"/>
  <c r="E24" i="31"/>
  <c r="D24" i="31"/>
  <c r="F24" i="31"/>
  <c r="G24" i="31"/>
  <c r="C32" i="31"/>
  <c r="E32" i="31"/>
  <c r="D32" i="31"/>
  <c r="F32" i="31"/>
  <c r="G32" i="31"/>
  <c r="C40" i="31"/>
  <c r="D40" i="31"/>
  <c r="E40" i="31"/>
  <c r="F40" i="31"/>
  <c r="G40" i="31"/>
  <c r="C48" i="31"/>
  <c r="D48" i="31"/>
  <c r="E48" i="31"/>
  <c r="F48" i="31"/>
  <c r="G48" i="31"/>
  <c r="E15" i="31"/>
  <c r="F15" i="31"/>
  <c r="C15" i="31"/>
  <c r="D15" i="31"/>
  <c r="G15" i="31"/>
  <c r="F41" i="31"/>
  <c r="G41" i="31"/>
  <c r="C41" i="31"/>
  <c r="D41" i="31"/>
  <c r="E41" i="31"/>
  <c r="E2" i="31"/>
  <c r="F2" i="31"/>
  <c r="C2" i="31"/>
  <c r="G2" i="31"/>
  <c r="C10" i="31"/>
  <c r="D10" i="31"/>
  <c r="E10" i="31"/>
  <c r="F10" i="31"/>
  <c r="G10" i="31"/>
  <c r="C18" i="31"/>
  <c r="F18" i="31"/>
  <c r="G18" i="31"/>
  <c r="D18" i="31"/>
  <c r="E18" i="31"/>
  <c r="C26" i="31"/>
  <c r="F26" i="31"/>
  <c r="G26" i="31"/>
  <c r="D26" i="31"/>
  <c r="E26" i="31"/>
  <c r="F34" i="31"/>
  <c r="G34" i="31"/>
  <c r="C34" i="31"/>
  <c r="D34" i="31"/>
  <c r="E34" i="31"/>
  <c r="C42" i="31"/>
  <c r="F42" i="31"/>
  <c r="D42" i="31"/>
  <c r="E42" i="31"/>
  <c r="G42" i="31"/>
  <c r="C50" i="31"/>
  <c r="D50" i="31"/>
  <c r="E50" i="31"/>
  <c r="F50" i="31"/>
  <c r="G50" i="31"/>
  <c r="E7" i="31"/>
  <c r="F7" i="31"/>
  <c r="C7" i="31"/>
  <c r="D7" i="31"/>
  <c r="G7" i="31"/>
  <c r="F33" i="31"/>
  <c r="G33" i="31"/>
  <c r="D33" i="31"/>
  <c r="C33" i="31"/>
  <c r="E33" i="31"/>
  <c r="D3" i="31"/>
  <c r="F3" i="31"/>
  <c r="C3" i="31"/>
  <c r="E3" i="31"/>
  <c r="G3" i="31"/>
  <c r="D11" i="31"/>
  <c r="F11" i="31"/>
  <c r="E11" i="31"/>
  <c r="G11" i="31"/>
  <c r="C11" i="31"/>
  <c r="D19" i="31"/>
  <c r="F19" i="31"/>
  <c r="E19" i="31"/>
  <c r="G19" i="31"/>
  <c r="C19" i="31"/>
  <c r="D27" i="31"/>
  <c r="F27" i="31"/>
  <c r="E27" i="31"/>
  <c r="G27" i="31"/>
  <c r="C27" i="31"/>
  <c r="D35" i="31"/>
  <c r="F35" i="31"/>
  <c r="E35" i="31"/>
  <c r="G35" i="31"/>
  <c r="C35" i="31"/>
  <c r="D43" i="31"/>
  <c r="E43" i="31"/>
  <c r="F43" i="31"/>
  <c r="G43" i="31"/>
  <c r="C43" i="31"/>
  <c r="F9" i="31"/>
  <c r="C9" i="31"/>
  <c r="G9" i="31"/>
  <c r="D9" i="31"/>
  <c r="E9" i="31"/>
  <c r="F49" i="31"/>
  <c r="G49" i="31"/>
  <c r="C49" i="31"/>
  <c r="D49" i="31"/>
  <c r="E49" i="31"/>
  <c r="G4" i="31"/>
  <c r="E4" i="31"/>
  <c r="C4" i="31"/>
  <c r="D4" i="31"/>
  <c r="F4" i="31"/>
  <c r="G12" i="31"/>
  <c r="D12" i="31"/>
  <c r="E12" i="31"/>
  <c r="C12" i="31"/>
  <c r="F12" i="31"/>
  <c r="G20" i="31"/>
  <c r="D20" i="31"/>
  <c r="C20" i="31"/>
  <c r="E20" i="31"/>
  <c r="F20" i="31"/>
  <c r="G28" i="31"/>
  <c r="E28" i="31"/>
  <c r="C28" i="31"/>
  <c r="D28" i="31"/>
  <c r="F28" i="31"/>
  <c r="G36" i="31"/>
  <c r="C36" i="31"/>
  <c r="D36" i="31"/>
  <c r="E36" i="31"/>
  <c r="F36" i="31"/>
  <c r="G44" i="31"/>
  <c r="E44" i="31"/>
  <c r="C44" i="31"/>
  <c r="D44" i="31"/>
  <c r="F44" i="31"/>
  <c r="E23" i="31"/>
  <c r="F23" i="31"/>
  <c r="C23" i="31"/>
  <c r="D23" i="31"/>
  <c r="G23" i="31"/>
  <c r="F17" i="31"/>
  <c r="G17" i="31"/>
  <c r="C17" i="31"/>
  <c r="D17" i="31"/>
  <c r="E17" i="31"/>
  <c r="D5" i="31"/>
  <c r="G5" i="31"/>
  <c r="C5" i="31"/>
  <c r="E5" i="31"/>
  <c r="F5" i="31"/>
  <c r="D13" i="31"/>
  <c r="C13" i="31"/>
  <c r="E13" i="31"/>
  <c r="F13" i="31"/>
  <c r="G13" i="31"/>
  <c r="D21" i="31"/>
  <c r="C21" i="31"/>
  <c r="E21" i="31"/>
  <c r="F21" i="31"/>
  <c r="G21" i="31"/>
  <c r="D29" i="31"/>
  <c r="G29" i="31"/>
  <c r="C29" i="31"/>
  <c r="E29" i="31"/>
  <c r="F29" i="31"/>
  <c r="D37" i="31"/>
  <c r="G37" i="31"/>
  <c r="C37" i="31"/>
  <c r="E37" i="31"/>
  <c r="F37" i="31"/>
  <c r="D45" i="31"/>
  <c r="C45" i="31"/>
  <c r="E45" i="31"/>
  <c r="F45" i="31"/>
  <c r="G45" i="31"/>
  <c r="F25" i="31"/>
  <c r="G25" i="31"/>
  <c r="C25" i="31"/>
  <c r="D25" i="31"/>
  <c r="E25" i="31"/>
  <c r="E6" i="31"/>
  <c r="F6" i="31"/>
  <c r="G6" i="31"/>
  <c r="D6" i="31"/>
  <c r="C6" i="31"/>
  <c r="E14" i="31"/>
  <c r="G14" i="31"/>
  <c r="F14" i="31"/>
  <c r="C14" i="31"/>
  <c r="D14" i="31"/>
  <c r="E22" i="31"/>
  <c r="G22" i="31"/>
  <c r="C22" i="31"/>
  <c r="F22" i="31"/>
  <c r="D22" i="31"/>
  <c r="E30" i="31"/>
  <c r="G30" i="31"/>
  <c r="F30" i="31"/>
  <c r="C30" i="31"/>
  <c r="D30" i="31"/>
  <c r="E38" i="31"/>
  <c r="G38" i="31"/>
  <c r="F38" i="31"/>
  <c r="C38" i="31"/>
  <c r="D38" i="31"/>
  <c r="E46" i="31"/>
  <c r="F46" i="31"/>
  <c r="G46" i="31"/>
  <c r="C46" i="31"/>
  <c r="D46" i="31"/>
  <c r="D28" i="8"/>
  <c r="E28" i="8"/>
  <c r="F28" i="8"/>
  <c r="B28" i="8"/>
  <c r="D36" i="8"/>
  <c r="F36" i="8"/>
  <c r="E36" i="8"/>
  <c r="B36" i="8"/>
  <c r="D44" i="8"/>
  <c r="F44" i="8"/>
  <c r="E44" i="8"/>
  <c r="B44" i="8"/>
  <c r="B29" i="8"/>
  <c r="D29" i="8"/>
  <c r="E29" i="8"/>
  <c r="F29" i="8"/>
  <c r="B37" i="8"/>
  <c r="E37" i="8"/>
  <c r="D37" i="8"/>
  <c r="F37" i="8"/>
  <c r="B45" i="8"/>
  <c r="E45" i="8"/>
  <c r="D45" i="8"/>
  <c r="F45" i="8"/>
  <c r="D30" i="8"/>
  <c r="F30" i="8"/>
  <c r="E30" i="8"/>
  <c r="B30" i="8"/>
  <c r="D38" i="8"/>
  <c r="E38" i="8"/>
  <c r="F38" i="8"/>
  <c r="B38" i="8"/>
  <c r="D46" i="8"/>
  <c r="E46" i="8"/>
  <c r="F46" i="8"/>
  <c r="B46" i="8"/>
  <c r="B31" i="8"/>
  <c r="D31" i="8"/>
  <c r="E31" i="8"/>
  <c r="F31" i="8"/>
  <c r="B39" i="8"/>
  <c r="E39" i="8"/>
  <c r="D39" i="8"/>
  <c r="F39" i="8"/>
  <c r="B47" i="8"/>
  <c r="E47" i="8"/>
  <c r="D47" i="8"/>
  <c r="F47" i="8"/>
  <c r="D32" i="8"/>
  <c r="E32" i="8"/>
  <c r="F32" i="8"/>
  <c r="B32" i="8"/>
  <c r="D40" i="8"/>
  <c r="E40" i="8"/>
  <c r="F40" i="8"/>
  <c r="B40" i="8"/>
  <c r="D48" i="8"/>
  <c r="E48" i="8"/>
  <c r="F48" i="8"/>
  <c r="B48" i="8"/>
  <c r="B33" i="8"/>
  <c r="D33" i="8"/>
  <c r="E33" i="8"/>
  <c r="F33" i="8"/>
  <c r="B41" i="8"/>
  <c r="D41" i="8"/>
  <c r="E41" i="8"/>
  <c r="F41" i="8"/>
  <c r="B49" i="8"/>
  <c r="D49" i="8"/>
  <c r="E49" i="8"/>
  <c r="F49" i="8"/>
  <c r="D34" i="8"/>
  <c r="E34" i="8"/>
  <c r="F34" i="8"/>
  <c r="B34" i="8"/>
  <c r="D42" i="8"/>
  <c r="E42" i="8"/>
  <c r="F42" i="8"/>
  <c r="B42" i="8"/>
  <c r="D50" i="8"/>
  <c r="E50" i="8"/>
  <c r="F50" i="8"/>
  <c r="B50" i="8"/>
  <c r="B35" i="8"/>
  <c r="D35" i="8"/>
  <c r="E35" i="8"/>
  <c r="F35" i="8"/>
  <c r="E43" i="8"/>
  <c r="B43" i="8"/>
  <c r="D43" i="8"/>
  <c r="F43" i="8"/>
  <c r="G45" i="7"/>
  <c r="E45" i="7"/>
  <c r="H45" i="7"/>
  <c r="F45" i="7"/>
  <c r="B45" i="7"/>
  <c r="C45" i="7"/>
  <c r="D45" i="7"/>
  <c r="H30" i="7"/>
  <c r="F30" i="7"/>
  <c r="B30" i="7"/>
  <c r="C30" i="7"/>
  <c r="G30" i="7"/>
  <c r="D30" i="7"/>
  <c r="E30" i="7"/>
  <c r="H38" i="7"/>
  <c r="C38" i="7"/>
  <c r="G38" i="7"/>
  <c r="B38" i="7"/>
  <c r="D38" i="7"/>
  <c r="E38" i="7"/>
  <c r="F38" i="7"/>
  <c r="H46" i="7"/>
  <c r="G46" i="7"/>
  <c r="C46" i="7"/>
  <c r="B46" i="7"/>
  <c r="D46" i="7"/>
  <c r="F46" i="7"/>
  <c r="E46" i="7"/>
  <c r="G31" i="7"/>
  <c r="B31" i="7"/>
  <c r="H31" i="7"/>
  <c r="C31" i="7"/>
  <c r="D31" i="7"/>
  <c r="E31" i="7"/>
  <c r="F31" i="7"/>
  <c r="B39" i="7"/>
  <c r="D39" i="7"/>
  <c r="C39" i="7"/>
  <c r="H39" i="7"/>
  <c r="E39" i="7"/>
  <c r="G39" i="7"/>
  <c r="F39" i="7"/>
  <c r="D47" i="7"/>
  <c r="B47" i="7"/>
  <c r="G47" i="7"/>
  <c r="C47" i="7"/>
  <c r="E47" i="7"/>
  <c r="F47" i="7"/>
  <c r="H47" i="7"/>
  <c r="B32" i="7"/>
  <c r="C32" i="7"/>
  <c r="E32" i="7"/>
  <c r="D32" i="7"/>
  <c r="H32" i="7"/>
  <c r="F32" i="7"/>
  <c r="G32" i="7"/>
  <c r="B40" i="7"/>
  <c r="C40" i="7"/>
  <c r="H40" i="7"/>
  <c r="D40" i="7"/>
  <c r="E40" i="7"/>
  <c r="F40" i="7"/>
  <c r="G40" i="7"/>
  <c r="B48" i="7"/>
  <c r="C48" i="7"/>
  <c r="D48" i="7"/>
  <c r="E48" i="7"/>
  <c r="F48" i="7"/>
  <c r="G48" i="7"/>
  <c r="H48" i="7"/>
  <c r="G29" i="7"/>
  <c r="H29" i="7"/>
  <c r="B29" i="7"/>
  <c r="C29" i="7"/>
  <c r="D29" i="7"/>
  <c r="E29" i="7"/>
  <c r="F29" i="7"/>
  <c r="C33" i="7"/>
  <c r="F33" i="7"/>
  <c r="D33" i="7"/>
  <c r="E33" i="7"/>
  <c r="G33" i="7"/>
  <c r="B33" i="7"/>
  <c r="H33" i="7"/>
  <c r="C41" i="7"/>
  <c r="B41" i="7"/>
  <c r="D41" i="7"/>
  <c r="E41" i="7"/>
  <c r="F41" i="7"/>
  <c r="G41" i="7"/>
  <c r="H41" i="7"/>
  <c r="C49" i="7"/>
  <c r="D49" i="7"/>
  <c r="E49" i="7"/>
  <c r="F49" i="7"/>
  <c r="B49" i="7"/>
  <c r="G49" i="7"/>
  <c r="H49" i="7"/>
  <c r="G37" i="7"/>
  <c r="H37" i="7"/>
  <c r="B37" i="7"/>
  <c r="E37" i="7"/>
  <c r="C37" i="7"/>
  <c r="F37" i="7"/>
  <c r="D37" i="7"/>
  <c r="D34" i="7"/>
  <c r="C34" i="7"/>
  <c r="E34" i="7"/>
  <c r="F34" i="7"/>
  <c r="G34" i="7"/>
  <c r="H34" i="7"/>
  <c r="B34" i="7"/>
  <c r="D42" i="7"/>
  <c r="G42" i="7"/>
  <c r="B42" i="7"/>
  <c r="E42" i="7"/>
  <c r="F42" i="7"/>
  <c r="C42" i="7"/>
  <c r="H42" i="7"/>
  <c r="D50" i="7"/>
  <c r="E50" i="7"/>
  <c r="G50" i="7"/>
  <c r="F50" i="7"/>
  <c r="B50" i="7"/>
  <c r="H50" i="7"/>
  <c r="C50" i="7"/>
  <c r="E35" i="7"/>
  <c r="F35" i="7"/>
  <c r="G35" i="7"/>
  <c r="D35" i="7"/>
  <c r="H35" i="7"/>
  <c r="B35" i="7"/>
  <c r="C35" i="7"/>
  <c r="E43" i="7"/>
  <c r="F43" i="7"/>
  <c r="H43" i="7"/>
  <c r="G43" i="7"/>
  <c r="B43" i="7"/>
  <c r="C43" i="7"/>
  <c r="D43" i="7"/>
  <c r="F28" i="7"/>
  <c r="E28" i="7"/>
  <c r="G28" i="7"/>
  <c r="H28" i="7"/>
  <c r="B28" i="7"/>
  <c r="C28" i="7"/>
  <c r="D28" i="7"/>
  <c r="F36" i="7"/>
  <c r="G36" i="7"/>
  <c r="H36" i="7"/>
  <c r="D36" i="7"/>
  <c r="B36" i="7"/>
  <c r="C36" i="7"/>
  <c r="E36" i="7"/>
  <c r="F44" i="7"/>
  <c r="G44" i="7"/>
  <c r="H44" i="7"/>
  <c r="D44" i="7"/>
  <c r="B44" i="7"/>
  <c r="E44" i="7"/>
  <c r="C44" i="7"/>
  <c r="C7" i="4"/>
  <c r="F7" i="4"/>
  <c r="G7" i="4"/>
  <c r="D7" i="4"/>
  <c r="B7" i="4"/>
  <c r="B23" i="4"/>
  <c r="C23" i="4"/>
  <c r="G23" i="4"/>
  <c r="D23" i="4"/>
  <c r="F23" i="4"/>
  <c r="B39" i="4"/>
  <c r="C39" i="4"/>
  <c r="D39" i="4"/>
  <c r="F39" i="4"/>
  <c r="G39" i="4"/>
  <c r="D8" i="4"/>
  <c r="F8" i="4"/>
  <c r="G8" i="4"/>
  <c r="B8" i="4"/>
  <c r="C8" i="4"/>
  <c r="D16" i="4"/>
  <c r="F16" i="4"/>
  <c r="G16" i="4"/>
  <c r="B16" i="4"/>
  <c r="C16" i="4"/>
  <c r="F24" i="4"/>
  <c r="G24" i="4"/>
  <c r="B24" i="4"/>
  <c r="C24" i="4"/>
  <c r="D24" i="4"/>
  <c r="D32" i="4"/>
  <c r="F32" i="4"/>
  <c r="G32" i="4"/>
  <c r="B32" i="4"/>
  <c r="C32" i="4"/>
  <c r="D40" i="4"/>
  <c r="B40" i="4"/>
  <c r="G40" i="4"/>
  <c r="C40" i="4"/>
  <c r="F40" i="4"/>
  <c r="F48" i="4"/>
  <c r="G48" i="4"/>
  <c r="B48" i="4"/>
  <c r="C48" i="4"/>
  <c r="D48" i="4"/>
  <c r="C49" i="4"/>
  <c r="D49" i="4"/>
  <c r="F49" i="4"/>
  <c r="B49" i="4"/>
  <c r="G49" i="4"/>
  <c r="B38" i="4"/>
  <c r="D38" i="4"/>
  <c r="C38" i="4"/>
  <c r="F38" i="4"/>
  <c r="G38" i="4"/>
  <c r="C9" i="4"/>
  <c r="D9" i="4"/>
  <c r="F9" i="4"/>
  <c r="B9" i="4"/>
  <c r="G9" i="4"/>
  <c r="C33" i="4"/>
  <c r="D33" i="4"/>
  <c r="F33" i="4"/>
  <c r="B33" i="4"/>
  <c r="G33" i="4"/>
  <c r="B2" i="4"/>
  <c r="G2" i="4"/>
  <c r="D2" i="4"/>
  <c r="C2" i="4"/>
  <c r="F2" i="4"/>
  <c r="C10" i="4"/>
  <c r="D10" i="4"/>
  <c r="F10" i="4"/>
  <c r="G10" i="4"/>
  <c r="B10" i="4"/>
  <c r="C18" i="4"/>
  <c r="D18" i="4"/>
  <c r="F18" i="4"/>
  <c r="G18" i="4"/>
  <c r="B18" i="4"/>
  <c r="B26" i="4"/>
  <c r="D26" i="4"/>
  <c r="F26" i="4"/>
  <c r="G26" i="4"/>
  <c r="C26" i="4"/>
  <c r="C34" i="4"/>
  <c r="D34" i="4"/>
  <c r="F34" i="4"/>
  <c r="G34" i="4"/>
  <c r="B34" i="4"/>
  <c r="C42" i="4"/>
  <c r="D42" i="4"/>
  <c r="G42" i="4"/>
  <c r="F42" i="4"/>
  <c r="B42" i="4"/>
  <c r="B50" i="4"/>
  <c r="D50" i="4"/>
  <c r="F50" i="4"/>
  <c r="G50" i="4"/>
  <c r="C50" i="4"/>
  <c r="B30" i="4"/>
  <c r="C30" i="4"/>
  <c r="F30" i="4"/>
  <c r="G30" i="4"/>
  <c r="D30" i="4"/>
  <c r="C25" i="4"/>
  <c r="F25" i="4"/>
  <c r="B25" i="4"/>
  <c r="D25" i="4"/>
  <c r="G25" i="4"/>
  <c r="F3" i="4"/>
  <c r="G3" i="4"/>
  <c r="B3" i="4"/>
  <c r="D3" i="4"/>
  <c r="C3" i="4"/>
  <c r="F11" i="4"/>
  <c r="C11" i="4"/>
  <c r="G11" i="4"/>
  <c r="B11" i="4"/>
  <c r="D11" i="4"/>
  <c r="F19" i="4"/>
  <c r="C19" i="4"/>
  <c r="B19" i="4"/>
  <c r="D19" i="4"/>
  <c r="G19" i="4"/>
  <c r="G27" i="4"/>
  <c r="B27" i="4"/>
  <c r="C27" i="4"/>
  <c r="D27" i="4"/>
  <c r="F27" i="4"/>
  <c r="F35" i="4"/>
  <c r="C35" i="4"/>
  <c r="B35" i="4"/>
  <c r="D35" i="4"/>
  <c r="G35" i="4"/>
  <c r="F43" i="4"/>
  <c r="G43" i="4"/>
  <c r="B43" i="4"/>
  <c r="D43" i="4"/>
  <c r="C43" i="4"/>
  <c r="G6" i="4"/>
  <c r="B6" i="4"/>
  <c r="C6" i="4"/>
  <c r="D6" i="4"/>
  <c r="F6" i="4"/>
  <c r="G46" i="4"/>
  <c r="D46" i="4"/>
  <c r="C46" i="4"/>
  <c r="B46" i="4"/>
  <c r="F46" i="4"/>
  <c r="D41" i="4"/>
  <c r="B41" i="4"/>
  <c r="C41" i="4"/>
  <c r="F41" i="4"/>
  <c r="G41" i="4"/>
  <c r="B12" i="4"/>
  <c r="F12" i="4"/>
  <c r="C12" i="4"/>
  <c r="D12" i="4"/>
  <c r="G12" i="4"/>
  <c r="B44" i="4"/>
  <c r="F44" i="4"/>
  <c r="G44" i="4"/>
  <c r="C44" i="4"/>
  <c r="D44" i="4"/>
  <c r="G22" i="4"/>
  <c r="D22" i="4"/>
  <c r="C22" i="4"/>
  <c r="B22" i="4"/>
  <c r="F22" i="4"/>
  <c r="B17" i="4"/>
  <c r="C17" i="4"/>
  <c r="D17" i="4"/>
  <c r="F17" i="4"/>
  <c r="G17" i="4"/>
  <c r="G4" i="4"/>
  <c r="B4" i="4"/>
  <c r="C4" i="4"/>
  <c r="D4" i="4"/>
  <c r="F4" i="4"/>
  <c r="B20" i="4"/>
  <c r="D20" i="4"/>
  <c r="F20" i="4"/>
  <c r="C20" i="4"/>
  <c r="G20" i="4"/>
  <c r="B28" i="4"/>
  <c r="G28" i="4"/>
  <c r="C28" i="4"/>
  <c r="F28" i="4"/>
  <c r="D28" i="4"/>
  <c r="B36" i="4"/>
  <c r="F36" i="4"/>
  <c r="C36" i="4"/>
  <c r="D36" i="4"/>
  <c r="G36" i="4"/>
  <c r="D5" i="4"/>
  <c r="F5" i="4"/>
  <c r="G5" i="4"/>
  <c r="B5" i="4"/>
  <c r="C5" i="4"/>
  <c r="D13" i="4"/>
  <c r="F13" i="4"/>
  <c r="G13" i="4"/>
  <c r="B13" i="4"/>
  <c r="C13" i="4"/>
  <c r="D21" i="4"/>
  <c r="F21" i="4"/>
  <c r="G21" i="4"/>
  <c r="B21" i="4"/>
  <c r="C21" i="4"/>
  <c r="C29" i="4"/>
  <c r="D29" i="4"/>
  <c r="F29" i="4"/>
  <c r="G29" i="4"/>
  <c r="B29" i="4"/>
  <c r="D37" i="4"/>
  <c r="F37" i="4"/>
  <c r="G37" i="4"/>
  <c r="B37" i="4"/>
  <c r="C37" i="4"/>
  <c r="F45" i="4"/>
  <c r="G45" i="4"/>
  <c r="B45" i="4"/>
  <c r="C45" i="4"/>
  <c r="D45" i="4"/>
  <c r="B14" i="4"/>
  <c r="C14" i="4"/>
  <c r="D14" i="4"/>
  <c r="F14" i="4"/>
  <c r="G14" i="4"/>
  <c r="B15" i="4"/>
  <c r="C15" i="4"/>
  <c r="G15" i="4"/>
  <c r="D15" i="4"/>
  <c r="F15" i="4"/>
  <c r="C31" i="4"/>
  <c r="D31" i="4"/>
  <c r="F31" i="4"/>
  <c r="G31" i="4"/>
  <c r="B31" i="4"/>
  <c r="B47" i="4"/>
  <c r="C47" i="4"/>
  <c r="D47" i="4"/>
  <c r="F47" i="4"/>
  <c r="G47" i="4"/>
  <c r="B1" i="37" a="1"/>
  <c r="B1" i="37" s="1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15" i="8" l="1"/>
  <c r="E15" i="8"/>
  <c r="D15" i="8"/>
  <c r="F15" i="8"/>
  <c r="B20" i="8"/>
  <c r="D20" i="8"/>
  <c r="F20" i="8"/>
  <c r="E20" i="8"/>
  <c r="B22" i="8"/>
  <c r="F22" i="8"/>
  <c r="E22" i="8"/>
  <c r="D22" i="8"/>
  <c r="B27" i="8"/>
  <c r="E27" i="8"/>
  <c r="D27" i="8"/>
  <c r="F27" i="8"/>
  <c r="E18" i="7"/>
  <c r="F18" i="7"/>
  <c r="D18" i="7"/>
  <c r="C18" i="7"/>
  <c r="G18" i="7"/>
  <c r="B18" i="7"/>
  <c r="H18" i="7"/>
  <c r="B9" i="8"/>
  <c r="D9" i="8"/>
  <c r="E9" i="8"/>
  <c r="F9" i="8"/>
  <c r="C16" i="7"/>
  <c r="H16" i="7"/>
  <c r="F16" i="7"/>
  <c r="D16" i="7"/>
  <c r="E16" i="7"/>
  <c r="B16" i="7"/>
  <c r="G16" i="7"/>
  <c r="B15" i="7"/>
  <c r="G15" i="7"/>
  <c r="E15" i="7"/>
  <c r="C15" i="7"/>
  <c r="F15" i="7"/>
  <c r="H15" i="7"/>
  <c r="D15" i="7"/>
  <c r="H5" i="7"/>
  <c r="B5" i="7"/>
  <c r="E5" i="7"/>
  <c r="C5" i="7"/>
  <c r="G5" i="7"/>
  <c r="D5" i="7"/>
  <c r="F5" i="7"/>
  <c r="B6" i="8"/>
  <c r="F6" i="8"/>
  <c r="E6" i="8"/>
  <c r="D6" i="8"/>
  <c r="F27" i="7"/>
  <c r="E27" i="7"/>
  <c r="G27" i="7"/>
  <c r="B27" i="7"/>
  <c r="D27" i="7"/>
  <c r="H27" i="7"/>
  <c r="C27" i="7"/>
  <c r="F11" i="7"/>
  <c r="B11" i="7"/>
  <c r="D11" i="7"/>
  <c r="H11" i="7"/>
  <c r="C11" i="7"/>
  <c r="G11" i="7"/>
  <c r="E11" i="7"/>
  <c r="B10" i="8"/>
  <c r="E10" i="8"/>
  <c r="D10" i="8"/>
  <c r="F10" i="8"/>
  <c r="B23" i="8"/>
  <c r="F23" i="8"/>
  <c r="E23" i="8"/>
  <c r="D23" i="8"/>
  <c r="B12" i="8"/>
  <c r="E12" i="8"/>
  <c r="D12" i="8"/>
  <c r="F12" i="8"/>
  <c r="B6" i="7"/>
  <c r="F6" i="7"/>
  <c r="D6" i="7"/>
  <c r="H6" i="7"/>
  <c r="E6" i="7"/>
  <c r="G6" i="7"/>
  <c r="C6" i="7"/>
  <c r="B23" i="7"/>
  <c r="D23" i="7"/>
  <c r="G23" i="7"/>
  <c r="E23" i="7"/>
  <c r="F23" i="7"/>
  <c r="C23" i="7"/>
  <c r="H23" i="7"/>
  <c r="B13" i="8"/>
  <c r="E13" i="8"/>
  <c r="D13" i="8"/>
  <c r="F13" i="8"/>
  <c r="G20" i="7"/>
  <c r="C20" i="7"/>
  <c r="E20" i="7"/>
  <c r="D20" i="7"/>
  <c r="B20" i="7"/>
  <c r="H20" i="7"/>
  <c r="F20" i="7"/>
  <c r="B11" i="8"/>
  <c r="E11" i="8"/>
  <c r="D11" i="8"/>
  <c r="F11" i="8"/>
  <c r="B26" i="8"/>
  <c r="E26" i="8"/>
  <c r="D26" i="8"/>
  <c r="F26" i="8"/>
  <c r="F2" i="8"/>
  <c r="D2" i="8"/>
  <c r="E2" i="8"/>
  <c r="B2" i="8"/>
  <c r="B24" i="8"/>
  <c r="F24" i="8"/>
  <c r="E24" i="8"/>
  <c r="D24" i="8"/>
  <c r="B7" i="7"/>
  <c r="G7" i="7"/>
  <c r="C7" i="7"/>
  <c r="E7" i="7"/>
  <c r="F7" i="7"/>
  <c r="H7" i="7"/>
  <c r="D7" i="7"/>
  <c r="B5" i="8"/>
  <c r="D5" i="8"/>
  <c r="F5" i="8"/>
  <c r="E5" i="8"/>
  <c r="H13" i="7"/>
  <c r="F13" i="7"/>
  <c r="B13" i="7"/>
  <c r="E13" i="7"/>
  <c r="C13" i="7"/>
  <c r="G13" i="7"/>
  <c r="D13" i="7"/>
  <c r="B17" i="8"/>
  <c r="E17" i="8"/>
  <c r="D17" i="8"/>
  <c r="F17" i="8"/>
  <c r="G12" i="7"/>
  <c r="E12" i="7"/>
  <c r="D12" i="7"/>
  <c r="H12" i="7"/>
  <c r="B12" i="7"/>
  <c r="F12" i="7"/>
  <c r="C12" i="7"/>
  <c r="D25" i="7"/>
  <c r="G25" i="7"/>
  <c r="C25" i="7"/>
  <c r="H25" i="7"/>
  <c r="E25" i="7"/>
  <c r="B25" i="7"/>
  <c r="F25" i="7"/>
  <c r="B18" i="8"/>
  <c r="D18" i="8"/>
  <c r="F18" i="8"/>
  <c r="E18" i="8"/>
  <c r="C24" i="7"/>
  <c r="H24" i="7"/>
  <c r="F24" i="7"/>
  <c r="B24" i="7"/>
  <c r="G24" i="7"/>
  <c r="D24" i="7"/>
  <c r="E24" i="7"/>
  <c r="B8" i="8"/>
  <c r="F8" i="8"/>
  <c r="E8" i="8"/>
  <c r="D8" i="8"/>
  <c r="B14" i="8"/>
  <c r="E14" i="8"/>
  <c r="D14" i="8"/>
  <c r="F14" i="8"/>
  <c r="D17" i="7"/>
  <c r="G17" i="7"/>
  <c r="C17" i="7"/>
  <c r="H17" i="7"/>
  <c r="B17" i="7"/>
  <c r="F17" i="7"/>
  <c r="E17" i="7"/>
  <c r="F19" i="7"/>
  <c r="E19" i="7"/>
  <c r="B19" i="7"/>
  <c r="D19" i="7"/>
  <c r="H19" i="7"/>
  <c r="C19" i="7"/>
  <c r="G19" i="7"/>
  <c r="B3" i="8"/>
  <c r="D3" i="8"/>
  <c r="F3" i="8"/>
  <c r="E3" i="8"/>
  <c r="E10" i="7"/>
  <c r="D10" i="7"/>
  <c r="C10" i="7"/>
  <c r="G10" i="7"/>
  <c r="B10" i="7"/>
  <c r="H10" i="7"/>
  <c r="F10" i="7"/>
  <c r="D9" i="7"/>
  <c r="C9" i="7"/>
  <c r="H9" i="7"/>
  <c r="B9" i="7"/>
  <c r="F9" i="7"/>
  <c r="G9" i="7"/>
  <c r="E9" i="7"/>
  <c r="C8" i="7"/>
  <c r="F8" i="7"/>
  <c r="D8" i="7"/>
  <c r="B8" i="7"/>
  <c r="G8" i="7"/>
  <c r="E8" i="7"/>
  <c r="H8" i="7"/>
  <c r="B14" i="7"/>
  <c r="C14" i="7"/>
  <c r="F14" i="7"/>
  <c r="D14" i="7"/>
  <c r="H14" i="7"/>
  <c r="E14" i="7"/>
  <c r="G14" i="7"/>
  <c r="B21" i="8"/>
  <c r="D21" i="8"/>
  <c r="F21" i="8"/>
  <c r="E21" i="8"/>
  <c r="B4" i="8"/>
  <c r="D4" i="8"/>
  <c r="F4" i="8"/>
  <c r="E4" i="8"/>
  <c r="B19" i="8"/>
  <c r="D19" i="8"/>
  <c r="F19" i="8"/>
  <c r="E19" i="8"/>
  <c r="B25" i="8"/>
  <c r="E25" i="8"/>
  <c r="D25" i="8"/>
  <c r="F25" i="8"/>
  <c r="D2" i="7"/>
  <c r="E2" i="7"/>
  <c r="C2" i="7"/>
  <c r="G2" i="7"/>
  <c r="F2" i="7"/>
  <c r="B2" i="7"/>
  <c r="H2" i="7"/>
  <c r="H21" i="7"/>
  <c r="F21" i="7"/>
  <c r="B21" i="7"/>
  <c r="E21" i="7"/>
  <c r="C21" i="7"/>
  <c r="G21" i="7"/>
  <c r="D21" i="7"/>
  <c r="G4" i="7"/>
  <c r="E4" i="7"/>
  <c r="H4" i="7"/>
  <c r="D4" i="7"/>
  <c r="B4" i="7"/>
  <c r="F4" i="7"/>
  <c r="C4" i="7"/>
  <c r="B22" i="7"/>
  <c r="G22" i="7"/>
  <c r="C22" i="7"/>
  <c r="F22" i="7"/>
  <c r="D22" i="7"/>
  <c r="H22" i="7"/>
  <c r="E22" i="7"/>
  <c r="F3" i="7"/>
  <c r="D3" i="7"/>
  <c r="H3" i="7"/>
  <c r="G3" i="7"/>
  <c r="C3" i="7"/>
  <c r="E3" i="7"/>
  <c r="B3" i="7"/>
  <c r="E26" i="7"/>
  <c r="B26" i="7"/>
  <c r="H26" i="7"/>
  <c r="D26" i="7"/>
  <c r="F26" i="7"/>
  <c r="C26" i="7"/>
  <c r="G26" i="7"/>
  <c r="B16" i="8"/>
  <c r="D16" i="8"/>
  <c r="F16" i="8"/>
  <c r="E16" i="8"/>
  <c r="B7" i="8"/>
  <c r="F7" i="8"/>
  <c r="E7" i="8"/>
  <c r="D7" i="8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<sst xmlns="http://schemas.openxmlformats.org/spreadsheetml/2006/main" count="152" uniqueCount="98">
  <si>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</si>
  <si>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</si>
  <si>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</si>
  <si>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</si>
  <si>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</si>
  <si>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</si>
  <si>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</si>
  <si>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</si>
  <si>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</si>
  <si>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</si>
  <si>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</si>
  <si>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</si>
  <si>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</si>
  <si>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</si>
  <si>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</si>
  <si>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</si>
  <si>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</si>
  <si>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</si>
  <si>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</si>
  <si>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</si>
  <si>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</si>
  <si>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</si>
  <si>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</si>
  <si>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</si>
  <si>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</si>
  <si>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</si>
  <si>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</si>
  <si>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</si>
  <si>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</si>
  <si>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Global ESG Themes 1</t>
  </si>
  <si>
    <t>Global ESG Themes 2</t>
  </si>
  <si>
    <t>Global ESG Themes 3</t>
  </si>
  <si>
    <t>Global ESG Themes 4</t>
  </si>
  <si>
    <t>Global ESG Themes 5</t>
  </si>
  <si>
    <t>Global ESG Themes 6</t>
  </si>
  <si>
    <t>https://www.mandg.com/wealth/adviser-services/investment-solutions/mps/globalesg</t>
  </si>
  <si>
    <t>Passive with ETFs 1 (P-MP1)</t>
  </si>
  <si>
    <t>Passive with ETFs 2 (P-MP2)</t>
  </si>
  <si>
    <t>Passive with ETFs 3 (P-MP3)</t>
  </si>
  <si>
    <t>Passive with ETFs 4 (P-MP4)</t>
  </si>
  <si>
    <t>Passive with ETFs 5 (P-MP5)</t>
  </si>
  <si>
    <t>Passive no ETFs 1 (PF-MP1)</t>
  </si>
  <si>
    <t>Passive no ETFs 2 (PF-MP2)</t>
  </si>
  <si>
    <t>Passive no ETFs 3 (PF-MP3)</t>
  </si>
  <si>
    <t>Passive no ETFs 4 (PF-MP4)</t>
  </si>
  <si>
    <t>Passive no ETFs 5 (PF-MP5)</t>
  </si>
  <si>
    <t>https://www.mandg.com/wealth/adviser-services/investment-solutions/mps/passive</t>
  </si>
  <si>
    <t>Hybrid with ETFs 1 (H-MP1)</t>
  </si>
  <si>
    <t>Hybrid with ETFs 2 (H-MP2)</t>
  </si>
  <si>
    <t>Hybrid with ETFs 3 (H-MP3)</t>
  </si>
  <si>
    <t>Hybrid with ETFs 4 (H-MP4)</t>
  </si>
  <si>
    <t>Hybrid with ETFs 5 (H-MP5)</t>
  </si>
  <si>
    <t>Hybrid no ETFs 1 (HF-MP1)</t>
  </si>
  <si>
    <t>Hybrid no ETFs 2 (HF-MP2)</t>
  </si>
  <si>
    <t>Hybrid no ETFs 3 (HF-MP3)</t>
  </si>
  <si>
    <t>Hybrid no ETFs 4 (HF-MP4)</t>
  </si>
  <si>
    <t>Hybrid no ETFs 5 (HF-MP5)</t>
  </si>
  <si>
    <t>https://www.mandg.com/wealth/adviser-services/investment-solutions/mps/hybrid</t>
  </si>
  <si>
    <t>Global High Yield</t>
  </si>
  <si>
    <t>Emerging Market Debt</t>
  </si>
  <si>
    <t>UK Gilts</t>
  </si>
  <si>
    <t>UK Equities</t>
  </si>
  <si>
    <t>Listed Infrastructure</t>
  </si>
  <si>
    <t>Global Property</t>
  </si>
  <si>
    <t>US Investment Grade</t>
  </si>
  <si>
    <t>European Investment Grade</t>
  </si>
  <si>
    <t>US Government Bonds</t>
  </si>
  <si>
    <t>EM Bonds</t>
  </si>
  <si>
    <t>UK Corporate Bonds</t>
  </si>
  <si>
    <t>China Equity</t>
  </si>
  <si>
    <t>India Equity</t>
  </si>
  <si>
    <t>Investment Management Charge</t>
  </si>
  <si>
    <t>Estimated underlying Fund ongoing charge figure</t>
  </si>
  <si>
    <t>Annual Management Charge</t>
  </si>
  <si>
    <t>Unclassified</t>
  </si>
  <si>
    <t>3M</t>
  </si>
  <si>
    <t>6M</t>
  </si>
  <si>
    <t>YTD</t>
  </si>
  <si>
    <t>3Y</t>
  </si>
  <si>
    <t>5Y</t>
  </si>
  <si>
    <t>SINCE LAUNCH</t>
  </si>
  <si>
    <t>Europe ex UK Equity</t>
  </si>
  <si>
    <t>Asia ex-Japan Equity</t>
  </si>
  <si>
    <t>Emerging Markets Equity</t>
  </si>
  <si>
    <t>North American Equity</t>
  </si>
  <si>
    <t>Japanese Equity</t>
  </si>
  <si>
    <t>Global Investment Grade Bonds</t>
  </si>
  <si>
    <t>1 Year Performance</t>
  </si>
  <si>
    <t>3 Year Performance</t>
  </si>
  <si>
    <t>5 Year Performance</t>
  </si>
  <si>
    <t>High Yield</t>
  </si>
  <si>
    <t>Asia Pacific Equity</t>
  </si>
  <si>
    <t>https://documents.feprecisionplus.com/factsheet/mgwmp/fs/mg-wealth-global-esg-themes-1-t-mp1.pdf</t>
  </si>
  <si>
    <t>https://documents.feprecisionplus.com/factsheet/mgwmp/fs/mg-wealth-global-esg-themes-2-t-mp2.pdf</t>
  </si>
  <si>
    <t>https://documents.feprecisionplus.com/factsheet/mgwmp/fs/mg-wealth-global-esg-themes-3-t-mp3.pdf</t>
  </si>
  <si>
    <t>https://documents.feprecisionplus.com/factsheet/mgwmp/fs/mg-wealth-global-esg-themes-4-t-mp4.pdf</t>
  </si>
  <si>
    <t>https://documents.feprecisionplus.com/factsheet/mgwmp/fs/mg-wealth-global-esg-themes-5-t-mp5.pdf</t>
  </si>
  <si>
    <t>https://documents.feprecisionplus.com/factsheet/mgwmp/fs/mg-wealth-global-esg-themes-6-t-mp6.pdf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</si>
</sst>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273252</xdr:colOff>
      <xdr:row>13</xdr:row>
      <xdr:rowOff>114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A4755A-A575-4A9A-4A8F-19F660E78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930852" cy="22099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6</xdr:col>
      <xdr:colOff>330405</xdr:colOff>
      <xdr:row>23</xdr:row>
      <xdr:rowOff>146152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760FE8-1253-D53B-53B1-A0D84DC1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393950"/>
          <a:ext cx="3988005" cy="19876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82550</xdr:rowOff>
    </xdr:from>
    <xdr:to>
      <xdr:col>13</xdr:col>
      <xdr:colOff>387558</xdr:colOff>
      <xdr:row>16</xdr:row>
      <xdr:rowOff>31889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5750525-EECE-731B-B6F2-3F4316044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266700"/>
          <a:ext cx="4045158" cy="27115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P11" sqref="P11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8"/>
  <sheetViews>
    <sheetView tabSelected="1" workbookViewId="0">
      <selection activeCell="B3" sqref="B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29</v>
      </c>
      <c r="B3" t="str">
        <f>'PDF Scraping'!D2</f>
        <v>https://documents.feprecisionplus.com/factsheet/mgwmp/fs/mg-wealth-global-esg-themes-1-t-mp1.pdf</v>
      </c>
      <c r="J3" s="4"/>
    </row>
    <row r="4" spans="1:10" x14ac:dyDescent="0.25">
      <c r="A4" t="s">
        <v>30</v>
      </c>
      <c r="B4" t="str">
        <f>'PDF Scraping'!D3</f>
        <v>https://documents.feprecisionplus.com/factsheet/mgwmp/fs/mg-wealth-global-esg-themes-2-t-mp2.pdf</v>
      </c>
      <c r="J4" s="4"/>
    </row>
    <row r="5" spans="1:10" x14ac:dyDescent="0.25">
      <c r="A5" t="s">
        <v>31</v>
      </c>
      <c r="B5" t="str">
        <f>'PDF Scraping'!D4</f>
        <v>https://documents.feprecisionplus.com/factsheet/mgwmp/fs/mg-wealth-global-esg-themes-3-t-mp3.pdf</v>
      </c>
    </row>
    <row r="6" spans="1:10" x14ac:dyDescent="0.25">
      <c r="A6" t="s">
        <v>32</v>
      </c>
      <c r="B6" t="str">
        <f>'PDF Scraping'!D5</f>
        <v>https://documents.feprecisionplus.com/factsheet/mgwmp/fs/mg-wealth-global-esg-themes-4-t-mp4.pdf</v>
      </c>
    </row>
    <row r="7" spans="1:10" x14ac:dyDescent="0.25">
      <c r="A7" t="s">
        <v>33</v>
      </c>
      <c r="B7" t="str">
        <f>'PDF Scraping'!D6</f>
        <v>https://documents.feprecisionplus.com/factsheet/mgwmp/fs/mg-wealth-global-esg-themes-5-t-mp5.pdf</v>
      </c>
    </row>
    <row r="8" spans="1:10" x14ac:dyDescent="0.25">
      <c r="A8" t="s">
        <v>34</v>
      </c>
      <c r="B8" t="str">
        <f>'PDF Scraping'!D7</f>
        <v>https://documents.feprecisionplus.com/factsheet/mgwmp/fs/mg-wealth-global-esg-themes-6-t-mp6.pdf</v>
      </c>
    </row>
    <row r="9" spans="1:10" x14ac:dyDescent="0.25">
      <c r="A9" t="s">
        <v>36</v>
      </c>
      <c r="B9">
        <f>'PDF Scraping'!D8</f>
        <v>0</v>
      </c>
    </row>
    <row r="10" spans="1:10" x14ac:dyDescent="0.25">
      <c r="A10" t="s">
        <v>37</v>
      </c>
      <c r="B10">
        <f>'PDF Scraping'!D9</f>
        <v>0</v>
      </c>
    </row>
    <row r="11" spans="1:10" x14ac:dyDescent="0.25">
      <c r="A11" t="s">
        <v>38</v>
      </c>
      <c r="B11">
        <f>'PDF Scraping'!D10</f>
        <v>0</v>
      </c>
    </row>
    <row r="12" spans="1:10" x14ac:dyDescent="0.25">
      <c r="A12" t="s">
        <v>39</v>
      </c>
      <c r="B12">
        <f>'PDF Scraping'!D11</f>
        <v>0</v>
      </c>
    </row>
    <row r="13" spans="1:10" x14ac:dyDescent="0.25">
      <c r="A13" t="s">
        <v>40</v>
      </c>
      <c r="B13">
        <f>'PDF Scraping'!D12</f>
        <v>0</v>
      </c>
    </row>
    <row r="14" spans="1:10" x14ac:dyDescent="0.25">
      <c r="A14" t="s">
        <v>41</v>
      </c>
      <c r="B14">
        <f>'PDF Scraping'!D13</f>
        <v>0</v>
      </c>
    </row>
    <row r="15" spans="1:10" x14ac:dyDescent="0.25">
      <c r="A15" t="s">
        <v>42</v>
      </c>
      <c r="B15">
        <f>'PDF Scraping'!D14</f>
        <v>0</v>
      </c>
    </row>
    <row r="16" spans="1:10" x14ac:dyDescent="0.25">
      <c r="A16" t="s">
        <v>43</v>
      </c>
      <c r="B16">
        <f>'PDF Scraping'!D15</f>
        <v>0</v>
      </c>
    </row>
    <row r="17" spans="1:2" x14ac:dyDescent="0.25">
      <c r="A17" t="s">
        <v>44</v>
      </c>
      <c r="B17">
        <f>'PDF Scraping'!D16</f>
        <v>0</v>
      </c>
    </row>
    <row r="18" spans="1:2" x14ac:dyDescent="0.25">
      <c r="A18" t="s">
        <v>45</v>
      </c>
      <c r="B18">
        <f>'PDF Scraping'!D17</f>
        <v>0</v>
      </c>
    </row>
    <row r="19" spans="1:2" x14ac:dyDescent="0.25">
      <c r="A19" t="s">
        <v>47</v>
      </c>
      <c r="B19">
        <f>'PDF Scraping'!D18</f>
        <v>0</v>
      </c>
    </row>
    <row r="20" spans="1:2" x14ac:dyDescent="0.25">
      <c r="A20" t="s">
        <v>48</v>
      </c>
      <c r="B20">
        <f>'PDF Scraping'!D19</f>
        <v>0</v>
      </c>
    </row>
    <row r="21" spans="1:2" x14ac:dyDescent="0.25">
      <c r="A21" t="s">
        <v>49</v>
      </c>
      <c r="B21">
        <f>'PDF Scraping'!D20</f>
        <v>0</v>
      </c>
    </row>
    <row r="22" spans="1:2" x14ac:dyDescent="0.25">
      <c r="A22" t="s">
        <v>50</v>
      </c>
      <c r="B22">
        <f>'PDF Scraping'!D21</f>
        <v>0</v>
      </c>
    </row>
    <row r="23" spans="1:2" x14ac:dyDescent="0.25">
      <c r="A23" t="s">
        <v>51</v>
      </c>
      <c r="B23">
        <f>'PDF Scraping'!D22</f>
        <v>0</v>
      </c>
    </row>
    <row r="24" spans="1:2" x14ac:dyDescent="0.25">
      <c r="A24" t="s">
        <v>52</v>
      </c>
      <c r="B24">
        <f>'PDF Scraping'!D23</f>
        <v>0</v>
      </c>
    </row>
    <row r="25" spans="1:2" x14ac:dyDescent="0.25">
      <c r="A25" t="s">
        <v>53</v>
      </c>
      <c r="B25">
        <f>'PDF Scraping'!D24</f>
        <v>0</v>
      </c>
    </row>
    <row r="26" spans="1:2" x14ac:dyDescent="0.25">
      <c r="A26" t="s">
        <v>54</v>
      </c>
      <c r="B26">
        <f>'PDF Scraping'!D25</f>
        <v>0</v>
      </c>
    </row>
    <row r="27" spans="1:2" x14ac:dyDescent="0.25">
      <c r="A27" t="s">
        <v>55</v>
      </c>
      <c r="B27">
        <f>'PDF Scraping'!D26</f>
        <v>0</v>
      </c>
    </row>
    <row r="28" spans="1:2" x14ac:dyDescent="0.25">
      <c r="A28" t="s">
        <v>56</v>
      </c>
      <c r="B28">
        <f>'PDF Scraping'!D27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50"/>
  <sheetViews>
    <sheetView topLeftCell="C1" workbookViewId="0">
      <selection activeCell="D3" sqref="D3"/>
    </sheetView>
  </sheetViews>
  <sheetFormatPr defaultRowHeight="15" x14ac:dyDescent="0.25"/>
  <cols>
    <col min="1" max="1" width="26.140625" bestFit="1" customWidth="1"/>
    <col min="2" max="2" width="19.140625" customWidth="1"/>
    <col min="3" max="3" width="33.140625" bestFit="1" customWidth="1"/>
    <col min="4" max="4" width="42.140625" bestFit="1" customWidth="1"/>
    <col min="5" max="5" width="21.5703125" bestFit="1" customWidth="1"/>
    <col min="6" max="6" width="13.7109375" bestFit="1" customWidth="1"/>
  </cols>
  <sheetData>
    <row r="1" spans="1:11" x14ac:dyDescent="0.25">
      <c r="B1" t="s">
        <v>22</v>
      </c>
      <c r="C1" t="s">
        <v>71</v>
      </c>
      <c r="D1" t="s">
        <v>72</v>
      </c>
      <c r="E1" t="s">
        <v>27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</row>
    <row r="2" spans="1:11" x14ac:dyDescent="0.25">
      <c r="A2" t="str">
        <f>IF(Input!A3="","",Input!A3)</f>
        <v>Global ESG Themes 1</v>
      </c>
      <c r="B2" s="1"/>
      <c r="C2" s="5"/>
      <c r="D2" s="5"/>
      <c r="E2" s="5"/>
      <c r="F2" s="5"/>
      <c r="G2" s="5"/>
      <c r="H2" s="5"/>
      <c r="I2" s="5"/>
      <c r="J2" s="5"/>
      <c r="K2" s="5"/>
    </row>
    <row r="3" spans="1:11" x14ac:dyDescent="0.25">
      <c r="A3" t="str">
        <f>IF(Input!A4="","",Input!A4)</f>
        <v>Global ESG Themes 2</v>
      </c>
      <c r="B3" s="1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t="str">
        <f>IF(Input!A5="","",Input!A5)</f>
        <v>Global ESG Themes 3</v>
      </c>
      <c r="B4" s="1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t="str">
        <f>IF(Input!A6="","",Input!A6)</f>
        <v>Global ESG Themes 4</v>
      </c>
      <c r="B5" s="1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t="str">
        <f>IF(Input!A7="","",Input!A7)</f>
        <v>Global ESG Themes 5</v>
      </c>
      <c r="B6" s="1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t="str">
        <f>IF(Input!A8="","",Input!A8)</f>
        <v>Global ESG Themes 6</v>
      </c>
      <c r="B7" s="1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t="str">
        <f>IF(Input!A9="","",Input!A9)</f>
        <v>Passive with ETFs 1 (P-MP1)</v>
      </c>
      <c r="B8" s="1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t="str">
        <f>IF(Input!A10="","",Input!A10)</f>
        <v>Passive with ETFs 2 (P-MP2)</v>
      </c>
      <c r="B9" s="1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t="str">
        <f>IF(Input!A11="","",Input!A11)</f>
        <v>Passive with ETFs 3 (P-MP3)</v>
      </c>
      <c r="B10" s="1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t="str">
        <f>IF(Input!A12="","",Input!A12)</f>
        <v>Passive with ETFs 4 (P-MP4)</v>
      </c>
      <c r="B11" s="1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t="str">
        <f>IF(Input!A13="","",Input!A13)</f>
        <v>Passive with ETFs 5 (P-MP5)</v>
      </c>
      <c r="B12" s="1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t="str">
        <f>IF(Input!A14="","",Input!A14)</f>
        <v>Passive no ETFs 1 (PF-MP1)</v>
      </c>
      <c r="B13" s="1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t="str">
        <f>IF(Input!A15="","",Input!A15)</f>
        <v>Passive no ETFs 2 (PF-MP2)</v>
      </c>
      <c r="B14" s="1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t="str">
        <f>IF(Input!A16="","",Input!A16)</f>
        <v>Passive no ETFs 3 (PF-MP3)</v>
      </c>
      <c r="B15" s="1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t="str">
        <f>IF(Input!A17="","",Input!A17)</f>
        <v>Passive no ETFs 4 (PF-MP4)</v>
      </c>
      <c r="B16" s="1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t="str">
        <f>IF(Input!A18="","",Input!A18)</f>
        <v>Passive no ETFs 5 (PF-MP5)</v>
      </c>
      <c r="B17" s="1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t="str">
        <f>IF(Input!A19="","",Input!A19)</f>
        <v>Hybrid with ETFs 1 (H-MP1)</v>
      </c>
      <c r="B18" s="1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25">
      <c r="A19" t="str">
        <f>IF(Input!A20="","",Input!A20)</f>
        <v>Hybrid with ETFs 2 (H-MP2)</v>
      </c>
      <c r="B19" s="1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25">
      <c r="A20" t="str">
        <f>IF(Input!A21="","",Input!A21)</f>
        <v>Hybrid with ETFs 3 (H-MP3)</v>
      </c>
      <c r="B20" s="1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25">
      <c r="A21" t="str">
        <f>IF(Input!A22="","",Input!A22)</f>
        <v>Hybrid with ETFs 4 (H-MP4)</v>
      </c>
      <c r="B21" s="1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25">
      <c r="A22" t="str">
        <f>IF(Input!A23="","",Input!A23)</f>
        <v>Hybrid with ETFs 5 (H-MP5)</v>
      </c>
      <c r="B22" s="1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25">
      <c r="A23" t="str">
        <f>IF(Input!A24="","",Input!A24)</f>
        <v>Hybrid no ETFs 1 (HF-MP1)</v>
      </c>
      <c r="B23" s="1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25">
      <c r="A24" t="str">
        <f>IF(Input!A25="","",Input!A25)</f>
        <v>Hybrid no ETFs 2 (HF-MP2)</v>
      </c>
      <c r="B24" s="1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25">
      <c r="A25" t="str">
        <f>IF(Input!A26="","",Input!A26)</f>
        <v>Hybrid no ETFs 3 (HF-MP3)</v>
      </c>
      <c r="B25" s="7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25">
      <c r="A26" t="str">
        <f>IF(Input!A27="","",Input!A27)</f>
        <v>Hybrid no ETFs 4 (HF-MP4)</v>
      </c>
      <c r="B26" s="7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25">
      <c r="A27" t="str">
        <f>IF(Input!A28="","",Input!A28)</f>
        <v>Hybrid no ETFs 5 (HF-MP5)</v>
      </c>
      <c r="B27" s="7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25">
      <c r="A28" t="str">
        <f>IF(Input!A29="","",Input!A29)</f>
        <v/>
      </c>
      <c r="B28" s="7"/>
      <c r="C28" s="5"/>
    </row>
    <row r="29" spans="1:11" x14ac:dyDescent="0.25">
      <c r="A29" t="str">
        <f>IF(Input!A30="","",Input!A30)</f>
        <v/>
      </c>
      <c r="B29" s="7"/>
      <c r="C29" s="5"/>
    </row>
    <row r="30" spans="1:11" x14ac:dyDescent="0.25">
      <c r="A30" t="str">
        <f>IF(Input!A31="","",Input!A31)</f>
        <v/>
      </c>
      <c r="B30" s="7"/>
      <c r="C30" s="5"/>
    </row>
    <row r="31" spans="1:11" x14ac:dyDescent="0.25">
      <c r="A31" t="str">
        <f>IF(Input!A32="","",Input!A32)</f>
        <v/>
      </c>
      <c r="B31" s="7"/>
      <c r="C31" s="5"/>
    </row>
    <row r="32" spans="1:11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J50"/>
  <sheetViews>
    <sheetView topLeftCell="B1" workbookViewId="0">
      <selection activeCell="V2" sqref="V2"/>
    </sheetView>
  </sheetViews>
  <sheetFormatPr defaultRowHeight="15" x14ac:dyDescent="0.25"/>
  <cols>
    <col min="1" max="1" width="23.85546875" bestFit="1" customWidth="1"/>
    <col min="2" max="2" width="5.85546875" bestFit="1" customWidth="1"/>
    <col min="3" max="3" width="18.5703125" bestFit="1" customWidth="1"/>
    <col min="4" max="4" width="19.7109375" bestFit="1" customWidth="1"/>
    <col min="5" max="5" width="17.85546875" bestFit="1" customWidth="1"/>
    <col min="6" max="6" width="14.42578125" bestFit="1" customWidth="1"/>
    <col min="7" max="7" width="24.5703125" bestFit="1" customWidth="1"/>
    <col min="8" max="8" width="17.7109375" bestFit="1" customWidth="1"/>
    <col min="9" max="9" width="9.140625" bestFit="1" customWidth="1"/>
    <col min="10" max="10" width="13.85546875" bestFit="1" customWidth="1"/>
    <col min="11" max="11" width="17.85546875" bestFit="1" customWidth="1"/>
    <col min="12" max="12" width="14.85546875" bestFit="1" customWidth="1"/>
    <col min="13" max="13" width="21.7109375" bestFit="1" customWidth="1"/>
    <col min="14" max="14" width="7.140625" bestFit="1" customWidth="1"/>
    <col min="15" max="15" width="11.140625" bestFit="1" customWidth="1"/>
    <col min="16" max="16" width="17.85546875" bestFit="1" customWidth="1"/>
    <col min="17" max="17" width="10.5703125" bestFit="1" customWidth="1"/>
    <col min="18" max="18" width="19.85546875" bestFit="1" customWidth="1"/>
    <col min="19" max="19" width="14.140625" bestFit="1" customWidth="1"/>
    <col min="20" max="20" width="10.140625" bestFit="1" customWidth="1"/>
    <col min="21" max="21" width="27.5703125" bestFit="1" customWidth="1"/>
    <col min="22" max="22" width="11.85546875" bestFit="1" customWidth="1"/>
    <col min="23" max="23" width="18.5703125" bestFit="1" customWidth="1"/>
    <col min="24" max="24" width="21.7109375" bestFit="1" customWidth="1"/>
    <col min="25" max="25" width="17.5703125" bestFit="1" customWidth="1"/>
    <col min="26" max="26" width="20.5703125" bestFit="1" customWidth="1"/>
    <col min="27" max="27" width="18.28515625" bestFit="1" customWidth="1"/>
    <col min="28" max="28" width="24.5703125" bestFit="1" customWidth="1"/>
    <col min="29" max="29" width="19.7109375" bestFit="1" customWidth="1"/>
    <col min="30" max="30" width="9.140625" bestFit="1" customWidth="1"/>
    <col min="31" max="31" width="22.5703125" bestFit="1" customWidth="1"/>
    <col min="32" max="32" width="10.5703125" bestFit="1" customWidth="1"/>
    <col min="33" max="33" width="17.85546875" bestFit="1" customWidth="1"/>
    <col min="34" max="34" width="23" bestFit="1" customWidth="1"/>
    <col min="35" max="35" width="11.140625" bestFit="1" customWidth="1"/>
    <col min="36" max="36" width="10.5703125" bestFit="1" customWidth="1"/>
  </cols>
  <sheetData>
    <row r="1" spans="1:36" x14ac:dyDescent="0.25">
      <c r="B1" t="s">
        <v>4</v>
      </c>
      <c r="C1" t="s">
        <v>64</v>
      </c>
      <c r="D1" t="s">
        <v>66</v>
      </c>
      <c r="E1" t="s">
        <v>68</v>
      </c>
      <c r="F1" t="s">
        <v>1</v>
      </c>
      <c r="G1" t="s">
        <v>65</v>
      </c>
      <c r="H1" t="s">
        <v>81</v>
      </c>
      <c r="I1" t="s">
        <v>67</v>
      </c>
      <c r="J1" t="s">
        <v>63</v>
      </c>
      <c r="K1" t="s">
        <v>82</v>
      </c>
      <c r="L1" t="s">
        <v>58</v>
      </c>
      <c r="M1" t="s">
        <v>83</v>
      </c>
      <c r="N1" t="s">
        <v>60</v>
      </c>
      <c r="O1" t="s">
        <v>69</v>
      </c>
      <c r="P1" t="s">
        <v>62</v>
      </c>
      <c r="Q1" t="s">
        <v>70</v>
      </c>
      <c r="R1" t="s">
        <v>84</v>
      </c>
      <c r="S1" t="s">
        <v>85</v>
      </c>
      <c r="T1" t="s">
        <v>61</v>
      </c>
      <c r="U1" t="s">
        <v>86</v>
      </c>
      <c r="V1" t="s">
        <v>17</v>
      </c>
      <c r="W1" t="s">
        <v>91</v>
      </c>
    </row>
    <row r="2" spans="1:36" x14ac:dyDescent="0.25">
      <c r="A2" t="str">
        <f>IF(Input!A3="","",Input!A3)</f>
        <v>Global ESG Themes 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Z2" s="5"/>
      <c r="AB2" s="5"/>
      <c r="AC2" s="5"/>
      <c r="AE2" s="5"/>
    </row>
    <row r="3" spans="1:36" x14ac:dyDescent="0.25">
      <c r="A3" t="str">
        <f>IF(Input!A4="","",Input!A4)</f>
        <v>Global ESG Themes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6" x14ac:dyDescent="0.25">
      <c r="A4" t="str">
        <f>IF(Input!A5="","",Input!A5)</f>
        <v>Global ESG Themes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Z4" s="5"/>
      <c r="AB4" s="5"/>
      <c r="AC4" s="5"/>
      <c r="AE4" s="5"/>
    </row>
    <row r="5" spans="1:36" x14ac:dyDescent="0.25">
      <c r="A5" t="str">
        <f>IF(Input!A6="","",Input!A6)</f>
        <v>Global ESG Themes 4</v>
      </c>
      <c r="B5" s="5"/>
      <c r="C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Z5" s="5"/>
      <c r="AB5" s="5"/>
      <c r="AC5" s="5"/>
      <c r="AE5" s="5"/>
    </row>
    <row r="6" spans="1:36" x14ac:dyDescent="0.25">
      <c r="A6" t="str">
        <f>IF(Input!A7="","",Input!A7)</f>
        <v>Global ESG Themes 5</v>
      </c>
      <c r="B6" s="5"/>
      <c r="C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Z6" s="5"/>
      <c r="AB6" s="5"/>
      <c r="AC6" s="5"/>
      <c r="AE6" s="5"/>
    </row>
    <row r="7" spans="1:36" x14ac:dyDescent="0.25">
      <c r="A7" t="str">
        <f>IF(Input!A8="","",Input!A8)</f>
        <v>Global ESG Themes 6</v>
      </c>
      <c r="B7" s="5"/>
      <c r="C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AD7" s="5"/>
      <c r="AE7" s="5"/>
    </row>
    <row r="8" spans="1:36" x14ac:dyDescent="0.25">
      <c r="A8" t="str">
        <f>IF(Input!A9="","",Input!A9)</f>
        <v>Passive with ETFs 1 (P-MP1)</v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W8" s="5"/>
      <c r="Z8" s="5"/>
      <c r="AB8" s="5"/>
      <c r="AC8" s="5"/>
      <c r="AD8" s="5"/>
      <c r="AE8" s="5"/>
      <c r="AG8" s="5"/>
    </row>
    <row r="9" spans="1:36" x14ac:dyDescent="0.25">
      <c r="A9" t="str">
        <f>IF(Input!A10="","",Input!A10)</f>
        <v>Passive with ETFs 2 (P-MP2)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W9" s="5"/>
      <c r="Z9" s="5"/>
      <c r="AB9" s="5"/>
      <c r="AC9" s="5"/>
      <c r="AD9" s="5"/>
      <c r="AE9" s="5"/>
      <c r="AG9" s="5"/>
    </row>
    <row r="10" spans="1:36" x14ac:dyDescent="0.25">
      <c r="A10" t="str">
        <f>IF(Input!A11="","",Input!A11)</f>
        <v>Passive with ETFs 3 (P-MP3)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W10" s="5"/>
      <c r="Z10" s="5"/>
      <c r="AB10" s="5"/>
      <c r="AC10" s="5"/>
      <c r="AD10" s="5"/>
      <c r="AE10" s="5"/>
      <c r="AG10" s="5"/>
    </row>
    <row r="11" spans="1:36" x14ac:dyDescent="0.25">
      <c r="A11" t="str">
        <f>IF(Input!A12="","",Input!A12)</f>
        <v>Passive with ETFs 4 (P-MP4)</v>
      </c>
      <c r="B11" s="5"/>
      <c r="C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W11" s="5"/>
      <c r="Z11" s="5"/>
      <c r="AB11" s="5"/>
      <c r="AC11" s="5"/>
      <c r="AD11" s="5"/>
      <c r="AE11" s="5"/>
      <c r="AG11" s="5"/>
    </row>
    <row r="12" spans="1:36" x14ac:dyDescent="0.25">
      <c r="A12" t="str">
        <f>IF(Input!A13="","",Input!A13)</f>
        <v>Passive with ETFs 5 (P-MP5)</v>
      </c>
      <c r="B12" s="5"/>
      <c r="C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W12" s="5"/>
      <c r="Z12" s="5"/>
      <c r="AB12" s="5"/>
      <c r="AC12" s="5"/>
      <c r="AD12" s="5"/>
      <c r="AE12" s="5"/>
      <c r="AG12" s="5"/>
    </row>
    <row r="13" spans="1:36" x14ac:dyDescent="0.25">
      <c r="A13" t="str">
        <f>IF(Input!A14="","",Input!A14)</f>
        <v>Passive no ETFs 1 (PF-MP1)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W13" s="5"/>
      <c r="Z13" s="5"/>
      <c r="AB13" s="5"/>
      <c r="AC13" s="5"/>
      <c r="AD13" s="5"/>
      <c r="AE13" s="5"/>
      <c r="AG13" s="5"/>
    </row>
    <row r="14" spans="1:36" x14ac:dyDescent="0.25">
      <c r="A14" t="str">
        <f>IF(Input!A15="","",Input!A15)</f>
        <v>Passive no ETFs 2 (PF-MP2)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W14" s="5"/>
      <c r="Z14" s="5"/>
      <c r="AB14" s="5"/>
      <c r="AC14" s="5"/>
      <c r="AD14" s="5"/>
      <c r="AE14" s="5"/>
      <c r="AG14" s="5"/>
    </row>
    <row r="15" spans="1:36" x14ac:dyDescent="0.25">
      <c r="A15" t="str">
        <f>IF(Input!A16="","",Input!A16)</f>
        <v>Passive no ETFs 3 (PF-MP3)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W15" s="5"/>
      <c r="Z15" s="5"/>
      <c r="AB15" s="5"/>
      <c r="AC15" s="5"/>
      <c r="AD15" s="5"/>
      <c r="AE15" s="5"/>
      <c r="AG15" s="5"/>
    </row>
    <row r="16" spans="1:36" x14ac:dyDescent="0.25">
      <c r="A16" t="str">
        <f>IF(Input!A17="","",Input!A17)</f>
        <v>Passive no ETFs 4 (PF-MP4)</v>
      </c>
      <c r="B16" s="5"/>
      <c r="C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W16" s="5"/>
      <c r="Z16" s="5"/>
      <c r="AB16" s="5"/>
      <c r="AC16" s="5"/>
      <c r="AD16" s="5"/>
      <c r="AE16" s="5"/>
      <c r="AG16" s="5"/>
    </row>
    <row r="17" spans="1:36" x14ac:dyDescent="0.25">
      <c r="A17" t="str">
        <f>IF(Input!A18="","",Input!A18)</f>
        <v>Passive no ETFs 5 (PF-MP5)</v>
      </c>
      <c r="B17" s="5"/>
      <c r="C17" s="5"/>
      <c r="E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W17" s="5"/>
      <c r="Y17" s="5"/>
      <c r="Z17" s="5"/>
      <c r="AB17" s="5"/>
      <c r="AC17" s="5"/>
      <c r="AD17" s="5"/>
      <c r="AE17" s="5"/>
      <c r="AG17" s="5"/>
    </row>
    <row r="18" spans="1:36" x14ac:dyDescent="0.25">
      <c r="A18" t="str">
        <f>IF(Input!A19="","",Input!A19)</f>
        <v>Hybrid with ETFs 1 (H-MP1)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Z18" s="5"/>
      <c r="AB18" s="5"/>
      <c r="AC18" s="5"/>
      <c r="AD18" s="5"/>
      <c r="AE18" s="5"/>
      <c r="AG18" s="5"/>
      <c r="AI18" s="5"/>
      <c r="AJ18" s="5"/>
    </row>
    <row r="19" spans="1:36" x14ac:dyDescent="0.25">
      <c r="A19" t="str">
        <f>IF(Input!A20="","",Input!A20)</f>
        <v>Hybrid with ETFs 2 (H-MP2)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W19" s="5"/>
      <c r="X19" s="5"/>
      <c r="Y19" s="5"/>
      <c r="Z19" s="5"/>
      <c r="AB19" s="5"/>
      <c r="AC19" s="5"/>
      <c r="AD19" s="5"/>
      <c r="AE19" s="5"/>
      <c r="AG19" s="5"/>
      <c r="AI19" s="5"/>
      <c r="AJ19" s="5"/>
    </row>
    <row r="20" spans="1:36" x14ac:dyDescent="0.25">
      <c r="A20" t="str">
        <f>IF(Input!A21="","",Input!A21)</f>
        <v>Hybrid with ETFs 3 (H-MP3)</v>
      </c>
      <c r="B20" s="5"/>
      <c r="C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W20" s="5"/>
      <c r="X20" s="5"/>
      <c r="Y20" s="5"/>
      <c r="Z20" s="5"/>
      <c r="AB20" s="5"/>
      <c r="AC20" s="5"/>
      <c r="AD20" s="5"/>
      <c r="AE20" s="5"/>
      <c r="AG20" s="5"/>
      <c r="AI20" s="5"/>
      <c r="AJ20" s="5"/>
    </row>
    <row r="21" spans="1:36" x14ac:dyDescent="0.25">
      <c r="A21" t="str">
        <f>IF(Input!A22="","",Input!A22)</f>
        <v>Hybrid with ETFs 4 (H-MP4)</v>
      </c>
      <c r="B21" s="5"/>
      <c r="C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  <c r="Y21" s="5"/>
      <c r="Z21" s="5"/>
      <c r="AB21" s="5"/>
      <c r="AC21" s="5"/>
      <c r="AD21" s="5"/>
      <c r="AE21" s="5"/>
      <c r="AG21" s="5"/>
      <c r="AI21" s="5"/>
      <c r="AJ21" s="5"/>
    </row>
    <row r="22" spans="1:36" x14ac:dyDescent="0.25">
      <c r="A22" t="str">
        <f>IF(Input!A23="","",Input!A23)</f>
        <v>Hybrid with ETFs 5 (H-MP5)</v>
      </c>
      <c r="B22" s="5"/>
      <c r="C22" s="5"/>
      <c r="E22" s="5"/>
      <c r="F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Z22" s="5"/>
      <c r="AD22" s="5"/>
      <c r="AE22" s="5"/>
      <c r="AG22" s="5"/>
      <c r="AI22" s="5"/>
      <c r="AJ22" s="5"/>
    </row>
    <row r="23" spans="1:36" x14ac:dyDescent="0.25">
      <c r="A23" t="str">
        <f>IF(Input!A24="","",Input!A24)</f>
        <v>Hybrid no ETFs 1 (HF-MP1)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W23" s="5"/>
      <c r="Y23" s="5"/>
      <c r="Z23" s="5"/>
      <c r="AB23" s="5"/>
      <c r="AC23" s="5"/>
      <c r="AD23" s="5"/>
      <c r="AE23" s="5"/>
      <c r="AG23" s="5"/>
      <c r="AI23" s="5"/>
      <c r="AJ23" s="5"/>
    </row>
    <row r="24" spans="1:36" x14ac:dyDescent="0.25">
      <c r="A24" t="str">
        <f>IF(Input!A25="","",Input!A25)</f>
        <v>Hybrid no ETFs 2 (HF-MP2)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W24" s="5"/>
      <c r="Y24" s="5"/>
      <c r="Z24" s="5"/>
      <c r="AB24" s="5"/>
      <c r="AC24" s="5"/>
      <c r="AD24" s="5"/>
      <c r="AE24" s="5"/>
      <c r="AG24" s="5"/>
      <c r="AI24" s="5"/>
      <c r="AJ24" s="5"/>
    </row>
    <row r="25" spans="1:36" x14ac:dyDescent="0.25">
      <c r="A25" t="str">
        <f>IF(Input!A26="","",Input!A26)</f>
        <v>Hybrid no ETFs 3 (HF-MP3)</v>
      </c>
      <c r="B25" s="5"/>
      <c r="C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Z25" s="5"/>
      <c r="AB25" s="5"/>
      <c r="AC25" s="5"/>
      <c r="AD25" s="5"/>
      <c r="AE25" s="5"/>
      <c r="AG25" s="5"/>
      <c r="AI25" s="5"/>
      <c r="AJ25" s="5"/>
    </row>
    <row r="26" spans="1:36" x14ac:dyDescent="0.25">
      <c r="A26" t="str">
        <f>IF(Input!A27="","",Input!A27)</f>
        <v>Hybrid no ETFs 4 (HF-MP4)</v>
      </c>
      <c r="B26" s="5"/>
      <c r="C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Z26" s="5"/>
      <c r="AB26" s="5"/>
      <c r="AC26" s="5"/>
      <c r="AD26" s="5"/>
      <c r="AE26" s="5"/>
      <c r="AG26" s="5"/>
      <c r="AI26" s="5"/>
      <c r="AJ26" s="5"/>
    </row>
    <row r="27" spans="1:36" x14ac:dyDescent="0.25">
      <c r="A27" t="str">
        <f>IF(Input!A28="","",Input!A28)</f>
        <v>Hybrid no ETFs 5 (HF-MP5)</v>
      </c>
      <c r="B27" s="5"/>
      <c r="C27" s="5"/>
      <c r="E27" s="5"/>
      <c r="F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AB27" s="5"/>
      <c r="AD27" s="5"/>
      <c r="AE27" s="5"/>
      <c r="AG27" s="5"/>
      <c r="AI27" s="5"/>
      <c r="AJ27" s="5"/>
    </row>
    <row r="28" spans="1:36" x14ac:dyDescent="0.25">
      <c r="A28" t="str">
        <f>IF(Input!A29="","",Input!A29)</f>
        <v/>
      </c>
      <c r="B28" s="5"/>
      <c r="H28" s="5"/>
      <c r="L28" s="5"/>
      <c r="N28" s="5"/>
      <c r="P28" s="5"/>
      <c r="R28" s="5"/>
      <c r="U28" s="5"/>
      <c r="W28" s="5"/>
      <c r="AB28" s="5"/>
      <c r="AC28" s="5"/>
    </row>
    <row r="29" spans="1:36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36" x14ac:dyDescent="0.25">
      <c r="A30" t="str">
        <f>IF(Input!A31="","",Input!A31)</f>
        <v/>
      </c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36" x14ac:dyDescent="0.25">
      <c r="A31" t="str">
        <f>IF(Input!A32="","",Input!A32)</f>
        <v/>
      </c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36" x14ac:dyDescent="0.25">
      <c r="A32" t="str">
        <f>IF(Input!A33="","",Input!A33)</f>
        <v/>
      </c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G4" sqref="G4"/>
    </sheetView>
  </sheetViews>
  <sheetFormatPr defaultRowHeight="15" x14ac:dyDescent="0.25"/>
  <cols>
    <col min="1" max="1" width="19.5703125" bestFit="1" customWidth="1"/>
    <col min="4" max="4" width="8.7109375" style="8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28</v>
      </c>
    </row>
    <row r="2" spans="1:5" x14ac:dyDescent="0.25">
      <c r="A2" t="str">
        <f>IF(Input!A3="","",Input!A3)</f>
        <v>Global ESG Themes 1</v>
      </c>
      <c r="B2" t="s">
        <v>35</v>
      </c>
      <c r="C2" t="s">
        <v>29</v>
      </c>
      <c r="D2" s="8" t="s">
        <v>92</v>
      </c>
    </row>
    <row r="3" spans="1:5" x14ac:dyDescent="0.25">
      <c r="A3" t="str">
        <f>IF(Input!A4="","",Input!A4)</f>
        <v>Global ESG Themes 2</v>
      </c>
      <c r="B3" t="s">
        <v>35</v>
      </c>
      <c r="C3" t="s">
        <v>30</v>
      </c>
      <c r="D3" s="8" t="s">
        <v>93</v>
      </c>
    </row>
    <row r="4" spans="1:5" x14ac:dyDescent="0.25">
      <c r="A4" t="str">
        <f>IF(Input!A5="","",Input!A5)</f>
        <v>Global ESG Themes 3</v>
      </c>
      <c r="B4" t="s">
        <v>35</v>
      </c>
      <c r="C4" t="s">
        <v>31</v>
      </c>
      <c r="D4" s="8" t="s">
        <v>94</v>
      </c>
    </row>
    <row r="5" spans="1:5" x14ac:dyDescent="0.25">
      <c r="A5" t="str">
        <f>IF(Input!A6="","",Input!A6)</f>
        <v>Global ESG Themes 4</v>
      </c>
      <c r="B5" t="s">
        <v>35</v>
      </c>
      <c r="C5" t="s">
        <v>32</v>
      </c>
      <c r="D5" s="8" t="s">
        <v>95</v>
      </c>
    </row>
    <row r="6" spans="1:5" x14ac:dyDescent="0.25">
      <c r="A6" t="str">
        <f>IF(Input!A7="","",Input!A7)</f>
        <v>Global ESG Themes 5</v>
      </c>
      <c r="B6" t="s">
        <v>35</v>
      </c>
      <c r="C6" t="s">
        <v>33</v>
      </c>
      <c r="D6" s="8" t="s">
        <v>96</v>
      </c>
    </row>
    <row r="7" spans="1:5" x14ac:dyDescent="0.25">
      <c r="A7" t="str">
        <f>IF(Input!A8="","",Input!A8)</f>
        <v>Global ESG Themes 6</v>
      </c>
      <c r="B7" t="s">
        <v>35</v>
      </c>
      <c r="C7" t="s">
        <v>34</v>
      </c>
      <c r="D7" s="8" t="s">
        <v>97</v>
      </c>
    </row>
    <row r="8" spans="1:5" x14ac:dyDescent="0.25">
      <c r="A8" t="str">
        <f>IF(Input!A9="","",Input!A9)</f>
        <v>Passive with ETFs 1 (P-MP1)</v>
      </c>
      <c r="B8" t="s">
        <v>46</v>
      </c>
      <c r="C8" t="s">
        <v>36</v>
      </c>
    </row>
    <row r="9" spans="1:5" x14ac:dyDescent="0.25">
      <c r="A9" t="str">
        <f>IF(Input!A10="","",Input!A10)</f>
        <v>Passive with ETFs 2 (P-MP2)</v>
      </c>
      <c r="B9" t="s">
        <v>46</v>
      </c>
      <c r="C9" t="s">
        <v>37</v>
      </c>
    </row>
    <row r="10" spans="1:5" x14ac:dyDescent="0.25">
      <c r="A10" t="str">
        <f>IF(Input!A11="","",Input!A11)</f>
        <v>Passive with ETFs 3 (P-MP3)</v>
      </c>
      <c r="B10" t="s">
        <v>46</v>
      </c>
      <c r="C10" t="s">
        <v>38</v>
      </c>
    </row>
    <row r="11" spans="1:5" x14ac:dyDescent="0.25">
      <c r="A11" t="str">
        <f>IF(Input!A12="","",Input!A12)</f>
        <v>Passive with ETFs 4 (P-MP4)</v>
      </c>
      <c r="B11" t="s">
        <v>46</v>
      </c>
      <c r="C11" t="s">
        <v>39</v>
      </c>
    </row>
    <row r="12" spans="1:5" x14ac:dyDescent="0.25">
      <c r="A12" t="str">
        <f>IF(Input!A13="","",Input!A13)</f>
        <v>Passive with ETFs 5 (P-MP5)</v>
      </c>
      <c r="B12" t="s">
        <v>46</v>
      </c>
      <c r="C12" t="s">
        <v>40</v>
      </c>
    </row>
    <row r="13" spans="1:5" x14ac:dyDescent="0.25">
      <c r="A13" t="str">
        <f>IF(Input!A14="","",Input!A14)</f>
        <v>Passive no ETFs 1 (PF-MP1)</v>
      </c>
      <c r="B13" t="s">
        <v>46</v>
      </c>
      <c r="C13" t="s">
        <v>41</v>
      </c>
    </row>
    <row r="14" spans="1:5" x14ac:dyDescent="0.25">
      <c r="A14" t="str">
        <f>IF(Input!A15="","",Input!A15)</f>
        <v>Passive no ETFs 2 (PF-MP2)</v>
      </c>
      <c r="B14" t="s">
        <v>46</v>
      </c>
      <c r="C14" t="s">
        <v>42</v>
      </c>
    </row>
    <row r="15" spans="1:5" x14ac:dyDescent="0.25">
      <c r="A15" t="str">
        <f>IF(Input!A16="","",Input!A16)</f>
        <v>Passive no ETFs 3 (PF-MP3)</v>
      </c>
      <c r="B15" t="s">
        <v>46</v>
      </c>
      <c r="C15" t="s">
        <v>43</v>
      </c>
    </row>
    <row r="16" spans="1:5" x14ac:dyDescent="0.25">
      <c r="A16" t="str">
        <f>IF(Input!A17="","",Input!A17)</f>
        <v>Passive no ETFs 4 (PF-MP4)</v>
      </c>
      <c r="B16" t="s">
        <v>46</v>
      </c>
      <c r="C16" t="s">
        <v>44</v>
      </c>
    </row>
    <row r="17" spans="1:3" x14ac:dyDescent="0.25">
      <c r="A17" t="str">
        <f>IF(Input!A18="","",Input!A18)</f>
        <v>Passive no ETFs 5 (PF-MP5)</v>
      </c>
      <c r="B17" t="s">
        <v>46</v>
      </c>
      <c r="C17" t="s">
        <v>45</v>
      </c>
    </row>
    <row r="18" spans="1:3" x14ac:dyDescent="0.25">
      <c r="A18" t="str">
        <f>IF(Input!A19="","",Input!A19)</f>
        <v>Hybrid with ETFs 1 (H-MP1)</v>
      </c>
      <c r="B18" t="s">
        <v>57</v>
      </c>
      <c r="C18" t="s">
        <v>47</v>
      </c>
    </row>
    <row r="19" spans="1:3" x14ac:dyDescent="0.25">
      <c r="A19" t="str">
        <f>IF(Input!A20="","",Input!A20)</f>
        <v>Hybrid with ETFs 2 (H-MP2)</v>
      </c>
      <c r="B19" t="s">
        <v>57</v>
      </c>
      <c r="C19" t="s">
        <v>48</v>
      </c>
    </row>
    <row r="20" spans="1:3" x14ac:dyDescent="0.25">
      <c r="A20" t="str">
        <f>IF(Input!A21="","",Input!A21)</f>
        <v>Hybrid with ETFs 3 (H-MP3)</v>
      </c>
      <c r="B20" t="s">
        <v>57</v>
      </c>
      <c r="C20" t="s">
        <v>49</v>
      </c>
    </row>
    <row r="21" spans="1:3" x14ac:dyDescent="0.25">
      <c r="A21" t="str">
        <f>IF(Input!A22="","",Input!A22)</f>
        <v>Hybrid with ETFs 4 (H-MP4)</v>
      </c>
      <c r="B21" t="s">
        <v>57</v>
      </c>
      <c r="C21" t="s">
        <v>50</v>
      </c>
    </row>
    <row r="22" spans="1:3" x14ac:dyDescent="0.25">
      <c r="A22" t="str">
        <f>IF(Input!A23="","",Input!A23)</f>
        <v>Hybrid with ETFs 5 (H-MP5)</v>
      </c>
      <c r="B22" t="s">
        <v>57</v>
      </c>
      <c r="C22" t="s">
        <v>51</v>
      </c>
    </row>
    <row r="23" spans="1:3" x14ac:dyDescent="0.25">
      <c r="A23" t="str">
        <f>IF(Input!A24="","",Input!A24)</f>
        <v>Hybrid no ETFs 1 (HF-MP1)</v>
      </c>
      <c r="B23" t="s">
        <v>57</v>
      </c>
      <c r="C23" t="s">
        <v>52</v>
      </c>
    </row>
    <row r="24" spans="1:3" x14ac:dyDescent="0.25">
      <c r="A24" t="str">
        <f>IF(Input!A25="","",Input!A25)</f>
        <v>Hybrid no ETFs 2 (HF-MP2)</v>
      </c>
      <c r="B24" t="s">
        <v>57</v>
      </c>
      <c r="C24" t="s">
        <v>53</v>
      </c>
    </row>
    <row r="25" spans="1:3" x14ac:dyDescent="0.25">
      <c r="A25" t="str">
        <f>IF(Input!A26="","",Input!A26)</f>
        <v>Hybrid no ETFs 3 (HF-MP3)</v>
      </c>
      <c r="B25" t="s">
        <v>57</v>
      </c>
      <c r="C25" t="s">
        <v>54</v>
      </c>
    </row>
    <row r="26" spans="1:3" x14ac:dyDescent="0.25">
      <c r="A26" t="str">
        <f>IF(Input!A27="","",Input!A27)</f>
        <v>Hybrid no ETFs 4 (HF-MP4)</v>
      </c>
      <c r="B26" t="s">
        <v>57</v>
      </c>
      <c r="C26" t="s">
        <v>55</v>
      </c>
    </row>
    <row r="27" spans="1:3" x14ac:dyDescent="0.25">
      <c r="A27" t="str">
        <f>IF(Input!A28="","",Input!A28)</f>
        <v>Hybrid no ETFs 5 (HF-MP5)</v>
      </c>
      <c r="B27" t="s">
        <v>57</v>
      </c>
      <c r="C27" t="s">
        <v>56</v>
      </c>
    </row>
    <row r="28" spans="1:3" x14ac:dyDescent="0.25">
      <c r="A28" t="str">
        <f>IF(Input!A29="","",Input!A29)</f>
        <v/>
      </c>
    </row>
    <row r="29" spans="1:3" x14ac:dyDescent="0.25">
      <c r="A29" t="str">
        <f>IF(Input!A30="","",Input!A30)</f>
        <v/>
      </c>
    </row>
    <row r="30" spans="1:3" x14ac:dyDescent="0.25">
      <c r="A30" t="str">
        <f>IF(Input!A31="","",Input!A31)</f>
        <v/>
      </c>
    </row>
    <row r="31" spans="1:3" x14ac:dyDescent="0.25">
      <c r="A31" t="str">
        <f>IF(Input!A32="","",Input!A32)</f>
        <v/>
      </c>
    </row>
    <row r="32" spans="1:3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Global ESG Themes 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Global ESG Themes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Global ESG Themes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Global ESG Themes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Global ESG Themes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Global ESG Themes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Passive with ETFs 1 (P-MP1)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with ETFs 2 (P-MP2)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Passive with ETFs 3 (P-MP3)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Passive with ETFs 4 (P-MP4)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Passive with ETFs 5 (P-MP5)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Passive no ETFs 1 (PF-MP1)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Passive no ETFs 2 (PF-MP2)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Passive no ETFs 3 (PF-MP3)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Passive no ETFs 4 (PF-MP4)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Passive no ETFs 5 (PF-MP5)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Hybrid with ETFs 1 (H-MP1)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Hybrid with ETFs 2 (H-MP2)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Hybrid with ETFs 3 (H-MP3)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Hybrid with ETFs 4 (H-MP4)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Hybrid with ETFs 5 (H-MP5)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Hybrid no ETFs 1 (HF-MP1)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Hybrid no ETFs 2 (HF-MP2)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Hybrid no ETFs 3 (HF-MP3)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Hybrid no ETFs 4 (HF-MP4)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Hybrid no ETFs 5 (HF-MP5)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87</v>
      </c>
      <c r="D1" t="s">
        <v>18</v>
      </c>
      <c r="E1" t="s">
        <v>73</v>
      </c>
      <c r="F1" t="s">
        <v>88</v>
      </c>
      <c r="G1" t="s">
        <v>89</v>
      </c>
    </row>
    <row r="2" spans="1:7" x14ac:dyDescent="0.25">
      <c r="A2" t="str">
        <f>IF(Input!A3="","",Input!A3)</f>
        <v>Global ESG Themes 1</v>
      </c>
      <c r="C2">
        <f>IF(A2="","",IF('Additional Information'!E2="-","",'Additional Information'!E2))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  <c r="F2">
        <f>IF(A2="","",IF('Additional Information'!I2="-","",'Additional Information'!I2))</f>
        <v>0</v>
      </c>
      <c r="G2">
        <f>IF(A2="","",IF('Additional Information'!J2="-","",'Additional Information'!J2))</f>
        <v>0</v>
      </c>
    </row>
    <row r="3" spans="1:7" x14ac:dyDescent="0.25">
      <c r="A3" t="str">
        <f>IF(Input!A4="","",Input!A4)</f>
        <v>Global ESG Themes 2</v>
      </c>
      <c r="C3">
        <f>IF(A3="","",IF('Additional Information'!E3="-","",'Additional Information'!E3))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  <c r="F3">
        <f>IF(A3="","",IF('Additional Information'!I3="-","",'Additional Information'!I3))</f>
        <v>0</v>
      </c>
      <c r="G3">
        <f>IF(A3="","",IF('Additional Information'!J3="-","",'Additional Information'!J3))</f>
        <v>0</v>
      </c>
    </row>
    <row r="4" spans="1:7" x14ac:dyDescent="0.25">
      <c r="A4" t="str">
        <f>IF(Input!A5="","",Input!A5)</f>
        <v>Global ESG Themes 3</v>
      </c>
      <c r="C4">
        <f>IF(A4="","",IF('Additional Information'!E4="-","",'Additional Information'!E4))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  <c r="F4">
        <f>IF(A4="","",IF('Additional Information'!I4="-","",'Additional Information'!I4))</f>
        <v>0</v>
      </c>
      <c r="G4">
        <f>IF(A4="","",IF('Additional Information'!J4="-","",'Additional Information'!J4))</f>
        <v>0</v>
      </c>
    </row>
    <row r="5" spans="1:7" x14ac:dyDescent="0.25">
      <c r="A5" t="str">
        <f>IF(Input!A6="","",Input!A6)</f>
        <v>Global ESG Themes 4</v>
      </c>
      <c r="C5">
        <f>IF(A5="","",IF('Additional Information'!E5="-","",'Additional Information'!E5))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  <c r="F5">
        <f>IF(A5="","",IF('Additional Information'!I5="-","",'Additional Information'!I5))</f>
        <v>0</v>
      </c>
      <c r="G5">
        <f>IF(A5="","",IF('Additional Information'!J5="-","",'Additional Information'!J5))</f>
        <v>0</v>
      </c>
    </row>
    <row r="6" spans="1:7" x14ac:dyDescent="0.25">
      <c r="A6" t="str">
        <f>IF(Input!A7="","",Input!A7)</f>
        <v>Global ESG Themes 5</v>
      </c>
      <c r="C6">
        <f>IF(A6="","",IF('Additional Information'!E6="-","",'Additional Information'!E6))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  <c r="F6">
        <f>IF(A6="","",IF('Additional Information'!I6="-","",'Additional Information'!I6))</f>
        <v>0</v>
      </c>
      <c r="G6">
        <f>IF(A6="","",IF('Additional Information'!J6="-","",'Additional Information'!J6))</f>
        <v>0</v>
      </c>
    </row>
    <row r="7" spans="1:7" x14ac:dyDescent="0.25">
      <c r="A7" t="str">
        <f>IF(Input!A8="","",Input!A8)</f>
        <v>Global ESG Themes 6</v>
      </c>
      <c r="C7">
        <f>IF(A7="","",IF('Additional Information'!E7="-","",'Additional Information'!E7))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  <c r="F7">
        <f>IF(A7="","",IF('Additional Information'!I7="-","",'Additional Information'!I7))</f>
        <v>0</v>
      </c>
      <c r="G7">
        <f>IF(A7="","",IF('Additional Information'!J7="-","",'Additional Information'!J7))</f>
        <v>0</v>
      </c>
    </row>
    <row r="8" spans="1:7" x14ac:dyDescent="0.25">
      <c r="A8" t="str">
        <f>IF(Input!A9="","",Input!A9)</f>
        <v>Passive with ETFs 1 (P-MP1)</v>
      </c>
      <c r="C8">
        <f>IF(A8="","",IF('Additional Information'!E8="-","",'Additional Information'!E8))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  <c r="F8">
        <f>IF(A8="","",IF('Additional Information'!I8="-","",'Additional Information'!I8))</f>
        <v>0</v>
      </c>
      <c r="G8">
        <f>IF(A8="","",IF('Additional Information'!J8="-","",'Additional Information'!J8))</f>
        <v>0</v>
      </c>
    </row>
    <row r="9" spans="1:7" x14ac:dyDescent="0.25">
      <c r="A9" t="str">
        <f>IF(Input!A10="","",Input!A10)</f>
        <v>Passive with ETFs 2 (P-MP2)</v>
      </c>
      <c r="C9">
        <f>IF(A9="","",IF('Additional Information'!E9="-","",'Additional Information'!E9))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  <c r="F9">
        <f>IF(A9="","",IF('Additional Information'!I9="-","",'Additional Information'!I9))</f>
        <v>0</v>
      </c>
      <c r="G9">
        <f>IF(A9="","",IF('Additional Information'!J9="-","",'Additional Information'!J9))</f>
        <v>0</v>
      </c>
    </row>
    <row r="10" spans="1:7" x14ac:dyDescent="0.25">
      <c r="A10" t="str">
        <f>IF(Input!A11="","",Input!A11)</f>
        <v>Passive with ETFs 3 (P-MP3)</v>
      </c>
      <c r="C10">
        <f>IF(A10="","",IF('Additional Information'!E10="-","",'Additional Information'!E10))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>
        <f>IF(A10="","",IF('Additional Information'!I10="-","",'Additional Information'!I10))</f>
        <v>0</v>
      </c>
      <c r="G10">
        <f>IF(A10="","",IF('Additional Information'!J10="-","",'Additional Information'!J10))</f>
        <v>0</v>
      </c>
    </row>
    <row r="11" spans="1:7" x14ac:dyDescent="0.25">
      <c r="A11" t="str">
        <f>IF(Input!A12="","",Input!A12)</f>
        <v>Passive with ETFs 4 (P-MP4)</v>
      </c>
      <c r="C11">
        <f>IF(A11="","",IF('Additional Information'!E11="-","",'Additional Information'!E11))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>
        <f>IF(A11="","",IF('Additional Information'!I11="-","",'Additional Information'!I11))</f>
        <v>0</v>
      </c>
      <c r="G11">
        <f>IF(A11="","",IF('Additional Information'!J11="-","",'Additional Information'!J11))</f>
        <v>0</v>
      </c>
    </row>
    <row r="12" spans="1:7" x14ac:dyDescent="0.25">
      <c r="A12" t="str">
        <f>IF(Input!A13="","",Input!A13)</f>
        <v>Passive with ETFs 5 (P-MP5)</v>
      </c>
      <c r="C12">
        <f>IF(A12="","",IF('Additional Information'!E12="-","",'Additional Information'!E12))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>
        <f>IF(A12="","",IF('Additional Information'!I12="-","",'Additional Information'!I12))</f>
        <v>0</v>
      </c>
      <c r="G12">
        <f>IF(A12="","",IF('Additional Information'!J12="-","",'Additional Information'!J12))</f>
        <v>0</v>
      </c>
    </row>
    <row r="13" spans="1:7" x14ac:dyDescent="0.25">
      <c r="A13" t="str">
        <f>IF(Input!A14="","",Input!A14)</f>
        <v>Passive no ETFs 1 (PF-MP1)</v>
      </c>
      <c r="C13">
        <f>IF(A13="","",IF('Additional Information'!E13="-","",'Additional Information'!E13))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>
        <f>IF(A13="","",IF('Additional Information'!I13="-","",'Additional Information'!I13))</f>
        <v>0</v>
      </c>
      <c r="G13">
        <f>IF(A13="","",IF('Additional Information'!J13="-","",'Additional Information'!J13))</f>
        <v>0</v>
      </c>
    </row>
    <row r="14" spans="1:7" x14ac:dyDescent="0.25">
      <c r="A14" t="str">
        <f>IF(Input!A15="","",Input!A15)</f>
        <v>Passive no ETFs 2 (PF-MP2)</v>
      </c>
      <c r="C14">
        <f>IF(A14="","",IF('Additional Information'!E14="-","",'Additional Information'!E14))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>
        <f>IF(A14="","",IF('Additional Information'!I14="-","",'Additional Information'!I14))</f>
        <v>0</v>
      </c>
      <c r="G14">
        <f>IF(A14="","",IF('Additional Information'!J14="-","",'Additional Information'!J14))</f>
        <v>0</v>
      </c>
    </row>
    <row r="15" spans="1:7" x14ac:dyDescent="0.25">
      <c r="A15" t="str">
        <f>IF(Input!A16="","",Input!A16)</f>
        <v>Passive no ETFs 3 (PF-MP3)</v>
      </c>
      <c r="C15">
        <f>IF(A15="","",IF('Additional Information'!E15="-","",'Additional Information'!E15))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  <c r="F15">
        <f>IF(A15="","",IF('Additional Information'!I15="-","",'Additional Information'!I15))</f>
        <v>0</v>
      </c>
      <c r="G15">
        <f>IF(A15="","",IF('Additional Information'!J15="-","",'Additional Information'!J15))</f>
        <v>0</v>
      </c>
    </row>
    <row r="16" spans="1:7" x14ac:dyDescent="0.25">
      <c r="A16" t="str">
        <f>IF(Input!A17="","",Input!A17)</f>
        <v>Passive no ETFs 4 (PF-MP4)</v>
      </c>
      <c r="C16">
        <f>IF(A16="","",IF('Additional Information'!E16="-","",'Additional Information'!E16))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  <c r="F16">
        <f>IF(A16="","",IF('Additional Information'!I16="-","",'Additional Information'!I16))</f>
        <v>0</v>
      </c>
      <c r="G16">
        <f>IF(A16="","",IF('Additional Information'!J16="-","",'Additional Information'!J16))</f>
        <v>0</v>
      </c>
    </row>
    <row r="17" spans="1:7" x14ac:dyDescent="0.25">
      <c r="A17" t="str">
        <f>IF(Input!A18="","",Input!A18)</f>
        <v>Passive no ETFs 5 (PF-MP5)</v>
      </c>
      <c r="C17">
        <f>IF(A17="","",IF('Additional Information'!E17="-","",'Additional Information'!E17))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  <c r="F17">
        <f>IF(A17="","",IF('Additional Information'!I17="-","",'Additional Information'!I17))</f>
        <v>0</v>
      </c>
      <c r="G17">
        <f>IF(A17="","",IF('Additional Information'!J17="-","",'Additional Information'!J17))</f>
        <v>0</v>
      </c>
    </row>
    <row r="18" spans="1:7" x14ac:dyDescent="0.25">
      <c r="A18" t="str">
        <f>IF(Input!A19="","",Input!A19)</f>
        <v>Hybrid with ETFs 1 (H-MP1)</v>
      </c>
      <c r="C18">
        <f>IF(A18="","",IF('Additional Information'!E18="-","",'Additional Information'!E18))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  <c r="F18">
        <f>IF(A18="","",IF('Additional Information'!I18="-","",'Additional Information'!I18))</f>
        <v>0</v>
      </c>
      <c r="G18">
        <f>IF(A18="","",IF('Additional Information'!J18="-","",'Additional Information'!J18))</f>
        <v>0</v>
      </c>
    </row>
    <row r="19" spans="1:7" x14ac:dyDescent="0.25">
      <c r="A19" t="str">
        <f>IF(Input!A20="","",Input!A20)</f>
        <v>Hybrid with ETFs 2 (H-MP2)</v>
      </c>
      <c r="C19">
        <f>IF(A19="","",IF('Additional Information'!E19="-","",'Additional Information'!E19))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  <c r="F19">
        <f>IF(A19="","",IF('Additional Information'!I19="-","",'Additional Information'!I19))</f>
        <v>0</v>
      </c>
      <c r="G19">
        <f>IF(A19="","",IF('Additional Information'!J19="-","",'Additional Information'!J19))</f>
        <v>0</v>
      </c>
    </row>
    <row r="20" spans="1:7" x14ac:dyDescent="0.25">
      <c r="A20" t="str">
        <f>IF(Input!A21="","",Input!A21)</f>
        <v>Hybrid with ETFs 3 (H-MP3)</v>
      </c>
      <c r="C20">
        <f>IF(A20="","",IF('Additional Information'!E20="-","",'Additional Information'!E20))</f>
        <v>0</v>
      </c>
      <c r="D20" s="5">
        <f>IF(A20="","",SUM('Additional Information'!C20,'Additional Information'!D20))</f>
        <v>0</v>
      </c>
      <c r="E20">
        <f>IF(A20="","",SUM('Additional Information'!C20))</f>
        <v>0</v>
      </c>
      <c r="F20">
        <f>IF(A20="","",IF('Additional Information'!I20="-","",'Additional Information'!I20))</f>
        <v>0</v>
      </c>
      <c r="G20">
        <f>IF(A20="","",IF('Additional Information'!J20="-","",'Additional Information'!J20))</f>
        <v>0</v>
      </c>
    </row>
    <row r="21" spans="1:7" x14ac:dyDescent="0.25">
      <c r="A21" t="str">
        <f>IF(Input!A22="","",Input!A22)</f>
        <v>Hybrid with ETFs 4 (H-MP4)</v>
      </c>
      <c r="C21">
        <f>IF(A21="","",IF('Additional Information'!E21="-","",'Additional Information'!E21))</f>
        <v>0</v>
      </c>
      <c r="D21" s="5">
        <f>IF(A21="","",SUM('Additional Information'!C21,'Additional Information'!D21))</f>
        <v>0</v>
      </c>
      <c r="E21">
        <f>IF(A21="","",SUM('Additional Information'!C21))</f>
        <v>0</v>
      </c>
      <c r="F21">
        <f>IF(A21="","",IF('Additional Information'!I21="-","",'Additional Information'!I21))</f>
        <v>0</v>
      </c>
      <c r="G21">
        <f>IF(A21="","",IF('Additional Information'!J21="-","",'Additional Information'!J21))</f>
        <v>0</v>
      </c>
    </row>
    <row r="22" spans="1:7" x14ac:dyDescent="0.25">
      <c r="A22" t="str">
        <f>IF(Input!A23="","",Input!A23)</f>
        <v>Hybrid with ETFs 5 (H-MP5)</v>
      </c>
      <c r="C22">
        <f>IF(A22="","",IF('Additional Information'!E22="-","",'Additional Information'!E22))</f>
        <v>0</v>
      </c>
      <c r="D22" s="5">
        <f>IF(A22="","",SUM('Additional Information'!C22,'Additional Information'!D22))</f>
        <v>0</v>
      </c>
      <c r="E22">
        <f>IF(A22="","",SUM('Additional Information'!C22))</f>
        <v>0</v>
      </c>
      <c r="F22">
        <f>IF(A22="","",IF('Additional Information'!I22="-","",'Additional Information'!I22))</f>
        <v>0</v>
      </c>
      <c r="G22">
        <f>IF(A22="","",IF('Additional Information'!J22="-","",'Additional Information'!J22))</f>
        <v>0</v>
      </c>
    </row>
    <row r="23" spans="1:7" x14ac:dyDescent="0.25">
      <c r="A23" t="str">
        <f>IF(Input!A24="","",Input!A24)</f>
        <v>Hybrid no ETFs 1 (HF-MP1)</v>
      </c>
      <c r="C23">
        <f>IF(A23="","",IF('Additional Information'!E23="-","",'Additional Information'!E23))</f>
        <v>0</v>
      </c>
      <c r="D23" s="5">
        <f>IF(A23="","",SUM('Additional Information'!C23,'Additional Information'!D23))</f>
        <v>0</v>
      </c>
      <c r="E23">
        <f>IF(A23="","",SUM('Additional Information'!C23))</f>
        <v>0</v>
      </c>
      <c r="F23">
        <f>IF(A23="","",IF('Additional Information'!I23="-","",'Additional Information'!I23))</f>
        <v>0</v>
      </c>
      <c r="G23">
        <f>IF(A23="","",IF('Additional Information'!J23="-","",'Additional Information'!J23))</f>
        <v>0</v>
      </c>
    </row>
    <row r="24" spans="1:7" x14ac:dyDescent="0.25">
      <c r="A24" t="str">
        <f>IF(Input!A25="","",Input!A25)</f>
        <v>Hybrid no ETFs 2 (HF-MP2)</v>
      </c>
      <c r="C24">
        <f>IF(A24="","",IF('Additional Information'!E24="-","",'Additional Information'!E24))</f>
        <v>0</v>
      </c>
      <c r="D24" s="5">
        <f>IF(A24="","",SUM('Additional Information'!C24,'Additional Information'!D24))</f>
        <v>0</v>
      </c>
      <c r="E24">
        <f>IF(A24="","",SUM('Additional Information'!C24))</f>
        <v>0</v>
      </c>
      <c r="F24">
        <f>IF(A24="","",IF('Additional Information'!I24="-","",'Additional Information'!I24))</f>
        <v>0</v>
      </c>
      <c r="G24">
        <f>IF(A24="","",IF('Additional Information'!J24="-","",'Additional Information'!J24))</f>
        <v>0</v>
      </c>
    </row>
    <row r="25" spans="1:7" x14ac:dyDescent="0.25">
      <c r="A25" t="str">
        <f>IF(Input!A26="","",Input!A26)</f>
        <v>Hybrid no ETFs 3 (HF-MP3)</v>
      </c>
      <c r="C25">
        <f>IF(A25="","",IF('Additional Information'!E25="-","",'Additional Information'!E25))</f>
        <v>0</v>
      </c>
      <c r="D25" s="5">
        <f>IF(A25="","",SUM('Additional Information'!C25,'Additional Information'!D25))</f>
        <v>0</v>
      </c>
      <c r="E25">
        <f>IF(A25="","",SUM('Additional Information'!C25))</f>
        <v>0</v>
      </c>
      <c r="F25">
        <f>IF(A25="","",IF('Additional Information'!I25="-","",'Additional Information'!I25))</f>
        <v>0</v>
      </c>
      <c r="G25">
        <f>IF(A25="","",IF('Additional Information'!J25="-","",'Additional Information'!J25))</f>
        <v>0</v>
      </c>
    </row>
    <row r="26" spans="1:7" x14ac:dyDescent="0.25">
      <c r="A26" t="str">
        <f>IF(Input!A27="","",Input!A27)</f>
        <v>Hybrid no ETFs 4 (HF-MP4)</v>
      </c>
      <c r="C26">
        <f>IF(A26="","",IF('Additional Information'!E26="-","",'Additional Information'!E26))</f>
        <v>0</v>
      </c>
      <c r="D26" s="5">
        <f>IF(A26="","",SUM('Additional Information'!C26,'Additional Information'!D26))</f>
        <v>0</v>
      </c>
      <c r="E26">
        <f>IF(A26="","",SUM('Additional Information'!C26))</f>
        <v>0</v>
      </c>
      <c r="F26">
        <f>IF(A26="","",IF('Additional Information'!I26="-","",'Additional Information'!I26))</f>
        <v>0</v>
      </c>
      <c r="G26">
        <f>IF(A26="","",IF('Additional Information'!J26="-","",'Additional Information'!J26))</f>
        <v>0</v>
      </c>
    </row>
    <row r="27" spans="1:7" x14ac:dyDescent="0.25">
      <c r="A27" t="str">
        <f>IF(Input!A28="","",Input!A28)</f>
        <v>Hybrid no ETFs 5 (HF-MP5)</v>
      </c>
      <c r="C27">
        <f>IF(A27="","",IF('Additional Information'!E27="-","",'Additional Information'!E27))</f>
        <v>0</v>
      </c>
      <c r="D27" s="5">
        <f>IF(A27="","",SUM('Additional Information'!C27,'Additional Information'!D27))</f>
        <v>0</v>
      </c>
      <c r="E27">
        <f>IF(A27="","",SUM('Additional Information'!C27))</f>
        <v>0</v>
      </c>
      <c r="F27">
        <f>IF(A27="","",IF('Additional Information'!I27="-","",'Additional Information'!I27))</f>
        <v>0</v>
      </c>
      <c r="G27">
        <f>IF(A27="","",IF('Additional Information'!J27="-","",'Additional Information'!J27))</f>
        <v>0</v>
      </c>
    </row>
    <row r="28" spans="1:7" x14ac:dyDescent="0.25">
      <c r="A28" t="str">
        <f>IF(Input!A29="","",Input!A29)</f>
        <v/>
      </c>
      <c r="C28" t="str">
        <f>IF(A28="","",IF('Additional Information'!E28="-","",'Additional Information'!E28))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IF(A28="","",IF('Additional Information'!I28="-","",'Additional Information'!I28))</f>
        <v/>
      </c>
      <c r="G28" t="str">
        <f>IF(A28="","",IF('Additional Information'!J28="-","",'Additional Information'!J28))</f>
        <v/>
      </c>
    </row>
    <row r="29" spans="1:7" x14ac:dyDescent="0.25">
      <c r="A29" t="str">
        <f>IF(Input!A30="","",Input!A30)</f>
        <v/>
      </c>
      <c r="C29" t="str">
        <f>IF(A29="","",IF('Additional Information'!E29="-","",'Additional Information'!E29))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IF(A29="","",IF('Additional Information'!I29="-","",'Additional Information'!I29))</f>
        <v/>
      </c>
      <c r="G29" t="str">
        <f>IF(A29="","",IF('Additional Information'!J29="-","",'Additional Information'!J29))</f>
        <v/>
      </c>
    </row>
    <row r="30" spans="1:7" x14ac:dyDescent="0.25">
      <c r="A30" t="str">
        <f>IF(Input!A31="","",Input!A31)</f>
        <v/>
      </c>
      <c r="C30" t="str">
        <f>IF(A30="","",IF('Additional Information'!E30="-","",'Additional Information'!E30))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IF(A30="","",IF('Additional Information'!I30="-","",'Additional Information'!I30))</f>
        <v/>
      </c>
      <c r="G30" t="str">
        <f>IF(A30="","",IF('Additional Information'!J30="-","",'Additional Information'!J30))</f>
        <v/>
      </c>
    </row>
    <row r="31" spans="1:7" x14ac:dyDescent="0.25">
      <c r="A31" t="str">
        <f>IF(Input!A32="","",Input!A32)</f>
        <v/>
      </c>
      <c r="C31" t="str">
        <f>IF(A31="","",IF('Additional Information'!E31="-","",'Additional Information'!E31))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IF(A31="","",IF('Additional Information'!I31="-","",'Additional Information'!I31))</f>
        <v/>
      </c>
      <c r="G31" t="str">
        <f>IF(A31="","",IF('Additional Information'!J31="-","",'Additional Information'!J31))</f>
        <v/>
      </c>
    </row>
    <row r="32" spans="1:7" x14ac:dyDescent="0.25">
      <c r="A32" t="str">
        <f>IF(Input!A33="","",Input!A33)</f>
        <v/>
      </c>
      <c r="C32" t="str">
        <f>IF(A32="","",IF('Additional Information'!E32="-","",'Additional Information'!E32))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IF(A32="","",IF('Additional Information'!I32="-","",'Additional Information'!I32))</f>
        <v/>
      </c>
      <c r="G32" t="str">
        <f>IF(A32="","",IF('Additional Information'!J32="-","",'Additional Information'!J32))</f>
        <v/>
      </c>
    </row>
    <row r="33" spans="1:7" x14ac:dyDescent="0.25">
      <c r="A33" t="str">
        <f>IF(Input!A34="","",Input!A34)</f>
        <v/>
      </c>
      <c r="C33" t="str">
        <f>IF(A33="","",IF('Additional Information'!E33="-","",'Additional Information'!E33))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IF(A33="","",IF('Additional Information'!I33="-","",'Additional Information'!I33))</f>
        <v/>
      </c>
      <c r="G33" t="str">
        <f>IF(A33="","",IF('Additional Information'!J33="-","",'Additional Information'!J33))</f>
        <v/>
      </c>
    </row>
    <row r="34" spans="1:7" x14ac:dyDescent="0.25">
      <c r="A34" t="str">
        <f>IF(Input!A35="","",Input!A35)</f>
        <v/>
      </c>
      <c r="C34" t="str">
        <f>IF(A34="","",IF('Additional Information'!E34="-","",'Additional Information'!E34))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IF(A34="","",IF('Additional Information'!I34="-","",'Additional Information'!I34))</f>
        <v/>
      </c>
      <c r="G34" t="str">
        <f>IF(A34="","",IF('Additional Information'!J34="-","",'Additional Information'!J34))</f>
        <v/>
      </c>
    </row>
    <row r="35" spans="1:7" x14ac:dyDescent="0.25">
      <c r="A35" t="str">
        <f>IF(Input!A36="","",Input!A36)</f>
        <v/>
      </c>
      <c r="C35" t="str">
        <f>IF(A35="","",IF('Additional Information'!E35="-","",'Additional Information'!E35))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IF(A35="","",IF('Additional Information'!I35="-","",'Additional Information'!I35))</f>
        <v/>
      </c>
      <c r="G35" t="str">
        <f>IF(A35="","",IF('Additional Information'!J35="-","",'Additional Information'!J35))</f>
        <v/>
      </c>
    </row>
    <row r="36" spans="1:7" x14ac:dyDescent="0.25">
      <c r="A36" t="str">
        <f>IF(Input!A37="","",Input!A37)</f>
        <v/>
      </c>
      <c r="C36" t="str">
        <f>IF(A36="","",IF('Additional Information'!E36="-","",'Additional Information'!E36))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IF(A36="","",IF('Additional Information'!I36="-","",'Additional Information'!I36))</f>
        <v/>
      </c>
      <c r="G36" t="str">
        <f>IF(A36="","",IF('Additional Information'!J36="-","",'Additional Information'!J36))</f>
        <v/>
      </c>
    </row>
    <row r="37" spans="1:7" x14ac:dyDescent="0.25">
      <c r="A37" t="str">
        <f>IF(Input!A38="","",Input!A38)</f>
        <v/>
      </c>
      <c r="C37" t="str">
        <f>IF(A37="","",IF('Additional Information'!E37="-","",'Additional Information'!E37))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IF(A37="","",IF('Additional Information'!I37="-","",'Additional Information'!I37))</f>
        <v/>
      </c>
      <c r="G37" t="str">
        <f>IF(A37="","",IF('Additional Information'!J37="-","",'Additional Information'!J37))</f>
        <v/>
      </c>
    </row>
    <row r="38" spans="1:7" x14ac:dyDescent="0.25">
      <c r="A38" t="str">
        <f>IF(Input!A39="","",Input!A39)</f>
        <v/>
      </c>
      <c r="C38" t="str">
        <f>IF(A38="","",IF('Additional Information'!E38="-","",'Additional Information'!E38))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IF(A38="","",IF('Additional Information'!I38="-","",'Additional Information'!I38))</f>
        <v/>
      </c>
      <c r="G38" t="str">
        <f>IF(A38="","",IF('Additional Information'!J38="-","",'Additional Information'!J38))</f>
        <v/>
      </c>
    </row>
    <row r="39" spans="1:7" x14ac:dyDescent="0.25">
      <c r="A39" t="str">
        <f>IF(Input!A40="","",Input!A40)</f>
        <v/>
      </c>
      <c r="C39" t="str">
        <f>IF(A39="","",IF('Additional Information'!E39="-","",'Additional Information'!E39))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IF(A39="","",IF('Additional Information'!I39="-","",'Additional Information'!I39))</f>
        <v/>
      </c>
      <c r="G39" t="str">
        <f>IF(A39="","",IF('Additional Information'!J39="-","",'Additional Information'!J39))</f>
        <v/>
      </c>
    </row>
    <row r="40" spans="1:7" x14ac:dyDescent="0.25">
      <c r="A40" t="str">
        <f>IF(Input!A41="","",Input!A41)</f>
        <v/>
      </c>
      <c r="C40" t="str">
        <f>IF(A40="","",IF('Additional Information'!E40="-","",'Additional Information'!E40))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IF(A40="","",IF('Additional Information'!I40="-","",'Additional Information'!I40))</f>
        <v/>
      </c>
      <c r="G40" t="str">
        <f>IF(A40="","",IF('Additional Information'!J40="-","",'Additional Information'!J40))</f>
        <v/>
      </c>
    </row>
    <row r="41" spans="1:7" x14ac:dyDescent="0.25">
      <c r="A41" t="str">
        <f>IF(Input!A42="","",Input!A42)</f>
        <v/>
      </c>
      <c r="C41" t="str">
        <f>IF(A41="","",IF('Additional Information'!E41="-","",'Additional Information'!E41))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IF(A41="","",IF('Additional Information'!I41="-","",'Additional Information'!I41))</f>
        <v/>
      </c>
      <c r="G41" t="str">
        <f>IF(A41="","",IF('Additional Information'!J41="-","",'Additional Information'!J41))</f>
        <v/>
      </c>
    </row>
    <row r="42" spans="1:7" x14ac:dyDescent="0.25">
      <c r="A42" t="str">
        <f>IF(Input!A43="","",Input!A43)</f>
        <v/>
      </c>
      <c r="C42" t="str">
        <f>IF(A42="","",IF('Additional Information'!E42="-","",'Additional Information'!E42))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IF(A42="","",IF('Additional Information'!I42="-","",'Additional Information'!I42))</f>
        <v/>
      </c>
      <c r="G42" t="str">
        <f>IF(A42="","",IF('Additional Information'!J42="-","",'Additional Information'!J42))</f>
        <v/>
      </c>
    </row>
    <row r="43" spans="1:7" x14ac:dyDescent="0.25">
      <c r="A43" t="str">
        <f>IF(Input!A44="","",Input!A44)</f>
        <v/>
      </c>
      <c r="C43" t="str">
        <f>IF(A43="","",IF('Additional Information'!E43="-","",'Additional Information'!E43))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IF(A43="","",IF('Additional Information'!I43="-","",'Additional Information'!I43))</f>
        <v/>
      </c>
      <c r="G43" t="str">
        <f>IF(A43="","",IF('Additional Information'!J43="-","",'Additional Information'!J43))</f>
        <v/>
      </c>
    </row>
    <row r="44" spans="1:7" x14ac:dyDescent="0.25">
      <c r="A44" t="str">
        <f>IF(Input!A45="","",Input!A45)</f>
        <v/>
      </c>
      <c r="C44" t="str">
        <f>IF(A44="","",IF('Additional Information'!E44="-","",'Additional Information'!E44))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IF(A44="","",IF('Additional Information'!I44="-","",'Additional Information'!I44))</f>
        <v/>
      </c>
      <c r="G44" t="str">
        <f>IF(A44="","",IF('Additional Information'!J44="-","",'Additional Information'!J44))</f>
        <v/>
      </c>
    </row>
    <row r="45" spans="1:7" x14ac:dyDescent="0.25">
      <c r="A45" t="str">
        <f>IF(Input!A46="","",Input!A46)</f>
        <v/>
      </c>
      <c r="C45" t="str">
        <f>IF(A45="","",IF('Additional Information'!E45="-","",'Additional Information'!E45))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IF(A45="","",IF('Additional Information'!I45="-","",'Additional Information'!I45))</f>
        <v/>
      </c>
      <c r="G45" t="str">
        <f>IF(A45="","",IF('Additional Information'!J45="-","",'Additional Information'!J45))</f>
        <v/>
      </c>
    </row>
    <row r="46" spans="1:7" x14ac:dyDescent="0.25">
      <c r="A46" t="str">
        <f>IF(Input!A47="","",Input!A47)</f>
        <v/>
      </c>
      <c r="C46" t="str">
        <f>IF(A46="","",IF('Additional Information'!E46="-","",'Additional Information'!E46))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IF(A46="","",IF('Additional Information'!I46="-","",'Additional Information'!I46))</f>
        <v/>
      </c>
      <c r="G46" t="str">
        <f>IF(A46="","",IF('Additional Information'!J46="-","",'Additional Information'!J46))</f>
        <v/>
      </c>
    </row>
    <row r="47" spans="1:7" x14ac:dyDescent="0.25">
      <c r="A47" t="str">
        <f>IF(Input!A48="","",Input!A48)</f>
        <v/>
      </c>
      <c r="C47" t="str">
        <f>IF(A47="","",IF('Additional Information'!E47="-","",'Additional Information'!E47))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IF(A47="","",IF('Additional Information'!I47="-","",'Additional Information'!I47))</f>
        <v/>
      </c>
      <c r="G47" t="str">
        <f>IF(A47="","",IF('Additional Information'!J47="-","",'Additional Information'!J47))</f>
        <v/>
      </c>
    </row>
    <row r="48" spans="1:7" x14ac:dyDescent="0.25">
      <c r="A48" t="str">
        <f>IF(Input!A49="","",Input!A49)</f>
        <v/>
      </c>
      <c r="C48" t="str">
        <f>IF(A48="","",IF('Additional Information'!E48="-","",'Additional Information'!E48))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IF(A48="","",IF('Additional Information'!I48="-","",'Additional Information'!I48))</f>
        <v/>
      </c>
      <c r="G48" t="str">
        <f>IF(A48="","",IF('Additional Information'!J48="-","",'Additional Information'!J48))</f>
        <v/>
      </c>
    </row>
    <row r="49" spans="1:7" x14ac:dyDescent="0.25">
      <c r="A49" t="str">
        <f>IF(Input!A50="","",Input!A50)</f>
        <v/>
      </c>
      <c r="C49" t="str">
        <f>IF(A49="","",IF('Additional Information'!E49="-","",'Additional Information'!E49))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IF(A49="","",IF('Additional Information'!I49="-","",'Additional Information'!I49))</f>
        <v/>
      </c>
      <c r="G49" t="str">
        <f>IF(A49="","",IF('Additional Information'!J49="-","",'Additional Information'!J49))</f>
        <v/>
      </c>
    </row>
    <row r="50" spans="1:7" x14ac:dyDescent="0.25">
      <c r="A50" t="str">
        <f>IF(Input!A51="","",Input!A51)</f>
        <v/>
      </c>
      <c r="C50" t="str">
        <f>IF(A50="","",IF('Additional Information'!E50="-","",'Additional Information'!E50))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IF(A50="","",IF('Additional Information'!I50="-","",'Additional Information'!I50))</f>
        <v/>
      </c>
      <c r="G50" t="str">
        <f>IF(A50="","",IF('Additional Information'!J50="-","",'Additional Information'!J50))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Global ESG Themes 1</v>
      </c>
      <c r="B2">
        <f>IF(A2="","",SUM('Asset Allocation'!H2,'Asset Allocation'!K2,'Asset Allocation'!M2,'Asset Allocation'!O2,'Asset Allocation'!P2,'Asset Allocation'!Q2,'Asset Allocation'!R2,'Asset Allocation'!S2,'Asset Allocation'!T2,'Asset Allocation'!V2))</f>
        <v>0</v>
      </c>
      <c r="C2">
        <f>IF(A2="","",SUM('Asset Allocation'!C2,'Asset Allocation'!D2,'Asset Allocation'!E2,'Asset Allocation'!G2,'Asset Allocation'!I2,'Asset Allocation'!L2,'Asset Allocation'!N2,'Asset Allocation'!U2))</f>
        <v>0</v>
      </c>
      <c r="D2">
        <f>IF(A2="","",SUM('Asset Allocation'!J2))</f>
        <v>0</v>
      </c>
      <c r="F2">
        <f>IF(A2="","",SUM('Asset Allocation'!F2))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Global ESG Themes 2</v>
      </c>
      <c r="B3">
        <f>IF(A3="","",SUM('Asset Allocation'!H3,'Asset Allocation'!K3,'Asset Allocation'!M3,'Asset Allocation'!O3,'Asset Allocation'!P3,'Asset Allocation'!Q3,'Asset Allocation'!R3,'Asset Allocation'!S3,'Asset Allocation'!T3,'Asset Allocation'!V3))</f>
        <v>0</v>
      </c>
      <c r="C3">
        <f>IF(A3="","",SUM('Asset Allocation'!C3,'Asset Allocation'!D3,'Asset Allocation'!E3,'Asset Allocation'!G3,'Asset Allocation'!I3,'Asset Allocation'!L3,'Asset Allocation'!N3,'Asset Allocation'!U3))</f>
        <v>0</v>
      </c>
      <c r="D3">
        <f>IF(A3="","",SUM('Asset Allocation'!J3))</f>
        <v>0</v>
      </c>
      <c r="F3">
        <f>IF(A3="","",SUM('Asset Allocation'!F3))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Global ESG Themes 3</v>
      </c>
      <c r="B4">
        <f>IF(A4="","",SUM('Asset Allocation'!H4,'Asset Allocation'!K4,'Asset Allocation'!M4,'Asset Allocation'!O4,'Asset Allocation'!P4,'Asset Allocation'!Q4,'Asset Allocation'!R4,'Asset Allocation'!S4,'Asset Allocation'!T4,'Asset Allocation'!V4))</f>
        <v>0</v>
      </c>
      <c r="C4">
        <f>IF(A4="","",SUM('Asset Allocation'!C4,'Asset Allocation'!D4,'Asset Allocation'!E4,'Asset Allocation'!G4,'Asset Allocation'!I4,'Asset Allocation'!L4,'Asset Allocation'!N4,'Asset Allocation'!U4))</f>
        <v>0</v>
      </c>
      <c r="D4">
        <f>IF(A4="","",SUM('Asset Allocation'!J4))</f>
        <v>0</v>
      </c>
      <c r="F4">
        <f>IF(A4="","",SUM('Asset Allocation'!F4))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Global ESG Themes 4</v>
      </c>
      <c r="B5">
        <f>IF(A5="","",SUM('Asset Allocation'!H5,'Asset Allocation'!K5,'Asset Allocation'!M5,'Asset Allocation'!O5,'Asset Allocation'!P5,'Asset Allocation'!Q5,'Asset Allocation'!R5,'Asset Allocation'!S5,'Asset Allocation'!T5,'Asset Allocation'!V5))</f>
        <v>0</v>
      </c>
      <c r="C5">
        <f>IF(A5="","",SUM('Asset Allocation'!C5,'Asset Allocation'!D5,'Asset Allocation'!E5,'Asset Allocation'!G5,'Asset Allocation'!I5,'Asset Allocation'!L5,'Asset Allocation'!N5,'Asset Allocation'!U5))</f>
        <v>0</v>
      </c>
      <c r="D5">
        <f>IF(A5="","",SUM('Asset Allocation'!J5))</f>
        <v>0</v>
      </c>
      <c r="F5">
        <f>IF(A5="","",SUM('Asset Allocation'!F5))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Global ESG Themes 5</v>
      </c>
      <c r="B6">
        <f>IF(A6="","",SUM('Asset Allocation'!H6,'Asset Allocation'!K6,'Asset Allocation'!M6,'Asset Allocation'!O6,'Asset Allocation'!P6,'Asset Allocation'!Q6,'Asset Allocation'!R6,'Asset Allocation'!S6,'Asset Allocation'!T6,'Asset Allocation'!V6))</f>
        <v>0</v>
      </c>
      <c r="C6">
        <f>IF(A6="","",SUM('Asset Allocation'!C6,'Asset Allocation'!D6,'Asset Allocation'!E6,'Asset Allocation'!G6,'Asset Allocation'!I6,'Asset Allocation'!L6,'Asset Allocation'!N6,'Asset Allocation'!U6))</f>
        <v>0</v>
      </c>
      <c r="D6">
        <f>IF(A6="","",SUM('Asset Allocation'!J6))</f>
        <v>0</v>
      </c>
      <c r="F6">
        <f>IF(A6="","",SUM('Asset Allocation'!F6))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Global ESG Themes 6</v>
      </c>
      <c r="B7">
        <f>IF(A7="","",SUM('Asset Allocation'!H7,'Asset Allocation'!K7,'Asset Allocation'!M7,'Asset Allocation'!O7,'Asset Allocation'!P7,'Asset Allocation'!Q7,'Asset Allocation'!R7,'Asset Allocation'!S7,'Asset Allocation'!T7,'Asset Allocation'!V7))</f>
        <v>0</v>
      </c>
      <c r="C7">
        <f>IF(A7="","",SUM('Asset Allocation'!C7,'Asset Allocation'!D7,'Asset Allocation'!E7,'Asset Allocation'!G7,'Asset Allocation'!I7,'Asset Allocation'!L7,'Asset Allocation'!N7,'Asset Allocation'!U7))</f>
        <v>0</v>
      </c>
      <c r="D7">
        <f>IF(A7="","",SUM('Asset Allocation'!J7))</f>
        <v>0</v>
      </c>
      <c r="F7">
        <f>IF(A7="","",SUM('Asset Allocation'!F7))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>Passive with ETFs 1 (P-MP1)</v>
      </c>
      <c r="B8">
        <f>IF(A8="","",SUM('Asset Allocation'!H8,'Asset Allocation'!K8,'Asset Allocation'!M8,'Asset Allocation'!O8,'Asset Allocation'!P8,'Asset Allocation'!Q8,'Asset Allocation'!R8,'Asset Allocation'!S8,'Asset Allocation'!T8,'Asset Allocation'!V8))</f>
        <v>0</v>
      </c>
      <c r="C8">
        <f>IF(A8="","",SUM('Asset Allocation'!C8,'Asset Allocation'!D8,'Asset Allocation'!E8,'Asset Allocation'!G8,'Asset Allocation'!I8,'Asset Allocation'!L8,'Asset Allocation'!N8,'Asset Allocation'!U8))</f>
        <v>0</v>
      </c>
      <c r="D8">
        <f>IF(A8="","",SUM('Asset Allocation'!J8))</f>
        <v>0</v>
      </c>
      <c r="F8">
        <f>IF(A8="","",SUM('Asset Allocation'!F8))</f>
        <v>0</v>
      </c>
      <c r="G8">
        <f>IF(A8="","",SUM('Asset Allocation'!B8))</f>
        <v>0</v>
      </c>
      <c r="H8">
        <f t="shared" si="0"/>
        <v>1</v>
      </c>
    </row>
    <row r="9" spans="1:8" x14ac:dyDescent="0.25">
      <c r="A9" t="str">
        <f>IF(Input!A10="","",Input!A10)</f>
        <v>Passive with ETFs 2 (P-MP2)</v>
      </c>
      <c r="B9">
        <f>IF(A9="","",SUM('Asset Allocation'!H9,'Asset Allocation'!K9,'Asset Allocation'!M9,'Asset Allocation'!O9,'Asset Allocation'!P9,'Asset Allocation'!Q9,'Asset Allocation'!R9,'Asset Allocation'!S9,'Asset Allocation'!T9,'Asset Allocation'!V9))</f>
        <v>0</v>
      </c>
      <c r="C9">
        <f>IF(A9="","",SUM('Asset Allocation'!C9,'Asset Allocation'!D9,'Asset Allocation'!E9,'Asset Allocation'!G9,'Asset Allocation'!I9,'Asset Allocation'!L9,'Asset Allocation'!N9,'Asset Allocation'!U9))</f>
        <v>0</v>
      </c>
      <c r="D9">
        <f>IF(A9="","",SUM('Asset Allocation'!J9))</f>
        <v>0</v>
      </c>
      <c r="F9">
        <f>IF(A9="","",SUM('Asset Allocation'!F9))</f>
        <v>0</v>
      </c>
      <c r="G9">
        <f>IF(A9="","",SUM('Asset Allocation'!B9))</f>
        <v>0</v>
      </c>
      <c r="H9">
        <f t="shared" si="0"/>
        <v>1</v>
      </c>
    </row>
    <row r="10" spans="1:8" x14ac:dyDescent="0.25">
      <c r="A10" t="str">
        <f>IF(Input!A11="","",Input!A11)</f>
        <v>Passive with ETFs 3 (P-MP3)</v>
      </c>
      <c r="B10">
        <f>IF(A10="","",SUM('Asset Allocation'!H10,'Asset Allocation'!K10,'Asset Allocation'!M10,'Asset Allocation'!O10,'Asset Allocation'!P10,'Asset Allocation'!Q10,'Asset Allocation'!R10,'Asset Allocation'!S10,'Asset Allocation'!T10,'Asset Allocation'!V10))</f>
        <v>0</v>
      </c>
      <c r="C10">
        <f>IF(A10="","",SUM('Asset Allocation'!C10,'Asset Allocation'!D10,'Asset Allocation'!E10,'Asset Allocation'!G10,'Asset Allocation'!I10,'Asset Allocation'!L10,'Asset Allocation'!N10,'Asset Allocation'!U10))</f>
        <v>0</v>
      </c>
      <c r="D10">
        <f>IF(A10="","",SUM('Asset Allocation'!J10))</f>
        <v>0</v>
      </c>
      <c r="F10">
        <f>IF(A10="","",SUM('Asset Allocation'!F10))</f>
        <v>0</v>
      </c>
      <c r="G10">
        <f>IF(A10="","",SUM('Asset Allocation'!B10))</f>
        <v>0</v>
      </c>
      <c r="H10">
        <f t="shared" si="0"/>
        <v>1</v>
      </c>
    </row>
    <row r="11" spans="1:8" x14ac:dyDescent="0.25">
      <c r="A11" t="str">
        <f>IF(Input!A12="","",Input!A12)</f>
        <v>Passive with ETFs 4 (P-MP4)</v>
      </c>
      <c r="B11">
        <f>IF(A11="","",SUM('Asset Allocation'!H11,'Asset Allocation'!K11,'Asset Allocation'!M11,'Asset Allocation'!O11,'Asset Allocation'!P11,'Asset Allocation'!Q11,'Asset Allocation'!R11,'Asset Allocation'!S11,'Asset Allocation'!T11,'Asset Allocation'!V11))</f>
        <v>0</v>
      </c>
      <c r="C11">
        <f>IF(A11="","",SUM('Asset Allocation'!C11,'Asset Allocation'!D11,'Asset Allocation'!E11,'Asset Allocation'!G11,'Asset Allocation'!I11,'Asset Allocation'!L11,'Asset Allocation'!N11,'Asset Allocation'!U11))</f>
        <v>0</v>
      </c>
      <c r="D11">
        <f>IF(A11="","",SUM('Asset Allocation'!J11))</f>
        <v>0</v>
      </c>
      <c r="F11">
        <f>IF(A11="","",SUM('Asset Allocation'!F11))</f>
        <v>0</v>
      </c>
      <c r="G11">
        <f>IF(A11="","",SUM('Asset Allocation'!B11))</f>
        <v>0</v>
      </c>
      <c r="H11">
        <f t="shared" si="0"/>
        <v>1</v>
      </c>
    </row>
    <row r="12" spans="1:8" x14ac:dyDescent="0.25">
      <c r="A12" t="str">
        <f>IF(Input!A13="","",Input!A13)</f>
        <v>Passive with ETFs 5 (P-MP5)</v>
      </c>
      <c r="B12">
        <f>IF(A12="","",SUM('Asset Allocation'!H12,'Asset Allocation'!K12,'Asset Allocation'!M12,'Asset Allocation'!O12,'Asset Allocation'!P12,'Asset Allocation'!Q12,'Asset Allocation'!R12,'Asset Allocation'!S12,'Asset Allocation'!T12,'Asset Allocation'!V12))</f>
        <v>0</v>
      </c>
      <c r="C12">
        <f>IF(A12="","",SUM('Asset Allocation'!C12,'Asset Allocation'!D12,'Asset Allocation'!E12,'Asset Allocation'!G12,'Asset Allocation'!I12,'Asset Allocation'!L12,'Asset Allocation'!N12,'Asset Allocation'!U12))</f>
        <v>0</v>
      </c>
      <c r="D12">
        <f>IF(A12="","",SUM('Asset Allocation'!J12))</f>
        <v>0</v>
      </c>
      <c r="F12">
        <f>IF(A12="","",SUM('Asset Allocation'!F12))</f>
        <v>0</v>
      </c>
      <c r="G12">
        <f>IF(A12="","",SUM('Asset Allocation'!B12))</f>
        <v>0</v>
      </c>
      <c r="H12">
        <f t="shared" si="0"/>
        <v>1</v>
      </c>
    </row>
    <row r="13" spans="1:8" x14ac:dyDescent="0.25">
      <c r="A13" t="str">
        <f>IF(Input!A14="","",Input!A14)</f>
        <v>Passive no ETFs 1 (PF-MP1)</v>
      </c>
      <c r="B13">
        <f>IF(A13="","",SUM('Asset Allocation'!H13,'Asset Allocation'!K13,'Asset Allocation'!M13,'Asset Allocation'!O13,'Asset Allocation'!P13,'Asset Allocation'!Q13,'Asset Allocation'!R13,'Asset Allocation'!S13,'Asset Allocation'!T13,'Asset Allocation'!V13))</f>
        <v>0</v>
      </c>
      <c r="C13">
        <f>IF(A13="","",SUM('Asset Allocation'!C13,'Asset Allocation'!D13,'Asset Allocation'!E13,'Asset Allocation'!G13,'Asset Allocation'!I13,'Asset Allocation'!L13,'Asset Allocation'!N13,'Asset Allocation'!U13))</f>
        <v>0</v>
      </c>
      <c r="D13">
        <f>IF(A13="","",SUM('Asset Allocation'!J13))</f>
        <v>0</v>
      </c>
      <c r="F13">
        <f>IF(A13="","",SUM('Asset Allocation'!F13))</f>
        <v>0</v>
      </c>
      <c r="G13">
        <f>IF(A13="","",SUM('Asset Allocation'!B13))</f>
        <v>0</v>
      </c>
      <c r="H13">
        <f t="shared" si="0"/>
        <v>1</v>
      </c>
    </row>
    <row r="14" spans="1:8" x14ac:dyDescent="0.25">
      <c r="A14" t="str">
        <f>IF(Input!A15="","",Input!A15)</f>
        <v>Passive no ETFs 2 (PF-MP2)</v>
      </c>
      <c r="B14">
        <f>IF(A14="","",SUM('Asset Allocation'!H14,'Asset Allocation'!K14,'Asset Allocation'!M14,'Asset Allocation'!O14,'Asset Allocation'!P14,'Asset Allocation'!Q14,'Asset Allocation'!R14,'Asset Allocation'!S14,'Asset Allocation'!T14,'Asset Allocation'!V14))</f>
        <v>0</v>
      </c>
      <c r="C14">
        <f>IF(A14="","",SUM('Asset Allocation'!C14,'Asset Allocation'!D14,'Asset Allocation'!E14,'Asset Allocation'!G14,'Asset Allocation'!I14,'Asset Allocation'!L14,'Asset Allocation'!N14,'Asset Allocation'!U14))</f>
        <v>0</v>
      </c>
      <c r="D14">
        <f>IF(A14="","",SUM('Asset Allocation'!J14))</f>
        <v>0</v>
      </c>
      <c r="F14">
        <f>IF(A14="","",SUM('Asset Allocation'!F14))</f>
        <v>0</v>
      </c>
      <c r="G14">
        <f>IF(A14="","",SUM('Asset Allocation'!B14))</f>
        <v>0</v>
      </c>
      <c r="H14">
        <f t="shared" si="0"/>
        <v>1</v>
      </c>
    </row>
    <row r="15" spans="1:8" x14ac:dyDescent="0.25">
      <c r="A15" t="str">
        <f>IF(Input!A16="","",Input!A16)</f>
        <v>Passive no ETFs 3 (PF-MP3)</v>
      </c>
      <c r="B15">
        <f>IF(A15="","",SUM('Asset Allocation'!H15,'Asset Allocation'!K15,'Asset Allocation'!M15,'Asset Allocation'!O15,'Asset Allocation'!P15,'Asset Allocation'!Q15,'Asset Allocation'!R15,'Asset Allocation'!S15,'Asset Allocation'!T15,'Asset Allocation'!V15))</f>
        <v>0</v>
      </c>
      <c r="C15">
        <f>IF(A15="","",SUM('Asset Allocation'!C15,'Asset Allocation'!D15,'Asset Allocation'!E15,'Asset Allocation'!G15,'Asset Allocation'!I15,'Asset Allocation'!L15,'Asset Allocation'!N15,'Asset Allocation'!U15))</f>
        <v>0</v>
      </c>
      <c r="D15">
        <f>IF(A15="","",SUM('Asset Allocation'!J15))</f>
        <v>0</v>
      </c>
      <c r="F15">
        <f>IF(A15="","",SUM('Asset Allocation'!F15))</f>
        <v>0</v>
      </c>
      <c r="G15">
        <f>IF(A15="","",SUM('Asset Allocation'!B15))</f>
        <v>0</v>
      </c>
      <c r="H15">
        <f t="shared" si="0"/>
        <v>1</v>
      </c>
    </row>
    <row r="16" spans="1:8" x14ac:dyDescent="0.25">
      <c r="A16" t="str">
        <f>IF(Input!A17="","",Input!A17)</f>
        <v>Passive no ETFs 4 (PF-MP4)</v>
      </c>
      <c r="B16">
        <f>IF(A16="","",SUM('Asset Allocation'!H16,'Asset Allocation'!K16,'Asset Allocation'!M16,'Asset Allocation'!O16,'Asset Allocation'!P16,'Asset Allocation'!Q16,'Asset Allocation'!R16,'Asset Allocation'!S16,'Asset Allocation'!T16,'Asset Allocation'!V16))</f>
        <v>0</v>
      </c>
      <c r="C16">
        <f>IF(A16="","",SUM('Asset Allocation'!C16,'Asset Allocation'!D16,'Asset Allocation'!E16,'Asset Allocation'!G16,'Asset Allocation'!I16,'Asset Allocation'!L16,'Asset Allocation'!N16,'Asset Allocation'!U16))</f>
        <v>0</v>
      </c>
      <c r="D16">
        <f>IF(A16="","",SUM('Asset Allocation'!J16))</f>
        <v>0</v>
      </c>
      <c r="F16">
        <f>IF(A16="","",SUM('Asset Allocation'!F16))</f>
        <v>0</v>
      </c>
      <c r="G16">
        <f>IF(A16="","",SUM('Asset Allocation'!B16))</f>
        <v>0</v>
      </c>
      <c r="H16">
        <f t="shared" si="0"/>
        <v>1</v>
      </c>
    </row>
    <row r="17" spans="1:8" x14ac:dyDescent="0.25">
      <c r="A17" t="str">
        <f>IF(Input!A18="","",Input!A18)</f>
        <v>Passive no ETFs 5 (PF-MP5)</v>
      </c>
      <c r="B17">
        <f>IF(A17="","",SUM('Asset Allocation'!H17,'Asset Allocation'!K17,'Asset Allocation'!M17,'Asset Allocation'!O17,'Asset Allocation'!P17,'Asset Allocation'!Q17,'Asset Allocation'!R17,'Asset Allocation'!S17,'Asset Allocation'!T17,'Asset Allocation'!V17))</f>
        <v>0</v>
      </c>
      <c r="C17">
        <f>IF(A17="","",SUM('Asset Allocation'!C17,'Asset Allocation'!D17,'Asset Allocation'!E17,'Asset Allocation'!G17,'Asset Allocation'!I17,'Asset Allocation'!L17,'Asset Allocation'!N17,'Asset Allocation'!U17))</f>
        <v>0</v>
      </c>
      <c r="D17">
        <f>IF(A17="","",SUM('Asset Allocation'!J17))</f>
        <v>0</v>
      </c>
      <c r="F17">
        <f>IF(A17="","",SUM('Asset Allocation'!F17))</f>
        <v>0</v>
      </c>
      <c r="G17">
        <f>IF(A17="","",SUM('Asset Allocation'!B17))</f>
        <v>0</v>
      </c>
      <c r="H17">
        <f t="shared" si="0"/>
        <v>1</v>
      </c>
    </row>
    <row r="18" spans="1:8" x14ac:dyDescent="0.25">
      <c r="A18" t="str">
        <f>IF(Input!A19="","",Input!A19)</f>
        <v>Hybrid with ETFs 1 (H-MP1)</v>
      </c>
      <c r="B18">
        <f>IF(A18="","",SUM('Asset Allocation'!H18,'Asset Allocation'!K18,'Asset Allocation'!M18,'Asset Allocation'!O18,'Asset Allocation'!P18,'Asset Allocation'!Q18,'Asset Allocation'!R18,'Asset Allocation'!S18,'Asset Allocation'!T18,'Asset Allocation'!V18))</f>
        <v>0</v>
      </c>
      <c r="C18">
        <f>IF(A18="","",SUM('Asset Allocation'!C18,'Asset Allocation'!D18,'Asset Allocation'!E18,'Asset Allocation'!G18,'Asset Allocation'!I18,'Asset Allocation'!L18,'Asset Allocation'!N18,'Asset Allocation'!U18))</f>
        <v>0</v>
      </c>
      <c r="D18">
        <f>IF(A18="","",SUM('Asset Allocation'!J18))</f>
        <v>0</v>
      </c>
      <c r="F18">
        <f>IF(A18="","",SUM('Asset Allocation'!F18))</f>
        <v>0</v>
      </c>
      <c r="G18">
        <f>IF(A18="","",SUM('Asset Allocation'!B18))</f>
        <v>0</v>
      </c>
      <c r="H18">
        <f t="shared" si="0"/>
        <v>1</v>
      </c>
    </row>
    <row r="19" spans="1:8" x14ac:dyDescent="0.25">
      <c r="A19" t="str">
        <f>IF(Input!A20="","",Input!A20)</f>
        <v>Hybrid with ETFs 2 (H-MP2)</v>
      </c>
      <c r="B19">
        <f>IF(A19="","",SUM('Asset Allocation'!H19,'Asset Allocation'!K19,'Asset Allocation'!M19,'Asset Allocation'!O19,'Asset Allocation'!P19,'Asset Allocation'!Q19,'Asset Allocation'!R19,'Asset Allocation'!S19,'Asset Allocation'!T19,'Asset Allocation'!V19))</f>
        <v>0</v>
      </c>
      <c r="C19">
        <f>IF(A19="","",SUM('Asset Allocation'!C19,'Asset Allocation'!D19,'Asset Allocation'!E19,'Asset Allocation'!G19,'Asset Allocation'!I19,'Asset Allocation'!L19,'Asset Allocation'!N19,'Asset Allocation'!U19))</f>
        <v>0</v>
      </c>
      <c r="D19">
        <f>IF(A19="","",SUM('Asset Allocation'!J19))</f>
        <v>0</v>
      </c>
      <c r="F19">
        <f>IF(A19="","",SUM('Asset Allocation'!F19))</f>
        <v>0</v>
      </c>
      <c r="G19">
        <f>IF(A19="","",SUM('Asset Allocation'!B19))</f>
        <v>0</v>
      </c>
      <c r="H19">
        <f t="shared" si="0"/>
        <v>1</v>
      </c>
    </row>
    <row r="20" spans="1:8" x14ac:dyDescent="0.25">
      <c r="A20" t="str">
        <f>IF(Input!A21="","",Input!A21)</f>
        <v>Hybrid with ETFs 3 (H-MP3)</v>
      </c>
      <c r="B20">
        <f>IF(A20="","",SUM('Asset Allocation'!H20,'Asset Allocation'!K20,'Asset Allocation'!M20,'Asset Allocation'!O20,'Asset Allocation'!P20,'Asset Allocation'!Q20,'Asset Allocation'!R20,'Asset Allocation'!S20,'Asset Allocation'!T20,'Asset Allocation'!V20))</f>
        <v>0</v>
      </c>
      <c r="C20">
        <f>IF(A20="","",SUM('Asset Allocation'!C20,'Asset Allocation'!D20,'Asset Allocation'!E20,'Asset Allocation'!G20,'Asset Allocation'!I20,'Asset Allocation'!L20,'Asset Allocation'!N20,'Asset Allocation'!U20))</f>
        <v>0</v>
      </c>
      <c r="D20">
        <f>IF(A20="","",SUM('Asset Allocation'!J20))</f>
        <v>0</v>
      </c>
      <c r="F20">
        <f>IF(A20="","",SUM('Asset Allocation'!F20))</f>
        <v>0</v>
      </c>
      <c r="G20">
        <f>IF(A20="","",SUM('Asset Allocation'!B20))</f>
        <v>0</v>
      </c>
      <c r="H20">
        <f t="shared" si="0"/>
        <v>1</v>
      </c>
    </row>
    <row r="21" spans="1:8" x14ac:dyDescent="0.25">
      <c r="A21" t="str">
        <f>IF(Input!A22="","",Input!A22)</f>
        <v>Hybrid with ETFs 4 (H-MP4)</v>
      </c>
      <c r="B21">
        <f>IF(A21="","",SUM('Asset Allocation'!H21,'Asset Allocation'!K21,'Asset Allocation'!M21,'Asset Allocation'!O21,'Asset Allocation'!P21,'Asset Allocation'!Q21,'Asset Allocation'!R21,'Asset Allocation'!S21,'Asset Allocation'!T21,'Asset Allocation'!V21))</f>
        <v>0</v>
      </c>
      <c r="C21">
        <f>IF(A21="","",SUM('Asset Allocation'!C21,'Asset Allocation'!D21,'Asset Allocation'!E21,'Asset Allocation'!G21,'Asset Allocation'!I21,'Asset Allocation'!L21,'Asset Allocation'!N21,'Asset Allocation'!U21))</f>
        <v>0</v>
      </c>
      <c r="D21">
        <f>IF(A21="","",SUM('Asset Allocation'!J21))</f>
        <v>0</v>
      </c>
      <c r="F21">
        <f>IF(A21="","",SUM('Asset Allocation'!F21))</f>
        <v>0</v>
      </c>
      <c r="G21">
        <f>IF(A21="","",SUM('Asset Allocation'!B21))</f>
        <v>0</v>
      </c>
      <c r="H21">
        <f t="shared" si="0"/>
        <v>1</v>
      </c>
    </row>
    <row r="22" spans="1:8" x14ac:dyDescent="0.25">
      <c r="A22" t="str">
        <f>IF(Input!A23="","",Input!A23)</f>
        <v>Hybrid with ETFs 5 (H-MP5)</v>
      </c>
      <c r="B22">
        <f>IF(A22="","",SUM('Asset Allocation'!H22,'Asset Allocation'!K22,'Asset Allocation'!M22,'Asset Allocation'!O22,'Asset Allocation'!P22,'Asset Allocation'!Q22,'Asset Allocation'!R22,'Asset Allocation'!S22,'Asset Allocation'!T22,'Asset Allocation'!V22))</f>
        <v>0</v>
      </c>
      <c r="C22">
        <f>IF(A22="","",SUM('Asset Allocation'!C22,'Asset Allocation'!D22,'Asset Allocation'!E22,'Asset Allocation'!G22,'Asset Allocation'!I22,'Asset Allocation'!L22,'Asset Allocation'!N22,'Asset Allocation'!U22))</f>
        <v>0</v>
      </c>
      <c r="D22">
        <f>IF(A22="","",SUM('Asset Allocation'!J22))</f>
        <v>0</v>
      </c>
      <c r="F22">
        <f>IF(A22="","",SUM('Asset Allocation'!F22))</f>
        <v>0</v>
      </c>
      <c r="G22">
        <f>IF(A22="","",SUM('Asset Allocation'!B22))</f>
        <v>0</v>
      </c>
      <c r="H22">
        <f t="shared" si="0"/>
        <v>1</v>
      </c>
    </row>
    <row r="23" spans="1:8" x14ac:dyDescent="0.25">
      <c r="A23" t="str">
        <f>IF(Input!A24="","",Input!A24)</f>
        <v>Hybrid no ETFs 1 (HF-MP1)</v>
      </c>
      <c r="B23">
        <f>IF(A23="","",SUM('Asset Allocation'!H23,'Asset Allocation'!K23,'Asset Allocation'!M23,'Asset Allocation'!O23,'Asset Allocation'!P23,'Asset Allocation'!Q23,'Asset Allocation'!R23,'Asset Allocation'!S23,'Asset Allocation'!T23,'Asset Allocation'!V23))</f>
        <v>0</v>
      </c>
      <c r="C23">
        <f>IF(A23="","",SUM('Asset Allocation'!C23,'Asset Allocation'!D23,'Asset Allocation'!E23,'Asset Allocation'!G23,'Asset Allocation'!I23,'Asset Allocation'!L23,'Asset Allocation'!N23,'Asset Allocation'!U23))</f>
        <v>0</v>
      </c>
      <c r="D23">
        <f>IF(A23="","",SUM('Asset Allocation'!J23))</f>
        <v>0</v>
      </c>
      <c r="F23">
        <f>IF(A23="","",SUM('Asset Allocation'!F23))</f>
        <v>0</v>
      </c>
      <c r="G23">
        <f>IF(A23="","",SUM('Asset Allocation'!B23))</f>
        <v>0</v>
      </c>
      <c r="H23">
        <f t="shared" si="0"/>
        <v>1</v>
      </c>
    </row>
    <row r="24" spans="1:8" x14ac:dyDescent="0.25">
      <c r="A24" t="str">
        <f>IF(Input!A25="","",Input!A25)</f>
        <v>Hybrid no ETFs 2 (HF-MP2)</v>
      </c>
      <c r="B24">
        <f>IF(A24="","",SUM('Asset Allocation'!H24,'Asset Allocation'!K24,'Asset Allocation'!M24,'Asset Allocation'!O24,'Asset Allocation'!P24,'Asset Allocation'!Q24,'Asset Allocation'!R24,'Asset Allocation'!S24,'Asset Allocation'!T24,'Asset Allocation'!V24))</f>
        <v>0</v>
      </c>
      <c r="C24">
        <f>IF(A24="","",SUM('Asset Allocation'!C24,'Asset Allocation'!D24,'Asset Allocation'!E24,'Asset Allocation'!G24,'Asset Allocation'!I24,'Asset Allocation'!L24,'Asset Allocation'!N24,'Asset Allocation'!U24))</f>
        <v>0</v>
      </c>
      <c r="D24">
        <f>IF(A24="","",SUM('Asset Allocation'!J24))</f>
        <v>0</v>
      </c>
      <c r="F24">
        <f>IF(A24="","",SUM('Asset Allocation'!F24))</f>
        <v>0</v>
      </c>
      <c r="G24">
        <f>IF(A24="","",SUM('Asset Allocation'!B24))</f>
        <v>0</v>
      </c>
      <c r="H24">
        <f t="shared" si="0"/>
        <v>1</v>
      </c>
    </row>
    <row r="25" spans="1:8" x14ac:dyDescent="0.25">
      <c r="A25" t="str">
        <f>IF(Input!A26="","",Input!A26)</f>
        <v>Hybrid no ETFs 3 (HF-MP3)</v>
      </c>
      <c r="B25">
        <f>IF(A25="","",SUM('Asset Allocation'!H25,'Asset Allocation'!K25,'Asset Allocation'!M25,'Asset Allocation'!O25,'Asset Allocation'!P25,'Asset Allocation'!Q25,'Asset Allocation'!R25,'Asset Allocation'!S25,'Asset Allocation'!T25,'Asset Allocation'!V25))</f>
        <v>0</v>
      </c>
      <c r="C25">
        <f>IF(A25="","",SUM('Asset Allocation'!C25,'Asset Allocation'!D25,'Asset Allocation'!E25,'Asset Allocation'!G25,'Asset Allocation'!I25,'Asset Allocation'!L25,'Asset Allocation'!N25,'Asset Allocation'!U25))</f>
        <v>0</v>
      </c>
      <c r="D25">
        <f>IF(A25="","",SUM('Asset Allocation'!J25))</f>
        <v>0</v>
      </c>
      <c r="F25">
        <f>IF(A25="","",SUM('Asset Allocation'!F25))</f>
        <v>0</v>
      </c>
      <c r="G25">
        <f>IF(A25="","",SUM('Asset Allocation'!B25))</f>
        <v>0</v>
      </c>
      <c r="H25">
        <f t="shared" si="0"/>
        <v>1</v>
      </c>
    </row>
    <row r="26" spans="1:8" x14ac:dyDescent="0.25">
      <c r="A26" t="str">
        <f>IF(Input!A27="","",Input!A27)</f>
        <v>Hybrid no ETFs 4 (HF-MP4)</v>
      </c>
      <c r="B26">
        <f>IF(A26="","",SUM('Asset Allocation'!H26,'Asset Allocation'!K26,'Asset Allocation'!M26,'Asset Allocation'!O26,'Asset Allocation'!P26,'Asset Allocation'!Q26,'Asset Allocation'!R26,'Asset Allocation'!S26,'Asset Allocation'!T26,'Asset Allocation'!V26))</f>
        <v>0</v>
      </c>
      <c r="C26">
        <f>IF(A26="","",SUM('Asset Allocation'!C26,'Asset Allocation'!D26,'Asset Allocation'!E26,'Asset Allocation'!G26,'Asset Allocation'!I26,'Asset Allocation'!L26,'Asset Allocation'!N26,'Asset Allocation'!U26))</f>
        <v>0</v>
      </c>
      <c r="D26">
        <f>IF(A26="","",SUM('Asset Allocation'!J26))</f>
        <v>0</v>
      </c>
      <c r="F26">
        <f>IF(A26="","",SUM('Asset Allocation'!F26))</f>
        <v>0</v>
      </c>
      <c r="G26">
        <f>IF(A26="","",SUM('Asset Allocation'!B26))</f>
        <v>0</v>
      </c>
      <c r="H26">
        <f t="shared" si="0"/>
        <v>1</v>
      </c>
    </row>
    <row r="27" spans="1:8" x14ac:dyDescent="0.25">
      <c r="A27" t="str">
        <f>IF(Input!A28="","",Input!A28)</f>
        <v>Hybrid no ETFs 5 (HF-MP5)</v>
      </c>
      <c r="B27">
        <f>IF(A27="","",SUM('Asset Allocation'!H27,'Asset Allocation'!K27,'Asset Allocation'!M27,'Asset Allocation'!O27,'Asset Allocation'!P27,'Asset Allocation'!Q27,'Asset Allocation'!R27,'Asset Allocation'!S27,'Asset Allocation'!T27,'Asset Allocation'!V27))</f>
        <v>0</v>
      </c>
      <c r="C27">
        <f>IF(A27="","",SUM('Asset Allocation'!C27,'Asset Allocation'!D27,'Asset Allocation'!E27,'Asset Allocation'!G27,'Asset Allocation'!I27,'Asset Allocation'!L27,'Asset Allocation'!N27,'Asset Allocation'!U27))</f>
        <v>0</v>
      </c>
      <c r="D27">
        <f>IF(A27="","",SUM('Asset Allocation'!J27))</f>
        <v>0</v>
      </c>
      <c r="F27">
        <f>IF(A27="","",SUM('Asset Allocation'!F27))</f>
        <v>0</v>
      </c>
      <c r="G27">
        <f>IF(A27="","",SUM('Asset Allocation'!B27))</f>
        <v>0</v>
      </c>
      <c r="H27">
        <f t="shared" si="0"/>
        <v>1</v>
      </c>
    </row>
    <row r="28" spans="1:8" x14ac:dyDescent="0.25">
      <c r="A28" t="str">
        <f>IF(Input!A29="","",Input!A29)</f>
        <v/>
      </c>
      <c r="B28" t="str">
        <f>IF(A28="","",SUM('Asset Allocation'!H28,'Asset Allocation'!K28,'Asset Allocation'!M28,'Asset Allocation'!O28,'Asset Allocation'!P28,'Asset Allocation'!Q28,'Asset Allocation'!R28,'Asset Allocation'!S28,'Asset Allocation'!T28,'Asset Allocation'!V28))</f>
        <v/>
      </c>
      <c r="C28" t="str">
        <f>IF(A28="","",SUM('Asset Allocation'!C28,'Asset Allocation'!D28,'Asset Allocation'!E28,'Asset Allocation'!G28,'Asset Allocation'!I28,'Asset Allocation'!L28,'Asset Allocation'!N28,'Asset Allocation'!U28))</f>
        <v/>
      </c>
      <c r="D28" t="str">
        <f>IF(A28="","",SUM('Asset Allocation'!J28))</f>
        <v/>
      </c>
      <c r="F28" t="str">
        <f>IF(A28="","",SUM('Asset Allocation'!F28))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Allocation'!H29,'Asset Allocation'!K29,'Asset Allocation'!M29,'Asset Allocation'!O29,'Asset Allocation'!P29,'Asset Allocation'!Q29,'Asset Allocation'!R29,'Asset Allocation'!S29,'Asset Allocation'!T29,'Asset Allocation'!V29))</f>
        <v/>
      </c>
      <c r="C29" t="str">
        <f>IF(A29="","",SUM('Asset Allocation'!C29,'Asset Allocation'!D29,'Asset Allocation'!E29,'Asset Allocation'!G29,'Asset Allocation'!I29,'Asset Allocation'!L29,'Asset Allocation'!N29,'Asset Allocation'!U29))</f>
        <v/>
      </c>
      <c r="D29" t="str">
        <f>IF(A29="","",SUM('Asset Allocation'!J29))</f>
        <v/>
      </c>
      <c r="F29" t="str">
        <f>IF(A29="","",SUM('Asset Allocation'!F29))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Allocation'!H30,'Asset Allocation'!K30,'Asset Allocation'!M30,'Asset Allocation'!O30,'Asset Allocation'!P30,'Asset Allocation'!Q30,'Asset Allocation'!R30,'Asset Allocation'!S30,'Asset Allocation'!T30,'Asset Allocation'!V30))</f>
        <v/>
      </c>
      <c r="C30" t="str">
        <f>IF(A30="","",SUM('Asset Allocation'!C30,'Asset Allocation'!D30,'Asset Allocation'!E30,'Asset Allocation'!G30,'Asset Allocation'!I30,'Asset Allocation'!L30,'Asset Allocation'!N30,'Asset Allocation'!U30))</f>
        <v/>
      </c>
      <c r="D30" t="str">
        <f>IF(A30="","",SUM('Asset Allocation'!J30))</f>
        <v/>
      </c>
      <c r="F30" t="str">
        <f>IF(A30="","",SUM('Asset Allocation'!F30))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Allocation'!H31,'Asset Allocation'!K31,'Asset Allocation'!M31,'Asset Allocation'!O31,'Asset Allocation'!P31,'Asset Allocation'!Q31,'Asset Allocation'!R31,'Asset Allocation'!S31,'Asset Allocation'!T31,'Asset Allocation'!V31))</f>
        <v/>
      </c>
      <c r="C31" t="str">
        <f>IF(A31="","",SUM('Asset Allocation'!C31,'Asset Allocation'!D31,'Asset Allocation'!E31,'Asset Allocation'!G31,'Asset Allocation'!I31,'Asset Allocation'!L31,'Asset Allocation'!N31,'Asset Allocation'!U31))</f>
        <v/>
      </c>
      <c r="D31" t="str">
        <f>IF(A31="","",SUM('Asset Allocation'!J31))</f>
        <v/>
      </c>
      <c r="F31" t="str">
        <f>IF(A31="","",SUM('Asset Allocation'!F31))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Allocation'!H32,'Asset Allocation'!K32,'Asset Allocation'!M32,'Asset Allocation'!O32,'Asset Allocation'!P32,'Asset Allocation'!Q32,'Asset Allocation'!R32,'Asset Allocation'!S32,'Asset Allocation'!T32,'Asset Allocation'!V32))</f>
        <v/>
      </c>
      <c r="C32" t="str">
        <f>IF(A32="","",SUM('Asset Allocation'!C32,'Asset Allocation'!D32,'Asset Allocation'!E32,'Asset Allocation'!G32,'Asset Allocation'!I32,'Asset Allocation'!L32,'Asset Allocation'!N32,'Asset Allocation'!U32))</f>
        <v/>
      </c>
      <c r="D32" t="str">
        <f>IF(A32="","",SUM('Asset Allocation'!J32))</f>
        <v/>
      </c>
      <c r="F32" t="str">
        <f>IF(A32="","",SUM('Asset Allocation'!F32))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Allocation'!H33,'Asset Allocation'!K33,'Asset Allocation'!M33,'Asset Allocation'!O33,'Asset Allocation'!P33,'Asset Allocation'!Q33,'Asset Allocation'!R33,'Asset Allocation'!S33,'Asset Allocation'!T33,'Asset Allocation'!V33))</f>
        <v/>
      </c>
      <c r="C33" t="str">
        <f>IF(A33="","",SUM('Asset Allocation'!C33,'Asset Allocation'!D33,'Asset Allocation'!E33,'Asset Allocation'!G33,'Asset Allocation'!I33,'Asset Allocation'!L33,'Asset Allocation'!N33,'Asset Allocation'!U33))</f>
        <v/>
      </c>
      <c r="D33" t="str">
        <f>IF(A33="","",SUM('Asset Allocation'!J33))</f>
        <v/>
      </c>
      <c r="F33" t="str">
        <f>IF(A33="","",SUM('Asset Allocation'!F33))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Allocation'!H34,'Asset Allocation'!K34,'Asset Allocation'!M34,'Asset Allocation'!O34,'Asset Allocation'!P34,'Asset Allocation'!Q34,'Asset Allocation'!R34,'Asset Allocation'!S34,'Asset Allocation'!T34,'Asset Allocation'!V34))</f>
        <v/>
      </c>
      <c r="C34" t="str">
        <f>IF(A34="","",SUM('Asset Allocation'!C34,'Asset Allocation'!D34,'Asset Allocation'!E34,'Asset Allocation'!G34,'Asset Allocation'!I34,'Asset Allocation'!L34,'Asset Allocation'!N34,'Asset Allocation'!U34))</f>
        <v/>
      </c>
      <c r="D34" t="str">
        <f>IF(A34="","",SUM('Asset Allocation'!J34))</f>
        <v/>
      </c>
      <c r="F34" t="str">
        <f>IF(A34="","",SUM('Asset Allocation'!F34))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Allocation'!H35,'Asset Allocation'!K35,'Asset Allocation'!M35,'Asset Allocation'!O35,'Asset Allocation'!P35,'Asset Allocation'!Q35,'Asset Allocation'!R35,'Asset Allocation'!S35,'Asset Allocation'!T35,'Asset Allocation'!V35))</f>
        <v/>
      </c>
      <c r="C35" t="str">
        <f>IF(A35="","",SUM('Asset Allocation'!C35,'Asset Allocation'!D35,'Asset Allocation'!E35,'Asset Allocation'!G35,'Asset Allocation'!I35,'Asset Allocation'!L35,'Asset Allocation'!N35,'Asset Allocation'!U35))</f>
        <v/>
      </c>
      <c r="D35" t="str">
        <f>IF(A35="","",SUM('Asset Allocation'!J35))</f>
        <v/>
      </c>
      <c r="F35" t="str">
        <f>IF(A35="","",SUM('Asset Allocation'!F35))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Allocation'!H36,'Asset Allocation'!K36,'Asset Allocation'!M36,'Asset Allocation'!O36,'Asset Allocation'!P36,'Asset Allocation'!Q36,'Asset Allocation'!R36,'Asset Allocation'!S36,'Asset Allocation'!T36,'Asset Allocation'!V36))</f>
        <v/>
      </c>
      <c r="C36" t="str">
        <f>IF(A36="","",SUM('Asset Allocation'!C36,'Asset Allocation'!D36,'Asset Allocation'!E36,'Asset Allocation'!G36,'Asset Allocation'!I36,'Asset Allocation'!L36,'Asset Allocation'!N36,'Asset Allocation'!U36))</f>
        <v/>
      </c>
      <c r="D36" t="str">
        <f>IF(A36="","",SUM('Asset Allocation'!J36))</f>
        <v/>
      </c>
      <c r="F36" t="str">
        <f>IF(A36="","",SUM('Asset Allocation'!F36))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Allocation'!H37,'Asset Allocation'!K37,'Asset Allocation'!M37,'Asset Allocation'!O37,'Asset Allocation'!P37,'Asset Allocation'!Q37,'Asset Allocation'!R37,'Asset Allocation'!S37,'Asset Allocation'!T37,'Asset Allocation'!V37))</f>
        <v/>
      </c>
      <c r="C37" t="str">
        <f>IF(A37="","",SUM('Asset Allocation'!C37,'Asset Allocation'!D37,'Asset Allocation'!E37,'Asset Allocation'!G37,'Asset Allocation'!I37,'Asset Allocation'!L37,'Asset Allocation'!N37,'Asset Allocation'!U37))</f>
        <v/>
      </c>
      <c r="D37" t="str">
        <f>IF(A37="","",SUM('Asset Allocation'!J37))</f>
        <v/>
      </c>
      <c r="F37" t="str">
        <f>IF(A37="","",SUM('Asset Allocation'!F37))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Allocation'!H38,'Asset Allocation'!K38,'Asset Allocation'!M38,'Asset Allocation'!O38,'Asset Allocation'!P38,'Asset Allocation'!Q38,'Asset Allocation'!R38,'Asset Allocation'!S38,'Asset Allocation'!T38,'Asset Allocation'!V38))</f>
        <v/>
      </c>
      <c r="C38" t="str">
        <f>IF(A38="","",SUM('Asset Allocation'!C38,'Asset Allocation'!D38,'Asset Allocation'!E38,'Asset Allocation'!G38,'Asset Allocation'!I38,'Asset Allocation'!L38,'Asset Allocation'!N38,'Asset Allocation'!U38))</f>
        <v/>
      </c>
      <c r="D38" t="str">
        <f>IF(A38="","",SUM('Asset Allocation'!J38))</f>
        <v/>
      </c>
      <c r="F38" t="str">
        <f>IF(A38="","",SUM('Asset Allocation'!F38))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Allocation'!H39,'Asset Allocation'!K39,'Asset Allocation'!M39,'Asset Allocation'!O39,'Asset Allocation'!P39,'Asset Allocation'!Q39,'Asset Allocation'!R39,'Asset Allocation'!S39,'Asset Allocation'!T39,'Asset Allocation'!V39))</f>
        <v/>
      </c>
      <c r="C39" t="str">
        <f>IF(A39="","",SUM('Asset Allocation'!C39,'Asset Allocation'!D39,'Asset Allocation'!E39,'Asset Allocation'!G39,'Asset Allocation'!I39,'Asset Allocation'!L39,'Asset Allocation'!N39,'Asset Allocation'!U39))</f>
        <v/>
      </c>
      <c r="D39" t="str">
        <f>IF(A39="","",SUM('Asset Allocation'!J39))</f>
        <v/>
      </c>
      <c r="F39" t="str">
        <f>IF(A39="","",SUM('Asset Allocation'!F39))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Allocation'!H40,'Asset Allocation'!K40,'Asset Allocation'!M40,'Asset Allocation'!O40,'Asset Allocation'!P40,'Asset Allocation'!Q40,'Asset Allocation'!R40,'Asset Allocation'!S40,'Asset Allocation'!T40,'Asset Allocation'!V40))</f>
        <v/>
      </c>
      <c r="C40" t="str">
        <f>IF(A40="","",SUM('Asset Allocation'!C40,'Asset Allocation'!D40,'Asset Allocation'!E40,'Asset Allocation'!G40,'Asset Allocation'!I40,'Asset Allocation'!L40,'Asset Allocation'!N40,'Asset Allocation'!U40))</f>
        <v/>
      </c>
      <c r="D40" t="str">
        <f>IF(A40="","",SUM('Asset Allocation'!J40))</f>
        <v/>
      </c>
      <c r="F40" t="str">
        <f>IF(A40="","",SUM('Asset Allocation'!F40))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Allocation'!H41,'Asset Allocation'!K41,'Asset Allocation'!M41,'Asset Allocation'!O41,'Asset Allocation'!P41,'Asset Allocation'!Q41,'Asset Allocation'!R41,'Asset Allocation'!S41,'Asset Allocation'!T41,'Asset Allocation'!V41))</f>
        <v/>
      </c>
      <c r="C41" t="str">
        <f>IF(A41="","",SUM('Asset Allocation'!C41,'Asset Allocation'!D41,'Asset Allocation'!E41,'Asset Allocation'!G41,'Asset Allocation'!I41,'Asset Allocation'!L41,'Asset Allocation'!N41,'Asset Allocation'!U41))</f>
        <v/>
      </c>
      <c r="D41" t="str">
        <f>IF(A41="","",SUM('Asset Allocation'!J41))</f>
        <v/>
      </c>
      <c r="F41" t="str">
        <f>IF(A41="","",SUM('Asset Allocation'!F41))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Allocation'!H42,'Asset Allocation'!K42,'Asset Allocation'!M42,'Asset Allocation'!O42,'Asset Allocation'!P42,'Asset Allocation'!Q42,'Asset Allocation'!R42,'Asset Allocation'!S42,'Asset Allocation'!T42,'Asset Allocation'!V42))</f>
        <v/>
      </c>
      <c r="C42" t="str">
        <f>IF(A42="","",SUM('Asset Allocation'!C42,'Asset Allocation'!D42,'Asset Allocation'!E42,'Asset Allocation'!G42,'Asset Allocation'!I42,'Asset Allocation'!L42,'Asset Allocation'!N42,'Asset Allocation'!U42))</f>
        <v/>
      </c>
      <c r="D42" t="str">
        <f>IF(A42="","",SUM('Asset Allocation'!J42))</f>
        <v/>
      </c>
      <c r="F42" t="str">
        <f>IF(A42="","",SUM('Asset Allocation'!F42))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Allocation'!H43,'Asset Allocation'!K43,'Asset Allocation'!M43,'Asset Allocation'!O43,'Asset Allocation'!P43,'Asset Allocation'!Q43,'Asset Allocation'!R43,'Asset Allocation'!S43,'Asset Allocation'!T43,'Asset Allocation'!V43))</f>
        <v/>
      </c>
      <c r="C43" t="str">
        <f>IF(A43="","",SUM('Asset Allocation'!C43,'Asset Allocation'!D43,'Asset Allocation'!E43,'Asset Allocation'!G43,'Asset Allocation'!I43,'Asset Allocation'!L43,'Asset Allocation'!N43,'Asset Allocation'!U43))</f>
        <v/>
      </c>
      <c r="D43" t="str">
        <f>IF(A43="","",SUM('Asset Allocation'!J43))</f>
        <v/>
      </c>
      <c r="F43" t="str">
        <f>IF(A43="","",SUM('Asset Allocation'!F43))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Allocation'!H44,'Asset Allocation'!K44,'Asset Allocation'!M44,'Asset Allocation'!O44,'Asset Allocation'!P44,'Asset Allocation'!Q44,'Asset Allocation'!R44,'Asset Allocation'!S44,'Asset Allocation'!T44,'Asset Allocation'!V44))</f>
        <v/>
      </c>
      <c r="C44" t="str">
        <f>IF(A44="","",SUM('Asset Allocation'!C44,'Asset Allocation'!D44,'Asset Allocation'!E44,'Asset Allocation'!G44,'Asset Allocation'!I44,'Asset Allocation'!L44,'Asset Allocation'!N44,'Asset Allocation'!U44))</f>
        <v/>
      </c>
      <c r="D44" t="str">
        <f>IF(A44="","",SUM('Asset Allocation'!J44))</f>
        <v/>
      </c>
      <c r="F44" t="str">
        <f>IF(A44="","",SUM('Asset Allocation'!F44))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Allocation'!H45,'Asset Allocation'!K45,'Asset Allocation'!M45,'Asset Allocation'!O45,'Asset Allocation'!P45,'Asset Allocation'!Q45,'Asset Allocation'!R45,'Asset Allocation'!S45,'Asset Allocation'!T45,'Asset Allocation'!V45))</f>
        <v/>
      </c>
      <c r="C45" t="str">
        <f>IF(A45="","",SUM('Asset Allocation'!C45,'Asset Allocation'!D45,'Asset Allocation'!E45,'Asset Allocation'!G45,'Asset Allocation'!I45,'Asset Allocation'!L45,'Asset Allocation'!N45,'Asset Allocation'!U45))</f>
        <v/>
      </c>
      <c r="D45" t="str">
        <f>IF(A45="","",SUM('Asset Allocation'!J45))</f>
        <v/>
      </c>
      <c r="F45" t="str">
        <f>IF(A45="","",SUM('Asset Allocation'!F45))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Allocation'!H46,'Asset Allocation'!K46,'Asset Allocation'!M46,'Asset Allocation'!O46,'Asset Allocation'!P46,'Asset Allocation'!Q46,'Asset Allocation'!R46,'Asset Allocation'!S46,'Asset Allocation'!T46,'Asset Allocation'!V46))</f>
        <v/>
      </c>
      <c r="C46" t="str">
        <f>IF(A46="","",SUM('Asset Allocation'!C46,'Asset Allocation'!D46,'Asset Allocation'!E46,'Asset Allocation'!G46,'Asset Allocation'!I46,'Asset Allocation'!L46,'Asset Allocation'!N46,'Asset Allocation'!U46))</f>
        <v/>
      </c>
      <c r="D46" t="str">
        <f>IF(A46="","",SUM('Asset Allocation'!J46))</f>
        <v/>
      </c>
      <c r="F46" t="str">
        <f>IF(A46="","",SUM('Asset Allocation'!F46))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Allocation'!H47,'Asset Allocation'!K47,'Asset Allocation'!M47,'Asset Allocation'!O47,'Asset Allocation'!P47,'Asset Allocation'!Q47,'Asset Allocation'!R47,'Asset Allocation'!S47,'Asset Allocation'!T47,'Asset Allocation'!V47))</f>
        <v/>
      </c>
      <c r="C47" t="str">
        <f>IF(A47="","",SUM('Asset Allocation'!C47,'Asset Allocation'!D47,'Asset Allocation'!E47,'Asset Allocation'!G47,'Asset Allocation'!I47,'Asset Allocation'!L47,'Asset Allocation'!N47,'Asset Allocation'!U47))</f>
        <v/>
      </c>
      <c r="D47" t="str">
        <f>IF(A47="","",SUM('Asset Allocation'!J47))</f>
        <v/>
      </c>
      <c r="F47" t="str">
        <f>IF(A47="","",SUM('Asset Allocation'!F47))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Allocation'!H48,'Asset Allocation'!K48,'Asset Allocation'!M48,'Asset Allocation'!O48,'Asset Allocation'!P48,'Asset Allocation'!Q48,'Asset Allocation'!R48,'Asset Allocation'!S48,'Asset Allocation'!T48,'Asset Allocation'!V48))</f>
        <v/>
      </c>
      <c r="C48" t="str">
        <f>IF(A48="","",SUM('Asset Allocation'!C48,'Asset Allocation'!D48,'Asset Allocation'!E48,'Asset Allocation'!G48,'Asset Allocation'!I48,'Asset Allocation'!L48,'Asset Allocation'!N48,'Asset Allocation'!U48))</f>
        <v/>
      </c>
      <c r="D48" t="str">
        <f>IF(A48="","",SUM('Asset Allocation'!J48))</f>
        <v/>
      </c>
      <c r="F48" t="str">
        <f>IF(A48="","",SUM('Asset Allocation'!F48))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Allocation'!H49,'Asset Allocation'!K49,'Asset Allocation'!M49,'Asset Allocation'!O49,'Asset Allocation'!P49,'Asset Allocation'!Q49,'Asset Allocation'!R49,'Asset Allocation'!S49,'Asset Allocation'!T49,'Asset Allocation'!V49))</f>
        <v/>
      </c>
      <c r="C49" t="str">
        <f>IF(A49="","",SUM('Asset Allocation'!C49,'Asset Allocation'!D49,'Asset Allocation'!E49,'Asset Allocation'!G49,'Asset Allocation'!I49,'Asset Allocation'!L49,'Asset Allocation'!N49,'Asset Allocation'!U49))</f>
        <v/>
      </c>
      <c r="D49" t="str">
        <f>IF(A49="","",SUM('Asset Allocation'!J49))</f>
        <v/>
      </c>
      <c r="F49" t="str">
        <f>IF(A49="","",SUM('Asset Allocation'!F49))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Allocation'!H50,'Asset Allocation'!K50,'Asset Allocation'!M50,'Asset Allocation'!O50,'Asset Allocation'!P50,'Asset Allocation'!Q50,'Asset Allocation'!R50,'Asset Allocation'!S50,'Asset Allocation'!T50,'Asset Allocation'!V50))</f>
        <v/>
      </c>
      <c r="C50" t="str">
        <f>IF(A50="","",SUM('Asset Allocation'!C50,'Asset Allocation'!D50,'Asset Allocation'!E50,'Asset Allocation'!G50,'Asset Allocation'!I50,'Asset Allocation'!L50,'Asset Allocation'!N50,'Asset Allocation'!U50))</f>
        <v/>
      </c>
      <c r="D50" t="str">
        <f>IF(A50="","",SUM('Asset Allocation'!J50))</f>
        <v/>
      </c>
      <c r="F50" t="str">
        <f>IF(A50="","",SUM('Asset Allocation'!F50))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Global ESG Themes 1</v>
      </c>
      <c r="B2" s="6">
        <f>IFERROR(IF(A2="","",SUM('Asset Allocation'!R2)/'Broad Asset Allocation'!B2),0)</f>
        <v>0</v>
      </c>
      <c r="C2" s="6">
        <f>IFERROR(IF(A2="","",SUM('Asset Allocation'!T2)/'Broad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Allocation'!S2)/'Broad Asset Allocation'!B2),0)</f>
        <v>0</v>
      </c>
      <c r="F2" s="6">
        <f>IFERROR(IF(A2="","",SUM('Asset Allocation'!K2)/'Broad Asset Allocation'!B2),0)</f>
        <v>0</v>
      </c>
      <c r="G2" s="6">
        <f>IFERROR(IF(A2="","",SUM('Asset Allocation'!M2,'Asset Allocation'!O2,'Asset Allocation'!Q2)/'Broad Asset Allocation'!B2),0)</f>
        <v>0</v>
      </c>
      <c r="H2" s="6">
        <f>IFERROR(IF(A2="","",SUM('Asset Allocation'!V2,'Asset Allocation'!P2)/'Broad Asset Allocation'!B2),0)</f>
        <v>0</v>
      </c>
    </row>
    <row r="3" spans="1:8" x14ac:dyDescent="0.25">
      <c r="A3" t="str">
        <f>IF(Input!A4="","",Input!A4)</f>
        <v>Global ESG Themes 2</v>
      </c>
      <c r="B3" s="6">
        <f>IFERROR(IF(A3="","",SUM('Asset Allocation'!R3)/'Broad Asset Allocation'!B3),0)</f>
        <v>0</v>
      </c>
      <c r="C3" s="6">
        <f>IFERROR(IF(A3="","",SUM('Asset Allocation'!T3)/'Broad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Allocation'!S3)/'Broad Asset Allocation'!B3),0)</f>
        <v>0</v>
      </c>
      <c r="F3" s="6">
        <f>IFERROR(IF(A3="","",SUM('Asset Allocation'!K3)/'Broad Asset Allocation'!B3),0)</f>
        <v>0</v>
      </c>
      <c r="G3" s="6">
        <f>IFERROR(IF(A3="","",SUM('Asset Allocation'!M3,'Asset Allocation'!O3,'Asset Allocation'!Q3)/'Broad Asset Allocation'!B3),0)</f>
        <v>0</v>
      </c>
      <c r="H3" s="6">
        <f>IFERROR(IF(A3="","",SUM('Asset Allocation'!V3,'Asset Allocation'!P3)/'Broad Asset Allocation'!B3),0)</f>
        <v>0</v>
      </c>
    </row>
    <row r="4" spans="1:8" x14ac:dyDescent="0.25">
      <c r="A4" t="str">
        <f>IF(Input!A5="","",Input!A5)</f>
        <v>Global ESG Themes 3</v>
      </c>
      <c r="B4" s="6">
        <f>IFERROR(IF(A4="","",SUM('Asset Allocation'!R4)/'Broad Asset Allocation'!B4),0)</f>
        <v>0</v>
      </c>
      <c r="C4" s="6">
        <f>IFERROR(IF(A4="","",SUM('Asset Allocation'!T4)/'Broad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Allocation'!S4)/'Broad Asset Allocation'!B4),0)</f>
        <v>0</v>
      </c>
      <c r="F4" s="6">
        <f>IFERROR(IF(A4="","",SUM('Asset Allocation'!K4)/'Broad Asset Allocation'!B4),0)</f>
        <v>0</v>
      </c>
      <c r="G4" s="6">
        <f>IFERROR(IF(A4="","",SUM('Asset Allocation'!M4,'Asset Allocation'!O4,'Asset Allocation'!Q4)/'Broad Asset Allocation'!B4),0)</f>
        <v>0</v>
      </c>
      <c r="H4" s="6">
        <f>IFERROR(IF(A4="","",SUM('Asset Allocation'!V4,'Asset Allocation'!P4)/'Broad Asset Allocation'!B4),0)</f>
        <v>0</v>
      </c>
    </row>
    <row r="5" spans="1:8" x14ac:dyDescent="0.25">
      <c r="A5" t="str">
        <f>IF(Input!A6="","",Input!A6)</f>
        <v>Global ESG Themes 4</v>
      </c>
      <c r="B5" s="6">
        <f>IFERROR(IF(A5="","",SUM('Asset Allocation'!R5)/'Broad Asset Allocation'!B5),0)</f>
        <v>0</v>
      </c>
      <c r="C5" s="6">
        <f>IFERROR(IF(A5="","",SUM('Asset Allocation'!T5)/'Broad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Allocation'!S5)/'Broad Asset Allocation'!B5),0)</f>
        <v>0</v>
      </c>
      <c r="F5" s="6">
        <f>IFERROR(IF(A5="","",SUM('Asset Allocation'!K5)/'Broad Asset Allocation'!B5),0)</f>
        <v>0</v>
      </c>
      <c r="G5" s="6">
        <f>IFERROR(IF(A5="","",SUM('Asset Allocation'!M5,'Asset Allocation'!O5,'Asset Allocation'!Q5)/'Broad Asset Allocation'!B5),0)</f>
        <v>0</v>
      </c>
      <c r="H5" s="6">
        <f>IFERROR(IF(A5="","",SUM('Asset Allocation'!V5,'Asset Allocation'!P5)/'Broad Asset Allocation'!B5),0)</f>
        <v>0</v>
      </c>
    </row>
    <row r="6" spans="1:8" x14ac:dyDescent="0.25">
      <c r="A6" t="str">
        <f>IF(Input!A7="","",Input!A7)</f>
        <v>Global ESG Themes 5</v>
      </c>
      <c r="B6" s="6">
        <f>IFERROR(IF(A6="","",SUM('Asset Allocation'!R6)/'Broad Asset Allocation'!B6),0)</f>
        <v>0</v>
      </c>
      <c r="C6" s="6">
        <f>IFERROR(IF(A6="","",SUM('Asset Allocation'!T6)/'Broad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Allocation'!S6)/'Broad Asset Allocation'!B6),0)</f>
        <v>0</v>
      </c>
      <c r="F6" s="6">
        <f>IFERROR(IF(A6="","",SUM('Asset Allocation'!K6)/'Broad Asset Allocation'!B6),0)</f>
        <v>0</v>
      </c>
      <c r="G6" s="6">
        <f>IFERROR(IF(A6="","",SUM('Asset Allocation'!M6,'Asset Allocation'!O6,'Asset Allocation'!Q6)/'Broad Asset Allocation'!B6),0)</f>
        <v>0</v>
      </c>
      <c r="H6" s="6">
        <f>IFERROR(IF(A6="","",SUM('Asset Allocation'!V6,'Asset Allocation'!P6)/'Broad Asset Allocation'!B6),0)</f>
        <v>0</v>
      </c>
    </row>
    <row r="7" spans="1:8" x14ac:dyDescent="0.25">
      <c r="A7" t="str">
        <f>IF(Input!A8="","",Input!A8)</f>
        <v>Global ESG Themes 6</v>
      </c>
      <c r="B7" s="6">
        <f>IFERROR(IF(A7="","",SUM('Asset Allocation'!R7)/'Broad Asset Allocation'!B7),0)</f>
        <v>0</v>
      </c>
      <c r="C7" s="6">
        <f>IFERROR(IF(A7="","",SUM('Asset Allocation'!T7)/'Broad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Allocation'!S7)/'Broad Asset Allocation'!B7),0)</f>
        <v>0</v>
      </c>
      <c r="F7" s="6">
        <f>IFERROR(IF(A7="","",SUM('Asset Allocation'!K7)/'Broad Asset Allocation'!B7),0)</f>
        <v>0</v>
      </c>
      <c r="G7" s="6">
        <f>IFERROR(IF(A7="","",SUM('Asset Allocation'!M7,'Asset Allocation'!O7,'Asset Allocation'!Q7)/'Broad Asset Allocation'!B7),0)</f>
        <v>0</v>
      </c>
      <c r="H7" s="6">
        <f>IFERROR(IF(A7="","",SUM('Asset Allocation'!V7,'Asset Allocation'!P7)/'Broad Asset Allocation'!B7),0)</f>
        <v>0</v>
      </c>
    </row>
    <row r="8" spans="1:8" x14ac:dyDescent="0.25">
      <c r="A8" t="str">
        <f>IF(Input!A9="","",Input!A9)</f>
        <v>Passive with ETFs 1 (P-MP1)</v>
      </c>
      <c r="B8" s="6">
        <f>IFERROR(IF(A8="","",SUM('Asset Allocation'!R8)/'Broad Asset Allocation'!B8),0)</f>
        <v>0</v>
      </c>
      <c r="C8" s="6">
        <f>IFERROR(IF(A8="","",SUM('Asset Allocation'!T8)/'Broad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Allocation'!S8)/'Broad Asset Allocation'!B8),0)</f>
        <v>0</v>
      </c>
      <c r="F8" s="6">
        <f>IFERROR(IF(A8="","",SUM('Asset Allocation'!K8)/'Broad Asset Allocation'!B8),0)</f>
        <v>0</v>
      </c>
      <c r="G8" s="6">
        <f>IFERROR(IF(A8="","",SUM('Asset Allocation'!M8,'Asset Allocation'!O8,'Asset Allocation'!Q8)/'Broad Asset Allocation'!B8),0)</f>
        <v>0</v>
      </c>
      <c r="H8" s="6">
        <f>IFERROR(IF(A8="","",SUM('Asset Allocation'!V8,'Asset Allocation'!P8)/'Broad Asset Allocation'!B8),0)</f>
        <v>0</v>
      </c>
    </row>
    <row r="9" spans="1:8" x14ac:dyDescent="0.25">
      <c r="A9" t="str">
        <f>IF(Input!A10="","",Input!A10)</f>
        <v>Passive with ETFs 2 (P-MP2)</v>
      </c>
      <c r="B9" s="6">
        <f>IFERROR(IF(A9="","",SUM('Asset Allocation'!R9)/'Broad Asset Allocation'!B9),0)</f>
        <v>0</v>
      </c>
      <c r="C9" s="6">
        <f>IFERROR(IF(A9="","",SUM('Asset Allocation'!T9)/'Broad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Allocation'!S9)/'Broad Asset Allocation'!B9),0)</f>
        <v>0</v>
      </c>
      <c r="F9" s="6">
        <f>IFERROR(IF(A9="","",SUM('Asset Allocation'!K9)/'Broad Asset Allocation'!B9),0)</f>
        <v>0</v>
      </c>
      <c r="G9" s="6">
        <f>IFERROR(IF(A9="","",SUM('Asset Allocation'!M9,'Asset Allocation'!O9,'Asset Allocation'!Q9)/'Broad Asset Allocation'!B9),0)</f>
        <v>0</v>
      </c>
      <c r="H9" s="6">
        <f>IFERROR(IF(A9="","",SUM('Asset Allocation'!V9,'Asset Allocation'!P9)/'Broad Asset Allocation'!B9),0)</f>
        <v>0</v>
      </c>
    </row>
    <row r="10" spans="1:8" x14ac:dyDescent="0.25">
      <c r="A10" t="str">
        <f>IF(Input!A11="","",Input!A11)</f>
        <v>Passive with ETFs 3 (P-MP3)</v>
      </c>
      <c r="B10" s="6">
        <f>IFERROR(IF(A10="","",SUM('Asset Allocation'!R10)/'Broad Asset Allocation'!B10),0)</f>
        <v>0</v>
      </c>
      <c r="C10" s="6">
        <f>IFERROR(IF(A10="","",SUM('Asset Allocation'!T10)/'Broad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Allocation'!S10)/'Broad Asset Allocation'!B10),0)</f>
        <v>0</v>
      </c>
      <c r="F10" s="6">
        <f>IFERROR(IF(A10="","",SUM('Asset Allocation'!K10)/'Broad Asset Allocation'!B10),0)</f>
        <v>0</v>
      </c>
      <c r="G10" s="6">
        <f>IFERROR(IF(A10="","",SUM('Asset Allocation'!M10,'Asset Allocation'!O10,'Asset Allocation'!Q10)/'Broad Asset Allocation'!B10),0)</f>
        <v>0</v>
      </c>
      <c r="H10" s="6">
        <f>IFERROR(IF(A10="","",SUM('Asset Allocation'!V10,'Asset Allocation'!P10)/'Broad Asset Allocation'!B10),0)</f>
        <v>0</v>
      </c>
    </row>
    <row r="11" spans="1:8" x14ac:dyDescent="0.25">
      <c r="A11" t="str">
        <f>IF(Input!A12="","",Input!A12)</f>
        <v>Passive with ETFs 4 (P-MP4)</v>
      </c>
      <c r="B11" s="6">
        <f>IFERROR(IF(A11="","",SUM('Asset Allocation'!R11)/'Broad Asset Allocation'!B11),0)</f>
        <v>0</v>
      </c>
      <c r="C11" s="6">
        <f>IFERROR(IF(A11="","",SUM('Asset Allocation'!T11)/'Broad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Allocation'!S11)/'Broad Asset Allocation'!B11),0)</f>
        <v>0</v>
      </c>
      <c r="F11" s="6">
        <f>IFERROR(IF(A11="","",SUM('Asset Allocation'!K11)/'Broad Asset Allocation'!B11),0)</f>
        <v>0</v>
      </c>
      <c r="G11" s="6">
        <f>IFERROR(IF(A11="","",SUM('Asset Allocation'!M11,'Asset Allocation'!O11,'Asset Allocation'!Q11)/'Broad Asset Allocation'!B11),0)</f>
        <v>0</v>
      </c>
      <c r="H11" s="6">
        <f>IFERROR(IF(A11="","",SUM('Asset Allocation'!V11,'Asset Allocation'!P11)/'Broad Asset Allocation'!B11),0)</f>
        <v>0</v>
      </c>
    </row>
    <row r="12" spans="1:8" x14ac:dyDescent="0.25">
      <c r="A12" t="str">
        <f>IF(Input!A13="","",Input!A13)</f>
        <v>Passive with ETFs 5 (P-MP5)</v>
      </c>
      <c r="B12" s="6">
        <f>IFERROR(IF(A12="","",SUM('Asset Allocation'!R12)/'Broad Asset Allocation'!B12),0)</f>
        <v>0</v>
      </c>
      <c r="C12" s="6">
        <f>IFERROR(IF(A12="","",SUM('Asset Allocation'!T12)/'Broad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Allocation'!S12)/'Broad Asset Allocation'!B12),0)</f>
        <v>0</v>
      </c>
      <c r="F12" s="6">
        <f>IFERROR(IF(A12="","",SUM('Asset Allocation'!K12)/'Broad Asset Allocation'!B12),0)</f>
        <v>0</v>
      </c>
      <c r="G12" s="6">
        <f>IFERROR(IF(A12="","",SUM('Asset Allocation'!M12,'Asset Allocation'!O12,'Asset Allocation'!Q12)/'Broad Asset Allocation'!B12),0)</f>
        <v>0</v>
      </c>
      <c r="H12" s="6">
        <f>IFERROR(IF(A12="","",SUM('Asset Allocation'!V12,'Asset Allocation'!P12)/'Broad Asset Allocation'!B12),0)</f>
        <v>0</v>
      </c>
    </row>
    <row r="13" spans="1:8" x14ac:dyDescent="0.25">
      <c r="A13" t="str">
        <f>IF(Input!A14="","",Input!A14)</f>
        <v>Passive no ETFs 1 (PF-MP1)</v>
      </c>
      <c r="B13" s="6">
        <f>IFERROR(IF(A13="","",SUM('Asset Allocation'!R13)/'Broad Asset Allocation'!B13),0)</f>
        <v>0</v>
      </c>
      <c r="C13" s="6">
        <f>IFERROR(IF(A13="","",SUM('Asset Allocation'!T13)/'Broad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Allocation'!S13)/'Broad Asset Allocation'!B13),0)</f>
        <v>0</v>
      </c>
      <c r="F13" s="6">
        <f>IFERROR(IF(A13="","",SUM('Asset Allocation'!K13)/'Broad Asset Allocation'!B13),0)</f>
        <v>0</v>
      </c>
      <c r="G13" s="6">
        <f>IFERROR(IF(A13="","",SUM('Asset Allocation'!M13,'Asset Allocation'!O13,'Asset Allocation'!Q13)/'Broad Asset Allocation'!B13),0)</f>
        <v>0</v>
      </c>
      <c r="H13" s="6">
        <f>IFERROR(IF(A13="","",SUM('Asset Allocation'!V13,'Asset Allocation'!P13)/'Broad Asset Allocation'!B13),0)</f>
        <v>0</v>
      </c>
    </row>
    <row r="14" spans="1:8" x14ac:dyDescent="0.25">
      <c r="A14" t="str">
        <f>IF(Input!A15="","",Input!A15)</f>
        <v>Passive no ETFs 2 (PF-MP2)</v>
      </c>
      <c r="B14" s="6">
        <f>IFERROR(IF(A14="","",SUM('Asset Allocation'!R14)/'Broad Asset Allocation'!B14),0)</f>
        <v>0</v>
      </c>
      <c r="C14" s="6">
        <f>IFERROR(IF(A14="","",SUM('Asset Allocation'!T14)/'Broad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Allocation'!S14)/'Broad Asset Allocation'!B14),0)</f>
        <v>0</v>
      </c>
      <c r="F14" s="6">
        <f>IFERROR(IF(A14="","",SUM('Asset Allocation'!K14)/'Broad Asset Allocation'!B14),0)</f>
        <v>0</v>
      </c>
      <c r="G14" s="6">
        <f>IFERROR(IF(A14="","",SUM('Asset Allocation'!M14,'Asset Allocation'!O14,'Asset Allocation'!Q14)/'Broad Asset Allocation'!B14),0)</f>
        <v>0</v>
      </c>
      <c r="H14" s="6">
        <f>IFERROR(IF(A14="","",SUM('Asset Allocation'!V14,'Asset Allocation'!P14)/'Broad Asset Allocation'!B14),0)</f>
        <v>0</v>
      </c>
    </row>
    <row r="15" spans="1:8" x14ac:dyDescent="0.25">
      <c r="A15" t="str">
        <f>IF(Input!A16="","",Input!A16)</f>
        <v>Passive no ETFs 3 (PF-MP3)</v>
      </c>
      <c r="B15" s="6">
        <f>IFERROR(IF(A15="","",SUM('Asset Allocation'!R15)/'Broad Asset Allocation'!B15),0)</f>
        <v>0</v>
      </c>
      <c r="C15" s="6">
        <f>IFERROR(IF(A15="","",SUM('Asset Allocation'!T15)/'Broad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Allocation'!S15)/'Broad Asset Allocation'!B15),0)</f>
        <v>0</v>
      </c>
      <c r="F15" s="6">
        <f>IFERROR(IF(A15="","",SUM('Asset Allocation'!K15)/'Broad Asset Allocation'!B15),0)</f>
        <v>0</v>
      </c>
      <c r="G15" s="6">
        <f>IFERROR(IF(A15="","",SUM('Asset Allocation'!M15,'Asset Allocation'!O15,'Asset Allocation'!Q15)/'Broad Asset Allocation'!B15),0)</f>
        <v>0</v>
      </c>
      <c r="H15" s="6">
        <f>IFERROR(IF(A15="","",SUM('Asset Allocation'!V15,'Asset Allocation'!P15)/'Broad Asset Allocation'!B15),0)</f>
        <v>0</v>
      </c>
    </row>
    <row r="16" spans="1:8" x14ac:dyDescent="0.25">
      <c r="A16" t="str">
        <f>IF(Input!A17="","",Input!A17)</f>
        <v>Passive no ETFs 4 (PF-MP4)</v>
      </c>
      <c r="B16" s="6">
        <f>IFERROR(IF(A16="","",SUM('Asset Allocation'!R16)/'Broad Asset Allocation'!B16),0)</f>
        <v>0</v>
      </c>
      <c r="C16" s="6">
        <f>IFERROR(IF(A16="","",SUM('Asset Allocation'!T16)/'Broad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Allocation'!S16)/'Broad Asset Allocation'!B16),0)</f>
        <v>0</v>
      </c>
      <c r="F16" s="6">
        <f>IFERROR(IF(A16="","",SUM('Asset Allocation'!K16)/'Broad Asset Allocation'!B16),0)</f>
        <v>0</v>
      </c>
      <c r="G16" s="6">
        <f>IFERROR(IF(A16="","",SUM('Asset Allocation'!M16,'Asset Allocation'!O16,'Asset Allocation'!Q16)/'Broad Asset Allocation'!B16),0)</f>
        <v>0</v>
      </c>
      <c r="H16" s="6">
        <f>IFERROR(IF(A16="","",SUM('Asset Allocation'!V16,'Asset Allocation'!P16)/'Broad Asset Allocation'!B16),0)</f>
        <v>0</v>
      </c>
    </row>
    <row r="17" spans="1:8" x14ac:dyDescent="0.25">
      <c r="A17" t="str">
        <f>IF(Input!A18="","",Input!A18)</f>
        <v>Passive no ETFs 5 (PF-MP5)</v>
      </c>
      <c r="B17" s="6">
        <f>IFERROR(IF(A17="","",SUM('Asset Allocation'!R17)/'Broad Asset Allocation'!B17),0)</f>
        <v>0</v>
      </c>
      <c r="C17" s="6">
        <f>IFERROR(IF(A17="","",SUM('Asset Allocation'!T17)/'Broad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Allocation'!S17)/'Broad Asset Allocation'!B17),0)</f>
        <v>0</v>
      </c>
      <c r="F17" s="6">
        <f>IFERROR(IF(A17="","",SUM('Asset Allocation'!K17)/'Broad Asset Allocation'!B17),0)</f>
        <v>0</v>
      </c>
      <c r="G17" s="6">
        <f>IFERROR(IF(A17="","",SUM('Asset Allocation'!M17,'Asset Allocation'!O17,'Asset Allocation'!Q17)/'Broad Asset Allocation'!B17),0)</f>
        <v>0</v>
      </c>
      <c r="H17" s="6">
        <f>IFERROR(IF(A17="","",SUM('Asset Allocation'!V17,'Asset Allocation'!P17)/'Broad Asset Allocation'!B17),0)</f>
        <v>0</v>
      </c>
    </row>
    <row r="18" spans="1:8" x14ac:dyDescent="0.25">
      <c r="A18" t="str">
        <f>IF(Input!A19="","",Input!A19)</f>
        <v>Hybrid with ETFs 1 (H-MP1)</v>
      </c>
      <c r="B18" s="6">
        <f>IFERROR(IF(A18="","",SUM('Asset Allocation'!R18)/'Broad Asset Allocation'!B18),0)</f>
        <v>0</v>
      </c>
      <c r="C18" s="6">
        <f>IFERROR(IF(A18="","",SUM('Asset Allocation'!T18)/'Broad Asset Allocation'!B18),0)</f>
        <v>0</v>
      </c>
      <c r="D18" s="6">
        <f>IFERROR(IF(A18="","",SUM('Asset Allocation'!H18)/'Broad Asset Allocation'!B18),0)</f>
        <v>0</v>
      </c>
      <c r="E18" s="6">
        <f>IFERROR(IF(A18="","",SUM('Asset Allocation'!S18)/'Broad Asset Allocation'!B18),0)</f>
        <v>0</v>
      </c>
      <c r="F18" s="6">
        <f>IFERROR(IF(A18="","",SUM('Asset Allocation'!K18)/'Broad Asset Allocation'!B18),0)</f>
        <v>0</v>
      </c>
      <c r="G18" s="6">
        <f>IFERROR(IF(A18="","",SUM('Asset Allocation'!M18,'Asset Allocation'!O18,'Asset Allocation'!Q18)/'Broad Asset Allocation'!B18),0)</f>
        <v>0</v>
      </c>
      <c r="H18" s="6">
        <f>IFERROR(IF(A18="","",SUM('Asset Allocation'!V18,'Asset Allocation'!P18)/'Broad Asset Allocation'!B18),0)</f>
        <v>0</v>
      </c>
    </row>
    <row r="19" spans="1:8" x14ac:dyDescent="0.25">
      <c r="A19" t="str">
        <f>IF(Input!A20="","",Input!A20)</f>
        <v>Hybrid with ETFs 2 (H-MP2)</v>
      </c>
      <c r="B19" s="6">
        <f>IFERROR(IF(A19="","",SUM('Asset Allocation'!R19)/'Broad Asset Allocation'!B19),0)</f>
        <v>0</v>
      </c>
      <c r="C19" s="6">
        <f>IFERROR(IF(A19="","",SUM('Asset Allocation'!T19)/'Broad Asset Allocation'!B19),0)</f>
        <v>0</v>
      </c>
      <c r="D19" s="6">
        <f>IFERROR(IF(A19="","",SUM('Asset Allocation'!H19)/'Broad Asset Allocation'!B19),0)</f>
        <v>0</v>
      </c>
      <c r="E19" s="6">
        <f>IFERROR(IF(A19="","",SUM('Asset Allocation'!S19)/'Broad Asset Allocation'!B19),0)</f>
        <v>0</v>
      </c>
      <c r="F19" s="6">
        <f>IFERROR(IF(A19="","",SUM('Asset Allocation'!K19)/'Broad Asset Allocation'!B19),0)</f>
        <v>0</v>
      </c>
      <c r="G19" s="6">
        <f>IFERROR(IF(A19="","",SUM('Asset Allocation'!M19,'Asset Allocation'!O19,'Asset Allocation'!Q19)/'Broad Asset Allocation'!B19),0)</f>
        <v>0</v>
      </c>
      <c r="H19" s="6">
        <f>IFERROR(IF(A19="","",SUM('Asset Allocation'!V19,'Asset Allocation'!P19)/'Broad Asset Allocation'!B19),0)</f>
        <v>0</v>
      </c>
    </row>
    <row r="20" spans="1:8" x14ac:dyDescent="0.25">
      <c r="A20" t="str">
        <f>IF(Input!A21="","",Input!A21)</f>
        <v>Hybrid with ETFs 3 (H-MP3)</v>
      </c>
      <c r="B20" s="6">
        <f>IFERROR(IF(A20="","",SUM('Asset Allocation'!R20)/'Broad Asset Allocation'!B20),0)</f>
        <v>0</v>
      </c>
      <c r="C20" s="6">
        <f>IFERROR(IF(A20="","",SUM('Asset Allocation'!T20)/'Broad Asset Allocation'!B20),0)</f>
        <v>0</v>
      </c>
      <c r="D20" s="6">
        <f>IFERROR(IF(A20="","",SUM('Asset Allocation'!H20)/'Broad Asset Allocation'!B20),0)</f>
        <v>0</v>
      </c>
      <c r="E20" s="6">
        <f>IFERROR(IF(A20="","",SUM('Asset Allocation'!S20)/'Broad Asset Allocation'!B20),0)</f>
        <v>0</v>
      </c>
      <c r="F20" s="6">
        <f>IFERROR(IF(A20="","",SUM('Asset Allocation'!K20)/'Broad Asset Allocation'!B20),0)</f>
        <v>0</v>
      </c>
      <c r="G20" s="6">
        <f>IFERROR(IF(A20="","",SUM('Asset Allocation'!M20,'Asset Allocation'!O20,'Asset Allocation'!Q20)/'Broad Asset Allocation'!B20),0)</f>
        <v>0</v>
      </c>
      <c r="H20" s="6">
        <f>IFERROR(IF(A20="","",SUM('Asset Allocation'!V20,'Asset Allocation'!P20)/'Broad Asset Allocation'!B20),0)</f>
        <v>0</v>
      </c>
    </row>
    <row r="21" spans="1:8" x14ac:dyDescent="0.25">
      <c r="A21" t="str">
        <f>IF(Input!A22="","",Input!A22)</f>
        <v>Hybrid with ETFs 4 (H-MP4)</v>
      </c>
      <c r="B21" s="6">
        <f>IFERROR(IF(A21="","",SUM('Asset Allocation'!R21)/'Broad Asset Allocation'!B21),0)</f>
        <v>0</v>
      </c>
      <c r="C21" s="6">
        <f>IFERROR(IF(A21="","",SUM('Asset Allocation'!T21)/'Broad Asset Allocation'!B21),0)</f>
        <v>0</v>
      </c>
      <c r="D21" s="6">
        <f>IFERROR(IF(A21="","",SUM('Asset Allocation'!H21)/'Broad Asset Allocation'!B21),0)</f>
        <v>0</v>
      </c>
      <c r="E21" s="6">
        <f>IFERROR(IF(A21="","",SUM('Asset Allocation'!S21)/'Broad Asset Allocation'!B21),0)</f>
        <v>0</v>
      </c>
      <c r="F21" s="6">
        <f>IFERROR(IF(A21="","",SUM('Asset Allocation'!K21)/'Broad Asset Allocation'!B21),0)</f>
        <v>0</v>
      </c>
      <c r="G21" s="6">
        <f>IFERROR(IF(A21="","",SUM('Asset Allocation'!M21,'Asset Allocation'!O21,'Asset Allocation'!Q21)/'Broad Asset Allocation'!B21),0)</f>
        <v>0</v>
      </c>
      <c r="H21" s="6">
        <f>IFERROR(IF(A21="","",SUM('Asset Allocation'!V21,'Asset Allocation'!P21)/'Broad Asset Allocation'!B21),0)</f>
        <v>0</v>
      </c>
    </row>
    <row r="22" spans="1:8" x14ac:dyDescent="0.25">
      <c r="A22" t="str">
        <f>IF(Input!A23="","",Input!A23)</f>
        <v>Hybrid with ETFs 5 (H-MP5)</v>
      </c>
      <c r="B22" s="6">
        <f>IFERROR(IF(A22="","",SUM('Asset Allocation'!R22)/'Broad Asset Allocation'!B22),0)</f>
        <v>0</v>
      </c>
      <c r="C22" s="6">
        <f>IFERROR(IF(A22="","",SUM('Asset Allocation'!T22)/'Broad Asset Allocation'!B22),0)</f>
        <v>0</v>
      </c>
      <c r="D22" s="6">
        <f>IFERROR(IF(A22="","",SUM('Asset Allocation'!H22)/'Broad Asset Allocation'!B22),0)</f>
        <v>0</v>
      </c>
      <c r="E22" s="6">
        <f>IFERROR(IF(A22="","",SUM('Asset Allocation'!S22)/'Broad Asset Allocation'!B22),0)</f>
        <v>0</v>
      </c>
      <c r="F22" s="6">
        <f>IFERROR(IF(A22="","",SUM('Asset Allocation'!K22)/'Broad Asset Allocation'!B22),0)</f>
        <v>0</v>
      </c>
      <c r="G22" s="6">
        <f>IFERROR(IF(A22="","",SUM('Asset Allocation'!M22,'Asset Allocation'!O22,'Asset Allocation'!Q22)/'Broad Asset Allocation'!B22),0)</f>
        <v>0</v>
      </c>
      <c r="H22" s="6">
        <f>IFERROR(IF(A22="","",SUM('Asset Allocation'!V22,'Asset Allocation'!P22)/'Broad Asset Allocation'!B22),0)</f>
        <v>0</v>
      </c>
    </row>
    <row r="23" spans="1:8" x14ac:dyDescent="0.25">
      <c r="A23" t="str">
        <f>IF(Input!A24="","",Input!A24)</f>
        <v>Hybrid no ETFs 1 (HF-MP1)</v>
      </c>
      <c r="B23" s="6">
        <f>IFERROR(IF(A23="","",SUM('Asset Allocation'!R23)/'Broad Asset Allocation'!B23),0)</f>
        <v>0</v>
      </c>
      <c r="C23" s="6">
        <f>IFERROR(IF(A23="","",SUM('Asset Allocation'!T23)/'Broad Asset Allocation'!B23),0)</f>
        <v>0</v>
      </c>
      <c r="D23" s="6">
        <f>IFERROR(IF(A23="","",SUM('Asset Allocation'!H23)/'Broad Asset Allocation'!B23),0)</f>
        <v>0</v>
      </c>
      <c r="E23" s="6">
        <f>IFERROR(IF(A23="","",SUM('Asset Allocation'!S23)/'Broad Asset Allocation'!B23),0)</f>
        <v>0</v>
      </c>
      <c r="F23" s="6">
        <f>IFERROR(IF(A23="","",SUM('Asset Allocation'!K23)/'Broad Asset Allocation'!B23),0)</f>
        <v>0</v>
      </c>
      <c r="G23" s="6">
        <f>IFERROR(IF(A23="","",SUM('Asset Allocation'!M23,'Asset Allocation'!O23,'Asset Allocation'!Q23)/'Broad Asset Allocation'!B23),0)</f>
        <v>0</v>
      </c>
      <c r="H23" s="6">
        <f>IFERROR(IF(A23="","",SUM('Asset Allocation'!V23,'Asset Allocation'!P23)/'Broad Asset Allocation'!B23),0)</f>
        <v>0</v>
      </c>
    </row>
    <row r="24" spans="1:8" x14ac:dyDescent="0.25">
      <c r="A24" t="str">
        <f>IF(Input!A25="","",Input!A25)</f>
        <v>Hybrid no ETFs 2 (HF-MP2)</v>
      </c>
      <c r="B24" s="6">
        <f>IFERROR(IF(A24="","",SUM('Asset Allocation'!R24)/'Broad Asset Allocation'!B24),0)</f>
        <v>0</v>
      </c>
      <c r="C24" s="6">
        <f>IFERROR(IF(A24="","",SUM('Asset Allocation'!T24)/'Broad Asset Allocation'!B24),0)</f>
        <v>0</v>
      </c>
      <c r="D24" s="6">
        <f>IFERROR(IF(A24="","",SUM('Asset Allocation'!H24)/'Broad Asset Allocation'!B24),0)</f>
        <v>0</v>
      </c>
      <c r="E24" s="6">
        <f>IFERROR(IF(A24="","",SUM('Asset Allocation'!S24)/'Broad Asset Allocation'!B24),0)</f>
        <v>0</v>
      </c>
      <c r="F24" s="6">
        <f>IFERROR(IF(A24="","",SUM('Asset Allocation'!K24)/'Broad Asset Allocation'!B24),0)</f>
        <v>0</v>
      </c>
      <c r="G24" s="6">
        <f>IFERROR(IF(A24="","",SUM('Asset Allocation'!M24,'Asset Allocation'!O24,'Asset Allocation'!Q24)/'Broad Asset Allocation'!B24),0)</f>
        <v>0</v>
      </c>
      <c r="H24" s="6">
        <f>IFERROR(IF(A24="","",SUM('Asset Allocation'!V24,'Asset Allocation'!P24)/'Broad Asset Allocation'!B24),0)</f>
        <v>0</v>
      </c>
    </row>
    <row r="25" spans="1:8" x14ac:dyDescent="0.25">
      <c r="A25" t="str">
        <f>IF(Input!A26="","",Input!A26)</f>
        <v>Hybrid no ETFs 3 (HF-MP3)</v>
      </c>
      <c r="B25" s="6">
        <f>IFERROR(IF(A25="","",SUM('Asset Allocation'!R25)/'Broad Asset Allocation'!B25),0)</f>
        <v>0</v>
      </c>
      <c r="C25" s="6">
        <f>IFERROR(IF(A25="","",SUM('Asset Allocation'!T25)/'Broad Asset Allocation'!B25),0)</f>
        <v>0</v>
      </c>
      <c r="D25" s="6">
        <f>IFERROR(IF(A25="","",SUM('Asset Allocation'!H25)/'Broad Asset Allocation'!B25),0)</f>
        <v>0</v>
      </c>
      <c r="E25" s="6">
        <f>IFERROR(IF(A25="","",SUM('Asset Allocation'!S25)/'Broad Asset Allocation'!B25),0)</f>
        <v>0</v>
      </c>
      <c r="F25" s="6">
        <f>IFERROR(IF(A25="","",SUM('Asset Allocation'!K25)/'Broad Asset Allocation'!B25),0)</f>
        <v>0</v>
      </c>
      <c r="G25" s="6">
        <f>IFERROR(IF(A25="","",SUM('Asset Allocation'!M25,'Asset Allocation'!O25,'Asset Allocation'!Q25)/'Broad Asset Allocation'!B25),0)</f>
        <v>0</v>
      </c>
      <c r="H25" s="6">
        <f>IFERROR(IF(A25="","",SUM('Asset Allocation'!V25,'Asset Allocation'!P25)/'Broad Asset Allocation'!B25),0)</f>
        <v>0</v>
      </c>
    </row>
    <row r="26" spans="1:8" x14ac:dyDescent="0.25">
      <c r="A26" t="str">
        <f>IF(Input!A27="","",Input!A27)</f>
        <v>Hybrid no ETFs 4 (HF-MP4)</v>
      </c>
      <c r="B26" s="6">
        <f>IFERROR(IF(A26="","",SUM('Asset Allocation'!R26)/'Broad Asset Allocation'!B26),0)</f>
        <v>0</v>
      </c>
      <c r="C26" s="6">
        <f>IFERROR(IF(A26="","",SUM('Asset Allocation'!T26)/'Broad Asset Allocation'!B26),0)</f>
        <v>0</v>
      </c>
      <c r="D26" s="6">
        <f>IFERROR(IF(A26="","",SUM('Asset Allocation'!H26)/'Broad Asset Allocation'!B26),0)</f>
        <v>0</v>
      </c>
      <c r="E26" s="6">
        <f>IFERROR(IF(A26="","",SUM('Asset Allocation'!S26)/'Broad Asset Allocation'!B26),0)</f>
        <v>0</v>
      </c>
      <c r="F26" s="6">
        <f>IFERROR(IF(A26="","",SUM('Asset Allocation'!K26)/'Broad Asset Allocation'!B26),0)</f>
        <v>0</v>
      </c>
      <c r="G26" s="6">
        <f>IFERROR(IF(A26="","",SUM('Asset Allocation'!M26,'Asset Allocation'!O26,'Asset Allocation'!Q26)/'Broad Asset Allocation'!B26),0)</f>
        <v>0</v>
      </c>
      <c r="H26" s="6">
        <f>IFERROR(IF(A26="","",SUM('Asset Allocation'!V26,'Asset Allocation'!P26)/'Broad Asset Allocation'!B26),0)</f>
        <v>0</v>
      </c>
    </row>
    <row r="27" spans="1:8" x14ac:dyDescent="0.25">
      <c r="A27" t="str">
        <f>IF(Input!A28="","",Input!A28)</f>
        <v>Hybrid no ETFs 5 (HF-MP5)</v>
      </c>
      <c r="B27" s="6">
        <f>IFERROR(IF(A27="","",SUM('Asset Allocation'!R27)/'Broad Asset Allocation'!B27),0)</f>
        <v>0</v>
      </c>
      <c r="C27" s="6">
        <f>IFERROR(IF(A27="","",SUM('Asset Allocation'!T27)/'Broad Asset Allocation'!B27),0)</f>
        <v>0</v>
      </c>
      <c r="D27" s="6">
        <f>IFERROR(IF(A27="","",SUM('Asset Allocation'!H27)/'Broad Asset Allocation'!B27),0)</f>
        <v>0</v>
      </c>
      <c r="E27" s="6">
        <f>IFERROR(IF(A27="","",SUM('Asset Allocation'!S27)/'Broad Asset Allocation'!B27),0)</f>
        <v>0</v>
      </c>
      <c r="F27" s="6">
        <f>IFERROR(IF(A27="","",SUM('Asset Allocation'!K27)/'Broad Asset Allocation'!B27),0)</f>
        <v>0</v>
      </c>
      <c r="G27" s="6">
        <f>IFERROR(IF(A27="","",SUM('Asset Allocation'!M27,'Asset Allocation'!O27,'Asset Allocation'!Q27)/'Broad Asset Allocation'!B27),0)</f>
        <v>0</v>
      </c>
      <c r="H27" s="6">
        <f>IFERROR(IF(A27="","",SUM('Asset Allocation'!V27,'Asset Allocation'!P27)/'Broad Asset Allocation'!B27),0)</f>
        <v>0</v>
      </c>
    </row>
    <row r="28" spans="1:8" x14ac:dyDescent="0.25">
      <c r="A28" t="str">
        <f>IF(Input!A29="","",Input!A29)</f>
        <v/>
      </c>
      <c r="B28" s="6" t="str">
        <f>IFERROR(IF(A28="","",SUM('Asset Allocation'!R28)/'Broad Asset Allocation'!B28),0)</f>
        <v/>
      </c>
      <c r="C28" s="6" t="str">
        <f>IFERROR(IF(A28="","",SUM('Asset Allocation'!T28)/'Broad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Allocation'!S28)/'Broad Asset Allocation'!B28),0)</f>
        <v/>
      </c>
      <c r="F28" s="6" t="str">
        <f>IFERROR(IF(A28="","",SUM('Asset Allocation'!K28)/'Broad Asset Allocation'!B28),0)</f>
        <v/>
      </c>
      <c r="G28" s="6" t="str">
        <f>IFERROR(IF(A28="","",SUM('Asset Allocation'!M28,'Asset Allocation'!O28,'Asset Allocation'!Q28)/'Broad Asset Allocation'!B28),0)</f>
        <v/>
      </c>
      <c r="H28" s="6" t="str">
        <f>IFERROR(IF(A28="","",SUM('Asset Allocation'!V28,'Asset Allocation'!P28)/'Broad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Allocation'!R29)/'Broad Asset Allocation'!B29),0)</f>
        <v/>
      </c>
      <c r="C29" s="6" t="str">
        <f>IFERROR(IF(A29="","",SUM('Asset Allocation'!T29)/'Broad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Allocation'!S29)/'Broad Asset Allocation'!B29),0)</f>
        <v/>
      </c>
      <c r="F29" s="6" t="str">
        <f>IFERROR(IF(A29="","",SUM('Asset Allocation'!K29)/'Broad Asset Allocation'!B29),0)</f>
        <v/>
      </c>
      <c r="G29" s="6" t="str">
        <f>IFERROR(IF(A29="","",SUM('Asset Allocation'!M29,'Asset Allocation'!O29,'Asset Allocation'!Q29)/'Broad Asset Allocation'!B29),0)</f>
        <v/>
      </c>
      <c r="H29" s="6" t="str">
        <f>IFERROR(IF(A29="","",SUM('Asset Allocation'!V29,'Asset Allocation'!P29)/'Broad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Allocation'!R30)/'Broad Asset Allocation'!B30),0)</f>
        <v/>
      </c>
      <c r="C30" s="6" t="str">
        <f>IFERROR(IF(A30="","",SUM('Asset Allocation'!T30)/'Broad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Allocation'!S30)/'Broad Asset Allocation'!B30),0)</f>
        <v/>
      </c>
      <c r="F30" s="6" t="str">
        <f>IFERROR(IF(A30="","",SUM('Asset Allocation'!K30)/'Broad Asset Allocation'!B30),0)</f>
        <v/>
      </c>
      <c r="G30" s="6" t="str">
        <f>IFERROR(IF(A30="","",SUM('Asset Allocation'!M30,'Asset Allocation'!O30,'Asset Allocation'!Q30)/'Broad Asset Allocation'!B30),0)</f>
        <v/>
      </c>
      <c r="H30" s="6" t="str">
        <f>IFERROR(IF(A30="","",SUM('Asset Allocation'!V30,'Asset Allocation'!P30)/'Broad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Allocation'!R31)/'Broad Asset Allocation'!B31),0)</f>
        <v/>
      </c>
      <c r="C31" s="6" t="str">
        <f>IFERROR(IF(A31="","",SUM('Asset Allocation'!T31)/'Broad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Allocation'!S31)/'Broad Asset Allocation'!B31),0)</f>
        <v/>
      </c>
      <c r="F31" s="6" t="str">
        <f>IFERROR(IF(A31="","",SUM('Asset Allocation'!K31)/'Broad Asset Allocation'!B31),0)</f>
        <v/>
      </c>
      <c r="G31" s="6" t="str">
        <f>IFERROR(IF(A31="","",SUM('Asset Allocation'!M31,'Asset Allocation'!O31,'Asset Allocation'!Q31)/'Broad Asset Allocation'!B31),0)</f>
        <v/>
      </c>
      <c r="H31" s="6" t="str">
        <f>IFERROR(IF(A31="","",SUM('Asset Allocation'!V31,'Asset Allocation'!P31)/'Broad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Allocation'!R32)/'Broad Asset Allocation'!B32),0)</f>
        <v/>
      </c>
      <c r="C32" s="6" t="str">
        <f>IFERROR(IF(A32="","",SUM('Asset Allocation'!T32)/'Broad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Allocation'!S32)/'Broad Asset Allocation'!B32),0)</f>
        <v/>
      </c>
      <c r="F32" s="6" t="str">
        <f>IFERROR(IF(A32="","",SUM('Asset Allocation'!K32)/'Broad Asset Allocation'!B32),0)</f>
        <v/>
      </c>
      <c r="G32" s="6" t="str">
        <f>IFERROR(IF(A32="","",SUM('Asset Allocation'!M32,'Asset Allocation'!O32,'Asset Allocation'!Q32)/'Broad Asset Allocation'!B32),0)</f>
        <v/>
      </c>
      <c r="H32" s="6" t="str">
        <f>IFERROR(IF(A32="","",SUM('Asset Allocation'!V32,'Asset Allocation'!P32)/'Broad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Allocation'!R33)/'Broad Asset Allocation'!B33),0)</f>
        <v/>
      </c>
      <c r="C33" s="6" t="str">
        <f>IFERROR(IF(A33="","",SUM('Asset Allocation'!T33)/'Broad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Allocation'!S33)/'Broad Asset Allocation'!B33),0)</f>
        <v/>
      </c>
      <c r="F33" s="6" t="str">
        <f>IFERROR(IF(A33="","",SUM('Asset Allocation'!K33)/'Broad Asset Allocation'!B33),0)</f>
        <v/>
      </c>
      <c r="G33" s="6" t="str">
        <f>IFERROR(IF(A33="","",SUM('Asset Allocation'!M33,'Asset Allocation'!O33,'Asset Allocation'!Q33)/'Broad Asset Allocation'!B33),0)</f>
        <v/>
      </c>
      <c r="H33" s="6" t="str">
        <f>IFERROR(IF(A33="","",SUM('Asset Allocation'!V33,'Asset Allocation'!P33)/'Broad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Allocation'!R34)/'Broad Asset Allocation'!B34),0)</f>
        <v/>
      </c>
      <c r="C34" s="6" t="str">
        <f>IFERROR(IF(A34="","",SUM('Asset Allocation'!T34)/'Broad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Allocation'!S34)/'Broad Asset Allocation'!B34),0)</f>
        <v/>
      </c>
      <c r="F34" s="6" t="str">
        <f>IFERROR(IF(A34="","",SUM('Asset Allocation'!K34)/'Broad Asset Allocation'!B34),0)</f>
        <v/>
      </c>
      <c r="G34" s="6" t="str">
        <f>IFERROR(IF(A34="","",SUM('Asset Allocation'!M34,'Asset Allocation'!O34,'Asset Allocation'!Q34)/'Broad Asset Allocation'!B34),0)</f>
        <v/>
      </c>
      <c r="H34" s="6" t="str">
        <f>IFERROR(IF(A34="","",SUM('Asset Allocation'!V34,'Asset Allocation'!P34)/'Broad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Allocation'!R35)/'Broad Asset Allocation'!B35),0)</f>
        <v/>
      </c>
      <c r="C35" s="6" t="str">
        <f>IFERROR(IF(A35="","",SUM('Asset Allocation'!T35)/'Broad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Allocation'!S35)/'Broad Asset Allocation'!B35),0)</f>
        <v/>
      </c>
      <c r="F35" s="6" t="str">
        <f>IFERROR(IF(A35="","",SUM('Asset Allocation'!K35)/'Broad Asset Allocation'!B35),0)</f>
        <v/>
      </c>
      <c r="G35" s="6" t="str">
        <f>IFERROR(IF(A35="","",SUM('Asset Allocation'!M35,'Asset Allocation'!O35,'Asset Allocation'!Q35)/'Broad Asset Allocation'!B35),0)</f>
        <v/>
      </c>
      <c r="H35" s="6" t="str">
        <f>IFERROR(IF(A35="","",SUM('Asset Allocation'!V35,'Asset Allocation'!P35)/'Broad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Allocation'!R36)/'Broad Asset Allocation'!B36),0)</f>
        <v/>
      </c>
      <c r="C36" s="6" t="str">
        <f>IFERROR(IF(A36="","",SUM('Asset Allocation'!T36)/'Broad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Allocation'!S36)/'Broad Asset Allocation'!B36),0)</f>
        <v/>
      </c>
      <c r="F36" s="6" t="str">
        <f>IFERROR(IF(A36="","",SUM('Asset Allocation'!K36)/'Broad Asset Allocation'!B36),0)</f>
        <v/>
      </c>
      <c r="G36" s="6" t="str">
        <f>IFERROR(IF(A36="","",SUM('Asset Allocation'!M36,'Asset Allocation'!O36,'Asset Allocation'!Q36)/'Broad Asset Allocation'!B36),0)</f>
        <v/>
      </c>
      <c r="H36" s="6" t="str">
        <f>IFERROR(IF(A36="","",SUM('Asset Allocation'!V36,'Asset Allocation'!P36)/'Broad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Allocation'!R37)/'Broad Asset Allocation'!B37),0)</f>
        <v/>
      </c>
      <c r="C37" s="6" t="str">
        <f>IFERROR(IF(A37="","",SUM('Asset Allocation'!T37)/'Broad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Allocation'!S37)/'Broad Asset Allocation'!B37),0)</f>
        <v/>
      </c>
      <c r="F37" s="6" t="str">
        <f>IFERROR(IF(A37="","",SUM('Asset Allocation'!K37)/'Broad Asset Allocation'!B37),0)</f>
        <v/>
      </c>
      <c r="G37" s="6" t="str">
        <f>IFERROR(IF(A37="","",SUM('Asset Allocation'!M37,'Asset Allocation'!O37,'Asset Allocation'!Q37)/'Broad Asset Allocation'!B37),0)</f>
        <v/>
      </c>
      <c r="H37" s="6" t="str">
        <f>IFERROR(IF(A37="","",SUM('Asset Allocation'!V37,'Asset Allocation'!P37)/'Broad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Allocation'!R38)/'Broad Asset Allocation'!B38),0)</f>
        <v/>
      </c>
      <c r="C38" s="6" t="str">
        <f>IFERROR(IF(A38="","",SUM('Asset Allocation'!T38)/'Broad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Allocation'!S38)/'Broad Asset Allocation'!B38),0)</f>
        <v/>
      </c>
      <c r="F38" s="6" t="str">
        <f>IFERROR(IF(A38="","",SUM('Asset Allocation'!K38)/'Broad Asset Allocation'!B38),0)</f>
        <v/>
      </c>
      <c r="G38" s="6" t="str">
        <f>IFERROR(IF(A38="","",SUM('Asset Allocation'!M38,'Asset Allocation'!O38,'Asset Allocation'!Q38)/'Broad Asset Allocation'!B38),0)</f>
        <v/>
      </c>
      <c r="H38" s="6" t="str">
        <f>IFERROR(IF(A38="","",SUM('Asset Allocation'!V38,'Asset Allocation'!P38)/'Broad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Allocation'!R39)/'Broad Asset Allocation'!B39),0)</f>
        <v/>
      </c>
      <c r="C39" s="6" t="str">
        <f>IFERROR(IF(A39="","",SUM('Asset Allocation'!T39)/'Broad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Allocation'!S39)/'Broad Asset Allocation'!B39),0)</f>
        <v/>
      </c>
      <c r="F39" s="6" t="str">
        <f>IFERROR(IF(A39="","",SUM('Asset Allocation'!K39)/'Broad Asset Allocation'!B39),0)</f>
        <v/>
      </c>
      <c r="G39" s="6" t="str">
        <f>IFERROR(IF(A39="","",SUM('Asset Allocation'!M39,'Asset Allocation'!O39,'Asset Allocation'!Q39)/'Broad Asset Allocation'!B39),0)</f>
        <v/>
      </c>
      <c r="H39" s="6" t="str">
        <f>IFERROR(IF(A39="","",SUM('Asset Allocation'!V39,'Asset Allocation'!P39)/'Broad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Allocation'!R40)/'Broad Asset Allocation'!B40),0)</f>
        <v/>
      </c>
      <c r="C40" s="6" t="str">
        <f>IFERROR(IF(A40="","",SUM('Asset Allocation'!T40)/'Broad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Allocation'!S40)/'Broad Asset Allocation'!B40),0)</f>
        <v/>
      </c>
      <c r="F40" s="6" t="str">
        <f>IFERROR(IF(A40="","",SUM('Asset Allocation'!K40)/'Broad Asset Allocation'!B40),0)</f>
        <v/>
      </c>
      <c r="G40" s="6" t="str">
        <f>IFERROR(IF(A40="","",SUM('Asset Allocation'!M40,'Asset Allocation'!O40,'Asset Allocation'!Q40)/'Broad Asset Allocation'!B40),0)</f>
        <v/>
      </c>
      <c r="H40" s="6" t="str">
        <f>IFERROR(IF(A40="","",SUM('Asset Allocation'!V40,'Asset Allocation'!P40)/'Broad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Allocation'!R41)/'Broad Asset Allocation'!B41),0)</f>
        <v/>
      </c>
      <c r="C41" s="6" t="str">
        <f>IFERROR(IF(A41="","",SUM('Asset Allocation'!T41)/'Broad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Allocation'!S41)/'Broad Asset Allocation'!B41),0)</f>
        <v/>
      </c>
      <c r="F41" s="6" t="str">
        <f>IFERROR(IF(A41="","",SUM('Asset Allocation'!K41)/'Broad Asset Allocation'!B41),0)</f>
        <v/>
      </c>
      <c r="G41" s="6" t="str">
        <f>IFERROR(IF(A41="","",SUM('Asset Allocation'!M41,'Asset Allocation'!O41,'Asset Allocation'!Q41)/'Broad Asset Allocation'!B41),0)</f>
        <v/>
      </c>
      <c r="H41" s="6" t="str">
        <f>IFERROR(IF(A41="","",SUM('Asset Allocation'!V41,'Asset Allocation'!P41)/'Broad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Allocation'!R42)/'Broad Asset Allocation'!B42),0)</f>
        <v/>
      </c>
      <c r="C42" s="6" t="str">
        <f>IFERROR(IF(A42="","",SUM('Asset Allocation'!T42)/'Broad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Allocation'!S42)/'Broad Asset Allocation'!B42),0)</f>
        <v/>
      </c>
      <c r="F42" s="6" t="str">
        <f>IFERROR(IF(A42="","",SUM('Asset Allocation'!K42)/'Broad Asset Allocation'!B42),0)</f>
        <v/>
      </c>
      <c r="G42" s="6" t="str">
        <f>IFERROR(IF(A42="","",SUM('Asset Allocation'!M42,'Asset Allocation'!O42,'Asset Allocation'!Q42)/'Broad Asset Allocation'!B42),0)</f>
        <v/>
      </c>
      <c r="H42" s="6" t="str">
        <f>IFERROR(IF(A42="","",SUM('Asset Allocation'!V42,'Asset Allocation'!P42)/'Broad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Allocation'!R43)/'Broad Asset Allocation'!B43),0)</f>
        <v/>
      </c>
      <c r="C43" s="6" t="str">
        <f>IFERROR(IF(A43="","",SUM('Asset Allocation'!T43)/'Broad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Allocation'!S43)/'Broad Asset Allocation'!B43),0)</f>
        <v/>
      </c>
      <c r="F43" s="6" t="str">
        <f>IFERROR(IF(A43="","",SUM('Asset Allocation'!K43)/'Broad Asset Allocation'!B43),0)</f>
        <v/>
      </c>
      <c r="G43" s="6" t="str">
        <f>IFERROR(IF(A43="","",SUM('Asset Allocation'!M43,'Asset Allocation'!O43,'Asset Allocation'!Q43)/'Broad Asset Allocation'!B43),0)</f>
        <v/>
      </c>
      <c r="H43" s="6" t="str">
        <f>IFERROR(IF(A43="","",SUM('Asset Allocation'!V43,'Asset Allocation'!P43)/'Broad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Allocation'!R44)/'Broad Asset Allocation'!B44),0)</f>
        <v/>
      </c>
      <c r="C44" s="6" t="str">
        <f>IFERROR(IF(A44="","",SUM('Asset Allocation'!T44)/'Broad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Allocation'!S44)/'Broad Asset Allocation'!B44),0)</f>
        <v/>
      </c>
      <c r="F44" s="6" t="str">
        <f>IFERROR(IF(A44="","",SUM('Asset Allocation'!K44)/'Broad Asset Allocation'!B44),0)</f>
        <v/>
      </c>
      <c r="G44" s="6" t="str">
        <f>IFERROR(IF(A44="","",SUM('Asset Allocation'!M44,'Asset Allocation'!O44,'Asset Allocation'!Q44)/'Broad Asset Allocation'!B44),0)</f>
        <v/>
      </c>
      <c r="H44" s="6" t="str">
        <f>IFERROR(IF(A44="","",SUM('Asset Allocation'!V44,'Asset Allocation'!P44)/'Broad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Allocation'!R45)/'Broad Asset Allocation'!B45),0)</f>
        <v/>
      </c>
      <c r="C45" s="6" t="str">
        <f>IFERROR(IF(A45="","",SUM('Asset Allocation'!T45)/'Broad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Allocation'!S45)/'Broad Asset Allocation'!B45),0)</f>
        <v/>
      </c>
      <c r="F45" s="6" t="str">
        <f>IFERROR(IF(A45="","",SUM('Asset Allocation'!K45)/'Broad Asset Allocation'!B45),0)</f>
        <v/>
      </c>
      <c r="G45" s="6" t="str">
        <f>IFERROR(IF(A45="","",SUM('Asset Allocation'!M45,'Asset Allocation'!O45,'Asset Allocation'!Q45)/'Broad Asset Allocation'!B45),0)</f>
        <v/>
      </c>
      <c r="H45" s="6" t="str">
        <f>IFERROR(IF(A45="","",SUM('Asset Allocation'!V45,'Asset Allocation'!P45)/'Broad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Allocation'!R46)/'Broad Asset Allocation'!B46),0)</f>
        <v/>
      </c>
      <c r="C46" s="6" t="str">
        <f>IFERROR(IF(A46="","",SUM('Asset Allocation'!T46)/'Broad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Allocation'!S46)/'Broad Asset Allocation'!B46),0)</f>
        <v/>
      </c>
      <c r="F46" s="6" t="str">
        <f>IFERROR(IF(A46="","",SUM('Asset Allocation'!K46)/'Broad Asset Allocation'!B46),0)</f>
        <v/>
      </c>
      <c r="G46" s="6" t="str">
        <f>IFERROR(IF(A46="","",SUM('Asset Allocation'!M46,'Asset Allocation'!O46,'Asset Allocation'!Q46)/'Broad Asset Allocation'!B46),0)</f>
        <v/>
      </c>
      <c r="H46" s="6" t="str">
        <f>IFERROR(IF(A46="","",SUM('Asset Allocation'!V46,'Asset Allocation'!P46)/'Broad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Allocation'!R47)/'Broad Asset Allocation'!B47),0)</f>
        <v/>
      </c>
      <c r="C47" s="6" t="str">
        <f>IFERROR(IF(A47="","",SUM('Asset Allocation'!T47)/'Broad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Allocation'!S47)/'Broad Asset Allocation'!B47),0)</f>
        <v/>
      </c>
      <c r="F47" s="6" t="str">
        <f>IFERROR(IF(A47="","",SUM('Asset Allocation'!K47)/'Broad Asset Allocation'!B47),0)</f>
        <v/>
      </c>
      <c r="G47" s="6" t="str">
        <f>IFERROR(IF(A47="","",SUM('Asset Allocation'!M47,'Asset Allocation'!O47,'Asset Allocation'!Q47)/'Broad Asset Allocation'!B47),0)</f>
        <v/>
      </c>
      <c r="H47" s="6" t="str">
        <f>IFERROR(IF(A47="","",SUM('Asset Allocation'!V47,'Asset Allocation'!P47)/'Broad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Allocation'!R48)/'Broad Asset Allocation'!B48),0)</f>
        <v/>
      </c>
      <c r="C48" s="6" t="str">
        <f>IFERROR(IF(A48="","",SUM('Asset Allocation'!T48)/'Broad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Allocation'!S48)/'Broad Asset Allocation'!B48),0)</f>
        <v/>
      </c>
      <c r="F48" s="6" t="str">
        <f>IFERROR(IF(A48="","",SUM('Asset Allocation'!K48)/'Broad Asset Allocation'!B48),0)</f>
        <v/>
      </c>
      <c r="G48" s="6" t="str">
        <f>IFERROR(IF(A48="","",SUM('Asset Allocation'!M48,'Asset Allocation'!O48,'Asset Allocation'!Q48)/'Broad Asset Allocation'!B48),0)</f>
        <v/>
      </c>
      <c r="H48" s="6" t="str">
        <f>IFERROR(IF(A48="","",SUM('Asset Allocation'!V48,'Asset Allocation'!P48)/'Broad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Allocation'!R49)/'Broad Asset Allocation'!B49),0)</f>
        <v/>
      </c>
      <c r="C49" s="6" t="str">
        <f>IFERROR(IF(A49="","",SUM('Asset Allocation'!T49)/'Broad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Allocation'!S49)/'Broad Asset Allocation'!B49),0)</f>
        <v/>
      </c>
      <c r="F49" s="6" t="str">
        <f>IFERROR(IF(A49="","",SUM('Asset Allocation'!K49)/'Broad Asset Allocation'!B49),0)</f>
        <v/>
      </c>
      <c r="G49" s="6" t="str">
        <f>IFERROR(IF(A49="","",SUM('Asset Allocation'!M49,'Asset Allocation'!O49,'Asset Allocation'!Q49)/'Broad Asset Allocation'!B49),0)</f>
        <v/>
      </c>
      <c r="H49" s="6" t="str">
        <f>IFERROR(IF(A49="","",SUM('Asset Allocation'!V49,'Asset Allocation'!P49)/'Broad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Allocation'!R50)/'Broad Asset Allocation'!B50),0)</f>
        <v/>
      </c>
      <c r="C50" s="6" t="str">
        <f>IFERROR(IF(A50="","",SUM('Asset Allocation'!T50)/'Broad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Allocation'!S50)/'Broad Asset Allocation'!B50),0)</f>
        <v/>
      </c>
      <c r="F50" s="6" t="str">
        <f>IFERROR(IF(A50="","",SUM('Asset Allocation'!K50)/'Broad Asset Allocation'!B50),0)</f>
        <v/>
      </c>
      <c r="G50" s="6" t="str">
        <f>IFERROR(IF(A50="","",SUM('Asset Allocation'!M50,'Asset Allocation'!O50,'Asset Allocation'!Q50)/'Broad Asset Allocation'!B50),0)</f>
        <v/>
      </c>
      <c r="H50" s="6" t="str">
        <f>IFERROR(IF(A50="","",SUM('Asset Allocation'!V50,'Asset Allocation'!P50)/'Broad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90</v>
      </c>
      <c r="F1" t="s">
        <v>59</v>
      </c>
      <c r="G1" t="s">
        <v>16</v>
      </c>
      <c r="H1" t="s">
        <v>74</v>
      </c>
    </row>
    <row r="2" spans="1:8" x14ac:dyDescent="0.25">
      <c r="A2" t="str">
        <f>IF(Input!A3="","",Input!A3)</f>
        <v>Global ESG Themes 1</v>
      </c>
      <c r="B2">
        <f>IFERROR(IF(A2="","",SUM('Asset Allocation'!D2,'Asset Allocation'!N2)/'Broad Asset Allocation'!C2),0)</f>
        <v>0</v>
      </c>
      <c r="D2">
        <f>IFERROR(IF(A2="","",SUM('Asset Allocation'!C2,'Asset Allocation'!E2,'Asset Allocation'!G2,'Asset Allocation'!U2)/'Broad Asset Allocation'!C2),0)</f>
        <v>0</v>
      </c>
      <c r="E2">
        <f>IFERROR(IF(A2="","",SUM('Asset Allocation'!L2)/'Broad Asset Allocation'!C2),0)</f>
        <v>0</v>
      </c>
      <c r="F2">
        <f>IFERROR(IF(A2="","",SUM('Asset Allocation'!I2)/'Broad Asset Allocation'!C2),0)</f>
        <v>0</v>
      </c>
    </row>
    <row r="3" spans="1:8" x14ac:dyDescent="0.25">
      <c r="A3" t="str">
        <f>IF(Input!A4="","",Input!A4)</f>
        <v>Global ESG Themes 2</v>
      </c>
      <c r="B3">
        <f>IFERROR(IF(A3="","",SUM('Asset Allocation'!D3,'Asset Allocation'!N3)/'Broad Asset Allocation'!C3),0)</f>
        <v>0</v>
      </c>
      <c r="D3">
        <f>IFERROR(IF(A3="","",SUM('Asset Allocation'!C3,'Asset Allocation'!E3,'Asset Allocation'!G3,'Asset Allocation'!U3)/'Broad Asset Allocation'!C3),0)</f>
        <v>0</v>
      </c>
      <c r="E3">
        <f>IFERROR(IF(A3="","",SUM('Asset Allocation'!L3)/'Broad Asset Allocation'!C3),0)</f>
        <v>0</v>
      </c>
      <c r="F3">
        <f>IFERROR(IF(A3="","",SUM('Asset Allocation'!I3)/'Broad Asset Allocation'!C3),0)</f>
        <v>0</v>
      </c>
    </row>
    <row r="4" spans="1:8" x14ac:dyDescent="0.25">
      <c r="A4" t="str">
        <f>IF(Input!A5="","",Input!A5)</f>
        <v>Global ESG Themes 3</v>
      </c>
      <c r="B4">
        <f>IFERROR(IF(A4="","",SUM('Asset Allocation'!D4,'Asset Allocation'!N4)/'Broad Asset Allocation'!C4),0)</f>
        <v>0</v>
      </c>
      <c r="D4">
        <f>IFERROR(IF(A4="","",SUM('Asset Allocation'!C4,'Asset Allocation'!E4,'Asset Allocation'!G4,'Asset Allocation'!U4)/'Broad Asset Allocation'!C4),0)</f>
        <v>0</v>
      </c>
      <c r="E4">
        <f>IFERROR(IF(A4="","",SUM('Asset Allocation'!L4)/'Broad Asset Allocation'!C4),0)</f>
        <v>0</v>
      </c>
      <c r="F4">
        <f>IFERROR(IF(A4="","",SUM('Asset Allocation'!I4)/'Broad Asset Allocation'!C4),0)</f>
        <v>0</v>
      </c>
    </row>
    <row r="5" spans="1:8" x14ac:dyDescent="0.25">
      <c r="A5" t="str">
        <f>IF(Input!A6="","",Input!A6)</f>
        <v>Global ESG Themes 4</v>
      </c>
      <c r="B5">
        <f>IFERROR(IF(A5="","",SUM('Asset Allocation'!D5,'Asset Allocation'!N5)/'Broad Asset Allocation'!C5),0)</f>
        <v>0</v>
      </c>
      <c r="D5">
        <f>IFERROR(IF(A5="","",SUM('Asset Allocation'!C5,'Asset Allocation'!E5,'Asset Allocation'!G5,'Asset Allocation'!U5)/'Broad Asset Allocation'!C5),0)</f>
        <v>0</v>
      </c>
      <c r="E5">
        <f>IFERROR(IF(A5="","",SUM('Asset Allocation'!L5)/'Broad Asset Allocation'!C5),0)</f>
        <v>0</v>
      </c>
      <c r="F5">
        <f>IFERROR(IF(A5="","",SUM('Asset Allocation'!I5)/'Broad Asset Allocation'!C5),0)</f>
        <v>0</v>
      </c>
    </row>
    <row r="6" spans="1:8" x14ac:dyDescent="0.25">
      <c r="A6" t="str">
        <f>IF(Input!A7="","",Input!A7)</f>
        <v>Global ESG Themes 5</v>
      </c>
      <c r="B6">
        <f>IFERROR(IF(A6="","",SUM('Asset Allocation'!D6,'Asset Allocation'!N6)/'Broad Asset Allocation'!C6),0)</f>
        <v>0</v>
      </c>
      <c r="D6">
        <f>IFERROR(IF(A6="","",SUM('Asset Allocation'!C6,'Asset Allocation'!E6,'Asset Allocation'!G6,'Asset Allocation'!U6)/'Broad Asset Allocation'!C6),0)</f>
        <v>0</v>
      </c>
      <c r="E6">
        <f>IFERROR(IF(A6="","",SUM('Asset Allocation'!L6)/'Broad Asset Allocation'!C6),0)</f>
        <v>0</v>
      </c>
      <c r="F6">
        <f>IFERROR(IF(A6="","",SUM('Asset Allocation'!I6)/'Broad Asset Allocation'!C6),0)</f>
        <v>0</v>
      </c>
    </row>
    <row r="7" spans="1:8" x14ac:dyDescent="0.25">
      <c r="A7" t="str">
        <f>IF(Input!A8="","",Input!A8)</f>
        <v>Global ESG Themes 6</v>
      </c>
      <c r="B7">
        <f>IFERROR(IF(A7="","",SUM('Asset Allocation'!D7,'Asset Allocation'!N7)/'Broad Asset Allocation'!C7),0)</f>
        <v>0</v>
      </c>
      <c r="D7">
        <f>IFERROR(IF(A7="","",SUM('Asset Allocation'!C7,'Asset Allocation'!E7,'Asset Allocation'!G7,'Asset Allocation'!U7)/'Broad Asset Allocation'!C7),0)</f>
        <v>0</v>
      </c>
      <c r="E7">
        <f>IFERROR(IF(A7="","",SUM('Asset Allocation'!L7)/'Broad Asset Allocation'!C7),0)</f>
        <v>0</v>
      </c>
      <c r="F7">
        <f>IFERROR(IF(A7="","",SUM('Asset Allocation'!I7)/'Broad Asset Allocation'!C7),0)</f>
        <v>0</v>
      </c>
    </row>
    <row r="8" spans="1:8" x14ac:dyDescent="0.25">
      <c r="A8" t="str">
        <f>IF(Input!A9="","",Input!A9)</f>
        <v>Passive with ETFs 1 (P-MP1)</v>
      </c>
      <c r="B8">
        <f>IFERROR(IF(A8="","",SUM('Asset Allocation'!D8,'Asset Allocation'!N8)/'Broad Asset Allocation'!C8),0)</f>
        <v>0</v>
      </c>
      <c r="D8">
        <f>IFERROR(IF(A8="","",SUM('Asset Allocation'!C8,'Asset Allocation'!E8,'Asset Allocation'!G8,'Asset Allocation'!U8)/'Broad Asset Allocation'!C8),0)</f>
        <v>0</v>
      </c>
      <c r="E8">
        <f>IFERROR(IF(A8="","",SUM('Asset Allocation'!L8)/'Broad Asset Allocation'!C8),0)</f>
        <v>0</v>
      </c>
      <c r="F8">
        <f>IFERROR(IF(A8="","",SUM('Asset Allocation'!I8)/'Broad Asset Allocation'!C8),0)</f>
        <v>0</v>
      </c>
    </row>
    <row r="9" spans="1:8" x14ac:dyDescent="0.25">
      <c r="A9" t="str">
        <f>IF(Input!A10="","",Input!A10)</f>
        <v>Passive with ETFs 2 (P-MP2)</v>
      </c>
      <c r="B9">
        <f>IFERROR(IF(A9="","",SUM('Asset Allocation'!D9,'Asset Allocation'!N9)/'Broad Asset Allocation'!C9),0)</f>
        <v>0</v>
      </c>
      <c r="D9">
        <f>IFERROR(IF(A9="","",SUM('Asset Allocation'!C9,'Asset Allocation'!E9,'Asset Allocation'!G9,'Asset Allocation'!U9)/'Broad Asset Allocation'!C9),0)</f>
        <v>0</v>
      </c>
      <c r="E9">
        <f>IFERROR(IF(A9="","",SUM('Asset Allocation'!L9)/'Broad Asset Allocation'!C9),0)</f>
        <v>0</v>
      </c>
      <c r="F9">
        <f>IFERROR(IF(A9="","",SUM('Asset Allocation'!I9)/'Broad Asset Allocation'!C9),0)</f>
        <v>0</v>
      </c>
    </row>
    <row r="10" spans="1:8" x14ac:dyDescent="0.25">
      <c r="A10" t="str">
        <f>IF(Input!A11="","",Input!A11)</f>
        <v>Passive with ETFs 3 (P-MP3)</v>
      </c>
      <c r="B10">
        <f>IFERROR(IF(A10="","",SUM('Asset Allocation'!D10,'Asset Allocation'!N10)/'Broad Asset Allocation'!C10),0)</f>
        <v>0</v>
      </c>
      <c r="D10">
        <f>IFERROR(IF(A10="","",SUM('Asset Allocation'!C10,'Asset Allocation'!E10,'Asset Allocation'!G10,'Asset Allocation'!U10)/'Broad Asset Allocation'!C10),0)</f>
        <v>0</v>
      </c>
      <c r="E10">
        <f>IFERROR(IF(A10="","",SUM('Asset Allocation'!L10)/'Broad Asset Allocation'!C10),0)</f>
        <v>0</v>
      </c>
      <c r="F10">
        <f>IFERROR(IF(A10="","",SUM('Asset Allocation'!I10)/'Broad Asset Allocation'!C10),0)</f>
        <v>0</v>
      </c>
    </row>
    <row r="11" spans="1:8" x14ac:dyDescent="0.25">
      <c r="A11" t="str">
        <f>IF(Input!A12="","",Input!A12)</f>
        <v>Passive with ETFs 4 (P-MP4)</v>
      </c>
      <c r="B11">
        <f>IFERROR(IF(A11="","",SUM('Asset Allocation'!D11,'Asset Allocation'!N11)/'Broad Asset Allocation'!C11),0)</f>
        <v>0</v>
      </c>
      <c r="D11">
        <f>IFERROR(IF(A11="","",SUM('Asset Allocation'!C11,'Asset Allocation'!E11,'Asset Allocation'!G11,'Asset Allocation'!U11)/'Broad Asset Allocation'!C11),0)</f>
        <v>0</v>
      </c>
      <c r="E11">
        <f>IFERROR(IF(A11="","",SUM('Asset Allocation'!L11)/'Broad Asset Allocation'!C11),0)</f>
        <v>0</v>
      </c>
      <c r="F11">
        <f>IFERROR(IF(A11="","",SUM('Asset Allocation'!I11)/'Broad Asset Allocation'!C11),0)</f>
        <v>0</v>
      </c>
    </row>
    <row r="12" spans="1:8" x14ac:dyDescent="0.25">
      <c r="A12" t="str">
        <f>IF(Input!A13="","",Input!A13)</f>
        <v>Passive with ETFs 5 (P-MP5)</v>
      </c>
      <c r="B12">
        <f>IFERROR(IF(A12="","",SUM('Asset Allocation'!D12,'Asset Allocation'!N12)/'Broad Asset Allocation'!C12),0)</f>
        <v>0</v>
      </c>
      <c r="D12">
        <f>IFERROR(IF(A12="","",SUM('Asset Allocation'!C12,'Asset Allocation'!E12,'Asset Allocation'!G12,'Asset Allocation'!U12)/'Broad Asset Allocation'!C12),0)</f>
        <v>0</v>
      </c>
      <c r="E12">
        <f>IFERROR(IF(A12="","",SUM('Asset Allocation'!L12)/'Broad Asset Allocation'!C12),0)</f>
        <v>0</v>
      </c>
      <c r="F12">
        <f>IFERROR(IF(A12="","",SUM('Asset Allocation'!I12)/'Broad Asset Allocation'!C12),0)</f>
        <v>0</v>
      </c>
    </row>
    <row r="13" spans="1:8" x14ac:dyDescent="0.25">
      <c r="A13" t="str">
        <f>IF(Input!A14="","",Input!A14)</f>
        <v>Passive no ETFs 1 (PF-MP1)</v>
      </c>
      <c r="B13">
        <f>IFERROR(IF(A13="","",SUM('Asset Allocation'!D13,'Asset Allocation'!N13)/'Broad Asset Allocation'!C13),0)</f>
        <v>0</v>
      </c>
      <c r="D13">
        <f>IFERROR(IF(A13="","",SUM('Asset Allocation'!C13,'Asset Allocation'!E13,'Asset Allocation'!G13,'Asset Allocation'!U13)/'Broad Asset Allocation'!C13),0)</f>
        <v>0</v>
      </c>
      <c r="E13">
        <f>IFERROR(IF(A13="","",SUM('Asset Allocation'!L13)/'Broad Asset Allocation'!C13),0)</f>
        <v>0</v>
      </c>
      <c r="F13">
        <f>IFERROR(IF(A13="","",SUM('Asset Allocation'!I13)/'Broad Asset Allocation'!C13),0)</f>
        <v>0</v>
      </c>
    </row>
    <row r="14" spans="1:8" x14ac:dyDescent="0.25">
      <c r="A14" t="str">
        <f>IF(Input!A15="","",Input!A15)</f>
        <v>Passive no ETFs 2 (PF-MP2)</v>
      </c>
      <c r="B14">
        <f>IFERROR(IF(A14="","",SUM('Asset Allocation'!D14,'Asset Allocation'!N14)/'Broad Asset Allocation'!C14),0)</f>
        <v>0</v>
      </c>
      <c r="D14">
        <f>IFERROR(IF(A14="","",SUM('Asset Allocation'!C14,'Asset Allocation'!E14,'Asset Allocation'!G14,'Asset Allocation'!U14)/'Broad Asset Allocation'!C14),0)</f>
        <v>0</v>
      </c>
      <c r="E14">
        <f>IFERROR(IF(A14="","",SUM('Asset Allocation'!L14)/'Broad Asset Allocation'!C14),0)</f>
        <v>0</v>
      </c>
      <c r="F14">
        <f>IFERROR(IF(A14="","",SUM('Asset Allocation'!I14)/'Broad Asset Allocation'!C14),0)</f>
        <v>0</v>
      </c>
    </row>
    <row r="15" spans="1:8" x14ac:dyDescent="0.25">
      <c r="A15" t="str">
        <f>IF(Input!A16="","",Input!A16)</f>
        <v>Passive no ETFs 3 (PF-MP3)</v>
      </c>
      <c r="B15">
        <f>IFERROR(IF(A15="","",SUM('Asset Allocation'!D15,'Asset Allocation'!N15)/'Broad Asset Allocation'!C15),0)</f>
        <v>0</v>
      </c>
      <c r="D15">
        <f>IFERROR(IF(A15="","",SUM('Asset Allocation'!C15,'Asset Allocation'!E15,'Asset Allocation'!G15,'Asset Allocation'!U15)/'Broad Asset Allocation'!C15),0)</f>
        <v>0</v>
      </c>
      <c r="E15">
        <f>IFERROR(IF(A15="","",SUM('Asset Allocation'!L15)/'Broad Asset Allocation'!C15),0)</f>
        <v>0</v>
      </c>
      <c r="F15">
        <f>IFERROR(IF(A15="","",SUM('Asset Allocation'!I15)/'Broad Asset Allocation'!C15),0)</f>
        <v>0</v>
      </c>
    </row>
    <row r="16" spans="1:8" x14ac:dyDescent="0.25">
      <c r="A16" t="str">
        <f>IF(Input!A17="","",Input!A17)</f>
        <v>Passive no ETFs 4 (PF-MP4)</v>
      </c>
      <c r="B16">
        <f>IFERROR(IF(A16="","",SUM('Asset Allocation'!D16,'Asset Allocation'!N16)/'Broad Asset Allocation'!C16),0)</f>
        <v>0</v>
      </c>
      <c r="D16">
        <f>IFERROR(IF(A16="","",SUM('Asset Allocation'!C16,'Asset Allocation'!E16,'Asset Allocation'!G16,'Asset Allocation'!U16)/'Broad Asset Allocation'!C16),0)</f>
        <v>0</v>
      </c>
      <c r="E16">
        <f>IFERROR(IF(A16="","",SUM('Asset Allocation'!L16)/'Broad Asset Allocation'!C16),0)</f>
        <v>0</v>
      </c>
      <c r="F16">
        <f>IFERROR(IF(A16="","",SUM('Asset Allocation'!I16)/'Broad Asset Allocation'!C16),0)</f>
        <v>0</v>
      </c>
    </row>
    <row r="17" spans="1:6" x14ac:dyDescent="0.25">
      <c r="A17" t="str">
        <f>IF(Input!A18="","",Input!A18)</f>
        <v>Passive no ETFs 5 (PF-MP5)</v>
      </c>
      <c r="B17">
        <f>IFERROR(IF(A17="","",SUM('Asset Allocation'!D17,'Asset Allocation'!N17)/'Broad Asset Allocation'!C17),0)</f>
        <v>0</v>
      </c>
      <c r="D17">
        <f>IFERROR(IF(A17="","",SUM('Asset Allocation'!C17,'Asset Allocation'!E17,'Asset Allocation'!G17,'Asset Allocation'!U17)/'Broad Asset Allocation'!C17),0)</f>
        <v>0</v>
      </c>
      <c r="E17">
        <f>IFERROR(IF(A17="","",SUM('Asset Allocation'!L17)/'Broad Asset Allocation'!C17),0)</f>
        <v>0</v>
      </c>
      <c r="F17">
        <f>IFERROR(IF(A17="","",SUM('Asset Allocation'!I17)/'Broad Asset Allocation'!C17),0)</f>
        <v>0</v>
      </c>
    </row>
    <row r="18" spans="1:6" x14ac:dyDescent="0.25">
      <c r="A18" t="str">
        <f>IF(Input!A19="","",Input!A19)</f>
        <v>Hybrid with ETFs 1 (H-MP1)</v>
      </c>
      <c r="B18">
        <f>IFERROR(IF(A18="","",SUM('Asset Allocation'!D18,'Asset Allocation'!N18)/'Broad Asset Allocation'!C18),0)</f>
        <v>0</v>
      </c>
      <c r="D18">
        <f>IFERROR(IF(A18="","",SUM('Asset Allocation'!C18,'Asset Allocation'!E18,'Asset Allocation'!G18,'Asset Allocation'!U18)/'Broad Asset Allocation'!C18),0)</f>
        <v>0</v>
      </c>
      <c r="E18">
        <f>IFERROR(IF(A18="","",SUM('Asset Allocation'!L18)/'Broad Asset Allocation'!C18),0)</f>
        <v>0</v>
      </c>
      <c r="F18">
        <f>IFERROR(IF(A18="","",SUM('Asset Allocation'!I18)/'Broad Asset Allocation'!C18),0)</f>
        <v>0</v>
      </c>
    </row>
    <row r="19" spans="1:6" x14ac:dyDescent="0.25">
      <c r="A19" t="str">
        <f>IF(Input!A20="","",Input!A20)</f>
        <v>Hybrid with ETFs 2 (H-MP2)</v>
      </c>
      <c r="B19">
        <f>IFERROR(IF(A19="","",SUM('Asset Allocation'!D19,'Asset Allocation'!N19)/'Broad Asset Allocation'!C19),0)</f>
        <v>0</v>
      </c>
      <c r="D19">
        <f>IFERROR(IF(A19="","",SUM('Asset Allocation'!C19,'Asset Allocation'!E19,'Asset Allocation'!G19,'Asset Allocation'!U19)/'Broad Asset Allocation'!C19),0)</f>
        <v>0</v>
      </c>
      <c r="E19">
        <f>IFERROR(IF(A19="","",SUM('Asset Allocation'!L19)/'Broad Asset Allocation'!C19),0)</f>
        <v>0</v>
      </c>
      <c r="F19">
        <f>IFERROR(IF(A19="","",SUM('Asset Allocation'!I19)/'Broad Asset Allocation'!C19),0)</f>
        <v>0</v>
      </c>
    </row>
    <row r="20" spans="1:6" x14ac:dyDescent="0.25">
      <c r="A20" t="str">
        <f>IF(Input!A21="","",Input!A21)</f>
        <v>Hybrid with ETFs 3 (H-MP3)</v>
      </c>
      <c r="B20">
        <f>IFERROR(IF(A20="","",SUM('Asset Allocation'!D20,'Asset Allocation'!N20)/'Broad Asset Allocation'!C20),0)</f>
        <v>0</v>
      </c>
      <c r="D20">
        <f>IFERROR(IF(A20="","",SUM('Asset Allocation'!C20,'Asset Allocation'!E20,'Asset Allocation'!G20,'Asset Allocation'!U20)/'Broad Asset Allocation'!C20),0)</f>
        <v>0</v>
      </c>
      <c r="E20">
        <f>IFERROR(IF(A20="","",SUM('Asset Allocation'!L20)/'Broad Asset Allocation'!C20),0)</f>
        <v>0</v>
      </c>
      <c r="F20">
        <f>IFERROR(IF(A20="","",SUM('Asset Allocation'!I20)/'Broad Asset Allocation'!C20),0)</f>
        <v>0</v>
      </c>
    </row>
    <row r="21" spans="1:6" x14ac:dyDescent="0.25">
      <c r="A21" t="str">
        <f>IF(Input!A22="","",Input!A22)</f>
        <v>Hybrid with ETFs 4 (H-MP4)</v>
      </c>
      <c r="B21">
        <f>IFERROR(IF(A21="","",SUM('Asset Allocation'!D21,'Asset Allocation'!N21)/'Broad Asset Allocation'!C21),0)</f>
        <v>0</v>
      </c>
      <c r="D21">
        <f>IFERROR(IF(A21="","",SUM('Asset Allocation'!C21,'Asset Allocation'!E21,'Asset Allocation'!G21,'Asset Allocation'!U21)/'Broad Asset Allocation'!C21),0)</f>
        <v>0</v>
      </c>
      <c r="E21">
        <f>IFERROR(IF(A21="","",SUM('Asset Allocation'!L21)/'Broad Asset Allocation'!C21),0)</f>
        <v>0</v>
      </c>
      <c r="F21">
        <f>IFERROR(IF(A21="","",SUM('Asset Allocation'!I21)/'Broad Asset Allocation'!C21),0)</f>
        <v>0</v>
      </c>
    </row>
    <row r="22" spans="1:6" x14ac:dyDescent="0.25">
      <c r="A22" t="str">
        <f>IF(Input!A23="","",Input!A23)</f>
        <v>Hybrid with ETFs 5 (H-MP5)</v>
      </c>
      <c r="B22">
        <f>IFERROR(IF(A22="","",SUM('Asset Allocation'!D22,'Asset Allocation'!N22)/'Broad Asset Allocation'!C22),0)</f>
        <v>0</v>
      </c>
      <c r="D22">
        <f>IFERROR(IF(A22="","",SUM('Asset Allocation'!C22,'Asset Allocation'!E22,'Asset Allocation'!G22,'Asset Allocation'!U22)/'Broad Asset Allocation'!C22),0)</f>
        <v>0</v>
      </c>
      <c r="E22">
        <f>IFERROR(IF(A22="","",SUM('Asset Allocation'!L22)/'Broad Asset Allocation'!C22),0)</f>
        <v>0</v>
      </c>
      <c r="F22">
        <f>IFERROR(IF(A22="","",SUM('Asset Allocation'!I22)/'Broad Asset Allocation'!C22),0)</f>
        <v>0</v>
      </c>
    </row>
    <row r="23" spans="1:6" x14ac:dyDescent="0.25">
      <c r="A23" t="str">
        <f>IF(Input!A24="","",Input!A24)</f>
        <v>Hybrid no ETFs 1 (HF-MP1)</v>
      </c>
      <c r="B23">
        <f>IFERROR(IF(A23="","",SUM('Asset Allocation'!D23,'Asset Allocation'!N23)/'Broad Asset Allocation'!C23),0)</f>
        <v>0</v>
      </c>
      <c r="D23">
        <f>IFERROR(IF(A23="","",SUM('Asset Allocation'!C23,'Asset Allocation'!E23,'Asset Allocation'!G23,'Asset Allocation'!U23)/'Broad Asset Allocation'!C23),0)</f>
        <v>0</v>
      </c>
      <c r="E23">
        <f>IFERROR(IF(A23="","",SUM('Asset Allocation'!L23)/'Broad Asset Allocation'!C23),0)</f>
        <v>0</v>
      </c>
      <c r="F23">
        <f>IFERROR(IF(A23="","",SUM('Asset Allocation'!I23)/'Broad Asset Allocation'!C23),0)</f>
        <v>0</v>
      </c>
    </row>
    <row r="24" spans="1:6" x14ac:dyDescent="0.25">
      <c r="A24" t="str">
        <f>IF(Input!A25="","",Input!A25)</f>
        <v>Hybrid no ETFs 2 (HF-MP2)</v>
      </c>
      <c r="B24">
        <f>IFERROR(IF(A24="","",SUM('Asset Allocation'!D24,'Asset Allocation'!N24)/'Broad Asset Allocation'!C24),0)</f>
        <v>0</v>
      </c>
      <c r="D24">
        <f>IFERROR(IF(A24="","",SUM('Asset Allocation'!C24,'Asset Allocation'!E24,'Asset Allocation'!G24,'Asset Allocation'!U24)/'Broad Asset Allocation'!C24),0)</f>
        <v>0</v>
      </c>
      <c r="E24">
        <f>IFERROR(IF(A24="","",SUM('Asset Allocation'!L24)/'Broad Asset Allocation'!C24),0)</f>
        <v>0</v>
      </c>
      <c r="F24">
        <f>IFERROR(IF(A24="","",SUM('Asset Allocation'!I24)/'Broad Asset Allocation'!C24),0)</f>
        <v>0</v>
      </c>
    </row>
    <row r="25" spans="1:6" x14ac:dyDescent="0.25">
      <c r="A25" t="str">
        <f>IF(Input!A26="","",Input!A26)</f>
        <v>Hybrid no ETFs 3 (HF-MP3)</v>
      </c>
      <c r="B25">
        <f>IFERROR(IF(A25="","",SUM('Asset Allocation'!D25,'Asset Allocation'!N25)/'Broad Asset Allocation'!C25),0)</f>
        <v>0</v>
      </c>
      <c r="D25">
        <f>IFERROR(IF(A25="","",SUM('Asset Allocation'!C25,'Asset Allocation'!E25,'Asset Allocation'!G25,'Asset Allocation'!U25)/'Broad Asset Allocation'!C25),0)</f>
        <v>0</v>
      </c>
      <c r="E25">
        <f>IFERROR(IF(A25="","",SUM('Asset Allocation'!L25)/'Broad Asset Allocation'!C25),0)</f>
        <v>0</v>
      </c>
      <c r="F25">
        <f>IFERROR(IF(A25="","",SUM('Asset Allocation'!I25)/'Broad Asset Allocation'!C25),0)</f>
        <v>0</v>
      </c>
    </row>
    <row r="26" spans="1:6" x14ac:dyDescent="0.25">
      <c r="A26" t="str">
        <f>IF(Input!A27="","",Input!A27)</f>
        <v>Hybrid no ETFs 4 (HF-MP4)</v>
      </c>
      <c r="B26">
        <f>IFERROR(IF(A26="","",SUM('Asset Allocation'!D26,'Asset Allocation'!N26)/'Broad Asset Allocation'!C26),0)</f>
        <v>0</v>
      </c>
      <c r="D26">
        <f>IFERROR(IF(A26="","",SUM('Asset Allocation'!C26,'Asset Allocation'!E26,'Asset Allocation'!G26,'Asset Allocation'!U26)/'Broad Asset Allocation'!C26),0)</f>
        <v>0</v>
      </c>
      <c r="E26">
        <f>IFERROR(IF(A26="","",SUM('Asset Allocation'!L26)/'Broad Asset Allocation'!C26),0)</f>
        <v>0</v>
      </c>
      <c r="F26">
        <f>IFERROR(IF(A26="","",SUM('Asset Allocation'!I26)/'Broad Asset Allocation'!C26),0)</f>
        <v>0</v>
      </c>
    </row>
    <row r="27" spans="1:6" x14ac:dyDescent="0.25">
      <c r="A27" t="str">
        <f>IF(Input!A28="","",Input!A28)</f>
        <v>Hybrid no ETFs 5 (HF-MP5)</v>
      </c>
      <c r="B27">
        <f>IFERROR(IF(A27="","",SUM('Asset Allocation'!D27,'Asset Allocation'!N27)/'Broad Asset Allocation'!C27),0)</f>
        <v>0</v>
      </c>
      <c r="D27">
        <f>IFERROR(IF(A27="","",SUM('Asset Allocation'!C27,'Asset Allocation'!E27,'Asset Allocation'!G27,'Asset Allocation'!U27)/'Broad Asset Allocation'!C27),0)</f>
        <v>0</v>
      </c>
      <c r="E27">
        <f>IFERROR(IF(A27="","",SUM('Asset Allocation'!L27)/'Broad Asset Allocation'!C27),0)</f>
        <v>0</v>
      </c>
      <c r="F27">
        <f>IFERROR(IF(A27="","",SUM('Asset Allocation'!I27)/'Broad Asset Allocation'!C27),0)</f>
        <v>0</v>
      </c>
    </row>
    <row r="28" spans="1:6" x14ac:dyDescent="0.25">
      <c r="A28" t="str">
        <f>IF(Input!A29="","",Input!A29)</f>
        <v/>
      </c>
      <c r="B28" t="str">
        <f>IFERROR(IF(A28="","",SUM('Asset Allocation'!D28,'Asset Allocation'!N28)/'Broad Asset Allocation'!C28),0)</f>
        <v/>
      </c>
      <c r="D28" t="str">
        <f>IFERROR(IF(A28="","",SUM('Asset Allocation'!C28,'Asset Allocation'!E28,'Asset Allocation'!G28,'Asset Allocation'!U28)/'Broad Asset Allocation'!C28),0)</f>
        <v/>
      </c>
      <c r="E28" t="str">
        <f>IFERROR(IF(A28="","",SUM('Asset Allocation'!L28)/'Broad Asset Allocation'!C28),0)</f>
        <v/>
      </c>
      <c r="F28" t="str">
        <f>IFERROR(IF(A28="","",SUM('Asset Allocation'!I28)/'Broad Asset Allocation'!C28),0)</f>
        <v/>
      </c>
    </row>
    <row r="29" spans="1:6" x14ac:dyDescent="0.25">
      <c r="A29" t="str">
        <f>IF(Input!A30="","",Input!A30)</f>
        <v/>
      </c>
      <c r="B29" t="str">
        <f>IFERROR(IF(A29="","",SUM('Asset Allocation'!D29,'Asset Allocation'!N29)/'Broad Asset Allocation'!C29),0)</f>
        <v/>
      </c>
      <c r="D29" t="str">
        <f>IFERROR(IF(A29="","",SUM('Asset Allocation'!C29,'Asset Allocation'!E29,'Asset Allocation'!G29,'Asset Allocation'!U29)/'Broad Asset Allocation'!C29),0)</f>
        <v/>
      </c>
      <c r="E29" t="str">
        <f>IFERROR(IF(A29="","",SUM('Asset Allocation'!L29)/'Broad Asset Allocation'!C29),0)</f>
        <v/>
      </c>
      <c r="F29" t="str">
        <f>IFERROR(IF(A29="","",SUM('Asset Allocation'!I29)/'Broad Asset Allocation'!C29),0)</f>
        <v/>
      </c>
    </row>
    <row r="30" spans="1:6" x14ac:dyDescent="0.25">
      <c r="A30" t="str">
        <f>IF(Input!A31="","",Input!A31)</f>
        <v/>
      </c>
      <c r="B30" t="str">
        <f>IFERROR(IF(A30="","",SUM('Asset Allocation'!D30,'Asset Allocation'!N30)/'Broad Asset Allocation'!C30),0)</f>
        <v/>
      </c>
      <c r="D30" t="str">
        <f>IFERROR(IF(A30="","",SUM('Asset Allocation'!C30,'Asset Allocation'!E30,'Asset Allocation'!G30,'Asset Allocation'!U30)/'Broad Asset Allocation'!C30),0)</f>
        <v/>
      </c>
      <c r="E30" t="str">
        <f>IFERROR(IF(A30="","",SUM('Asset Allocation'!L30)/'Broad Asset Allocation'!C30),0)</f>
        <v/>
      </c>
      <c r="F30" t="str">
        <f>IFERROR(IF(A30="","",SUM('Asset Allocation'!I30)/'Broad Asset Allocation'!C30),0)</f>
        <v/>
      </c>
    </row>
    <row r="31" spans="1:6" x14ac:dyDescent="0.25">
      <c r="A31" t="str">
        <f>IF(Input!A32="","",Input!A32)</f>
        <v/>
      </c>
      <c r="B31" t="str">
        <f>IFERROR(IF(A31="","",SUM('Asset Allocation'!D31,'Asset Allocation'!N31)/'Broad Asset Allocation'!C31),0)</f>
        <v/>
      </c>
      <c r="D31" t="str">
        <f>IFERROR(IF(A31="","",SUM('Asset Allocation'!C31,'Asset Allocation'!E31,'Asset Allocation'!G31,'Asset Allocation'!U31)/'Broad Asset Allocation'!C31),0)</f>
        <v/>
      </c>
      <c r="E31" t="str">
        <f>IFERROR(IF(A31="","",SUM('Asset Allocation'!L31)/'Broad Asset Allocation'!C31),0)</f>
        <v/>
      </c>
      <c r="F31" t="str">
        <f>IFERROR(IF(A31="","",SUM('Asset Allocation'!I31)/'Broad Asset Allocation'!C31),0)</f>
        <v/>
      </c>
    </row>
    <row r="32" spans="1:6" x14ac:dyDescent="0.25">
      <c r="A32" t="str">
        <f>IF(Input!A33="","",Input!A33)</f>
        <v/>
      </c>
      <c r="B32" t="str">
        <f>IFERROR(IF(A32="","",SUM('Asset Allocation'!D32,'Asset Allocation'!N32)/'Broad Asset Allocation'!C32),0)</f>
        <v/>
      </c>
      <c r="D32" t="str">
        <f>IFERROR(IF(A32="","",SUM('Asset Allocation'!C32,'Asset Allocation'!E32,'Asset Allocation'!G32,'Asset Allocation'!U32)/'Broad Asset Allocation'!C32),0)</f>
        <v/>
      </c>
      <c r="E32" t="str">
        <f>IFERROR(IF(A32="","",SUM('Asset Allocation'!L32)/'Broad Asset Allocation'!C32),0)</f>
        <v/>
      </c>
      <c r="F32" t="str">
        <f>IFERROR(IF(A32="","",SUM('Asset Allocation'!I32)/'Broad Asset Allocation'!C32),0)</f>
        <v/>
      </c>
    </row>
    <row r="33" spans="1:6" x14ac:dyDescent="0.25">
      <c r="A33" t="str">
        <f>IF(Input!A34="","",Input!A34)</f>
        <v/>
      </c>
      <c r="B33" t="str">
        <f>IFERROR(IF(A33="","",SUM('Asset Allocation'!D33,'Asset Allocation'!N33)/'Broad Asset Allocation'!C33),0)</f>
        <v/>
      </c>
      <c r="D33" t="str">
        <f>IFERROR(IF(A33="","",SUM('Asset Allocation'!C33,'Asset Allocation'!E33,'Asset Allocation'!G33,'Asset Allocation'!U33)/'Broad Asset Allocation'!C33),0)</f>
        <v/>
      </c>
      <c r="E33" t="str">
        <f>IFERROR(IF(A33="","",SUM('Asset Allocation'!L33)/'Broad Asset Allocation'!C33),0)</f>
        <v/>
      </c>
      <c r="F33" t="str">
        <f>IFERROR(IF(A33="","",SUM('Asset Allocation'!I33)/'Broad Asset Allocation'!C33),0)</f>
        <v/>
      </c>
    </row>
    <row r="34" spans="1:6" x14ac:dyDescent="0.25">
      <c r="A34" t="str">
        <f>IF(Input!A35="","",Input!A35)</f>
        <v/>
      </c>
      <c r="B34" t="str">
        <f>IFERROR(IF(A34="","",SUM('Asset Allocation'!D34,'Asset Allocation'!N34)/'Broad Asset Allocation'!C34),0)</f>
        <v/>
      </c>
      <c r="D34" t="str">
        <f>IFERROR(IF(A34="","",SUM('Asset Allocation'!C34,'Asset Allocation'!E34,'Asset Allocation'!G34,'Asset Allocation'!U34)/'Broad Asset Allocation'!C34),0)</f>
        <v/>
      </c>
      <c r="E34" t="str">
        <f>IFERROR(IF(A34="","",SUM('Asset Allocation'!L34)/'Broad Asset Allocation'!C34),0)</f>
        <v/>
      </c>
      <c r="F34" t="str">
        <f>IFERROR(IF(A34="","",SUM('Asset Allocation'!I34)/'Broad Asset Allocation'!C34),0)</f>
        <v/>
      </c>
    </row>
    <row r="35" spans="1:6" x14ac:dyDescent="0.25">
      <c r="A35" t="str">
        <f>IF(Input!A36="","",Input!A36)</f>
        <v/>
      </c>
      <c r="B35" t="str">
        <f>IFERROR(IF(A35="","",SUM('Asset Allocation'!D35,'Asset Allocation'!N35)/'Broad Asset Allocation'!C35),0)</f>
        <v/>
      </c>
      <c r="D35" t="str">
        <f>IFERROR(IF(A35="","",SUM('Asset Allocation'!C35,'Asset Allocation'!E35,'Asset Allocation'!G35,'Asset Allocation'!U35)/'Broad Asset Allocation'!C35),0)</f>
        <v/>
      </c>
      <c r="E35" t="str">
        <f>IFERROR(IF(A35="","",SUM('Asset Allocation'!L35)/'Broad Asset Allocation'!C35),0)</f>
        <v/>
      </c>
      <c r="F35" t="str">
        <f>IFERROR(IF(A35="","",SUM('Asset Allocation'!I35)/'Broad Asset Allocation'!C35),0)</f>
        <v/>
      </c>
    </row>
    <row r="36" spans="1:6" x14ac:dyDescent="0.25">
      <c r="A36" t="str">
        <f>IF(Input!A37="","",Input!A37)</f>
        <v/>
      </c>
      <c r="B36" t="str">
        <f>IFERROR(IF(A36="","",SUM('Asset Allocation'!D36,'Asset Allocation'!N36)/'Broad Asset Allocation'!C36),0)</f>
        <v/>
      </c>
      <c r="D36" t="str">
        <f>IFERROR(IF(A36="","",SUM('Asset Allocation'!C36,'Asset Allocation'!E36,'Asset Allocation'!G36,'Asset Allocation'!U36)/'Broad Asset Allocation'!C36),0)</f>
        <v/>
      </c>
      <c r="E36" t="str">
        <f>IFERROR(IF(A36="","",SUM('Asset Allocation'!L36)/'Broad Asset Allocation'!C36),0)</f>
        <v/>
      </c>
      <c r="F36" t="str">
        <f>IFERROR(IF(A36="","",SUM('Asset Allocation'!I36)/'Broad Asset Allocation'!C36),0)</f>
        <v/>
      </c>
    </row>
    <row r="37" spans="1:6" x14ac:dyDescent="0.25">
      <c r="A37" t="str">
        <f>IF(Input!A38="","",Input!A38)</f>
        <v/>
      </c>
      <c r="B37" t="str">
        <f>IFERROR(IF(A37="","",SUM('Asset Allocation'!D37,'Asset Allocation'!N37)/'Broad Asset Allocation'!C37),0)</f>
        <v/>
      </c>
      <c r="D37" t="str">
        <f>IFERROR(IF(A37="","",SUM('Asset Allocation'!C37,'Asset Allocation'!E37,'Asset Allocation'!G37,'Asset Allocation'!U37)/'Broad Asset Allocation'!C37),0)</f>
        <v/>
      </c>
      <c r="E37" t="str">
        <f>IFERROR(IF(A37="","",SUM('Asset Allocation'!L37)/'Broad Asset Allocation'!C37),0)</f>
        <v/>
      </c>
      <c r="F37" t="str">
        <f>IFERROR(IF(A37="","",SUM('Asset Allocation'!I37)/'Broad Asset Allocation'!C37),0)</f>
        <v/>
      </c>
    </row>
    <row r="38" spans="1:6" x14ac:dyDescent="0.25">
      <c r="A38" t="str">
        <f>IF(Input!A39="","",Input!A39)</f>
        <v/>
      </c>
      <c r="B38" t="str">
        <f>IFERROR(IF(A38="","",SUM('Asset Allocation'!D38,'Asset Allocation'!N38)/'Broad Asset Allocation'!C38),0)</f>
        <v/>
      </c>
      <c r="D38" t="str">
        <f>IFERROR(IF(A38="","",SUM('Asset Allocation'!C38,'Asset Allocation'!E38,'Asset Allocation'!G38,'Asset Allocation'!U38)/'Broad Asset Allocation'!C38),0)</f>
        <v/>
      </c>
      <c r="E38" t="str">
        <f>IFERROR(IF(A38="","",SUM('Asset Allocation'!L38)/'Broad Asset Allocation'!C38),0)</f>
        <v/>
      </c>
      <c r="F38" t="str">
        <f>IFERROR(IF(A38="","",SUM('Asset Allocation'!I38)/'Broad Asset Allocation'!C38),0)</f>
        <v/>
      </c>
    </row>
    <row r="39" spans="1:6" x14ac:dyDescent="0.25">
      <c r="A39" t="str">
        <f>IF(Input!A40="","",Input!A40)</f>
        <v/>
      </c>
      <c r="B39" t="str">
        <f>IFERROR(IF(A39="","",SUM('Asset Allocation'!D39,'Asset Allocation'!N39)/'Broad Asset Allocation'!C39),0)</f>
        <v/>
      </c>
      <c r="D39" t="str">
        <f>IFERROR(IF(A39="","",SUM('Asset Allocation'!C39,'Asset Allocation'!E39,'Asset Allocation'!G39,'Asset Allocation'!U39)/'Broad Asset Allocation'!C39),0)</f>
        <v/>
      </c>
      <c r="E39" t="str">
        <f>IFERROR(IF(A39="","",SUM('Asset Allocation'!L39)/'Broad Asset Allocation'!C39),0)</f>
        <v/>
      </c>
      <c r="F39" t="str">
        <f>IFERROR(IF(A39="","",SUM('Asset Allocation'!I39)/'Broad Asset Allocation'!C39),0)</f>
        <v/>
      </c>
    </row>
    <row r="40" spans="1:6" x14ac:dyDescent="0.25">
      <c r="A40" t="str">
        <f>IF(Input!A41="","",Input!A41)</f>
        <v/>
      </c>
      <c r="B40" t="str">
        <f>IFERROR(IF(A40="","",SUM('Asset Allocation'!D40,'Asset Allocation'!N40)/'Broad Asset Allocation'!C40),0)</f>
        <v/>
      </c>
      <c r="D40" t="str">
        <f>IFERROR(IF(A40="","",SUM('Asset Allocation'!C40,'Asset Allocation'!E40,'Asset Allocation'!G40,'Asset Allocation'!U40)/'Broad Asset Allocation'!C40),0)</f>
        <v/>
      </c>
      <c r="E40" t="str">
        <f>IFERROR(IF(A40="","",SUM('Asset Allocation'!L40)/'Broad Asset Allocation'!C40),0)</f>
        <v/>
      </c>
      <c r="F40" t="str">
        <f>IFERROR(IF(A40="","",SUM('Asset Allocation'!I40)/'Broad Asset Allocation'!C40),0)</f>
        <v/>
      </c>
    </row>
    <row r="41" spans="1:6" x14ac:dyDescent="0.25">
      <c r="A41" t="str">
        <f>IF(Input!A42="","",Input!A42)</f>
        <v/>
      </c>
      <c r="B41" t="str">
        <f>IFERROR(IF(A41="","",SUM('Asset Allocation'!D41,'Asset Allocation'!N41)/'Broad Asset Allocation'!C41),0)</f>
        <v/>
      </c>
      <c r="D41" t="str">
        <f>IFERROR(IF(A41="","",SUM('Asset Allocation'!C41,'Asset Allocation'!E41,'Asset Allocation'!G41,'Asset Allocation'!U41)/'Broad Asset Allocation'!C41),0)</f>
        <v/>
      </c>
      <c r="E41" t="str">
        <f>IFERROR(IF(A41="","",SUM('Asset Allocation'!L41)/'Broad Asset Allocation'!C41),0)</f>
        <v/>
      </c>
      <c r="F41" t="str">
        <f>IFERROR(IF(A41="","",SUM('Asset Allocation'!I41)/'Broad Asset Allocation'!C41),0)</f>
        <v/>
      </c>
    </row>
    <row r="42" spans="1:6" x14ac:dyDescent="0.25">
      <c r="A42" t="str">
        <f>IF(Input!A43="","",Input!A43)</f>
        <v/>
      </c>
      <c r="B42" t="str">
        <f>IFERROR(IF(A42="","",SUM('Asset Allocation'!D42,'Asset Allocation'!N42)/'Broad Asset Allocation'!C42),0)</f>
        <v/>
      </c>
      <c r="D42" t="str">
        <f>IFERROR(IF(A42="","",SUM('Asset Allocation'!C42,'Asset Allocation'!E42,'Asset Allocation'!G42,'Asset Allocation'!U42)/'Broad Asset Allocation'!C42),0)</f>
        <v/>
      </c>
      <c r="E42" t="str">
        <f>IFERROR(IF(A42="","",SUM('Asset Allocation'!L42)/'Broad Asset Allocation'!C42),0)</f>
        <v/>
      </c>
      <c r="F42" t="str">
        <f>IFERROR(IF(A42="","",SUM('Asset Allocation'!I42)/'Broad Asset Allocation'!C42),0)</f>
        <v/>
      </c>
    </row>
    <row r="43" spans="1:6" x14ac:dyDescent="0.25">
      <c r="A43" t="str">
        <f>IF(Input!A44="","",Input!A44)</f>
        <v/>
      </c>
      <c r="B43" t="str">
        <f>IFERROR(IF(A43="","",SUM('Asset Allocation'!D43,'Asset Allocation'!N43)/'Broad Asset Allocation'!C43),0)</f>
        <v/>
      </c>
      <c r="D43" t="str">
        <f>IFERROR(IF(A43="","",SUM('Asset Allocation'!C43,'Asset Allocation'!E43,'Asset Allocation'!G43,'Asset Allocation'!U43)/'Broad Asset Allocation'!C43),0)</f>
        <v/>
      </c>
      <c r="E43" t="str">
        <f>IFERROR(IF(A43="","",SUM('Asset Allocation'!L43)/'Broad Asset Allocation'!C43),0)</f>
        <v/>
      </c>
      <c r="F43" t="str">
        <f>IFERROR(IF(A43="","",SUM('Asset Allocation'!I43)/'Broad Asset Allocation'!C43),0)</f>
        <v/>
      </c>
    </row>
    <row r="44" spans="1:6" x14ac:dyDescent="0.25">
      <c r="A44" t="str">
        <f>IF(Input!A45="","",Input!A45)</f>
        <v/>
      </c>
      <c r="B44" t="str">
        <f>IFERROR(IF(A44="","",SUM('Asset Allocation'!D44,'Asset Allocation'!N44)/'Broad Asset Allocation'!C44),0)</f>
        <v/>
      </c>
      <c r="D44" t="str">
        <f>IFERROR(IF(A44="","",SUM('Asset Allocation'!C44,'Asset Allocation'!E44,'Asset Allocation'!G44,'Asset Allocation'!U44)/'Broad Asset Allocation'!C44),0)</f>
        <v/>
      </c>
      <c r="E44" t="str">
        <f>IFERROR(IF(A44="","",SUM('Asset Allocation'!L44)/'Broad Asset Allocation'!C44),0)</f>
        <v/>
      </c>
      <c r="F44" t="str">
        <f>IFERROR(IF(A44="","",SUM('Asset Allocation'!I44)/'Broad Asset Allocation'!C44),0)</f>
        <v/>
      </c>
    </row>
    <row r="45" spans="1:6" x14ac:dyDescent="0.25">
      <c r="A45" t="str">
        <f>IF(Input!A46="","",Input!A46)</f>
        <v/>
      </c>
      <c r="B45" t="str">
        <f>IFERROR(IF(A45="","",SUM('Asset Allocation'!D45,'Asset Allocation'!N45)/'Broad Asset Allocation'!C45),0)</f>
        <v/>
      </c>
      <c r="D45" t="str">
        <f>IFERROR(IF(A45="","",SUM('Asset Allocation'!C45,'Asset Allocation'!E45,'Asset Allocation'!G45,'Asset Allocation'!U45)/'Broad Asset Allocation'!C45),0)</f>
        <v/>
      </c>
      <c r="E45" t="str">
        <f>IFERROR(IF(A45="","",SUM('Asset Allocation'!L45)/'Broad Asset Allocation'!C45),0)</f>
        <v/>
      </c>
      <c r="F45" t="str">
        <f>IFERROR(IF(A45="","",SUM('Asset Allocation'!I45)/'Broad Asset Allocation'!C45),0)</f>
        <v/>
      </c>
    </row>
    <row r="46" spans="1:6" x14ac:dyDescent="0.25">
      <c r="A46" t="str">
        <f>IF(Input!A47="","",Input!A47)</f>
        <v/>
      </c>
      <c r="B46" t="str">
        <f>IFERROR(IF(A46="","",SUM('Asset Allocation'!D46,'Asset Allocation'!N46)/'Broad Asset Allocation'!C46),0)</f>
        <v/>
      </c>
      <c r="D46" t="str">
        <f>IFERROR(IF(A46="","",SUM('Asset Allocation'!C46,'Asset Allocation'!E46,'Asset Allocation'!G46,'Asset Allocation'!U46)/'Broad Asset Allocation'!C46),0)</f>
        <v/>
      </c>
      <c r="E46" t="str">
        <f>IFERROR(IF(A46="","",SUM('Asset Allocation'!L46)/'Broad Asset Allocation'!C46),0)</f>
        <v/>
      </c>
      <c r="F46" t="str">
        <f>IFERROR(IF(A46="","",SUM('Asset Allocation'!I46)/'Broad Asset Allocation'!C46),0)</f>
        <v/>
      </c>
    </row>
    <row r="47" spans="1:6" x14ac:dyDescent="0.25">
      <c r="A47" t="str">
        <f>IF(Input!A48="","",Input!A48)</f>
        <v/>
      </c>
      <c r="B47" t="str">
        <f>IFERROR(IF(A47="","",SUM('Asset Allocation'!D47,'Asset Allocation'!N47)/'Broad Asset Allocation'!C47),0)</f>
        <v/>
      </c>
      <c r="D47" t="str">
        <f>IFERROR(IF(A47="","",SUM('Asset Allocation'!C47,'Asset Allocation'!E47,'Asset Allocation'!G47,'Asset Allocation'!U47)/'Broad Asset Allocation'!C47),0)</f>
        <v/>
      </c>
      <c r="E47" t="str">
        <f>IFERROR(IF(A47="","",SUM('Asset Allocation'!L47)/'Broad Asset Allocation'!C47),0)</f>
        <v/>
      </c>
      <c r="F47" t="str">
        <f>IFERROR(IF(A47="","",SUM('Asset Allocation'!I47)/'Broad Asset Allocation'!C47),0)</f>
        <v/>
      </c>
    </row>
    <row r="48" spans="1:6" x14ac:dyDescent="0.25">
      <c r="A48" t="str">
        <f>IF(Input!A49="","",Input!A49)</f>
        <v/>
      </c>
      <c r="B48" t="str">
        <f>IFERROR(IF(A48="","",SUM('Asset Allocation'!D48,'Asset Allocation'!N48)/'Broad Asset Allocation'!C48),0)</f>
        <v/>
      </c>
      <c r="D48" t="str">
        <f>IFERROR(IF(A48="","",SUM('Asset Allocation'!C48,'Asset Allocation'!E48,'Asset Allocation'!G48,'Asset Allocation'!U48)/'Broad Asset Allocation'!C48),0)</f>
        <v/>
      </c>
      <c r="E48" t="str">
        <f>IFERROR(IF(A48="","",SUM('Asset Allocation'!L48)/'Broad Asset Allocation'!C48),0)</f>
        <v/>
      </c>
      <c r="F48" t="str">
        <f>IFERROR(IF(A48="","",SUM('Asset Allocation'!I48)/'Broad Asset Allocation'!C48),0)</f>
        <v/>
      </c>
    </row>
    <row r="49" spans="1:6" x14ac:dyDescent="0.25">
      <c r="A49" t="str">
        <f>IF(Input!A50="","",Input!A50)</f>
        <v/>
      </c>
      <c r="B49" t="str">
        <f>IFERROR(IF(A49="","",SUM('Asset Allocation'!D49,'Asset Allocation'!N49)/'Broad Asset Allocation'!C49),0)</f>
        <v/>
      </c>
      <c r="D49" t="str">
        <f>IFERROR(IF(A49="","",SUM('Asset Allocation'!C49,'Asset Allocation'!E49,'Asset Allocation'!G49,'Asset Allocation'!U49)/'Broad Asset Allocation'!C49),0)</f>
        <v/>
      </c>
      <c r="E49" t="str">
        <f>IFERROR(IF(A49="","",SUM('Asset Allocation'!L49)/'Broad Asset Allocation'!C49),0)</f>
        <v/>
      </c>
      <c r="F49" t="str">
        <f>IFERROR(IF(A49="","",SUM('Asset Allocation'!I49)/'Broad Asset Allocation'!C49),0)</f>
        <v/>
      </c>
    </row>
    <row r="50" spans="1:6" x14ac:dyDescent="0.25">
      <c r="A50" t="str">
        <f>IF(Input!A51="","",Input!A51)</f>
        <v/>
      </c>
      <c r="B50" t="str">
        <f>IFERROR(IF(A50="","",SUM('Asset Allocation'!D50,'Asset Allocation'!N50)/'Broad Asset Allocation'!C50),0)</f>
        <v/>
      </c>
      <c r="D50" t="str">
        <f>IFERROR(IF(A50="","",SUM('Asset Allocation'!C50,'Asset Allocation'!E50,'Asset Allocation'!G50,'Asset Allocation'!U50)/'Broad Asset Allocation'!C50),0)</f>
        <v/>
      </c>
      <c r="E50" t="str">
        <f>IFERROR(IF(A50="","",SUM('Asset Allocation'!L50)/'Broad Asset Allocation'!C50),0)</f>
        <v/>
      </c>
      <c r="F50" t="str">
        <f>IFERROR(IF(A50="","",SUM('Asset Allocation'!I50)/'Broad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Global ESG Themes 1</v>
      </c>
      <c r="C1" s="1" t="str">
        <v>Global ESG Themes 2</v>
      </c>
      <c r="D1" t="str">
        <v>Global ESG Themes 3</v>
      </c>
      <c r="E1" t="str">
        <v>Global ESG Themes 4</v>
      </c>
      <c r="F1" t="str">
        <v>Global ESG Themes 5</v>
      </c>
      <c r="G1" t="str">
        <v>Global ESG Themes 6</v>
      </c>
      <c r="H1" t="str">
        <v>Passive with ETFs 1 (P-MP1)</v>
      </c>
      <c r="I1" t="str">
        <v>Passive with ETFs 2 (P-MP2)</v>
      </c>
      <c r="J1" t="str">
        <v>Passive with ETFs 3 (P-MP3)</v>
      </c>
      <c r="K1" t="str">
        <v>Passive with ETFs 4 (P-MP4)</v>
      </c>
      <c r="L1" t="str">
        <v>Passive with ETFs 5 (P-MP5)</v>
      </c>
      <c r="M1" t="str">
        <v>Passive no ETFs 1 (PF-MP1)</v>
      </c>
      <c r="N1" t="str">
        <v>Passive no ETFs 2 (PF-MP2)</v>
      </c>
      <c r="O1" t="str">
        <v>Passive no ETFs 3 (PF-MP3)</v>
      </c>
      <c r="P1" t="str">
        <v>Passive no ETFs 4 (PF-MP4)</v>
      </c>
      <c r="Q1" t="str">
        <v>Passive no ETFs 5 (PF-MP5)</v>
      </c>
      <c r="R1" t="str">
        <v>Hybrid with ETFs 1 (H-MP1)</v>
      </c>
      <c r="S1" t="str">
        <v>Hybrid with ETFs 2 (H-MP2)</v>
      </c>
      <c r="T1" t="str">
        <v>Hybrid with ETFs 3 (H-MP3)</v>
      </c>
      <c r="U1" t="str">
        <v>Hybrid with ETFs 4 (H-MP4)</v>
      </c>
      <c r="V1" t="str">
        <v>Hybrid with ETFs 5 (H-MP5)</v>
      </c>
      <c r="W1" t="str">
        <v>Hybrid no ETFs 1 (HF-MP1)</v>
      </c>
      <c r="X1" t="str">
        <v>Hybrid no ETFs 2 (HF-MP2)</v>
      </c>
      <c r="Y1" t="str">
        <v>Hybrid no ETFs 3 (HF-MP3)</v>
      </c>
      <c r="Z1" t="str">
        <v>Hybrid no ETFs 4 (HF-MP4)</v>
      </c>
      <c r="AA1" t="str">
        <v>Hybrid no ETFs 5 (HF-MP5)</v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2023-10-28T16:26:49Z</dcterms:modified>
</cp:coreProperties>
</file>