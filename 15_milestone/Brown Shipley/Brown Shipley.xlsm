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pdf_scraping\15_milestone\Brown Shipley\"/>
    </mc:Choice>
  </mc:AlternateContent>
  <xr:revisionPtr revIDLastSave="0" documentId="13_ncr:1_{2F81BD56-E4EF-45C0-9267-2F555B772155}" xr6:coauthVersionLast="47" xr6:coauthVersionMax="47" xr10:uidLastSave="{00000000-0000-0000-0000-000000000000}"/>
  <bookViews>
    <workbookView xWindow="1900" yWindow="1900" windowWidth="14400" windowHeight="781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6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3" i="1"/>
  <c r="A50" i="36"/>
  <c r="B50" i="36" s="1"/>
  <c r="A49" i="36"/>
  <c r="B49" i="36" s="1"/>
  <c r="A48" i="36"/>
  <c r="B48" i="36" s="1"/>
  <c r="A47" i="36"/>
  <c r="B47" i="36" s="1"/>
  <c r="A46" i="36"/>
  <c r="B46" i="36" s="1"/>
  <c r="A45" i="36"/>
  <c r="B45" i="36" s="1"/>
  <c r="A44" i="36"/>
  <c r="B44" i="36" s="1"/>
  <c r="A43" i="36"/>
  <c r="B43" i="36" s="1"/>
  <c r="A42" i="36"/>
  <c r="B42" i="36" s="1"/>
  <c r="A41" i="36"/>
  <c r="B41" i="36" s="1"/>
  <c r="A40" i="36"/>
  <c r="B40" i="36" s="1"/>
  <c r="A39" i="36"/>
  <c r="B39" i="36" s="1"/>
  <c r="A38" i="36"/>
  <c r="B38" i="36" s="1"/>
  <c r="A37" i="36"/>
  <c r="B37" i="36" s="1"/>
  <c r="A36" i="36"/>
  <c r="B36" i="36" s="1"/>
  <c r="A35" i="36"/>
  <c r="B35" i="36" s="1"/>
  <c r="A34" i="36"/>
  <c r="B34" i="36" s="1"/>
  <c r="A33" i="36"/>
  <c r="B33" i="36" s="1"/>
  <c r="A32" i="36"/>
  <c r="B32" i="36" s="1"/>
  <c r="A31" i="36"/>
  <c r="B31" i="36" s="1"/>
  <c r="A30" i="36"/>
  <c r="B30" i="36" s="1"/>
  <c r="A29" i="36"/>
  <c r="B29" i="36" s="1"/>
  <c r="A28" i="36"/>
  <c r="B28" i="36" s="1"/>
  <c r="A27" i="36"/>
  <c r="B27" i="36" s="1"/>
  <c r="A26" i="36"/>
  <c r="B26" i="36" s="1"/>
  <c r="A25" i="36"/>
  <c r="B25" i="36" s="1"/>
  <c r="A24" i="36"/>
  <c r="B24" i="36" s="1"/>
  <c r="A23" i="36"/>
  <c r="B23" i="36" s="1"/>
  <c r="A22" i="36"/>
  <c r="B22" i="36" s="1"/>
  <c r="A21" i="36"/>
  <c r="B21" i="36" s="1"/>
  <c r="A20" i="36"/>
  <c r="B20" i="36" s="1"/>
  <c r="A19" i="36"/>
  <c r="B19" i="36" s="1"/>
  <c r="A18" i="36"/>
  <c r="B18" i="36" s="1"/>
  <c r="A17" i="36"/>
  <c r="B17" i="36" s="1"/>
  <c r="A16" i="36"/>
  <c r="B16" i="36" s="1"/>
  <c r="A15" i="36"/>
  <c r="B15" i="36" s="1"/>
  <c r="A14" i="36"/>
  <c r="B14" i="36" s="1"/>
  <c r="A13" i="36"/>
  <c r="B13" i="36" s="1"/>
  <c r="A12" i="36"/>
  <c r="B12" i="36" s="1"/>
  <c r="A11" i="36"/>
  <c r="B11" i="36" s="1"/>
  <c r="A10" i="36"/>
  <c r="B10" i="36" s="1"/>
  <c r="A9" i="36"/>
  <c r="B9" i="36" s="1"/>
  <c r="A8" i="36"/>
  <c r="B8" i="36" s="1"/>
  <c r="A7" i="36"/>
  <c r="B7" i="36" s="1"/>
  <c r="A6" i="36"/>
  <c r="B6" i="36" s="1"/>
  <c r="A5" i="36"/>
  <c r="B5" i="36" s="1"/>
  <c r="A4" i="36"/>
  <c r="B4" i="36" s="1"/>
  <c r="A3" i="36"/>
  <c r="B3" i="36" s="1"/>
  <c r="A2" i="36"/>
  <c r="B2" i="36" s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1" i="1"/>
  <c r="A50" i="8"/>
  <c r="G50" i="8" s="1"/>
  <c r="A49" i="8"/>
  <c r="G49" i="8" s="1"/>
  <c r="A48" i="8"/>
  <c r="G48" i="8" s="1"/>
  <c r="A47" i="8"/>
  <c r="G47" i="8" s="1"/>
  <c r="A46" i="8"/>
  <c r="F46" i="8" s="1"/>
  <c r="A45" i="8"/>
  <c r="F45" i="8" s="1"/>
  <c r="A44" i="8"/>
  <c r="G44" i="8" s="1"/>
  <c r="A43" i="8"/>
  <c r="G43" i="8" s="1"/>
  <c r="A42" i="8"/>
  <c r="G42" i="8" s="1"/>
  <c r="A41" i="8"/>
  <c r="G41" i="8" s="1"/>
  <c r="A40" i="8"/>
  <c r="G40" i="8" s="1"/>
  <c r="A39" i="8"/>
  <c r="G39" i="8" s="1"/>
  <c r="A38" i="8"/>
  <c r="F38" i="8" s="1"/>
  <c r="A37" i="8"/>
  <c r="F37" i="8" s="1"/>
  <c r="A36" i="8"/>
  <c r="F36" i="8" s="1"/>
  <c r="A35" i="8"/>
  <c r="F35" i="8" s="1"/>
  <c r="A34" i="8"/>
  <c r="G34" i="8" s="1"/>
  <c r="A33" i="8"/>
  <c r="G33" i="8" s="1"/>
  <c r="A32" i="8"/>
  <c r="F32" i="8" s="1"/>
  <c r="A31" i="8"/>
  <c r="F31" i="8" s="1"/>
  <c r="A30" i="8"/>
  <c r="F30" i="8" s="1"/>
  <c r="A29" i="8"/>
  <c r="F29" i="8" s="1"/>
  <c r="A28" i="8"/>
  <c r="F28" i="8" s="1"/>
  <c r="A27" i="8"/>
  <c r="G27" i="8" s="1"/>
  <c r="A26" i="8"/>
  <c r="G26" i="8" s="1"/>
  <c r="A25" i="8"/>
  <c r="G25" i="8" s="1"/>
  <c r="A24" i="8"/>
  <c r="G24" i="8" s="1"/>
  <c r="A23" i="8"/>
  <c r="G23" i="8" s="1"/>
  <c r="A22" i="8"/>
  <c r="F22" i="8" s="1"/>
  <c r="A21" i="8"/>
  <c r="F21" i="8" s="1"/>
  <c r="A20" i="8"/>
  <c r="G20" i="8" s="1"/>
  <c r="A19" i="8"/>
  <c r="F19" i="8" s="1"/>
  <c r="A18" i="8"/>
  <c r="G18" i="8" s="1"/>
  <c r="A17" i="8"/>
  <c r="G17" i="8" s="1"/>
  <c r="A16" i="8"/>
  <c r="G16" i="8" s="1"/>
  <c r="A15" i="8"/>
  <c r="G15" i="8" s="1"/>
  <c r="A14" i="8"/>
  <c r="F14" i="8" s="1"/>
  <c r="A13" i="8"/>
  <c r="F13" i="8" s="1"/>
  <c r="A12" i="8"/>
  <c r="G12" i="8" s="1"/>
  <c r="A11" i="8"/>
  <c r="F11" i="8" s="1"/>
  <c r="A10" i="8"/>
  <c r="G10" i="8" s="1"/>
  <c r="A9" i="8"/>
  <c r="G9" i="8" s="1"/>
  <c r="A8" i="8"/>
  <c r="G8" i="8" s="1"/>
  <c r="A7" i="8"/>
  <c r="G7" i="8" s="1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D49" i="31" s="1"/>
  <c r="A48" i="31"/>
  <c r="C48" i="31" s="1"/>
  <c r="A47" i="31"/>
  <c r="D47" i="31" s="1"/>
  <c r="A46" i="31"/>
  <c r="C46" i="31" s="1"/>
  <c r="A45" i="31"/>
  <c r="D45" i="31" s="1"/>
  <c r="A44" i="31"/>
  <c r="C44" i="31" s="1"/>
  <c r="A43" i="31"/>
  <c r="D43" i="31" s="1"/>
  <c r="A42" i="31"/>
  <c r="C42" i="31" s="1"/>
  <c r="A41" i="31"/>
  <c r="D41" i="31" s="1"/>
  <c r="A40" i="31"/>
  <c r="C40" i="31" s="1"/>
  <c r="A39" i="31"/>
  <c r="D39" i="31" s="1"/>
  <c r="A38" i="31"/>
  <c r="C38" i="31" s="1"/>
  <c r="A37" i="31"/>
  <c r="D37" i="31" s="1"/>
  <c r="A36" i="31"/>
  <c r="C36" i="31" s="1"/>
  <c r="A35" i="31"/>
  <c r="D35" i="31" s="1"/>
  <c r="A34" i="31"/>
  <c r="C34" i="31" s="1"/>
  <c r="A33" i="31"/>
  <c r="D33" i="31" s="1"/>
  <c r="A32" i="31"/>
  <c r="C32" i="31" s="1"/>
  <c r="A31" i="31"/>
  <c r="D31" i="31" s="1"/>
  <c r="A30" i="31"/>
  <c r="C30" i="31" s="1"/>
  <c r="A29" i="31"/>
  <c r="D29" i="31" s="1"/>
  <c r="A28" i="31"/>
  <c r="C28" i="31" s="1"/>
  <c r="A27" i="31"/>
  <c r="D27" i="31" s="1"/>
  <c r="A26" i="31"/>
  <c r="C26" i="31" s="1"/>
  <c r="A25" i="31"/>
  <c r="D25" i="31" s="1"/>
  <c r="A24" i="31"/>
  <c r="C24" i="31" s="1"/>
  <c r="A23" i="31"/>
  <c r="D23" i="31" s="1"/>
  <c r="A22" i="31"/>
  <c r="C22" i="31" s="1"/>
  <c r="A21" i="31"/>
  <c r="D21" i="31" s="1"/>
  <c r="A20" i="31"/>
  <c r="C20" i="31" s="1"/>
  <c r="A19" i="31"/>
  <c r="D19" i="31" s="1"/>
  <c r="A18" i="31"/>
  <c r="C18" i="31" s="1"/>
  <c r="A17" i="31"/>
  <c r="D17" i="31" s="1"/>
  <c r="A16" i="31"/>
  <c r="C16" i="31" s="1"/>
  <c r="A15" i="31"/>
  <c r="D15" i="31" s="1"/>
  <c r="A14" i="31"/>
  <c r="C14" i="31" s="1"/>
  <c r="A13" i="31"/>
  <c r="D13" i="31" s="1"/>
  <c r="A12" i="31"/>
  <c r="C12" i="31" s="1"/>
  <c r="A11" i="31"/>
  <c r="D11" i="31" s="1"/>
  <c r="A10" i="31"/>
  <c r="C10" i="31" s="1"/>
  <c r="A9" i="31"/>
  <c r="D9" i="31" s="1"/>
  <c r="A8" i="31"/>
  <c r="C8" i="31" s="1"/>
  <c r="A7" i="31"/>
  <c r="D7" i="31" s="1"/>
  <c r="A6" i="31"/>
  <c r="C6" i="31" s="1"/>
  <c r="A5" i="31"/>
  <c r="C5" i="31" s="1"/>
  <c r="A4" i="31"/>
  <c r="C4" i="31" s="1"/>
  <c r="A3" i="31"/>
  <c r="D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4" i="8" l="1"/>
  <c r="F20" i="8"/>
  <c r="G36" i="8"/>
  <c r="G32" i="8"/>
  <c r="F48" i="8"/>
  <c r="F16" i="8"/>
  <c r="G28" i="8"/>
  <c r="F44" i="8"/>
  <c r="F12" i="8"/>
  <c r="F40" i="8"/>
  <c r="F8" i="8"/>
  <c r="B1" i="38" a="1"/>
  <c r="B1" i="38" s="1"/>
  <c r="F43" i="8"/>
  <c r="F27" i="8"/>
  <c r="G31" i="8"/>
  <c r="F50" i="8"/>
  <c r="F42" i="8"/>
  <c r="F34" i="8"/>
  <c r="F26" i="8"/>
  <c r="F18" i="8"/>
  <c r="F10" i="8"/>
  <c r="G46" i="8"/>
  <c r="G38" i="8"/>
  <c r="G30" i="8"/>
  <c r="G22" i="8"/>
  <c r="G14" i="8"/>
  <c r="F49" i="8"/>
  <c r="F41" i="8"/>
  <c r="F33" i="8"/>
  <c r="F25" i="8"/>
  <c r="F17" i="8"/>
  <c r="F9" i="8"/>
  <c r="G45" i="8"/>
  <c r="G37" i="8"/>
  <c r="G29" i="8"/>
  <c r="G21" i="8"/>
  <c r="G13" i="8"/>
  <c r="F39" i="8"/>
  <c r="G19" i="8"/>
  <c r="F7" i="8"/>
  <c r="F47" i="8"/>
  <c r="F23" i="8"/>
  <c r="F15" i="8"/>
  <c r="G35" i="8"/>
  <c r="G11" i="8"/>
  <c r="E50" i="31"/>
  <c r="E42" i="31"/>
  <c r="E34" i="31"/>
  <c r="E26" i="31"/>
  <c r="E18" i="31"/>
  <c r="E10" i="31"/>
  <c r="C27" i="31"/>
  <c r="E49" i="31"/>
  <c r="E41" i="31"/>
  <c r="E33" i="31"/>
  <c r="E25" i="31"/>
  <c r="E17" i="31"/>
  <c r="E9" i="31"/>
  <c r="C11" i="31"/>
  <c r="E48" i="31"/>
  <c r="E40" i="31"/>
  <c r="E32" i="31"/>
  <c r="E24" i="31"/>
  <c r="E16" i="31"/>
  <c r="E8" i="31"/>
  <c r="E47" i="31"/>
  <c r="E39" i="31"/>
  <c r="E31" i="31"/>
  <c r="E23" i="31"/>
  <c r="E15" i="31"/>
  <c r="E7" i="31"/>
  <c r="E46" i="31"/>
  <c r="E38" i="31"/>
  <c r="E30" i="31"/>
  <c r="E22" i="31"/>
  <c r="E14" i="31"/>
  <c r="E6" i="31"/>
  <c r="E45" i="31"/>
  <c r="E37" i="31"/>
  <c r="E29" i="31"/>
  <c r="E21" i="31"/>
  <c r="E13" i="31"/>
  <c r="E5" i="31"/>
  <c r="E44" i="31"/>
  <c r="E36" i="31"/>
  <c r="E28" i="31"/>
  <c r="E20" i="31"/>
  <c r="E12" i="31"/>
  <c r="E4" i="31"/>
  <c r="E2" i="31"/>
  <c r="E43" i="31"/>
  <c r="E35" i="31"/>
  <c r="E27" i="31"/>
  <c r="E19" i="31"/>
  <c r="E11" i="31"/>
  <c r="E3" i="31"/>
  <c r="C39" i="31"/>
  <c r="C31" i="31"/>
  <c r="C7" i="31"/>
  <c r="C23" i="31"/>
  <c r="C19" i="31"/>
  <c r="C43" i="31"/>
  <c r="D2" i="31"/>
  <c r="C47" i="31"/>
  <c r="C15" i="31"/>
  <c r="C35" i="31"/>
  <c r="D11" i="8"/>
  <c r="E11" i="8"/>
  <c r="H11" i="8"/>
  <c r="B11" i="8"/>
  <c r="D27" i="8"/>
  <c r="H27" i="8"/>
  <c r="E27" i="8"/>
  <c r="B27" i="8"/>
  <c r="B15" i="8"/>
  <c r="H15" i="8"/>
  <c r="D15" i="8"/>
  <c r="E15" i="8"/>
  <c r="B23" i="8"/>
  <c r="D23" i="8"/>
  <c r="E23" i="8"/>
  <c r="H23" i="8"/>
  <c r="B31" i="8"/>
  <c r="D31" i="8"/>
  <c r="H31" i="8"/>
  <c r="E31" i="8"/>
  <c r="B39" i="8"/>
  <c r="H39" i="8"/>
  <c r="D39" i="8"/>
  <c r="E39" i="8"/>
  <c r="H47" i="8"/>
  <c r="B47" i="8"/>
  <c r="D47" i="8"/>
  <c r="E47" i="8"/>
  <c r="D19" i="8"/>
  <c r="E19" i="8"/>
  <c r="H19" i="8"/>
  <c r="B19" i="8"/>
  <c r="D43" i="8"/>
  <c r="E43" i="8"/>
  <c r="H43" i="8"/>
  <c r="B43" i="8"/>
  <c r="B7" i="8"/>
  <c r="H7" i="8"/>
  <c r="D7" i="8"/>
  <c r="E7" i="8"/>
  <c r="H8" i="8"/>
  <c r="B8" i="8"/>
  <c r="D8" i="8"/>
  <c r="E8" i="8"/>
  <c r="H16" i="8"/>
  <c r="B16" i="8"/>
  <c r="D16" i="8"/>
  <c r="E16" i="8"/>
  <c r="H24" i="8"/>
  <c r="B24" i="8"/>
  <c r="D24" i="8"/>
  <c r="E24" i="8"/>
  <c r="H32" i="8"/>
  <c r="B32" i="8"/>
  <c r="D32" i="8"/>
  <c r="E32" i="8"/>
  <c r="H40" i="8"/>
  <c r="B40" i="8"/>
  <c r="D40" i="8"/>
  <c r="E40" i="8"/>
  <c r="H48" i="8"/>
  <c r="B48" i="8"/>
  <c r="D48" i="8"/>
  <c r="E48" i="8"/>
  <c r="D35" i="8"/>
  <c r="B35" i="8"/>
  <c r="E35" i="8"/>
  <c r="H35" i="8"/>
  <c r="H9" i="8"/>
  <c r="B9" i="8"/>
  <c r="D9" i="8"/>
  <c r="E9" i="8"/>
  <c r="H17" i="8"/>
  <c r="E17" i="8"/>
  <c r="D17" i="8"/>
  <c r="B17" i="8"/>
  <c r="H25" i="8"/>
  <c r="E25" i="8"/>
  <c r="B25" i="8"/>
  <c r="D25" i="8"/>
  <c r="H33" i="8"/>
  <c r="D33" i="8"/>
  <c r="B33" i="8"/>
  <c r="E33" i="8"/>
  <c r="H41" i="8"/>
  <c r="D41" i="8"/>
  <c r="B41" i="8"/>
  <c r="E41" i="8"/>
  <c r="H49" i="8"/>
  <c r="E49" i="8"/>
  <c r="B49" i="8"/>
  <c r="D49" i="8"/>
  <c r="B1" i="37" a="1"/>
  <c r="B1" i="37" s="1"/>
  <c r="D10" i="8"/>
  <c r="H10" i="8"/>
  <c r="B10" i="8"/>
  <c r="E10" i="8"/>
  <c r="H18" i="8"/>
  <c r="B18" i="8"/>
  <c r="D18" i="8"/>
  <c r="E18" i="8"/>
  <c r="D26" i="8"/>
  <c r="H26" i="8"/>
  <c r="B26" i="8"/>
  <c r="E26" i="8"/>
  <c r="H34" i="8"/>
  <c r="B34" i="8"/>
  <c r="D34" i="8"/>
  <c r="E34" i="8"/>
  <c r="H42" i="8"/>
  <c r="B42" i="8"/>
  <c r="D42" i="8"/>
  <c r="E42" i="8"/>
  <c r="D50" i="8"/>
  <c r="H50" i="8"/>
  <c r="B50" i="8"/>
  <c r="E50" i="8"/>
  <c r="H28" i="8"/>
  <c r="B28" i="8"/>
  <c r="D28" i="8"/>
  <c r="E28" i="8"/>
  <c r="H36" i="8"/>
  <c r="B36" i="8"/>
  <c r="E36" i="8"/>
  <c r="D36" i="8"/>
  <c r="B13" i="8"/>
  <c r="D13" i="8"/>
  <c r="E13" i="8"/>
  <c r="H13" i="8"/>
  <c r="B21" i="8"/>
  <c r="E21" i="8"/>
  <c r="D21" i="8"/>
  <c r="H21" i="8"/>
  <c r="B29" i="8"/>
  <c r="D29" i="8"/>
  <c r="E29" i="8"/>
  <c r="H29" i="8"/>
  <c r="B37" i="8"/>
  <c r="D37" i="8"/>
  <c r="E37" i="8"/>
  <c r="H37" i="8"/>
  <c r="B45" i="8"/>
  <c r="D45" i="8"/>
  <c r="E45" i="8"/>
  <c r="H45" i="8"/>
  <c r="H12" i="8"/>
  <c r="B12" i="8"/>
  <c r="D12" i="8"/>
  <c r="E12" i="8"/>
  <c r="H20" i="8"/>
  <c r="B20" i="8"/>
  <c r="D20" i="8"/>
  <c r="E20" i="8"/>
  <c r="H44" i="8"/>
  <c r="B44" i="8"/>
  <c r="E44" i="8"/>
  <c r="D44" i="8"/>
  <c r="E14" i="8"/>
  <c r="B14" i="8"/>
  <c r="D14" i="8"/>
  <c r="H14" i="8"/>
  <c r="E22" i="8"/>
  <c r="B22" i="8"/>
  <c r="H22" i="8"/>
  <c r="D22" i="8"/>
  <c r="E30" i="8"/>
  <c r="D30" i="8"/>
  <c r="H30" i="8"/>
  <c r="B30" i="8"/>
  <c r="E38" i="8"/>
  <c r="D38" i="8"/>
  <c r="H38" i="8"/>
  <c r="B38" i="8"/>
  <c r="E46" i="8"/>
  <c r="D46" i="8"/>
  <c r="H46" i="8"/>
  <c r="B46" i="8"/>
  <c r="G44" i="7"/>
  <c r="B44" i="7"/>
  <c r="H44" i="7"/>
  <c r="C44" i="7"/>
  <c r="F44" i="7"/>
  <c r="D44" i="7"/>
  <c r="E44" i="7"/>
  <c r="B22" i="7"/>
  <c r="C22" i="7"/>
  <c r="D22" i="7"/>
  <c r="E22" i="7"/>
  <c r="F22" i="7"/>
  <c r="G22" i="7"/>
  <c r="H22" i="7"/>
  <c r="C8" i="7"/>
  <c r="D8" i="7"/>
  <c r="E8" i="7"/>
  <c r="F8" i="7"/>
  <c r="G8" i="7"/>
  <c r="H8" i="7"/>
  <c r="B8" i="7"/>
  <c r="C16" i="7"/>
  <c r="D16" i="7"/>
  <c r="E16" i="7"/>
  <c r="F16" i="7"/>
  <c r="G16" i="7"/>
  <c r="H16" i="7"/>
  <c r="B16" i="7"/>
  <c r="C24" i="7"/>
  <c r="E24" i="7"/>
  <c r="F24" i="7"/>
  <c r="G24" i="7"/>
  <c r="D24" i="7"/>
  <c r="H24" i="7"/>
  <c r="B24" i="7"/>
  <c r="C32" i="7"/>
  <c r="E32" i="7"/>
  <c r="F32" i="7"/>
  <c r="G32" i="7"/>
  <c r="H32" i="7"/>
  <c r="B32" i="7"/>
  <c r="D32" i="7"/>
  <c r="C40" i="7"/>
  <c r="D40" i="7"/>
  <c r="E40" i="7"/>
  <c r="F40" i="7"/>
  <c r="G40" i="7"/>
  <c r="B40" i="7"/>
  <c r="H40" i="7"/>
  <c r="C48" i="7"/>
  <c r="E48" i="7"/>
  <c r="F48" i="7"/>
  <c r="G48" i="7"/>
  <c r="B48" i="7"/>
  <c r="H48" i="7"/>
  <c r="D48" i="7"/>
  <c r="G36" i="7"/>
  <c r="B36" i="7"/>
  <c r="C36" i="7"/>
  <c r="D36" i="7"/>
  <c r="E36" i="7"/>
  <c r="F36" i="7"/>
  <c r="H36" i="7"/>
  <c r="C14" i="7"/>
  <c r="D14" i="7"/>
  <c r="E14" i="7"/>
  <c r="F14" i="7"/>
  <c r="B14" i="7"/>
  <c r="G14" i="7"/>
  <c r="H14" i="7"/>
  <c r="D9" i="7"/>
  <c r="E9" i="7"/>
  <c r="F9" i="7"/>
  <c r="G9" i="7"/>
  <c r="H9" i="7"/>
  <c r="B9" i="7"/>
  <c r="C9" i="7"/>
  <c r="D17" i="7"/>
  <c r="F17" i="7"/>
  <c r="G17" i="7"/>
  <c r="E17" i="7"/>
  <c r="H17" i="7"/>
  <c r="B17" i="7"/>
  <c r="C17" i="7"/>
  <c r="D25" i="7"/>
  <c r="E25" i="7"/>
  <c r="F25" i="7"/>
  <c r="G25" i="7"/>
  <c r="H25" i="7"/>
  <c r="B25" i="7"/>
  <c r="C25" i="7"/>
  <c r="D33" i="7"/>
  <c r="F33" i="7"/>
  <c r="G33" i="7"/>
  <c r="H33" i="7"/>
  <c r="E33" i="7"/>
  <c r="B33" i="7"/>
  <c r="C33" i="7"/>
  <c r="D41" i="7"/>
  <c r="F41" i="7"/>
  <c r="G41" i="7"/>
  <c r="H41" i="7"/>
  <c r="E41" i="7"/>
  <c r="B41" i="7"/>
  <c r="C41" i="7"/>
  <c r="D49" i="7"/>
  <c r="F49" i="7"/>
  <c r="G49" i="7"/>
  <c r="E49" i="7"/>
  <c r="H49" i="7"/>
  <c r="B49" i="7"/>
  <c r="C49" i="7"/>
  <c r="E26" i="7"/>
  <c r="G26" i="7"/>
  <c r="H26" i="7"/>
  <c r="B26" i="7"/>
  <c r="C26" i="7"/>
  <c r="D26" i="7"/>
  <c r="F26" i="7"/>
  <c r="E50" i="7"/>
  <c r="G50" i="7"/>
  <c r="H50" i="7"/>
  <c r="F50" i="7"/>
  <c r="B50" i="7"/>
  <c r="D50" i="7"/>
  <c r="C50" i="7"/>
  <c r="G28" i="7"/>
  <c r="B28" i="7"/>
  <c r="C28" i="7"/>
  <c r="H28" i="7"/>
  <c r="D28" i="7"/>
  <c r="E28" i="7"/>
  <c r="F28" i="7"/>
  <c r="E10" i="7"/>
  <c r="F10" i="7"/>
  <c r="G10" i="7"/>
  <c r="H10" i="7"/>
  <c r="B10" i="7"/>
  <c r="C10" i="7"/>
  <c r="D10" i="7"/>
  <c r="E18" i="7"/>
  <c r="G18" i="7"/>
  <c r="H18" i="7"/>
  <c r="F18" i="7"/>
  <c r="B18" i="7"/>
  <c r="C18" i="7"/>
  <c r="D18" i="7"/>
  <c r="E34" i="7"/>
  <c r="G34" i="7"/>
  <c r="H34" i="7"/>
  <c r="B34" i="7"/>
  <c r="D34" i="7"/>
  <c r="F34" i="7"/>
  <c r="C34" i="7"/>
  <c r="E42" i="7"/>
  <c r="G42" i="7"/>
  <c r="H42" i="7"/>
  <c r="B42" i="7"/>
  <c r="C42" i="7"/>
  <c r="D42" i="7"/>
  <c r="F42" i="7"/>
  <c r="F11" i="7"/>
  <c r="H11" i="7"/>
  <c r="B11" i="7"/>
  <c r="G11" i="7"/>
  <c r="C11" i="7"/>
  <c r="D11" i="7"/>
  <c r="E11" i="7"/>
  <c r="F19" i="7"/>
  <c r="H19" i="7"/>
  <c r="B19" i="7"/>
  <c r="C19" i="7"/>
  <c r="G19" i="7"/>
  <c r="D19" i="7"/>
  <c r="E19" i="7"/>
  <c r="F27" i="7"/>
  <c r="H27" i="7"/>
  <c r="B27" i="7"/>
  <c r="E27" i="7"/>
  <c r="C27" i="7"/>
  <c r="G27" i="7"/>
  <c r="D27" i="7"/>
  <c r="F35" i="7"/>
  <c r="G35" i="7"/>
  <c r="H35" i="7"/>
  <c r="B35" i="7"/>
  <c r="E35" i="7"/>
  <c r="C35" i="7"/>
  <c r="D35" i="7"/>
  <c r="F43" i="7"/>
  <c r="H43" i="7"/>
  <c r="B43" i="7"/>
  <c r="G43" i="7"/>
  <c r="C43" i="7"/>
  <c r="E43" i="7"/>
  <c r="D43" i="7"/>
  <c r="G20" i="7"/>
  <c r="B20" i="7"/>
  <c r="C20" i="7"/>
  <c r="D20" i="7"/>
  <c r="E20" i="7"/>
  <c r="F20" i="7"/>
  <c r="H20" i="7"/>
  <c r="H13" i="7"/>
  <c r="B13" i="7"/>
  <c r="C13" i="7"/>
  <c r="D13" i="7"/>
  <c r="E13" i="7"/>
  <c r="F13" i="7"/>
  <c r="G13" i="7"/>
  <c r="H21" i="7"/>
  <c r="B21" i="7"/>
  <c r="C21" i="7"/>
  <c r="D21" i="7"/>
  <c r="E21" i="7"/>
  <c r="F21" i="7"/>
  <c r="G21" i="7"/>
  <c r="H29" i="7"/>
  <c r="B29" i="7"/>
  <c r="C29" i="7"/>
  <c r="D29" i="7"/>
  <c r="E29" i="7"/>
  <c r="G29" i="7"/>
  <c r="F29" i="7"/>
  <c r="H37" i="7"/>
  <c r="B37" i="7"/>
  <c r="C37" i="7"/>
  <c r="D37" i="7"/>
  <c r="E37" i="7"/>
  <c r="F37" i="7"/>
  <c r="G37" i="7"/>
  <c r="H45" i="7"/>
  <c r="B45" i="7"/>
  <c r="C45" i="7"/>
  <c r="D45" i="7"/>
  <c r="E45" i="7"/>
  <c r="F45" i="7"/>
  <c r="G45" i="7"/>
  <c r="G12" i="7"/>
  <c r="B12" i="7"/>
  <c r="C12" i="7"/>
  <c r="D12" i="7"/>
  <c r="E12" i="7"/>
  <c r="F12" i="7"/>
  <c r="H12" i="7"/>
  <c r="B46" i="7"/>
  <c r="C46" i="7"/>
  <c r="D46" i="7"/>
  <c r="E46" i="7"/>
  <c r="F46" i="7"/>
  <c r="H46" i="7"/>
  <c r="G46" i="7"/>
  <c r="B30" i="7"/>
  <c r="C30" i="7"/>
  <c r="D30" i="7"/>
  <c r="E30" i="7"/>
  <c r="F30" i="7"/>
  <c r="G30" i="7"/>
  <c r="H30" i="7"/>
  <c r="C38" i="7"/>
  <c r="D38" i="7"/>
  <c r="E38" i="7"/>
  <c r="B38" i="7"/>
  <c r="F38" i="7"/>
  <c r="H38" i="7"/>
  <c r="G38" i="7"/>
  <c r="B7" i="7"/>
  <c r="C7" i="7"/>
  <c r="D7" i="7"/>
  <c r="E7" i="7"/>
  <c r="F7" i="7"/>
  <c r="G7" i="7"/>
  <c r="H7" i="7"/>
  <c r="B15" i="7"/>
  <c r="C15" i="7"/>
  <c r="D15" i="7"/>
  <c r="E15" i="7"/>
  <c r="F15" i="7"/>
  <c r="G15" i="7"/>
  <c r="H15" i="7"/>
  <c r="B23" i="7"/>
  <c r="D23" i="7"/>
  <c r="E23" i="7"/>
  <c r="F23" i="7"/>
  <c r="G23" i="7"/>
  <c r="C23" i="7"/>
  <c r="H23" i="7"/>
  <c r="B31" i="7"/>
  <c r="D31" i="7"/>
  <c r="E31" i="7"/>
  <c r="C31" i="7"/>
  <c r="F31" i="7"/>
  <c r="G31" i="7"/>
  <c r="H31" i="7"/>
  <c r="B39" i="7"/>
  <c r="D39" i="7"/>
  <c r="E39" i="7"/>
  <c r="C39" i="7"/>
  <c r="F39" i="7"/>
  <c r="G39" i="7"/>
  <c r="H39" i="7"/>
  <c r="B47" i="7"/>
  <c r="D47" i="7"/>
  <c r="E47" i="7"/>
  <c r="F47" i="7"/>
  <c r="G47" i="7"/>
  <c r="H47" i="7"/>
  <c r="C47" i="7"/>
  <c r="G20" i="4"/>
  <c r="B20" i="4"/>
  <c r="C20" i="4"/>
  <c r="H20" i="4"/>
  <c r="F20" i="4"/>
  <c r="G44" i="4"/>
  <c r="F44" i="4"/>
  <c r="B44" i="4"/>
  <c r="H44" i="4"/>
  <c r="C44" i="4"/>
  <c r="H7" i="4"/>
  <c r="B7" i="4"/>
  <c r="C7" i="4"/>
  <c r="F7" i="4"/>
  <c r="G7" i="4"/>
  <c r="H15" i="4"/>
  <c r="B15" i="4"/>
  <c r="C15" i="4"/>
  <c r="F15" i="4"/>
  <c r="G15" i="4"/>
  <c r="H31" i="4"/>
  <c r="B31" i="4"/>
  <c r="G31" i="4"/>
  <c r="C31" i="4"/>
  <c r="F31" i="4"/>
  <c r="H47" i="4"/>
  <c r="B47" i="4"/>
  <c r="C47" i="4"/>
  <c r="F47" i="4"/>
  <c r="G47" i="4"/>
  <c r="F8" i="4"/>
  <c r="G8" i="4"/>
  <c r="H8" i="4"/>
  <c r="B8" i="4"/>
  <c r="C8" i="4"/>
  <c r="C16" i="4"/>
  <c r="G16" i="4"/>
  <c r="H16" i="4"/>
  <c r="F16" i="4"/>
  <c r="B16" i="4"/>
  <c r="F24" i="4"/>
  <c r="G24" i="4"/>
  <c r="H24" i="4"/>
  <c r="B24" i="4"/>
  <c r="C24" i="4"/>
  <c r="G32" i="4"/>
  <c r="H32" i="4"/>
  <c r="F32" i="4"/>
  <c r="C32" i="4"/>
  <c r="B32" i="4"/>
  <c r="G40" i="4"/>
  <c r="H40" i="4"/>
  <c r="B40" i="4"/>
  <c r="C40" i="4"/>
  <c r="F40" i="4"/>
  <c r="C48" i="4"/>
  <c r="F48" i="4"/>
  <c r="G48" i="4"/>
  <c r="H48" i="4"/>
  <c r="B48" i="4"/>
  <c r="C9" i="4"/>
  <c r="F9" i="4"/>
  <c r="G9" i="4"/>
  <c r="H9" i="4"/>
  <c r="B9" i="4"/>
  <c r="C17" i="4"/>
  <c r="G17" i="4"/>
  <c r="H17" i="4"/>
  <c r="B17" i="4"/>
  <c r="F17" i="4"/>
  <c r="C25" i="4"/>
  <c r="H25" i="4"/>
  <c r="F25" i="4"/>
  <c r="G25" i="4"/>
  <c r="B25" i="4"/>
  <c r="C33" i="4"/>
  <c r="F33" i="4"/>
  <c r="G33" i="4"/>
  <c r="H33" i="4"/>
  <c r="B33" i="4"/>
  <c r="C41" i="4"/>
  <c r="F41" i="4"/>
  <c r="G41" i="4"/>
  <c r="H41" i="4"/>
  <c r="B41" i="4"/>
  <c r="B49" i="4"/>
  <c r="C49" i="4"/>
  <c r="F49" i="4"/>
  <c r="G49" i="4"/>
  <c r="H49" i="4"/>
  <c r="G12" i="4"/>
  <c r="C12" i="4"/>
  <c r="B12" i="4"/>
  <c r="H12" i="4"/>
  <c r="F12" i="4"/>
  <c r="G28" i="4"/>
  <c r="B28" i="4"/>
  <c r="H28" i="4"/>
  <c r="C28" i="4"/>
  <c r="F28" i="4"/>
  <c r="C5" i="4"/>
  <c r="F5" i="4"/>
  <c r="B5" i="4"/>
  <c r="G5" i="4"/>
  <c r="H23" i="4"/>
  <c r="B23" i="4"/>
  <c r="C23" i="4"/>
  <c r="F23" i="4"/>
  <c r="G23" i="4"/>
  <c r="H39" i="4"/>
  <c r="B39" i="4"/>
  <c r="G39" i="4"/>
  <c r="C39" i="4"/>
  <c r="F39" i="4"/>
  <c r="C2" i="4"/>
  <c r="G2" i="4"/>
  <c r="F2" i="4"/>
  <c r="B2" i="4"/>
  <c r="B10" i="4"/>
  <c r="C10" i="4"/>
  <c r="F10" i="4"/>
  <c r="H10" i="4"/>
  <c r="G10" i="4"/>
  <c r="B18" i="4"/>
  <c r="C18" i="4"/>
  <c r="F18" i="4"/>
  <c r="H18" i="4"/>
  <c r="G18" i="4"/>
  <c r="B26" i="4"/>
  <c r="C26" i="4"/>
  <c r="F26" i="4"/>
  <c r="H26" i="4"/>
  <c r="G26" i="4"/>
  <c r="B34" i="4"/>
  <c r="C34" i="4"/>
  <c r="F34" i="4"/>
  <c r="H34" i="4"/>
  <c r="G34" i="4"/>
  <c r="B42" i="4"/>
  <c r="C42" i="4"/>
  <c r="F42" i="4"/>
  <c r="H42" i="4"/>
  <c r="G42" i="4"/>
  <c r="B50" i="4"/>
  <c r="C50" i="4"/>
  <c r="F50" i="4"/>
  <c r="H50" i="4"/>
  <c r="G50" i="4"/>
  <c r="B3" i="4"/>
  <c r="F3" i="4"/>
  <c r="G3" i="4"/>
  <c r="C3" i="4"/>
  <c r="B11" i="4"/>
  <c r="F11" i="4"/>
  <c r="G11" i="4"/>
  <c r="C11" i="4"/>
  <c r="H11" i="4"/>
  <c r="B19" i="4"/>
  <c r="F19" i="4"/>
  <c r="G19" i="4"/>
  <c r="C19" i="4"/>
  <c r="H19" i="4"/>
  <c r="G27" i="4"/>
  <c r="B27" i="4"/>
  <c r="F27" i="4"/>
  <c r="C27" i="4"/>
  <c r="H27" i="4"/>
  <c r="B35" i="4"/>
  <c r="F35" i="4"/>
  <c r="C35" i="4"/>
  <c r="H35" i="4"/>
  <c r="G35" i="4"/>
  <c r="B43" i="4"/>
  <c r="F43" i="4"/>
  <c r="G43" i="4"/>
  <c r="C43" i="4"/>
  <c r="H43" i="4"/>
  <c r="G4" i="4"/>
  <c r="B4" i="4"/>
  <c r="C4" i="4"/>
  <c r="F4" i="4"/>
  <c r="F36" i="4"/>
  <c r="G36" i="4"/>
  <c r="B36" i="4"/>
  <c r="H36" i="4"/>
  <c r="C36" i="4"/>
  <c r="B13" i="4"/>
  <c r="C13" i="4"/>
  <c r="F13" i="4"/>
  <c r="G13" i="4"/>
  <c r="H13" i="4"/>
  <c r="H21" i="4"/>
  <c r="C21" i="4"/>
  <c r="F21" i="4"/>
  <c r="G21" i="4"/>
  <c r="B21" i="4"/>
  <c r="B29" i="4"/>
  <c r="C29" i="4"/>
  <c r="F29" i="4"/>
  <c r="G29" i="4"/>
  <c r="H29" i="4"/>
  <c r="B37" i="4"/>
  <c r="C37" i="4"/>
  <c r="F37" i="4"/>
  <c r="G37" i="4"/>
  <c r="H37" i="4"/>
  <c r="C45" i="4"/>
  <c r="F45" i="4"/>
  <c r="G45" i="4"/>
  <c r="H45" i="4"/>
  <c r="B45" i="4"/>
  <c r="B6" i="4"/>
  <c r="C6" i="4"/>
  <c r="F6" i="4"/>
  <c r="G6" i="4"/>
  <c r="B14" i="4"/>
  <c r="C14" i="4"/>
  <c r="H14" i="4"/>
  <c r="F14" i="4"/>
  <c r="G14" i="4"/>
  <c r="B22" i="4"/>
  <c r="C22" i="4"/>
  <c r="F22" i="4"/>
  <c r="G22" i="4"/>
  <c r="H22" i="4"/>
  <c r="B30" i="4"/>
  <c r="C30" i="4"/>
  <c r="H30" i="4"/>
  <c r="F30" i="4"/>
  <c r="G30" i="4"/>
  <c r="B38" i="4"/>
  <c r="H38" i="4"/>
  <c r="C38" i="4"/>
  <c r="F38" i="4"/>
  <c r="G38" i="4"/>
  <c r="H46" i="4"/>
  <c r="B46" i="4"/>
  <c r="C46" i="4"/>
  <c r="F46" i="4"/>
  <c r="G46" i="4"/>
  <c r="C49" i="31"/>
  <c r="C45" i="31"/>
  <c r="C41" i="31"/>
  <c r="C37" i="31"/>
  <c r="C33" i="31"/>
  <c r="C29" i="31"/>
  <c r="C25" i="31"/>
  <c r="C21" i="31"/>
  <c r="C17" i="31"/>
  <c r="C13" i="31"/>
  <c r="C9" i="31"/>
  <c r="C3" i="31"/>
  <c r="D48" i="31"/>
  <c r="D44" i="31"/>
  <c r="D40" i="31"/>
  <c r="D36" i="31"/>
  <c r="D32" i="31"/>
  <c r="D28" i="31"/>
  <c r="D24" i="31"/>
  <c r="D20" i="31"/>
  <c r="D16" i="31"/>
  <c r="D12" i="31"/>
  <c r="D8" i="31"/>
  <c r="D50" i="31"/>
  <c r="D46" i="31"/>
  <c r="D42" i="31"/>
  <c r="D38" i="31"/>
  <c r="D34" i="31"/>
  <c r="D30" i="31"/>
  <c r="D26" i="31"/>
  <c r="D22" i="31"/>
  <c r="D18" i="31"/>
  <c r="D14" i="31"/>
  <c r="D10" i="31"/>
  <c r="D6" i="31"/>
  <c r="D4" i="31"/>
  <c r="D5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G3" i="8" l="1"/>
  <c r="F3" i="8"/>
  <c r="G6" i="8"/>
  <c r="F6" i="8"/>
  <c r="G5" i="8"/>
  <c r="F5" i="8"/>
  <c r="G4" i="8"/>
  <c r="F4" i="8"/>
  <c r="G2" i="8"/>
  <c r="F2" i="8"/>
  <c r="H2" i="4"/>
  <c r="H3" i="4"/>
  <c r="B3" i="8"/>
  <c r="D3" i="8"/>
  <c r="E3" i="8"/>
  <c r="F5" i="7"/>
  <c r="H5" i="7"/>
  <c r="B5" i="7"/>
  <c r="C5" i="7"/>
  <c r="D5" i="7"/>
  <c r="E5" i="7"/>
  <c r="G5" i="7"/>
  <c r="B6" i="8"/>
  <c r="D6" i="8"/>
  <c r="E6" i="8"/>
  <c r="D3" i="7"/>
  <c r="F3" i="7"/>
  <c r="G3" i="7"/>
  <c r="H3" i="7"/>
  <c r="E3" i="7"/>
  <c r="B3" i="7"/>
  <c r="C3" i="7"/>
  <c r="F2" i="7"/>
  <c r="D2" i="7"/>
  <c r="C2" i="7"/>
  <c r="B2" i="7"/>
  <c r="E2" i="7"/>
  <c r="H2" i="7"/>
  <c r="G2" i="7"/>
  <c r="E4" i="8"/>
  <c r="D4" i="8"/>
  <c r="B4" i="8"/>
  <c r="H5" i="4"/>
  <c r="B5" i="8"/>
  <c r="D5" i="8"/>
  <c r="E5" i="8"/>
  <c r="H4" i="4"/>
  <c r="E4" i="7"/>
  <c r="F4" i="7"/>
  <c r="G4" i="7"/>
  <c r="H4" i="7"/>
  <c r="B4" i="7"/>
  <c r="D4" i="7"/>
  <c r="C4" i="7"/>
  <c r="G6" i="7"/>
  <c r="H6" i="7"/>
  <c r="B6" i="7"/>
  <c r="C6" i="7"/>
  <c r="D6" i="7"/>
  <c r="F6" i="7"/>
  <c r="E6" i="7"/>
  <c r="E2" i="8"/>
  <c r="D2" i="8"/>
  <c r="B2" i="8"/>
  <c r="H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48A2E3E1-BD05-4607-BBEB-4E54FAF61891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<sst xmlns="http://schemas.openxmlformats.org/spreadsheetml/2006/main" count="71" uniqueCount="53">
  <si>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</si>
  <si>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</si>
  <si>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</si>
  <si>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</si>
  <si>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</si>
  <si>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</si>
  <si>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</si>
  <si>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</si>
  <si>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</si>
  <si>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</si>
  <si>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</si>
  <si>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</si>
  <si>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</si>
  <si>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</si>
  <si>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</si>
  <si>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</si>
  <si>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</si>
  <si>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</si>
  <si>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</si>
  <si>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</si>
  <si>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</si>
  <si>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</si>
  <si>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</si>
  <si>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</si>
  <si>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Date</t>
  </si>
  <si>
    <t>Website</t>
  </si>
  <si>
    <t>PDF Name Match</t>
  </si>
  <si>
    <t>PDF Link</t>
  </si>
  <si>
    <t>No Data</t>
  </si>
  <si>
    <t>Annual Management Charge</t>
  </si>
  <si>
    <t>Emerging Market Debt</t>
  </si>
  <si>
    <t>Unclassified</t>
  </si>
  <si>
    <t>Cautious Fund</t>
  </si>
  <si>
    <t>Income Fund</t>
  </si>
  <si>
    <t>Balanced Fund</t>
  </si>
  <si>
    <t>Growth Fund</t>
  </si>
  <si>
    <t>Dynamic Fund</t>
  </si>
  <si>
    <t>https://brownshipley.com/en-gb/multi-asset-funds</t>
  </si>
  <si>
    <t>Dropdown</t>
  </si>
  <si>
    <t>Download Fund Factsheet Here</t>
  </si>
  <si>
    <t>1 yr</t>
  </si>
  <si>
    <t>Ongoing Charges Figure†</t>
  </si>
  <si>
    <t>Structured and Global Bonds</t>
  </si>
  <si>
    <t>UK Gilts - Conventional</t>
  </si>
  <si>
    <t>North America Equity</t>
  </si>
  <si>
    <t>Corporate Bonds</t>
  </si>
  <si>
    <t>Hedge and Structured Funds</t>
  </si>
  <si>
    <t>Emerging Markets Equity</t>
  </si>
  <si>
    <t>Commodities</t>
  </si>
  <si>
    <t>UK Equity</t>
  </si>
  <si>
    <t>Europe Equity</t>
  </si>
  <si>
    <t>Japan Equity</t>
  </si>
  <si>
    <t>Far East Ex Japan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</si>
</sst>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15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101699</xdr:colOff>
      <xdr:row>6</xdr:row>
      <xdr:rowOff>95302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1EC99C-73AD-0402-6BD0-9B04C0233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1930499" cy="10160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82550</xdr:rowOff>
    </xdr:from>
    <xdr:to>
      <xdr:col>7</xdr:col>
      <xdr:colOff>121976</xdr:colOff>
      <xdr:row>12</xdr:row>
      <xdr:rowOff>146122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820E469-6440-F955-D8AE-7BBE32F82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371600"/>
          <a:ext cx="4389176" cy="984322"/>
        </a:xfrm>
        <a:prstGeom prst="rect">
          <a:avLst/>
        </a:prstGeom>
      </xdr:spPr>
    </xdr:pic>
    <xdr:clientData/>
  </xdr:twoCellAnchor>
  <xdr:twoCellAnchor editAs="oneCell">
    <xdr:from>
      <xdr:col>0</xdr:col>
      <xdr:colOff>6351</xdr:colOff>
      <xdr:row>13</xdr:row>
      <xdr:rowOff>63500</xdr:rowOff>
    </xdr:from>
    <xdr:to>
      <xdr:col>9</xdr:col>
      <xdr:colOff>396303</xdr:colOff>
      <xdr:row>20</xdr:row>
      <xdr:rowOff>82632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BB4B68C-4763-8369-41D6-E8AC53A9E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1" y="2457450"/>
          <a:ext cx="5876352" cy="1308182"/>
        </a:xfrm>
        <a:prstGeom prst="rect">
          <a:avLst/>
        </a:prstGeom>
      </xdr:spPr>
    </xdr:pic>
    <xdr:clientData/>
  </xdr:twoCellAnchor>
  <xdr:twoCellAnchor editAs="oneCell">
    <xdr:from>
      <xdr:col>7</xdr:col>
      <xdr:colOff>361950</xdr:colOff>
      <xdr:row>1</xdr:row>
      <xdr:rowOff>50648</xdr:rowOff>
    </xdr:from>
    <xdr:to>
      <xdr:col>12</xdr:col>
      <xdr:colOff>108154</xdr:colOff>
      <xdr:row>12</xdr:row>
      <xdr:rowOff>63649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A9DB53B-1018-61AD-B0D5-863D13582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29150" y="234798"/>
          <a:ext cx="2794204" cy="20386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H1"/>
  <sheetViews>
    <sheetView workbookViewId="0">
      <selection activeCell="P12" sqref="P12"/>
    </sheetView>
  </sheetViews>
  <sheetFormatPr defaultRowHeight="14.5" x14ac:dyDescent="0.35"/>
  <sheetData>
    <row r="1" spans="1:8" x14ac:dyDescent="0.35">
      <c r="A1" s="3" t="s">
        <v>22</v>
      </c>
      <c r="H1" s="3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7"/>
  <sheetViews>
    <sheetView workbookViewId="0">
      <selection activeCell="B2" sqref="B2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3"/>
      <c r="D1" s="3"/>
      <c r="E1" s="3"/>
      <c r="F1" s="3"/>
      <c r="G1" s="3"/>
    </row>
    <row r="2" spans="1:10" x14ac:dyDescent="0.35">
      <c r="A2" t="s">
        <v>0</v>
      </c>
      <c r="B2" s="3"/>
      <c r="C2" s="3"/>
      <c r="D2" s="3"/>
      <c r="E2" s="3"/>
      <c r="F2" s="3"/>
      <c r="G2" s="3"/>
    </row>
    <row r="3" spans="1:10" x14ac:dyDescent="0.35">
      <c r="A3" t="s">
        <v>32</v>
      </c>
      <c r="B3">
        <f>'PDF Scraping'!D2</f>
        <v>0</v>
      </c>
      <c r="J3" s="4"/>
    </row>
    <row r="4" spans="1:10" x14ac:dyDescent="0.35">
      <c r="A4" t="s">
        <v>33</v>
      </c>
      <c r="B4">
        <f>'PDF Scraping'!D3</f>
        <v>0</v>
      </c>
      <c r="J4" s="4"/>
    </row>
    <row r="5" spans="1:10" x14ac:dyDescent="0.35">
      <c r="A5" t="s">
        <v>34</v>
      </c>
      <c r="B5">
        <f>'PDF Scraping'!D4</f>
        <v>0</v>
      </c>
    </row>
    <row r="6" spans="1:10" x14ac:dyDescent="0.35">
      <c r="A6" t="s">
        <v>35</v>
      </c>
      <c r="B6">
        <f>'PDF Scraping'!D5</f>
        <v>0</v>
      </c>
    </row>
    <row r="7" spans="1:10" x14ac:dyDescent="0.35">
      <c r="A7" t="s">
        <v>36</v>
      </c>
      <c r="B7">
        <f>'PDF Scraping'!D6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E50"/>
  <sheetViews>
    <sheetView workbookViewId="0">
      <selection activeCell="D1" sqref="D1"/>
    </sheetView>
  </sheetViews>
  <sheetFormatPr defaultRowHeight="14.5" x14ac:dyDescent="0.35"/>
  <cols>
    <col min="1" max="1" width="19.08984375" bestFit="1" customWidth="1"/>
    <col min="2" max="3" width="19.08984375" customWidth="1"/>
    <col min="4" max="4" width="17.36328125" bestFit="1" customWidth="1"/>
    <col min="5" max="5" width="12.90625" bestFit="1" customWidth="1"/>
    <col min="6" max="6" width="5.81640625" bestFit="1" customWidth="1"/>
    <col min="7" max="7" width="21.54296875" bestFit="1" customWidth="1"/>
    <col min="8" max="8" width="13.7265625" bestFit="1" customWidth="1"/>
  </cols>
  <sheetData>
    <row r="1" spans="1:5" x14ac:dyDescent="0.35">
      <c r="B1" t="s">
        <v>24</v>
      </c>
      <c r="C1" t="s">
        <v>41</v>
      </c>
      <c r="D1" t="s">
        <v>29</v>
      </c>
      <c r="E1" t="s">
        <v>40</v>
      </c>
    </row>
    <row r="2" spans="1:5" x14ac:dyDescent="0.35">
      <c r="A2" t="str">
        <f>IF(Input!A3="","",Input!A3)</f>
        <v>Cautious Fund</v>
      </c>
      <c r="B2" s="6"/>
      <c r="C2" s="5"/>
      <c r="D2" s="5"/>
      <c r="E2" s="5"/>
    </row>
    <row r="3" spans="1:5" x14ac:dyDescent="0.35">
      <c r="A3" t="str">
        <f>IF(Input!A4="","",Input!A4)</f>
        <v>Income Fund</v>
      </c>
      <c r="B3" s="6"/>
      <c r="C3" s="5"/>
      <c r="D3" s="5"/>
      <c r="E3" s="5"/>
    </row>
    <row r="4" spans="1:5" x14ac:dyDescent="0.35">
      <c r="A4" t="str">
        <f>IF(Input!A5="","",Input!A5)</f>
        <v>Balanced Fund</v>
      </c>
      <c r="B4" s="6"/>
      <c r="C4" s="5"/>
      <c r="D4" s="5"/>
      <c r="E4" s="5"/>
    </row>
    <row r="5" spans="1:5" x14ac:dyDescent="0.35">
      <c r="A5" t="str">
        <f>IF(Input!A6="","",Input!A6)</f>
        <v>Growth Fund</v>
      </c>
      <c r="B5" s="6"/>
      <c r="C5" s="5"/>
      <c r="D5" s="5"/>
      <c r="E5" s="5"/>
    </row>
    <row r="6" spans="1:5" x14ac:dyDescent="0.35">
      <c r="A6" t="str">
        <f>IF(Input!A7="","",Input!A7)</f>
        <v>Dynamic Fund</v>
      </c>
      <c r="B6" s="6"/>
      <c r="C6" s="5"/>
      <c r="D6" s="5"/>
      <c r="E6" s="5"/>
    </row>
    <row r="7" spans="1:5" x14ac:dyDescent="0.35">
      <c r="A7" t="str">
        <f>IF(Input!A8="","",Input!A8)</f>
        <v/>
      </c>
      <c r="C7" s="5"/>
      <c r="D7" s="5"/>
      <c r="E7" s="5"/>
    </row>
    <row r="8" spans="1:5" x14ac:dyDescent="0.35">
      <c r="A8" t="str">
        <f>IF(Input!A9="","",Input!A9)</f>
        <v/>
      </c>
      <c r="C8" s="5"/>
      <c r="D8" s="5"/>
      <c r="E8" s="5"/>
    </row>
    <row r="9" spans="1:5" x14ac:dyDescent="0.35">
      <c r="A9" t="str">
        <f>IF(Input!A10="","",Input!A10)</f>
        <v/>
      </c>
      <c r="C9" s="5"/>
      <c r="D9" s="5"/>
      <c r="E9" s="5"/>
    </row>
    <row r="10" spans="1:5" x14ac:dyDescent="0.35">
      <c r="A10" t="str">
        <f>IF(Input!A11="","",Input!A11)</f>
        <v/>
      </c>
      <c r="C10" s="5"/>
      <c r="D10" s="5"/>
      <c r="E10" s="5"/>
    </row>
    <row r="11" spans="1:5" x14ac:dyDescent="0.35">
      <c r="A11" t="str">
        <f>IF(Input!A12="","",Input!A12)</f>
        <v/>
      </c>
      <c r="C11" s="5"/>
      <c r="D11" s="5"/>
      <c r="E11" s="5"/>
    </row>
    <row r="12" spans="1:5" x14ac:dyDescent="0.35">
      <c r="A12" t="str">
        <f>IF(Input!A13="","",Input!A13)</f>
        <v/>
      </c>
      <c r="C12" s="5"/>
      <c r="D12" s="5"/>
      <c r="E12" s="5"/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I50"/>
  <sheetViews>
    <sheetView workbookViewId="0">
      <selection activeCell="C3" sqref="C3"/>
    </sheetView>
  </sheetViews>
  <sheetFormatPr defaultRowHeight="14.5" x14ac:dyDescent="0.35"/>
  <cols>
    <col min="1" max="1" width="13.08984375" bestFit="1" customWidth="1"/>
    <col min="2" max="2" width="24.90625" bestFit="1" customWidth="1"/>
    <col min="3" max="3" width="19.90625" bestFit="1" customWidth="1"/>
    <col min="4" max="4" width="18.7265625" bestFit="1" customWidth="1"/>
    <col min="5" max="5" width="15" bestFit="1" customWidth="1"/>
    <col min="6" max="6" width="24.6328125" bestFit="1" customWidth="1"/>
    <col min="7" max="7" width="21.7265625" bestFit="1" customWidth="1"/>
    <col min="8" max="8" width="4.81640625" bestFit="1" customWidth="1"/>
    <col min="9" max="9" width="11.81640625" bestFit="1" customWidth="1"/>
    <col min="10" max="10" width="8.7265625" bestFit="1" customWidth="1"/>
    <col min="11" max="11" width="12.453125" bestFit="1" customWidth="1"/>
    <col min="12" max="12" width="11.26953125" bestFit="1" customWidth="1"/>
    <col min="13" max="13" width="20.81640625" bestFit="1" customWidth="1"/>
    <col min="14" max="14" width="11.81640625" bestFit="1" customWidth="1"/>
    <col min="15" max="15" width="31.1796875" bestFit="1" customWidth="1"/>
    <col min="16" max="16" width="20.90625" bestFit="1" customWidth="1"/>
    <col min="17" max="17" width="34" bestFit="1" customWidth="1"/>
    <col min="18" max="18" width="33.90625" bestFit="1" customWidth="1"/>
    <col min="19" max="19" width="21.36328125" bestFit="1" customWidth="1"/>
    <col min="20" max="20" width="44.81640625" bestFit="1" customWidth="1"/>
    <col min="21" max="21" width="34.26953125" bestFit="1" customWidth="1"/>
    <col min="22" max="22" width="29.36328125" bestFit="1" customWidth="1"/>
    <col min="23" max="23" width="35.453125" bestFit="1" customWidth="1"/>
    <col min="24" max="24" width="35" bestFit="1" customWidth="1"/>
    <col min="25" max="25" width="23.7265625" bestFit="1" customWidth="1"/>
    <col min="26" max="26" width="43.1796875" bestFit="1" customWidth="1"/>
    <col min="27" max="27" width="26.90625" bestFit="1" customWidth="1"/>
    <col min="28" max="28" width="36.453125" bestFit="1" customWidth="1"/>
    <col min="29" max="29" width="38.26953125" bestFit="1" customWidth="1"/>
    <col min="30" max="30" width="5.81640625" bestFit="1" customWidth="1"/>
    <col min="31" max="31" width="30.26953125" bestFit="1" customWidth="1"/>
    <col min="32" max="32" width="27.453125" bestFit="1" customWidth="1"/>
    <col min="33" max="33" width="14.36328125" bestFit="1" customWidth="1"/>
    <col min="34" max="34" width="22.36328125" bestFit="1" customWidth="1"/>
    <col min="35" max="35" width="12.6328125" bestFit="1" customWidth="1"/>
  </cols>
  <sheetData>
    <row r="1" spans="1:35" x14ac:dyDescent="0.35"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18</v>
      </c>
    </row>
    <row r="2" spans="1:35" x14ac:dyDescent="0.35">
      <c r="A2" t="str">
        <f>IF(Input!A3="","",Input!A3)</f>
        <v>Cautious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Y2" s="5"/>
      <c r="Z2" s="5"/>
      <c r="AD2" s="5"/>
      <c r="AE2" s="5"/>
      <c r="AF2" s="5"/>
      <c r="AG2" s="5"/>
      <c r="AH2" s="5"/>
    </row>
    <row r="3" spans="1:35" x14ac:dyDescent="0.35">
      <c r="A3" t="str">
        <f>IF(Input!A4="","",Input!A4)</f>
        <v>Income Fund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Y3" s="5"/>
      <c r="Z3" s="5"/>
      <c r="AD3" s="5"/>
      <c r="AE3" s="5"/>
      <c r="AF3" s="5"/>
      <c r="AG3" s="5"/>
      <c r="AH3" s="5"/>
    </row>
    <row r="4" spans="1:35" x14ac:dyDescent="0.35">
      <c r="A4" t="str">
        <f>IF(Input!A5="","",Input!A5)</f>
        <v>Balanced Fund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5" x14ac:dyDescent="0.35">
      <c r="A5" t="str">
        <f>IF(Input!A6="","",Input!A6)</f>
        <v>Growth Fund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S5" s="5"/>
      <c r="U5" s="5"/>
      <c r="W5" s="5"/>
      <c r="X5" s="5"/>
      <c r="Y5" s="5"/>
      <c r="Z5" s="5"/>
      <c r="AA5" s="5"/>
      <c r="AB5" s="5"/>
      <c r="AC5" s="5"/>
      <c r="AD5" s="5"/>
      <c r="AI5" s="5"/>
    </row>
    <row r="6" spans="1:35" x14ac:dyDescent="0.35">
      <c r="A6" t="str">
        <f>IF(Input!A7="","",Input!A7)</f>
        <v>Dynamic Fund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S6" s="5"/>
      <c r="U6" s="5"/>
      <c r="W6" s="5"/>
      <c r="X6" s="5"/>
      <c r="AA6" s="5"/>
      <c r="AB6" s="5"/>
      <c r="AC6" s="5"/>
      <c r="AD6" s="5"/>
      <c r="AI6" s="5"/>
    </row>
    <row r="7" spans="1:35" x14ac:dyDescent="0.3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35" x14ac:dyDescent="0.3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I8" s="5"/>
    </row>
    <row r="9" spans="1:35" x14ac:dyDescent="0.3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35" x14ac:dyDescent="0.3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35" x14ac:dyDescent="0.3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35" x14ac:dyDescent="0.3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35" x14ac:dyDescent="0.35">
      <c r="A13" t="str">
        <f>IF(Input!A14="","",Input!A14)</f>
        <v/>
      </c>
      <c r="B13" s="5"/>
    </row>
    <row r="14" spans="1:35" x14ac:dyDescent="0.35">
      <c r="A14" t="str">
        <f>IF(Input!A15="","",Input!A15)</f>
        <v/>
      </c>
    </row>
    <row r="15" spans="1:35" x14ac:dyDescent="0.35">
      <c r="A15" t="str">
        <f>IF(Input!A16="","",Input!A16)</f>
        <v/>
      </c>
    </row>
    <row r="16" spans="1:3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6B3ED-526A-4627-A977-7F0DB3C3FE4A}">
  <sheetPr codeName="Sheet5">
    <tabColor theme="5" tint="0.79998168889431442"/>
  </sheetPr>
  <dimension ref="A1:E50"/>
  <sheetViews>
    <sheetView tabSelected="1" workbookViewId="0">
      <selection activeCell="F7" sqref="F7"/>
    </sheetView>
  </sheetViews>
  <sheetFormatPr defaultRowHeight="14.5" x14ac:dyDescent="0.35"/>
  <cols>
    <col min="1" max="1" width="30" bestFit="1" customWidth="1"/>
    <col min="2" max="2" width="44.26953125" bestFit="1" customWidth="1"/>
    <col min="3" max="3" width="27.1796875" bestFit="1" customWidth="1"/>
    <col min="4" max="4" width="8.7265625" style="7"/>
  </cols>
  <sheetData>
    <row r="1" spans="1:5" x14ac:dyDescent="0.35">
      <c r="A1" t="s">
        <v>0</v>
      </c>
      <c r="B1" t="s">
        <v>25</v>
      </c>
      <c r="C1" t="s">
        <v>26</v>
      </c>
      <c r="D1" s="7" t="s">
        <v>27</v>
      </c>
      <c r="E1" s="3" t="s">
        <v>38</v>
      </c>
    </row>
    <row r="2" spans="1:5" x14ac:dyDescent="0.35">
      <c r="A2" t="str">
        <f>IF(Input!A3="","",Input!A3)</f>
        <v>Cautious Fund</v>
      </c>
      <c r="B2" t="s">
        <v>37</v>
      </c>
      <c r="C2" t="s">
        <v>39</v>
      </c>
      <c r="E2" t="s">
        <v>32</v>
      </c>
    </row>
    <row r="3" spans="1:5" x14ac:dyDescent="0.35">
      <c r="A3" t="str">
        <f>IF(Input!A4="","",Input!A4)</f>
        <v>Income Fund</v>
      </c>
      <c r="B3" t="s">
        <v>37</v>
      </c>
      <c r="C3" t="s">
        <v>39</v>
      </c>
      <c r="E3" t="s">
        <v>33</v>
      </c>
    </row>
    <row r="4" spans="1:5" x14ac:dyDescent="0.35">
      <c r="A4" t="str">
        <f>IF(Input!A5="","",Input!A5)</f>
        <v>Balanced Fund</v>
      </c>
      <c r="B4" t="s">
        <v>37</v>
      </c>
      <c r="C4" t="s">
        <v>39</v>
      </c>
      <c r="E4" t="s">
        <v>34</v>
      </c>
    </row>
    <row r="5" spans="1:5" x14ac:dyDescent="0.35">
      <c r="A5" t="str">
        <f>IF(Input!A6="","",Input!A6)</f>
        <v>Growth Fund</v>
      </c>
      <c r="B5" t="s">
        <v>37</v>
      </c>
      <c r="C5" t="s">
        <v>39</v>
      </c>
      <c r="E5" t="s">
        <v>35</v>
      </c>
    </row>
    <row r="6" spans="1:5" x14ac:dyDescent="0.35">
      <c r="A6" t="str">
        <f>IF(Input!A7="","",Input!A7)</f>
        <v>Dynamic Fund</v>
      </c>
      <c r="B6" t="s">
        <v>37</v>
      </c>
      <c r="C6" t="s">
        <v>39</v>
      </c>
      <c r="E6" t="s">
        <v>36</v>
      </c>
    </row>
    <row r="7" spans="1:5" x14ac:dyDescent="0.35">
      <c r="A7" t="str">
        <f>IF(Input!A8="","",Input!A8)</f>
        <v/>
      </c>
    </row>
    <row r="8" spans="1:5" x14ac:dyDescent="0.35">
      <c r="A8" t="str">
        <f>IF(Input!A9="","",Input!A9)</f>
        <v/>
      </c>
    </row>
    <row r="9" spans="1:5" x14ac:dyDescent="0.35">
      <c r="A9" t="str">
        <f>IF(Input!A10="","",Input!A10)</f>
        <v/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9094F-D043-40C4-B373-6AE5C6FC4BCA}">
  <sheetPr codeName="Sheet6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Cautious Fund</v>
      </c>
      <c r="B2" s="1">
        <f>IF(A2="","",'Additional Information'!B2)</f>
        <v>0</v>
      </c>
    </row>
    <row r="3" spans="1:2" x14ac:dyDescent="0.35">
      <c r="A3" t="str">
        <f>IF(Input!A4="","",Input!A4)</f>
        <v>Income Fund</v>
      </c>
      <c r="B3" s="1">
        <f>IF(A3="","",'Additional Information'!B3)</f>
        <v>0</v>
      </c>
    </row>
    <row r="4" spans="1:2" x14ac:dyDescent="0.35">
      <c r="A4" t="str">
        <f>IF(Input!A5="","",Input!A5)</f>
        <v>Balanced Fund</v>
      </c>
      <c r="B4" s="1">
        <f>IF(A4="","",'Additional Information'!B4)</f>
        <v>0</v>
      </c>
    </row>
    <row r="5" spans="1:2" x14ac:dyDescent="0.35">
      <c r="A5" t="str">
        <f>IF(Input!A6="","",Input!A6)</f>
        <v>Growth Fund</v>
      </c>
      <c r="B5" s="1">
        <f>IF(A5="","",'Additional Information'!B5)</f>
        <v>0</v>
      </c>
    </row>
    <row r="6" spans="1:2" x14ac:dyDescent="0.35">
      <c r="A6" t="str">
        <f>IF(Input!A7="","",Input!A7)</f>
        <v>Dynamic Fund</v>
      </c>
      <c r="B6" s="1">
        <f>IF(A6="","",'Additional Information'!B6)</f>
        <v>0</v>
      </c>
    </row>
    <row r="7" spans="1:2" x14ac:dyDescent="0.35">
      <c r="A7" t="str">
        <f>IF(Input!A8="","",Input!A8)</f>
        <v/>
      </c>
      <c r="B7" s="1" t="str">
        <f>IF(A7="","",'Additional Information'!B7)</f>
        <v/>
      </c>
    </row>
    <row r="8" spans="1:2" x14ac:dyDescent="0.35">
      <c r="A8" t="str">
        <f>IF(Input!A9="","",Input!A9)</f>
        <v/>
      </c>
      <c r="B8" s="1" t="str">
        <f>IF(A8="","",'Additional Information'!B8)</f>
        <v/>
      </c>
    </row>
    <row r="9" spans="1:2" x14ac:dyDescent="0.35">
      <c r="A9" t="str">
        <f>IF(Input!A10="","",Input!A10)</f>
        <v/>
      </c>
      <c r="B9" s="1" t="str">
        <f>IF(A9="","",'Additional Information'!B9)</f>
        <v/>
      </c>
    </row>
    <row r="10" spans="1:2" x14ac:dyDescent="0.35">
      <c r="A10" t="str">
        <f>IF(Input!A11="","",Input!A11)</f>
        <v/>
      </c>
      <c r="B10" s="1" t="str">
        <f>IF(A10="","",'Additional Information'!B10)</f>
        <v/>
      </c>
    </row>
    <row r="11" spans="1:2" x14ac:dyDescent="0.35">
      <c r="A11" t="str">
        <f>IF(Input!A12="","",Input!A12)</f>
        <v/>
      </c>
      <c r="B11" s="1" t="str">
        <f>IF(A11="","",'Additional Information'!B11)</f>
        <v/>
      </c>
    </row>
    <row r="12" spans="1:2" x14ac:dyDescent="0.35">
      <c r="A12" t="str">
        <f>IF(Input!A13="","",Input!A13)</f>
        <v/>
      </c>
      <c r="B12" s="1" t="str">
        <f>IF(A12="","",'Additional Information'!B12)</f>
        <v/>
      </c>
    </row>
    <row r="13" spans="1:2" x14ac:dyDescent="0.35">
      <c r="A13" t="str">
        <f>IF(Input!A14="","",Input!A14)</f>
        <v/>
      </c>
      <c r="B13" s="1" t="str">
        <f>IF(A13="","",'Additional Information'!B13)</f>
        <v/>
      </c>
    </row>
    <row r="14" spans="1:2" x14ac:dyDescent="0.35">
      <c r="A14" t="str">
        <f>IF(Input!A15="","",Input!A15)</f>
        <v/>
      </c>
      <c r="B14" s="1" t="str">
        <f>IF(A14="","",'Additional Information'!B14)</f>
        <v/>
      </c>
    </row>
    <row r="15" spans="1:2" x14ac:dyDescent="0.35">
      <c r="A15" t="str">
        <f>IF(Input!A16="","",Input!A16)</f>
        <v/>
      </c>
      <c r="B15" s="1" t="str">
        <f>IF(A15="","",'Additional Information'!B15)</f>
        <v/>
      </c>
    </row>
    <row r="16" spans="1:2" x14ac:dyDescent="0.35">
      <c r="A16" t="str">
        <f>IF(Input!A17="","",Input!A17)</f>
        <v/>
      </c>
      <c r="B16" s="1" t="str">
        <f>IF(A16="","",'Additional Information'!B16)</f>
        <v/>
      </c>
    </row>
    <row r="17" spans="1:2" x14ac:dyDescent="0.35">
      <c r="A17" t="str">
        <f>IF(Input!A18="","",Input!A18)</f>
        <v/>
      </c>
      <c r="B17" s="1" t="str">
        <f>IF(A17="","",'Additional Information'!B17)</f>
        <v/>
      </c>
    </row>
    <row r="18" spans="1:2" x14ac:dyDescent="0.35">
      <c r="A18" t="str">
        <f>IF(Input!A19="","",Input!A19)</f>
        <v/>
      </c>
      <c r="B18" s="1" t="str">
        <f>IF(A18="","",'Additional Information'!B18)</f>
        <v/>
      </c>
    </row>
    <row r="19" spans="1:2" x14ac:dyDescent="0.35">
      <c r="A19" t="str">
        <f>IF(Input!A20="","",Input!A20)</f>
        <v/>
      </c>
      <c r="B19" s="1" t="str">
        <f>IF(A19="","",'Additional Information'!B19)</f>
        <v/>
      </c>
    </row>
    <row r="20" spans="1:2" x14ac:dyDescent="0.35">
      <c r="A20" t="str">
        <f>IF(Input!A21="","",Input!A21)</f>
        <v/>
      </c>
      <c r="B20" s="1" t="str">
        <f>IF(A20="","",'Additional Information'!B20)</f>
        <v/>
      </c>
    </row>
    <row r="21" spans="1:2" x14ac:dyDescent="0.35">
      <c r="A21" t="str">
        <f>IF(Input!A22="","",Input!A22)</f>
        <v/>
      </c>
      <c r="B21" s="1" t="str">
        <f>IF(A21="","",'Additional Information'!B21)</f>
        <v/>
      </c>
    </row>
    <row r="22" spans="1:2" x14ac:dyDescent="0.35">
      <c r="A22" t="str">
        <f>IF(Input!A23="","",Input!A23)</f>
        <v/>
      </c>
      <c r="B22" s="1" t="str">
        <f>IF(A22="","",'Additional Information'!B22)</f>
        <v/>
      </c>
    </row>
    <row r="23" spans="1:2" x14ac:dyDescent="0.35">
      <c r="A23" t="str">
        <f>IF(Input!A24="","",Input!A24)</f>
        <v/>
      </c>
      <c r="B23" s="1" t="str">
        <f>IF(A23="","",'Additional Information'!B23)</f>
        <v/>
      </c>
    </row>
    <row r="24" spans="1:2" x14ac:dyDescent="0.35">
      <c r="A24" t="str">
        <f>IF(Input!A25="","",Input!A25)</f>
        <v/>
      </c>
      <c r="B24" s="1" t="str">
        <f>IF(A24="","",'Additional Information'!B24)</f>
        <v/>
      </c>
    </row>
    <row r="25" spans="1:2" x14ac:dyDescent="0.35">
      <c r="A25" t="str">
        <f>IF(Input!A26="","",Input!A26)</f>
        <v/>
      </c>
      <c r="B25" s="1" t="str">
        <f>IF(A25="","",'Additional Information'!B25)</f>
        <v/>
      </c>
    </row>
    <row r="26" spans="1:2" x14ac:dyDescent="0.35">
      <c r="A26" t="str">
        <f>IF(Input!A27="","",Input!A27)</f>
        <v/>
      </c>
      <c r="B26" s="1" t="str">
        <f>IF(A26="","",'Additional Information'!B26)</f>
        <v/>
      </c>
    </row>
    <row r="27" spans="1:2" x14ac:dyDescent="0.35">
      <c r="A27" t="str">
        <f>IF(Input!A28="","",Input!A28)</f>
        <v/>
      </c>
      <c r="B27" s="1" t="str">
        <f>IF(A27="","",'Additional Information'!B27)</f>
        <v/>
      </c>
    </row>
    <row r="28" spans="1:2" x14ac:dyDescent="0.35">
      <c r="A28" t="str">
        <f>IF(Input!A29="","",Input!A29)</f>
        <v/>
      </c>
      <c r="B28" s="1" t="str">
        <f>IF(A28="","",'Additional Information'!B28)</f>
        <v/>
      </c>
    </row>
    <row r="29" spans="1:2" x14ac:dyDescent="0.35">
      <c r="A29" t="str">
        <f>IF(Input!A30="","",Input!A30)</f>
        <v/>
      </c>
      <c r="B29" s="1" t="str">
        <f>IF(A29="","",'Additional Information'!B29)</f>
        <v/>
      </c>
    </row>
    <row r="30" spans="1:2" x14ac:dyDescent="0.35">
      <c r="A30" t="str">
        <f>IF(Input!A31="","",Input!A31)</f>
        <v/>
      </c>
      <c r="B30" s="1" t="str">
        <f>IF(A30="","",'Additional Information'!B30)</f>
        <v/>
      </c>
    </row>
    <row r="31" spans="1:2" x14ac:dyDescent="0.35">
      <c r="A31" t="str">
        <f>IF(Input!A32="","",Input!A32)</f>
        <v/>
      </c>
      <c r="B31" s="1" t="str">
        <f>IF(A31="","",'Additional Information'!B31)</f>
        <v/>
      </c>
    </row>
    <row r="32" spans="1:2" x14ac:dyDescent="0.35">
      <c r="A32" t="str">
        <f>IF(Input!A33="","",Input!A33)</f>
        <v/>
      </c>
      <c r="B32" s="1" t="str">
        <f>IF(A32="","",'Additional Information'!B32)</f>
        <v/>
      </c>
    </row>
    <row r="33" spans="1:2" x14ac:dyDescent="0.35">
      <c r="A33" t="str">
        <f>IF(Input!A34="","",Input!A34)</f>
        <v/>
      </c>
      <c r="B33" s="1" t="str">
        <f>IF(A33="","",'Additional Information'!B33)</f>
        <v/>
      </c>
    </row>
    <row r="34" spans="1:2" x14ac:dyDescent="0.35">
      <c r="A34" t="str">
        <f>IF(Input!A35="","",Input!A35)</f>
        <v/>
      </c>
      <c r="B34" s="1" t="str">
        <f>IF(A34="","",'Additional Information'!B34)</f>
        <v/>
      </c>
    </row>
    <row r="35" spans="1:2" x14ac:dyDescent="0.35">
      <c r="A35" t="str">
        <f>IF(Input!A36="","",Input!A36)</f>
        <v/>
      </c>
      <c r="B35" s="1" t="str">
        <f>IF(A35="","",'Additional Information'!B35)</f>
        <v/>
      </c>
    </row>
    <row r="36" spans="1:2" x14ac:dyDescent="0.35">
      <c r="A36" t="str">
        <f>IF(Input!A37="","",Input!A37)</f>
        <v/>
      </c>
      <c r="B36" s="1" t="str">
        <f>IF(A36="","",'Additional Information'!B36)</f>
        <v/>
      </c>
    </row>
    <row r="37" spans="1:2" x14ac:dyDescent="0.35">
      <c r="A37" t="str">
        <f>IF(Input!A38="","",Input!A38)</f>
        <v/>
      </c>
      <c r="B37" s="1" t="str">
        <f>IF(A37="","",'Additional Information'!B37)</f>
        <v/>
      </c>
    </row>
    <row r="38" spans="1:2" x14ac:dyDescent="0.35">
      <c r="A38" t="str">
        <f>IF(Input!A39="","",Input!A39)</f>
        <v/>
      </c>
      <c r="B38" s="1" t="str">
        <f>IF(A38="","",'Additional Information'!B38)</f>
        <v/>
      </c>
    </row>
    <row r="39" spans="1:2" x14ac:dyDescent="0.35">
      <c r="A39" t="str">
        <f>IF(Input!A40="","",Input!A40)</f>
        <v/>
      </c>
      <c r="B39" s="1" t="str">
        <f>IF(A39="","",'Additional Information'!B39)</f>
        <v/>
      </c>
    </row>
    <row r="40" spans="1:2" x14ac:dyDescent="0.35">
      <c r="A40" t="str">
        <f>IF(Input!A41="","",Input!A41)</f>
        <v/>
      </c>
      <c r="B40" s="1" t="str">
        <f>IF(A40="","",'Additional Information'!B40)</f>
        <v/>
      </c>
    </row>
    <row r="41" spans="1:2" x14ac:dyDescent="0.35">
      <c r="A41" t="str">
        <f>IF(Input!A42="","",Input!A42)</f>
        <v/>
      </c>
      <c r="B41" s="1" t="str">
        <f>IF(A41="","",'Additional Information'!B41)</f>
        <v/>
      </c>
    </row>
    <row r="42" spans="1:2" x14ac:dyDescent="0.35">
      <c r="A42" t="str">
        <f>IF(Input!A43="","",Input!A43)</f>
        <v/>
      </c>
      <c r="B42" s="1" t="str">
        <f>IF(A42="","",'Additional Information'!B42)</f>
        <v/>
      </c>
    </row>
    <row r="43" spans="1:2" x14ac:dyDescent="0.35">
      <c r="A43" t="str">
        <f>IF(Input!A44="","",Input!A44)</f>
        <v/>
      </c>
      <c r="B43" s="1" t="str">
        <f>IF(A43="","",'Additional Information'!B43)</f>
        <v/>
      </c>
    </row>
    <row r="44" spans="1:2" x14ac:dyDescent="0.35">
      <c r="A44" t="str">
        <f>IF(Input!A45="","",Input!A45)</f>
        <v/>
      </c>
      <c r="B44" s="1" t="str">
        <f>IF(A44="","",'Additional Information'!B44)</f>
        <v/>
      </c>
    </row>
    <row r="45" spans="1:2" x14ac:dyDescent="0.35">
      <c r="A45" t="str">
        <f>IF(Input!A46="","",Input!A46)</f>
        <v/>
      </c>
      <c r="B45" s="1" t="str">
        <f>IF(A45="","",'Additional Information'!B45)</f>
        <v/>
      </c>
    </row>
    <row r="46" spans="1:2" x14ac:dyDescent="0.35">
      <c r="A46" t="str">
        <f>IF(Input!A47="","",Input!A47)</f>
        <v/>
      </c>
      <c r="B46" s="1" t="str">
        <f>IF(A46="","",'Additional Information'!B46)</f>
        <v/>
      </c>
    </row>
    <row r="47" spans="1:2" x14ac:dyDescent="0.35">
      <c r="A47" t="str">
        <f>IF(Input!A48="","",Input!A48)</f>
        <v/>
      </c>
      <c r="B47" s="1" t="str">
        <f>IF(A47="","",'Additional Information'!B47)</f>
        <v/>
      </c>
    </row>
    <row r="48" spans="1:2" x14ac:dyDescent="0.35">
      <c r="A48" t="str">
        <f>IF(Input!A49="","",Input!A49)</f>
        <v/>
      </c>
      <c r="B48" s="1" t="str">
        <f>IF(A48="","",'Additional Information'!B48)</f>
        <v/>
      </c>
    </row>
    <row r="49" spans="1:2" x14ac:dyDescent="0.35">
      <c r="A49" t="str">
        <f>IF(Input!A50="","",Input!A50)</f>
        <v/>
      </c>
      <c r="B49" s="1" t="str">
        <f>IF(A49="","",'Additional Information'!B49)</f>
        <v/>
      </c>
    </row>
    <row r="50" spans="1:2" x14ac:dyDescent="0.3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7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23</v>
      </c>
      <c r="C1" t="s">
        <v>19</v>
      </c>
      <c r="D1" t="s">
        <v>20</v>
      </c>
      <c r="E1" t="s">
        <v>29</v>
      </c>
    </row>
    <row r="2" spans="1:5" x14ac:dyDescent="0.35">
      <c r="A2" t="str">
        <f>IF(Input!A3="","",Input!A3)</f>
        <v>Cautious Fund</v>
      </c>
      <c r="C2">
        <f>IF(A2="","",'Additional Information'!C2)</f>
        <v>0</v>
      </c>
      <c r="D2">
        <f>IF(A2="","",SUM('Additional Information'!D2,'Additional Information'!E2))</f>
        <v>0</v>
      </c>
      <c r="E2">
        <f>IF(A2="","",SUM('Additional Information'!E2))</f>
        <v>0</v>
      </c>
    </row>
    <row r="3" spans="1:5" x14ac:dyDescent="0.35">
      <c r="A3" t="str">
        <f>IF(Input!A4="","",Input!A4)</f>
        <v>Income Fund</v>
      </c>
      <c r="C3">
        <f>IF(A3="","",'Additional Information'!C3)</f>
        <v>0</v>
      </c>
      <c r="D3">
        <f>IF(A3="","",SUM('Additional Information'!D3,'Additional Information'!E3))</f>
        <v>0</v>
      </c>
      <c r="E3">
        <f>IF(A3="","",SUM('Additional Information'!E3))</f>
        <v>0</v>
      </c>
    </row>
    <row r="4" spans="1:5" x14ac:dyDescent="0.35">
      <c r="A4" t="str">
        <f>IF(Input!A5="","",Input!A5)</f>
        <v>Balanced Fund</v>
      </c>
      <c r="C4">
        <f>IF(A4="","",'Additional Information'!C4)</f>
        <v>0</v>
      </c>
      <c r="D4">
        <f>IF(A4="","",SUM('Additional Information'!D4,'Additional Information'!E4))</f>
        <v>0</v>
      </c>
      <c r="E4">
        <f>IF(A4="","",SUM('Additional Information'!E4))</f>
        <v>0</v>
      </c>
    </row>
    <row r="5" spans="1:5" x14ac:dyDescent="0.35">
      <c r="A5" t="str">
        <f>IF(Input!A6="","",Input!A6)</f>
        <v>Growth Fund</v>
      </c>
      <c r="C5">
        <f>IF(A5="","",'Additional Information'!C5)</f>
        <v>0</v>
      </c>
      <c r="D5">
        <f>IF(A5="","",SUM('Additional Information'!D5,'Additional Information'!E5))</f>
        <v>0</v>
      </c>
      <c r="E5">
        <f>IF(A5="","",SUM('Additional Information'!E5))</f>
        <v>0</v>
      </c>
    </row>
    <row r="6" spans="1:5" x14ac:dyDescent="0.35">
      <c r="A6" t="str">
        <f>IF(Input!A7="","",Input!A7)</f>
        <v>Dynamic Fund</v>
      </c>
      <c r="C6">
        <f>IF(A6="","",'Additional Information'!C6)</f>
        <v>0</v>
      </c>
      <c r="D6">
        <f>IF(A6="","",SUM('Additional Information'!D6,'Additional Information'!E6))</f>
        <v>0</v>
      </c>
      <c r="E6">
        <f>IF(A6="","",SUM('Additional Information'!E6))</f>
        <v>0</v>
      </c>
    </row>
    <row r="7" spans="1:5" x14ac:dyDescent="0.35">
      <c r="A7" t="str">
        <f>IF(Input!A8="","",Input!A8)</f>
        <v/>
      </c>
      <c r="C7" t="str">
        <f>IF(A7="","",'Additional Information'!C7)</f>
        <v/>
      </c>
      <c r="D7" t="str">
        <f>IF(A7="","",SUM('Additional Information'!D7,'Additional Information'!E7))</f>
        <v/>
      </c>
      <c r="E7" t="str">
        <f>IF(A7="","",SUM('Additional Information'!E7))</f>
        <v/>
      </c>
    </row>
    <row r="8" spans="1:5" x14ac:dyDescent="0.35">
      <c r="A8" t="str">
        <f>IF(Input!A9="","",Input!A9)</f>
        <v/>
      </c>
      <c r="C8" t="str">
        <f>IF(A8="","",'Additional Information'!C8)</f>
        <v/>
      </c>
      <c r="D8" t="str">
        <f>IF(A8="","",SUM('Additional Information'!D8,'Additional Information'!E8))</f>
        <v/>
      </c>
      <c r="E8" t="str">
        <f>IF(A8="","",SUM('Additional Information'!E8))</f>
        <v/>
      </c>
    </row>
    <row r="9" spans="1:5" x14ac:dyDescent="0.35">
      <c r="A9" t="str">
        <f>IF(Input!A10="","",Input!A10)</f>
        <v/>
      </c>
      <c r="C9" t="str">
        <f>IF(A9="","",'Additional Information'!C9)</f>
        <v/>
      </c>
      <c r="D9" t="str">
        <f>IF(A9="","",SUM('Additional Information'!D9,'Additional Information'!E9))</f>
        <v/>
      </c>
      <c r="E9" t="str">
        <f>IF(A9="","",SUM('Additional Information'!E9))</f>
        <v/>
      </c>
    </row>
    <row r="10" spans="1:5" x14ac:dyDescent="0.35">
      <c r="A10" t="str">
        <f>IF(Input!A11="","",Input!A11)</f>
        <v/>
      </c>
      <c r="C10" t="str">
        <f>IF(A10="","",'Additional Information'!C10)</f>
        <v/>
      </c>
      <c r="D10" t="str">
        <f>IF(A10="","",SUM('Additional Information'!D10,'Additional Information'!E10))</f>
        <v/>
      </c>
      <c r="E10" t="str">
        <f>IF(A10="","",SUM('Additional Information'!E10))</f>
        <v/>
      </c>
    </row>
    <row r="11" spans="1:5" x14ac:dyDescent="0.35">
      <c r="A11" t="str">
        <f>IF(Input!A12="","",Input!A12)</f>
        <v/>
      </c>
      <c r="C11" t="str">
        <f>IF(A11="","",'Additional Information'!C11)</f>
        <v/>
      </c>
      <c r="D11" t="str">
        <f>IF(A11="","",SUM('Additional Information'!D11,'Additional Information'!E11))</f>
        <v/>
      </c>
      <c r="E11" t="str">
        <f>IF(A11="","",SUM('Additional Information'!E11))</f>
        <v/>
      </c>
    </row>
    <row r="12" spans="1:5" x14ac:dyDescent="0.35">
      <c r="A12" t="str">
        <f>IF(Input!A13="","",Input!A13)</f>
        <v/>
      </c>
      <c r="C12" t="str">
        <f>IF(A12="","",'Additional Information'!C12)</f>
        <v/>
      </c>
      <c r="D12" t="str">
        <f>IF(A12="","",SUM('Additional Information'!D12,'Additional Information'!E12))</f>
        <v/>
      </c>
      <c r="E12" t="str">
        <f>IF(A12="","",SUM('Additional Information'!E12))</f>
        <v/>
      </c>
    </row>
    <row r="13" spans="1:5" x14ac:dyDescent="0.35">
      <c r="A13" t="str">
        <f>IF(Input!A14="","",Input!A14)</f>
        <v/>
      </c>
      <c r="C13" t="str">
        <f>IF(A13="","",'Additional Information'!C13)</f>
        <v/>
      </c>
      <c r="D13" t="str">
        <f>IF(A13="","",SUM('Additional Information'!D13,'Additional Information'!E13))</f>
        <v/>
      </c>
      <c r="E13" t="str">
        <f>IF(A13="","",SUM('Additional Information'!E13))</f>
        <v/>
      </c>
    </row>
    <row r="14" spans="1:5" x14ac:dyDescent="0.35">
      <c r="A14" t="str">
        <f>IF(Input!A15="","",Input!A15)</f>
        <v/>
      </c>
      <c r="C14" t="str">
        <f>IF(A14="","",'Additional Information'!C14)</f>
        <v/>
      </c>
      <c r="D14" t="str">
        <f>IF(A14="","",SUM('Additional Information'!D14,'Additional Information'!E14))</f>
        <v/>
      </c>
      <c r="E14" t="str">
        <f>IF(A14="","",SUM('Additional Information'!E14))</f>
        <v/>
      </c>
    </row>
    <row r="15" spans="1:5" x14ac:dyDescent="0.35">
      <c r="A15" t="str">
        <f>IF(Input!A16="","",Input!A16)</f>
        <v/>
      </c>
      <c r="C15" t="str">
        <f>IF(A15="","",'Additional Information'!C15)</f>
        <v/>
      </c>
      <c r="D15" t="str">
        <f>IF(A15="","",SUM('Additional Information'!D15,'Additional Information'!E15))</f>
        <v/>
      </c>
      <c r="E15" t="str">
        <f>IF(A15="","",SUM('Additional Information'!E15))</f>
        <v/>
      </c>
    </row>
    <row r="16" spans="1:5" x14ac:dyDescent="0.35">
      <c r="A16" t="str">
        <f>IF(Input!A17="","",Input!A17)</f>
        <v/>
      </c>
      <c r="C16" t="str">
        <f>IF(A16="","",'Additional Information'!C16)</f>
        <v/>
      </c>
      <c r="D16" t="str">
        <f>IF(A16="","",SUM('Additional Information'!D16,'Additional Information'!E16))</f>
        <v/>
      </c>
      <c r="E16" t="str">
        <f>IF(A16="","",SUM('Additional Information'!E16))</f>
        <v/>
      </c>
    </row>
    <row r="17" spans="1:5" x14ac:dyDescent="0.35">
      <c r="A17" t="str">
        <f>IF(Input!A18="","",Input!A18)</f>
        <v/>
      </c>
      <c r="C17" t="str">
        <f>IF(A17="","",'Additional Information'!C17)</f>
        <v/>
      </c>
      <c r="D17" t="str">
        <f>IF(A17="","",SUM('Additional Information'!D17,'Additional Information'!E17))</f>
        <v/>
      </c>
      <c r="E17" t="str">
        <f>IF(A17="","",SUM('Additional Information'!E17))</f>
        <v/>
      </c>
    </row>
    <row r="18" spans="1:5" x14ac:dyDescent="0.35">
      <c r="A18" t="str">
        <f>IF(Input!A19="","",Input!A19)</f>
        <v/>
      </c>
      <c r="C18" t="str">
        <f>IF(A18="","",'Additional Information'!C18)</f>
        <v/>
      </c>
      <c r="D18" t="str">
        <f>IF(A18="","",SUM('Additional Information'!D18,'Additional Information'!E18))</f>
        <v/>
      </c>
      <c r="E18" t="str">
        <f>IF(A18="","",SUM('Additional Information'!E18))</f>
        <v/>
      </c>
    </row>
    <row r="19" spans="1:5" x14ac:dyDescent="0.3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Information'!D19,'Additional Information'!E19))</f>
        <v/>
      </c>
      <c r="E19" t="str">
        <f>IF(A19="","",SUM('Additional Information'!E19))</f>
        <v/>
      </c>
    </row>
    <row r="20" spans="1:5" x14ac:dyDescent="0.3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Information'!D20,'Additional Information'!E20))</f>
        <v/>
      </c>
      <c r="E20" t="str">
        <f>IF(A20="","",SUM('Additional Information'!E20))</f>
        <v/>
      </c>
    </row>
    <row r="21" spans="1:5" x14ac:dyDescent="0.3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Information'!D21,'Additional Information'!E21))</f>
        <v/>
      </c>
      <c r="E21" t="str">
        <f>IF(A21="","",SUM('Additional Information'!E21))</f>
        <v/>
      </c>
    </row>
    <row r="22" spans="1:5" x14ac:dyDescent="0.3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Information'!D22,'Additional Information'!E22))</f>
        <v/>
      </c>
      <c r="E22" t="str">
        <f>IF(A22="","",SUM('Additional Information'!E22))</f>
        <v/>
      </c>
    </row>
    <row r="23" spans="1:5" x14ac:dyDescent="0.3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Information'!D23,'Additional Information'!E23))</f>
        <v/>
      </c>
      <c r="E23" t="str">
        <f>IF(A23="","",SUM('Additional Information'!E23))</f>
        <v/>
      </c>
    </row>
    <row r="24" spans="1:5" x14ac:dyDescent="0.3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Information'!D24,'Additional Information'!E24))</f>
        <v/>
      </c>
      <c r="E24" t="str">
        <f>IF(A24="","",SUM('Additional Information'!E24))</f>
        <v/>
      </c>
    </row>
    <row r="25" spans="1:5" x14ac:dyDescent="0.3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Information'!D25,'Additional Information'!E25))</f>
        <v/>
      </c>
      <c r="E25" t="str">
        <f>IF(A25="","",SUM('Additional Information'!E25))</f>
        <v/>
      </c>
    </row>
    <row r="26" spans="1:5" x14ac:dyDescent="0.3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Information'!D26,'Additional Information'!E26))</f>
        <v/>
      </c>
      <c r="E26" t="str">
        <f>IF(A26="","",SUM('Additional Information'!E26))</f>
        <v/>
      </c>
    </row>
    <row r="27" spans="1:5" x14ac:dyDescent="0.3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Information'!D27,'Additional Information'!E27))</f>
        <v/>
      </c>
      <c r="E27" t="str">
        <f>IF(A27="","",SUM('Additional Information'!E27))</f>
        <v/>
      </c>
    </row>
    <row r="28" spans="1:5" x14ac:dyDescent="0.3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Information'!D28,'Additional Information'!E28))</f>
        <v/>
      </c>
      <c r="E28" t="str">
        <f>IF(A28="","",SUM('Additional Information'!E28))</f>
        <v/>
      </c>
    </row>
    <row r="29" spans="1:5" x14ac:dyDescent="0.3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Information'!D29,'Additional Information'!E29))</f>
        <v/>
      </c>
      <c r="E29" t="str">
        <f>IF(A29="","",SUM('Additional Information'!E29))</f>
        <v/>
      </c>
    </row>
    <row r="30" spans="1:5" x14ac:dyDescent="0.3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Information'!D30,'Additional Information'!E30))</f>
        <v/>
      </c>
      <c r="E30" t="str">
        <f>IF(A30="","",SUM('Additional Information'!E30))</f>
        <v/>
      </c>
    </row>
    <row r="31" spans="1:5" x14ac:dyDescent="0.3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Information'!D31,'Additional Information'!E31))</f>
        <v/>
      </c>
      <c r="E31" t="str">
        <f>IF(A31="","",SUM('Additional Information'!E31))</f>
        <v/>
      </c>
    </row>
    <row r="32" spans="1:5" x14ac:dyDescent="0.3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Information'!D32,'Additional Information'!E32))</f>
        <v/>
      </c>
      <c r="E32" t="str">
        <f>IF(A32="","",SUM('Additional Information'!E32))</f>
        <v/>
      </c>
    </row>
    <row r="33" spans="1:5" x14ac:dyDescent="0.3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Information'!D33,'Additional Information'!E33))</f>
        <v/>
      </c>
      <c r="E33" t="str">
        <f>IF(A33="","",SUM('Additional Information'!E33))</f>
        <v/>
      </c>
    </row>
    <row r="34" spans="1:5" x14ac:dyDescent="0.3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Information'!D34,'Additional Information'!E34))</f>
        <v/>
      </c>
      <c r="E34" t="str">
        <f>IF(A34="","",SUM('Additional Information'!E34))</f>
        <v/>
      </c>
    </row>
    <row r="35" spans="1:5" x14ac:dyDescent="0.3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Information'!D35,'Additional Information'!E35))</f>
        <v/>
      </c>
      <c r="E35" t="str">
        <f>IF(A35="","",SUM('Additional Information'!E35))</f>
        <v/>
      </c>
    </row>
    <row r="36" spans="1:5" x14ac:dyDescent="0.3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Information'!D36,'Additional Information'!E36))</f>
        <v/>
      </c>
      <c r="E36" t="str">
        <f>IF(A36="","",SUM('Additional Information'!E36))</f>
        <v/>
      </c>
    </row>
    <row r="37" spans="1:5" x14ac:dyDescent="0.3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Information'!D37,'Additional Information'!E37))</f>
        <v/>
      </c>
      <c r="E37" t="str">
        <f>IF(A37="","",SUM('Additional Information'!E37))</f>
        <v/>
      </c>
    </row>
    <row r="38" spans="1:5" x14ac:dyDescent="0.3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Information'!D38,'Additional Information'!E38))</f>
        <v/>
      </c>
      <c r="E38" t="str">
        <f>IF(A38="","",SUM('Additional Information'!E38))</f>
        <v/>
      </c>
    </row>
    <row r="39" spans="1:5" x14ac:dyDescent="0.3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Information'!D39,'Additional Information'!E39))</f>
        <v/>
      </c>
      <c r="E39" t="str">
        <f>IF(A39="","",SUM('Additional Information'!E39))</f>
        <v/>
      </c>
    </row>
    <row r="40" spans="1:5" x14ac:dyDescent="0.3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Information'!D40,'Additional Information'!E40))</f>
        <v/>
      </c>
      <c r="E40" t="str">
        <f>IF(A40="","",SUM('Additional Information'!E40))</f>
        <v/>
      </c>
    </row>
    <row r="41" spans="1:5" x14ac:dyDescent="0.3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Information'!D41,'Additional Information'!E41))</f>
        <v/>
      </c>
      <c r="E41" t="str">
        <f>IF(A41="","",SUM('Additional Information'!E41))</f>
        <v/>
      </c>
    </row>
    <row r="42" spans="1:5" x14ac:dyDescent="0.3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Information'!D42,'Additional Information'!E42))</f>
        <v/>
      </c>
      <c r="E42" t="str">
        <f>IF(A42="","",SUM('Additional Information'!E42))</f>
        <v/>
      </c>
    </row>
    <row r="43" spans="1:5" x14ac:dyDescent="0.3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Information'!D43,'Additional Information'!E43))</f>
        <v/>
      </c>
      <c r="E43" t="str">
        <f>IF(A43="","",SUM('Additional Information'!E43))</f>
        <v/>
      </c>
    </row>
    <row r="44" spans="1:5" x14ac:dyDescent="0.3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Information'!D44,'Additional Information'!E44))</f>
        <v/>
      </c>
      <c r="E44" t="str">
        <f>IF(A44="","",SUM('Additional Information'!E44))</f>
        <v/>
      </c>
    </row>
    <row r="45" spans="1:5" x14ac:dyDescent="0.3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Information'!D45,'Additional Information'!E45))</f>
        <v/>
      </c>
      <c r="E45" t="str">
        <f>IF(A45="","",SUM('Additional Information'!E45))</f>
        <v/>
      </c>
    </row>
    <row r="46" spans="1:5" x14ac:dyDescent="0.3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Information'!D46,'Additional Information'!E46))</f>
        <v/>
      </c>
      <c r="E46" t="str">
        <f>IF(A46="","",SUM('Additional Information'!E46))</f>
        <v/>
      </c>
    </row>
    <row r="47" spans="1:5" x14ac:dyDescent="0.3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Information'!D47,'Additional Information'!E47))</f>
        <v/>
      </c>
      <c r="E47" t="str">
        <f>IF(A47="","",SUM('Additional Information'!E47))</f>
        <v/>
      </c>
    </row>
    <row r="48" spans="1:5" x14ac:dyDescent="0.3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Information'!D48,'Additional Information'!E48))</f>
        <v/>
      </c>
      <c r="E48" t="str">
        <f>IF(A48="","",SUM('Additional Information'!E48))</f>
        <v/>
      </c>
    </row>
    <row r="49" spans="1:5" x14ac:dyDescent="0.3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Information'!D49,'Additional Information'!E49))</f>
        <v/>
      </c>
      <c r="E49" t="str">
        <f>IF(A49="","",SUM('Additional Information'!E49))</f>
        <v/>
      </c>
    </row>
    <row r="50" spans="1:5" x14ac:dyDescent="0.3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Information'!D50,'Additional Information'!E50))</f>
        <v/>
      </c>
      <c r="E50" t="str">
        <f>IF(A50="","",SUM('Additional Information'!E50))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Cautious Fund</v>
      </c>
      <c r="B2">
        <f>IF(A2="","",SUM('Asset Allocation'!B2,'Asset Allocation'!C2,'Asset Allocation'!D2,'Asset Allocation'!E2,'Asset Allocation'!F2,'Asset Allocation'!H2,'Asset Allocation'!I2,'Asset Allocation'!J2,'Asset Allocation'!L2,'Asset Allocation'!M2,'Asset Allocation'!S2,'Asset Allocation'!U2,'Asset Allocation'!W2,'Asset Allocation'!X2,'Asset Allocation'!Y2,'Asset Allocation'!AB2,'Asset Allocation'!AC2,'Asset Allocation'!AI2))</f>
        <v>0</v>
      </c>
      <c r="C2">
        <f>IF(A2="","",SUM('Asset Allocation'!G2,'Asset Allocation'!K2,'Asset Allocation'!N2,'Asset Allocation'!O2,'Asset Allocation'!P2,'Asset Allocation'!Q2,'Asset Allocation'!R2,'Asset Allocation'!T2,'Asset Allocation'!Z2,'Asset Allocation'!AA2,'Asset Allocation'!AE2,'Asset Allocation'!AF2,'Asset Allocation'!AG2))</f>
        <v>0</v>
      </c>
      <c r="F2">
        <f>IF(A2="","",SUM('Asset Allocation'!V2))</f>
        <v>0</v>
      </c>
      <c r="G2">
        <f>IF(A2="","",SUM('Asset Allocation'!AD2,'Asset Allocation'!AH2))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Income Fund</v>
      </c>
      <c r="B3">
        <f>IF(A3="","",SUM('Asset Allocation'!B3,'Asset Allocation'!C3,'Asset Allocation'!D3,'Asset Allocation'!E3,'Asset Allocation'!F3,'Asset Allocation'!H3,'Asset Allocation'!I3,'Asset Allocation'!J3,'Asset Allocation'!L3,'Asset Allocation'!M3,'Asset Allocation'!S3,'Asset Allocation'!U3,'Asset Allocation'!W3,'Asset Allocation'!X3,'Asset Allocation'!Y3,'Asset Allocation'!AB3,'Asset Allocation'!AC3,'Asset Allocation'!AI3))</f>
        <v>0</v>
      </c>
      <c r="C3">
        <f>IF(A3="","",SUM('Asset Allocation'!G3,'Asset Allocation'!K3,'Asset Allocation'!N3,'Asset Allocation'!O3,'Asset Allocation'!P3,'Asset Allocation'!Q3,'Asset Allocation'!R3,'Asset Allocation'!T3,'Asset Allocation'!Z3,'Asset Allocation'!AA3,'Asset Allocation'!AE3,'Asset Allocation'!AF3,'Asset Allocation'!AG3))</f>
        <v>0</v>
      </c>
      <c r="F3">
        <f>IF(A3="","",SUM('Asset Allocation'!V3))</f>
        <v>0</v>
      </c>
      <c r="G3">
        <f>IF(A3="","",SUM('Asset Allocation'!AD3,'Asset Allocation'!AH3))</f>
        <v>0</v>
      </c>
      <c r="H3">
        <f t="shared" si="0"/>
        <v>1</v>
      </c>
    </row>
    <row r="4" spans="1:8" x14ac:dyDescent="0.35">
      <c r="A4" t="str">
        <f>IF(Input!A5="","",Input!A5)</f>
        <v>Balanced Fund</v>
      </c>
      <c r="B4">
        <f>IF(A4="","",SUM('Asset Allocation'!B4,'Asset Allocation'!C4,'Asset Allocation'!D4,'Asset Allocation'!E4,'Asset Allocation'!F4,'Asset Allocation'!H4,'Asset Allocation'!I4,'Asset Allocation'!J4,'Asset Allocation'!L4,'Asset Allocation'!M4,'Asset Allocation'!S4,'Asset Allocation'!U4,'Asset Allocation'!W4,'Asset Allocation'!X4,'Asset Allocation'!Y4,'Asset Allocation'!AB4,'Asset Allocation'!AC4,'Asset Allocation'!AI4))</f>
        <v>0</v>
      </c>
      <c r="C4">
        <f>IF(A4="","",SUM('Asset Allocation'!G4,'Asset Allocation'!K4,'Asset Allocation'!N4,'Asset Allocation'!O4,'Asset Allocation'!P4,'Asset Allocation'!Q4,'Asset Allocation'!R4,'Asset Allocation'!T4,'Asset Allocation'!Z4,'Asset Allocation'!AA4,'Asset Allocation'!AE4,'Asset Allocation'!AF4,'Asset Allocation'!AG4))</f>
        <v>0</v>
      </c>
      <c r="F4">
        <f>IF(A4="","",SUM('Asset Allocation'!V4))</f>
        <v>0</v>
      </c>
      <c r="G4">
        <f>IF(A4="","",SUM('Asset Allocation'!AD4,'Asset Allocation'!AH4))</f>
        <v>0</v>
      </c>
      <c r="H4">
        <f t="shared" si="0"/>
        <v>1</v>
      </c>
    </row>
    <row r="5" spans="1:8" x14ac:dyDescent="0.35">
      <c r="A5" t="str">
        <f>IF(Input!A6="","",Input!A6)</f>
        <v>Growth Fund</v>
      </c>
      <c r="B5">
        <f>IF(A5="","",SUM('Asset Allocation'!B5,'Asset Allocation'!C5,'Asset Allocation'!D5,'Asset Allocation'!E5,'Asset Allocation'!F5,'Asset Allocation'!H5,'Asset Allocation'!I5,'Asset Allocation'!J5,'Asset Allocation'!L5,'Asset Allocation'!M5,'Asset Allocation'!S5,'Asset Allocation'!U5,'Asset Allocation'!W5,'Asset Allocation'!X5,'Asset Allocation'!Y5,'Asset Allocation'!AB5,'Asset Allocation'!AC5,'Asset Allocation'!AI5))</f>
        <v>0</v>
      </c>
      <c r="C5">
        <f>IF(A5="","",SUM('Asset Allocation'!G5,'Asset Allocation'!K5,'Asset Allocation'!N5,'Asset Allocation'!O5,'Asset Allocation'!P5,'Asset Allocation'!Q5,'Asset Allocation'!R5,'Asset Allocation'!T5,'Asset Allocation'!Z5,'Asset Allocation'!AA5,'Asset Allocation'!AE5,'Asset Allocation'!AF5,'Asset Allocation'!AG5))</f>
        <v>0</v>
      </c>
      <c r="F5">
        <f>IF(A5="","",SUM('Asset Allocation'!V5))</f>
        <v>0</v>
      </c>
      <c r="G5">
        <f>IF(A5="","",SUM('Asset Allocation'!AD5,'Asset Allocation'!AH5))</f>
        <v>0</v>
      </c>
      <c r="H5">
        <f t="shared" si="0"/>
        <v>1</v>
      </c>
    </row>
    <row r="6" spans="1:8" x14ac:dyDescent="0.35">
      <c r="A6" t="str">
        <f>IF(Input!A7="","",Input!A7)</f>
        <v>Dynamic Fund</v>
      </c>
      <c r="B6">
        <f>IF(A6="","",SUM('Asset Allocation'!B6,'Asset Allocation'!C6,'Asset Allocation'!D6,'Asset Allocation'!E6,'Asset Allocation'!F6,'Asset Allocation'!H6,'Asset Allocation'!I6,'Asset Allocation'!J6,'Asset Allocation'!L6,'Asset Allocation'!M6,'Asset Allocation'!S6,'Asset Allocation'!U6,'Asset Allocation'!W6,'Asset Allocation'!X6,'Asset Allocation'!Y6,'Asset Allocation'!AB6,'Asset Allocation'!AC6,'Asset Allocation'!AI6))</f>
        <v>0</v>
      </c>
      <c r="C6">
        <f>IF(A6="","",SUM('Asset Allocation'!G6,'Asset Allocation'!K6,'Asset Allocation'!N6,'Asset Allocation'!O6,'Asset Allocation'!P6,'Asset Allocation'!Q6,'Asset Allocation'!R6,'Asset Allocation'!T6,'Asset Allocation'!Z6,'Asset Allocation'!AA6,'Asset Allocation'!AE6,'Asset Allocation'!AF6,'Asset Allocation'!AG6))</f>
        <v>0</v>
      </c>
      <c r="F6">
        <f>IF(A6="","",SUM('Asset Allocation'!V6))</f>
        <v>0</v>
      </c>
      <c r="G6">
        <f>IF(A6="","",SUM('Asset Allocation'!AD6,'Asset Allocation'!AH6))</f>
        <v>0</v>
      </c>
      <c r="H6">
        <f t="shared" si="0"/>
        <v>1</v>
      </c>
    </row>
    <row r="7" spans="1:8" x14ac:dyDescent="0.35">
      <c r="A7" t="str">
        <f>IF(Input!A8="","",Input!A8)</f>
        <v/>
      </c>
      <c r="B7" t="str">
        <f>IF(A7="","",SUM('Asset Allocation'!B7,'Asset Allocation'!C7,'Asset Allocation'!D7,'Asset Allocation'!E7,'Asset Allocation'!F7,'Asset Allocation'!H7,'Asset Allocation'!I7,'Asset Allocation'!J7,'Asset Allocation'!L7,'Asset Allocation'!M7,'Asset Allocation'!S7,'Asset Allocation'!U7,'Asset Allocation'!W7,'Asset Allocation'!X7,'Asset Allocation'!Y7,'Asset Allocation'!AB7,'Asset Allocation'!AC7,'Asset Allocation'!AI7))</f>
        <v/>
      </c>
      <c r="C7" t="str">
        <f>IF(A7="","",SUM('Asset Allocation'!G7,'Asset Allocation'!K7,'Asset Allocation'!N7,'Asset Allocation'!O7,'Asset Allocation'!P7,'Asset Allocation'!Q7,'Asset Allocation'!R7,'Asset Allocation'!T7,'Asset Allocation'!Z7,'Asset Allocation'!AA7,'Asset Allocation'!AE7,'Asset Allocation'!AF7,'Asset Allocation'!AG7))</f>
        <v/>
      </c>
      <c r="F7" t="str">
        <f>IF(A7="","",SUM('Asset Allocation'!V7))</f>
        <v/>
      </c>
      <c r="G7" t="str">
        <f>IF(A7="","",SUM('Asset Allocation'!AD7,'Asset Allocation'!AH7))</f>
        <v/>
      </c>
      <c r="H7" t="str">
        <f t="shared" si="0"/>
        <v/>
      </c>
    </row>
    <row r="8" spans="1:8" x14ac:dyDescent="0.35">
      <c r="A8" t="str">
        <f>IF(Input!A9="","",Input!A9)</f>
        <v/>
      </c>
      <c r="B8" t="str">
        <f>IF(A8="","",SUM('Asset Allocation'!B8,'Asset Allocation'!C8,'Asset Allocation'!D8,'Asset Allocation'!E8,'Asset Allocation'!F8,'Asset Allocation'!H8,'Asset Allocation'!I8,'Asset Allocation'!J8,'Asset Allocation'!L8,'Asset Allocation'!M8,'Asset Allocation'!S8,'Asset Allocation'!U8,'Asset Allocation'!W8,'Asset Allocation'!X8,'Asset Allocation'!Y8,'Asset Allocation'!AB8,'Asset Allocation'!AC8,'Asset Allocation'!AI8))</f>
        <v/>
      </c>
      <c r="C8" t="str">
        <f>IF(A8="","",SUM('Asset Allocation'!G8,'Asset Allocation'!K8,'Asset Allocation'!N8,'Asset Allocation'!O8,'Asset Allocation'!P8,'Asset Allocation'!Q8,'Asset Allocation'!R8,'Asset Allocation'!T8,'Asset Allocation'!Z8,'Asset Allocation'!AA8,'Asset Allocation'!AE8,'Asset Allocation'!AF8,'Asset Allocation'!AG8))</f>
        <v/>
      </c>
      <c r="F8" t="str">
        <f>IF(A8="","",SUM('Asset Allocation'!V8))</f>
        <v/>
      </c>
      <c r="G8" t="str">
        <f>IF(A8="","",SUM('Asset Allocation'!AD8,'Asset Allocation'!AH8))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Allocation'!B9,'Asset Allocation'!C9,'Asset Allocation'!D9,'Asset Allocation'!E9,'Asset Allocation'!F9,'Asset Allocation'!H9,'Asset Allocation'!I9,'Asset Allocation'!J9,'Asset Allocation'!L9,'Asset Allocation'!M9,'Asset Allocation'!S9,'Asset Allocation'!U9,'Asset Allocation'!W9,'Asset Allocation'!X9,'Asset Allocation'!Y9,'Asset Allocation'!AB9,'Asset Allocation'!AC9,'Asset Allocation'!AI9))</f>
        <v/>
      </c>
      <c r="C9" t="str">
        <f>IF(A9="","",SUM('Asset Allocation'!G9,'Asset Allocation'!K9,'Asset Allocation'!N9,'Asset Allocation'!O9,'Asset Allocation'!P9,'Asset Allocation'!Q9,'Asset Allocation'!R9,'Asset Allocation'!T9,'Asset Allocation'!Z9,'Asset Allocation'!AA9,'Asset Allocation'!AE9,'Asset Allocation'!AF9,'Asset Allocation'!AG9))</f>
        <v/>
      </c>
      <c r="F9" t="str">
        <f>IF(A9="","",SUM('Asset Allocation'!V9))</f>
        <v/>
      </c>
      <c r="G9" t="str">
        <f>IF(A9="","",SUM('Asset Allocation'!AD9,'Asset Allocation'!AH9))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Allocation'!B10,'Asset Allocation'!C10,'Asset Allocation'!D10,'Asset Allocation'!E10,'Asset Allocation'!F10,'Asset Allocation'!H10,'Asset Allocation'!I10,'Asset Allocation'!J10,'Asset Allocation'!L10,'Asset Allocation'!M10,'Asset Allocation'!S10,'Asset Allocation'!U10,'Asset Allocation'!W10,'Asset Allocation'!X10,'Asset Allocation'!Y10,'Asset Allocation'!AB10,'Asset Allocation'!AC10,'Asset Allocation'!AI10))</f>
        <v/>
      </c>
      <c r="C10" t="str">
        <f>IF(A10="","",SUM('Asset Allocation'!G10,'Asset Allocation'!K10,'Asset Allocation'!N10,'Asset Allocation'!O10,'Asset Allocation'!P10,'Asset Allocation'!Q10,'Asset Allocation'!R10,'Asset Allocation'!T10,'Asset Allocation'!Z10,'Asset Allocation'!AA10,'Asset Allocation'!AE10,'Asset Allocation'!AF10,'Asset Allocation'!AG10))</f>
        <v/>
      </c>
      <c r="F10" t="str">
        <f>IF(A10="","",SUM('Asset Allocation'!V10))</f>
        <v/>
      </c>
      <c r="G10" t="str">
        <f>IF(A10="","",SUM('Asset Allocation'!AD10,'Asset Allocation'!AH10))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Allocation'!B11,'Asset Allocation'!C11,'Asset Allocation'!D11,'Asset Allocation'!E11,'Asset Allocation'!F11,'Asset Allocation'!H11,'Asset Allocation'!I11,'Asset Allocation'!J11,'Asset Allocation'!L11,'Asset Allocation'!M11,'Asset Allocation'!S11,'Asset Allocation'!U11,'Asset Allocation'!W11,'Asset Allocation'!X11,'Asset Allocation'!Y11,'Asset Allocation'!AB11,'Asset Allocation'!AC11,'Asset Allocation'!AI11))</f>
        <v/>
      </c>
      <c r="C11" t="str">
        <f>IF(A11="","",SUM('Asset Allocation'!G11,'Asset Allocation'!K11,'Asset Allocation'!N11,'Asset Allocation'!O11,'Asset Allocation'!P11,'Asset Allocation'!Q11,'Asset Allocation'!R11,'Asset Allocation'!T11,'Asset Allocation'!Z11,'Asset Allocation'!AA11,'Asset Allocation'!AE11,'Asset Allocation'!AF11,'Asset Allocation'!AG11))</f>
        <v/>
      </c>
      <c r="F11" t="str">
        <f>IF(A11="","",SUM('Asset Allocation'!V11))</f>
        <v/>
      </c>
      <c r="G11" t="str">
        <f>IF(A11="","",SUM('Asset Allocation'!AD11,'Asset Allocation'!AH11))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Allocation'!B12,'Asset Allocation'!C12,'Asset Allocation'!D12,'Asset Allocation'!E12,'Asset Allocation'!F12,'Asset Allocation'!H12,'Asset Allocation'!I12,'Asset Allocation'!J12,'Asset Allocation'!L12,'Asset Allocation'!M12,'Asset Allocation'!S12,'Asset Allocation'!U12,'Asset Allocation'!W12,'Asset Allocation'!X12,'Asset Allocation'!Y12,'Asset Allocation'!AB12,'Asset Allocation'!AC12,'Asset Allocation'!AI12))</f>
        <v/>
      </c>
      <c r="C12" t="str">
        <f>IF(A12="","",SUM('Asset Allocation'!G12,'Asset Allocation'!K12,'Asset Allocation'!N12,'Asset Allocation'!O12,'Asset Allocation'!P12,'Asset Allocation'!Q12,'Asset Allocation'!R12,'Asset Allocation'!T12,'Asset Allocation'!Z12,'Asset Allocation'!AA12,'Asset Allocation'!AE12,'Asset Allocation'!AF12,'Asset Allocation'!AG12))</f>
        <v/>
      </c>
      <c r="F12" t="str">
        <f>IF(A12="","",SUM('Asset Allocation'!V12))</f>
        <v/>
      </c>
      <c r="G12" t="str">
        <f>IF(A12="","",SUM('Asset Allocation'!AD12,'Asset Allocation'!AH12))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Allocation'!B13,'Asset Allocation'!C13,'Asset Allocation'!D13,'Asset Allocation'!E13,'Asset Allocation'!F13,'Asset Allocation'!H13,'Asset Allocation'!I13,'Asset Allocation'!J13,'Asset Allocation'!L13,'Asset Allocation'!M13,'Asset Allocation'!S13,'Asset Allocation'!U13,'Asset Allocation'!W13,'Asset Allocation'!X13,'Asset Allocation'!Y13,'Asset Allocation'!AB13,'Asset Allocation'!AC13,'Asset Allocation'!AI13))</f>
        <v/>
      </c>
      <c r="C13" t="str">
        <f>IF(A13="","",SUM('Asset Allocation'!G13,'Asset Allocation'!K13,'Asset Allocation'!N13,'Asset Allocation'!O13,'Asset Allocation'!P13,'Asset Allocation'!Q13,'Asset Allocation'!R13,'Asset Allocation'!T13,'Asset Allocation'!Z13,'Asset Allocation'!AA13,'Asset Allocation'!AE13,'Asset Allocation'!AF13,'Asset Allocation'!AG13))</f>
        <v/>
      </c>
      <c r="F13" t="str">
        <f>IF(A13="","",SUM('Asset Allocation'!V13))</f>
        <v/>
      </c>
      <c r="G13" t="str">
        <f>IF(A13="","",SUM('Asset Allocation'!AD13,'Asset Allocation'!AH13))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Allocation'!B14,'Asset Allocation'!C14,'Asset Allocation'!D14,'Asset Allocation'!E14,'Asset Allocation'!F14,'Asset Allocation'!H14,'Asset Allocation'!I14,'Asset Allocation'!J14,'Asset Allocation'!L14,'Asset Allocation'!M14,'Asset Allocation'!S14,'Asset Allocation'!U14,'Asset Allocation'!W14,'Asset Allocation'!X14,'Asset Allocation'!Y14,'Asset Allocation'!AB14,'Asset Allocation'!AC14,'Asset Allocation'!AI14))</f>
        <v/>
      </c>
      <c r="C14" t="str">
        <f>IF(A14="","",SUM('Asset Allocation'!G14,'Asset Allocation'!K14,'Asset Allocation'!N14,'Asset Allocation'!O14,'Asset Allocation'!P14,'Asset Allocation'!Q14,'Asset Allocation'!R14,'Asset Allocation'!T14,'Asset Allocation'!Z14,'Asset Allocation'!AA14,'Asset Allocation'!AE14,'Asset Allocation'!AF14,'Asset Allocation'!AG14))</f>
        <v/>
      </c>
      <c r="F14" t="str">
        <f>IF(A14="","",SUM('Asset Allocation'!V14))</f>
        <v/>
      </c>
      <c r="G14" t="str">
        <f>IF(A14="","",SUM('Asset Allocation'!AD14,'Asset Allocation'!AH14))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Allocation'!B15,'Asset Allocation'!C15,'Asset Allocation'!D15,'Asset Allocation'!E15,'Asset Allocation'!F15,'Asset Allocation'!H15,'Asset Allocation'!I15,'Asset Allocation'!J15,'Asset Allocation'!L15,'Asset Allocation'!M15,'Asset Allocation'!S15,'Asset Allocation'!U15,'Asset Allocation'!W15,'Asset Allocation'!X15,'Asset Allocation'!Y15,'Asset Allocation'!AB15,'Asset Allocation'!AC15,'Asset Allocation'!AI15))</f>
        <v/>
      </c>
      <c r="C15" t="str">
        <f>IF(A15="","",SUM('Asset Allocation'!G15,'Asset Allocation'!K15,'Asset Allocation'!N15,'Asset Allocation'!O15,'Asset Allocation'!P15,'Asset Allocation'!Q15,'Asset Allocation'!R15,'Asset Allocation'!T15,'Asset Allocation'!Z15,'Asset Allocation'!AA15,'Asset Allocation'!AE15,'Asset Allocation'!AF15,'Asset Allocation'!AG15))</f>
        <v/>
      </c>
      <c r="F15" t="str">
        <f>IF(A15="","",SUM('Asset Allocation'!V15))</f>
        <v/>
      </c>
      <c r="G15" t="str">
        <f>IF(A15="","",SUM('Asset Allocation'!AD15,'Asset Allocation'!AH15))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Allocation'!B16,'Asset Allocation'!C16,'Asset Allocation'!D16,'Asset Allocation'!E16,'Asset Allocation'!F16,'Asset Allocation'!H16,'Asset Allocation'!I16,'Asset Allocation'!J16,'Asset Allocation'!L16,'Asset Allocation'!M16,'Asset Allocation'!S16,'Asset Allocation'!U16,'Asset Allocation'!W16,'Asset Allocation'!X16,'Asset Allocation'!Y16,'Asset Allocation'!AB16,'Asset Allocation'!AC16,'Asset Allocation'!AI16))</f>
        <v/>
      </c>
      <c r="C16" t="str">
        <f>IF(A16="","",SUM('Asset Allocation'!G16,'Asset Allocation'!K16,'Asset Allocation'!N16,'Asset Allocation'!O16,'Asset Allocation'!P16,'Asset Allocation'!Q16,'Asset Allocation'!R16,'Asset Allocation'!T16,'Asset Allocation'!Z16,'Asset Allocation'!AA16,'Asset Allocation'!AE16,'Asset Allocation'!AF16,'Asset Allocation'!AG16))</f>
        <v/>
      </c>
      <c r="F16" t="str">
        <f>IF(A16="","",SUM('Asset Allocation'!V16))</f>
        <v/>
      </c>
      <c r="G16" t="str">
        <f>IF(A16="","",SUM('Asset Allocation'!AD16,'Asset Allocation'!AH16))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Allocation'!B17,'Asset Allocation'!C17,'Asset Allocation'!D17,'Asset Allocation'!E17,'Asset Allocation'!F17,'Asset Allocation'!H17,'Asset Allocation'!I17,'Asset Allocation'!J17,'Asset Allocation'!L17,'Asset Allocation'!M17,'Asset Allocation'!S17,'Asset Allocation'!U17,'Asset Allocation'!W17,'Asset Allocation'!X17,'Asset Allocation'!Y17,'Asset Allocation'!AB17,'Asset Allocation'!AC17,'Asset Allocation'!AI17))</f>
        <v/>
      </c>
      <c r="C17" t="str">
        <f>IF(A17="","",SUM('Asset Allocation'!G17,'Asset Allocation'!K17,'Asset Allocation'!N17,'Asset Allocation'!O17,'Asset Allocation'!P17,'Asset Allocation'!Q17,'Asset Allocation'!R17,'Asset Allocation'!T17,'Asset Allocation'!Z17,'Asset Allocation'!AA17,'Asset Allocation'!AE17,'Asset Allocation'!AF17,'Asset Allocation'!AG17))</f>
        <v/>
      </c>
      <c r="F17" t="str">
        <f>IF(A17="","",SUM('Asset Allocation'!V17))</f>
        <v/>
      </c>
      <c r="G17" t="str">
        <f>IF(A17="","",SUM('Asset Allocation'!AD17,'Asset Allocation'!AH17))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Allocation'!B18,'Asset Allocation'!C18,'Asset Allocation'!D18,'Asset Allocation'!E18,'Asset Allocation'!F18,'Asset Allocation'!H18,'Asset Allocation'!I18,'Asset Allocation'!J18,'Asset Allocation'!L18,'Asset Allocation'!M18,'Asset Allocation'!S18,'Asset Allocation'!U18,'Asset Allocation'!W18,'Asset Allocation'!X18,'Asset Allocation'!Y18,'Asset Allocation'!AB18,'Asset Allocation'!AC18,'Asset Allocation'!AI18))</f>
        <v/>
      </c>
      <c r="C18" t="str">
        <f>IF(A18="","",SUM('Asset Allocation'!G18,'Asset Allocation'!K18,'Asset Allocation'!N18,'Asset Allocation'!O18,'Asset Allocation'!P18,'Asset Allocation'!Q18,'Asset Allocation'!R18,'Asset Allocation'!T18,'Asset Allocation'!Z18,'Asset Allocation'!AA18,'Asset Allocation'!AE18,'Asset Allocation'!AF18,'Asset Allocation'!AG18))</f>
        <v/>
      </c>
      <c r="F18" t="str">
        <f>IF(A18="","",SUM('Asset Allocation'!V18))</f>
        <v/>
      </c>
      <c r="G18" t="str">
        <f>IF(A18="","",SUM('Asset Allocation'!AD18,'Asset Allocation'!AH18))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Allocation'!B19,'Asset Allocation'!C19,'Asset Allocation'!D19,'Asset Allocation'!E19,'Asset Allocation'!F19,'Asset Allocation'!H19,'Asset Allocation'!I19,'Asset Allocation'!J19,'Asset Allocation'!L19,'Asset Allocation'!M19,'Asset Allocation'!S19,'Asset Allocation'!U19,'Asset Allocation'!W19,'Asset Allocation'!X19,'Asset Allocation'!Y19,'Asset Allocation'!AB19,'Asset Allocation'!AC19,'Asset Allocation'!AI19))</f>
        <v/>
      </c>
      <c r="C19" t="str">
        <f>IF(A19="","",SUM('Asset Allocation'!G19,'Asset Allocation'!K19,'Asset Allocation'!N19,'Asset Allocation'!O19,'Asset Allocation'!P19,'Asset Allocation'!Q19,'Asset Allocation'!R19,'Asset Allocation'!T19,'Asset Allocation'!Z19,'Asset Allocation'!AA19,'Asset Allocation'!AE19,'Asset Allocation'!AF19,'Asset Allocation'!AG19))</f>
        <v/>
      </c>
      <c r="F19" t="str">
        <f>IF(A19="","",SUM('Asset Allocation'!V19))</f>
        <v/>
      </c>
      <c r="G19" t="str">
        <f>IF(A19="","",SUM('Asset Allocation'!AD19,'Asset Allocation'!AH19))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Allocation'!B20,'Asset Allocation'!C20,'Asset Allocation'!D20,'Asset Allocation'!E20,'Asset Allocation'!F20,'Asset Allocation'!H20,'Asset Allocation'!I20,'Asset Allocation'!J20,'Asset Allocation'!L20,'Asset Allocation'!M20,'Asset Allocation'!S20,'Asset Allocation'!U20,'Asset Allocation'!W20,'Asset Allocation'!X20,'Asset Allocation'!Y20,'Asset Allocation'!AB20,'Asset Allocation'!AC20,'Asset Allocation'!AI20))</f>
        <v/>
      </c>
      <c r="C20" t="str">
        <f>IF(A20="","",SUM('Asset Allocation'!G20,'Asset Allocation'!K20,'Asset Allocation'!N20,'Asset Allocation'!O20,'Asset Allocation'!P20,'Asset Allocation'!Q20,'Asset Allocation'!R20,'Asset Allocation'!T20,'Asset Allocation'!Z20,'Asset Allocation'!AA20,'Asset Allocation'!AE20,'Asset Allocation'!AF20,'Asset Allocation'!AG20))</f>
        <v/>
      </c>
      <c r="F20" t="str">
        <f>IF(A20="","",SUM('Asset Allocation'!V20))</f>
        <v/>
      </c>
      <c r="G20" t="str">
        <f>IF(A20="","",SUM('Asset Allocation'!AD20,'Asset Allocation'!AH20))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Allocation'!B21,'Asset Allocation'!C21,'Asset Allocation'!D21,'Asset Allocation'!E21,'Asset Allocation'!F21,'Asset Allocation'!H21,'Asset Allocation'!I21,'Asset Allocation'!J21,'Asset Allocation'!L21,'Asset Allocation'!M21,'Asset Allocation'!S21,'Asset Allocation'!U21,'Asset Allocation'!W21,'Asset Allocation'!X21,'Asset Allocation'!Y21,'Asset Allocation'!AB21,'Asset Allocation'!AC21,'Asset Allocation'!AI21))</f>
        <v/>
      </c>
      <c r="C21" t="str">
        <f>IF(A21="","",SUM('Asset Allocation'!G21,'Asset Allocation'!K21,'Asset Allocation'!N21,'Asset Allocation'!O21,'Asset Allocation'!P21,'Asset Allocation'!Q21,'Asset Allocation'!R21,'Asset Allocation'!T21,'Asset Allocation'!Z21,'Asset Allocation'!AA21,'Asset Allocation'!AE21,'Asset Allocation'!AF21,'Asset Allocation'!AG21))</f>
        <v/>
      </c>
      <c r="F21" t="str">
        <f>IF(A21="","",SUM('Asset Allocation'!V21))</f>
        <v/>
      </c>
      <c r="G21" t="str">
        <f>IF(A21="","",SUM('Asset Allocation'!AD21,'Asset Allocation'!AH21))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Allocation'!B22,'Asset Allocation'!C22,'Asset Allocation'!D22,'Asset Allocation'!E22,'Asset Allocation'!F22,'Asset Allocation'!H22,'Asset Allocation'!I22,'Asset Allocation'!J22,'Asset Allocation'!L22,'Asset Allocation'!M22,'Asset Allocation'!S22,'Asset Allocation'!U22,'Asset Allocation'!W22,'Asset Allocation'!X22,'Asset Allocation'!Y22,'Asset Allocation'!AB22,'Asset Allocation'!AC22,'Asset Allocation'!AI22))</f>
        <v/>
      </c>
      <c r="C22" t="str">
        <f>IF(A22="","",SUM('Asset Allocation'!G22,'Asset Allocation'!K22,'Asset Allocation'!N22,'Asset Allocation'!O22,'Asset Allocation'!P22,'Asset Allocation'!Q22,'Asset Allocation'!R22,'Asset Allocation'!T22,'Asset Allocation'!Z22,'Asset Allocation'!AA22,'Asset Allocation'!AE22,'Asset Allocation'!AF22,'Asset Allocation'!AG22))</f>
        <v/>
      </c>
      <c r="F22" t="str">
        <f>IF(A22="","",SUM('Asset Allocation'!V22))</f>
        <v/>
      </c>
      <c r="G22" t="str">
        <f>IF(A22="","",SUM('Asset Allocation'!AD22,'Asset Allocation'!AH22))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Allocation'!B23,'Asset Allocation'!C23,'Asset Allocation'!D23,'Asset Allocation'!E23,'Asset Allocation'!F23,'Asset Allocation'!H23,'Asset Allocation'!I23,'Asset Allocation'!J23,'Asset Allocation'!L23,'Asset Allocation'!M23,'Asset Allocation'!S23,'Asset Allocation'!U23,'Asset Allocation'!W23,'Asset Allocation'!X23,'Asset Allocation'!Y23,'Asset Allocation'!AB23,'Asset Allocation'!AC23,'Asset Allocation'!AI23))</f>
        <v/>
      </c>
      <c r="C23" t="str">
        <f>IF(A23="","",SUM('Asset Allocation'!G23,'Asset Allocation'!K23,'Asset Allocation'!N23,'Asset Allocation'!O23,'Asset Allocation'!P23,'Asset Allocation'!Q23,'Asset Allocation'!R23,'Asset Allocation'!T23,'Asset Allocation'!Z23,'Asset Allocation'!AA23,'Asset Allocation'!AE23,'Asset Allocation'!AF23,'Asset Allocation'!AG23))</f>
        <v/>
      </c>
      <c r="F23" t="str">
        <f>IF(A23="","",SUM('Asset Allocation'!V23))</f>
        <v/>
      </c>
      <c r="G23" t="str">
        <f>IF(A23="","",SUM('Asset Allocation'!AD23,'Asset Allocation'!AH23))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Allocation'!B24,'Asset Allocation'!C24,'Asset Allocation'!D24,'Asset Allocation'!E24,'Asset Allocation'!F24,'Asset Allocation'!H24,'Asset Allocation'!I24,'Asset Allocation'!J24,'Asset Allocation'!L24,'Asset Allocation'!M24,'Asset Allocation'!S24,'Asset Allocation'!U24,'Asset Allocation'!W24,'Asset Allocation'!X24,'Asset Allocation'!Y24,'Asset Allocation'!AB24,'Asset Allocation'!AC24,'Asset Allocation'!AI24))</f>
        <v/>
      </c>
      <c r="C24" t="str">
        <f>IF(A24="","",SUM('Asset Allocation'!G24,'Asset Allocation'!K24,'Asset Allocation'!N24,'Asset Allocation'!O24,'Asset Allocation'!P24,'Asset Allocation'!Q24,'Asset Allocation'!R24,'Asset Allocation'!T24,'Asset Allocation'!Z24,'Asset Allocation'!AA24,'Asset Allocation'!AE24,'Asset Allocation'!AF24,'Asset Allocation'!AG24))</f>
        <v/>
      </c>
      <c r="F24" t="str">
        <f>IF(A24="","",SUM('Asset Allocation'!V24))</f>
        <v/>
      </c>
      <c r="G24" t="str">
        <f>IF(A24="","",SUM('Asset Allocation'!AD24,'Asset Allocation'!AH24))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Allocation'!B25,'Asset Allocation'!C25,'Asset Allocation'!D25,'Asset Allocation'!E25,'Asset Allocation'!F25,'Asset Allocation'!H25,'Asset Allocation'!I25,'Asset Allocation'!J25,'Asset Allocation'!L25,'Asset Allocation'!M25,'Asset Allocation'!S25,'Asset Allocation'!U25,'Asset Allocation'!W25,'Asset Allocation'!X25,'Asset Allocation'!Y25,'Asset Allocation'!AB25,'Asset Allocation'!AC25,'Asset Allocation'!AI25))</f>
        <v/>
      </c>
      <c r="C25" t="str">
        <f>IF(A25="","",SUM('Asset Allocation'!G25,'Asset Allocation'!K25,'Asset Allocation'!N25,'Asset Allocation'!O25,'Asset Allocation'!P25,'Asset Allocation'!Q25,'Asset Allocation'!R25,'Asset Allocation'!T25,'Asset Allocation'!Z25,'Asset Allocation'!AA25,'Asset Allocation'!AE25,'Asset Allocation'!AF25,'Asset Allocation'!AG25))</f>
        <v/>
      </c>
      <c r="F25" t="str">
        <f>IF(A25="","",SUM('Asset Allocation'!V25))</f>
        <v/>
      </c>
      <c r="G25" t="str">
        <f>IF(A25="","",SUM('Asset Allocation'!AD25,'Asset Allocation'!AH25))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Allocation'!B26,'Asset Allocation'!C26,'Asset Allocation'!D26,'Asset Allocation'!E26,'Asset Allocation'!F26,'Asset Allocation'!H26,'Asset Allocation'!I26,'Asset Allocation'!J26,'Asset Allocation'!L26,'Asset Allocation'!M26,'Asset Allocation'!S26,'Asset Allocation'!U26,'Asset Allocation'!W26,'Asset Allocation'!X26,'Asset Allocation'!Y26,'Asset Allocation'!AB26,'Asset Allocation'!AC26,'Asset Allocation'!AI26))</f>
        <v/>
      </c>
      <c r="C26" t="str">
        <f>IF(A26="","",SUM('Asset Allocation'!G26,'Asset Allocation'!K26,'Asset Allocation'!N26,'Asset Allocation'!O26,'Asset Allocation'!P26,'Asset Allocation'!Q26,'Asset Allocation'!R26,'Asset Allocation'!T26,'Asset Allocation'!Z26,'Asset Allocation'!AA26,'Asset Allocation'!AE26,'Asset Allocation'!AF26,'Asset Allocation'!AG26))</f>
        <v/>
      </c>
      <c r="F26" t="str">
        <f>IF(A26="","",SUM('Asset Allocation'!V26))</f>
        <v/>
      </c>
      <c r="G26" t="str">
        <f>IF(A26="","",SUM('Asset Allocation'!AD26,'Asset Allocation'!AH26))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Allocation'!B27,'Asset Allocation'!C27,'Asset Allocation'!D27,'Asset Allocation'!E27,'Asset Allocation'!F27,'Asset Allocation'!H27,'Asset Allocation'!I27,'Asset Allocation'!J27,'Asset Allocation'!L27,'Asset Allocation'!M27,'Asset Allocation'!S27,'Asset Allocation'!U27,'Asset Allocation'!W27,'Asset Allocation'!X27,'Asset Allocation'!Y27,'Asset Allocation'!AB27,'Asset Allocation'!AC27,'Asset Allocation'!AI27))</f>
        <v/>
      </c>
      <c r="C27" t="str">
        <f>IF(A27="","",SUM('Asset Allocation'!G27,'Asset Allocation'!K27,'Asset Allocation'!N27,'Asset Allocation'!O27,'Asset Allocation'!P27,'Asset Allocation'!Q27,'Asset Allocation'!R27,'Asset Allocation'!T27,'Asset Allocation'!Z27,'Asset Allocation'!AA27,'Asset Allocation'!AE27,'Asset Allocation'!AF27,'Asset Allocation'!AG27))</f>
        <v/>
      </c>
      <c r="F27" t="str">
        <f>IF(A27="","",SUM('Asset Allocation'!V27))</f>
        <v/>
      </c>
      <c r="G27" t="str">
        <f>IF(A27="","",SUM('Asset Allocation'!AD27,'Asset Allocation'!AH27))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Allocation'!B28,'Asset Allocation'!C28,'Asset Allocation'!D28,'Asset Allocation'!E28,'Asset Allocation'!F28,'Asset Allocation'!H28,'Asset Allocation'!I28,'Asset Allocation'!J28,'Asset Allocation'!L28,'Asset Allocation'!M28,'Asset Allocation'!S28,'Asset Allocation'!U28,'Asset Allocation'!W28,'Asset Allocation'!X28,'Asset Allocation'!Y28,'Asset Allocation'!AB28,'Asset Allocation'!AC28,'Asset Allocation'!AI28))</f>
        <v/>
      </c>
      <c r="C28" t="str">
        <f>IF(A28="","",SUM('Asset Allocation'!G28,'Asset Allocation'!K28,'Asset Allocation'!N28,'Asset Allocation'!O28,'Asset Allocation'!P28,'Asset Allocation'!Q28,'Asset Allocation'!R28,'Asset Allocation'!T28,'Asset Allocation'!Z28,'Asset Allocation'!AA28,'Asset Allocation'!AE28,'Asset Allocation'!AF28,'Asset Allocation'!AG28))</f>
        <v/>
      </c>
      <c r="F28" t="str">
        <f>IF(A28="","",SUM('Asset Allocation'!V28))</f>
        <v/>
      </c>
      <c r="G28" t="str">
        <f>IF(A28="","",SUM('Asset Allocation'!AD28,'Asset Allocation'!AH28))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Allocation'!B29,'Asset Allocation'!C29,'Asset Allocation'!D29,'Asset Allocation'!E29,'Asset Allocation'!F29,'Asset Allocation'!H29,'Asset Allocation'!I29,'Asset Allocation'!J29,'Asset Allocation'!L29,'Asset Allocation'!M29,'Asset Allocation'!S29,'Asset Allocation'!U29,'Asset Allocation'!W29,'Asset Allocation'!X29,'Asset Allocation'!Y29,'Asset Allocation'!AB29,'Asset Allocation'!AC29,'Asset Allocation'!AI29))</f>
        <v/>
      </c>
      <c r="C29" t="str">
        <f>IF(A29="","",SUM('Asset Allocation'!G29,'Asset Allocation'!K29,'Asset Allocation'!N29,'Asset Allocation'!O29,'Asset Allocation'!P29,'Asset Allocation'!Q29,'Asset Allocation'!R29,'Asset Allocation'!T29,'Asset Allocation'!Z29,'Asset Allocation'!AA29,'Asset Allocation'!AE29,'Asset Allocation'!AF29,'Asset Allocation'!AG29))</f>
        <v/>
      </c>
      <c r="F29" t="str">
        <f>IF(A29="","",SUM('Asset Allocation'!V29))</f>
        <v/>
      </c>
      <c r="G29" t="str">
        <f>IF(A29="","",SUM('Asset Allocation'!AD29,'Asset Allocation'!AH29))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Allocation'!B30,'Asset Allocation'!C30,'Asset Allocation'!D30,'Asset Allocation'!E30,'Asset Allocation'!F30,'Asset Allocation'!H30,'Asset Allocation'!I30,'Asset Allocation'!J30,'Asset Allocation'!L30,'Asset Allocation'!M30,'Asset Allocation'!S30,'Asset Allocation'!U30,'Asset Allocation'!W30,'Asset Allocation'!X30,'Asset Allocation'!Y30,'Asset Allocation'!AB30,'Asset Allocation'!AC30,'Asset Allocation'!AI30))</f>
        <v/>
      </c>
      <c r="C30" t="str">
        <f>IF(A30="","",SUM('Asset Allocation'!G30,'Asset Allocation'!K30,'Asset Allocation'!N30,'Asset Allocation'!O30,'Asset Allocation'!P30,'Asset Allocation'!Q30,'Asset Allocation'!R30,'Asset Allocation'!T30,'Asset Allocation'!Z30,'Asset Allocation'!AA30,'Asset Allocation'!AE30,'Asset Allocation'!AF30,'Asset Allocation'!AG30))</f>
        <v/>
      </c>
      <c r="F30" t="str">
        <f>IF(A30="","",SUM('Asset Allocation'!V30))</f>
        <v/>
      </c>
      <c r="G30" t="str">
        <f>IF(A30="","",SUM('Asset Allocation'!AD30,'Asset Allocation'!AH30))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Allocation'!H31,'Asset Allocation'!I31,'Asset Allocation'!J31,'Asset Allocation'!L31,'Asset Allocation'!M31,'Asset Allocation'!S31,'Asset Allocation'!U31,'Asset Allocation'!W31,'Asset Allocation'!X31,'Asset Allocation'!Y31,'Asset Allocation'!AB31,'Asset Allocation'!AC31,'Asset Allocation'!AI31))</f>
        <v/>
      </c>
      <c r="C31" t="str">
        <f>IF(A31="","",SUM('Asset Allocation'!G31,'Asset Allocation'!K31,'Asset Allocation'!N31,'Asset Allocation'!O31,'Asset Allocation'!P31,'Asset Allocation'!Q31,'Asset Allocation'!R31,'Asset Allocation'!T31,'Asset Allocation'!Z31,'Asset Allocation'!AA31,'Asset Allocation'!AE31,'Asset Allocation'!AF31,'Asset Allocation'!AG31))</f>
        <v/>
      </c>
      <c r="F31" t="str">
        <f>IF(A31="","",SUM('Asset Allocation'!V31))</f>
        <v/>
      </c>
      <c r="G31" t="str">
        <f>IF(A31="","",SUM('Asset Allocation'!AD31,'Asset Allocation'!AH31))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Allocation'!H32,'Asset Allocation'!I32,'Asset Allocation'!J32,'Asset Allocation'!L32,'Asset Allocation'!M32,'Asset Allocation'!S32,'Asset Allocation'!U32,'Asset Allocation'!W32,'Asset Allocation'!X32,'Asset Allocation'!Y32,'Asset Allocation'!AB32,'Asset Allocation'!AC32,'Asset Allocation'!AI32))</f>
        <v/>
      </c>
      <c r="C32" t="str">
        <f>IF(A32="","",SUM('Asset Allocation'!G32,'Asset Allocation'!K32,'Asset Allocation'!N32,'Asset Allocation'!O32,'Asset Allocation'!P32,'Asset Allocation'!Q32,'Asset Allocation'!R32,'Asset Allocation'!T32,'Asset Allocation'!Z32,'Asset Allocation'!AA32,'Asset Allocation'!AE32,'Asset Allocation'!AF32,'Asset Allocation'!AG32))</f>
        <v/>
      </c>
      <c r="F32" t="str">
        <f>IF(A32="","",SUM('Asset Allocation'!V32))</f>
        <v/>
      </c>
      <c r="G32" t="str">
        <f>IF(A32="","",SUM('Asset Allocation'!AD32,'Asset Allocation'!AH32))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Allocation'!H33,'Asset Allocation'!I33,'Asset Allocation'!J33,'Asset Allocation'!L33,'Asset Allocation'!M33,'Asset Allocation'!S33,'Asset Allocation'!U33,'Asset Allocation'!W33,'Asset Allocation'!X33,'Asset Allocation'!Y33,'Asset Allocation'!AB33,'Asset Allocation'!AC33,'Asset Allocation'!AI33))</f>
        <v/>
      </c>
      <c r="C33" t="str">
        <f>IF(A33="","",SUM('Asset Allocation'!G33,'Asset Allocation'!K33,'Asset Allocation'!N33,'Asset Allocation'!O33,'Asset Allocation'!P33,'Asset Allocation'!Q33,'Asset Allocation'!R33,'Asset Allocation'!T33,'Asset Allocation'!Z33,'Asset Allocation'!AA33,'Asset Allocation'!AE33,'Asset Allocation'!AF33,'Asset Allocation'!AG33))</f>
        <v/>
      </c>
      <c r="F33" t="str">
        <f>IF(A33="","",SUM('Asset Allocation'!V33))</f>
        <v/>
      </c>
      <c r="G33" t="str">
        <f>IF(A33="","",SUM('Asset Allocation'!AD33,'Asset Allocation'!AH33))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Allocation'!H34,'Asset Allocation'!I34,'Asset Allocation'!J34,'Asset Allocation'!L34,'Asset Allocation'!M34,'Asset Allocation'!S34,'Asset Allocation'!U34,'Asset Allocation'!W34,'Asset Allocation'!X34,'Asset Allocation'!Y34,'Asset Allocation'!AB34,'Asset Allocation'!AC34,'Asset Allocation'!AI34))</f>
        <v/>
      </c>
      <c r="C34" t="str">
        <f>IF(A34="","",SUM('Asset Allocation'!G34,'Asset Allocation'!K34,'Asset Allocation'!N34,'Asset Allocation'!O34,'Asset Allocation'!P34,'Asset Allocation'!Q34,'Asset Allocation'!R34,'Asset Allocation'!T34,'Asset Allocation'!Z34,'Asset Allocation'!AA34,'Asset Allocation'!AE34,'Asset Allocation'!AF34,'Asset Allocation'!AG34))</f>
        <v/>
      </c>
      <c r="F34" t="str">
        <f>IF(A34="","",SUM('Asset Allocation'!V34))</f>
        <v/>
      </c>
      <c r="G34" t="str">
        <f>IF(A34="","",SUM('Asset Allocation'!AD34,'Asset Allocation'!AH34))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Allocation'!H35,'Asset Allocation'!I35,'Asset Allocation'!J35,'Asset Allocation'!L35,'Asset Allocation'!M35,'Asset Allocation'!S35,'Asset Allocation'!U35,'Asset Allocation'!W35,'Asset Allocation'!X35,'Asset Allocation'!Y35,'Asset Allocation'!AB35,'Asset Allocation'!AC35,'Asset Allocation'!AI35))</f>
        <v/>
      </c>
      <c r="C35" t="str">
        <f>IF(A35="","",SUM('Asset Allocation'!G35,'Asset Allocation'!K35,'Asset Allocation'!N35,'Asset Allocation'!O35,'Asset Allocation'!P35,'Asset Allocation'!Q35,'Asset Allocation'!R35,'Asset Allocation'!T35,'Asset Allocation'!Z35,'Asset Allocation'!AA35,'Asset Allocation'!AE35,'Asset Allocation'!AF35,'Asset Allocation'!AG35))</f>
        <v/>
      </c>
      <c r="F35" t="str">
        <f>IF(A35="","",SUM('Asset Allocation'!V35))</f>
        <v/>
      </c>
      <c r="G35" t="str">
        <f>IF(A35="","",SUM('Asset Allocation'!AD35,'Asset Allocation'!AH35))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Allocation'!H36,'Asset Allocation'!I36,'Asset Allocation'!J36,'Asset Allocation'!L36,'Asset Allocation'!M36,'Asset Allocation'!S36,'Asset Allocation'!U36,'Asset Allocation'!W36,'Asset Allocation'!X36,'Asset Allocation'!Y36,'Asset Allocation'!AB36,'Asset Allocation'!AC36,'Asset Allocation'!AI36))</f>
        <v/>
      </c>
      <c r="C36" t="str">
        <f>IF(A36="","",SUM('Asset Allocation'!G36,'Asset Allocation'!K36,'Asset Allocation'!N36,'Asset Allocation'!O36,'Asset Allocation'!P36,'Asset Allocation'!Q36,'Asset Allocation'!R36,'Asset Allocation'!T36,'Asset Allocation'!Z36,'Asset Allocation'!AA36,'Asset Allocation'!AE36,'Asset Allocation'!AF36,'Asset Allocation'!AG36))</f>
        <v/>
      </c>
      <c r="F36" t="str">
        <f>IF(A36="","",SUM('Asset Allocation'!V36))</f>
        <v/>
      </c>
      <c r="G36" t="str">
        <f>IF(A36="","",SUM('Asset Allocation'!AD36,'Asset Allocation'!AH36))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Allocation'!H37,'Asset Allocation'!I37,'Asset Allocation'!J37,'Asset Allocation'!L37,'Asset Allocation'!M37,'Asset Allocation'!S37,'Asset Allocation'!U37,'Asset Allocation'!W37,'Asset Allocation'!X37,'Asset Allocation'!Y37,'Asset Allocation'!AB37,'Asset Allocation'!AC37,'Asset Allocation'!AI37))</f>
        <v/>
      </c>
      <c r="C37" t="str">
        <f>IF(A37="","",SUM('Asset Allocation'!G37,'Asset Allocation'!K37,'Asset Allocation'!N37,'Asset Allocation'!O37,'Asset Allocation'!P37,'Asset Allocation'!Q37,'Asset Allocation'!R37,'Asset Allocation'!T37,'Asset Allocation'!Z37,'Asset Allocation'!AA37,'Asset Allocation'!AE37,'Asset Allocation'!AF37,'Asset Allocation'!AG37))</f>
        <v/>
      </c>
      <c r="F37" t="str">
        <f>IF(A37="","",SUM('Asset Allocation'!V37))</f>
        <v/>
      </c>
      <c r="G37" t="str">
        <f>IF(A37="","",SUM('Asset Allocation'!AD37,'Asset Allocation'!AH37))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Allocation'!H38,'Asset Allocation'!I38,'Asset Allocation'!J38,'Asset Allocation'!L38,'Asset Allocation'!M38,'Asset Allocation'!S38,'Asset Allocation'!U38,'Asset Allocation'!W38,'Asset Allocation'!X38,'Asset Allocation'!Y38,'Asset Allocation'!AB38,'Asset Allocation'!AC38,'Asset Allocation'!AI38))</f>
        <v/>
      </c>
      <c r="C38" t="str">
        <f>IF(A38="","",SUM('Asset Allocation'!G38,'Asset Allocation'!K38,'Asset Allocation'!N38,'Asset Allocation'!O38,'Asset Allocation'!P38,'Asset Allocation'!Q38,'Asset Allocation'!R38,'Asset Allocation'!T38,'Asset Allocation'!Z38,'Asset Allocation'!AA38,'Asset Allocation'!AE38,'Asset Allocation'!AF38,'Asset Allocation'!AG38))</f>
        <v/>
      </c>
      <c r="F38" t="str">
        <f>IF(A38="","",SUM('Asset Allocation'!V38))</f>
        <v/>
      </c>
      <c r="G38" t="str">
        <f>IF(A38="","",SUM('Asset Allocation'!AD38,'Asset Allocation'!AH38))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Allocation'!H39,'Asset Allocation'!I39,'Asset Allocation'!J39,'Asset Allocation'!L39,'Asset Allocation'!M39,'Asset Allocation'!S39,'Asset Allocation'!U39,'Asset Allocation'!W39,'Asset Allocation'!X39,'Asset Allocation'!Y39,'Asset Allocation'!AB39,'Asset Allocation'!AC39,'Asset Allocation'!AI39))</f>
        <v/>
      </c>
      <c r="C39" t="str">
        <f>IF(A39="","",SUM('Asset Allocation'!G39,'Asset Allocation'!K39,'Asset Allocation'!N39,'Asset Allocation'!O39,'Asset Allocation'!P39,'Asset Allocation'!Q39,'Asset Allocation'!R39,'Asset Allocation'!T39,'Asset Allocation'!Z39,'Asset Allocation'!AA39,'Asset Allocation'!AE39,'Asset Allocation'!AF39,'Asset Allocation'!AG39))</f>
        <v/>
      </c>
      <c r="F39" t="str">
        <f>IF(A39="","",SUM('Asset Allocation'!V39))</f>
        <v/>
      </c>
      <c r="G39" t="str">
        <f>IF(A39="","",SUM('Asset Allocation'!AD39,'Asset Allocation'!AH39))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Allocation'!H40,'Asset Allocation'!I40,'Asset Allocation'!J40,'Asset Allocation'!L40,'Asset Allocation'!M40,'Asset Allocation'!S40,'Asset Allocation'!U40,'Asset Allocation'!W40,'Asset Allocation'!X40,'Asset Allocation'!Y40,'Asset Allocation'!AB40,'Asset Allocation'!AC40,'Asset Allocation'!AI40))</f>
        <v/>
      </c>
      <c r="C40" t="str">
        <f>IF(A40="","",SUM('Asset Allocation'!G40,'Asset Allocation'!K40,'Asset Allocation'!N40,'Asset Allocation'!O40,'Asset Allocation'!P40,'Asset Allocation'!Q40,'Asset Allocation'!R40,'Asset Allocation'!T40,'Asset Allocation'!Z40,'Asset Allocation'!AA40,'Asset Allocation'!AE40,'Asset Allocation'!AF40,'Asset Allocation'!AG40))</f>
        <v/>
      </c>
      <c r="F40" t="str">
        <f>IF(A40="","",SUM('Asset Allocation'!V40))</f>
        <v/>
      </c>
      <c r="G40" t="str">
        <f>IF(A40="","",SUM('Asset Allocation'!AD40,'Asset Allocation'!AH40))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Allocation'!H41,'Asset Allocation'!I41,'Asset Allocation'!J41,'Asset Allocation'!L41,'Asset Allocation'!M41,'Asset Allocation'!S41,'Asset Allocation'!U41,'Asset Allocation'!W41,'Asset Allocation'!X41,'Asset Allocation'!Y41,'Asset Allocation'!AB41,'Asset Allocation'!AC41,'Asset Allocation'!AI41))</f>
        <v/>
      </c>
      <c r="C41" t="str">
        <f>IF(A41="","",SUM('Asset Allocation'!G41,'Asset Allocation'!K41,'Asset Allocation'!N41,'Asset Allocation'!O41,'Asset Allocation'!P41,'Asset Allocation'!Q41,'Asset Allocation'!R41,'Asset Allocation'!T41,'Asset Allocation'!Z41,'Asset Allocation'!AA41,'Asset Allocation'!AE41,'Asset Allocation'!AF41,'Asset Allocation'!AG41))</f>
        <v/>
      </c>
      <c r="F41" t="str">
        <f>IF(A41="","",SUM('Asset Allocation'!V41))</f>
        <v/>
      </c>
      <c r="G41" t="str">
        <f>IF(A41="","",SUM('Asset Allocation'!AD41,'Asset Allocation'!AH41))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Allocation'!H42,'Asset Allocation'!I42,'Asset Allocation'!J42,'Asset Allocation'!L42,'Asset Allocation'!M42,'Asset Allocation'!S42,'Asset Allocation'!U42,'Asset Allocation'!W42,'Asset Allocation'!X42,'Asset Allocation'!Y42,'Asset Allocation'!AB42,'Asset Allocation'!AC42,'Asset Allocation'!AI42))</f>
        <v/>
      </c>
      <c r="C42" t="str">
        <f>IF(A42="","",SUM('Asset Allocation'!G42,'Asset Allocation'!K42,'Asset Allocation'!N42,'Asset Allocation'!O42,'Asset Allocation'!P42,'Asset Allocation'!Q42,'Asset Allocation'!R42,'Asset Allocation'!T42,'Asset Allocation'!Z42,'Asset Allocation'!AA42,'Asset Allocation'!AE42,'Asset Allocation'!AF42,'Asset Allocation'!AG42))</f>
        <v/>
      </c>
      <c r="F42" t="str">
        <f>IF(A42="","",SUM('Asset Allocation'!V42))</f>
        <v/>
      </c>
      <c r="G42" t="str">
        <f>IF(A42="","",SUM('Asset Allocation'!AD42,'Asset Allocation'!AH42))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Allocation'!H43,'Asset Allocation'!I43,'Asset Allocation'!J43,'Asset Allocation'!L43,'Asset Allocation'!M43,'Asset Allocation'!S43,'Asset Allocation'!U43,'Asset Allocation'!W43,'Asset Allocation'!X43,'Asset Allocation'!Y43,'Asset Allocation'!AB43,'Asset Allocation'!AC43,'Asset Allocation'!AI43))</f>
        <v/>
      </c>
      <c r="C43" t="str">
        <f>IF(A43="","",SUM('Asset Allocation'!G43,'Asset Allocation'!K43,'Asset Allocation'!N43,'Asset Allocation'!O43,'Asset Allocation'!P43,'Asset Allocation'!Q43,'Asset Allocation'!R43,'Asset Allocation'!T43,'Asset Allocation'!Z43,'Asset Allocation'!AA43,'Asset Allocation'!AE43,'Asset Allocation'!AF43,'Asset Allocation'!AG43))</f>
        <v/>
      </c>
      <c r="F43" t="str">
        <f>IF(A43="","",SUM('Asset Allocation'!V43))</f>
        <v/>
      </c>
      <c r="G43" t="str">
        <f>IF(A43="","",SUM('Asset Allocation'!AD43,'Asset Allocation'!AH43))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Allocation'!H44,'Asset Allocation'!I44,'Asset Allocation'!J44,'Asset Allocation'!L44,'Asset Allocation'!M44,'Asset Allocation'!S44,'Asset Allocation'!U44,'Asset Allocation'!W44,'Asset Allocation'!X44,'Asset Allocation'!Y44,'Asset Allocation'!AB44,'Asset Allocation'!AC44,'Asset Allocation'!AI44))</f>
        <v/>
      </c>
      <c r="C44" t="str">
        <f>IF(A44="","",SUM('Asset Allocation'!G44,'Asset Allocation'!K44,'Asset Allocation'!N44,'Asset Allocation'!O44,'Asset Allocation'!P44,'Asset Allocation'!Q44,'Asset Allocation'!R44,'Asset Allocation'!T44,'Asset Allocation'!Z44,'Asset Allocation'!AA44,'Asset Allocation'!AE44,'Asset Allocation'!AF44,'Asset Allocation'!AG44))</f>
        <v/>
      </c>
      <c r="F44" t="str">
        <f>IF(A44="","",SUM('Asset Allocation'!V44))</f>
        <v/>
      </c>
      <c r="G44" t="str">
        <f>IF(A44="","",SUM('Asset Allocation'!AD44,'Asset Allocation'!AH44))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Allocation'!H45,'Asset Allocation'!I45,'Asset Allocation'!J45,'Asset Allocation'!L45,'Asset Allocation'!M45,'Asset Allocation'!S45,'Asset Allocation'!U45,'Asset Allocation'!W45,'Asset Allocation'!X45,'Asset Allocation'!Y45,'Asset Allocation'!AB45,'Asset Allocation'!AC45,'Asset Allocation'!AI45))</f>
        <v/>
      </c>
      <c r="C45" t="str">
        <f>IF(A45="","",SUM('Asset Allocation'!G45,'Asset Allocation'!K45,'Asset Allocation'!N45,'Asset Allocation'!O45,'Asset Allocation'!P45,'Asset Allocation'!Q45,'Asset Allocation'!R45,'Asset Allocation'!T45,'Asset Allocation'!Z45,'Asset Allocation'!AA45,'Asset Allocation'!AE45,'Asset Allocation'!AF45,'Asset Allocation'!AG45))</f>
        <v/>
      </c>
      <c r="F45" t="str">
        <f>IF(A45="","",SUM('Asset Allocation'!V45))</f>
        <v/>
      </c>
      <c r="G45" t="str">
        <f>IF(A45="","",SUM('Asset Allocation'!AD45,'Asset Allocation'!AH45))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Allocation'!H46,'Asset Allocation'!I46,'Asset Allocation'!J46,'Asset Allocation'!L46,'Asset Allocation'!M46,'Asset Allocation'!S46,'Asset Allocation'!U46,'Asset Allocation'!W46,'Asset Allocation'!X46,'Asset Allocation'!Y46,'Asset Allocation'!AB46,'Asset Allocation'!AC46,'Asset Allocation'!AI46))</f>
        <v/>
      </c>
      <c r="C46" t="str">
        <f>IF(A46="","",SUM('Asset Allocation'!G46,'Asset Allocation'!K46,'Asset Allocation'!N46,'Asset Allocation'!O46,'Asset Allocation'!P46,'Asset Allocation'!Q46,'Asset Allocation'!R46,'Asset Allocation'!T46,'Asset Allocation'!Z46,'Asset Allocation'!AA46,'Asset Allocation'!AE46,'Asset Allocation'!AF46,'Asset Allocation'!AG46))</f>
        <v/>
      </c>
      <c r="F46" t="str">
        <f>IF(A46="","",SUM('Asset Allocation'!V46))</f>
        <v/>
      </c>
      <c r="G46" t="str">
        <f>IF(A46="","",SUM('Asset Allocation'!AD46,'Asset Allocation'!AH46))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Allocation'!H47,'Asset Allocation'!I47,'Asset Allocation'!J47,'Asset Allocation'!L47,'Asset Allocation'!M47,'Asset Allocation'!S47,'Asset Allocation'!U47,'Asset Allocation'!W47,'Asset Allocation'!X47,'Asset Allocation'!Y47,'Asset Allocation'!AB47,'Asset Allocation'!AC47,'Asset Allocation'!AI47))</f>
        <v/>
      </c>
      <c r="C47" t="str">
        <f>IF(A47="","",SUM('Asset Allocation'!G47,'Asset Allocation'!K47,'Asset Allocation'!N47,'Asset Allocation'!O47,'Asset Allocation'!P47,'Asset Allocation'!Q47,'Asset Allocation'!R47,'Asset Allocation'!T47,'Asset Allocation'!Z47,'Asset Allocation'!AA47,'Asset Allocation'!AE47,'Asset Allocation'!AF47,'Asset Allocation'!AG47))</f>
        <v/>
      </c>
      <c r="F47" t="str">
        <f>IF(A47="","",SUM('Asset Allocation'!V47))</f>
        <v/>
      </c>
      <c r="G47" t="str">
        <f>IF(A47="","",SUM('Asset Allocation'!AD47,'Asset Allocation'!AH47))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Allocation'!H48,'Asset Allocation'!I48,'Asset Allocation'!J48,'Asset Allocation'!L48,'Asset Allocation'!M48,'Asset Allocation'!S48,'Asset Allocation'!U48,'Asset Allocation'!W48,'Asset Allocation'!X48,'Asset Allocation'!Y48,'Asset Allocation'!AB48,'Asset Allocation'!AC48,'Asset Allocation'!AI48))</f>
        <v/>
      </c>
      <c r="C48" t="str">
        <f>IF(A48="","",SUM('Asset Allocation'!G48,'Asset Allocation'!K48,'Asset Allocation'!N48,'Asset Allocation'!O48,'Asset Allocation'!P48,'Asset Allocation'!Q48,'Asset Allocation'!R48,'Asset Allocation'!T48,'Asset Allocation'!Z48,'Asset Allocation'!AA48,'Asset Allocation'!AE48,'Asset Allocation'!AF48,'Asset Allocation'!AG48))</f>
        <v/>
      </c>
      <c r="F48" t="str">
        <f>IF(A48="","",SUM('Asset Allocation'!V48))</f>
        <v/>
      </c>
      <c r="G48" t="str">
        <f>IF(A48="","",SUM('Asset Allocation'!AD48,'Asset Allocation'!AH48))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Allocation'!H49,'Asset Allocation'!I49,'Asset Allocation'!J49,'Asset Allocation'!L49,'Asset Allocation'!M49,'Asset Allocation'!S49,'Asset Allocation'!U49,'Asset Allocation'!W49,'Asset Allocation'!X49,'Asset Allocation'!Y49,'Asset Allocation'!AB49,'Asset Allocation'!AC49,'Asset Allocation'!AI49))</f>
        <v/>
      </c>
      <c r="C49" t="str">
        <f>IF(A49="","",SUM('Asset Allocation'!G49,'Asset Allocation'!K49,'Asset Allocation'!N49,'Asset Allocation'!O49,'Asset Allocation'!P49,'Asset Allocation'!Q49,'Asset Allocation'!R49,'Asset Allocation'!T49,'Asset Allocation'!Z49,'Asset Allocation'!AA49,'Asset Allocation'!AE49,'Asset Allocation'!AF49,'Asset Allocation'!AG49))</f>
        <v/>
      </c>
      <c r="F49" t="str">
        <f>IF(A49="","",SUM('Asset Allocation'!V49))</f>
        <v/>
      </c>
      <c r="G49" t="str">
        <f>IF(A49="","",SUM('Asset Allocation'!AD49,'Asset Allocation'!AH49))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Allocation'!H50,'Asset Allocation'!I50,'Asset Allocation'!J50,'Asset Allocation'!L50,'Asset Allocation'!M50,'Asset Allocation'!S50,'Asset Allocation'!U50,'Asset Allocation'!W50,'Asset Allocation'!X50,'Asset Allocation'!Y50,'Asset Allocation'!AB50,'Asset Allocation'!AC50,'Asset Allocation'!AI50))</f>
        <v/>
      </c>
      <c r="C50" t="str">
        <f>IF(A50="","",SUM('Asset Allocation'!G50,'Asset Allocation'!K50,'Asset Allocation'!N50,'Asset Allocation'!O50,'Asset Allocation'!P50,'Asset Allocation'!Q50,'Asset Allocation'!R50,'Asset Allocation'!T50,'Asset Allocation'!Z50,'Asset Allocation'!AA50,'Asset Allocation'!AE50,'Asset Allocation'!AF50,'Asset Allocation'!AG50))</f>
        <v/>
      </c>
      <c r="F50" t="str">
        <f>IF(A50="","",SUM('Asset Allocation'!V50))</f>
        <v/>
      </c>
      <c r="G50" t="str">
        <f>IF(A50="","",SUM('Asset Allocation'!AD50,'Asset Allocation'!AH50))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8" max="8" width="17.45312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Cautious Fund</v>
      </c>
      <c r="B2">
        <f>IFERROR(IF(A2="","",SUM('Asset Allocation'!D2,'Asset Allocation'!E2,'Asset Allocation'!M2,'Asset Allocation'!AC2)/'Broad Asset Allocation'!B2),0)</f>
        <v>0</v>
      </c>
      <c r="C2">
        <f>IFERROR(IF(A2="","",SUM('Asset Allocation'!B2,'Asset Allocation'!F2,'Asset Allocation'!H2,)/'Broad Asset Allocation'!B2),0)</f>
        <v>0</v>
      </c>
      <c r="D2">
        <f>IFERROR(IF(A2="","",SUM('Asset Allocation'!J2,'Asset Allocation'!W2,'Asset Allocation'!X2)/'Broad Asset Allocation'!B2),0)</f>
        <v>0</v>
      </c>
      <c r="E2">
        <f>IFERROR(IF(A2="","",SUM('Asset Allocation'!C2,'Asset Allocation'!S2)/'Broad Asset Allocation'!B2),0)</f>
        <v>0</v>
      </c>
      <c r="F2">
        <f>IFERROR(IF(A2="","",SUM('Asset Allocation'!AB2)/'Broad Asset Allocation'!B2),0)</f>
        <v>0</v>
      </c>
      <c r="G2">
        <f>IFERROR(IF(A2="","",SUM('Asset Allocation'!I2,'Asset Allocation'!L2,'Asset Allocation'!AI2)/'Broad Asset Allocation'!B2),0)</f>
        <v>0</v>
      </c>
      <c r="H2">
        <f>IFERROR(IF(A2="","",SUM('Asset Allocation'!U2,'Asset Allocation'!Y2)/'Broad Asset Allocation'!B2),0)</f>
        <v>0</v>
      </c>
    </row>
    <row r="3" spans="1:8" x14ac:dyDescent="0.35">
      <c r="A3" t="str">
        <f>IF(Input!A4="","",Input!A4)</f>
        <v>Income Fund</v>
      </c>
      <c r="B3">
        <f>IFERROR(IF(A3="","",SUM('Asset Allocation'!D3,'Asset Allocation'!E3,'Asset Allocation'!M3,'Asset Allocation'!AC3)/'Broad Asset Allocation'!B3),0)</f>
        <v>0</v>
      </c>
      <c r="C3">
        <f>IFERROR(IF(A3="","",SUM('Asset Allocation'!B3,'Asset Allocation'!F3,'Asset Allocation'!H3,)/'Broad Asset Allocation'!B3),0)</f>
        <v>0</v>
      </c>
      <c r="D3">
        <f>IFERROR(IF(A3="","",SUM('Asset Allocation'!J3,'Asset Allocation'!W3,'Asset Allocation'!X3)/'Broad Asset Allocation'!B3),0)</f>
        <v>0</v>
      </c>
      <c r="E3">
        <f>IFERROR(IF(A3="","",SUM('Asset Allocation'!C3,'Asset Allocation'!S3)/'Broad Asset Allocation'!B3),0)</f>
        <v>0</v>
      </c>
      <c r="F3">
        <f>IFERROR(IF(A3="","",SUM('Asset Allocation'!AB3)/'Broad Asset Allocation'!B3),0)</f>
        <v>0</v>
      </c>
      <c r="G3">
        <f>IFERROR(IF(A3="","",SUM('Asset Allocation'!I3,'Asset Allocation'!L3,'Asset Allocation'!AI3)/'Broad Asset Allocation'!B3),0)</f>
        <v>0</v>
      </c>
      <c r="H3">
        <f>IFERROR(IF(A3="","",SUM('Asset Allocation'!U3,'Asset Allocation'!Y3)/'Broad Asset Allocation'!B3),0)</f>
        <v>0</v>
      </c>
    </row>
    <row r="4" spans="1:8" x14ac:dyDescent="0.35">
      <c r="A4" t="str">
        <f>IF(Input!A5="","",Input!A5)</f>
        <v>Balanced Fund</v>
      </c>
      <c r="B4">
        <f>IFERROR(IF(A4="","",SUM('Asset Allocation'!D4,'Asset Allocation'!E4,'Asset Allocation'!M4,'Asset Allocation'!AC4)/'Broad Asset Allocation'!B4),0)</f>
        <v>0</v>
      </c>
      <c r="C4">
        <f>IFERROR(IF(A4="","",SUM('Asset Allocation'!B4,'Asset Allocation'!F4,'Asset Allocation'!H4,)/'Broad Asset Allocation'!B4),0)</f>
        <v>0</v>
      </c>
      <c r="D4">
        <f>IFERROR(IF(A4="","",SUM('Asset Allocation'!J4,'Asset Allocation'!W4,'Asset Allocation'!X4)/'Broad Asset Allocation'!B4),0)</f>
        <v>0</v>
      </c>
      <c r="E4">
        <f>IFERROR(IF(A4="","",SUM('Asset Allocation'!C4,'Asset Allocation'!S4)/'Broad Asset Allocation'!B4),0)</f>
        <v>0</v>
      </c>
      <c r="F4">
        <f>IFERROR(IF(A4="","",SUM('Asset Allocation'!AB4)/'Broad Asset Allocation'!B4),0)</f>
        <v>0</v>
      </c>
      <c r="G4">
        <f>IFERROR(IF(A4="","",SUM('Asset Allocation'!I4,'Asset Allocation'!L4,'Asset Allocation'!AI4)/'Broad Asset Allocation'!B4),0)</f>
        <v>0</v>
      </c>
      <c r="H4">
        <f>IFERROR(IF(A4="","",SUM('Asset Allocation'!U4,'Asset Allocation'!Y4)/'Broad Asset Allocation'!B4),0)</f>
        <v>0</v>
      </c>
    </row>
    <row r="5" spans="1:8" x14ac:dyDescent="0.35">
      <c r="A5" t="str">
        <f>IF(Input!A6="","",Input!A6)</f>
        <v>Growth Fund</v>
      </c>
      <c r="B5">
        <f>IFERROR(IF(A5="","",SUM('Asset Allocation'!D5,'Asset Allocation'!E5,'Asset Allocation'!M5,'Asset Allocation'!AC5)/'Broad Asset Allocation'!B5),0)</f>
        <v>0</v>
      </c>
      <c r="C5">
        <f>IFERROR(IF(A5="","",SUM('Asset Allocation'!B5,'Asset Allocation'!F5,'Asset Allocation'!H5,)/'Broad Asset Allocation'!B5),0)</f>
        <v>0</v>
      </c>
      <c r="D5">
        <f>IFERROR(IF(A5="","",SUM('Asset Allocation'!J5,'Asset Allocation'!W5,'Asset Allocation'!X5)/'Broad Asset Allocation'!B5),0)</f>
        <v>0</v>
      </c>
      <c r="E5">
        <f>IFERROR(IF(A5="","",SUM('Asset Allocation'!C5,'Asset Allocation'!S5)/'Broad Asset Allocation'!B5),0)</f>
        <v>0</v>
      </c>
      <c r="F5">
        <f>IFERROR(IF(A5="","",SUM('Asset Allocation'!AB5)/'Broad Asset Allocation'!B5),0)</f>
        <v>0</v>
      </c>
      <c r="G5">
        <f>IFERROR(IF(A5="","",SUM('Asset Allocation'!I5,'Asset Allocation'!L5,'Asset Allocation'!AI5)/'Broad Asset Allocation'!B5),0)</f>
        <v>0</v>
      </c>
      <c r="H5">
        <f>IFERROR(IF(A5="","",SUM('Asset Allocation'!U5,'Asset Allocation'!Y5)/'Broad Asset Allocation'!B5),0)</f>
        <v>0</v>
      </c>
    </row>
    <row r="6" spans="1:8" x14ac:dyDescent="0.35">
      <c r="A6" t="str">
        <f>IF(Input!A7="","",Input!A7)</f>
        <v>Dynamic Fund</v>
      </c>
      <c r="B6">
        <f>IFERROR(IF(A6="","",SUM('Asset Allocation'!D6,'Asset Allocation'!E6,'Asset Allocation'!M6,'Asset Allocation'!AC6)/'Broad Asset Allocation'!B6),0)</f>
        <v>0</v>
      </c>
      <c r="C6">
        <f>IFERROR(IF(A6="","",SUM('Asset Allocation'!B6,'Asset Allocation'!F6,'Asset Allocation'!H6,)/'Broad Asset Allocation'!B6),0)</f>
        <v>0</v>
      </c>
      <c r="D6">
        <f>IFERROR(IF(A6="","",SUM('Asset Allocation'!J6,'Asset Allocation'!W6,'Asset Allocation'!X6)/'Broad Asset Allocation'!B6),0)</f>
        <v>0</v>
      </c>
      <c r="E6">
        <f>IFERROR(IF(A6="","",SUM('Asset Allocation'!C6,'Asset Allocation'!S6)/'Broad Asset Allocation'!B6),0)</f>
        <v>0</v>
      </c>
      <c r="F6">
        <f>IFERROR(IF(A6="","",SUM('Asset Allocation'!AB6)/'Broad Asset Allocation'!B6),0)</f>
        <v>0</v>
      </c>
      <c r="G6">
        <f>IFERROR(IF(A6="","",SUM('Asset Allocation'!I6,'Asset Allocation'!L6,'Asset Allocation'!AI6)/'Broad Asset Allocation'!B6),0)</f>
        <v>0</v>
      </c>
      <c r="H6">
        <f>IFERROR(IF(A6="","",SUM('Asset Allocation'!U6,'Asset Allocation'!Y6)/'Broad Asset Allocation'!B6),0)</f>
        <v>0</v>
      </c>
    </row>
    <row r="7" spans="1:8" x14ac:dyDescent="0.35">
      <c r="A7" t="str">
        <f>IF(Input!A8="","",Input!A8)</f>
        <v/>
      </c>
      <c r="B7" t="str">
        <f>IFERROR(IF(A7="","",SUM('Asset Allocation'!D7,'Asset Allocation'!E7,'Asset Allocation'!M7,'Asset Allocation'!AC7)/'Broad Asset Allocation'!B7),0)</f>
        <v/>
      </c>
      <c r="C7" t="str">
        <f>IFERROR(IF(A7="","",SUM('Asset Allocation'!B7,'Asset Allocation'!F7,'Asset Allocation'!H7,)/'Broad Asset Allocation'!B7),0)</f>
        <v/>
      </c>
      <c r="D7" t="str">
        <f>IFERROR(IF(A7="","",SUM('Asset Allocation'!J7,'Asset Allocation'!W7,'Asset Allocation'!X7)/'Broad Asset Allocation'!B7),0)</f>
        <v/>
      </c>
      <c r="E7" t="str">
        <f>IFERROR(IF(A7="","",SUM('Asset Allocation'!C7,'Asset Allocation'!S7)/'Broad Asset Allocation'!B7),0)</f>
        <v/>
      </c>
      <c r="F7" t="str">
        <f>IFERROR(IF(A7="","",SUM('Asset Allocation'!AB7)/'Broad Asset Allocation'!B7),0)</f>
        <v/>
      </c>
      <c r="G7" t="str">
        <f>IFERROR(IF(A7="","",SUM('Asset Allocation'!I7,'Asset Allocation'!L7,'Asset Allocation'!AI7)/'Broad Asset Allocation'!B7),0)</f>
        <v/>
      </c>
      <c r="H7" t="str">
        <f>IFERROR(IF(A7="","",SUM('Asset Allocation'!U7,'Asset Allocation'!Y7)/'Broad Asset Allocation'!B7),0)</f>
        <v/>
      </c>
    </row>
    <row r="8" spans="1:8" x14ac:dyDescent="0.35">
      <c r="A8" t="str">
        <f>IF(Input!A9="","",Input!A9)</f>
        <v/>
      </c>
      <c r="B8" t="str">
        <f>IFERROR(IF(A8="","",SUM('Asset Allocation'!D8,'Asset Allocation'!E8,'Asset Allocation'!M8,'Asset Allocation'!AC8)/'Broad Asset Allocation'!B8),0)</f>
        <v/>
      </c>
      <c r="C8" t="str">
        <f>IFERROR(IF(A8="","",SUM('Asset Allocation'!B8,'Asset Allocation'!F8,'Asset Allocation'!H8,)/'Broad Asset Allocation'!B8),0)</f>
        <v/>
      </c>
      <c r="D8" t="str">
        <f>IFERROR(IF(A8="","",SUM('Asset Allocation'!J8,'Asset Allocation'!W8,'Asset Allocation'!X8)/'Broad Asset Allocation'!B8),0)</f>
        <v/>
      </c>
      <c r="E8" t="str">
        <f>IFERROR(IF(A8="","",SUM('Asset Allocation'!C8,'Asset Allocation'!S8)/'Broad Asset Allocation'!B8),0)</f>
        <v/>
      </c>
      <c r="F8" t="str">
        <f>IFERROR(IF(A8="","",SUM('Asset Allocation'!AB8)/'Broad Asset Allocation'!B8),0)</f>
        <v/>
      </c>
      <c r="G8" t="str">
        <f>IFERROR(IF(A8="","",SUM('Asset Allocation'!I8,'Asset Allocation'!L8,'Asset Allocation'!AI8)/'Broad Asset Allocation'!B8),0)</f>
        <v/>
      </c>
      <c r="H8" t="str">
        <f>IFERROR(IF(A8="","",SUM('Asset Allocation'!U8,'Asset Allocation'!Y8)/'Broad Asset Allocation'!B8),0)</f>
        <v/>
      </c>
    </row>
    <row r="9" spans="1:8" x14ac:dyDescent="0.35">
      <c r="A9" t="str">
        <f>IF(Input!A10="","",Input!A10)</f>
        <v/>
      </c>
      <c r="B9" t="str">
        <f>IFERROR(IF(A9="","",SUM('Asset Allocation'!D9,'Asset Allocation'!E9,'Asset Allocation'!M9,'Asset Allocation'!AC9)/'Broad Asset Allocation'!B9),0)</f>
        <v/>
      </c>
      <c r="C9" t="str">
        <f>IFERROR(IF(A9="","",SUM('Asset Allocation'!B9,'Asset Allocation'!F9,'Asset Allocation'!H9,)/'Broad Asset Allocation'!B9),0)</f>
        <v/>
      </c>
      <c r="D9" t="str">
        <f>IFERROR(IF(A9="","",SUM('Asset Allocation'!J9,'Asset Allocation'!W9,'Asset Allocation'!X9)/'Broad Asset Allocation'!B9),0)</f>
        <v/>
      </c>
      <c r="E9" t="str">
        <f>IFERROR(IF(A9="","",SUM('Asset Allocation'!C9,'Asset Allocation'!S9)/'Broad Asset Allocation'!B9),0)</f>
        <v/>
      </c>
      <c r="F9" t="str">
        <f>IFERROR(IF(A9="","",SUM('Asset Allocation'!AB9)/'Broad Asset Allocation'!B9),0)</f>
        <v/>
      </c>
      <c r="G9" t="str">
        <f>IFERROR(IF(A9="","",SUM('Asset Allocation'!I9,'Asset Allocation'!L9,'Asset Allocation'!AI9)/'Broad Asset Allocation'!B9),0)</f>
        <v/>
      </c>
      <c r="H9" t="str">
        <f>IFERROR(IF(A9="","",SUM('Asset Allocation'!U9,'Asset Allocation'!Y9)/'Broad Asset Allocation'!B9),0)</f>
        <v/>
      </c>
    </row>
    <row r="10" spans="1:8" x14ac:dyDescent="0.35">
      <c r="A10" t="str">
        <f>IF(Input!A11="","",Input!A11)</f>
        <v/>
      </c>
      <c r="B10" t="str">
        <f>IFERROR(IF(A10="","",SUM('Asset Allocation'!D10,'Asset Allocation'!E10,'Asset Allocation'!M10,'Asset Allocation'!AC10)/'Broad Asset Allocation'!B10),0)</f>
        <v/>
      </c>
      <c r="C10" t="str">
        <f>IFERROR(IF(A10="","",SUM('Asset Allocation'!B10,'Asset Allocation'!F10,'Asset Allocation'!H10,)/'Broad Asset Allocation'!B10),0)</f>
        <v/>
      </c>
      <c r="D10" t="str">
        <f>IFERROR(IF(A10="","",SUM('Asset Allocation'!J10,'Asset Allocation'!W10,'Asset Allocation'!X10)/'Broad Asset Allocation'!B10),0)</f>
        <v/>
      </c>
      <c r="E10" t="str">
        <f>IFERROR(IF(A10="","",SUM('Asset Allocation'!C10,'Asset Allocation'!S10)/'Broad Asset Allocation'!B10),0)</f>
        <v/>
      </c>
      <c r="F10" t="str">
        <f>IFERROR(IF(A10="","",SUM('Asset Allocation'!AB10)/'Broad Asset Allocation'!B10),0)</f>
        <v/>
      </c>
      <c r="G10" t="str">
        <f>IFERROR(IF(A10="","",SUM('Asset Allocation'!I10,'Asset Allocation'!L10,'Asset Allocation'!AI10)/'Broad Asset Allocation'!B10),0)</f>
        <v/>
      </c>
      <c r="H10" t="str">
        <f>IFERROR(IF(A10="","",SUM('Asset Allocation'!U10,'Asset Allocation'!Y10)/'Broad Asset Allocation'!B10),0)</f>
        <v/>
      </c>
    </row>
    <row r="11" spans="1:8" x14ac:dyDescent="0.35">
      <c r="A11" t="str">
        <f>IF(Input!A12="","",Input!A12)</f>
        <v/>
      </c>
      <c r="B11" t="str">
        <f>IFERROR(IF(A11="","",SUM('Asset Allocation'!D11,'Asset Allocation'!E11,'Asset Allocation'!M11,'Asset Allocation'!AC11)/'Broad Asset Allocation'!B11),0)</f>
        <v/>
      </c>
      <c r="C11" t="str">
        <f>IFERROR(IF(A11="","",SUM('Asset Allocation'!B11,'Asset Allocation'!F11,'Asset Allocation'!H11,)/'Broad Asset Allocation'!B11),0)</f>
        <v/>
      </c>
      <c r="D11" t="str">
        <f>IFERROR(IF(A11="","",SUM('Asset Allocation'!J11,'Asset Allocation'!W11,'Asset Allocation'!X11)/'Broad Asset Allocation'!B11),0)</f>
        <v/>
      </c>
      <c r="E11" t="str">
        <f>IFERROR(IF(A11="","",SUM('Asset Allocation'!C11,'Asset Allocation'!S11)/'Broad Asset Allocation'!B11),0)</f>
        <v/>
      </c>
      <c r="F11" t="str">
        <f>IFERROR(IF(A11="","",SUM('Asset Allocation'!AB11)/'Broad Asset Allocation'!B11),0)</f>
        <v/>
      </c>
      <c r="G11" t="str">
        <f>IFERROR(IF(A11="","",SUM('Asset Allocation'!I11,'Asset Allocation'!L11,'Asset Allocation'!AI11)/'Broad Asset Allocation'!B11),0)</f>
        <v/>
      </c>
      <c r="H11" t="str">
        <f>IFERROR(IF(A11="","",SUM('Asset Allocation'!U11,'Asset Allocation'!Y11)/'Broad Asset Allocation'!B11),0)</f>
        <v/>
      </c>
    </row>
    <row r="12" spans="1:8" x14ac:dyDescent="0.35">
      <c r="A12" t="str">
        <f>IF(Input!A13="","",Input!A13)</f>
        <v/>
      </c>
      <c r="B12" t="str">
        <f>IFERROR(IF(A12="","",SUM('Asset Allocation'!D12,'Asset Allocation'!E12,'Asset Allocation'!M12,'Asset Allocation'!AC12)/'Broad Asset Allocation'!B12),0)</f>
        <v/>
      </c>
      <c r="C12" t="str">
        <f>IFERROR(IF(A12="","",SUM('Asset Allocation'!B12,'Asset Allocation'!F12,'Asset Allocation'!H12,)/'Broad Asset Allocation'!B12),0)</f>
        <v/>
      </c>
      <c r="D12" t="str">
        <f>IFERROR(IF(A12="","",SUM('Asset Allocation'!J12,'Asset Allocation'!W12,'Asset Allocation'!X12)/'Broad Asset Allocation'!B12),0)</f>
        <v/>
      </c>
      <c r="E12" t="str">
        <f>IFERROR(IF(A12="","",SUM('Asset Allocation'!C12,'Asset Allocation'!S12)/'Broad Asset Allocation'!B12),0)</f>
        <v/>
      </c>
      <c r="F12" t="str">
        <f>IFERROR(IF(A12="","",SUM('Asset Allocation'!AB12)/'Broad Asset Allocation'!B12),0)</f>
        <v/>
      </c>
      <c r="G12" t="str">
        <f>IFERROR(IF(A12="","",SUM('Asset Allocation'!I12,'Asset Allocation'!L12,'Asset Allocation'!AI12)/'Broad Asset Allocation'!B12),0)</f>
        <v/>
      </c>
      <c r="H12" t="str">
        <f>IFERROR(IF(A12="","",SUM('Asset Allocation'!U12,'Asset Allocation'!Y12)/'Broad Asset Allocation'!B12),0)</f>
        <v/>
      </c>
    </row>
    <row r="13" spans="1:8" x14ac:dyDescent="0.35">
      <c r="A13" t="str">
        <f>IF(Input!A14="","",Input!A14)</f>
        <v/>
      </c>
      <c r="B13" t="str">
        <f>IFERROR(IF(A13="","",SUM('Asset Allocation'!D13,'Asset Allocation'!E13,'Asset Allocation'!M13,'Asset Allocation'!AC13)/'Broad Asset Allocation'!B13),0)</f>
        <v/>
      </c>
      <c r="C13" t="str">
        <f>IFERROR(IF(A13="","",SUM('Asset Allocation'!B13,'Asset Allocation'!F13,'Asset Allocation'!H13,)/'Broad Asset Allocation'!B13),0)</f>
        <v/>
      </c>
      <c r="D13" t="str">
        <f>IFERROR(IF(A13="","",SUM('Asset Allocation'!J13,'Asset Allocation'!W13,'Asset Allocation'!X13)/'Broad Asset Allocation'!B13),0)</f>
        <v/>
      </c>
      <c r="E13" t="str">
        <f>IFERROR(IF(A13="","",SUM('Asset Allocation'!C13,'Asset Allocation'!S13)/'Broad Asset Allocation'!B13),0)</f>
        <v/>
      </c>
      <c r="F13" t="str">
        <f>IFERROR(IF(A13="","",SUM('Asset Allocation'!AB13)/'Broad Asset Allocation'!B13),0)</f>
        <v/>
      </c>
      <c r="G13" t="str">
        <f>IFERROR(IF(A13="","",SUM('Asset Allocation'!I13,'Asset Allocation'!L13,'Asset Allocation'!AI13)/'Broad Asset Allocation'!B13),0)</f>
        <v/>
      </c>
      <c r="H13" t="str">
        <f>IFERROR(IF(A13="","",SUM('Asset Allocation'!U13,'Asset Allocation'!Y13)/'Broad Asset Allocation'!B13),0)</f>
        <v/>
      </c>
    </row>
    <row r="14" spans="1:8" x14ac:dyDescent="0.35">
      <c r="A14" t="str">
        <f>IF(Input!A15="","",Input!A15)</f>
        <v/>
      </c>
      <c r="B14" t="str">
        <f>IFERROR(IF(A14="","",SUM('Asset Allocation'!D14,'Asset Allocation'!E14,'Asset Allocation'!M14,'Asset Allocation'!AC14)/'Broad Asset Allocation'!B14),0)</f>
        <v/>
      </c>
      <c r="C14" t="str">
        <f>IFERROR(IF(A14="","",SUM('Asset Allocation'!B14,'Asset Allocation'!F14,'Asset Allocation'!H14,)/'Broad Asset Allocation'!B14),0)</f>
        <v/>
      </c>
      <c r="D14" t="str">
        <f>IFERROR(IF(A14="","",SUM('Asset Allocation'!J14,'Asset Allocation'!W14,'Asset Allocation'!X14)/'Broad Asset Allocation'!B14),0)</f>
        <v/>
      </c>
      <c r="E14" t="str">
        <f>IFERROR(IF(A14="","",SUM('Asset Allocation'!C14,'Asset Allocation'!S14)/'Broad Asset Allocation'!B14),0)</f>
        <v/>
      </c>
      <c r="F14" t="str">
        <f>IFERROR(IF(A14="","",SUM('Asset Allocation'!AB14)/'Broad Asset Allocation'!B14),0)</f>
        <v/>
      </c>
      <c r="G14" t="str">
        <f>IFERROR(IF(A14="","",SUM('Asset Allocation'!I14,'Asset Allocation'!L14,'Asset Allocation'!AI14)/'Broad Asset Allocation'!B14),0)</f>
        <v/>
      </c>
      <c r="H14" t="str">
        <f>IFERROR(IF(A14="","",SUM('Asset Allocation'!U14,'Asset Allocation'!Y14)/'Broad Asset Allocation'!B14),0)</f>
        <v/>
      </c>
    </row>
    <row r="15" spans="1:8" x14ac:dyDescent="0.35">
      <c r="A15" t="str">
        <f>IF(Input!A16="","",Input!A16)</f>
        <v/>
      </c>
      <c r="B15" t="str">
        <f>IFERROR(IF(A15="","",SUM('Asset Allocation'!D15,'Asset Allocation'!E15,'Asset Allocation'!M15,'Asset Allocation'!AC15)/'Broad Asset Allocation'!B15),0)</f>
        <v/>
      </c>
      <c r="C15" t="str">
        <f>IFERROR(IF(A15="","",SUM('Asset Allocation'!B15,'Asset Allocation'!F15,'Asset Allocation'!H15,)/'Broad Asset Allocation'!B15),0)</f>
        <v/>
      </c>
      <c r="D15" t="str">
        <f>IFERROR(IF(A15="","",SUM('Asset Allocation'!J15,'Asset Allocation'!W15,'Asset Allocation'!X15)/'Broad Asset Allocation'!B15),0)</f>
        <v/>
      </c>
      <c r="E15" t="str">
        <f>IFERROR(IF(A15="","",SUM('Asset Allocation'!C15,'Asset Allocation'!S15)/'Broad Asset Allocation'!B15),0)</f>
        <v/>
      </c>
      <c r="F15" t="str">
        <f>IFERROR(IF(A15="","",SUM('Asset Allocation'!AB15)/'Broad Asset Allocation'!B15),0)</f>
        <v/>
      </c>
      <c r="G15" t="str">
        <f>IFERROR(IF(A15="","",SUM('Asset Allocation'!I15,'Asset Allocation'!L15,'Asset Allocation'!AI15)/'Broad Asset Allocation'!B15),0)</f>
        <v/>
      </c>
      <c r="H15" t="str">
        <f>IFERROR(IF(A15="","",SUM('Asset Allocation'!U15,'Asset Allocation'!Y15)/'Broad Asset Allocation'!B15),0)</f>
        <v/>
      </c>
    </row>
    <row r="16" spans="1:8" x14ac:dyDescent="0.35">
      <c r="A16" t="str">
        <f>IF(Input!A17="","",Input!A17)</f>
        <v/>
      </c>
      <c r="B16" t="str">
        <f>IFERROR(IF(A16="","",SUM('Asset Allocation'!D16,'Asset Allocation'!E16,'Asset Allocation'!M16,'Asset Allocation'!AC16)/'Broad Asset Allocation'!B16),0)</f>
        <v/>
      </c>
      <c r="C16" t="str">
        <f>IFERROR(IF(A16="","",SUM('Asset Allocation'!B16,'Asset Allocation'!F16,'Asset Allocation'!H16,)/'Broad Asset Allocation'!B16),0)</f>
        <v/>
      </c>
      <c r="D16" t="str">
        <f>IFERROR(IF(A16="","",SUM('Asset Allocation'!J16,'Asset Allocation'!W16,'Asset Allocation'!X16)/'Broad Asset Allocation'!B16),0)</f>
        <v/>
      </c>
      <c r="E16" t="str">
        <f>IFERROR(IF(A16="","",SUM('Asset Allocation'!C16,'Asset Allocation'!S16)/'Broad Asset Allocation'!B16),0)</f>
        <v/>
      </c>
      <c r="F16" t="str">
        <f>IFERROR(IF(A16="","",SUM('Asset Allocation'!AB16)/'Broad Asset Allocation'!B16),0)</f>
        <v/>
      </c>
      <c r="G16" t="str">
        <f>IFERROR(IF(A16="","",SUM('Asset Allocation'!I16,'Asset Allocation'!L16,'Asset Allocation'!AI16)/'Broad Asset Allocation'!B16),0)</f>
        <v/>
      </c>
      <c r="H16" t="str">
        <f>IFERROR(IF(A16="","",SUM('Asset Allocation'!U16,'Asset Allocation'!Y16)/'Broad Asset Allocation'!B16),0)</f>
        <v/>
      </c>
    </row>
    <row r="17" spans="1:8" x14ac:dyDescent="0.35">
      <c r="A17" t="str">
        <f>IF(Input!A18="","",Input!A18)</f>
        <v/>
      </c>
      <c r="B17" t="str">
        <f>IFERROR(IF(A17="","",SUM('Asset Allocation'!D17,'Asset Allocation'!E17,'Asset Allocation'!M17,'Asset Allocation'!AC17)/'Broad Asset Allocation'!B17),0)</f>
        <v/>
      </c>
      <c r="C17" t="str">
        <f>IFERROR(IF(A17="","",SUM('Asset Allocation'!B17,'Asset Allocation'!F17,'Asset Allocation'!H17,)/'Broad Asset Allocation'!B17),0)</f>
        <v/>
      </c>
      <c r="D17" t="str">
        <f>IFERROR(IF(A17="","",SUM('Asset Allocation'!J17,'Asset Allocation'!W17,'Asset Allocation'!X17)/'Broad Asset Allocation'!B17),0)</f>
        <v/>
      </c>
      <c r="E17" t="str">
        <f>IFERROR(IF(A17="","",SUM('Asset Allocation'!C17,'Asset Allocation'!S17)/'Broad Asset Allocation'!B17),0)</f>
        <v/>
      </c>
      <c r="F17" t="str">
        <f>IFERROR(IF(A17="","",SUM('Asset Allocation'!AB17)/'Broad Asset Allocation'!B17),0)</f>
        <v/>
      </c>
      <c r="G17" t="str">
        <f>IFERROR(IF(A17="","",SUM('Asset Allocation'!I17,'Asset Allocation'!L17,'Asset Allocation'!AI17)/'Broad Asset Allocation'!B17),0)</f>
        <v/>
      </c>
      <c r="H17" t="str">
        <f>IFERROR(IF(A17="","",SUM('Asset Allocation'!U17,'Asset Allocation'!Y17)/'Broad Asset Allocation'!B17),0)</f>
        <v/>
      </c>
    </row>
    <row r="18" spans="1:8" x14ac:dyDescent="0.35">
      <c r="A18" t="str">
        <f>IF(Input!A19="","",Input!A19)</f>
        <v/>
      </c>
      <c r="B18" t="str">
        <f>IFERROR(IF(A18="","",SUM('Asset Allocation'!D18,'Asset Allocation'!E18,'Asset Allocation'!M18,'Asset Allocation'!AC18)/'Broad Asset Allocation'!B18),0)</f>
        <v/>
      </c>
      <c r="C18" t="str">
        <f>IFERROR(IF(A18="","",SUM('Asset Allocation'!B18,'Asset Allocation'!F18,'Asset Allocation'!H18,)/'Broad Asset Allocation'!B18),0)</f>
        <v/>
      </c>
      <c r="D18" t="str">
        <f>IFERROR(IF(A18="","",SUM('Asset Allocation'!J18,'Asset Allocation'!W18,'Asset Allocation'!X18)/'Broad Asset Allocation'!B18),0)</f>
        <v/>
      </c>
      <c r="E18" t="str">
        <f>IFERROR(IF(A18="","",SUM('Asset Allocation'!C18,'Asset Allocation'!S18)/'Broad Asset Allocation'!B18),0)</f>
        <v/>
      </c>
      <c r="F18" t="str">
        <f>IFERROR(IF(A18="","",SUM('Asset Allocation'!AB18)/'Broad Asset Allocation'!B18),0)</f>
        <v/>
      </c>
      <c r="G18" t="str">
        <f>IFERROR(IF(A18="","",SUM('Asset Allocation'!I18,'Asset Allocation'!L18,'Asset Allocation'!AI18)/'Broad Asset Allocation'!B18),0)</f>
        <v/>
      </c>
      <c r="H18" t="str">
        <f>IFERROR(IF(A18="","",SUM('Asset Allocation'!U18,'Asset Allocation'!Y18)/'Broad Asset Allocation'!B18),0)</f>
        <v/>
      </c>
    </row>
    <row r="19" spans="1:8" x14ac:dyDescent="0.35">
      <c r="A19" t="str">
        <f>IF(Input!A20="","",Input!A20)</f>
        <v/>
      </c>
      <c r="B19" t="str">
        <f>IFERROR(IF(A19="","",SUM('Asset Allocation'!D19,'Asset Allocation'!E19,'Asset Allocation'!M19,'Asset Allocation'!AC19)/'Broad Asset Allocation'!B19),0)</f>
        <v/>
      </c>
      <c r="C19" t="str">
        <f>IFERROR(IF(A19="","",SUM('Asset Allocation'!B19,'Asset Allocation'!F19,'Asset Allocation'!H19,)/'Broad Asset Allocation'!B19),0)</f>
        <v/>
      </c>
      <c r="D19" t="str">
        <f>IFERROR(IF(A19="","",SUM('Asset Allocation'!J19,'Asset Allocation'!W19,'Asset Allocation'!X19)/'Broad Asset Allocation'!B19),0)</f>
        <v/>
      </c>
      <c r="E19" t="str">
        <f>IFERROR(IF(A19="","",SUM('Asset Allocation'!C19,'Asset Allocation'!S19)/'Broad Asset Allocation'!B19),0)</f>
        <v/>
      </c>
      <c r="F19" t="str">
        <f>IFERROR(IF(A19="","",SUM('Asset Allocation'!AB19)/'Broad Asset Allocation'!B19),0)</f>
        <v/>
      </c>
      <c r="G19" t="str">
        <f>IFERROR(IF(A19="","",SUM('Asset Allocation'!I19,'Asset Allocation'!L19,'Asset Allocation'!AI19)/'Broad Asset Allocation'!B19),0)</f>
        <v/>
      </c>
      <c r="H19" t="str">
        <f>IFERROR(IF(A19="","",SUM('Asset Allocation'!U19,'Asset Allocation'!Y19)/'Broad Asset Allocation'!B19),0)</f>
        <v/>
      </c>
    </row>
    <row r="20" spans="1:8" x14ac:dyDescent="0.35">
      <c r="A20" t="str">
        <f>IF(Input!A21="","",Input!A21)</f>
        <v/>
      </c>
      <c r="B20" t="str">
        <f>IFERROR(IF(A20="","",SUM('Asset Allocation'!D20,'Asset Allocation'!E20,'Asset Allocation'!M20,'Asset Allocation'!AC20)/'Broad Asset Allocation'!B20),0)</f>
        <v/>
      </c>
      <c r="C20" t="str">
        <f>IFERROR(IF(A20="","",SUM('Asset Allocation'!B20,'Asset Allocation'!F20,'Asset Allocation'!H20,)/'Broad Asset Allocation'!B20),0)</f>
        <v/>
      </c>
      <c r="D20" t="str">
        <f>IFERROR(IF(A20="","",SUM('Asset Allocation'!J20,'Asset Allocation'!W20,'Asset Allocation'!X20)/'Broad Asset Allocation'!B20),0)</f>
        <v/>
      </c>
      <c r="E20" t="str">
        <f>IFERROR(IF(A20="","",SUM('Asset Allocation'!C20,'Asset Allocation'!S20)/'Broad Asset Allocation'!B20),0)</f>
        <v/>
      </c>
      <c r="F20" t="str">
        <f>IFERROR(IF(A20="","",SUM('Asset Allocation'!AB20)/'Broad Asset Allocation'!B20),0)</f>
        <v/>
      </c>
      <c r="G20" t="str">
        <f>IFERROR(IF(A20="","",SUM('Asset Allocation'!I20,'Asset Allocation'!L20,'Asset Allocation'!AI20)/'Broad Asset Allocation'!B20),0)</f>
        <v/>
      </c>
      <c r="H20" t="str">
        <f>IFERROR(IF(A20="","",SUM('Asset Allocation'!U20,'Asset Allocation'!Y20)/'Broad Asset Allocation'!B20),0)</f>
        <v/>
      </c>
    </row>
    <row r="21" spans="1:8" x14ac:dyDescent="0.35">
      <c r="A21" t="str">
        <f>IF(Input!A22="","",Input!A22)</f>
        <v/>
      </c>
      <c r="B21" t="str">
        <f>IFERROR(IF(A21="","",SUM('Asset Allocation'!D21,'Asset Allocation'!E21,'Asset Allocation'!M21,'Asset Allocation'!AC21)/'Broad Asset Allocation'!B21),0)</f>
        <v/>
      </c>
      <c r="C21" t="str">
        <f>IFERROR(IF(A21="","",SUM('Asset Allocation'!B21,'Asset Allocation'!F21,'Asset Allocation'!H21,)/'Broad Asset Allocation'!B21),0)</f>
        <v/>
      </c>
      <c r="D21" t="str">
        <f>IFERROR(IF(A21="","",SUM('Asset Allocation'!J21,'Asset Allocation'!W21,'Asset Allocation'!X21)/'Broad Asset Allocation'!B21),0)</f>
        <v/>
      </c>
      <c r="E21" t="str">
        <f>IFERROR(IF(A21="","",SUM('Asset Allocation'!C21,'Asset Allocation'!S21)/'Broad Asset Allocation'!B21),0)</f>
        <v/>
      </c>
      <c r="F21" t="str">
        <f>IFERROR(IF(A21="","",SUM('Asset Allocation'!AB21)/'Broad Asset Allocation'!B21),0)</f>
        <v/>
      </c>
      <c r="G21" t="str">
        <f>IFERROR(IF(A21="","",SUM('Asset Allocation'!I21,'Asset Allocation'!L21,'Asset Allocation'!AI21)/'Broad Asset Allocation'!B21),0)</f>
        <v/>
      </c>
      <c r="H21" t="str">
        <f>IFERROR(IF(A21="","",SUM('Asset Allocation'!U21,'Asset Allocation'!Y21)/'Broad Asset Allocation'!B21),0)</f>
        <v/>
      </c>
    </row>
    <row r="22" spans="1:8" x14ac:dyDescent="0.35">
      <c r="A22" t="str">
        <f>IF(Input!A23="","",Input!A23)</f>
        <v/>
      </c>
      <c r="B22" t="str">
        <f>IFERROR(IF(A22="","",SUM('Asset Allocation'!D22,'Asset Allocation'!E22,'Asset Allocation'!M22,'Asset Allocation'!AC22)/'Broad Asset Allocation'!B22),0)</f>
        <v/>
      </c>
      <c r="C22" t="str">
        <f>IFERROR(IF(A22="","",SUM('Asset Allocation'!B22,'Asset Allocation'!F22,'Asset Allocation'!H22,)/'Broad Asset Allocation'!B22),0)</f>
        <v/>
      </c>
      <c r="D22" t="str">
        <f>IFERROR(IF(A22="","",SUM('Asset Allocation'!J22,'Asset Allocation'!W22,'Asset Allocation'!X22)/'Broad Asset Allocation'!B22),0)</f>
        <v/>
      </c>
      <c r="E22" t="str">
        <f>IFERROR(IF(A22="","",SUM('Asset Allocation'!C22,'Asset Allocation'!S22)/'Broad Asset Allocation'!B22),0)</f>
        <v/>
      </c>
      <c r="F22" t="str">
        <f>IFERROR(IF(A22="","",SUM('Asset Allocation'!AB22)/'Broad Asset Allocation'!B22),0)</f>
        <v/>
      </c>
      <c r="G22" t="str">
        <f>IFERROR(IF(A22="","",SUM('Asset Allocation'!I22,'Asset Allocation'!L22,'Asset Allocation'!AI22)/'Broad Asset Allocation'!B22),0)</f>
        <v/>
      </c>
      <c r="H22" t="str">
        <f>IFERROR(IF(A22="","",SUM('Asset Allocation'!U22,'Asset Allocation'!Y22)/'Broad Asset Allocation'!B22),0)</f>
        <v/>
      </c>
    </row>
    <row r="23" spans="1:8" x14ac:dyDescent="0.35">
      <c r="A23" t="str">
        <f>IF(Input!A24="","",Input!A24)</f>
        <v/>
      </c>
      <c r="B23" t="str">
        <f>IFERROR(IF(A23="","",SUM('Asset Allocation'!D23,'Asset Allocation'!E23,'Asset Allocation'!M23,'Asset Allocation'!AC23)/'Broad Asset Allocation'!B23),0)</f>
        <v/>
      </c>
      <c r="C23" t="str">
        <f>IFERROR(IF(A23="","",SUM('Asset Allocation'!B23,'Asset Allocation'!F23,'Asset Allocation'!H23,)/'Broad Asset Allocation'!B23),0)</f>
        <v/>
      </c>
      <c r="D23" t="str">
        <f>IFERROR(IF(A23="","",SUM('Asset Allocation'!J23,'Asset Allocation'!W23,'Asset Allocation'!X23)/'Broad Asset Allocation'!B23),0)</f>
        <v/>
      </c>
      <c r="E23" t="str">
        <f>IFERROR(IF(A23="","",SUM('Asset Allocation'!C23,'Asset Allocation'!S23)/'Broad Asset Allocation'!B23),0)</f>
        <v/>
      </c>
      <c r="F23" t="str">
        <f>IFERROR(IF(A23="","",SUM('Asset Allocation'!AB23)/'Broad Asset Allocation'!B23),0)</f>
        <v/>
      </c>
      <c r="G23" t="str">
        <f>IFERROR(IF(A23="","",SUM('Asset Allocation'!I23,'Asset Allocation'!L23,'Asset Allocation'!AI23)/'Broad Asset Allocation'!B23),0)</f>
        <v/>
      </c>
      <c r="H23" t="str">
        <f>IFERROR(IF(A23="","",SUM('Asset Allocation'!U23,'Asset Allocation'!Y23)/'Broad Asset Allocation'!B23),0)</f>
        <v/>
      </c>
    </row>
    <row r="24" spans="1:8" x14ac:dyDescent="0.35">
      <c r="A24" t="str">
        <f>IF(Input!A25="","",Input!A25)</f>
        <v/>
      </c>
      <c r="B24" t="str">
        <f>IFERROR(IF(A24="","",SUM('Asset Allocation'!D24,'Asset Allocation'!E24,'Asset Allocation'!M24,'Asset Allocation'!AC24)/'Broad Asset Allocation'!B24),0)</f>
        <v/>
      </c>
      <c r="C24" t="str">
        <f>IFERROR(IF(A24="","",SUM('Asset Allocation'!B24,'Asset Allocation'!F24,'Asset Allocation'!H24,)/'Broad Asset Allocation'!B24),0)</f>
        <v/>
      </c>
      <c r="D24" t="str">
        <f>IFERROR(IF(A24="","",SUM('Asset Allocation'!J24,'Asset Allocation'!W24,'Asset Allocation'!X24)/'Broad Asset Allocation'!B24),0)</f>
        <v/>
      </c>
      <c r="E24" t="str">
        <f>IFERROR(IF(A24="","",SUM('Asset Allocation'!C24,'Asset Allocation'!S24)/'Broad Asset Allocation'!B24),0)</f>
        <v/>
      </c>
      <c r="F24" t="str">
        <f>IFERROR(IF(A24="","",SUM('Asset Allocation'!AB24)/'Broad Asset Allocation'!B24),0)</f>
        <v/>
      </c>
      <c r="G24" t="str">
        <f>IFERROR(IF(A24="","",SUM('Asset Allocation'!I24,'Asset Allocation'!L24,'Asset Allocation'!AI24)/'Broad Asset Allocation'!B24),0)</f>
        <v/>
      </c>
      <c r="H24" t="str">
        <f>IFERROR(IF(A24="","",SUM('Asset Allocation'!U24,'Asset Allocation'!Y24)/'Broad Asset Allocation'!B24),0)</f>
        <v/>
      </c>
    </row>
    <row r="25" spans="1:8" x14ac:dyDescent="0.35">
      <c r="A25" t="str">
        <f>IF(Input!A26="","",Input!A26)</f>
        <v/>
      </c>
      <c r="B25" t="str">
        <f>IFERROR(IF(A25="","",SUM('Asset Allocation'!D25,'Asset Allocation'!E25,'Asset Allocation'!M25,'Asset Allocation'!AC25)/'Broad Asset Allocation'!B25),0)</f>
        <v/>
      </c>
      <c r="C25" t="str">
        <f>IFERROR(IF(A25="","",SUM('Asset Allocation'!B25,'Asset Allocation'!F25,'Asset Allocation'!H25,)/'Broad Asset Allocation'!B25),0)</f>
        <v/>
      </c>
      <c r="D25" t="str">
        <f>IFERROR(IF(A25="","",SUM('Asset Allocation'!J25,'Asset Allocation'!W25,'Asset Allocation'!X25)/'Broad Asset Allocation'!B25),0)</f>
        <v/>
      </c>
      <c r="E25" t="str">
        <f>IFERROR(IF(A25="","",SUM('Asset Allocation'!C25,'Asset Allocation'!S25)/'Broad Asset Allocation'!B25),0)</f>
        <v/>
      </c>
      <c r="F25" t="str">
        <f>IFERROR(IF(A25="","",SUM('Asset Allocation'!AB25)/'Broad Asset Allocation'!B25),0)</f>
        <v/>
      </c>
      <c r="G25" t="str">
        <f>IFERROR(IF(A25="","",SUM('Asset Allocation'!I25,'Asset Allocation'!L25,'Asset Allocation'!AI25)/'Broad Asset Allocation'!B25),0)</f>
        <v/>
      </c>
      <c r="H25" t="str">
        <f>IFERROR(IF(A25="","",SUM('Asset Allocation'!U25,'Asset Allocation'!Y25)/'Broad Asset Allocation'!B25),0)</f>
        <v/>
      </c>
    </row>
    <row r="26" spans="1:8" x14ac:dyDescent="0.35">
      <c r="A26" t="str">
        <f>IF(Input!A27="","",Input!A27)</f>
        <v/>
      </c>
      <c r="B26" t="str">
        <f>IFERROR(IF(A26="","",SUM('Asset Allocation'!D26,'Asset Allocation'!E26,'Asset Allocation'!M26,'Asset Allocation'!AC26)/'Broad Asset Allocation'!B26),0)</f>
        <v/>
      </c>
      <c r="C26" t="str">
        <f>IFERROR(IF(A26="","",SUM('Asset Allocation'!B26,'Asset Allocation'!F26,'Asset Allocation'!H26,)/'Broad Asset Allocation'!B26),0)</f>
        <v/>
      </c>
      <c r="D26" t="str">
        <f>IFERROR(IF(A26="","",SUM('Asset Allocation'!J26,'Asset Allocation'!W26,'Asset Allocation'!X26)/'Broad Asset Allocation'!B26),0)</f>
        <v/>
      </c>
      <c r="E26" t="str">
        <f>IFERROR(IF(A26="","",SUM('Asset Allocation'!C26,'Asset Allocation'!S26)/'Broad Asset Allocation'!B26),0)</f>
        <v/>
      </c>
      <c r="F26" t="str">
        <f>IFERROR(IF(A26="","",SUM('Asset Allocation'!AB26)/'Broad Asset Allocation'!B26),0)</f>
        <v/>
      </c>
      <c r="G26" t="str">
        <f>IFERROR(IF(A26="","",SUM('Asset Allocation'!I26,'Asset Allocation'!L26,'Asset Allocation'!AI26)/'Broad Asset Allocation'!B26),0)</f>
        <v/>
      </c>
      <c r="H26" t="str">
        <f>IFERROR(IF(A26="","",SUM('Asset Allocation'!U26,'Asset Allocation'!Y26)/'Broad Asset Allocation'!B26),0)</f>
        <v/>
      </c>
    </row>
    <row r="27" spans="1:8" x14ac:dyDescent="0.35">
      <c r="A27" t="str">
        <f>IF(Input!A28="","",Input!A28)</f>
        <v/>
      </c>
      <c r="B27" t="str">
        <f>IFERROR(IF(A27="","",SUM('Asset Allocation'!D27,'Asset Allocation'!E27,'Asset Allocation'!M27,'Asset Allocation'!AC27)/'Broad Asset Allocation'!B27),0)</f>
        <v/>
      </c>
      <c r="C27" t="str">
        <f>IFERROR(IF(A27="","",SUM('Asset Allocation'!B27,'Asset Allocation'!F27,'Asset Allocation'!H27,)/'Broad Asset Allocation'!B27),0)</f>
        <v/>
      </c>
      <c r="D27" t="str">
        <f>IFERROR(IF(A27="","",SUM('Asset Allocation'!J27,'Asset Allocation'!W27,'Asset Allocation'!X27)/'Broad Asset Allocation'!B27),0)</f>
        <v/>
      </c>
      <c r="E27" t="str">
        <f>IFERROR(IF(A27="","",SUM('Asset Allocation'!C27,'Asset Allocation'!S27)/'Broad Asset Allocation'!B27),0)</f>
        <v/>
      </c>
      <c r="F27" t="str">
        <f>IFERROR(IF(A27="","",SUM('Asset Allocation'!AB27)/'Broad Asset Allocation'!B27),0)</f>
        <v/>
      </c>
      <c r="G27" t="str">
        <f>IFERROR(IF(A27="","",SUM('Asset Allocation'!I27,'Asset Allocation'!L27,'Asset Allocation'!AI27)/'Broad Asset Allocation'!B27),0)</f>
        <v/>
      </c>
      <c r="H27" t="str">
        <f>IFERROR(IF(A27="","",SUM('Asset Allocation'!U27,'Asset Allocation'!Y27)/'Broad Asset Allocation'!B27),0)</f>
        <v/>
      </c>
    </row>
    <row r="28" spans="1:8" x14ac:dyDescent="0.35">
      <c r="A28" t="str">
        <f>IF(Input!A29="","",Input!A29)</f>
        <v/>
      </c>
      <c r="B28" t="str">
        <f>IFERROR(IF(A28="","",SUM('Asset Allocation'!D28,'Asset Allocation'!E28,'Asset Allocation'!M28,'Asset Allocation'!AC28)/'Broad Asset Allocation'!B28),0)</f>
        <v/>
      </c>
      <c r="C28" t="str">
        <f>IFERROR(IF(A28="","",SUM('Asset Allocation'!B28,'Asset Allocation'!F28,'Asset Allocation'!H28,)/'Broad Asset Allocation'!B28),0)</f>
        <v/>
      </c>
      <c r="D28" t="str">
        <f>IFERROR(IF(A28="","",SUM('Asset Allocation'!J28,'Asset Allocation'!W28,'Asset Allocation'!X28)/'Broad Asset Allocation'!B28),0)</f>
        <v/>
      </c>
      <c r="E28" t="str">
        <f>IFERROR(IF(A28="","",SUM('Asset Allocation'!C28,'Asset Allocation'!S28)/'Broad Asset Allocation'!B28),0)</f>
        <v/>
      </c>
      <c r="F28" t="str">
        <f>IFERROR(IF(A28="","",SUM('Asset Allocation'!AB28)/'Broad Asset Allocation'!B28),0)</f>
        <v/>
      </c>
      <c r="G28" t="str">
        <f>IFERROR(IF(A28="","",SUM('Asset Allocation'!I28,'Asset Allocation'!L28,'Asset Allocation'!AI28)/'Broad Asset Allocation'!B28),0)</f>
        <v/>
      </c>
      <c r="H28" t="str">
        <f>IFERROR(IF(A28="","",SUM('Asset Allocation'!U28,'Asset Allocation'!Y28)/'Broad Asset Allocation'!B28),0)</f>
        <v/>
      </c>
    </row>
    <row r="29" spans="1:8" x14ac:dyDescent="0.35">
      <c r="A29" t="str">
        <f>IF(Input!A30="","",Input!A30)</f>
        <v/>
      </c>
      <c r="B29" t="str">
        <f>IFERROR(IF(A29="","",SUM('Asset Allocation'!D29,'Asset Allocation'!E29,'Asset Allocation'!M29,'Asset Allocation'!AC29)/'Broad Asset Allocation'!B29),0)</f>
        <v/>
      </c>
      <c r="C29" t="str">
        <f>IFERROR(IF(A29="","",SUM('Asset Allocation'!B29,'Asset Allocation'!F29,'Asset Allocation'!H29,)/'Broad Asset Allocation'!B29),0)</f>
        <v/>
      </c>
      <c r="D29" t="str">
        <f>IFERROR(IF(A29="","",SUM('Asset Allocation'!J29,'Asset Allocation'!W29,'Asset Allocation'!X29)/'Broad Asset Allocation'!B29),0)</f>
        <v/>
      </c>
      <c r="E29" t="str">
        <f>IFERROR(IF(A29="","",SUM('Asset Allocation'!C29,'Asset Allocation'!S29)/'Broad Asset Allocation'!B29),0)</f>
        <v/>
      </c>
      <c r="F29" t="str">
        <f>IFERROR(IF(A29="","",SUM('Asset Allocation'!AB29)/'Broad Asset Allocation'!B29),0)</f>
        <v/>
      </c>
      <c r="G29" t="str">
        <f>IFERROR(IF(A29="","",SUM('Asset Allocation'!I29,'Asset Allocation'!L29,'Asset Allocation'!AI29)/'Broad Asset Allocation'!B29),0)</f>
        <v/>
      </c>
      <c r="H29" t="str">
        <f>IFERROR(IF(A29="","",SUM('Asset Allocation'!U29,'Asset Allocation'!Y29)/'Broad Asset Allocation'!B29),0)</f>
        <v/>
      </c>
    </row>
    <row r="30" spans="1:8" x14ac:dyDescent="0.35">
      <c r="A30" t="str">
        <f>IF(Input!A31="","",Input!A31)</f>
        <v/>
      </c>
      <c r="B30" t="str">
        <f>IFERROR(IF(A30="","",SUM('Asset Allocation'!D30,'Asset Allocation'!E30,'Asset Allocation'!M30,'Asset Allocation'!AC30)/'Broad Asset Allocation'!B30),0)</f>
        <v/>
      </c>
      <c r="C30" t="str">
        <f>IFERROR(IF(A30="","",SUM('Asset Allocation'!B30,'Asset Allocation'!F30,'Asset Allocation'!H30,)/'Broad Asset Allocation'!B30),0)</f>
        <v/>
      </c>
      <c r="D30" t="str">
        <f>IFERROR(IF(A30="","",SUM('Asset Allocation'!J30,'Asset Allocation'!W30,'Asset Allocation'!X30)/'Broad Asset Allocation'!B30),0)</f>
        <v/>
      </c>
      <c r="E30" t="str">
        <f>IFERROR(IF(A30="","",SUM('Asset Allocation'!C30,'Asset Allocation'!S30)/'Broad Asset Allocation'!B30),0)</f>
        <v/>
      </c>
      <c r="F30" t="str">
        <f>IFERROR(IF(A30="","",SUM('Asset Allocation'!AB30)/'Broad Asset Allocation'!B30),0)</f>
        <v/>
      </c>
      <c r="G30" t="str">
        <f>IFERROR(IF(A30="","",SUM('Asset Allocation'!I30,'Asset Allocation'!L30,'Asset Allocation'!AI30)/'Broad Asset Allocation'!B30),0)</f>
        <v/>
      </c>
      <c r="H30" t="str">
        <f>IFERROR(IF(A30="","",SUM('Asset Allocation'!U30,'Asset Allocation'!Y30)/'Broad Asset Allocation'!B30),0)</f>
        <v/>
      </c>
    </row>
    <row r="31" spans="1:8" x14ac:dyDescent="0.35">
      <c r="A31" t="str">
        <f>IF(Input!A32="","",Input!A32)</f>
        <v/>
      </c>
      <c r="B31" t="str">
        <f>IFERROR(IF(A31="","",SUM('Asset Allocation'!D31,'Asset Allocation'!E31,'Asset Allocation'!M31,'Asset Allocation'!AC31)/'Broad Asset Allocation'!B31),0)</f>
        <v/>
      </c>
      <c r="C31" t="str">
        <f>IFERROR(IF(A31="","",SUM('Asset Allocation'!B31,'Asset Allocation'!F31,'Asset Allocation'!H31,)/'Broad Asset Allocation'!B31),0)</f>
        <v/>
      </c>
      <c r="D31" t="str">
        <f>IFERROR(IF(A31="","",SUM('Asset Allocation'!J31,'Asset Allocation'!W31,'Asset Allocation'!X31)/'Broad Asset Allocation'!B31),0)</f>
        <v/>
      </c>
      <c r="E31" t="str">
        <f>IFERROR(IF(A31="","",SUM('Asset Allocation'!C31,'Asset Allocation'!S31)/'Broad Asset Allocation'!B31),0)</f>
        <v/>
      </c>
      <c r="F31" t="str">
        <f>IFERROR(IF(A31="","",SUM('Asset Allocation'!AB31)/'Broad Asset Allocation'!B31),0)</f>
        <v/>
      </c>
      <c r="G31" t="str">
        <f>IFERROR(IF(A31="","",SUM('Asset Allocation'!I31,'Asset Allocation'!L31,'Asset Allocation'!AI31)/'Broad Asset Allocation'!B31),0)</f>
        <v/>
      </c>
      <c r="H31" t="str">
        <f>IFERROR(IF(A31="","",SUM('Asset Allocation'!U31,'Asset Allocation'!Y31)/'Broad Asset Allocation'!B31),0)</f>
        <v/>
      </c>
    </row>
    <row r="32" spans="1:8" x14ac:dyDescent="0.35">
      <c r="A32" t="str">
        <f>IF(Input!A33="","",Input!A33)</f>
        <v/>
      </c>
      <c r="B32" t="str">
        <f>IFERROR(IF(A32="","",SUM('Asset Allocation'!D32,'Asset Allocation'!E32,'Asset Allocation'!M32,'Asset Allocation'!AC32)/'Broad Asset Allocation'!B32),0)</f>
        <v/>
      </c>
      <c r="C32" t="str">
        <f>IFERROR(IF(A32="","",SUM('Asset Allocation'!B32,'Asset Allocation'!F32,'Asset Allocation'!H32,)/'Broad Asset Allocation'!B32),0)</f>
        <v/>
      </c>
      <c r="D32" t="str">
        <f>IFERROR(IF(A32="","",SUM('Asset Allocation'!J32,'Asset Allocation'!W32,'Asset Allocation'!X32)/'Broad Asset Allocation'!B32),0)</f>
        <v/>
      </c>
      <c r="E32" t="str">
        <f>IFERROR(IF(A32="","",SUM('Asset Allocation'!C32,'Asset Allocation'!S32)/'Broad Asset Allocation'!B32),0)</f>
        <v/>
      </c>
      <c r="F32" t="str">
        <f>IFERROR(IF(A32="","",SUM('Asset Allocation'!AB32)/'Broad Asset Allocation'!B32),0)</f>
        <v/>
      </c>
      <c r="G32" t="str">
        <f>IFERROR(IF(A32="","",SUM('Asset Allocation'!I32,'Asset Allocation'!L32,'Asset Allocation'!AI32)/'Broad Asset Allocation'!B32),0)</f>
        <v/>
      </c>
      <c r="H32" t="str">
        <f>IFERROR(IF(A32="","",SUM('Asset Allocation'!U32,'Asset Allocation'!Y32)/'Broad Asset Allocation'!B32),0)</f>
        <v/>
      </c>
    </row>
    <row r="33" spans="1:8" x14ac:dyDescent="0.35">
      <c r="A33" t="str">
        <f>IF(Input!A34="","",Input!A34)</f>
        <v/>
      </c>
      <c r="B33" t="str">
        <f>IFERROR(IF(A33="","",SUM('Asset Allocation'!D33,'Asset Allocation'!E33,'Asset Allocation'!M33,'Asset Allocation'!AC33)/'Broad Asset Allocation'!B33),0)</f>
        <v/>
      </c>
      <c r="C33" t="str">
        <f>IFERROR(IF(A33="","",SUM('Asset Allocation'!B33,'Asset Allocation'!F33,'Asset Allocation'!H33,)/'Broad Asset Allocation'!B33),0)</f>
        <v/>
      </c>
      <c r="D33" t="str">
        <f>IFERROR(IF(A33="","",SUM('Asset Allocation'!J33,'Asset Allocation'!W33,'Asset Allocation'!X33)/'Broad Asset Allocation'!B33),0)</f>
        <v/>
      </c>
      <c r="E33" t="str">
        <f>IFERROR(IF(A33="","",SUM('Asset Allocation'!C33,'Asset Allocation'!S33)/'Broad Asset Allocation'!B33),0)</f>
        <v/>
      </c>
      <c r="F33" t="str">
        <f>IFERROR(IF(A33="","",SUM('Asset Allocation'!AB33)/'Broad Asset Allocation'!B33),0)</f>
        <v/>
      </c>
      <c r="G33" t="str">
        <f>IFERROR(IF(A33="","",SUM('Asset Allocation'!I33,'Asset Allocation'!L33,'Asset Allocation'!AI33)/'Broad Asset Allocation'!B33),0)</f>
        <v/>
      </c>
      <c r="H33" t="str">
        <f>IFERROR(IF(A33="","",SUM('Asset Allocation'!U33,'Asset Allocation'!Y33)/'Broad Asset Allocation'!B33),0)</f>
        <v/>
      </c>
    </row>
    <row r="34" spans="1:8" x14ac:dyDescent="0.35">
      <c r="A34" t="str">
        <f>IF(Input!A35="","",Input!A35)</f>
        <v/>
      </c>
      <c r="B34" t="str">
        <f>IFERROR(IF(A34="","",SUM('Asset Allocation'!D34,'Asset Allocation'!E34,'Asset Allocation'!M34,'Asset Allocation'!AC34)/'Broad Asset Allocation'!B34),0)</f>
        <v/>
      </c>
      <c r="C34" t="str">
        <f>IFERROR(IF(A34="","",SUM('Asset Allocation'!B34,'Asset Allocation'!F34,'Asset Allocation'!H34,)/'Broad Asset Allocation'!B34),0)</f>
        <v/>
      </c>
      <c r="D34" t="str">
        <f>IFERROR(IF(A34="","",SUM('Asset Allocation'!J34,'Asset Allocation'!W34,'Asset Allocation'!X34)/'Broad Asset Allocation'!B34),0)</f>
        <v/>
      </c>
      <c r="E34" t="str">
        <f>IFERROR(IF(A34="","",SUM('Asset Allocation'!C34,'Asset Allocation'!S34)/'Broad Asset Allocation'!B34),0)</f>
        <v/>
      </c>
      <c r="F34" t="str">
        <f>IFERROR(IF(A34="","",SUM('Asset Allocation'!AB34)/'Broad Asset Allocation'!B34),0)</f>
        <v/>
      </c>
      <c r="G34" t="str">
        <f>IFERROR(IF(A34="","",SUM('Asset Allocation'!I34,'Asset Allocation'!L34,'Asset Allocation'!AI34)/'Broad Asset Allocation'!B34),0)</f>
        <v/>
      </c>
      <c r="H34" t="str">
        <f>IFERROR(IF(A34="","",SUM('Asset Allocation'!U34,'Asset Allocation'!Y34)/'Broad Asset Allocation'!B34),0)</f>
        <v/>
      </c>
    </row>
    <row r="35" spans="1:8" x14ac:dyDescent="0.35">
      <c r="A35" t="str">
        <f>IF(Input!A36="","",Input!A36)</f>
        <v/>
      </c>
      <c r="B35" t="str">
        <f>IFERROR(IF(A35="","",SUM('Asset Allocation'!D35,'Asset Allocation'!E35,'Asset Allocation'!M35,'Asset Allocation'!AC35)/'Broad Asset Allocation'!B35),0)</f>
        <v/>
      </c>
      <c r="C35" t="str">
        <f>IFERROR(IF(A35="","",SUM('Asset Allocation'!B35,'Asset Allocation'!F35,'Asset Allocation'!H35,)/'Broad Asset Allocation'!B35),0)</f>
        <v/>
      </c>
      <c r="D35" t="str">
        <f>IFERROR(IF(A35="","",SUM('Asset Allocation'!J35,'Asset Allocation'!W35,'Asset Allocation'!X35)/'Broad Asset Allocation'!B35),0)</f>
        <v/>
      </c>
      <c r="E35" t="str">
        <f>IFERROR(IF(A35="","",SUM('Asset Allocation'!C35,'Asset Allocation'!S35)/'Broad Asset Allocation'!B35),0)</f>
        <v/>
      </c>
      <c r="F35" t="str">
        <f>IFERROR(IF(A35="","",SUM('Asset Allocation'!AB35)/'Broad Asset Allocation'!B35),0)</f>
        <v/>
      </c>
      <c r="G35" t="str">
        <f>IFERROR(IF(A35="","",SUM('Asset Allocation'!I35,'Asset Allocation'!L35,'Asset Allocation'!AI35)/'Broad Asset Allocation'!B35),0)</f>
        <v/>
      </c>
      <c r="H35" t="str">
        <f>IFERROR(IF(A35="","",SUM('Asset Allocation'!U35,'Asset Allocation'!Y35)/'Broad Asset Allocation'!B35),0)</f>
        <v/>
      </c>
    </row>
    <row r="36" spans="1:8" x14ac:dyDescent="0.35">
      <c r="A36" t="str">
        <f>IF(Input!A37="","",Input!A37)</f>
        <v/>
      </c>
      <c r="B36" t="str">
        <f>IFERROR(IF(A36="","",SUM('Asset Allocation'!D36,'Asset Allocation'!E36,'Asset Allocation'!M36,'Asset Allocation'!AC36)/'Broad Asset Allocation'!B36),0)</f>
        <v/>
      </c>
      <c r="C36" t="str">
        <f>IFERROR(IF(A36="","",SUM('Asset Allocation'!B36,'Asset Allocation'!F36,'Asset Allocation'!H36,)/'Broad Asset Allocation'!B36),0)</f>
        <v/>
      </c>
      <c r="D36" t="str">
        <f>IFERROR(IF(A36="","",SUM('Asset Allocation'!J36,'Asset Allocation'!W36,'Asset Allocation'!X36)/'Broad Asset Allocation'!B36),0)</f>
        <v/>
      </c>
      <c r="E36" t="str">
        <f>IFERROR(IF(A36="","",SUM('Asset Allocation'!C36,'Asset Allocation'!S36)/'Broad Asset Allocation'!B36),0)</f>
        <v/>
      </c>
      <c r="F36" t="str">
        <f>IFERROR(IF(A36="","",SUM('Asset Allocation'!AB36)/'Broad Asset Allocation'!B36),0)</f>
        <v/>
      </c>
      <c r="G36" t="str">
        <f>IFERROR(IF(A36="","",SUM('Asset Allocation'!I36,'Asset Allocation'!L36,'Asset Allocation'!AI36)/'Broad Asset Allocation'!B36),0)</f>
        <v/>
      </c>
      <c r="H36" t="str">
        <f>IFERROR(IF(A36="","",SUM('Asset Allocation'!U36,'Asset Allocation'!Y36)/'Broad Asset Allocation'!B36),0)</f>
        <v/>
      </c>
    </row>
    <row r="37" spans="1:8" x14ac:dyDescent="0.35">
      <c r="A37" t="str">
        <f>IF(Input!A38="","",Input!A38)</f>
        <v/>
      </c>
      <c r="B37" t="str">
        <f>IFERROR(IF(A37="","",SUM('Asset Allocation'!D37,'Asset Allocation'!E37,'Asset Allocation'!M37,'Asset Allocation'!AC37)/'Broad Asset Allocation'!B37),0)</f>
        <v/>
      </c>
      <c r="C37" t="str">
        <f>IFERROR(IF(A37="","",SUM('Asset Allocation'!B37,'Asset Allocation'!F37,'Asset Allocation'!H37,)/'Broad Asset Allocation'!B37),0)</f>
        <v/>
      </c>
      <c r="D37" t="str">
        <f>IFERROR(IF(A37="","",SUM('Asset Allocation'!J37,'Asset Allocation'!W37,'Asset Allocation'!X37)/'Broad Asset Allocation'!B37),0)</f>
        <v/>
      </c>
      <c r="E37" t="str">
        <f>IFERROR(IF(A37="","",SUM('Asset Allocation'!C37,'Asset Allocation'!S37)/'Broad Asset Allocation'!B37),0)</f>
        <v/>
      </c>
      <c r="F37" t="str">
        <f>IFERROR(IF(A37="","",SUM('Asset Allocation'!AB37)/'Broad Asset Allocation'!B37),0)</f>
        <v/>
      </c>
      <c r="G37" t="str">
        <f>IFERROR(IF(A37="","",SUM('Asset Allocation'!I37,'Asset Allocation'!L37,'Asset Allocation'!AI37)/'Broad Asset Allocation'!B37),0)</f>
        <v/>
      </c>
      <c r="H37" t="str">
        <f>IFERROR(IF(A37="","",SUM('Asset Allocation'!U37,'Asset Allocation'!Y37)/'Broad Asset Allocation'!B37),0)</f>
        <v/>
      </c>
    </row>
    <row r="38" spans="1:8" x14ac:dyDescent="0.35">
      <c r="A38" t="str">
        <f>IF(Input!A39="","",Input!A39)</f>
        <v/>
      </c>
      <c r="B38" t="str">
        <f>IFERROR(IF(A38="","",SUM('Asset Allocation'!D38,'Asset Allocation'!E38,'Asset Allocation'!M38,'Asset Allocation'!AC38)/'Broad Asset Allocation'!B38),0)</f>
        <v/>
      </c>
      <c r="C38" t="str">
        <f>IFERROR(IF(A38="","",SUM('Asset Allocation'!B38,'Asset Allocation'!F38,'Asset Allocation'!H38,)/'Broad Asset Allocation'!B38),0)</f>
        <v/>
      </c>
      <c r="D38" t="str">
        <f>IFERROR(IF(A38="","",SUM('Asset Allocation'!J38,'Asset Allocation'!W38,'Asset Allocation'!X38)/'Broad Asset Allocation'!B38),0)</f>
        <v/>
      </c>
      <c r="E38" t="str">
        <f>IFERROR(IF(A38="","",SUM('Asset Allocation'!C38,'Asset Allocation'!S38)/'Broad Asset Allocation'!B38),0)</f>
        <v/>
      </c>
      <c r="F38" t="str">
        <f>IFERROR(IF(A38="","",SUM('Asset Allocation'!AB38)/'Broad Asset Allocation'!B38),0)</f>
        <v/>
      </c>
      <c r="G38" t="str">
        <f>IFERROR(IF(A38="","",SUM('Asset Allocation'!I38,'Asset Allocation'!L38,'Asset Allocation'!AI38)/'Broad Asset Allocation'!B38),0)</f>
        <v/>
      </c>
      <c r="H38" t="str">
        <f>IFERROR(IF(A38="","",SUM('Asset Allocation'!U38,'Asset Allocation'!Y38)/'Broad Asset Allocation'!B38),0)</f>
        <v/>
      </c>
    </row>
    <row r="39" spans="1:8" x14ac:dyDescent="0.35">
      <c r="A39" t="str">
        <f>IF(Input!A40="","",Input!A40)</f>
        <v/>
      </c>
      <c r="B39" t="str">
        <f>IFERROR(IF(A39="","",SUM('Asset Allocation'!D39,'Asset Allocation'!E39,'Asset Allocation'!M39,'Asset Allocation'!AC39)/'Broad Asset Allocation'!B39),0)</f>
        <v/>
      </c>
      <c r="C39" t="str">
        <f>IFERROR(IF(A39="","",SUM('Asset Allocation'!B39,'Asset Allocation'!F39,'Asset Allocation'!H39,)/'Broad Asset Allocation'!B39),0)</f>
        <v/>
      </c>
      <c r="D39" t="str">
        <f>IFERROR(IF(A39="","",SUM('Asset Allocation'!J39,'Asset Allocation'!W39,'Asset Allocation'!X39)/'Broad Asset Allocation'!B39),0)</f>
        <v/>
      </c>
      <c r="E39" t="str">
        <f>IFERROR(IF(A39="","",SUM('Asset Allocation'!C39,'Asset Allocation'!S39)/'Broad Asset Allocation'!B39),0)</f>
        <v/>
      </c>
      <c r="F39" t="str">
        <f>IFERROR(IF(A39="","",SUM('Asset Allocation'!AB39)/'Broad Asset Allocation'!B39),0)</f>
        <v/>
      </c>
      <c r="G39" t="str">
        <f>IFERROR(IF(A39="","",SUM('Asset Allocation'!I39,'Asset Allocation'!L39,'Asset Allocation'!AI39)/'Broad Asset Allocation'!B39),0)</f>
        <v/>
      </c>
      <c r="H39" t="str">
        <f>IFERROR(IF(A39="","",SUM('Asset Allocation'!U39,'Asset Allocation'!Y39)/'Broad Asset Allocation'!B39),0)</f>
        <v/>
      </c>
    </row>
    <row r="40" spans="1:8" x14ac:dyDescent="0.35">
      <c r="A40" t="str">
        <f>IF(Input!A41="","",Input!A41)</f>
        <v/>
      </c>
      <c r="B40" t="str">
        <f>IFERROR(IF(A40="","",SUM('Asset Allocation'!D40,'Asset Allocation'!E40,'Asset Allocation'!M40,'Asset Allocation'!AC40)/'Broad Asset Allocation'!B40),0)</f>
        <v/>
      </c>
      <c r="C40" t="str">
        <f>IFERROR(IF(A40="","",SUM('Asset Allocation'!B40,'Asset Allocation'!F40,'Asset Allocation'!H40,)/'Broad Asset Allocation'!B40),0)</f>
        <v/>
      </c>
      <c r="D40" t="str">
        <f>IFERROR(IF(A40="","",SUM('Asset Allocation'!J40,'Asset Allocation'!W40,'Asset Allocation'!X40)/'Broad Asset Allocation'!B40),0)</f>
        <v/>
      </c>
      <c r="E40" t="str">
        <f>IFERROR(IF(A40="","",SUM('Asset Allocation'!C40,'Asset Allocation'!S40)/'Broad Asset Allocation'!B40),0)</f>
        <v/>
      </c>
      <c r="F40" t="str">
        <f>IFERROR(IF(A40="","",SUM('Asset Allocation'!AB40)/'Broad Asset Allocation'!B40),0)</f>
        <v/>
      </c>
      <c r="G40" t="str">
        <f>IFERROR(IF(A40="","",SUM('Asset Allocation'!I40,'Asset Allocation'!L40,'Asset Allocation'!AI40)/'Broad Asset Allocation'!B40),0)</f>
        <v/>
      </c>
      <c r="H40" t="str">
        <f>IFERROR(IF(A40="","",SUM('Asset Allocation'!U40,'Asset Allocation'!Y40)/'Broad Asset Allocation'!B40),0)</f>
        <v/>
      </c>
    </row>
    <row r="41" spans="1:8" x14ac:dyDescent="0.35">
      <c r="A41" t="str">
        <f>IF(Input!A42="","",Input!A42)</f>
        <v/>
      </c>
      <c r="B41" t="str">
        <f>IFERROR(IF(A41="","",SUM('Asset Allocation'!D41,'Asset Allocation'!E41,'Asset Allocation'!M41,'Asset Allocation'!AC41)/'Broad Asset Allocation'!B41),0)</f>
        <v/>
      </c>
      <c r="C41" t="str">
        <f>IFERROR(IF(A41="","",SUM('Asset Allocation'!B41,'Asset Allocation'!F41,'Asset Allocation'!H41,)/'Broad Asset Allocation'!B41),0)</f>
        <v/>
      </c>
      <c r="D41" t="str">
        <f>IFERROR(IF(A41="","",SUM('Asset Allocation'!J41,'Asset Allocation'!W41,'Asset Allocation'!X41)/'Broad Asset Allocation'!B41),0)</f>
        <v/>
      </c>
      <c r="E41" t="str">
        <f>IFERROR(IF(A41="","",SUM('Asset Allocation'!C41,'Asset Allocation'!S41)/'Broad Asset Allocation'!B41),0)</f>
        <v/>
      </c>
      <c r="F41" t="str">
        <f>IFERROR(IF(A41="","",SUM('Asset Allocation'!AB41)/'Broad Asset Allocation'!B41),0)</f>
        <v/>
      </c>
      <c r="G41" t="str">
        <f>IFERROR(IF(A41="","",SUM('Asset Allocation'!I41,'Asset Allocation'!L41,'Asset Allocation'!AI41)/'Broad Asset Allocation'!B41),0)</f>
        <v/>
      </c>
      <c r="H41" t="str">
        <f>IFERROR(IF(A41="","",SUM('Asset Allocation'!U41,'Asset Allocation'!Y41)/'Broad Asset Allocation'!B41),0)</f>
        <v/>
      </c>
    </row>
    <row r="42" spans="1:8" x14ac:dyDescent="0.35">
      <c r="A42" t="str">
        <f>IF(Input!A43="","",Input!A43)</f>
        <v/>
      </c>
      <c r="B42" t="str">
        <f>IFERROR(IF(A42="","",SUM('Asset Allocation'!D42,'Asset Allocation'!E42,'Asset Allocation'!M42,'Asset Allocation'!AC42)/'Broad Asset Allocation'!B42),0)</f>
        <v/>
      </c>
      <c r="C42" t="str">
        <f>IFERROR(IF(A42="","",SUM('Asset Allocation'!B42,'Asset Allocation'!F42,'Asset Allocation'!H42,)/'Broad Asset Allocation'!B42),0)</f>
        <v/>
      </c>
      <c r="D42" t="str">
        <f>IFERROR(IF(A42="","",SUM('Asset Allocation'!J42,'Asset Allocation'!W42,'Asset Allocation'!X42)/'Broad Asset Allocation'!B42),0)</f>
        <v/>
      </c>
      <c r="E42" t="str">
        <f>IFERROR(IF(A42="","",SUM('Asset Allocation'!C42,'Asset Allocation'!S42)/'Broad Asset Allocation'!B42),0)</f>
        <v/>
      </c>
      <c r="F42" t="str">
        <f>IFERROR(IF(A42="","",SUM('Asset Allocation'!AB42)/'Broad Asset Allocation'!B42),0)</f>
        <v/>
      </c>
      <c r="G42" t="str">
        <f>IFERROR(IF(A42="","",SUM('Asset Allocation'!I42,'Asset Allocation'!L42,'Asset Allocation'!AI42)/'Broad Asset Allocation'!B42),0)</f>
        <v/>
      </c>
      <c r="H42" t="str">
        <f>IFERROR(IF(A42="","",SUM('Asset Allocation'!U42,'Asset Allocation'!Y42)/'Broad Asset Allocation'!B42),0)</f>
        <v/>
      </c>
    </row>
    <row r="43" spans="1:8" x14ac:dyDescent="0.35">
      <c r="A43" t="str">
        <f>IF(Input!A44="","",Input!A44)</f>
        <v/>
      </c>
      <c r="B43" t="str">
        <f>IFERROR(IF(A43="","",SUM('Asset Allocation'!D43,'Asset Allocation'!E43,'Asset Allocation'!M43,'Asset Allocation'!AC43)/'Broad Asset Allocation'!B43),0)</f>
        <v/>
      </c>
      <c r="C43" t="str">
        <f>IFERROR(IF(A43="","",SUM('Asset Allocation'!B43,'Asset Allocation'!F43,'Asset Allocation'!H43,)/'Broad Asset Allocation'!B43),0)</f>
        <v/>
      </c>
      <c r="D43" t="str">
        <f>IFERROR(IF(A43="","",SUM('Asset Allocation'!J43,'Asset Allocation'!W43,'Asset Allocation'!X43)/'Broad Asset Allocation'!B43),0)</f>
        <v/>
      </c>
      <c r="E43" t="str">
        <f>IFERROR(IF(A43="","",SUM('Asset Allocation'!C43,'Asset Allocation'!S43)/'Broad Asset Allocation'!B43),0)</f>
        <v/>
      </c>
      <c r="F43" t="str">
        <f>IFERROR(IF(A43="","",SUM('Asset Allocation'!AB43)/'Broad Asset Allocation'!B43),0)</f>
        <v/>
      </c>
      <c r="G43" t="str">
        <f>IFERROR(IF(A43="","",SUM('Asset Allocation'!I43,'Asset Allocation'!L43,'Asset Allocation'!AI43)/'Broad Asset Allocation'!B43),0)</f>
        <v/>
      </c>
      <c r="H43" t="str">
        <f>IFERROR(IF(A43="","",SUM('Asset Allocation'!U43,'Asset Allocation'!Y43)/'Broad Asset Allocation'!B43),0)</f>
        <v/>
      </c>
    </row>
    <row r="44" spans="1:8" x14ac:dyDescent="0.35">
      <c r="A44" t="str">
        <f>IF(Input!A45="","",Input!A45)</f>
        <v/>
      </c>
      <c r="B44" t="str">
        <f>IFERROR(IF(A44="","",SUM('Asset Allocation'!D44,'Asset Allocation'!E44,'Asset Allocation'!M44,'Asset Allocation'!AC44)/'Broad Asset Allocation'!B44),0)</f>
        <v/>
      </c>
      <c r="C44" t="str">
        <f>IFERROR(IF(A44="","",SUM('Asset Allocation'!B44,'Asset Allocation'!F44,'Asset Allocation'!H44,)/'Broad Asset Allocation'!B44),0)</f>
        <v/>
      </c>
      <c r="D44" t="str">
        <f>IFERROR(IF(A44="","",SUM('Asset Allocation'!J44,'Asset Allocation'!W44,'Asset Allocation'!X44)/'Broad Asset Allocation'!B44),0)</f>
        <v/>
      </c>
      <c r="E44" t="str">
        <f>IFERROR(IF(A44="","",SUM('Asset Allocation'!C44,'Asset Allocation'!S44)/'Broad Asset Allocation'!B44),0)</f>
        <v/>
      </c>
      <c r="F44" t="str">
        <f>IFERROR(IF(A44="","",SUM('Asset Allocation'!AB44)/'Broad Asset Allocation'!B44),0)</f>
        <v/>
      </c>
      <c r="G44" t="str">
        <f>IFERROR(IF(A44="","",SUM('Asset Allocation'!I44,'Asset Allocation'!L44,'Asset Allocation'!AI44)/'Broad Asset Allocation'!B44),0)</f>
        <v/>
      </c>
      <c r="H44" t="str">
        <f>IFERROR(IF(A44="","",SUM('Asset Allocation'!U44,'Asset Allocation'!Y44)/'Broad Asset Allocation'!B44),0)</f>
        <v/>
      </c>
    </row>
    <row r="45" spans="1:8" x14ac:dyDescent="0.35">
      <c r="A45" t="str">
        <f>IF(Input!A46="","",Input!A46)</f>
        <v/>
      </c>
      <c r="B45" t="str">
        <f>IFERROR(IF(A45="","",SUM('Asset Allocation'!D45,'Asset Allocation'!E45,'Asset Allocation'!M45,'Asset Allocation'!AC45)/'Broad Asset Allocation'!B45),0)</f>
        <v/>
      </c>
      <c r="C45" t="str">
        <f>IFERROR(IF(A45="","",SUM('Asset Allocation'!B45,'Asset Allocation'!F45,'Asset Allocation'!H45,)/'Broad Asset Allocation'!B45),0)</f>
        <v/>
      </c>
      <c r="D45" t="str">
        <f>IFERROR(IF(A45="","",SUM('Asset Allocation'!J45,'Asset Allocation'!W45,'Asset Allocation'!X45)/'Broad Asset Allocation'!B45),0)</f>
        <v/>
      </c>
      <c r="E45" t="str">
        <f>IFERROR(IF(A45="","",SUM('Asset Allocation'!C45,'Asset Allocation'!S45)/'Broad Asset Allocation'!B45),0)</f>
        <v/>
      </c>
      <c r="F45" t="str">
        <f>IFERROR(IF(A45="","",SUM('Asset Allocation'!AB45)/'Broad Asset Allocation'!B45),0)</f>
        <v/>
      </c>
      <c r="G45" t="str">
        <f>IFERROR(IF(A45="","",SUM('Asset Allocation'!I45,'Asset Allocation'!L45,'Asset Allocation'!AI45)/'Broad Asset Allocation'!B45),0)</f>
        <v/>
      </c>
      <c r="H45" t="str">
        <f>IFERROR(IF(A45="","",SUM('Asset Allocation'!U45,'Asset Allocation'!Y45)/'Broad Asset Allocation'!B45),0)</f>
        <v/>
      </c>
    </row>
    <row r="46" spans="1:8" x14ac:dyDescent="0.35">
      <c r="A46" t="str">
        <f>IF(Input!A47="","",Input!A47)</f>
        <v/>
      </c>
      <c r="B46" t="str">
        <f>IFERROR(IF(A46="","",SUM('Asset Allocation'!D46,'Asset Allocation'!E46,'Asset Allocation'!M46,'Asset Allocation'!AC46)/'Broad Asset Allocation'!B46),0)</f>
        <v/>
      </c>
      <c r="C46" t="str">
        <f>IFERROR(IF(A46="","",SUM('Asset Allocation'!B46,'Asset Allocation'!F46,'Asset Allocation'!H46,)/'Broad Asset Allocation'!B46),0)</f>
        <v/>
      </c>
      <c r="D46" t="str">
        <f>IFERROR(IF(A46="","",SUM('Asset Allocation'!J46,'Asset Allocation'!W46,'Asset Allocation'!X46)/'Broad Asset Allocation'!B46),0)</f>
        <v/>
      </c>
      <c r="E46" t="str">
        <f>IFERROR(IF(A46="","",SUM('Asset Allocation'!C46,'Asset Allocation'!S46)/'Broad Asset Allocation'!B46),0)</f>
        <v/>
      </c>
      <c r="F46" t="str">
        <f>IFERROR(IF(A46="","",SUM('Asset Allocation'!AB46)/'Broad Asset Allocation'!B46),0)</f>
        <v/>
      </c>
      <c r="G46" t="str">
        <f>IFERROR(IF(A46="","",SUM('Asset Allocation'!I46,'Asset Allocation'!L46,'Asset Allocation'!AI46)/'Broad Asset Allocation'!B46),0)</f>
        <v/>
      </c>
      <c r="H46" t="str">
        <f>IFERROR(IF(A46="","",SUM('Asset Allocation'!U46,'Asset Allocation'!Y46)/'Broad Asset Allocation'!B46),0)</f>
        <v/>
      </c>
    </row>
    <row r="47" spans="1:8" x14ac:dyDescent="0.35">
      <c r="A47" t="str">
        <f>IF(Input!A48="","",Input!A48)</f>
        <v/>
      </c>
      <c r="B47" t="str">
        <f>IFERROR(IF(A47="","",SUM('Asset Allocation'!D47,'Asset Allocation'!E47,'Asset Allocation'!M47,'Asset Allocation'!AC47)/'Broad Asset Allocation'!B47),0)</f>
        <v/>
      </c>
      <c r="C47" t="str">
        <f>IFERROR(IF(A47="","",SUM('Asset Allocation'!B47,'Asset Allocation'!F47,'Asset Allocation'!H47,)/'Broad Asset Allocation'!B47),0)</f>
        <v/>
      </c>
      <c r="D47" t="str">
        <f>IFERROR(IF(A47="","",SUM('Asset Allocation'!J47,'Asset Allocation'!W47,'Asset Allocation'!X47)/'Broad Asset Allocation'!B47),0)</f>
        <v/>
      </c>
      <c r="E47" t="str">
        <f>IFERROR(IF(A47="","",SUM('Asset Allocation'!C47,'Asset Allocation'!S47)/'Broad Asset Allocation'!B47),0)</f>
        <v/>
      </c>
      <c r="F47" t="str">
        <f>IFERROR(IF(A47="","",SUM('Asset Allocation'!AB47)/'Broad Asset Allocation'!B47),0)</f>
        <v/>
      </c>
      <c r="G47" t="str">
        <f>IFERROR(IF(A47="","",SUM('Asset Allocation'!I47,'Asset Allocation'!L47,'Asset Allocation'!AI47)/'Broad Asset Allocation'!B47),0)</f>
        <v/>
      </c>
      <c r="H47" t="str">
        <f>IFERROR(IF(A47="","",SUM('Asset Allocation'!U47,'Asset Allocation'!Y47)/'Broad Asset Allocation'!B47),0)</f>
        <v/>
      </c>
    </row>
    <row r="48" spans="1:8" x14ac:dyDescent="0.35">
      <c r="A48" t="str">
        <f>IF(Input!A49="","",Input!A49)</f>
        <v/>
      </c>
      <c r="B48" t="str">
        <f>IFERROR(IF(A48="","",SUM('Asset Allocation'!D48,'Asset Allocation'!E48,'Asset Allocation'!M48,'Asset Allocation'!AC48)/'Broad Asset Allocation'!B48),0)</f>
        <v/>
      </c>
      <c r="C48" t="str">
        <f>IFERROR(IF(A48="","",SUM('Asset Allocation'!B48,'Asset Allocation'!F48,'Asset Allocation'!H48,)/'Broad Asset Allocation'!B48),0)</f>
        <v/>
      </c>
      <c r="D48" t="str">
        <f>IFERROR(IF(A48="","",SUM('Asset Allocation'!J48,'Asset Allocation'!W48,'Asset Allocation'!X48)/'Broad Asset Allocation'!B48),0)</f>
        <v/>
      </c>
      <c r="E48" t="str">
        <f>IFERROR(IF(A48="","",SUM('Asset Allocation'!C48,'Asset Allocation'!S48)/'Broad Asset Allocation'!B48),0)</f>
        <v/>
      </c>
      <c r="F48" t="str">
        <f>IFERROR(IF(A48="","",SUM('Asset Allocation'!AB48)/'Broad Asset Allocation'!B48),0)</f>
        <v/>
      </c>
      <c r="G48" t="str">
        <f>IFERROR(IF(A48="","",SUM('Asset Allocation'!I48,'Asset Allocation'!L48,'Asset Allocation'!AI48)/'Broad Asset Allocation'!B48),0)</f>
        <v/>
      </c>
      <c r="H48" t="str">
        <f>IFERROR(IF(A48="","",SUM('Asset Allocation'!U48,'Asset Allocation'!Y48)/'Broad Asset Allocation'!B48),0)</f>
        <v/>
      </c>
    </row>
    <row r="49" spans="1:8" x14ac:dyDescent="0.35">
      <c r="A49" t="str">
        <f>IF(Input!A50="","",Input!A50)</f>
        <v/>
      </c>
      <c r="B49" t="str">
        <f>IFERROR(IF(A49="","",SUM('Asset Allocation'!D49,'Asset Allocation'!E49,'Asset Allocation'!M49,'Asset Allocation'!AC49)/'Broad Asset Allocation'!B49),0)</f>
        <v/>
      </c>
      <c r="C49" t="str">
        <f>IFERROR(IF(A49="","",SUM('Asset Allocation'!B49,'Asset Allocation'!F49,'Asset Allocation'!H49,)/'Broad Asset Allocation'!B49),0)</f>
        <v/>
      </c>
      <c r="D49" t="str">
        <f>IFERROR(IF(A49="","",SUM('Asset Allocation'!J49,'Asset Allocation'!W49,'Asset Allocation'!X49)/'Broad Asset Allocation'!B49),0)</f>
        <v/>
      </c>
      <c r="E49" t="str">
        <f>IFERROR(IF(A49="","",SUM('Asset Allocation'!C49,'Asset Allocation'!S49)/'Broad Asset Allocation'!B49),0)</f>
        <v/>
      </c>
      <c r="F49" t="str">
        <f>IFERROR(IF(A49="","",SUM('Asset Allocation'!AB49)/'Broad Asset Allocation'!B49),0)</f>
        <v/>
      </c>
      <c r="G49" t="str">
        <f>IFERROR(IF(A49="","",SUM('Asset Allocation'!I49,'Asset Allocation'!L49,'Asset Allocation'!AI49)/'Broad Asset Allocation'!B49),0)</f>
        <v/>
      </c>
      <c r="H49" t="str">
        <f>IFERROR(IF(A49="","",SUM('Asset Allocation'!U49,'Asset Allocation'!Y49)/'Broad Asset Allocation'!B49),0)</f>
        <v/>
      </c>
    </row>
    <row r="50" spans="1:8" x14ac:dyDescent="0.35">
      <c r="A50" t="str">
        <f>IF(Input!A51="","",Input!A51)</f>
        <v/>
      </c>
      <c r="B50" t="str">
        <f>IFERROR(IF(A50="","",SUM('Asset Allocation'!D50,'Asset Allocation'!E50,'Asset Allocation'!M50,'Asset Allocation'!AC50)/'Broad Asset Allocation'!B50),0)</f>
        <v/>
      </c>
      <c r="C50" t="str">
        <f>IFERROR(IF(A50="","",SUM('Asset Allocation'!B50,'Asset Allocation'!F50,'Asset Allocation'!H50,)/'Broad Asset Allocation'!B50),0)</f>
        <v/>
      </c>
      <c r="D50" t="str">
        <f>IFERROR(IF(A50="","",SUM('Asset Allocation'!J50,'Asset Allocation'!W50,'Asset Allocation'!X50)/'Broad Asset Allocation'!B50),0)</f>
        <v/>
      </c>
      <c r="E50" t="str">
        <f>IFERROR(IF(A50="","",SUM('Asset Allocation'!C50,'Asset Allocation'!S50)/'Broad Asset Allocation'!B50),0)</f>
        <v/>
      </c>
      <c r="F50" t="str">
        <f>IFERROR(IF(A50="","",SUM('Asset Allocation'!AB50)/'Broad Asset Allocation'!B50),0)</f>
        <v/>
      </c>
      <c r="G50" t="str">
        <f>IFERROR(IF(A50="","",SUM('Asset Allocation'!I50,'Asset Allocation'!L50,'Asset Allocation'!AI50)/'Broad Asset Allocation'!B50),0)</f>
        <v/>
      </c>
      <c r="H50" t="str">
        <f>IFERROR(IF(A50="","",SUM('Asset Allocation'!U50,'Asset Allocation'!Y50)/'Broad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10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30</v>
      </c>
      <c r="G1" t="s">
        <v>17</v>
      </c>
      <c r="H1" t="s">
        <v>31</v>
      </c>
    </row>
    <row r="2" spans="1:8" x14ac:dyDescent="0.35">
      <c r="A2" t="str">
        <f>IF(Input!A3="","",Input!A3)</f>
        <v>Cautious Fund</v>
      </c>
      <c r="B2">
        <f>IFERROR(IF(A2="","",SUM((0.5*'Asset Allocation'!N2),'Asset Allocation'!Q2,'Asset Allocation'!R2)/'Broad Asset Allocation'!C2),0)</f>
        <v>0</v>
      </c>
      <c r="D2">
        <f>IFERROR(IF(A2="","",SUM('Asset Allocation'!G2,(0.5*'Asset Allocation'!N2),'Asset Allocation'!O2,'Asset Allocation'!Z2)/'Broad Asset Allocation'!C2),0)</f>
        <v>0</v>
      </c>
      <c r="E2">
        <f>IFERROR(IF(A2="","",SUM('Asset Allocation'!K2)/'Broad Asset Allocation'!C2),0)</f>
        <v>0</v>
      </c>
      <c r="F2">
        <f>IFERROR(IF(A2="","",SUM(('Asset Allocation'!AA2))/'Broad Asset Allocation'!C2),0)</f>
        <v>0</v>
      </c>
      <c r="G2">
        <f>IFERROR(IF(A2="","",SUM('Asset Allocation'!P2,'Asset Allocation'!T2,'Asset Allocation'!AE2,'Asset Allocation'!AF2,'Asset Allocation'!AG2)/'Broad Asset Allocation'!C2),0)</f>
        <v>0</v>
      </c>
    </row>
    <row r="3" spans="1:8" x14ac:dyDescent="0.35">
      <c r="A3" t="str">
        <f>IF(Input!A4="","",Input!A4)</f>
        <v>Income Fund</v>
      </c>
      <c r="B3">
        <f>IFERROR(IF(A3="","",SUM((0.5*'Asset Allocation'!N3),'Asset Allocation'!Q3,'Asset Allocation'!R3)/'Broad Asset Allocation'!C3),0)</f>
        <v>0</v>
      </c>
      <c r="D3">
        <f>IFERROR(IF(A3="","",SUM('Asset Allocation'!G3,(0.5*'Asset Allocation'!N3),'Asset Allocation'!O3,'Asset Allocation'!Z3)/'Broad Asset Allocation'!C3),0)</f>
        <v>0</v>
      </c>
      <c r="E3">
        <f>IFERROR(IF(A3="","",SUM('Asset Allocation'!K3)/'Broad Asset Allocation'!C3),0)</f>
        <v>0</v>
      </c>
      <c r="F3">
        <f>IFERROR(IF(A3="","",SUM(('Asset Allocation'!AA3))/'Broad Asset Allocation'!C3),0)</f>
        <v>0</v>
      </c>
      <c r="G3">
        <f>IFERROR(IF(A3="","",SUM('Asset Allocation'!P3,'Asset Allocation'!T3,'Asset Allocation'!AE3,'Asset Allocation'!AF3,'Asset Allocation'!AG3)/'Broad Asset Allocation'!C3),0)</f>
        <v>0</v>
      </c>
    </row>
    <row r="4" spans="1:8" x14ac:dyDescent="0.35">
      <c r="A4" t="str">
        <f>IF(Input!A5="","",Input!A5)</f>
        <v>Balanced Fund</v>
      </c>
      <c r="B4">
        <f>IFERROR(IF(A4="","",SUM((0.5*'Asset Allocation'!N4),'Asset Allocation'!Q4,'Asset Allocation'!R4)/'Broad Asset Allocation'!C4),0)</f>
        <v>0</v>
      </c>
      <c r="D4">
        <f>IFERROR(IF(A4="","",SUM('Asset Allocation'!G4,(0.5*'Asset Allocation'!N4),'Asset Allocation'!O4,'Asset Allocation'!Z4)/'Broad Asset Allocation'!C4),0)</f>
        <v>0</v>
      </c>
      <c r="E4">
        <f>IFERROR(IF(A4="","",SUM('Asset Allocation'!K4)/'Broad Asset Allocation'!C4),0)</f>
        <v>0</v>
      </c>
      <c r="F4">
        <f>IFERROR(IF(A4="","",SUM(('Asset Allocation'!AA4))/'Broad Asset Allocation'!C4),0)</f>
        <v>0</v>
      </c>
      <c r="G4">
        <f>IFERROR(IF(A4="","",SUM('Asset Allocation'!P4,'Asset Allocation'!T4,'Asset Allocation'!AE4,'Asset Allocation'!AF4,'Asset Allocation'!AG4)/'Broad Asset Allocation'!C4),0)</f>
        <v>0</v>
      </c>
    </row>
    <row r="5" spans="1:8" x14ac:dyDescent="0.35">
      <c r="A5" t="str">
        <f>IF(Input!A6="","",Input!A6)</f>
        <v>Growth Fund</v>
      </c>
      <c r="B5">
        <f>IFERROR(IF(A5="","",SUM((0.5*'Asset Allocation'!N5),'Asset Allocation'!Q5,'Asset Allocation'!R5)/'Broad Asset Allocation'!C5),0)</f>
        <v>0</v>
      </c>
      <c r="D5">
        <f>IFERROR(IF(A5="","",SUM('Asset Allocation'!G5,(0.5*'Asset Allocation'!N5),'Asset Allocation'!O5,'Asset Allocation'!Z5)/'Broad Asset Allocation'!C5),0)</f>
        <v>0</v>
      </c>
      <c r="E5">
        <f>IFERROR(IF(A5="","",SUM('Asset Allocation'!K5)/'Broad Asset Allocation'!C5),0)</f>
        <v>0</v>
      </c>
      <c r="F5">
        <f>IFERROR(IF(A5="","",SUM(('Asset Allocation'!AA5))/'Broad Asset Allocation'!C5),0)</f>
        <v>0</v>
      </c>
      <c r="G5">
        <f>IFERROR(IF(A5="","",SUM('Asset Allocation'!P5,'Asset Allocation'!T5,'Asset Allocation'!AE5,'Asset Allocation'!AF5,'Asset Allocation'!AG5)/'Broad Asset Allocation'!C5),0)</f>
        <v>0</v>
      </c>
    </row>
    <row r="6" spans="1:8" x14ac:dyDescent="0.35">
      <c r="A6" t="str">
        <f>IF(Input!A7="","",Input!A7)</f>
        <v>Dynamic Fund</v>
      </c>
      <c r="B6">
        <f>IFERROR(IF(A6="","",SUM((0.5*'Asset Allocation'!N6),'Asset Allocation'!Q6,'Asset Allocation'!R6)/'Broad Asset Allocation'!C6),0)</f>
        <v>0</v>
      </c>
      <c r="D6">
        <f>IFERROR(IF(A6="","",SUM('Asset Allocation'!G6,(0.5*'Asset Allocation'!N6),'Asset Allocation'!O6,'Asset Allocation'!Z6)/'Broad Asset Allocation'!C6),0)</f>
        <v>0</v>
      </c>
      <c r="E6">
        <f>IFERROR(IF(A6="","",SUM('Asset Allocation'!K6)/'Broad Asset Allocation'!C6),0)</f>
        <v>0</v>
      </c>
      <c r="F6">
        <f>IFERROR(IF(A6="","",SUM(('Asset Allocation'!AA6))/'Broad Asset Allocation'!C6),0)</f>
        <v>0</v>
      </c>
      <c r="G6">
        <f>IFERROR(IF(A6="","",SUM('Asset Allocation'!P6,'Asset Allocation'!T6,'Asset Allocation'!AE6,'Asset Allocation'!AF6,'Asset Allocation'!AG6)/'Broad Asset Allocation'!C6),0)</f>
        <v>0</v>
      </c>
    </row>
    <row r="7" spans="1:8" x14ac:dyDescent="0.35">
      <c r="A7" t="str">
        <f>IF(Input!A8="","",Input!A8)</f>
        <v/>
      </c>
      <c r="B7" t="str">
        <f>IFERROR(IF(A7="","",SUM((0.5*'Asset Allocation'!N7),'Asset Allocation'!Q7,'Asset Allocation'!R7)/'Broad Asset Allocation'!C7),0)</f>
        <v/>
      </c>
      <c r="D7" t="str">
        <f>IFERROR(IF(A7="","",SUM('Asset Allocation'!G7,(0.5*'Asset Allocation'!N7),'Asset Allocation'!O7,'Asset Allocation'!Z7)/'Broad Asset Allocation'!C7),0)</f>
        <v/>
      </c>
      <c r="E7" t="str">
        <f>IFERROR(IF(A7="","",SUM('Asset Allocation'!K7)/'Broad Asset Allocation'!C7),0)</f>
        <v/>
      </c>
      <c r="F7" t="str">
        <f>IFERROR(IF(A7="","",SUM(('Asset Allocation'!AA7))/'Broad Asset Allocation'!C7),0)</f>
        <v/>
      </c>
      <c r="G7" t="str">
        <f>IFERROR(IF(A7="","",SUM('Asset Allocation'!P7,'Asset Allocation'!T7,'Asset Allocation'!AE7,'Asset Allocation'!AF7,'Asset Allocation'!AG7)/'Broad Asset Allocation'!C7),0)</f>
        <v/>
      </c>
      <c r="H7" t="str">
        <f>IFERROR(IF(A7="","",SUM('Asset Allocation'!P7,'Asset Allocation'!T7,'Asset Allocation'!AE7,'Asset Allocation'!AF7,'Asset Allocation'!AG7)/'Broad Asset Allocation'!C7),0)</f>
        <v/>
      </c>
    </row>
    <row r="8" spans="1:8" x14ac:dyDescent="0.35">
      <c r="A8" t="str">
        <f>IF(Input!A9="","",Input!A9)</f>
        <v/>
      </c>
      <c r="B8" t="str">
        <f>IFERROR(IF(A8="","",SUM((0.5*'Asset Allocation'!N8),'Asset Allocation'!Q8,'Asset Allocation'!R8)/'Broad Asset Allocation'!C8),0)</f>
        <v/>
      </c>
      <c r="D8" t="str">
        <f>IFERROR(IF(A8="","",SUM('Asset Allocation'!G8,(0.5*'Asset Allocation'!N8),'Asset Allocation'!O8,'Asset Allocation'!Z8)/'Broad Asset Allocation'!C8),0)</f>
        <v/>
      </c>
      <c r="E8" t="str">
        <f>IFERROR(IF(A8="","",SUM('Asset Allocation'!K8)/'Broad Asset Allocation'!C8),0)</f>
        <v/>
      </c>
      <c r="F8" t="str">
        <f>IFERROR(IF(A8="","",SUM(('Asset Allocation'!AA8))/'Broad Asset Allocation'!C8),0)</f>
        <v/>
      </c>
      <c r="G8" t="str">
        <f>IFERROR(IF(A8="","",SUM('Asset Allocation'!P8,'Asset Allocation'!T8,'Asset Allocation'!AE8,'Asset Allocation'!AF8,'Asset Allocation'!AG8)/'Broad Asset Allocation'!C8),0)</f>
        <v/>
      </c>
      <c r="H8" t="str">
        <f>IFERROR(IF(A8="","",SUM('Asset Allocation'!P8,'Asset Allocation'!T8,'Asset Allocation'!AE8,'Asset Allocation'!AF8,'Asset Allocation'!AG8)/'Broad Asset Allocation'!C8),0)</f>
        <v/>
      </c>
    </row>
    <row r="9" spans="1:8" x14ac:dyDescent="0.35">
      <c r="A9" t="str">
        <f>IF(Input!A10="","",Input!A10)</f>
        <v/>
      </c>
      <c r="B9" t="str">
        <f>IFERROR(IF(A9="","",SUM((0.5*'Asset Allocation'!N9),'Asset Allocation'!Q9,'Asset Allocation'!R9)/'Broad Asset Allocation'!C9),0)</f>
        <v/>
      </c>
      <c r="D9" t="str">
        <f>IFERROR(IF(A9="","",SUM('Asset Allocation'!G9,(0.5*'Asset Allocation'!N9),'Asset Allocation'!O9,'Asset Allocation'!Z9)/'Broad Asset Allocation'!C9),0)</f>
        <v/>
      </c>
      <c r="E9" t="str">
        <f>IFERROR(IF(A9="","",SUM('Asset Allocation'!K9)/'Broad Asset Allocation'!C9),0)</f>
        <v/>
      </c>
      <c r="F9" t="str">
        <f>IFERROR(IF(A9="","",SUM(('Asset Allocation'!AA9))/'Broad Asset Allocation'!C9),0)</f>
        <v/>
      </c>
      <c r="G9" t="str">
        <f>IFERROR(IF(A9="","",SUM('Asset Allocation'!P9,'Asset Allocation'!T9,'Asset Allocation'!AE9,'Asset Allocation'!AF9,'Asset Allocation'!AG9)/'Broad Asset Allocation'!C9),0)</f>
        <v/>
      </c>
      <c r="H9" t="str">
        <f>IFERROR(IF(A9="","",SUM('Asset Allocation'!P9,'Asset Allocation'!T9,'Asset Allocation'!AE9,'Asset Allocation'!AF9,'Asset Allocation'!AG9)/'Broad Asset Allocation'!C9),0)</f>
        <v/>
      </c>
    </row>
    <row r="10" spans="1:8" x14ac:dyDescent="0.35">
      <c r="A10" t="str">
        <f>IF(Input!A11="","",Input!A11)</f>
        <v/>
      </c>
      <c r="B10" t="str">
        <f>IFERROR(IF(A10="","",SUM((0.5*'Asset Allocation'!N10),'Asset Allocation'!Q10,'Asset Allocation'!R10)/'Broad Asset Allocation'!C10),0)</f>
        <v/>
      </c>
      <c r="D10" t="str">
        <f>IFERROR(IF(A10="","",SUM('Asset Allocation'!G10,(0.5*'Asset Allocation'!N10),'Asset Allocation'!O10,'Asset Allocation'!Z10)/'Broad Asset Allocation'!C10),0)</f>
        <v/>
      </c>
      <c r="E10" t="str">
        <f>IFERROR(IF(A10="","",SUM('Asset Allocation'!K10)/'Broad Asset Allocation'!C10),0)</f>
        <v/>
      </c>
      <c r="F10" t="str">
        <f>IFERROR(IF(A10="","",SUM(('Asset Allocation'!AA10))/'Broad Asset Allocation'!C10),0)</f>
        <v/>
      </c>
      <c r="G10" t="str">
        <f>IFERROR(IF(A10="","",SUM('Asset Allocation'!P10,'Asset Allocation'!T10,'Asset Allocation'!AE10,'Asset Allocation'!AF10,'Asset Allocation'!AG10)/'Broad Asset Allocation'!C10),0)</f>
        <v/>
      </c>
      <c r="H10" t="str">
        <f>IFERROR(IF(A10="","",SUM('Asset Allocation'!P10,'Asset Allocation'!T10,'Asset Allocation'!AE10,'Asset Allocation'!AF10,'Asset Allocation'!AG10)/'Broad Asset Allocation'!C10),0)</f>
        <v/>
      </c>
    </row>
    <row r="11" spans="1:8" x14ac:dyDescent="0.35">
      <c r="A11" t="str">
        <f>IF(Input!A12="","",Input!A12)</f>
        <v/>
      </c>
      <c r="B11" t="str">
        <f>IFERROR(IF(A11="","",SUM((0.5*'Asset Allocation'!N11),'Asset Allocation'!Q11,'Asset Allocation'!R11)/'Broad Asset Allocation'!C11),0)</f>
        <v/>
      </c>
      <c r="D11" t="str">
        <f>IFERROR(IF(A11="","",SUM('Asset Allocation'!G11,(0.5*'Asset Allocation'!N11),'Asset Allocation'!O11,'Asset Allocation'!Z11)/'Broad Asset Allocation'!C11),0)</f>
        <v/>
      </c>
      <c r="E11" t="str">
        <f>IFERROR(IF(A11="","",SUM('Asset Allocation'!K11)/'Broad Asset Allocation'!C11),0)</f>
        <v/>
      </c>
      <c r="F11" t="str">
        <f>IFERROR(IF(A11="","",SUM(('Asset Allocation'!AA11))/'Broad Asset Allocation'!C11),0)</f>
        <v/>
      </c>
      <c r="G11" t="str">
        <f>IFERROR(IF(A11="","",SUM('Asset Allocation'!P11,'Asset Allocation'!T11,'Asset Allocation'!AE11,'Asset Allocation'!AF11,'Asset Allocation'!AG11)/'Broad Asset Allocation'!C11),0)</f>
        <v/>
      </c>
      <c r="H11" t="str">
        <f>IFERROR(IF(A11="","",SUM('Asset Allocation'!P11,'Asset Allocation'!T11,'Asset Allocation'!AE11,'Asset Allocation'!AF11,'Asset Allocation'!AG11)/'Broad Asset Allocation'!C11),0)</f>
        <v/>
      </c>
    </row>
    <row r="12" spans="1:8" x14ac:dyDescent="0.35">
      <c r="A12" t="str">
        <f>IF(Input!A13="","",Input!A13)</f>
        <v/>
      </c>
      <c r="B12" t="str">
        <f>IFERROR(IF(A12="","",SUM((0.5*'Asset Allocation'!N12),'Asset Allocation'!Q12,'Asset Allocation'!R12)/'Broad Asset Allocation'!C12),0)</f>
        <v/>
      </c>
      <c r="D12" t="str">
        <f>IFERROR(IF(A12="","",SUM('Asset Allocation'!G12,(0.5*'Asset Allocation'!N12),'Asset Allocation'!O12,'Asset Allocation'!Z12)/'Broad Asset Allocation'!C12),0)</f>
        <v/>
      </c>
      <c r="E12" t="str">
        <f>IFERROR(IF(A12="","",SUM('Asset Allocation'!K12)/'Broad Asset Allocation'!C12),0)</f>
        <v/>
      </c>
      <c r="F12" t="str">
        <f>IFERROR(IF(A12="","",SUM(('Asset Allocation'!AA12))/'Broad Asset Allocation'!C12),0)</f>
        <v/>
      </c>
      <c r="G12" t="str">
        <f>IFERROR(IF(A12="","",SUM('Asset Allocation'!P12,'Asset Allocation'!T12,'Asset Allocation'!AE12,'Asset Allocation'!AF12,'Asset Allocation'!AG12)/'Broad Asset Allocation'!C12),0)</f>
        <v/>
      </c>
      <c r="H12" t="str">
        <f>IFERROR(IF(A12="","",SUM('Asset Allocation'!P12,'Asset Allocation'!T12,'Asset Allocation'!AE12,'Asset Allocation'!AF12,'Asset Allocation'!AG12)/'Broad Asset Allocation'!C12),0)</f>
        <v/>
      </c>
    </row>
    <row r="13" spans="1:8" x14ac:dyDescent="0.35">
      <c r="A13" t="str">
        <f>IF(Input!A14="","",Input!A14)</f>
        <v/>
      </c>
      <c r="B13" t="str">
        <f>IFERROR(IF(A13="","",SUM((0.5*'Asset Allocation'!N13),'Asset Allocation'!Q13,'Asset Allocation'!R13)/'Broad Asset Allocation'!C13),0)</f>
        <v/>
      </c>
      <c r="D13" t="str">
        <f>IFERROR(IF(A13="","",SUM('Asset Allocation'!G13,(0.5*'Asset Allocation'!N13),'Asset Allocation'!O13,'Asset Allocation'!Z13)/'Broad Asset Allocation'!C13),0)</f>
        <v/>
      </c>
      <c r="E13" t="str">
        <f>IFERROR(IF(A13="","",SUM('Asset Allocation'!K13)/'Broad Asset Allocation'!C13),0)</f>
        <v/>
      </c>
      <c r="F13" t="str">
        <f>IFERROR(IF(A13="","",SUM(('Asset Allocation'!AA13))/'Broad Asset Allocation'!C13),0)</f>
        <v/>
      </c>
      <c r="G13" t="str">
        <f>IFERROR(IF(A13="","",SUM('Asset Allocation'!P13,'Asset Allocation'!T13,'Asset Allocation'!AE13,'Asset Allocation'!AF13,'Asset Allocation'!AG13)/'Broad Asset Allocation'!C13),0)</f>
        <v/>
      </c>
      <c r="H13" t="str">
        <f>IFERROR(IF(A13="","",SUM('Asset Allocation'!P13,'Asset Allocation'!T13,'Asset Allocation'!AE13,'Asset Allocation'!AF13,'Asset Allocation'!AG13)/'Broad Asset Allocation'!C13),0)</f>
        <v/>
      </c>
    </row>
    <row r="14" spans="1:8" x14ac:dyDescent="0.35">
      <c r="A14" t="str">
        <f>IF(Input!A15="","",Input!A15)</f>
        <v/>
      </c>
      <c r="B14" t="str">
        <f>IFERROR(IF(A14="","",SUM((0.5*'Asset Allocation'!N14),'Asset Allocation'!Q14,'Asset Allocation'!R14)/'Broad Asset Allocation'!C14),0)</f>
        <v/>
      </c>
      <c r="D14" t="str">
        <f>IFERROR(IF(A14="","",SUM('Asset Allocation'!G14,(0.5*'Asset Allocation'!N14),'Asset Allocation'!O14,'Asset Allocation'!Z14)/'Broad Asset Allocation'!C14),0)</f>
        <v/>
      </c>
      <c r="E14" t="str">
        <f>IFERROR(IF(A14="","",SUM('Asset Allocation'!K14)/'Broad Asset Allocation'!C14),0)</f>
        <v/>
      </c>
      <c r="F14" t="str">
        <f>IFERROR(IF(A14="","",SUM(('Asset Allocation'!AA14))/'Broad Asset Allocation'!C14),0)</f>
        <v/>
      </c>
      <c r="G14" t="str">
        <f>IFERROR(IF(A14="","",SUM('Asset Allocation'!P14,'Asset Allocation'!T14,'Asset Allocation'!AE14,'Asset Allocation'!AF14,'Asset Allocation'!AG14)/'Broad Asset Allocation'!C14),0)</f>
        <v/>
      </c>
      <c r="H14" t="str">
        <f>IFERROR(IF(A14="","",SUM('Asset Allocation'!P14,'Asset Allocation'!T14,'Asset Allocation'!AE14,'Asset Allocation'!AF14,'Asset Allocation'!AG14)/'Broad Asset Allocation'!C14),0)</f>
        <v/>
      </c>
    </row>
    <row r="15" spans="1:8" x14ac:dyDescent="0.35">
      <c r="A15" t="str">
        <f>IF(Input!A16="","",Input!A16)</f>
        <v/>
      </c>
      <c r="B15" t="str">
        <f>IFERROR(IF(A15="","",SUM((0.5*'Asset Allocation'!N15),'Asset Allocation'!Q15,'Asset Allocation'!R15)/'Broad Asset Allocation'!C15),0)</f>
        <v/>
      </c>
      <c r="D15" t="str">
        <f>IFERROR(IF(A15="","",SUM('Asset Allocation'!G15,(0.5*'Asset Allocation'!N15),'Asset Allocation'!O15,'Asset Allocation'!Z15)/'Broad Asset Allocation'!C15),0)</f>
        <v/>
      </c>
      <c r="E15" t="str">
        <f>IFERROR(IF(A15="","",SUM('Asset Allocation'!K15)/'Broad Asset Allocation'!C15),0)</f>
        <v/>
      </c>
      <c r="F15" t="str">
        <f>IFERROR(IF(A15="","",SUM(('Asset Allocation'!AA15))/'Broad Asset Allocation'!C15),0)</f>
        <v/>
      </c>
      <c r="G15" t="str">
        <f>IFERROR(IF(A15="","",SUM('Asset Allocation'!P15,'Asset Allocation'!T15,'Asset Allocation'!AE15,'Asset Allocation'!AF15,'Asset Allocation'!AG15)/'Broad Asset Allocation'!C15),0)</f>
        <v/>
      </c>
      <c r="H15" t="str">
        <f>IFERROR(IF(A15="","",SUM('Asset Allocation'!P15,'Asset Allocation'!T15,'Asset Allocation'!AE15,'Asset Allocation'!AF15,'Asset Allocation'!AG15)/'Broad Asset Allocation'!C15),0)</f>
        <v/>
      </c>
    </row>
    <row r="16" spans="1:8" x14ac:dyDescent="0.35">
      <c r="A16" t="str">
        <f>IF(Input!A17="","",Input!A17)</f>
        <v/>
      </c>
      <c r="B16" t="str">
        <f>IFERROR(IF(A16="","",SUM((0.5*'Asset Allocation'!N16),'Asset Allocation'!Q16,'Asset Allocation'!R16)/'Broad Asset Allocation'!C16),0)</f>
        <v/>
      </c>
      <c r="D16" t="str">
        <f>IFERROR(IF(A16="","",SUM('Asset Allocation'!G16,(0.5*'Asset Allocation'!N16),'Asset Allocation'!O16,'Asset Allocation'!Z16)/'Broad Asset Allocation'!C16),0)</f>
        <v/>
      </c>
      <c r="E16" t="str">
        <f>IFERROR(IF(A16="","",SUM('Asset Allocation'!K16)/'Broad Asset Allocation'!C16),0)</f>
        <v/>
      </c>
      <c r="F16" t="str">
        <f>IFERROR(IF(A16="","",SUM(('Asset Allocation'!AA16))/'Broad Asset Allocation'!C16),0)</f>
        <v/>
      </c>
      <c r="G16" t="str">
        <f>IFERROR(IF(A16="","",SUM('Asset Allocation'!P16,'Asset Allocation'!T16,'Asset Allocation'!AE16,'Asset Allocation'!AF16,'Asset Allocation'!AG16)/'Broad Asset Allocation'!C16),0)</f>
        <v/>
      </c>
      <c r="H16" t="str">
        <f>IFERROR(IF(A16="","",SUM('Asset Allocation'!P16,'Asset Allocation'!T16,'Asset Allocation'!AE16,'Asset Allocation'!AF16,'Asset Allocation'!AG16)/'Broad Asset Allocation'!C16),0)</f>
        <v/>
      </c>
    </row>
    <row r="17" spans="1:8" x14ac:dyDescent="0.35">
      <c r="A17" t="str">
        <f>IF(Input!A18="","",Input!A18)</f>
        <v/>
      </c>
      <c r="B17" t="str">
        <f>IFERROR(IF(A17="","",SUM((0.5*'Asset Allocation'!N17),'Asset Allocation'!Q17,'Asset Allocation'!R17)/'Broad Asset Allocation'!C17),0)</f>
        <v/>
      </c>
      <c r="D17" t="str">
        <f>IFERROR(IF(A17="","",SUM('Asset Allocation'!G17,(0.5*'Asset Allocation'!N17),'Asset Allocation'!O17,'Asset Allocation'!Z17)/'Broad Asset Allocation'!C17),0)</f>
        <v/>
      </c>
      <c r="E17" t="str">
        <f>IFERROR(IF(A17="","",SUM('Asset Allocation'!K17)/'Broad Asset Allocation'!C17),0)</f>
        <v/>
      </c>
      <c r="F17" t="str">
        <f>IFERROR(IF(A17="","",SUM(('Asset Allocation'!AA17))/'Broad Asset Allocation'!C17),0)</f>
        <v/>
      </c>
      <c r="G17" t="str">
        <f>IFERROR(IF(A17="","",SUM('Asset Allocation'!P17,'Asset Allocation'!T17,'Asset Allocation'!AE17,'Asset Allocation'!AF17,'Asset Allocation'!AG17)/'Broad Asset Allocation'!C17),0)</f>
        <v/>
      </c>
      <c r="H17" t="str">
        <f>IFERROR(IF(A17="","",SUM('Asset Allocation'!P17,'Asset Allocation'!T17,'Asset Allocation'!AE17,'Asset Allocation'!AF17,'Asset Allocation'!AG17)/'Broad Asset Allocation'!C17),0)</f>
        <v/>
      </c>
    </row>
    <row r="18" spans="1:8" x14ac:dyDescent="0.35">
      <c r="A18" t="str">
        <f>IF(Input!A19="","",Input!A19)</f>
        <v/>
      </c>
      <c r="B18" t="str">
        <f>IFERROR(IF(A18="","",SUM((0.5*'Asset Allocation'!N18),'Asset Allocation'!Q18,'Asset Allocation'!R18)/'Broad Asset Allocation'!C18),0)</f>
        <v/>
      </c>
      <c r="D18" t="str">
        <f>IFERROR(IF(A18="","",SUM('Asset Allocation'!G18,(0.5*'Asset Allocation'!N18),'Asset Allocation'!O18,'Asset Allocation'!Z18)/'Broad Asset Allocation'!C18),0)</f>
        <v/>
      </c>
      <c r="E18" t="str">
        <f>IFERROR(IF(A18="","",SUM('Asset Allocation'!K18)/'Broad Asset Allocation'!C18),0)</f>
        <v/>
      </c>
      <c r="F18" t="str">
        <f>IFERROR(IF(A18="","",SUM(('Asset Allocation'!AA18))/'Broad Asset Allocation'!C18),0)</f>
        <v/>
      </c>
      <c r="G18" t="str">
        <f>IFERROR(IF(A18="","",SUM('Asset Allocation'!P18,'Asset Allocation'!T18,'Asset Allocation'!AE18,'Asset Allocation'!AF18,'Asset Allocation'!AG18)/'Broad Asset Allocation'!C18),0)</f>
        <v/>
      </c>
      <c r="H18" t="str">
        <f>IFERROR(IF(A18="","",SUM('Asset Allocation'!P18,'Asset Allocation'!T18,'Asset Allocation'!AE18,'Asset Allocation'!AF18,'Asset Allocation'!AG18)/'Broad Asset Allocation'!C18),0)</f>
        <v/>
      </c>
    </row>
    <row r="19" spans="1:8" x14ac:dyDescent="0.35">
      <c r="A19" t="str">
        <f>IF(Input!A20="","",Input!A20)</f>
        <v/>
      </c>
      <c r="B19" t="str">
        <f>IFERROR(IF(A19="","",SUM((0.5*'Asset Allocation'!N19),'Asset Allocation'!Q19,'Asset Allocation'!R19)/'Broad Asset Allocation'!C19),0)</f>
        <v/>
      </c>
      <c r="D19" t="str">
        <f>IFERROR(IF(A19="","",SUM('Asset Allocation'!G19,(0.5*'Asset Allocation'!N19),'Asset Allocation'!O19,'Asset Allocation'!Z19)/'Broad Asset Allocation'!C19),0)</f>
        <v/>
      </c>
      <c r="E19" t="str">
        <f>IFERROR(IF(A19="","",SUM('Asset Allocation'!K19)/'Broad Asset Allocation'!C19),0)</f>
        <v/>
      </c>
      <c r="F19" t="str">
        <f>IFERROR(IF(A19="","",SUM(('Asset Allocation'!AA19))/'Broad Asset Allocation'!C19),0)</f>
        <v/>
      </c>
      <c r="G19" t="str">
        <f>IFERROR(IF(A19="","",SUM('Asset Allocation'!P19,'Asset Allocation'!T19,'Asset Allocation'!AE19,'Asset Allocation'!AF19,'Asset Allocation'!AG19)/'Broad Asset Allocation'!C19),0)</f>
        <v/>
      </c>
      <c r="H19" t="str">
        <f>IFERROR(IF(A19="","",SUM('Asset Allocation'!P19,'Asset Allocation'!T19,'Asset Allocation'!AE19,'Asset Allocation'!AF19,'Asset Allocation'!AG19)/'Broad Asset Allocation'!C19),0)</f>
        <v/>
      </c>
    </row>
    <row r="20" spans="1:8" x14ac:dyDescent="0.35">
      <c r="A20" t="str">
        <f>IF(Input!A21="","",Input!A21)</f>
        <v/>
      </c>
      <c r="B20" t="str">
        <f>IFERROR(IF(A20="","",SUM((0.5*'Asset Allocation'!N20),'Asset Allocation'!Q20,'Asset Allocation'!R20)/'Broad Asset Allocation'!C20),0)</f>
        <v/>
      </c>
      <c r="D20" t="str">
        <f>IFERROR(IF(A20="","",SUM('Asset Allocation'!G20,(0.5*'Asset Allocation'!N20),'Asset Allocation'!O20,'Asset Allocation'!Z20)/'Broad Asset Allocation'!C20),0)</f>
        <v/>
      </c>
      <c r="E20" t="str">
        <f>IFERROR(IF(A20="","",SUM('Asset Allocation'!K20)/'Broad Asset Allocation'!C20),0)</f>
        <v/>
      </c>
      <c r="F20" t="str">
        <f>IFERROR(IF(A20="","",SUM(('Asset Allocation'!AA20))/'Broad Asset Allocation'!C20),0)</f>
        <v/>
      </c>
      <c r="G20" t="str">
        <f>IFERROR(IF(A20="","",SUM('Asset Allocation'!P20,'Asset Allocation'!T20,'Asset Allocation'!AE20,'Asset Allocation'!AF20,'Asset Allocation'!AG20)/'Broad Asset Allocation'!C20),0)</f>
        <v/>
      </c>
      <c r="H20" t="str">
        <f>IFERROR(IF(A20="","",SUM('Asset Allocation'!P20,'Asset Allocation'!T20,'Asset Allocation'!AE20,'Asset Allocation'!AF20,'Asset Allocation'!AG20)/'Broad Asset Allocation'!C20),0)</f>
        <v/>
      </c>
    </row>
    <row r="21" spans="1:8" x14ac:dyDescent="0.35">
      <c r="A21" t="str">
        <f>IF(Input!A22="","",Input!A22)</f>
        <v/>
      </c>
      <c r="B21" t="str">
        <f>IFERROR(IF(A21="","",SUM((0.5*'Asset Allocation'!N21),'Asset Allocation'!Q21,'Asset Allocation'!R21)/'Broad Asset Allocation'!C21),0)</f>
        <v/>
      </c>
      <c r="D21" t="str">
        <f>IFERROR(IF(A21="","",SUM('Asset Allocation'!G21,(0.5*'Asset Allocation'!N21),'Asset Allocation'!O21,'Asset Allocation'!Z21)/'Broad Asset Allocation'!C21),0)</f>
        <v/>
      </c>
      <c r="E21" t="str">
        <f>IFERROR(IF(A21="","",SUM('Asset Allocation'!K21)/'Broad Asset Allocation'!C21),0)</f>
        <v/>
      </c>
      <c r="F21" t="str">
        <f>IFERROR(IF(A21="","",SUM(('Asset Allocation'!AA21))/'Broad Asset Allocation'!C21),0)</f>
        <v/>
      </c>
      <c r="G21" t="str">
        <f>IFERROR(IF(A21="","",SUM('Asset Allocation'!P21,'Asset Allocation'!T21,'Asset Allocation'!AE21,'Asset Allocation'!AF21,'Asset Allocation'!AG21)/'Broad Asset Allocation'!C21),0)</f>
        <v/>
      </c>
      <c r="H21" t="str">
        <f>IFERROR(IF(A21="","",SUM('Asset Allocation'!P21,'Asset Allocation'!T21,'Asset Allocation'!AE21,'Asset Allocation'!AF21,'Asset Allocation'!AG21)/'Broad Asset Allocation'!C21),0)</f>
        <v/>
      </c>
    </row>
    <row r="22" spans="1:8" x14ac:dyDescent="0.35">
      <c r="A22" t="str">
        <f>IF(Input!A23="","",Input!A23)</f>
        <v/>
      </c>
      <c r="B22" t="str">
        <f>IFERROR(IF(A22="","",SUM((0.5*'Asset Allocation'!N22),'Asset Allocation'!Q22,'Asset Allocation'!R22)/'Broad Asset Allocation'!C22),0)</f>
        <v/>
      </c>
      <c r="D22" t="str">
        <f>IFERROR(IF(A22="","",SUM('Asset Allocation'!G22,(0.5*'Asset Allocation'!N22),'Asset Allocation'!O22,'Asset Allocation'!Z22)/'Broad Asset Allocation'!C22),0)</f>
        <v/>
      </c>
      <c r="E22" t="str">
        <f>IFERROR(IF(A22="","",SUM('Asset Allocation'!K22)/'Broad Asset Allocation'!C22),0)</f>
        <v/>
      </c>
      <c r="F22" t="str">
        <f>IFERROR(IF(A22="","",SUM(('Asset Allocation'!AA22))/'Broad Asset Allocation'!C22),0)</f>
        <v/>
      </c>
      <c r="G22" t="str">
        <f>IFERROR(IF(A22="","",SUM('Asset Allocation'!P22,'Asset Allocation'!T22,'Asset Allocation'!AE22,'Asset Allocation'!AF22,'Asset Allocation'!AG22)/'Broad Asset Allocation'!C22),0)</f>
        <v/>
      </c>
      <c r="H22" t="str">
        <f>IFERROR(IF(A22="","",SUM('Asset Allocation'!P22,'Asset Allocation'!T22,'Asset Allocation'!AE22,'Asset Allocation'!AF22,'Asset Allocation'!AG22)/'Broad Asset Allocation'!C22),0)</f>
        <v/>
      </c>
    </row>
    <row r="23" spans="1:8" x14ac:dyDescent="0.35">
      <c r="A23" t="str">
        <f>IF(Input!A24="","",Input!A24)</f>
        <v/>
      </c>
      <c r="B23" t="str">
        <f>IFERROR(IF(A23="","",SUM((0.5*'Asset Allocation'!N23),'Asset Allocation'!Q23,'Asset Allocation'!R23)/'Broad Asset Allocation'!C23),0)</f>
        <v/>
      </c>
      <c r="D23" t="str">
        <f>IFERROR(IF(A23="","",SUM('Asset Allocation'!G23,(0.5*'Asset Allocation'!N23),'Asset Allocation'!O23,'Asset Allocation'!Z23)/'Broad Asset Allocation'!C23),0)</f>
        <v/>
      </c>
      <c r="E23" t="str">
        <f>IFERROR(IF(A23="","",SUM('Asset Allocation'!K23)/'Broad Asset Allocation'!C23),0)</f>
        <v/>
      </c>
      <c r="F23" t="str">
        <f>IFERROR(IF(A23="","",SUM(('Asset Allocation'!AA23))/'Broad Asset Allocation'!C23),0)</f>
        <v/>
      </c>
      <c r="G23" t="str">
        <f>IFERROR(IF(A23="","",SUM('Asset Allocation'!P23,'Asset Allocation'!T23,'Asset Allocation'!AE23,'Asset Allocation'!AF23,'Asset Allocation'!AG23)/'Broad Asset Allocation'!C23),0)</f>
        <v/>
      </c>
      <c r="H23" t="str">
        <f>IFERROR(IF(A23="","",SUM('Asset Allocation'!P23,'Asset Allocation'!T23,'Asset Allocation'!AE23,'Asset Allocation'!AF23,'Asset Allocation'!AG23)/'Broad Asset Allocation'!C23),0)</f>
        <v/>
      </c>
    </row>
    <row r="24" spans="1:8" x14ac:dyDescent="0.35">
      <c r="A24" t="str">
        <f>IF(Input!A25="","",Input!A25)</f>
        <v/>
      </c>
      <c r="B24" t="str">
        <f>IFERROR(IF(A24="","",SUM((0.5*'Asset Allocation'!N24),'Asset Allocation'!Q24,'Asset Allocation'!R24)/'Broad Asset Allocation'!C24),0)</f>
        <v/>
      </c>
      <c r="D24" t="str">
        <f>IFERROR(IF(A24="","",SUM('Asset Allocation'!G24,(0.5*'Asset Allocation'!N24),'Asset Allocation'!O24,'Asset Allocation'!Z24)/'Broad Asset Allocation'!C24),0)</f>
        <v/>
      </c>
      <c r="E24" t="str">
        <f>IFERROR(IF(A24="","",SUM('Asset Allocation'!K24)/'Broad Asset Allocation'!C24),0)</f>
        <v/>
      </c>
      <c r="F24" t="str">
        <f>IFERROR(IF(A24="","",SUM(('Asset Allocation'!AA24))/'Broad Asset Allocation'!C24),0)</f>
        <v/>
      </c>
      <c r="G24" t="str">
        <f>IFERROR(IF(A24="","",SUM('Asset Allocation'!P24,'Asset Allocation'!T24,'Asset Allocation'!AE24,'Asset Allocation'!AF24,'Asset Allocation'!AG24)/'Broad Asset Allocation'!C24),0)</f>
        <v/>
      </c>
      <c r="H24" t="str">
        <f>IFERROR(IF(A24="","",SUM('Asset Allocation'!P24,'Asset Allocation'!T24,'Asset Allocation'!AE24,'Asset Allocation'!AF24,'Asset Allocation'!AG24)/'Broad Asset Allocation'!C24),0)</f>
        <v/>
      </c>
    </row>
    <row r="25" spans="1:8" x14ac:dyDescent="0.35">
      <c r="A25" t="str">
        <f>IF(Input!A26="","",Input!A26)</f>
        <v/>
      </c>
      <c r="B25" t="str">
        <f>IFERROR(IF(A25="","",SUM((0.5*'Asset Allocation'!N25),'Asset Allocation'!Q25,'Asset Allocation'!R25)/'Broad Asset Allocation'!C25),0)</f>
        <v/>
      </c>
      <c r="D25" t="str">
        <f>IFERROR(IF(A25="","",SUM('Asset Allocation'!G25,(0.5*'Asset Allocation'!N25),'Asset Allocation'!O25,'Asset Allocation'!Z25)/'Broad Asset Allocation'!C25),0)</f>
        <v/>
      </c>
      <c r="E25" t="str">
        <f>IFERROR(IF(A25="","",SUM('Asset Allocation'!K25)/'Broad Asset Allocation'!C25),0)</f>
        <v/>
      </c>
      <c r="F25" t="str">
        <f>IFERROR(IF(A25="","",SUM(('Asset Allocation'!AA25))/'Broad Asset Allocation'!C25),0)</f>
        <v/>
      </c>
      <c r="G25" t="str">
        <f>IFERROR(IF(A25="","",SUM('Asset Allocation'!P25,'Asset Allocation'!T25,'Asset Allocation'!AE25,'Asset Allocation'!AF25,'Asset Allocation'!AG25)/'Broad Asset Allocation'!C25),0)</f>
        <v/>
      </c>
      <c r="H25" t="str">
        <f>IFERROR(IF(A25="","",SUM('Asset Allocation'!P25,'Asset Allocation'!T25,'Asset Allocation'!AE25,'Asset Allocation'!AF25,'Asset Allocation'!AG25)/'Broad Asset Allocation'!C25),0)</f>
        <v/>
      </c>
    </row>
    <row r="26" spans="1:8" x14ac:dyDescent="0.35">
      <c r="A26" t="str">
        <f>IF(Input!A27="","",Input!A27)</f>
        <v/>
      </c>
      <c r="B26" t="str">
        <f>IFERROR(IF(A26="","",SUM((0.5*'Asset Allocation'!N26),'Asset Allocation'!Q26,'Asset Allocation'!R26)/'Broad Asset Allocation'!C26),0)</f>
        <v/>
      </c>
      <c r="D26" t="str">
        <f>IFERROR(IF(A26="","",SUM('Asset Allocation'!G26,(0.5*'Asset Allocation'!N26),'Asset Allocation'!O26,'Asset Allocation'!Z26)/'Broad Asset Allocation'!C26),0)</f>
        <v/>
      </c>
      <c r="E26" t="str">
        <f>IFERROR(IF(A26="","",SUM('Asset Allocation'!K26)/'Broad Asset Allocation'!C26),0)</f>
        <v/>
      </c>
      <c r="F26" t="str">
        <f>IFERROR(IF(A26="","",SUM(('Asset Allocation'!AA26))/'Broad Asset Allocation'!C26),0)</f>
        <v/>
      </c>
      <c r="G26" t="str">
        <f>IFERROR(IF(A26="","",SUM('Asset Allocation'!P26,'Asset Allocation'!T26,'Asset Allocation'!AE26,'Asset Allocation'!AF26,'Asset Allocation'!AG26)/'Broad Asset Allocation'!C26),0)</f>
        <v/>
      </c>
      <c r="H26" t="str">
        <f>IFERROR(IF(A26="","",SUM('Asset Allocation'!P26,'Asset Allocation'!T26,'Asset Allocation'!AE26,'Asset Allocation'!AF26,'Asset Allocation'!AG26)/'Broad Asset Allocation'!C26),0)</f>
        <v/>
      </c>
    </row>
    <row r="27" spans="1:8" x14ac:dyDescent="0.35">
      <c r="A27" t="str">
        <f>IF(Input!A28="","",Input!A28)</f>
        <v/>
      </c>
      <c r="B27" t="str">
        <f>IFERROR(IF(A27="","",SUM((0.5*'Asset Allocation'!N27),'Asset Allocation'!Q27,'Asset Allocation'!R27)/'Broad Asset Allocation'!C27),0)</f>
        <v/>
      </c>
      <c r="D27" t="str">
        <f>IFERROR(IF(A27="","",SUM('Asset Allocation'!G27,(0.5*'Asset Allocation'!N27),'Asset Allocation'!O27,'Asset Allocation'!Z27)/'Broad Asset Allocation'!C27),0)</f>
        <v/>
      </c>
      <c r="E27" t="str">
        <f>IFERROR(IF(A27="","",SUM('Asset Allocation'!K27)/'Broad Asset Allocation'!C27),0)</f>
        <v/>
      </c>
      <c r="F27" t="str">
        <f>IFERROR(IF(A27="","",SUM(('Asset Allocation'!AA27))/'Broad Asset Allocation'!C27),0)</f>
        <v/>
      </c>
      <c r="G27" t="str">
        <f>IFERROR(IF(A27="","",SUM('Asset Allocation'!P27,'Asset Allocation'!T27,'Asset Allocation'!AE27,'Asset Allocation'!AF27,'Asset Allocation'!AG27)/'Broad Asset Allocation'!C27),0)</f>
        <v/>
      </c>
      <c r="H27" t="str">
        <f>IFERROR(IF(A27="","",SUM('Asset Allocation'!P27,'Asset Allocation'!T27,'Asset Allocation'!AE27,'Asset Allocation'!AF27,'Asset Allocation'!AG27)/'Broad Asset Allocation'!C27),0)</f>
        <v/>
      </c>
    </row>
    <row r="28" spans="1:8" x14ac:dyDescent="0.35">
      <c r="A28" t="str">
        <f>IF(Input!A29="","",Input!A29)</f>
        <v/>
      </c>
      <c r="B28" t="str">
        <f>IFERROR(IF(A28="","",SUM((0.5*'Asset Allocation'!N28),'Asset Allocation'!Q28,'Asset Allocation'!R28)/'Broad Asset Allocation'!C28),0)</f>
        <v/>
      </c>
      <c r="D28" t="str">
        <f>IFERROR(IF(A28="","",SUM('Asset Allocation'!G28,(0.5*'Asset Allocation'!N28),'Asset Allocation'!O28,'Asset Allocation'!Z28)/'Broad Asset Allocation'!C28),0)</f>
        <v/>
      </c>
      <c r="E28" t="str">
        <f>IFERROR(IF(A28="","",SUM('Asset Allocation'!K28)/'Broad Asset Allocation'!C28),0)</f>
        <v/>
      </c>
      <c r="F28" t="str">
        <f>IFERROR(IF(A28="","",SUM(('Asset Allocation'!AA28))/'Broad Asset Allocation'!C28),0)</f>
        <v/>
      </c>
      <c r="G28" t="str">
        <f>IFERROR(IF(A28="","",SUM('Asset Allocation'!P28,'Asset Allocation'!T28,'Asset Allocation'!AE28,'Asset Allocation'!AF28,'Asset Allocation'!AG28)/'Broad Asset Allocation'!C28),0)</f>
        <v/>
      </c>
      <c r="H28" t="str">
        <f>IFERROR(IF(A28="","",SUM('Asset Allocation'!P28,'Asset Allocation'!T28,'Asset Allocation'!AE28,'Asset Allocation'!AF28,'Asset Allocation'!AG28)/'Broad Asset Allocation'!C28),0)</f>
        <v/>
      </c>
    </row>
    <row r="29" spans="1:8" x14ac:dyDescent="0.35">
      <c r="A29" t="str">
        <f>IF(Input!A30="","",Input!A30)</f>
        <v/>
      </c>
      <c r="B29" t="str">
        <f>IFERROR(IF(A29="","",SUM((0.5*'Asset Allocation'!N29),'Asset Allocation'!Q29,'Asset Allocation'!R29)/'Broad Asset Allocation'!C29),0)</f>
        <v/>
      </c>
      <c r="D29" t="str">
        <f>IFERROR(IF(A29="","",SUM('Asset Allocation'!G29,(0.5*'Asset Allocation'!N29),'Asset Allocation'!O29,'Asset Allocation'!Z29)/'Broad Asset Allocation'!C29),0)</f>
        <v/>
      </c>
      <c r="E29" t="str">
        <f>IFERROR(IF(A29="","",SUM('Asset Allocation'!K29)/'Broad Asset Allocation'!C29),0)</f>
        <v/>
      </c>
      <c r="F29" t="str">
        <f>IFERROR(IF(A29="","",SUM(('Asset Allocation'!AA29))/'Broad Asset Allocation'!C29),0)</f>
        <v/>
      </c>
      <c r="G29" t="str">
        <f>IFERROR(IF(A29="","",SUM('Asset Allocation'!P29,'Asset Allocation'!T29,'Asset Allocation'!AE29,'Asset Allocation'!AF29,'Asset Allocation'!AG29)/'Broad Asset Allocation'!C29),0)</f>
        <v/>
      </c>
      <c r="H29" t="str">
        <f>IFERROR(IF(A29="","",SUM('Asset Allocation'!P29,'Asset Allocation'!T29,'Asset Allocation'!AE29,'Asset Allocation'!AF29,'Asset Allocation'!AG29)/'Broad Asset Allocation'!C29),0)</f>
        <v/>
      </c>
    </row>
    <row r="30" spans="1:8" x14ac:dyDescent="0.35">
      <c r="A30" t="str">
        <f>IF(Input!A31="","",Input!A31)</f>
        <v/>
      </c>
      <c r="B30" t="str">
        <f>IFERROR(IF(A30="","",SUM((0.5*'Asset Allocation'!N30),'Asset Allocation'!Q30,'Asset Allocation'!R30)/'Broad Asset Allocation'!C30),0)</f>
        <v/>
      </c>
      <c r="D30" t="str">
        <f>IFERROR(IF(A30="","",SUM('Asset Allocation'!G30,(0.5*'Asset Allocation'!N30),'Asset Allocation'!O30,'Asset Allocation'!Z30)/'Broad Asset Allocation'!C30),0)</f>
        <v/>
      </c>
      <c r="E30" t="str">
        <f>IFERROR(IF(A30="","",SUM('Asset Allocation'!K30)/'Broad Asset Allocation'!C30),0)</f>
        <v/>
      </c>
      <c r="F30" t="str">
        <f>IFERROR(IF(A30="","",SUM(('Asset Allocation'!AA30))/'Broad Asset Allocation'!C30),0)</f>
        <v/>
      </c>
      <c r="G30" t="str">
        <f>IFERROR(IF(A30="","",SUM('Asset Allocation'!P30,'Asset Allocation'!T30,'Asset Allocation'!AE30,'Asset Allocation'!AF30,'Asset Allocation'!AG30)/'Broad Asset Allocation'!C30),0)</f>
        <v/>
      </c>
      <c r="H30" t="str">
        <f>IFERROR(IF(A30="","",SUM('Asset Allocation'!P30,'Asset Allocation'!T30,'Asset Allocation'!AE30,'Asset Allocation'!AF30,'Asset Allocation'!AG30)/'Broad Asset Allocation'!C30),0)</f>
        <v/>
      </c>
    </row>
    <row r="31" spans="1:8" x14ac:dyDescent="0.35">
      <c r="A31" t="str">
        <f>IF(Input!A32="","",Input!A32)</f>
        <v/>
      </c>
      <c r="B31" t="str">
        <f>IFERROR(IF(A31="","",SUM((0.5*'Asset Allocation'!N31),'Asset Allocation'!Q31,'Asset Allocation'!R31)/'Broad Asset Allocation'!C31),0)</f>
        <v/>
      </c>
      <c r="D31" t="str">
        <f>IFERROR(IF(A31="","",SUM('Asset Allocation'!G31,(0.5*'Asset Allocation'!N31),'Asset Allocation'!O31,'Asset Allocation'!Z31)/'Broad Asset Allocation'!C31),0)</f>
        <v/>
      </c>
      <c r="E31" t="str">
        <f>IFERROR(IF(A31="","",SUM('Asset Allocation'!K31)/'Broad Asset Allocation'!C31),0)</f>
        <v/>
      </c>
      <c r="F31" t="str">
        <f>IFERROR(IF(A31="","",SUM(('Asset Allocation'!AA31))/'Broad Asset Allocation'!C31),0)</f>
        <v/>
      </c>
      <c r="G31" t="str">
        <f>IFERROR(IF(A31="","",SUM('Asset Allocation'!P31,'Asset Allocation'!T31,'Asset Allocation'!AE31,'Asset Allocation'!AF31,'Asset Allocation'!AG31)/'Broad Asset Allocation'!C31),0)</f>
        <v/>
      </c>
      <c r="H31" t="str">
        <f>IFERROR(IF(A31="","",SUM('Asset Allocation'!P31,'Asset Allocation'!T31,'Asset Allocation'!AE31,'Asset Allocation'!AF31,'Asset Allocation'!AG31)/'Broad Asset Allocation'!C31),0)</f>
        <v/>
      </c>
    </row>
    <row r="32" spans="1:8" x14ac:dyDescent="0.35">
      <c r="A32" t="str">
        <f>IF(Input!A33="","",Input!A33)</f>
        <v/>
      </c>
      <c r="B32" t="str">
        <f>IFERROR(IF(A32="","",SUM((0.5*'Asset Allocation'!N32),'Asset Allocation'!Q32,'Asset Allocation'!R32)/'Broad Asset Allocation'!C32),0)</f>
        <v/>
      </c>
      <c r="D32" t="str">
        <f>IFERROR(IF(A32="","",SUM('Asset Allocation'!G32,(0.5*'Asset Allocation'!N32),'Asset Allocation'!O32,'Asset Allocation'!Z32)/'Broad Asset Allocation'!C32),0)</f>
        <v/>
      </c>
      <c r="E32" t="str">
        <f>IFERROR(IF(A32="","",SUM('Asset Allocation'!K32)/'Broad Asset Allocation'!C32),0)</f>
        <v/>
      </c>
      <c r="F32" t="str">
        <f>IFERROR(IF(A32="","",SUM(('Asset Allocation'!AA32))/'Broad Asset Allocation'!C32),0)</f>
        <v/>
      </c>
      <c r="G32" t="str">
        <f>IFERROR(IF(A32="","",SUM('Asset Allocation'!P32,'Asset Allocation'!T32,'Asset Allocation'!AE32,'Asset Allocation'!AF32,'Asset Allocation'!AG32)/'Broad Asset Allocation'!C32),0)</f>
        <v/>
      </c>
      <c r="H32" t="str">
        <f>IFERROR(IF(A32="","",SUM('Asset Allocation'!P32,'Asset Allocation'!T32,'Asset Allocation'!AE32,'Asset Allocation'!AF32,'Asset Allocation'!AG32)/'Broad Asset Allocation'!C32),0)</f>
        <v/>
      </c>
    </row>
    <row r="33" spans="1:8" x14ac:dyDescent="0.35">
      <c r="A33" t="str">
        <f>IF(Input!A34="","",Input!A34)</f>
        <v/>
      </c>
      <c r="B33" t="str">
        <f>IFERROR(IF(A33="","",SUM((0.5*'Asset Allocation'!N33),'Asset Allocation'!Q33,'Asset Allocation'!R33)/'Broad Asset Allocation'!C33),0)</f>
        <v/>
      </c>
      <c r="D33" t="str">
        <f>IFERROR(IF(A33="","",SUM('Asset Allocation'!G33,(0.5*'Asset Allocation'!N33),'Asset Allocation'!O33,'Asset Allocation'!Z33)/'Broad Asset Allocation'!C33),0)</f>
        <v/>
      </c>
      <c r="E33" t="str">
        <f>IFERROR(IF(A33="","",SUM('Asset Allocation'!K33)/'Broad Asset Allocation'!C33),0)</f>
        <v/>
      </c>
      <c r="F33" t="str">
        <f>IFERROR(IF(A33="","",SUM(('Asset Allocation'!AA33))/'Broad Asset Allocation'!C33),0)</f>
        <v/>
      </c>
      <c r="G33" t="str">
        <f>IFERROR(IF(A33="","",SUM('Asset Allocation'!P33,'Asset Allocation'!T33,'Asset Allocation'!AE33,'Asset Allocation'!AF33,'Asset Allocation'!AG33)/'Broad Asset Allocation'!C33),0)</f>
        <v/>
      </c>
      <c r="H33" t="str">
        <f>IFERROR(IF(A33="","",SUM('Asset Allocation'!P33,'Asset Allocation'!T33,'Asset Allocation'!AE33,'Asset Allocation'!AF33,'Asset Allocation'!AG33)/'Broad Asset Allocation'!C33),0)</f>
        <v/>
      </c>
    </row>
    <row r="34" spans="1:8" x14ac:dyDescent="0.35">
      <c r="A34" t="str">
        <f>IF(Input!A35="","",Input!A35)</f>
        <v/>
      </c>
      <c r="B34" t="str">
        <f>IFERROR(IF(A34="","",SUM((0.5*'Asset Allocation'!N34),'Asset Allocation'!Q34,'Asset Allocation'!R34)/'Broad Asset Allocation'!C34),0)</f>
        <v/>
      </c>
      <c r="D34" t="str">
        <f>IFERROR(IF(A34="","",SUM('Asset Allocation'!G34,(0.5*'Asset Allocation'!N34),'Asset Allocation'!O34,'Asset Allocation'!Z34)/'Broad Asset Allocation'!C34),0)</f>
        <v/>
      </c>
      <c r="E34" t="str">
        <f>IFERROR(IF(A34="","",SUM('Asset Allocation'!K34)/'Broad Asset Allocation'!C34),0)</f>
        <v/>
      </c>
      <c r="F34" t="str">
        <f>IFERROR(IF(A34="","",SUM(('Asset Allocation'!AA34))/'Broad Asset Allocation'!C34),0)</f>
        <v/>
      </c>
      <c r="G34" t="str">
        <f>IFERROR(IF(A34="","",SUM('Asset Allocation'!P34,'Asset Allocation'!T34,'Asset Allocation'!AE34,'Asset Allocation'!AF34,'Asset Allocation'!AG34)/'Broad Asset Allocation'!C34),0)</f>
        <v/>
      </c>
      <c r="H34" t="str">
        <f>IFERROR(IF(A34="","",SUM('Asset Allocation'!P34,'Asset Allocation'!T34,'Asset Allocation'!AE34,'Asset Allocation'!AF34,'Asset Allocation'!AG34)/'Broad Asset Allocation'!C34),0)</f>
        <v/>
      </c>
    </row>
    <row r="35" spans="1:8" x14ac:dyDescent="0.35">
      <c r="A35" t="str">
        <f>IF(Input!A36="","",Input!A36)</f>
        <v/>
      </c>
      <c r="B35" t="str">
        <f>IFERROR(IF(A35="","",SUM((0.5*'Asset Allocation'!N35),'Asset Allocation'!Q35,'Asset Allocation'!R35)/'Broad Asset Allocation'!C35),0)</f>
        <v/>
      </c>
      <c r="D35" t="str">
        <f>IFERROR(IF(A35="","",SUM('Asset Allocation'!G35,(0.5*'Asset Allocation'!N35),'Asset Allocation'!O35,'Asset Allocation'!Z35)/'Broad Asset Allocation'!C35),0)</f>
        <v/>
      </c>
      <c r="E35" t="str">
        <f>IFERROR(IF(A35="","",SUM('Asset Allocation'!K35)/'Broad Asset Allocation'!C35),0)</f>
        <v/>
      </c>
      <c r="F35" t="str">
        <f>IFERROR(IF(A35="","",SUM(('Asset Allocation'!AA35))/'Broad Asset Allocation'!C35),0)</f>
        <v/>
      </c>
      <c r="G35" t="str">
        <f>IFERROR(IF(A35="","",SUM('Asset Allocation'!P35,'Asset Allocation'!T35,'Asset Allocation'!AE35,'Asset Allocation'!AF35,'Asset Allocation'!AG35)/'Broad Asset Allocation'!C35),0)</f>
        <v/>
      </c>
      <c r="H35" t="str">
        <f>IFERROR(IF(A35="","",SUM('Asset Allocation'!P35,'Asset Allocation'!T35,'Asset Allocation'!AE35,'Asset Allocation'!AF35,'Asset Allocation'!AG35)/'Broad Asset Allocation'!C35),0)</f>
        <v/>
      </c>
    </row>
    <row r="36" spans="1:8" x14ac:dyDescent="0.35">
      <c r="A36" t="str">
        <f>IF(Input!A37="","",Input!A37)</f>
        <v/>
      </c>
      <c r="B36" t="str">
        <f>IFERROR(IF(A36="","",SUM((0.5*'Asset Allocation'!N36),'Asset Allocation'!Q36,'Asset Allocation'!R36)/'Broad Asset Allocation'!C36),0)</f>
        <v/>
      </c>
      <c r="D36" t="str">
        <f>IFERROR(IF(A36="","",SUM('Asset Allocation'!G36,(0.5*'Asset Allocation'!N36),'Asset Allocation'!O36,'Asset Allocation'!Z36)/'Broad Asset Allocation'!C36),0)</f>
        <v/>
      </c>
      <c r="E36" t="str">
        <f>IFERROR(IF(A36="","",SUM('Asset Allocation'!K36)/'Broad Asset Allocation'!C36),0)</f>
        <v/>
      </c>
      <c r="F36" t="str">
        <f>IFERROR(IF(A36="","",SUM(('Asset Allocation'!AA36))/'Broad Asset Allocation'!C36),0)</f>
        <v/>
      </c>
      <c r="G36" t="str">
        <f>IFERROR(IF(A36="","",SUM('Asset Allocation'!P36,'Asset Allocation'!T36,'Asset Allocation'!AE36,'Asset Allocation'!AF36,'Asset Allocation'!AG36)/'Broad Asset Allocation'!C36),0)</f>
        <v/>
      </c>
      <c r="H36" t="str">
        <f>IFERROR(IF(A36="","",SUM('Asset Allocation'!P36,'Asset Allocation'!T36,'Asset Allocation'!AE36,'Asset Allocation'!AF36,'Asset Allocation'!AG36)/'Broad Asset Allocation'!C36),0)</f>
        <v/>
      </c>
    </row>
    <row r="37" spans="1:8" x14ac:dyDescent="0.35">
      <c r="A37" t="str">
        <f>IF(Input!A38="","",Input!A38)</f>
        <v/>
      </c>
      <c r="B37" t="str">
        <f>IFERROR(IF(A37="","",SUM((0.5*'Asset Allocation'!N37),'Asset Allocation'!Q37,'Asset Allocation'!R37)/'Broad Asset Allocation'!C37),0)</f>
        <v/>
      </c>
      <c r="D37" t="str">
        <f>IFERROR(IF(A37="","",SUM('Asset Allocation'!G37,(0.5*'Asset Allocation'!N37),'Asset Allocation'!O37,'Asset Allocation'!Z37)/'Broad Asset Allocation'!C37),0)</f>
        <v/>
      </c>
      <c r="E37" t="str">
        <f>IFERROR(IF(A37="","",SUM('Asset Allocation'!K37)/'Broad Asset Allocation'!C37),0)</f>
        <v/>
      </c>
      <c r="F37" t="str">
        <f>IFERROR(IF(A37="","",SUM(('Asset Allocation'!AA37))/'Broad Asset Allocation'!C37),0)</f>
        <v/>
      </c>
      <c r="G37" t="str">
        <f>IFERROR(IF(A37="","",SUM('Asset Allocation'!P37,'Asset Allocation'!T37,'Asset Allocation'!AE37,'Asset Allocation'!AF37,'Asset Allocation'!AG37)/'Broad Asset Allocation'!C37),0)</f>
        <v/>
      </c>
      <c r="H37" t="str">
        <f>IFERROR(IF(A37="","",SUM('Asset Allocation'!P37,'Asset Allocation'!T37,'Asset Allocation'!AE37,'Asset Allocation'!AF37,'Asset Allocation'!AG37)/'Broad Asset Allocation'!C37),0)</f>
        <v/>
      </c>
    </row>
    <row r="38" spans="1:8" x14ac:dyDescent="0.35">
      <c r="A38" t="str">
        <f>IF(Input!A39="","",Input!A39)</f>
        <v/>
      </c>
      <c r="B38" t="str">
        <f>IFERROR(IF(A38="","",SUM((0.5*'Asset Allocation'!N38),'Asset Allocation'!Q38,'Asset Allocation'!R38)/'Broad Asset Allocation'!C38),0)</f>
        <v/>
      </c>
      <c r="D38" t="str">
        <f>IFERROR(IF(A38="","",SUM('Asset Allocation'!G38,(0.5*'Asset Allocation'!N38),'Asset Allocation'!O38,'Asset Allocation'!Z38)/'Broad Asset Allocation'!C38),0)</f>
        <v/>
      </c>
      <c r="E38" t="str">
        <f>IFERROR(IF(A38="","",SUM('Asset Allocation'!K38)/'Broad Asset Allocation'!C38),0)</f>
        <v/>
      </c>
      <c r="F38" t="str">
        <f>IFERROR(IF(A38="","",SUM(('Asset Allocation'!AA38))/'Broad Asset Allocation'!C38),0)</f>
        <v/>
      </c>
      <c r="G38" t="str">
        <f>IFERROR(IF(A38="","",SUM('Asset Allocation'!P38,'Asset Allocation'!T38,'Asset Allocation'!AE38,'Asset Allocation'!AF38,'Asset Allocation'!AG38)/'Broad Asset Allocation'!C38),0)</f>
        <v/>
      </c>
      <c r="H38" t="str">
        <f>IFERROR(IF(A38="","",SUM('Asset Allocation'!P38,'Asset Allocation'!T38,'Asset Allocation'!AE38,'Asset Allocation'!AF38,'Asset Allocation'!AG38)/'Broad Asset Allocation'!C38),0)</f>
        <v/>
      </c>
    </row>
    <row r="39" spans="1:8" x14ac:dyDescent="0.35">
      <c r="A39" t="str">
        <f>IF(Input!A40="","",Input!A40)</f>
        <v/>
      </c>
      <c r="B39" t="str">
        <f>IFERROR(IF(A39="","",SUM((0.5*'Asset Allocation'!N39),'Asset Allocation'!Q39,'Asset Allocation'!R39)/'Broad Asset Allocation'!C39),0)</f>
        <v/>
      </c>
      <c r="D39" t="str">
        <f>IFERROR(IF(A39="","",SUM('Asset Allocation'!G39,(0.5*'Asset Allocation'!N39),'Asset Allocation'!O39,'Asset Allocation'!Z39)/'Broad Asset Allocation'!C39),0)</f>
        <v/>
      </c>
      <c r="E39" t="str">
        <f>IFERROR(IF(A39="","",SUM('Asset Allocation'!K39)/'Broad Asset Allocation'!C39),0)</f>
        <v/>
      </c>
      <c r="F39" t="str">
        <f>IFERROR(IF(A39="","",SUM(('Asset Allocation'!AA39))/'Broad Asset Allocation'!C39),0)</f>
        <v/>
      </c>
      <c r="G39" t="str">
        <f>IFERROR(IF(A39="","",SUM('Asset Allocation'!P39,'Asset Allocation'!T39,'Asset Allocation'!AE39,'Asset Allocation'!AF39,'Asset Allocation'!AG39)/'Broad Asset Allocation'!C39),0)</f>
        <v/>
      </c>
      <c r="H39" t="str">
        <f>IFERROR(IF(A39="","",SUM('Asset Allocation'!P39,'Asset Allocation'!T39,'Asset Allocation'!AE39,'Asset Allocation'!AF39,'Asset Allocation'!AG39)/'Broad Asset Allocation'!C39),0)</f>
        <v/>
      </c>
    </row>
    <row r="40" spans="1:8" x14ac:dyDescent="0.35">
      <c r="A40" t="str">
        <f>IF(Input!A41="","",Input!A41)</f>
        <v/>
      </c>
      <c r="B40" t="str">
        <f>IFERROR(IF(A40="","",SUM((0.5*'Asset Allocation'!N40),'Asset Allocation'!Q40,'Asset Allocation'!R40)/'Broad Asset Allocation'!C40),0)</f>
        <v/>
      </c>
      <c r="D40" t="str">
        <f>IFERROR(IF(A40="","",SUM('Asset Allocation'!G40,(0.5*'Asset Allocation'!N40),'Asset Allocation'!O40,'Asset Allocation'!Z40)/'Broad Asset Allocation'!C40),0)</f>
        <v/>
      </c>
      <c r="E40" t="str">
        <f>IFERROR(IF(A40="","",SUM('Asset Allocation'!K40)/'Broad Asset Allocation'!C40),0)</f>
        <v/>
      </c>
      <c r="F40" t="str">
        <f>IFERROR(IF(A40="","",SUM(('Asset Allocation'!AA40))/'Broad Asset Allocation'!C40),0)</f>
        <v/>
      </c>
      <c r="G40" t="str">
        <f>IFERROR(IF(A40="","",SUM('Asset Allocation'!P40,'Asset Allocation'!T40,'Asset Allocation'!AE40,'Asset Allocation'!AF40,'Asset Allocation'!AG40)/'Broad Asset Allocation'!C40),0)</f>
        <v/>
      </c>
      <c r="H40" t="str">
        <f>IFERROR(IF(A40="","",SUM('Asset Allocation'!P40,'Asset Allocation'!T40,'Asset Allocation'!AE40,'Asset Allocation'!AF40,'Asset Allocation'!AG40)/'Broad Asset Allocation'!C40),0)</f>
        <v/>
      </c>
    </row>
    <row r="41" spans="1:8" x14ac:dyDescent="0.35">
      <c r="A41" t="str">
        <f>IF(Input!A42="","",Input!A42)</f>
        <v/>
      </c>
      <c r="B41" t="str">
        <f>IFERROR(IF(A41="","",SUM((0.5*'Asset Allocation'!N41),'Asset Allocation'!Q41,'Asset Allocation'!R41)/'Broad Asset Allocation'!C41),0)</f>
        <v/>
      </c>
      <c r="D41" t="str">
        <f>IFERROR(IF(A41="","",SUM('Asset Allocation'!G41,(0.5*'Asset Allocation'!N41),'Asset Allocation'!O41,'Asset Allocation'!Z41)/'Broad Asset Allocation'!C41),0)</f>
        <v/>
      </c>
      <c r="E41" t="str">
        <f>IFERROR(IF(A41="","",SUM('Asset Allocation'!K41)/'Broad Asset Allocation'!C41),0)</f>
        <v/>
      </c>
      <c r="F41" t="str">
        <f>IFERROR(IF(A41="","",SUM(('Asset Allocation'!AA41))/'Broad Asset Allocation'!C41),0)</f>
        <v/>
      </c>
      <c r="G41" t="str">
        <f>IFERROR(IF(A41="","",SUM('Asset Allocation'!P41,'Asset Allocation'!T41,'Asset Allocation'!AE41,'Asset Allocation'!AF41,'Asset Allocation'!AG41)/'Broad Asset Allocation'!C41),0)</f>
        <v/>
      </c>
      <c r="H41" t="str">
        <f>IFERROR(IF(A41="","",SUM('Asset Allocation'!P41,'Asset Allocation'!T41,'Asset Allocation'!AE41,'Asset Allocation'!AF41,'Asset Allocation'!AG41)/'Broad Asset Allocation'!C41),0)</f>
        <v/>
      </c>
    </row>
    <row r="42" spans="1:8" x14ac:dyDescent="0.35">
      <c r="A42" t="str">
        <f>IF(Input!A43="","",Input!A43)</f>
        <v/>
      </c>
      <c r="B42" t="str">
        <f>IFERROR(IF(A42="","",SUM((0.5*'Asset Allocation'!N42),'Asset Allocation'!Q42,'Asset Allocation'!R42)/'Broad Asset Allocation'!C42),0)</f>
        <v/>
      </c>
      <c r="D42" t="str">
        <f>IFERROR(IF(A42="","",SUM('Asset Allocation'!G42,(0.5*'Asset Allocation'!N42),'Asset Allocation'!O42,'Asset Allocation'!Z42)/'Broad Asset Allocation'!C42),0)</f>
        <v/>
      </c>
      <c r="E42" t="str">
        <f>IFERROR(IF(A42="","",SUM('Asset Allocation'!K42)/'Broad Asset Allocation'!C42),0)</f>
        <v/>
      </c>
      <c r="F42" t="str">
        <f>IFERROR(IF(A42="","",SUM(('Asset Allocation'!AA42))/'Broad Asset Allocation'!C42),0)</f>
        <v/>
      </c>
      <c r="G42" t="str">
        <f>IFERROR(IF(A42="","",SUM('Asset Allocation'!P42,'Asset Allocation'!T42,'Asset Allocation'!AE42,'Asset Allocation'!AF42,'Asset Allocation'!AG42)/'Broad Asset Allocation'!C42),0)</f>
        <v/>
      </c>
      <c r="H42" t="str">
        <f>IFERROR(IF(A42="","",SUM('Asset Allocation'!P42,'Asset Allocation'!T42,'Asset Allocation'!AE42,'Asset Allocation'!AF42,'Asset Allocation'!AG42)/'Broad Asset Allocation'!C42),0)</f>
        <v/>
      </c>
    </row>
    <row r="43" spans="1:8" x14ac:dyDescent="0.35">
      <c r="A43" t="str">
        <f>IF(Input!A44="","",Input!A44)</f>
        <v/>
      </c>
      <c r="B43" t="str">
        <f>IFERROR(IF(A43="","",SUM((0.5*'Asset Allocation'!N43),'Asset Allocation'!Q43,'Asset Allocation'!R43)/'Broad Asset Allocation'!C43),0)</f>
        <v/>
      </c>
      <c r="D43" t="str">
        <f>IFERROR(IF(A43="","",SUM('Asset Allocation'!G43,(0.5*'Asset Allocation'!N43),'Asset Allocation'!O43,'Asset Allocation'!Z43)/'Broad Asset Allocation'!C43),0)</f>
        <v/>
      </c>
      <c r="E43" t="str">
        <f>IFERROR(IF(A43="","",SUM('Asset Allocation'!K43)/'Broad Asset Allocation'!C43),0)</f>
        <v/>
      </c>
      <c r="F43" t="str">
        <f>IFERROR(IF(A43="","",SUM(('Asset Allocation'!AA43))/'Broad Asset Allocation'!C43),0)</f>
        <v/>
      </c>
      <c r="G43" t="str">
        <f>IFERROR(IF(A43="","",SUM('Asset Allocation'!P43,'Asset Allocation'!T43,'Asset Allocation'!AE43,'Asset Allocation'!AF43,'Asset Allocation'!AG43)/'Broad Asset Allocation'!C43),0)</f>
        <v/>
      </c>
      <c r="H43" t="str">
        <f>IFERROR(IF(A43="","",SUM('Asset Allocation'!P43,'Asset Allocation'!T43,'Asset Allocation'!AE43,'Asset Allocation'!AF43,'Asset Allocation'!AG43)/'Broad Asset Allocation'!C43),0)</f>
        <v/>
      </c>
    </row>
    <row r="44" spans="1:8" x14ac:dyDescent="0.35">
      <c r="A44" t="str">
        <f>IF(Input!A45="","",Input!A45)</f>
        <v/>
      </c>
      <c r="B44" t="str">
        <f>IFERROR(IF(A44="","",SUM((0.5*'Asset Allocation'!N44),'Asset Allocation'!Q44,'Asset Allocation'!R44)/'Broad Asset Allocation'!C44),0)</f>
        <v/>
      </c>
      <c r="D44" t="str">
        <f>IFERROR(IF(A44="","",SUM('Asset Allocation'!G44,(0.5*'Asset Allocation'!N44),'Asset Allocation'!O44,'Asset Allocation'!Z44)/'Broad Asset Allocation'!C44),0)</f>
        <v/>
      </c>
      <c r="E44" t="str">
        <f>IFERROR(IF(A44="","",SUM('Asset Allocation'!K44)/'Broad Asset Allocation'!C44),0)</f>
        <v/>
      </c>
      <c r="F44" t="str">
        <f>IFERROR(IF(A44="","",SUM(('Asset Allocation'!AA44))/'Broad Asset Allocation'!C44),0)</f>
        <v/>
      </c>
      <c r="G44" t="str">
        <f>IFERROR(IF(A44="","",SUM('Asset Allocation'!P44,'Asset Allocation'!T44,'Asset Allocation'!AE44,'Asset Allocation'!AF44,'Asset Allocation'!AG44)/'Broad Asset Allocation'!C44),0)</f>
        <v/>
      </c>
      <c r="H44" t="str">
        <f>IFERROR(IF(A44="","",SUM('Asset Allocation'!P44,'Asset Allocation'!T44,'Asset Allocation'!AE44,'Asset Allocation'!AF44,'Asset Allocation'!AG44)/'Broad Asset Allocation'!C44),0)</f>
        <v/>
      </c>
    </row>
    <row r="45" spans="1:8" x14ac:dyDescent="0.35">
      <c r="A45" t="str">
        <f>IF(Input!A46="","",Input!A46)</f>
        <v/>
      </c>
      <c r="B45" t="str">
        <f>IFERROR(IF(A45="","",SUM((0.5*'Asset Allocation'!N45),'Asset Allocation'!Q45,'Asset Allocation'!R45)/'Broad Asset Allocation'!C45),0)</f>
        <v/>
      </c>
      <c r="D45" t="str">
        <f>IFERROR(IF(A45="","",SUM('Asset Allocation'!G45,(0.5*'Asset Allocation'!N45),'Asset Allocation'!O45,'Asset Allocation'!Z45)/'Broad Asset Allocation'!C45),0)</f>
        <v/>
      </c>
      <c r="E45" t="str">
        <f>IFERROR(IF(A45="","",SUM('Asset Allocation'!K45)/'Broad Asset Allocation'!C45),0)</f>
        <v/>
      </c>
      <c r="F45" t="str">
        <f>IFERROR(IF(A45="","",SUM(('Asset Allocation'!AA45))/'Broad Asset Allocation'!C45),0)</f>
        <v/>
      </c>
      <c r="G45" t="str">
        <f>IFERROR(IF(A45="","",SUM('Asset Allocation'!P45,'Asset Allocation'!T45,'Asset Allocation'!AE45,'Asset Allocation'!AF45,'Asset Allocation'!AG45)/'Broad Asset Allocation'!C45),0)</f>
        <v/>
      </c>
      <c r="H45" t="str">
        <f>IFERROR(IF(A45="","",SUM('Asset Allocation'!P45,'Asset Allocation'!T45,'Asset Allocation'!AE45,'Asset Allocation'!AF45,'Asset Allocation'!AG45)/'Broad Asset Allocation'!C45),0)</f>
        <v/>
      </c>
    </row>
    <row r="46" spans="1:8" x14ac:dyDescent="0.35">
      <c r="A46" t="str">
        <f>IF(Input!A47="","",Input!A47)</f>
        <v/>
      </c>
      <c r="B46" t="str">
        <f>IFERROR(IF(A46="","",SUM((0.5*'Asset Allocation'!N46),'Asset Allocation'!Q46,'Asset Allocation'!R46)/'Broad Asset Allocation'!C46),0)</f>
        <v/>
      </c>
      <c r="D46" t="str">
        <f>IFERROR(IF(A46="","",SUM('Asset Allocation'!G46,(0.5*'Asset Allocation'!N46),'Asset Allocation'!O46,'Asset Allocation'!Z46)/'Broad Asset Allocation'!C46),0)</f>
        <v/>
      </c>
      <c r="E46" t="str">
        <f>IFERROR(IF(A46="","",SUM('Asset Allocation'!K46)/'Broad Asset Allocation'!C46),0)</f>
        <v/>
      </c>
      <c r="F46" t="str">
        <f>IFERROR(IF(A46="","",SUM(('Asset Allocation'!AA46))/'Broad Asset Allocation'!C46),0)</f>
        <v/>
      </c>
      <c r="G46" t="str">
        <f>IFERROR(IF(A46="","",SUM('Asset Allocation'!P46,'Asset Allocation'!T46,'Asset Allocation'!AE46,'Asset Allocation'!AF46,'Asset Allocation'!AG46)/'Broad Asset Allocation'!C46),0)</f>
        <v/>
      </c>
      <c r="H46" t="str">
        <f>IFERROR(IF(A46="","",SUM('Asset Allocation'!P46,'Asset Allocation'!T46,'Asset Allocation'!AE46,'Asset Allocation'!AF46,'Asset Allocation'!AG46)/'Broad Asset Allocation'!C46),0)</f>
        <v/>
      </c>
    </row>
    <row r="47" spans="1:8" x14ac:dyDescent="0.35">
      <c r="A47" t="str">
        <f>IF(Input!A48="","",Input!A48)</f>
        <v/>
      </c>
      <c r="B47" t="str">
        <f>IFERROR(IF(A47="","",SUM((0.5*'Asset Allocation'!N47),'Asset Allocation'!Q47,'Asset Allocation'!R47)/'Broad Asset Allocation'!C47),0)</f>
        <v/>
      </c>
      <c r="D47" t="str">
        <f>IFERROR(IF(A47="","",SUM('Asset Allocation'!G47,(0.5*'Asset Allocation'!N47),'Asset Allocation'!O47,'Asset Allocation'!Z47)/'Broad Asset Allocation'!C47),0)</f>
        <v/>
      </c>
      <c r="E47" t="str">
        <f>IFERROR(IF(A47="","",SUM('Asset Allocation'!K47)/'Broad Asset Allocation'!C47),0)</f>
        <v/>
      </c>
      <c r="F47" t="str">
        <f>IFERROR(IF(A47="","",SUM(('Asset Allocation'!AA47))/'Broad Asset Allocation'!C47),0)</f>
        <v/>
      </c>
      <c r="G47" t="str">
        <f>IFERROR(IF(A47="","",SUM('Asset Allocation'!P47,'Asset Allocation'!T47,'Asset Allocation'!AE47,'Asset Allocation'!AF47,'Asset Allocation'!AG47)/'Broad Asset Allocation'!C47),0)</f>
        <v/>
      </c>
      <c r="H47" t="str">
        <f>IFERROR(IF(A47="","",SUM('Asset Allocation'!P47,'Asset Allocation'!T47,'Asset Allocation'!AE47,'Asset Allocation'!AF47,'Asset Allocation'!AG47)/'Broad Asset Allocation'!C47),0)</f>
        <v/>
      </c>
    </row>
    <row r="48" spans="1:8" x14ac:dyDescent="0.35">
      <c r="A48" t="str">
        <f>IF(Input!A49="","",Input!A49)</f>
        <v/>
      </c>
      <c r="B48" t="str">
        <f>IFERROR(IF(A48="","",SUM((0.5*'Asset Allocation'!N48),'Asset Allocation'!Q48,'Asset Allocation'!R48)/'Broad Asset Allocation'!C48),0)</f>
        <v/>
      </c>
      <c r="D48" t="str">
        <f>IFERROR(IF(A48="","",SUM('Asset Allocation'!G48,(0.5*'Asset Allocation'!N48),'Asset Allocation'!O48,'Asset Allocation'!Z48)/'Broad Asset Allocation'!C48),0)</f>
        <v/>
      </c>
      <c r="E48" t="str">
        <f>IFERROR(IF(A48="","",SUM('Asset Allocation'!K48)/'Broad Asset Allocation'!C48),0)</f>
        <v/>
      </c>
      <c r="F48" t="str">
        <f>IFERROR(IF(A48="","",SUM(('Asset Allocation'!AA48))/'Broad Asset Allocation'!C48),0)</f>
        <v/>
      </c>
      <c r="G48" t="str">
        <f>IFERROR(IF(A48="","",SUM('Asset Allocation'!P48,'Asset Allocation'!T48,'Asset Allocation'!AE48,'Asset Allocation'!AF48,'Asset Allocation'!AG48)/'Broad Asset Allocation'!C48),0)</f>
        <v/>
      </c>
      <c r="H48" t="str">
        <f>IFERROR(IF(A48="","",SUM('Asset Allocation'!P48,'Asset Allocation'!T48,'Asset Allocation'!AE48,'Asset Allocation'!AF48,'Asset Allocation'!AG48)/'Broad Asset Allocation'!C48),0)</f>
        <v/>
      </c>
    </row>
    <row r="49" spans="1:8" x14ac:dyDescent="0.35">
      <c r="A49" t="str">
        <f>IF(Input!A50="","",Input!A50)</f>
        <v/>
      </c>
      <c r="B49" t="str">
        <f>IFERROR(IF(A49="","",SUM((0.5*'Asset Allocation'!N49),'Asset Allocation'!Q49,'Asset Allocation'!R49)/'Broad Asset Allocation'!C49),0)</f>
        <v/>
      </c>
      <c r="D49" t="str">
        <f>IFERROR(IF(A49="","",SUM('Asset Allocation'!G49,(0.5*'Asset Allocation'!N49),'Asset Allocation'!O49,'Asset Allocation'!Z49)/'Broad Asset Allocation'!C49),0)</f>
        <v/>
      </c>
      <c r="E49" t="str">
        <f>IFERROR(IF(A49="","",SUM('Asset Allocation'!K49)/'Broad Asset Allocation'!C49),0)</f>
        <v/>
      </c>
      <c r="F49" t="str">
        <f>IFERROR(IF(A49="","",SUM(('Asset Allocation'!AA49))/'Broad Asset Allocation'!C49),0)</f>
        <v/>
      </c>
      <c r="G49" t="str">
        <f>IFERROR(IF(A49="","",SUM('Asset Allocation'!P49,'Asset Allocation'!T49,'Asset Allocation'!AE49,'Asset Allocation'!AF49,'Asset Allocation'!AG49)/'Broad Asset Allocation'!C49),0)</f>
        <v/>
      </c>
      <c r="H49" t="str">
        <f>IFERROR(IF(A49="","",SUM('Asset Allocation'!P49,'Asset Allocation'!T49,'Asset Allocation'!AE49,'Asset Allocation'!AF49,'Asset Allocation'!AG49)/'Broad Asset Allocation'!C49),0)</f>
        <v/>
      </c>
    </row>
    <row r="50" spans="1:8" x14ac:dyDescent="0.35">
      <c r="A50" t="str">
        <f>IF(Input!A51="","",Input!A51)</f>
        <v/>
      </c>
      <c r="B50" t="str">
        <f>IFERROR(IF(A50="","",SUM((0.5*'Asset Allocation'!N50),'Asset Allocation'!Q50,'Asset Allocation'!R50)/'Broad Asset Allocation'!C50),0)</f>
        <v/>
      </c>
      <c r="D50" t="str">
        <f>IFERROR(IF(A50="","",SUM('Asset Allocation'!G50,(0.5*'Asset Allocation'!N50),'Asset Allocation'!O50,'Asset Allocation'!Z50)/'Broad Asset Allocation'!C50),0)</f>
        <v/>
      </c>
      <c r="E50" t="str">
        <f>IFERROR(IF(A50="","",SUM('Asset Allocation'!K50)/'Broad Asset Allocation'!C50),0)</f>
        <v/>
      </c>
      <c r="F50" t="str">
        <f>IFERROR(IF(A50="","",SUM(('Asset Allocation'!AA50))/'Broad Asset Allocation'!C50),0)</f>
        <v/>
      </c>
      <c r="G50" t="str">
        <f>IFERROR(IF(A50="","",SUM('Asset Allocation'!P50,'Asset Allocation'!T50,'Asset Allocation'!AE50,'Asset Allocation'!AF50,'Asset Allocation'!AG50)/'Broad Asset Allocation'!C50),0)</f>
        <v/>
      </c>
      <c r="H50" t="str">
        <f>IFERROR(IF(A50="","",SUM('Asset Allocation'!P50,'Asset Allocation'!T50,'Asset Allocation'!AE50,'Asset Allocation'!AF50,'Asset Allocation'!AG50)/'Broad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09EA-1D9D-4CD1-8ED2-B37C5F4F8049}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A6B78-3F36-4CCC-8F72-D9B802672354}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FEF2-4E68-4250-8FA7-2DE974CEA984}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2023-09-02T12:53:16Z</dcterms:modified>
</cp:coreProperties>
</file>