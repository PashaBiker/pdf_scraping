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5_milestone\EFG Asset Management (UK) Limited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A2" i="35"/>
  <c r="A3" i="35"/>
  <c r="A4" i="35"/>
  <c r="A5" i="35"/>
  <c r="A6" i="35"/>
  <c r="A7" i="35"/>
  <c r="A8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1" i="37" l="1" a="1"/>
  <c r="B1" i="37" s="1"/>
  <c r="F20" i="8"/>
  <c r="H20" i="8"/>
  <c r="F28" i="8"/>
  <c r="H28" i="8"/>
  <c r="F36" i="8"/>
  <c r="H36" i="8"/>
  <c r="H44" i="8"/>
  <c r="F44" i="8"/>
  <c r="F21" i="8"/>
  <c r="H21" i="8"/>
  <c r="F29" i="8"/>
  <c r="H29" i="8"/>
  <c r="F37" i="8"/>
  <c r="H37" i="8"/>
  <c r="F45" i="8"/>
  <c r="H45" i="8"/>
  <c r="F22" i="8"/>
  <c r="H22" i="8"/>
  <c r="F30" i="8"/>
  <c r="H30" i="8"/>
  <c r="F38" i="8"/>
  <c r="H38" i="8"/>
  <c r="F46" i="8"/>
  <c r="H46" i="8"/>
  <c r="F23" i="8"/>
  <c r="H23" i="8"/>
  <c r="F31" i="8"/>
  <c r="H31" i="8"/>
  <c r="F39" i="8"/>
  <c r="H39" i="8"/>
  <c r="H47" i="8"/>
  <c r="F47" i="8"/>
  <c r="F24" i="8"/>
  <c r="H24" i="8"/>
  <c r="H32" i="8"/>
  <c r="F32" i="8"/>
  <c r="F40" i="8"/>
  <c r="H40" i="8"/>
  <c r="F48" i="8"/>
  <c r="H48" i="8"/>
  <c r="F17" i="8"/>
  <c r="H17" i="8"/>
  <c r="F25" i="8"/>
  <c r="H25" i="8"/>
  <c r="F33" i="8"/>
  <c r="H33" i="8"/>
  <c r="F41" i="8"/>
  <c r="H41" i="8"/>
  <c r="F49" i="8"/>
  <c r="H49" i="8"/>
  <c r="F18" i="8"/>
  <c r="H18" i="8"/>
  <c r="F26" i="8"/>
  <c r="H26" i="8"/>
  <c r="F34" i="8"/>
  <c r="H34" i="8"/>
  <c r="F42" i="8"/>
  <c r="H42" i="8"/>
  <c r="F50" i="8"/>
  <c r="H50" i="8"/>
  <c r="F19" i="8"/>
  <c r="H19" i="8"/>
  <c r="F27" i="8"/>
  <c r="H27" i="8"/>
  <c r="F35" i="8"/>
  <c r="H35" i="8"/>
  <c r="F43" i="8"/>
  <c r="H43" i="8"/>
  <c r="G21" i="7"/>
  <c r="C21" i="7"/>
  <c r="H21" i="7"/>
  <c r="C29" i="7"/>
  <c r="G29" i="7"/>
  <c r="H29" i="7"/>
  <c r="C37" i="7"/>
  <c r="G37" i="7"/>
  <c r="H37" i="7"/>
  <c r="H45" i="7"/>
  <c r="G45" i="7"/>
  <c r="C45" i="7"/>
  <c r="G22" i="7"/>
  <c r="H22" i="7"/>
  <c r="C22" i="7"/>
  <c r="G30" i="7"/>
  <c r="H30" i="7"/>
  <c r="C30" i="7"/>
  <c r="G38" i="7"/>
  <c r="H38" i="7"/>
  <c r="C38" i="7"/>
  <c r="G46" i="7"/>
  <c r="H46" i="7"/>
  <c r="C46" i="7"/>
  <c r="G23" i="7"/>
  <c r="C23" i="7"/>
  <c r="H23" i="7"/>
  <c r="G31" i="7"/>
  <c r="C31" i="7"/>
  <c r="H31" i="7"/>
  <c r="C39" i="7"/>
  <c r="G39" i="7"/>
  <c r="H39" i="7"/>
  <c r="C47" i="7"/>
  <c r="G47" i="7"/>
  <c r="H47" i="7"/>
  <c r="C24" i="7"/>
  <c r="H24" i="7"/>
  <c r="G24" i="7"/>
  <c r="H32" i="7"/>
  <c r="G32" i="7"/>
  <c r="C32" i="7"/>
  <c r="C40" i="7"/>
  <c r="G40" i="7"/>
  <c r="H40" i="7"/>
  <c r="C48" i="7"/>
  <c r="G48" i="7"/>
  <c r="H48" i="7"/>
  <c r="G17" i="7"/>
  <c r="C17" i="7"/>
  <c r="H17" i="7"/>
  <c r="G25" i="7"/>
  <c r="C25" i="7"/>
  <c r="H25" i="7"/>
  <c r="G33" i="7"/>
  <c r="C33" i="7"/>
  <c r="H33" i="7"/>
  <c r="C41" i="7"/>
  <c r="G41" i="7"/>
  <c r="H41" i="7"/>
  <c r="G49" i="7"/>
  <c r="C49" i="7"/>
  <c r="H49" i="7"/>
  <c r="H18" i="7"/>
  <c r="C18" i="7"/>
  <c r="G18" i="7"/>
  <c r="H26" i="7"/>
  <c r="G26" i="7"/>
  <c r="C26" i="7"/>
  <c r="H34" i="7"/>
  <c r="G34" i="7"/>
  <c r="C34" i="7"/>
  <c r="H42" i="7"/>
  <c r="G42" i="7"/>
  <c r="C42" i="7"/>
  <c r="H50" i="7"/>
  <c r="G50" i="7"/>
  <c r="C50" i="7"/>
  <c r="C19" i="7"/>
  <c r="H19" i="7"/>
  <c r="G19" i="7"/>
  <c r="C27" i="7"/>
  <c r="H27" i="7"/>
  <c r="G27" i="7"/>
  <c r="G35" i="7"/>
  <c r="C35" i="7"/>
  <c r="H35" i="7"/>
  <c r="C43" i="7"/>
  <c r="G43" i="7"/>
  <c r="H43" i="7"/>
  <c r="C20" i="7"/>
  <c r="H20" i="7"/>
  <c r="G20" i="7"/>
  <c r="C28" i="7"/>
  <c r="H28" i="7"/>
  <c r="G28" i="7"/>
  <c r="H36" i="7"/>
  <c r="C36" i="7"/>
  <c r="G36" i="7"/>
  <c r="H44" i="7"/>
  <c r="C44" i="7"/>
  <c r="G44" i="7"/>
  <c r="F2" i="4"/>
  <c r="E2" i="4"/>
  <c r="D2" i="4"/>
  <c r="B2" i="4"/>
  <c r="C2" i="4"/>
  <c r="G2" i="4"/>
  <c r="F50" i="4"/>
  <c r="G50" i="4"/>
  <c r="C50" i="4"/>
  <c r="B50" i="4"/>
  <c r="D50" i="4"/>
  <c r="E50" i="4"/>
  <c r="B27" i="4"/>
  <c r="C27" i="4"/>
  <c r="D27" i="4"/>
  <c r="G27" i="4"/>
  <c r="F27" i="4"/>
  <c r="E27" i="4"/>
  <c r="D12" i="4"/>
  <c r="E12" i="4"/>
  <c r="G12" i="4"/>
  <c r="F12" i="4"/>
  <c r="B12" i="4"/>
  <c r="C12" i="4"/>
  <c r="B6" i="4"/>
  <c r="C6" i="4"/>
  <c r="D6" i="4"/>
  <c r="E6" i="4"/>
  <c r="F6" i="4"/>
  <c r="G6" i="4"/>
  <c r="B14" i="4"/>
  <c r="C14" i="4"/>
  <c r="D14" i="4"/>
  <c r="E14" i="4"/>
  <c r="F14" i="4"/>
  <c r="G14" i="4"/>
  <c r="B22" i="4"/>
  <c r="C22" i="4"/>
  <c r="D22" i="4"/>
  <c r="E22" i="4"/>
  <c r="F22" i="4"/>
  <c r="G22" i="4"/>
  <c r="B30" i="4"/>
  <c r="C30" i="4"/>
  <c r="D30" i="4"/>
  <c r="E30" i="4"/>
  <c r="F30" i="4"/>
  <c r="G30" i="4"/>
  <c r="B38" i="4"/>
  <c r="C38" i="4"/>
  <c r="D38" i="4"/>
  <c r="E38" i="4"/>
  <c r="F38" i="4"/>
  <c r="G38" i="4"/>
  <c r="B46" i="4"/>
  <c r="D46" i="4"/>
  <c r="F46" i="4"/>
  <c r="C46" i="4"/>
  <c r="E46" i="4"/>
  <c r="G46" i="4"/>
  <c r="F34" i="4"/>
  <c r="G34" i="4"/>
  <c r="B34" i="4"/>
  <c r="D34" i="4"/>
  <c r="C34" i="4"/>
  <c r="E34" i="4"/>
  <c r="B19" i="4"/>
  <c r="C19" i="4"/>
  <c r="D19" i="4"/>
  <c r="E19" i="4"/>
  <c r="G19" i="4"/>
  <c r="F19" i="4"/>
  <c r="D4" i="4"/>
  <c r="E4" i="4"/>
  <c r="G4" i="4"/>
  <c r="F4" i="4"/>
  <c r="B4" i="4"/>
  <c r="C4" i="4"/>
  <c r="E7" i="4"/>
  <c r="G7" i="4"/>
  <c r="F7" i="4"/>
  <c r="B7" i="4"/>
  <c r="D7" i="4"/>
  <c r="C7" i="4"/>
  <c r="E15" i="4"/>
  <c r="G15" i="4"/>
  <c r="F15" i="4"/>
  <c r="B15" i="4"/>
  <c r="D15" i="4"/>
  <c r="C15" i="4"/>
  <c r="E23" i="4"/>
  <c r="G23" i="4"/>
  <c r="F23" i="4"/>
  <c r="B23" i="4"/>
  <c r="C23" i="4"/>
  <c r="D23" i="4"/>
  <c r="E31" i="4"/>
  <c r="G31" i="4"/>
  <c r="F31" i="4"/>
  <c r="B31" i="4"/>
  <c r="C31" i="4"/>
  <c r="D31" i="4"/>
  <c r="E39" i="4"/>
  <c r="G39" i="4"/>
  <c r="F39" i="4"/>
  <c r="C39" i="4"/>
  <c r="B39" i="4"/>
  <c r="D39" i="4"/>
  <c r="E47" i="4"/>
  <c r="F47" i="4"/>
  <c r="B47" i="4"/>
  <c r="D47" i="4"/>
  <c r="G47" i="4"/>
  <c r="C47" i="4"/>
  <c r="F18" i="4"/>
  <c r="G18" i="4"/>
  <c r="B18" i="4"/>
  <c r="C18" i="4"/>
  <c r="D18" i="4"/>
  <c r="E18" i="4"/>
  <c r="B3" i="4"/>
  <c r="C3" i="4"/>
  <c r="D3" i="4"/>
  <c r="G3" i="4"/>
  <c r="F3" i="4"/>
  <c r="E3" i="4"/>
  <c r="F16" i="4"/>
  <c r="B16" i="4"/>
  <c r="C16" i="4"/>
  <c r="D16" i="4"/>
  <c r="E16" i="4"/>
  <c r="G16" i="4"/>
  <c r="F24" i="4"/>
  <c r="B24" i="4"/>
  <c r="C24" i="4"/>
  <c r="D24" i="4"/>
  <c r="E24" i="4"/>
  <c r="G24" i="4"/>
  <c r="F32" i="4"/>
  <c r="B32" i="4"/>
  <c r="C32" i="4"/>
  <c r="D32" i="4"/>
  <c r="E32" i="4"/>
  <c r="G32" i="4"/>
  <c r="F40" i="4"/>
  <c r="B40" i="4"/>
  <c r="C40" i="4"/>
  <c r="D40" i="4"/>
  <c r="G40" i="4"/>
  <c r="E40" i="4"/>
  <c r="F48" i="4"/>
  <c r="B48" i="4"/>
  <c r="D48" i="4"/>
  <c r="E48" i="4"/>
  <c r="C48" i="4"/>
  <c r="G48" i="4"/>
  <c r="F26" i="4"/>
  <c r="G26" i="4"/>
  <c r="E26" i="4"/>
  <c r="C26" i="4"/>
  <c r="B26" i="4"/>
  <c r="D26" i="4"/>
  <c r="B11" i="4"/>
  <c r="C11" i="4"/>
  <c r="D11" i="4"/>
  <c r="F11" i="4"/>
  <c r="E11" i="4"/>
  <c r="G11" i="4"/>
  <c r="F8" i="4"/>
  <c r="B8" i="4"/>
  <c r="C8" i="4"/>
  <c r="E8" i="4"/>
  <c r="G8" i="4"/>
  <c r="D8" i="4"/>
  <c r="C9" i="4"/>
  <c r="F9" i="4"/>
  <c r="D9" i="4"/>
  <c r="E9" i="4"/>
  <c r="G9" i="4"/>
  <c r="B9" i="4"/>
  <c r="C17" i="4"/>
  <c r="F17" i="4"/>
  <c r="D17" i="4"/>
  <c r="E17" i="4"/>
  <c r="G17" i="4"/>
  <c r="B17" i="4"/>
  <c r="C25" i="4"/>
  <c r="F25" i="4"/>
  <c r="D25" i="4"/>
  <c r="E25" i="4"/>
  <c r="G25" i="4"/>
  <c r="B25" i="4"/>
  <c r="C33" i="4"/>
  <c r="F33" i="4"/>
  <c r="D33" i="4"/>
  <c r="E33" i="4"/>
  <c r="G33" i="4"/>
  <c r="B33" i="4"/>
  <c r="C41" i="4"/>
  <c r="F41" i="4"/>
  <c r="E41" i="4"/>
  <c r="G41" i="4"/>
  <c r="D41" i="4"/>
  <c r="B41" i="4"/>
  <c r="C49" i="4"/>
  <c r="F49" i="4"/>
  <c r="E49" i="4"/>
  <c r="B49" i="4"/>
  <c r="D49" i="4"/>
  <c r="G49" i="4"/>
  <c r="F10" i="4"/>
  <c r="G10" i="4"/>
  <c r="B10" i="4"/>
  <c r="C10" i="4"/>
  <c r="D10" i="4"/>
  <c r="E10" i="4"/>
  <c r="B35" i="4"/>
  <c r="C35" i="4"/>
  <c r="D35" i="4"/>
  <c r="F35" i="4"/>
  <c r="E35" i="4"/>
  <c r="G35" i="4"/>
  <c r="D20" i="4"/>
  <c r="E20" i="4"/>
  <c r="G20" i="4"/>
  <c r="B20" i="4"/>
  <c r="C20" i="4"/>
  <c r="F20" i="4"/>
  <c r="D28" i="4"/>
  <c r="E28" i="4"/>
  <c r="G28" i="4"/>
  <c r="C28" i="4"/>
  <c r="F28" i="4"/>
  <c r="B28" i="4"/>
  <c r="D36" i="4"/>
  <c r="E36" i="4"/>
  <c r="G36" i="4"/>
  <c r="B36" i="4"/>
  <c r="F36" i="4"/>
  <c r="C36" i="4"/>
  <c r="D44" i="4"/>
  <c r="G44" i="4"/>
  <c r="B44" i="4"/>
  <c r="C44" i="4"/>
  <c r="F44" i="4"/>
  <c r="E44" i="4"/>
  <c r="F42" i="4"/>
  <c r="G42" i="4"/>
  <c r="B42" i="4"/>
  <c r="E42" i="4"/>
  <c r="C42" i="4"/>
  <c r="D42" i="4"/>
  <c r="C43" i="4"/>
  <c r="E43" i="4"/>
  <c r="F43" i="4"/>
  <c r="B43" i="4"/>
  <c r="D43" i="4"/>
  <c r="G43" i="4"/>
  <c r="B5" i="4"/>
  <c r="C5" i="4"/>
  <c r="F5" i="4"/>
  <c r="D5" i="4"/>
  <c r="E5" i="4"/>
  <c r="G5" i="4"/>
  <c r="B13" i="4"/>
  <c r="G13" i="4"/>
  <c r="C13" i="4"/>
  <c r="D13" i="4"/>
  <c r="F13" i="4"/>
  <c r="E13" i="4"/>
  <c r="B21" i="4"/>
  <c r="F21" i="4"/>
  <c r="D21" i="4"/>
  <c r="G21" i="4"/>
  <c r="E21" i="4"/>
  <c r="C21" i="4"/>
  <c r="B29" i="4"/>
  <c r="F29" i="4"/>
  <c r="D29" i="4"/>
  <c r="G29" i="4"/>
  <c r="C29" i="4"/>
  <c r="E29" i="4"/>
  <c r="B37" i="4"/>
  <c r="F37" i="4"/>
  <c r="C37" i="4"/>
  <c r="G37" i="4"/>
  <c r="D37" i="4"/>
  <c r="E37" i="4"/>
  <c r="F45" i="4"/>
  <c r="B45" i="4"/>
  <c r="G45" i="4"/>
  <c r="C45" i="4"/>
  <c r="D45" i="4"/>
  <c r="E45" i="4"/>
  <c r="C47" i="31"/>
  <c r="B47" i="31"/>
  <c r="E47" i="31"/>
  <c r="B16" i="31"/>
  <c r="C16" i="31"/>
  <c r="E16" i="31"/>
  <c r="C24" i="31"/>
  <c r="B24" i="31"/>
  <c r="E24" i="31"/>
  <c r="B32" i="31"/>
  <c r="C32" i="31"/>
  <c r="E32" i="31"/>
  <c r="B40" i="31"/>
  <c r="C40" i="31"/>
  <c r="E40" i="31"/>
  <c r="B48" i="31"/>
  <c r="C48" i="31"/>
  <c r="E48" i="31"/>
  <c r="C23" i="31"/>
  <c r="E23" i="31"/>
  <c r="B23" i="31"/>
  <c r="B8" i="31"/>
  <c r="C8" i="31"/>
  <c r="E8" i="31"/>
  <c r="B9" i="31"/>
  <c r="E9" i="31"/>
  <c r="C9" i="31"/>
  <c r="E17" i="31"/>
  <c r="B17" i="31"/>
  <c r="C17" i="31"/>
  <c r="E25" i="31"/>
  <c r="B25" i="31"/>
  <c r="C25" i="31"/>
  <c r="B33" i="31"/>
  <c r="E33" i="31"/>
  <c r="C33" i="31"/>
  <c r="B41" i="31"/>
  <c r="C41" i="31"/>
  <c r="E41" i="31"/>
  <c r="B49" i="31"/>
  <c r="C49" i="31"/>
  <c r="E49" i="31"/>
  <c r="B10" i="31"/>
  <c r="C10" i="31"/>
  <c r="E10" i="31"/>
  <c r="B18" i="31"/>
  <c r="C18" i="31"/>
  <c r="E18" i="31"/>
  <c r="B26" i="31"/>
  <c r="E26" i="31"/>
  <c r="C26" i="31"/>
  <c r="B34" i="31"/>
  <c r="C34" i="31"/>
  <c r="E34" i="31"/>
  <c r="B42" i="31"/>
  <c r="E42" i="31"/>
  <c r="C42" i="31"/>
  <c r="B50" i="31"/>
  <c r="E50" i="31"/>
  <c r="C50" i="31"/>
  <c r="C39" i="31"/>
  <c r="E39" i="31"/>
  <c r="B39" i="31"/>
  <c r="E2" i="31"/>
  <c r="B2" i="31"/>
  <c r="C2" i="31"/>
  <c r="B3" i="31"/>
  <c r="C3" i="31"/>
  <c r="E3" i="31"/>
  <c r="B11" i="31"/>
  <c r="C11" i="31"/>
  <c r="E11" i="31"/>
  <c r="B19" i="31"/>
  <c r="C19" i="31"/>
  <c r="E19" i="31"/>
  <c r="B27" i="31"/>
  <c r="C27" i="31"/>
  <c r="E27" i="31"/>
  <c r="B35" i="31"/>
  <c r="E35" i="31"/>
  <c r="C35" i="31"/>
  <c r="B43" i="31"/>
  <c r="C43" i="31"/>
  <c r="E43" i="31"/>
  <c r="C15" i="31"/>
  <c r="E15" i="31"/>
  <c r="B15" i="31"/>
  <c r="E4" i="31"/>
  <c r="C4" i="31"/>
  <c r="B4" i="31"/>
  <c r="E12" i="31"/>
  <c r="B12" i="31"/>
  <c r="C12" i="31"/>
  <c r="E20" i="31"/>
  <c r="C20" i="31"/>
  <c r="B20" i="31"/>
  <c r="E28" i="31"/>
  <c r="C28" i="31"/>
  <c r="B28" i="31"/>
  <c r="E36" i="31"/>
  <c r="B36" i="31"/>
  <c r="C36" i="31"/>
  <c r="E44" i="31"/>
  <c r="B44" i="31"/>
  <c r="C44" i="31"/>
  <c r="C31" i="31"/>
  <c r="E31" i="31"/>
  <c r="B31" i="31"/>
  <c r="B5" i="31"/>
  <c r="C5" i="31"/>
  <c r="E5" i="31"/>
  <c r="B13" i="31"/>
  <c r="C13" i="31"/>
  <c r="E13" i="31"/>
  <c r="B21" i="31"/>
  <c r="E21" i="31"/>
  <c r="C21" i="31"/>
  <c r="B29" i="31"/>
  <c r="E29" i="31"/>
  <c r="C29" i="31"/>
  <c r="E37" i="31"/>
  <c r="B37" i="31"/>
  <c r="C37" i="31"/>
  <c r="B45" i="31"/>
  <c r="E45" i="31"/>
  <c r="C45" i="31"/>
  <c r="C7" i="31"/>
  <c r="B7" i="31"/>
  <c r="E7" i="31"/>
  <c r="B6" i="31"/>
  <c r="C6" i="31"/>
  <c r="E6" i="31"/>
  <c r="B14" i="31"/>
  <c r="C14" i="31"/>
  <c r="E14" i="31"/>
  <c r="B22" i="31"/>
  <c r="C22" i="31"/>
  <c r="E22" i="31"/>
  <c r="C30" i="31"/>
  <c r="B30" i="31"/>
  <c r="E30" i="31"/>
  <c r="C38" i="31"/>
  <c r="E38" i="31"/>
  <c r="B38" i="31"/>
  <c r="C46" i="31"/>
  <c r="B46" i="31"/>
  <c r="E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F15" i="8" l="1"/>
  <c r="H15" i="8"/>
  <c r="F6" i="8"/>
  <c r="H6" i="8"/>
  <c r="C13" i="7"/>
  <c r="H13" i="7"/>
  <c r="G13" i="7"/>
  <c r="F16" i="8"/>
  <c r="H16" i="8"/>
  <c r="G3" i="7"/>
  <c r="H3" i="7"/>
  <c r="C3" i="7"/>
  <c r="G6" i="7"/>
  <c r="C6" i="7"/>
  <c r="H6" i="7"/>
  <c r="C16" i="7"/>
  <c r="H16" i="7"/>
  <c r="G16" i="7"/>
  <c r="G15" i="7"/>
  <c r="H15" i="7"/>
  <c r="C15" i="7"/>
  <c r="F14" i="8"/>
  <c r="H14" i="8"/>
  <c r="H12" i="8"/>
  <c r="F12" i="8"/>
  <c r="H13" i="8"/>
  <c r="F13" i="8"/>
  <c r="C8" i="7"/>
  <c r="H8" i="7"/>
  <c r="G8" i="7"/>
  <c r="F3" i="8"/>
  <c r="H3" i="8"/>
  <c r="G7" i="7"/>
  <c r="H7" i="7"/>
  <c r="C7" i="7"/>
  <c r="H9" i="8"/>
  <c r="F9" i="8"/>
  <c r="G14" i="7"/>
  <c r="C14" i="7"/>
  <c r="H14" i="7"/>
  <c r="C12" i="7"/>
  <c r="H12" i="7"/>
  <c r="G12" i="7"/>
  <c r="H4" i="8"/>
  <c r="F4" i="8"/>
  <c r="F10" i="8"/>
  <c r="H10" i="8"/>
  <c r="C10" i="7"/>
  <c r="H10" i="7"/>
  <c r="G10" i="7"/>
  <c r="C4" i="7"/>
  <c r="H4" i="7"/>
  <c r="G4" i="7"/>
  <c r="F2" i="8"/>
  <c r="H2" i="8"/>
  <c r="H5" i="8"/>
  <c r="F5" i="8"/>
  <c r="C9" i="7"/>
  <c r="G9" i="7"/>
  <c r="H9" i="7"/>
  <c r="F11" i="8"/>
  <c r="H11" i="8"/>
  <c r="F7" i="8"/>
  <c r="H7" i="8"/>
  <c r="G2" i="7"/>
  <c r="H2" i="7"/>
  <c r="C2" i="7"/>
  <c r="F8" i="8"/>
  <c r="H8" i="8"/>
  <c r="C11" i="7"/>
  <c r="H11" i="7"/>
  <c r="G11" i="7"/>
  <c r="C5" i="7"/>
  <c r="H5" i="7"/>
  <c r="G5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<sst xmlns="http://schemas.openxmlformats.org/spreadsheetml/2006/main" count="77" uniqueCount="65">
  <si>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</si>
  <si>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</si>
  <si>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</si>
  <si>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</si>
  <si>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</si>
  <si>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</si>
  <si>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</si>
  <si>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</si>
  <si>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</si>
  <si>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</si>
  <si>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</si>
  <si>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</si>
  <si>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</si>
  <si>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</si>
  <si>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</si>
  <si>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</si>
  <si>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</si>
  <si>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</si>
  <si>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</si>
  <si>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</si>
  <si>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</si>
  <si>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</si>
  <si>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</si>
  <si>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</si>
  <si>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</si>
  <si>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</si>
  <si>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</si>
  <si>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</si>
  <si>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</si>
  <si>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</si>
  <si>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</si>
  <si>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</si>
  <si>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</si>
  <si>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New Capital Strategic Portfolio UCITS Fund</t>
  </si>
  <si>
    <t>New Capital Global Balanced Fund</t>
  </si>
  <si>
    <t>New Capital Global Alpha Fund</t>
  </si>
  <si>
    <t>https://www.newcapital.com/products/funds-and-performance/New-Capital-Strategic-Portfolio-UCITS--Fund.html?isin=IE00BTJRLV20</t>
  </si>
  <si>
    <t>https://www.newcapital.com/products/funds-and-performance/New-Capital-Global-Balanced-Fund.html?isin=IE00BGDWF760</t>
  </si>
  <si>
    <t>https://www.newcapital.com/products/funds-and-performance/New-Capital-Global-Alpha-Fund.html?isin=IE00BD6P7318</t>
  </si>
  <si>
    <t>Scape from website</t>
  </si>
  <si>
    <t>Fixed Income</t>
  </si>
  <si>
    <t>Alternatives</t>
  </si>
  <si>
    <t>Real Estate</t>
  </si>
  <si>
    <t>Hedge Funds</t>
  </si>
  <si>
    <t>Investment Grade Developed Markets</t>
  </si>
  <si>
    <t>Investment Grade Emerging Markets</t>
  </si>
  <si>
    <t>High Yield Developed Markets</t>
  </si>
  <si>
    <t>Complex</t>
  </si>
  <si>
    <t>Investment Grade Corporates</t>
  </si>
  <si>
    <t>Sovereign Debt</t>
  </si>
  <si>
    <t>High Yield</t>
  </si>
  <si>
    <t>Other Fixed Income</t>
  </si>
  <si>
    <t>US</t>
  </si>
  <si>
    <t>Europe ex. UK</t>
  </si>
  <si>
    <t>Asia</t>
  </si>
  <si>
    <t>UK</t>
  </si>
  <si>
    <t>North America</t>
  </si>
  <si>
    <t>Asia Pacific Ex Japan</t>
  </si>
  <si>
    <t>Thematic / Global</t>
  </si>
  <si>
    <t>Europe Ex UK &amp; Ex Switzerland</t>
  </si>
  <si>
    <t>Switzerland</t>
  </si>
  <si>
    <t>Sum both "Cash"</t>
  </si>
  <si>
    <t>Ongoing Charges Figure (OCF):</t>
  </si>
  <si>
    <t>1Yr</t>
  </si>
  <si>
    <t>1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</si>
</sst>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69850</xdr:colOff>
      <xdr:row>12</xdr:row>
      <xdr:rowOff>165100</xdr:rowOff>
    </xdr:from>
    <xdr:to>
      <xdr:col>14</xdr:col>
      <xdr:colOff>558209</xdr:colOff>
      <xdr:row>28</xdr:row>
      <xdr:rowOff>44659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0D78369-6233-372B-891F-ABD323937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7050" y="2374900"/>
          <a:ext cx="4755559" cy="2825959"/>
        </a:xfrm>
        <a:prstGeom prst="rect">
          <a:avLst/>
        </a:prstGeom>
      </xdr:spPr>
    </xdr:pic>
    <xdr:clientData/>
  </xdr:twoCellAnchor>
  <xdr:twoCellAnchor editAs="oneCell">
    <xdr:from>
      <xdr:col>7</xdr:col>
      <xdr:colOff>16180</xdr:colOff>
      <xdr:row>28</xdr:row>
      <xdr:rowOff>133350</xdr:rowOff>
    </xdr:from>
    <xdr:to>
      <xdr:col>15</xdr:col>
      <xdr:colOff>298793</xdr:colOff>
      <xdr:row>45</xdr:row>
      <xdr:rowOff>44653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ABAD8BA-2106-1E9E-2B72-5E9B97A28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3380" y="5289550"/>
          <a:ext cx="5159413" cy="30418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171450</xdr:rowOff>
    </xdr:from>
    <xdr:to>
      <xdr:col>6</xdr:col>
      <xdr:colOff>191848</xdr:colOff>
      <xdr:row>13</xdr:row>
      <xdr:rowOff>139911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365628B-EC16-917A-F1C5-CA35E360D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71450"/>
          <a:ext cx="3849448" cy="2362411"/>
        </a:xfrm>
        <a:prstGeom prst="rect">
          <a:avLst/>
        </a:prstGeom>
      </xdr:spPr>
    </xdr:pic>
    <xdr:clientData/>
  </xdr:twoCellAnchor>
  <xdr:twoCellAnchor editAs="oneCell">
    <xdr:from>
      <xdr:col>7</xdr:col>
      <xdr:colOff>69850</xdr:colOff>
      <xdr:row>1</xdr:row>
      <xdr:rowOff>58361</xdr:rowOff>
    </xdr:from>
    <xdr:to>
      <xdr:col>13</xdr:col>
      <xdr:colOff>470237</xdr:colOff>
      <xdr:row>12</xdr:row>
      <xdr:rowOff>63669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A093958-7CE0-65F0-B6B3-9A84C5CCF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37050" y="242511"/>
          <a:ext cx="4057987" cy="20309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9"/>
  <sheetViews>
    <sheetView workbookViewId="0">
      <selection activeCell="A15" sqref="A15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Q3" s="3"/>
    </row>
    <row r="4" spans="1:17" x14ac:dyDescent="0.25">
      <c r="H4" s="9"/>
    </row>
    <row r="9" spans="1:17" x14ac:dyDescent="0.25">
      <c r="O9" s="3" t="s">
        <v>61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5"/>
  <sheetViews>
    <sheetView workbookViewId="0">
      <selection activeCell="C16" sqref="C16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33</v>
      </c>
      <c r="B3" t="str">
        <f>'PDF Scraping'!D2</f>
        <v>https://www.newcapital.com/products/funds-and-performance/New-Capital-Strategic-Portfolio-UCITS--Fund.html?isin=IE00BTJRLV20</v>
      </c>
      <c r="J3" s="4"/>
    </row>
    <row r="4" spans="1:10" x14ac:dyDescent="0.25">
      <c r="A4" t="s">
        <v>34</v>
      </c>
      <c r="B4" t="str">
        <f>'PDF Scraping'!D3</f>
        <v>https://www.newcapital.com/products/funds-and-performance/New-Capital-Global-Balanced-Fund.html?isin=IE00BGDWF760</v>
      </c>
      <c r="J4" s="4"/>
    </row>
    <row r="5" spans="1:10" x14ac:dyDescent="0.25">
      <c r="A5" t="s">
        <v>35</v>
      </c>
      <c r="B5" t="str">
        <f>'PDF Scraping'!D4</f>
        <v>https://www.newcapital.com/products/funds-and-performance/New-Capital-Global-Alpha-Fund.html?isin=IE00BD6P7318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E10" sqref="E10"/>
    </sheetView>
  </sheetViews>
  <sheetFormatPr defaultRowHeight="15" x14ac:dyDescent="0.25"/>
  <cols>
    <col min="1" max="1" width="39.425781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24</v>
      </c>
      <c r="C1" t="s">
        <v>62</v>
      </c>
      <c r="D1" t="s">
        <v>63</v>
      </c>
      <c r="E1" t="s">
        <v>64</v>
      </c>
    </row>
    <row r="2" spans="1:6" x14ac:dyDescent="0.25">
      <c r="A2" t="str">
        <f>IF(Input!A3="","",Input!A3)</f>
        <v>New Capital Strategic Portfolio UCITS Fund</v>
      </c>
      <c r="B2" s="1">
        <v>45169</v>
      </c>
      <c r="C2" s="5">
        <v>1.2500000000000001E-2</v>
      </c>
      <c r="D2" s="5">
        <v>7.9000000000000001E-2</v>
      </c>
      <c r="E2" s="5">
        <v>-5.7999999999999996E-2</v>
      </c>
      <c r="F2" s="5"/>
    </row>
    <row r="3" spans="1:6" x14ac:dyDescent="0.25">
      <c r="A3" t="str">
        <f>IF(Input!A4="","",Input!A4)</f>
        <v>New Capital Global Balanced Fund</v>
      </c>
      <c r="B3" s="1">
        <v>45169</v>
      </c>
      <c r="C3" s="5">
        <v>1.3000000000000001E-2</v>
      </c>
      <c r="D3" s="5">
        <v>3.7000000000000002E-3</v>
      </c>
      <c r="E3" s="5">
        <v>-1.2699999999999999E-2</v>
      </c>
      <c r="F3" s="5"/>
    </row>
    <row r="4" spans="1:6" x14ac:dyDescent="0.25">
      <c r="A4" t="str">
        <f>IF(Input!A5="","",Input!A5)</f>
        <v>New Capital Global Alpha Fund</v>
      </c>
      <c r="B4" s="1">
        <v>45169</v>
      </c>
      <c r="C4" s="5">
        <v>1.2500000000000001E-2</v>
      </c>
      <c r="D4" s="5">
        <v>-2E-3</v>
      </c>
      <c r="E4" s="5">
        <v>-7.8000000000000005E-3</v>
      </c>
      <c r="F4" s="5"/>
    </row>
    <row r="5" spans="1:6" x14ac:dyDescent="0.25">
      <c r="A5" t="str">
        <f>IF(Input!A6="","",Input!A6)</f>
        <v/>
      </c>
      <c r="B5" s="1"/>
      <c r="C5" s="5"/>
      <c r="D5" s="5"/>
      <c r="E5" s="5"/>
      <c r="F5" s="5"/>
    </row>
    <row r="6" spans="1:6" x14ac:dyDescent="0.25">
      <c r="A6" t="str">
        <f>IF(Input!A7="","",Input!A7)</f>
        <v/>
      </c>
      <c r="B6" s="1"/>
      <c r="C6" s="5"/>
      <c r="D6" s="5"/>
      <c r="E6" s="5"/>
      <c r="F6" s="5"/>
    </row>
    <row r="7" spans="1:6" x14ac:dyDescent="0.25">
      <c r="A7" t="str">
        <f>IF(Input!A8="","",Input!A8)</f>
        <v/>
      </c>
      <c r="B7" s="1"/>
      <c r="C7" s="5"/>
      <c r="D7" s="5"/>
      <c r="E7" s="5"/>
      <c r="F7" s="5"/>
    </row>
    <row r="8" spans="1:6" x14ac:dyDescent="0.25">
      <c r="A8" t="str">
        <f>IF(Input!A9="","",Input!A9)</f>
        <v/>
      </c>
      <c r="B8" s="1"/>
      <c r="C8" s="5"/>
      <c r="D8" s="5"/>
      <c r="E8" s="5"/>
      <c r="F8" s="5"/>
    </row>
    <row r="9" spans="1:6" x14ac:dyDescent="0.25">
      <c r="A9" t="str">
        <f>IF(Input!A10="","",Input!A10)</f>
        <v/>
      </c>
      <c r="B9" s="1"/>
      <c r="C9" s="5"/>
      <c r="D9" s="5"/>
      <c r="E9" s="5"/>
      <c r="F9" s="5"/>
    </row>
    <row r="10" spans="1:6" x14ac:dyDescent="0.25">
      <c r="A10" t="str">
        <f>IF(Input!A11="","",Input!A11)</f>
        <v/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/>
      </c>
      <c r="B11" s="1"/>
      <c r="C11" s="5"/>
      <c r="D11" s="5"/>
      <c r="E11" s="5"/>
      <c r="F11" s="5"/>
    </row>
    <row r="12" spans="1:6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zoomScale="85" zoomScaleNormal="85" workbookViewId="0">
      <selection activeCell="B2" sqref="B2:AA4"/>
    </sheetView>
  </sheetViews>
  <sheetFormatPr defaultRowHeight="15" x14ac:dyDescent="0.25"/>
  <cols>
    <col min="1" max="1" width="40.85546875" bestFit="1" customWidth="1"/>
    <col min="2" max="2" width="11.85546875" bestFit="1" customWidth="1"/>
    <col min="3" max="3" width="7.140625" bestFit="1" customWidth="1"/>
    <col min="4" max="4" width="10.7109375" bestFit="1" customWidth="1"/>
    <col min="5" max="5" width="6.85546875" bestFit="1" customWidth="1"/>
    <col min="6" max="6" width="9.85546875" bestFit="1" customWidth="1"/>
    <col min="7" max="7" width="11.5703125" bestFit="1" customWidth="1"/>
    <col min="8" max="8" width="32.85546875" bestFit="1" customWidth="1"/>
    <col min="9" max="9" width="31.5703125" bestFit="1" customWidth="1"/>
    <col min="10" max="10" width="26" bestFit="1" customWidth="1"/>
    <col min="11" max="11" width="8.140625" bestFit="1" customWidth="1"/>
    <col min="12" max="12" width="25.85546875" bestFit="1" customWidth="1"/>
    <col min="13" max="13" width="13.42578125" bestFit="1" customWidth="1"/>
    <col min="14" max="14" width="9" bestFit="1" customWidth="1"/>
    <col min="15" max="15" width="17.28515625" bestFit="1" customWidth="1"/>
    <col min="16" max="16" width="7.140625" bestFit="1" customWidth="1"/>
    <col min="17" max="17" width="12.42578125" bestFit="1" customWidth="1"/>
    <col min="18" max="18" width="7.140625" bestFit="1" customWidth="1"/>
    <col min="19" max="20" width="6.140625" bestFit="1" customWidth="1"/>
    <col min="21" max="21" width="15.85546875" bestFit="1" customWidth="1"/>
    <col min="22" max="22" width="13" bestFit="1" customWidth="1"/>
    <col min="23" max="23" width="17.7109375" bestFit="1" customWidth="1"/>
    <col min="24" max="24" width="15.5703125" bestFit="1" customWidth="1"/>
    <col min="25" max="25" width="26.5703125" bestFit="1" customWidth="1"/>
    <col min="26" max="26" width="14.140625" bestFit="1" customWidth="1"/>
    <col min="27" max="27" width="10.425781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40</v>
      </c>
      <c r="C1" t="s">
        <v>2</v>
      </c>
      <c r="D1" t="s">
        <v>41</v>
      </c>
      <c r="E1" t="s">
        <v>4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52</v>
      </c>
      <c r="Q1" t="s">
        <v>53</v>
      </c>
      <c r="R1" t="s">
        <v>54</v>
      </c>
      <c r="S1" t="s">
        <v>5</v>
      </c>
      <c r="T1" t="s">
        <v>55</v>
      </c>
      <c r="U1" t="s">
        <v>9</v>
      </c>
      <c r="V1" t="s">
        <v>56</v>
      </c>
      <c r="W1" t="s">
        <v>57</v>
      </c>
      <c r="X1" t="s">
        <v>58</v>
      </c>
      <c r="Y1" t="s">
        <v>59</v>
      </c>
      <c r="Z1" t="s">
        <v>8</v>
      </c>
      <c r="AA1" t="s">
        <v>60</v>
      </c>
    </row>
    <row r="2" spans="1:30" x14ac:dyDescent="0.25">
      <c r="A2" t="str">
        <f>IF(Input!A3="","",Input!A3)</f>
        <v>New Capital Strategic Portfolio UCITS Fund</v>
      </c>
      <c r="B2" s="5">
        <v>0.29309999999999997</v>
      </c>
      <c r="C2" s="5">
        <v>0.59850000000000003</v>
      </c>
      <c r="D2" s="5"/>
      <c r="E2" s="5">
        <v>1.23E-2</v>
      </c>
      <c r="F2" s="5">
        <v>7.2300000000000003E-2</v>
      </c>
      <c r="G2" s="5">
        <v>2.3799999999999998E-2</v>
      </c>
      <c r="H2" s="5">
        <v>0.45069999999999999</v>
      </c>
      <c r="I2" s="5">
        <v>0.32240000000000002</v>
      </c>
      <c r="J2" s="5">
        <v>0.14319999999999999</v>
      </c>
      <c r="K2" s="5">
        <v>8.3699999999999997E-2</v>
      </c>
      <c r="L2" s="5"/>
      <c r="M2" s="5"/>
      <c r="N2" s="5"/>
      <c r="O2" s="5"/>
      <c r="P2" s="5">
        <v>0.57479999999999998</v>
      </c>
      <c r="Q2" s="5">
        <v>0.1721</v>
      </c>
      <c r="R2" s="5">
        <v>0.1101</v>
      </c>
      <c r="S2" s="5">
        <v>7.1800000000000003E-2</v>
      </c>
      <c r="T2" s="5">
        <v>4.8499999999999995E-2</v>
      </c>
      <c r="U2" s="5">
        <v>2.2700000000000001E-2</v>
      </c>
      <c r="V2" s="5"/>
    </row>
    <row r="3" spans="1:30" x14ac:dyDescent="0.25">
      <c r="A3" t="str">
        <f>IF(Input!A4="","",Input!A4)</f>
        <v>New Capital Global Balanced Fund</v>
      </c>
      <c r="B3" s="5">
        <v>0.41139999999999999</v>
      </c>
      <c r="C3" s="5">
        <v>0.5111</v>
      </c>
      <c r="D3" s="5">
        <v>6.6400000000000001E-2</v>
      </c>
      <c r="E3" s="5">
        <v>1.11E-2</v>
      </c>
      <c r="F3" s="5"/>
      <c r="G3" s="5"/>
      <c r="H3" s="5"/>
      <c r="I3" s="5"/>
      <c r="J3" s="5"/>
      <c r="K3" s="5"/>
      <c r="L3" s="5">
        <v>0.69200000000000006</v>
      </c>
      <c r="M3" s="5">
        <v>0.26289999999999997</v>
      </c>
      <c r="N3" s="5">
        <v>4.5100000000000001E-2</v>
      </c>
      <c r="O3" s="5"/>
      <c r="P3" s="5"/>
      <c r="Q3" s="5"/>
      <c r="R3" s="5"/>
      <c r="S3" s="5">
        <v>9.8599999999999993E-2</v>
      </c>
      <c r="T3" s="5"/>
      <c r="V3" s="5">
        <v>0.50190000000000001</v>
      </c>
      <c r="W3" s="5">
        <v>0.1258</v>
      </c>
      <c r="X3" s="5">
        <v>9.7899999999999987E-2</v>
      </c>
      <c r="Y3" s="5">
        <v>7.5700000000000003E-2</v>
      </c>
      <c r="Z3" s="5">
        <v>7.0800000000000002E-2</v>
      </c>
      <c r="AA3" s="5">
        <v>2.9300000000000003E-2</v>
      </c>
    </row>
    <row r="4" spans="1:30" x14ac:dyDescent="0.25">
      <c r="A4" t="str">
        <f>IF(Input!A5="","",Input!A5)</f>
        <v>New Capital Global Alpha Fund</v>
      </c>
      <c r="B4" s="5">
        <v>0.54349999999999998</v>
      </c>
      <c r="C4" s="5">
        <v>0.24559999999999998</v>
      </c>
      <c r="D4" s="5">
        <v>0.2011</v>
      </c>
      <c r="E4" s="5">
        <v>9.8000000000000014E-3</v>
      </c>
      <c r="F4" s="5"/>
      <c r="G4" s="5"/>
      <c r="H4" s="5"/>
      <c r="I4" s="5"/>
      <c r="J4" s="5"/>
      <c r="K4" s="5"/>
      <c r="L4" s="5">
        <v>0.63600000000000001</v>
      </c>
      <c r="M4" s="5">
        <v>0.17800000000000002</v>
      </c>
      <c r="N4" s="5">
        <v>0.1139</v>
      </c>
      <c r="O4" s="5">
        <v>7.2099999999999997E-2</v>
      </c>
      <c r="P4" s="5"/>
      <c r="Q4" s="5"/>
      <c r="R4" s="5"/>
      <c r="S4" s="5">
        <v>7.2599999999999998E-2</v>
      </c>
      <c r="T4" s="5"/>
      <c r="V4" s="5">
        <v>0.45539999999999997</v>
      </c>
      <c r="W4" s="5">
        <v>0.12740000000000001</v>
      </c>
      <c r="X4" s="5">
        <v>9.5299999999999996E-2</v>
      </c>
      <c r="Y4" s="5">
        <v>0.1338</v>
      </c>
      <c r="Z4" s="5">
        <v>6.6600000000000006E-2</v>
      </c>
      <c r="AA4" s="5">
        <v>4.8899999999999999E-2</v>
      </c>
    </row>
    <row r="5" spans="1:30" x14ac:dyDescent="0.25">
      <c r="A5" t="str">
        <f>IF(Input!A6="","",Input!A6)</f>
        <v/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/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/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B2" sqref="B2"/>
    </sheetView>
  </sheetViews>
  <sheetFormatPr defaultRowHeight="15" x14ac:dyDescent="0.25"/>
  <cols>
    <col min="1" max="1" width="39.42578125" bestFit="1" customWidth="1"/>
    <col min="2" max="2" width="123.5703125" bestFit="1" customWidth="1"/>
    <col min="3" max="3" width="18.7109375" bestFit="1" customWidth="1"/>
    <col min="4" max="4" width="123.5703125" style="8" bestFit="1" customWidth="1"/>
    <col min="5" max="5" width="10.28515625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New Capital Strategic Portfolio UCITS Fund</v>
      </c>
      <c r="B2" t="s">
        <v>36</v>
      </c>
      <c r="C2" s="3" t="s">
        <v>39</v>
      </c>
      <c r="D2" s="8" t="s">
        <v>36</v>
      </c>
    </row>
    <row r="3" spans="1:5" x14ac:dyDescent="0.25">
      <c r="A3" t="str">
        <f>IF(Input!A4="","",Input!A4)</f>
        <v>New Capital Global Balanced Fund</v>
      </c>
      <c r="B3" t="s">
        <v>37</v>
      </c>
      <c r="C3" s="3" t="s">
        <v>39</v>
      </c>
      <c r="D3" s="8" t="s">
        <v>37</v>
      </c>
    </row>
    <row r="4" spans="1:5" x14ac:dyDescent="0.25">
      <c r="A4" t="str">
        <f>IF(Input!A5="","",Input!A5)</f>
        <v>New Capital Global Alpha Fund</v>
      </c>
      <c r="B4" t="s">
        <v>38</v>
      </c>
      <c r="C4" s="3" t="s">
        <v>39</v>
      </c>
      <c r="D4" s="8" t="s">
        <v>38</v>
      </c>
    </row>
    <row r="5" spans="1:5" x14ac:dyDescent="0.25">
      <c r="A5" t="str">
        <f>IF(Input!A6="","",Input!A6)</f>
        <v/>
      </c>
    </row>
    <row r="6" spans="1:5" x14ac:dyDescent="0.25">
      <c r="A6" t="str">
        <f>IF(Input!A7="","",Input!A7)</f>
        <v/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F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  <col min="6" max="6" width="10.42578125" bestFit="1" customWidth="1"/>
  </cols>
  <sheetData>
    <row r="1" spans="1:6" x14ac:dyDescent="0.25">
      <c r="B1" t="s">
        <v>24</v>
      </c>
    </row>
    <row r="2" spans="1:6" x14ac:dyDescent="0.25">
      <c r="A2" t="str">
        <f>IF(Input!A3="","",Input!A3)</f>
        <v>New Capital Strategic Portfolio UCITS Fund</v>
      </c>
      <c r="B2" s="1" t="e">
        <f>IF(A2="","",EOMONTH(DATE(RIGHT('Additional Information'!B2,4),MONTH(1&amp;MID('Additional Information'!B2,SEARCH(" ",'Additional Information'!B2,1)+1,SEARCH(" ",'Additional Information'!B2,SEARCH(" ",'Additional Information'!B2,1)+1)-SEARCH(" ",'Additional Information'!B2,1))),LEFT('Additional Information'!B2,2)),0))</f>
        <v>#VALUE!</v>
      </c>
      <c r="F2" s="1"/>
    </row>
    <row r="3" spans="1:6" x14ac:dyDescent="0.25">
      <c r="A3" t="str">
        <f>IF(Input!A4="","",Input!A4)</f>
        <v>New Capital Global Balanced Fund</v>
      </c>
      <c r="B3" s="1" t="e">
        <f>IF(A3="","",EOMONTH(DATE(RIGHT('Additional Information'!B3,4),MONTH(1&amp;MID('Additional Information'!B3,SEARCH(" ",'Additional Information'!B3,1)+1,SEARCH(" ",'Additional Information'!B3,SEARCH(" ",'Additional Information'!B3,1)+1)-SEARCH(" ",'Additional Information'!B3,1))),LEFT('Additional Information'!B3,2)),0))</f>
        <v>#VALUE!</v>
      </c>
    </row>
    <row r="4" spans="1:6" x14ac:dyDescent="0.25">
      <c r="A4" t="str">
        <f>IF(Input!A5="","",Input!A5)</f>
        <v>New Capital Global Alpha Fund</v>
      </c>
      <c r="B4" s="1" t="e">
        <f>IF(A4="","",EOMONTH(DATE(RIGHT('Additional Information'!B4,4),MONTH(1&amp;MID('Additional Information'!B4,SEARCH(" ",'Additional Information'!B4,1)+1,SEARCH(" ",'Additional Information'!B4,SEARCH(" ",'Additional Information'!B4,1)+1)-SEARCH(" ",'Additional Information'!B4,1))),LEFT('Additional Information'!B4,2)),0))</f>
        <v>#VALUE!</v>
      </c>
    </row>
    <row r="5" spans="1:6" x14ac:dyDescent="0.25">
      <c r="A5" t="str">
        <f>IF(Input!A6="","",Input!A6)</f>
        <v/>
      </c>
      <c r="B5" s="1" t="str">
        <f>IF(A5="","",EOMONTH(DATE(RIGHT('Additional Information'!B5,4),MONTH(1&amp;MID('Additional Information'!B5,SEARCH(" ",'Additional Information'!B5,1)+1,SEARCH(" ",'Additional Information'!B5,SEARCH(" ",'Additional Information'!B5,1)+1)-SEARCH(" ",'Additional Information'!B5,1))),LEFT('Additional Information'!B5,2)),0))</f>
        <v/>
      </c>
    </row>
    <row r="6" spans="1:6" x14ac:dyDescent="0.25">
      <c r="A6" t="str">
        <f>IF(Input!A7="","",Input!A7)</f>
        <v/>
      </c>
      <c r="B6" s="1" t="str">
        <f>IF(A6="","",EOMONTH(DATE(RIGHT('Additional Information'!B6,4),MONTH(1&amp;MID('Additional Information'!B6,SEARCH(" ",'Additional Information'!B6,1)+1,SEARCH(" ",'Additional Information'!B6,SEARCH(" ",'Additional Information'!B6,1)+1)-SEARCH(" ",'Additional Information'!B6,1))),LEFT('Additional Information'!B6,2)),0))</f>
        <v/>
      </c>
    </row>
    <row r="7" spans="1:6" x14ac:dyDescent="0.25">
      <c r="A7" t="str">
        <f>IF(Input!A8="","",Input!A8)</f>
        <v/>
      </c>
      <c r="B7" s="1" t="str">
        <f>IF(A7="","",EOMONTH(DATE(RIGHT('Additional Information'!B7,4),MONTH(1&amp;MID('Additional Information'!B7,SEARCH(" ",'Additional Information'!B7,1)+1,SEARCH(" ",'Additional Information'!B7,SEARCH(" ",'Additional Information'!B7,1)+1)-SEARCH(" ",'Additional Information'!B7,1))),LEFT('Additional Information'!B7,2)),0))</f>
        <v/>
      </c>
    </row>
    <row r="8" spans="1:6" x14ac:dyDescent="0.25">
      <c r="A8" t="str">
        <f>IF(Input!A9="","",Input!A9)</f>
        <v/>
      </c>
      <c r="B8" s="1" t="str">
        <f>IF(A8="","",EOMONTH(DATE(RIGHT('Additional Information'!B8,4),MONTH(1&amp;MID('Additional Information'!B8,SEARCH(" ",'Additional Information'!B8,1)+1,SEARCH(" ",'Additional Information'!B8,SEARCH(" ",'Additional Information'!B8,1)+1)-SEARCH(" ",'Additional Information'!B8,1))),LEFT('Additional Information'!B8,2)),0))</f>
        <v/>
      </c>
    </row>
    <row r="9" spans="1:6" x14ac:dyDescent="0.25">
      <c r="A9" t="str">
        <f>IF(Input!A10="","",Input!A10)</f>
        <v/>
      </c>
      <c r="B9" s="1" t="str">
        <f>IF(A9="","",EOMONTH(DATE(RIGHT('Additional Information'!B9,4),MONTH(1&amp;MID('Additional Information'!B9,SEARCH(" ",'Additional Information'!B9,1)+1,SEARCH(" ",'Additional Information'!B9,SEARCH(" ",'Additional Information'!B9,1)+1)-SEARCH(" ",'Additional Information'!B9,1))),LEFT('Additional Information'!B9,2)),0))</f>
        <v/>
      </c>
    </row>
    <row r="10" spans="1:6" x14ac:dyDescent="0.25">
      <c r="A10" t="str">
        <f>IF(Input!A11="","",Input!A11)</f>
        <v/>
      </c>
      <c r="B10" s="1" t="str">
        <f>IF(A10="","",EOMONTH(DATE(RIGHT('Additional Information'!B10,4),MONTH(1&amp;MID('Additional Information'!B10,SEARCH(" ",'Additional Information'!B10,1)+1,SEARCH(" ",'Additional Information'!B10,SEARCH(" ",'Additional Information'!B10,1)+1)-SEARCH(" ",'Additional Information'!B10,1))),LEFT('Additional Information'!B10,2)),0))</f>
        <v/>
      </c>
    </row>
    <row r="11" spans="1:6" x14ac:dyDescent="0.25">
      <c r="A11" t="str">
        <f>IF(Input!A12="","",Input!A12)</f>
        <v/>
      </c>
      <c r="B11" s="1" t="str">
        <f>IF(A11="","",EOMONTH(DATE(RIGHT('Additional Information'!B11,4),MONTH(1&amp;MID('Additional Information'!B11,SEARCH(" ",'Additional Information'!B11,1)+1,SEARCH(" ",'Additional Information'!B11,SEARCH(" ",'Additional Information'!B11,1)+1)-SEARCH(" ",'Additional Information'!B11,1))),LEFT('Additional Information'!B11,2)),0))</f>
        <v/>
      </c>
    </row>
    <row r="12" spans="1:6" x14ac:dyDescent="0.25">
      <c r="A12" t="str">
        <f>IF(Input!A13="","",Input!A13)</f>
        <v/>
      </c>
      <c r="B12" s="1" t="str">
        <f>IF(A12="","",EOMONTH(DATE(RIGHT('Additional Information'!B12,4),MONTH(1&amp;MID('Additional Information'!B12,SEARCH(" ",'Additional Information'!B12,1)+1,SEARCH(" ",'Additional Information'!B12,SEARCH(" ",'Additional Information'!B12,1)+1)-SEARCH(" ",'Additional Information'!B12,1))),LEFT('Additional Information'!B12,2)),0))</f>
        <v/>
      </c>
    </row>
    <row r="13" spans="1:6" x14ac:dyDescent="0.25">
      <c r="A13" t="str">
        <f>IF(Input!A14="","",Input!A14)</f>
        <v/>
      </c>
      <c r="B13" s="1" t="str">
        <f>IF(A13="","",EOMONTH(DATE(RIGHT('Additional Information'!B13,4),MONTH(1&amp;MID('Additional Information'!B13,SEARCH(" ",'Additional Information'!B13,1)+1,SEARCH(" ",'Additional Information'!B13,SEARCH(" ",'Additional Information'!B13,1)+1)-SEARCH(" ",'Additional Information'!B13,1))),LEFT('Additional Information'!B13,2)),0))</f>
        <v/>
      </c>
    </row>
    <row r="14" spans="1:6" x14ac:dyDescent="0.25">
      <c r="A14" t="str">
        <f>IF(Input!A15="","",Input!A15)</f>
        <v/>
      </c>
      <c r="B14" s="1" t="str">
        <f>IF(A14="","",EOMONTH(DATE(RIGHT('Additional Information'!B14,4),MONTH(1&amp;MID('Additional Information'!B14,SEARCH(" ",'Additional Information'!B14,1)+1,SEARCH(" ",'Additional Information'!B14,SEARCH(" ",'Additional Information'!B14,1)+1)-SEARCH(" ",'Additional Information'!B14,1))),LEFT('Additional Information'!B14,2)),0))</f>
        <v/>
      </c>
    </row>
    <row r="15" spans="1:6" x14ac:dyDescent="0.25">
      <c r="A15" t="str">
        <f>IF(Input!A16="","",Input!A16)</f>
        <v/>
      </c>
      <c r="B15" s="1" t="str">
        <f>IF(A15="","",EOMONTH(DATE(RIGHT('Additional Information'!B15,4),MONTH(1&amp;MID('Additional Information'!B15,SEARCH(" ",'Additional Information'!B15,1)+1,SEARCH(" ",'Additional Information'!B15,SEARCH(" ",'Additional Information'!B15,1)+1)-SEARCH(" ",'Additional Information'!B15,1))),LEFT('Additional Information'!B15,2)),0))</f>
        <v/>
      </c>
    </row>
    <row r="16" spans="1:6" x14ac:dyDescent="0.25">
      <c r="A16" t="str">
        <f>IF(Input!A17="","",Input!A17)</f>
        <v/>
      </c>
      <c r="B16" s="1" t="str">
        <f>IF(A16="","",EOMONTH(DATE(RIGHT('Additional Information'!B16,4),MONTH(1&amp;MID('Additional Information'!B16,SEARCH(" ",'Additional Information'!B16,1)+1,SEARCH(" ",'Additional Information'!B16,SEARCH(" ",'Additional Information'!B16,1)+1)-SEARCH(" ",'Additional Information'!B16,1))),LEFT('Additional Information'!B16,2)),0))</f>
        <v/>
      </c>
    </row>
    <row r="17" spans="1:2" x14ac:dyDescent="0.25">
      <c r="A17" t="str">
        <f>IF(Input!A18="","",Input!A18)</f>
        <v/>
      </c>
      <c r="B17" s="1" t="str">
        <f>IF(A17="","",EOMONTH(DATE(RIGHT('Additional Information'!B17,4),MONTH(1&amp;MID('Additional Information'!B17,SEARCH(" ",'Additional Information'!B17,1)+1,SEARCH(" ",'Additional Information'!B17,SEARCH(" ",'Additional Information'!B17,1)+1)-SEARCH(" ",'Additional Information'!B17,1))),LEFT('Additional Information'!B17,2)),0))</f>
        <v/>
      </c>
    </row>
    <row r="18" spans="1:2" x14ac:dyDescent="0.25">
      <c r="A18" t="str">
        <f>IF(Input!A19="","",Input!A19)</f>
        <v/>
      </c>
      <c r="B18" s="1" t="str">
        <f>IF(A18="","",EOMONTH(DATE(RIGHT('Additional Information'!B18,4),MONTH(1&amp;MID('Additional Information'!B18,SEARCH(" ",'Additional Information'!B18,1)+1,SEARCH(" ",'Additional Information'!B18,SEARCH(" ",'Additional Information'!B18,1)+1)-SEARCH(" ",'Additional Information'!B18,1))),LEFT('Additional Information'!B18,2)),0))</f>
        <v/>
      </c>
    </row>
    <row r="19" spans="1:2" x14ac:dyDescent="0.25">
      <c r="A19" t="str">
        <f>IF(Input!A20="","",Input!A20)</f>
        <v/>
      </c>
      <c r="B19" s="1" t="str">
        <f>IF(A19="","",EOMONTH(DATE(RIGHT('Additional Information'!B19,4),MONTH(1&amp;MID('Additional Information'!B19,SEARCH(" ",'Additional Information'!B19,1)+1,SEARCH(" ",'Additional Information'!B19,SEARCH(" ",'Additional Information'!B19,1)+1)-SEARCH(" ",'Additional Information'!B19,1))),LEFT('Additional Information'!B19,2)),0))</f>
        <v/>
      </c>
    </row>
    <row r="20" spans="1:2" x14ac:dyDescent="0.25">
      <c r="A20" t="str">
        <f>IF(Input!A21="","",Input!A21)</f>
        <v/>
      </c>
      <c r="B20" s="1" t="str">
        <f>IF(A20="","",EOMONTH(DATE(RIGHT('Additional Information'!B20,4),MONTH(1&amp;MID('Additional Information'!B20,SEARCH(" ",'Additional Information'!B20,1)+1,SEARCH(" ",'Additional Information'!B20,SEARCH(" ",'Additional Information'!B20,1)+1)-SEARCH(" ",'Additional Information'!B20,1))),LEFT('Additional Information'!B20,2)),0))</f>
        <v/>
      </c>
    </row>
    <row r="21" spans="1:2" x14ac:dyDescent="0.25">
      <c r="A21" t="str">
        <f>IF(Input!A22="","",Input!A22)</f>
        <v/>
      </c>
      <c r="B21" s="1" t="str">
        <f>IF(A21="","",EOMONTH(DATE(RIGHT('Additional Information'!B21,4),MONTH(1&amp;MID('Additional Information'!B21,SEARCH(" ",'Additional Information'!B21,1)+1,SEARCH(" ",'Additional Information'!B21,SEARCH(" ",'Additional Information'!B21,1)+1)-SEARCH(" ",'Additional Information'!B21,1))),LEFT('Additional Information'!B21,2)),0))</f>
        <v/>
      </c>
    </row>
    <row r="22" spans="1:2" x14ac:dyDescent="0.25">
      <c r="A22" t="str">
        <f>IF(Input!A23="","",Input!A23)</f>
        <v/>
      </c>
      <c r="B22" s="1" t="str">
        <f>IF(A22="","",EOMONTH(DATE(RIGHT('Additional Information'!B22,4),MONTH(1&amp;MID('Additional Information'!B22,SEARCH(" ",'Additional Information'!B22,1)+1,SEARCH(" ",'Additional Information'!B22,SEARCH(" ",'Additional Information'!B22,1)+1)-SEARCH(" ",'Additional Information'!B22,1))),LEFT('Additional Information'!B22,2)),0))</f>
        <v/>
      </c>
    </row>
    <row r="23" spans="1:2" x14ac:dyDescent="0.25">
      <c r="A23" t="str">
        <f>IF(Input!A24="","",Input!A24)</f>
        <v/>
      </c>
      <c r="B23" s="1" t="str">
        <f>IF(A23="","",EOMONTH(DATE(RIGHT('Additional Information'!B23,4),MONTH(1&amp;MID('Additional Information'!B23,SEARCH(" ",'Additional Information'!B23,1)+1,SEARCH(" ",'Additional Information'!B23,SEARCH(" ",'Additional Information'!B23,1)+1)-SEARCH(" ",'Additional Information'!B23,1))),LEFT('Additional Information'!B23,2)),0))</f>
        <v/>
      </c>
    </row>
    <row r="24" spans="1:2" x14ac:dyDescent="0.25">
      <c r="A24" t="str">
        <f>IF(Input!A25="","",Input!A25)</f>
        <v/>
      </c>
      <c r="B24" s="1" t="str">
        <f>IF(A24="","",EOMONTH(DATE(RIGHT('Additional Information'!B24,4),MONTH(1&amp;MID('Additional Information'!B24,SEARCH(" ",'Additional Information'!B24,1)+1,SEARCH(" ",'Additional Information'!B24,SEARCH(" ",'Additional Information'!B24,1)+1)-SEARCH(" ",'Additional Information'!B24,1))),LEFT('Additional Information'!B24,2)),0))</f>
        <v/>
      </c>
    </row>
    <row r="25" spans="1:2" x14ac:dyDescent="0.25">
      <c r="A25" t="str">
        <f>IF(Input!A26="","",Input!A26)</f>
        <v/>
      </c>
      <c r="B25" s="1" t="str">
        <f>IF(A25="","",EOMONTH(DATE(RIGHT('Additional Information'!B25,4),MONTH(1&amp;MID('Additional Information'!B25,SEARCH(" ",'Additional Information'!B25,1)+1,SEARCH(" ",'Additional Information'!B25,SEARCH(" ",'Additional Information'!B25,1)+1)-SEARCH(" ",'Additional Information'!B25,1))),LEFT('Additional Information'!B25,2)),0))</f>
        <v/>
      </c>
    </row>
    <row r="26" spans="1:2" x14ac:dyDescent="0.25">
      <c r="A26" t="str">
        <f>IF(Input!A27="","",Input!A27)</f>
        <v/>
      </c>
      <c r="B26" s="1" t="str">
        <f>IF(A26="","",EOMONTH(DATE(RIGHT('Additional Information'!B26,4),MONTH(1&amp;MID('Additional Information'!B26,SEARCH(" ",'Additional Information'!B26,1)+1,SEARCH(" ",'Additional Information'!B26,SEARCH(" ",'Additional Information'!B26,1)+1)-SEARCH(" ",'Additional Information'!B26,1))),LEFT('Additional Information'!B26,2)),0))</f>
        <v/>
      </c>
    </row>
    <row r="27" spans="1:2" x14ac:dyDescent="0.25">
      <c r="A27" t="str">
        <f>IF(Input!A28="","",Input!A28)</f>
        <v/>
      </c>
      <c r="B27" s="1" t="str">
        <f>IF(A27="","",EOMONTH(DATE(RIGHT('Additional Information'!B27,4),MONTH(1&amp;MID('Additional Information'!B27,SEARCH(" ",'Additional Information'!B27,1)+1,SEARCH(" ",'Additional Information'!B27,SEARCH(" ",'Additional Information'!B27,1)+1)-SEARCH(" ",'Additional Information'!B27,1))),LEFT('Additional Information'!B27,2)),0))</f>
        <v/>
      </c>
    </row>
    <row r="28" spans="1:2" x14ac:dyDescent="0.25">
      <c r="A28" t="str">
        <f>IF(Input!A29="","",Input!A29)</f>
        <v/>
      </c>
      <c r="B28" s="1" t="str">
        <f>IF(A28="","",EOMONTH(DATE(RIGHT('Additional Information'!B28,4),MONTH(1&amp;MID('Additional Information'!B28,SEARCH(" ",'Additional Information'!B28,1)+1,SEARCH(" ",'Additional Information'!B28,SEARCH(" ",'Additional Information'!B28,1)+1)-SEARCH(" ",'Additional Information'!B28,1))),LEFT('Additional Information'!B28,2)),0))</f>
        <v/>
      </c>
    </row>
    <row r="29" spans="1:2" x14ac:dyDescent="0.25">
      <c r="A29" t="str">
        <f>IF(Input!A30="","",Input!A30)</f>
        <v/>
      </c>
      <c r="B29" s="1" t="str">
        <f>IF(A29="","",EOMONTH(DATE(RIGHT('Additional Information'!B29,4),MONTH(1&amp;MID('Additional Information'!B29,SEARCH(" ",'Additional Information'!B29,1)+1,SEARCH(" ",'Additional Information'!B29,SEARCH(" ",'Additional Information'!B29,1)+1)-SEARCH(" ",'Additional Information'!B29,1))),LEFT('Additional Information'!B29,2)),0))</f>
        <v/>
      </c>
    </row>
    <row r="30" spans="1:2" x14ac:dyDescent="0.25">
      <c r="A30" t="str">
        <f>IF(Input!A31="","",Input!A31)</f>
        <v/>
      </c>
      <c r="B30" s="1" t="str">
        <f>IF(A30="","",EOMONTH(DATE(RIGHT('Additional Information'!B30,4),MONTH(1&amp;MID('Additional Information'!B30,SEARCH(" ",'Additional Information'!B30,1)+1,SEARCH(" ",'Additional Information'!B30,SEARCH(" ",'Additional Information'!B30,1)+1)-SEARCH(" ",'Additional Information'!B30,1))),LEFT('Additional Information'!B30,2)),0))</f>
        <v/>
      </c>
    </row>
    <row r="31" spans="1:2" x14ac:dyDescent="0.25">
      <c r="A31" t="str">
        <f>IF(Input!A32="","",Input!A32)</f>
        <v/>
      </c>
      <c r="B31" s="1" t="str">
        <f>IF(A31="","",EOMONTH(DATE(RIGHT('Additional Information'!B31,4),MONTH(1&amp;MID('Additional Information'!B31,SEARCH(" ",'Additional Information'!B31,1)+1,SEARCH(" ",'Additional Information'!B31,SEARCH(" ",'Additional Information'!B31,1)+1)-SEARCH(" ",'Additional Information'!B31,1))),LEFT('Additional Information'!B31,2)),0))</f>
        <v/>
      </c>
    </row>
    <row r="32" spans="1:2" x14ac:dyDescent="0.25">
      <c r="A32" t="str">
        <f>IF(Input!A33="","",Input!A33)</f>
        <v/>
      </c>
      <c r="B32" s="1" t="str">
        <f>IF(A32="","",EOMONTH(DATE(RIGHT('Additional Information'!B32,4),MONTH(1&amp;MID('Additional Information'!B32,SEARCH(" ",'Additional Information'!B32,1)+1,SEARCH(" ",'Additional Information'!B32,SEARCH(" ",'Additional Information'!B32,1)+1)-SEARCH(" ",'Additional Information'!B32,1))),LEFT('Additional Information'!B32,2)),0))</f>
        <v/>
      </c>
    </row>
    <row r="33" spans="1:2" x14ac:dyDescent="0.25">
      <c r="A33" t="str">
        <f>IF(Input!A34="","",Input!A34)</f>
        <v/>
      </c>
      <c r="B33" s="1" t="str">
        <f>IF(A33="","",EOMONTH(DATE(RIGHT('Additional Information'!B33,4),MONTH(1&amp;MID('Additional Information'!B33,SEARCH(" ",'Additional Information'!B33,1)+1,SEARCH(" ",'Additional Information'!B33,SEARCH(" ",'Additional Information'!B33,1)+1)-SEARCH(" ",'Additional Information'!B33,1))),LEFT('Additional Information'!B33,2)),0))</f>
        <v/>
      </c>
    </row>
    <row r="34" spans="1:2" x14ac:dyDescent="0.25">
      <c r="A34" t="str">
        <f>IF(Input!A35="","",Input!A35)</f>
        <v/>
      </c>
      <c r="B34" s="1" t="str">
        <f>IF(A34="","",EOMONTH(DATE(RIGHT('Additional Information'!B34,4),MONTH(1&amp;MID('Additional Information'!B34,SEARCH(" ",'Additional Information'!B34,1)+1,SEARCH(" ",'Additional Information'!B34,SEARCH(" ",'Additional Information'!B34,1)+1)-SEARCH(" ",'Additional Information'!B34,1))),LEFT('Additional Information'!B34,2)),0))</f>
        <v/>
      </c>
    </row>
    <row r="35" spans="1:2" x14ac:dyDescent="0.25">
      <c r="A35" t="str">
        <f>IF(Input!A36="","",Input!A36)</f>
        <v/>
      </c>
      <c r="B35" s="1" t="str">
        <f>IF(A35="","",EOMONTH(DATE(RIGHT('Additional Information'!B35,4),MONTH(1&amp;MID('Additional Information'!B35,SEARCH(" ",'Additional Information'!B35,1)+1,SEARCH(" ",'Additional Information'!B35,SEARCH(" ",'Additional Information'!B35,1)+1)-SEARCH(" ",'Additional Information'!B35,1))),LEFT('Additional Information'!B35,2)),0))</f>
        <v/>
      </c>
    </row>
    <row r="36" spans="1:2" x14ac:dyDescent="0.25">
      <c r="A36" t="str">
        <f>IF(Input!A37="","",Input!A37)</f>
        <v/>
      </c>
      <c r="B36" s="1" t="str">
        <f>IF(A36="","",EOMONTH(DATE(RIGHT('Additional Information'!B36,4),MONTH(1&amp;MID('Additional Information'!B36,SEARCH(" ",'Additional Information'!B36,1)+1,SEARCH(" ",'Additional Information'!B36,SEARCH(" ",'Additional Information'!B36,1)+1)-SEARCH(" ",'Additional Information'!B36,1))),LEFT('Additional Information'!B36,2)),0))</f>
        <v/>
      </c>
    </row>
    <row r="37" spans="1:2" x14ac:dyDescent="0.25">
      <c r="A37" t="str">
        <f>IF(Input!A38="","",Input!A38)</f>
        <v/>
      </c>
      <c r="B37" s="1" t="str">
        <f>IF(A37="","",EOMONTH(DATE(RIGHT('Additional Information'!B37,4),MONTH(1&amp;MID('Additional Information'!B37,SEARCH(" ",'Additional Information'!B37,1)+1,SEARCH(" ",'Additional Information'!B37,SEARCH(" ",'Additional Information'!B37,1)+1)-SEARCH(" ",'Additional Information'!B37,1))),LEFT('Additional Information'!B37,2)),0))</f>
        <v/>
      </c>
    </row>
    <row r="38" spans="1:2" x14ac:dyDescent="0.25">
      <c r="A38" t="str">
        <f>IF(Input!A39="","",Input!A39)</f>
        <v/>
      </c>
      <c r="B38" s="1" t="str">
        <f>IF(A38="","",EOMONTH(DATE(RIGHT('Additional Information'!B38,4),MONTH(1&amp;MID('Additional Information'!B38,SEARCH(" ",'Additional Information'!B38,1)+1,SEARCH(" ",'Additional Information'!B38,SEARCH(" ",'Additional Information'!B38,1)+1)-SEARCH(" ",'Additional Information'!B38,1))),LEFT('Additional Information'!B38,2)),0))</f>
        <v/>
      </c>
    </row>
    <row r="39" spans="1:2" x14ac:dyDescent="0.25">
      <c r="A39" t="str">
        <f>IF(Input!A40="","",Input!A40)</f>
        <v/>
      </c>
      <c r="B39" s="1" t="str">
        <f>IF(A39="","",EOMONTH(DATE(RIGHT('Additional Information'!B39,4),MONTH(1&amp;MID('Additional Information'!B39,SEARCH(" ",'Additional Information'!B39,1)+1,SEARCH(" ",'Additional Information'!B39,SEARCH(" ",'Additional Information'!B39,1)+1)-SEARCH(" ",'Additional Information'!B39,1))),LEFT('Additional Information'!B39,2)),0))</f>
        <v/>
      </c>
    </row>
    <row r="40" spans="1:2" x14ac:dyDescent="0.25">
      <c r="A40" t="str">
        <f>IF(Input!A41="","",Input!A41)</f>
        <v/>
      </c>
      <c r="B40" s="1" t="str">
        <f>IF(A40="","",EOMONTH(DATE(RIGHT('Additional Information'!B40,4),MONTH(1&amp;MID('Additional Information'!B40,SEARCH(" ",'Additional Information'!B40,1)+1,SEARCH(" ",'Additional Information'!B40,SEARCH(" ",'Additional Information'!B40,1)+1)-SEARCH(" ",'Additional Information'!B40,1))),LEFT('Additional Information'!B40,2)),0))</f>
        <v/>
      </c>
    </row>
    <row r="41" spans="1:2" x14ac:dyDescent="0.25">
      <c r="A41" t="str">
        <f>IF(Input!A42="","",Input!A42)</f>
        <v/>
      </c>
      <c r="B41" s="1" t="str">
        <f>IF(A41="","",EOMONTH(DATE(RIGHT('Additional Information'!B41,4),MONTH(1&amp;MID('Additional Information'!B41,SEARCH(" ",'Additional Information'!B41,1)+1,SEARCH(" ",'Additional Information'!B41,SEARCH(" ",'Additional Information'!B41,1)+1)-SEARCH(" ",'Additional Information'!B41,1))),LEFT('Additional Information'!B41,2)),0))</f>
        <v/>
      </c>
    </row>
    <row r="42" spans="1:2" x14ac:dyDescent="0.25">
      <c r="A42" t="str">
        <f>IF(Input!A43="","",Input!A43)</f>
        <v/>
      </c>
      <c r="B42" s="1" t="str">
        <f>IF(A42="","",EOMONTH(DATE(RIGHT('Additional Information'!B42,4),MONTH(1&amp;MID('Additional Information'!B42,SEARCH(" ",'Additional Information'!B42,1)+1,SEARCH(" ",'Additional Information'!B42,SEARCH(" ",'Additional Information'!B42,1)+1)-SEARCH(" ",'Additional Information'!B42,1))),LEFT('Additional Information'!B42,2)),0))</f>
        <v/>
      </c>
    </row>
    <row r="43" spans="1:2" x14ac:dyDescent="0.25">
      <c r="A43" t="str">
        <f>IF(Input!A44="","",Input!A44)</f>
        <v/>
      </c>
      <c r="B43" s="1" t="str">
        <f>IF(A43="","",EOMONTH(DATE(RIGHT('Additional Information'!B43,4),MONTH(1&amp;MID('Additional Information'!B43,SEARCH(" ",'Additional Information'!B43,1)+1,SEARCH(" ",'Additional Information'!B43,SEARCH(" ",'Additional Information'!B43,1)+1)-SEARCH(" ",'Additional Information'!B43,1))),LEFT('Additional Information'!B43,2)),0))</f>
        <v/>
      </c>
    </row>
    <row r="44" spans="1:2" x14ac:dyDescent="0.25">
      <c r="A44" t="str">
        <f>IF(Input!A45="","",Input!A45)</f>
        <v/>
      </c>
      <c r="B44" s="1" t="str">
        <f>IF(A44="","",EOMONTH(DATE(RIGHT('Additional Information'!B44,4),MONTH(1&amp;MID('Additional Information'!B44,SEARCH(" ",'Additional Information'!B44,1)+1,SEARCH(" ",'Additional Information'!B44,SEARCH(" ",'Additional Information'!B44,1)+1)-SEARCH(" ",'Additional Information'!B44,1))),LEFT('Additional Information'!B44,2)),0))</f>
        <v/>
      </c>
    </row>
    <row r="45" spans="1:2" x14ac:dyDescent="0.25">
      <c r="A45" t="str">
        <f>IF(Input!A46="","",Input!A46)</f>
        <v/>
      </c>
      <c r="B45" s="1" t="str">
        <f>IF(A45="","",EOMONTH(DATE(RIGHT('Additional Information'!B45,4),MONTH(1&amp;MID('Additional Information'!B45,SEARCH(" ",'Additional Information'!B45,1)+1,SEARCH(" ",'Additional Information'!B45,SEARCH(" ",'Additional Information'!B45,1)+1)-SEARCH(" ",'Additional Information'!B45,1))),LEFT('Additional Information'!B45,2)),0))</f>
        <v/>
      </c>
    </row>
    <row r="46" spans="1:2" x14ac:dyDescent="0.25">
      <c r="A46" t="str">
        <f>IF(Input!A47="","",Input!A47)</f>
        <v/>
      </c>
      <c r="B46" s="1" t="str">
        <f>IF(A46="","",EOMONTH(DATE(RIGHT('Additional Information'!B46,4),MONTH(1&amp;MID('Additional Information'!B46,SEARCH(" ",'Additional Information'!B46,1)+1,SEARCH(" ",'Additional Information'!B46,SEARCH(" ",'Additional Information'!B46,1)+1)-SEARCH(" ",'Additional Information'!B46,1))),LEFT('Additional Information'!B46,2)),0))</f>
        <v/>
      </c>
    </row>
    <row r="47" spans="1:2" x14ac:dyDescent="0.25">
      <c r="A47" t="str">
        <f>IF(Input!A48="","",Input!A48)</f>
        <v/>
      </c>
      <c r="B47" s="1" t="str">
        <f>IF(A47="","",EOMONTH(DATE(RIGHT('Additional Information'!B47,4),MONTH(1&amp;MID('Additional Information'!B47,SEARCH(" ",'Additional Information'!B47,1)+1,SEARCH(" ",'Additional Information'!B47,SEARCH(" ",'Additional Information'!B47,1)+1)-SEARCH(" ",'Additional Information'!B47,1))),LEFT('Additional Information'!B47,2)),0))</f>
        <v/>
      </c>
    </row>
    <row r="48" spans="1:2" x14ac:dyDescent="0.25">
      <c r="A48" t="str">
        <f>IF(Input!A49="","",Input!A49)</f>
        <v/>
      </c>
      <c r="B48" s="1" t="str">
        <f>IF(A48="","",EOMONTH(DATE(RIGHT('Additional Information'!B48,4),MONTH(1&amp;MID('Additional Information'!B48,SEARCH(" ",'Additional Information'!B48,1)+1,SEARCH(" ",'Additional Information'!B48,SEARCH(" ",'Additional Information'!B48,1)+1)-SEARCH(" ",'Additional Information'!B48,1))),LEFT('Additional Information'!B48,2)),0))</f>
        <v/>
      </c>
    </row>
    <row r="49" spans="1:2" x14ac:dyDescent="0.25">
      <c r="A49" t="str">
        <f>IF(Input!A50="","",Input!A50)</f>
        <v/>
      </c>
      <c r="B49" s="1" t="str">
        <f>IF(A49="","",EOMONTH(DATE(RIGHT('Additional Information'!B49,4),MONTH(1&amp;MID('Additional Information'!B49,SEARCH(" ",'Additional Information'!B49,1)+1,SEARCH(" ",'Additional Information'!B49,SEARCH(" ",'Additional Information'!B49,1)+1)-SEARCH(" ",'Additional Information'!B49,1))),LEFT('Additional Information'!B49,2)),0))</f>
        <v/>
      </c>
    </row>
    <row r="50" spans="1:2" x14ac:dyDescent="0.25">
      <c r="A50" t="str">
        <f>IF(Input!A51="","",Input!A51)</f>
        <v/>
      </c>
      <c r="B50" s="1" t="str">
        <f>IF(A50="","",EOMONTH(DATE(RIGHT('Additional Information'!B50,4),MONTH(1&amp;MID('Additional Information'!B50,SEARCH(" ",'Additional Information'!B50,1)+1,SEARCH(" ",'Additional Information'!B50,SEARCH(" ",'Additional Information'!B50,1)+1)-SEARCH(" ",'Additional Information'!B50,1))),LEFT('Additional Information'!B50,2)),0))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30</v>
      </c>
    </row>
    <row r="2" spans="1:5" x14ac:dyDescent="0.25">
      <c r="A2" t="str">
        <f>IF(Input!A3="","",Input!A3)</f>
        <v>New Capital Strategic Portfolio UCITS Fund</v>
      </c>
      <c r="B2">
        <f>IF(A2="","",'Additional Information'!E2)</f>
        <v>-5.7999999999999996E-2</v>
      </c>
      <c r="C2">
        <f>IF(A2="","",'Additional Information'!D2)</f>
        <v>7.9000000000000001E-2</v>
      </c>
      <c r="D2" s="5"/>
      <c r="E2">
        <f>IF(A2="","",SUM('Additional Information'!C2))</f>
        <v>1.2500000000000001E-2</v>
      </c>
    </row>
    <row r="3" spans="1:5" x14ac:dyDescent="0.25">
      <c r="A3" t="str">
        <f>IF(Input!A4="","",Input!A4)</f>
        <v>New Capital Global Balanced Fund</v>
      </c>
      <c r="B3">
        <f>IF(A3="","",'Additional Information'!E3)</f>
        <v>-1.2699999999999999E-2</v>
      </c>
      <c r="C3">
        <f>IF(A3="","",'Additional Information'!D3)</f>
        <v>3.7000000000000002E-3</v>
      </c>
      <c r="D3" s="5"/>
      <c r="E3">
        <f>IF(A3="","",SUM('Additional Information'!C3))</f>
        <v>1.3000000000000001E-2</v>
      </c>
    </row>
    <row r="4" spans="1:5" x14ac:dyDescent="0.25">
      <c r="A4" t="str">
        <f>IF(Input!A5="","",Input!A5)</f>
        <v>New Capital Global Alpha Fund</v>
      </c>
      <c r="B4">
        <f>IF(A4="","",'Additional Information'!E4)</f>
        <v>-7.8000000000000005E-3</v>
      </c>
      <c r="C4">
        <f>IF(A4="","",'Additional Information'!D4)</f>
        <v>-2E-3</v>
      </c>
      <c r="D4" s="5"/>
      <c r="E4">
        <f>IF(A4="","",SUM('Additional Information'!C4))</f>
        <v>1.2500000000000001E-2</v>
      </c>
    </row>
    <row r="5" spans="1:5" x14ac:dyDescent="0.25">
      <c r="A5" t="str">
        <f>IF(Input!A6="","",Input!A6)</f>
        <v/>
      </c>
      <c r="B5" t="str">
        <f>IF(A5="","",'Additional Information'!E5)</f>
        <v/>
      </c>
      <c r="C5" t="str">
        <f>IF(A5="","",'Additional Information'!D5)</f>
        <v/>
      </c>
      <c r="D5" s="5"/>
      <c r="E5" t="str">
        <f>IF(A5="","",SUM('Additional Information'!C5))</f>
        <v/>
      </c>
    </row>
    <row r="6" spans="1:5" x14ac:dyDescent="0.25">
      <c r="A6" t="str">
        <f>IF(Input!A7="","",Input!A7)</f>
        <v/>
      </c>
      <c r="B6" t="str">
        <f>IF(A6="","",'Additional Information'!E6)</f>
        <v/>
      </c>
      <c r="C6" t="str">
        <f>IF(A6="","",'Additional Information'!D6)</f>
        <v/>
      </c>
      <c r="D6" s="5"/>
      <c r="E6" t="str">
        <f>IF(A6="","",SUM('Additional Information'!C6))</f>
        <v/>
      </c>
    </row>
    <row r="7" spans="1:5" x14ac:dyDescent="0.25">
      <c r="A7" t="str">
        <f>IF(Input!A8="","",Input!A8)</f>
        <v/>
      </c>
      <c r="B7" t="str">
        <f>IF(A7="","",'Additional Information'!E7)</f>
        <v/>
      </c>
      <c r="C7" t="str">
        <f>IF(A7="","",'Additional Information'!D7)</f>
        <v/>
      </c>
      <c r="D7" s="5"/>
      <c r="E7" t="str">
        <f>IF(A7="","",SUM('Additional Information'!C7))</f>
        <v/>
      </c>
    </row>
    <row r="8" spans="1:5" x14ac:dyDescent="0.25">
      <c r="A8" t="str">
        <f>IF(Input!A9="","",Input!A9)</f>
        <v/>
      </c>
      <c r="B8" t="str">
        <f>IF(A8="","",'Additional Information'!E8)</f>
        <v/>
      </c>
      <c r="C8" t="str">
        <f>IF(A8="","",'Additional Information'!D8)</f>
        <v/>
      </c>
      <c r="D8" s="5"/>
      <c r="E8" t="str">
        <f>IF(A8="","",SUM('Additional Information'!C8))</f>
        <v/>
      </c>
    </row>
    <row r="9" spans="1:5" x14ac:dyDescent="0.25">
      <c r="A9" t="str">
        <f>IF(Input!A10="","",Input!A10)</f>
        <v/>
      </c>
      <c r="B9" t="str">
        <f>IF(A9="","",'Additional Information'!E9)</f>
        <v/>
      </c>
      <c r="C9" t="str">
        <f>IF(A9="","",'Additional Information'!D9)</f>
        <v/>
      </c>
      <c r="D9" s="5"/>
      <c r="E9" t="str">
        <f>IF(A9="","",SUM('Additional Information'!C9))</f>
        <v/>
      </c>
    </row>
    <row r="10" spans="1:5" x14ac:dyDescent="0.25">
      <c r="A10" t="str">
        <f>IF(Input!A11="","",Input!A11)</f>
        <v/>
      </c>
      <c r="B10" t="str">
        <f>IF(A10="","",'Additional Information'!E10)</f>
        <v/>
      </c>
      <c r="C10" t="str">
        <f>IF(A10="","",'Additional Information'!D10)</f>
        <v/>
      </c>
      <c r="D10" s="5"/>
      <c r="E10" t="str">
        <f>IF(A10="","",SUM('Additional Information'!C10))</f>
        <v/>
      </c>
    </row>
    <row r="11" spans="1:5" x14ac:dyDescent="0.25">
      <c r="A11" t="str">
        <f>IF(Input!A12="","",Input!A12)</f>
        <v/>
      </c>
      <c r="B11" t="str">
        <f>IF(A11="","",'Additional Information'!E11)</f>
        <v/>
      </c>
      <c r="C11" t="str">
        <f>IF(A11="","",'Additional Information'!D11)</f>
        <v/>
      </c>
      <c r="D11" s="5"/>
      <c r="E11" t="str">
        <f>IF(A11="","",SUM('Additional Information'!C11))</f>
        <v/>
      </c>
    </row>
    <row r="12" spans="1:5" x14ac:dyDescent="0.25">
      <c r="A12" t="str">
        <f>IF(Input!A13="","",Input!A13)</f>
        <v/>
      </c>
      <c r="B12" t="str">
        <f>IF(A12="","",'Additional Information'!E12)</f>
        <v/>
      </c>
      <c r="C12" t="str">
        <f>IF(A12="","",'Additional Information'!D12)</f>
        <v/>
      </c>
      <c r="D12" s="5"/>
      <c r="E12" t="str">
        <f>IF(A12="","",SUM('Additional Information'!C12))</f>
        <v/>
      </c>
    </row>
    <row r="13" spans="1:5" x14ac:dyDescent="0.25">
      <c r="A13" t="str">
        <f>IF(Input!A14="","",Input!A14)</f>
        <v/>
      </c>
      <c r="B13" t="str">
        <f>IF(A13="","",'Additional Information'!E13)</f>
        <v/>
      </c>
      <c r="C13" t="str">
        <f>IF(A13="","",'Additional Information'!D13)</f>
        <v/>
      </c>
      <c r="D13" s="5"/>
      <c r="E13" t="str">
        <f>IF(A13="","",SUM('Additional Information'!C13))</f>
        <v/>
      </c>
    </row>
    <row r="14" spans="1:5" x14ac:dyDescent="0.25">
      <c r="A14" t="str">
        <f>IF(Input!A15="","",Input!A15)</f>
        <v/>
      </c>
      <c r="B14" t="str">
        <f>IF(A14="","",'Additional Information'!E14)</f>
        <v/>
      </c>
      <c r="C14" t="str">
        <f>IF(A14="","",'Additional Information'!D14)</f>
        <v/>
      </c>
      <c r="D14" s="5"/>
      <c r="E14" t="str">
        <f>IF(A14="","",SUM('Additional Information'!C14))</f>
        <v/>
      </c>
    </row>
    <row r="15" spans="1:5" x14ac:dyDescent="0.25">
      <c r="A15" t="str">
        <f>IF(Input!A16="","",Input!A16)</f>
        <v/>
      </c>
      <c r="B15" t="str">
        <f>IF(A15="","",'Additional Information'!E15)</f>
        <v/>
      </c>
      <c r="C15" t="str">
        <f>IF(A15="","",'Additional Information'!D15)</f>
        <v/>
      </c>
      <c r="D15" s="5"/>
      <c r="E15" t="str">
        <f>IF(A15="","",SUM('Additional Information'!C15))</f>
        <v/>
      </c>
    </row>
    <row r="16" spans="1:5" x14ac:dyDescent="0.25">
      <c r="A16" t="str">
        <f>IF(Input!A17="","",Input!A17)</f>
        <v/>
      </c>
      <c r="B16" t="str">
        <f>IF(A16="","",'Additional Information'!E16)</f>
        <v/>
      </c>
      <c r="C16" t="str">
        <f>IF(A16="","",'Additional Information'!D16)</f>
        <v/>
      </c>
      <c r="D16" s="5"/>
      <c r="E16" t="str">
        <f>IF(A16="","",SUM('Additional Information'!C16))</f>
        <v/>
      </c>
    </row>
    <row r="17" spans="1:5" x14ac:dyDescent="0.25">
      <c r="A17" t="str">
        <f>IF(Input!A18="","",Input!A18)</f>
        <v/>
      </c>
      <c r="B17" t="str">
        <f>IF(A17="","",'Additional Information'!E17)</f>
        <v/>
      </c>
      <c r="C17" t="str">
        <f>IF(A17="","",'Additional Information'!D17)</f>
        <v/>
      </c>
      <c r="D17" s="5"/>
      <c r="E17" t="str">
        <f>IF(A17="","",SUM('Additional Information'!C17))</f>
        <v/>
      </c>
    </row>
    <row r="18" spans="1:5" x14ac:dyDescent="0.25">
      <c r="A18" t="str">
        <f>IF(Input!A19="","",Input!A19)</f>
        <v/>
      </c>
      <c r="B18" t="str">
        <f>IF(A18="","",'Additional Information'!E18)</f>
        <v/>
      </c>
      <c r="C18" t="str">
        <f>IF(A18="","",'Additional Information'!D18)</f>
        <v/>
      </c>
      <c r="D18" s="5"/>
      <c r="E18" t="str">
        <f>IF(A18="","",SUM('Additional Information'!C18))</f>
        <v/>
      </c>
    </row>
    <row r="19" spans="1:5" x14ac:dyDescent="0.25">
      <c r="A19" t="str">
        <f>IF(Input!A20="","",Input!A20)</f>
        <v/>
      </c>
      <c r="B19" t="str">
        <f>IF(A19="","",'Additional Information'!E19)</f>
        <v/>
      </c>
      <c r="C19" t="str">
        <f>IF(A19="","",'Additional Information'!D19)</f>
        <v/>
      </c>
      <c r="D19" s="5"/>
      <c r="E19" t="str">
        <f>IF(A19="","",SUM('Additional Information'!C19))</f>
        <v/>
      </c>
    </row>
    <row r="20" spans="1:5" x14ac:dyDescent="0.25">
      <c r="A20" t="str">
        <f>IF(Input!A21="","",Input!A21)</f>
        <v/>
      </c>
      <c r="B20" t="str">
        <f>IF(A20="","",'Additional Information'!E20)</f>
        <v/>
      </c>
      <c r="C20" t="str">
        <f>IF(A20="","",'Additional Information'!D20)</f>
        <v/>
      </c>
      <c r="D20" s="5"/>
      <c r="E20" t="str">
        <f>IF(A20="","",SUM('Additional Information'!C20))</f>
        <v/>
      </c>
    </row>
    <row r="21" spans="1:5" x14ac:dyDescent="0.25">
      <c r="A21" t="str">
        <f>IF(Input!A22="","",Input!A22)</f>
        <v/>
      </c>
      <c r="B21" t="str">
        <f>IF(A21="","",'Additional Information'!E21)</f>
        <v/>
      </c>
      <c r="C21" t="str">
        <f>IF(A21="","",'Additional Information'!D21)</f>
        <v/>
      </c>
      <c r="D21" s="5"/>
      <c r="E21" t="str">
        <f>IF(A21="","",SUM('Additional Information'!C21))</f>
        <v/>
      </c>
    </row>
    <row r="22" spans="1:5" x14ac:dyDescent="0.25">
      <c r="A22" t="str">
        <f>IF(Input!A23="","",Input!A23)</f>
        <v/>
      </c>
      <c r="B22" t="str">
        <f>IF(A22="","",'Additional Information'!E22)</f>
        <v/>
      </c>
      <c r="C22" t="str">
        <f>IF(A22="","",'Additional Information'!D22)</f>
        <v/>
      </c>
      <c r="D22" s="5"/>
      <c r="E22" t="str">
        <f>IF(A22="","",SUM('Additional Information'!C22))</f>
        <v/>
      </c>
    </row>
    <row r="23" spans="1:5" x14ac:dyDescent="0.25">
      <c r="A23" t="str">
        <f>IF(Input!A24="","",Input!A24)</f>
        <v/>
      </c>
      <c r="B23" t="str">
        <f>IF(A23="","",'Additional Information'!E23)</f>
        <v/>
      </c>
      <c r="C23" t="str">
        <f>IF(A23="","",'Additional Information'!D23)</f>
        <v/>
      </c>
      <c r="D23" s="5"/>
      <c r="E23" t="str">
        <f>IF(A23="","",SUM('Additional Information'!C23))</f>
        <v/>
      </c>
    </row>
    <row r="24" spans="1:5" x14ac:dyDescent="0.25">
      <c r="A24" t="str">
        <f>IF(Input!A25="","",Input!A25)</f>
        <v/>
      </c>
      <c r="B24" t="str">
        <f>IF(A24="","",'Additional Information'!E24)</f>
        <v/>
      </c>
      <c r="C24" t="str">
        <f>IF(A24="","",'Additional Information'!D24)</f>
        <v/>
      </c>
      <c r="D24" s="5"/>
      <c r="E24" t="str">
        <f>IF(A24="","",SUM('Additional Information'!C24))</f>
        <v/>
      </c>
    </row>
    <row r="25" spans="1:5" x14ac:dyDescent="0.25">
      <c r="A25" t="str">
        <f>IF(Input!A26="","",Input!A26)</f>
        <v/>
      </c>
      <c r="B25" t="str">
        <f>IF(A25="","",'Additional Information'!E25)</f>
        <v/>
      </c>
      <c r="C25" t="str">
        <f>IF(A25="","",'Additional Information'!D25)</f>
        <v/>
      </c>
      <c r="D25" s="5"/>
      <c r="E25" t="str">
        <f>IF(A25="","",SUM('Additional Information'!C25))</f>
        <v/>
      </c>
    </row>
    <row r="26" spans="1:5" x14ac:dyDescent="0.25">
      <c r="A26" t="str">
        <f>IF(Input!A27="","",Input!A27)</f>
        <v/>
      </c>
      <c r="B26" t="str">
        <f>IF(A26="","",'Additional Information'!E26)</f>
        <v/>
      </c>
      <c r="C26" t="str">
        <f>IF(A26="","",'Additional Information'!D26)</f>
        <v/>
      </c>
      <c r="D26" s="5"/>
      <c r="E26" t="str">
        <f>IF(A26="","",SUM('Additional Information'!C26))</f>
        <v/>
      </c>
    </row>
    <row r="27" spans="1:5" x14ac:dyDescent="0.25">
      <c r="A27" t="str">
        <f>IF(Input!A28="","",Input!A28)</f>
        <v/>
      </c>
      <c r="B27" t="str">
        <f>IF(A27="","",'Additional Information'!E27)</f>
        <v/>
      </c>
      <c r="C27" t="str">
        <f>IF(A27="","",'Additional Information'!D27)</f>
        <v/>
      </c>
      <c r="D27" s="5"/>
      <c r="E27" t="str">
        <f>IF(A27="","",SUM('Additional Information'!C27))</f>
        <v/>
      </c>
    </row>
    <row r="28" spans="1:5" x14ac:dyDescent="0.25">
      <c r="A28" t="str">
        <f>IF(Input!A29="","",Input!A29)</f>
        <v/>
      </c>
      <c r="B28" t="str">
        <f>IF(A28="","",'Additional Information'!E28)</f>
        <v/>
      </c>
      <c r="C28" t="str">
        <f>IF(A28="","",'Additional Information'!D28)</f>
        <v/>
      </c>
      <c r="D28" s="5"/>
      <c r="E28" t="str">
        <f>IF(A28="","",SUM('Additional Information'!C28))</f>
        <v/>
      </c>
    </row>
    <row r="29" spans="1:5" x14ac:dyDescent="0.25">
      <c r="A29" t="str">
        <f>IF(Input!A30="","",Input!A30)</f>
        <v/>
      </c>
      <c r="B29" t="str">
        <f>IF(A29="","",'Additional Information'!E29)</f>
        <v/>
      </c>
      <c r="C29" t="str">
        <f>IF(A29="","",'Additional Information'!D29)</f>
        <v/>
      </c>
      <c r="D29" s="5"/>
      <c r="E29" t="str">
        <f>IF(A29="","",SUM('Additional Information'!C29))</f>
        <v/>
      </c>
    </row>
    <row r="30" spans="1:5" x14ac:dyDescent="0.25">
      <c r="A30" t="str">
        <f>IF(Input!A31="","",Input!A31)</f>
        <v/>
      </c>
      <c r="B30" t="str">
        <f>IF(A30="","",'Additional Information'!E30)</f>
        <v/>
      </c>
      <c r="C30" t="str">
        <f>IF(A30="","",'Additional Information'!D30)</f>
        <v/>
      </c>
      <c r="D30" s="5"/>
      <c r="E30" t="str">
        <f>IF(A30="","",SUM('Additional Information'!C30))</f>
        <v/>
      </c>
    </row>
    <row r="31" spans="1:5" x14ac:dyDescent="0.25">
      <c r="A31" t="str">
        <f>IF(Input!A32="","",Input!A32)</f>
        <v/>
      </c>
      <c r="B31" t="str">
        <f>IF(A31="","",'Additional Information'!E31)</f>
        <v/>
      </c>
      <c r="C31" t="str">
        <f>IF(A31="","",'Additional Information'!D31)</f>
        <v/>
      </c>
      <c r="D31" s="5"/>
      <c r="E31" t="str">
        <f>IF(A31="","",SUM('Additional Information'!C31))</f>
        <v/>
      </c>
    </row>
    <row r="32" spans="1:5" x14ac:dyDescent="0.25">
      <c r="A32" t="str">
        <f>IF(Input!A33="","",Input!A33)</f>
        <v/>
      </c>
      <c r="B32" t="str">
        <f>IF(A32="","",'Additional Information'!E32)</f>
        <v/>
      </c>
      <c r="C32" t="str">
        <f>IF(A32="","",'Additional Information'!D32)</f>
        <v/>
      </c>
      <c r="D32" s="5"/>
      <c r="E32" t="str">
        <f>IF(A32="","",SUM('Additional Information'!C32))</f>
        <v/>
      </c>
    </row>
    <row r="33" spans="1:5" x14ac:dyDescent="0.25">
      <c r="A33" t="str">
        <f>IF(Input!A34="","",Input!A34)</f>
        <v/>
      </c>
      <c r="B33" t="str">
        <f>IF(A33="","",'Additional Information'!E33)</f>
        <v/>
      </c>
      <c r="C33" t="str">
        <f>IF(A33="","",'Additional Information'!D33)</f>
        <v/>
      </c>
      <c r="D33" s="5"/>
      <c r="E33" t="str">
        <f>IF(A33="","",SUM('Additional Information'!C33))</f>
        <v/>
      </c>
    </row>
    <row r="34" spans="1:5" x14ac:dyDescent="0.25">
      <c r="A34" t="str">
        <f>IF(Input!A35="","",Input!A35)</f>
        <v/>
      </c>
      <c r="B34" t="str">
        <f>IF(A34="","",'Additional Information'!E34)</f>
        <v/>
      </c>
      <c r="C34" t="str">
        <f>IF(A34="","",'Additional Information'!D34)</f>
        <v/>
      </c>
      <c r="D34" s="5"/>
      <c r="E34" t="str">
        <f>IF(A34="","",SUM('Additional Information'!C34))</f>
        <v/>
      </c>
    </row>
    <row r="35" spans="1:5" x14ac:dyDescent="0.25">
      <c r="A35" t="str">
        <f>IF(Input!A36="","",Input!A36)</f>
        <v/>
      </c>
      <c r="B35" t="str">
        <f>IF(A35="","",'Additional Information'!E35)</f>
        <v/>
      </c>
      <c r="C35" t="str">
        <f>IF(A35="","",'Additional Information'!D35)</f>
        <v/>
      </c>
      <c r="D35" s="5"/>
      <c r="E35" t="str">
        <f>IF(A35="","",SUM('Additional Information'!C35))</f>
        <v/>
      </c>
    </row>
    <row r="36" spans="1:5" x14ac:dyDescent="0.25">
      <c r="A36" t="str">
        <f>IF(Input!A37="","",Input!A37)</f>
        <v/>
      </c>
      <c r="B36" t="str">
        <f>IF(A36="","",'Additional Information'!E36)</f>
        <v/>
      </c>
      <c r="C36" t="str">
        <f>IF(A36="","",'Additional Information'!D36)</f>
        <v/>
      </c>
      <c r="D36" s="5"/>
      <c r="E36" t="str">
        <f>IF(A36="","",SUM('Additional Information'!C36))</f>
        <v/>
      </c>
    </row>
    <row r="37" spans="1:5" x14ac:dyDescent="0.25">
      <c r="A37" t="str">
        <f>IF(Input!A38="","",Input!A38)</f>
        <v/>
      </c>
      <c r="B37" t="str">
        <f>IF(A37="","",'Additional Information'!E37)</f>
        <v/>
      </c>
      <c r="C37" t="str">
        <f>IF(A37="","",'Additional Information'!D37)</f>
        <v/>
      </c>
      <c r="D37" s="5"/>
      <c r="E37" t="str">
        <f>IF(A37="","",SUM('Additional Information'!C37))</f>
        <v/>
      </c>
    </row>
    <row r="38" spans="1:5" x14ac:dyDescent="0.25">
      <c r="A38" t="str">
        <f>IF(Input!A39="","",Input!A39)</f>
        <v/>
      </c>
      <c r="B38" t="str">
        <f>IF(A38="","",'Additional Information'!E38)</f>
        <v/>
      </c>
      <c r="C38" t="str">
        <f>IF(A38="","",'Additional Information'!D38)</f>
        <v/>
      </c>
      <c r="D38" s="5"/>
      <c r="E38" t="str">
        <f>IF(A38="","",SUM('Additional Information'!C38))</f>
        <v/>
      </c>
    </row>
    <row r="39" spans="1:5" x14ac:dyDescent="0.25">
      <c r="A39" t="str">
        <f>IF(Input!A40="","",Input!A40)</f>
        <v/>
      </c>
      <c r="B39" t="str">
        <f>IF(A39="","",'Additional Information'!E39)</f>
        <v/>
      </c>
      <c r="C39" t="str">
        <f>IF(A39="","",'Additional Information'!D39)</f>
        <v/>
      </c>
      <c r="D39" s="5"/>
      <c r="E39" t="str">
        <f>IF(A39="","",SUM('Additional Information'!C39))</f>
        <v/>
      </c>
    </row>
    <row r="40" spans="1:5" x14ac:dyDescent="0.25">
      <c r="A40" t="str">
        <f>IF(Input!A41="","",Input!A41)</f>
        <v/>
      </c>
      <c r="B40" t="str">
        <f>IF(A40="","",'Additional Information'!E40)</f>
        <v/>
      </c>
      <c r="C40" t="str">
        <f>IF(A40="","",'Additional Information'!D40)</f>
        <v/>
      </c>
      <c r="D40" s="5"/>
      <c r="E40" t="str">
        <f>IF(A40="","",SUM('Additional Information'!C40))</f>
        <v/>
      </c>
    </row>
    <row r="41" spans="1:5" x14ac:dyDescent="0.25">
      <c r="A41" t="str">
        <f>IF(Input!A42="","",Input!A42)</f>
        <v/>
      </c>
      <c r="B41" t="str">
        <f>IF(A41="","",'Additional Information'!E41)</f>
        <v/>
      </c>
      <c r="C41" t="str">
        <f>IF(A41="","",'Additional Information'!D41)</f>
        <v/>
      </c>
      <c r="D41" s="5"/>
      <c r="E41" t="str">
        <f>IF(A41="","",SUM('Additional Information'!C41))</f>
        <v/>
      </c>
    </row>
    <row r="42" spans="1:5" x14ac:dyDescent="0.25">
      <c r="A42" t="str">
        <f>IF(Input!A43="","",Input!A43)</f>
        <v/>
      </c>
      <c r="B42" t="str">
        <f>IF(A42="","",'Additional Information'!E42)</f>
        <v/>
      </c>
      <c r="C42" t="str">
        <f>IF(A42="","",'Additional Information'!D42)</f>
        <v/>
      </c>
      <c r="D42" s="5"/>
      <c r="E42" t="str">
        <f>IF(A42="","",SUM('Additional Information'!C42))</f>
        <v/>
      </c>
    </row>
    <row r="43" spans="1:5" x14ac:dyDescent="0.25">
      <c r="A43" t="str">
        <f>IF(Input!A44="","",Input!A44)</f>
        <v/>
      </c>
      <c r="B43" t="str">
        <f>IF(A43="","",'Additional Information'!E43)</f>
        <v/>
      </c>
      <c r="C43" t="str">
        <f>IF(A43="","",'Additional Information'!D43)</f>
        <v/>
      </c>
      <c r="D43" s="5"/>
      <c r="E43" t="str">
        <f>IF(A43="","",SUM('Additional Information'!C43))</f>
        <v/>
      </c>
    </row>
    <row r="44" spans="1:5" x14ac:dyDescent="0.25">
      <c r="A44" t="str">
        <f>IF(Input!A45="","",Input!A45)</f>
        <v/>
      </c>
      <c r="B44" t="str">
        <f>IF(A44="","",'Additional Information'!E44)</f>
        <v/>
      </c>
      <c r="C44" t="str">
        <f>IF(A44="","",'Additional Information'!D44)</f>
        <v/>
      </c>
      <c r="D44" s="5"/>
      <c r="E44" t="str">
        <f>IF(A44="","",SUM('Additional Information'!C44))</f>
        <v/>
      </c>
    </row>
    <row r="45" spans="1:5" x14ac:dyDescent="0.25">
      <c r="A45" t="str">
        <f>IF(Input!A46="","",Input!A46)</f>
        <v/>
      </c>
      <c r="B45" t="str">
        <f>IF(A45="","",'Additional Information'!E45)</f>
        <v/>
      </c>
      <c r="C45" t="str">
        <f>IF(A45="","",'Additional Information'!D45)</f>
        <v/>
      </c>
      <c r="D45" s="5"/>
      <c r="E45" t="str">
        <f>IF(A45="","",SUM('Additional Information'!C45))</f>
        <v/>
      </c>
    </row>
    <row r="46" spans="1:5" x14ac:dyDescent="0.25">
      <c r="A46" t="str">
        <f>IF(Input!A47="","",Input!A47)</f>
        <v/>
      </c>
      <c r="B46" t="str">
        <f>IF(A46="","",'Additional Information'!E46)</f>
        <v/>
      </c>
      <c r="C46" t="str">
        <f>IF(A46="","",'Additional Information'!D46)</f>
        <v/>
      </c>
      <c r="D46" s="5"/>
      <c r="E46" t="str">
        <f>IF(A46="","",SUM('Additional Information'!C46))</f>
        <v/>
      </c>
    </row>
    <row r="47" spans="1:5" x14ac:dyDescent="0.25">
      <c r="A47" t="str">
        <f>IF(Input!A48="","",Input!A48)</f>
        <v/>
      </c>
      <c r="B47" t="str">
        <f>IF(A47="","",'Additional Information'!E47)</f>
        <v/>
      </c>
      <c r="C47" t="str">
        <f>IF(A47="","",'Additional Information'!D47)</f>
        <v/>
      </c>
      <c r="D47" s="5"/>
      <c r="E47" t="str">
        <f>IF(A47="","",SUM('Additional Information'!C47))</f>
        <v/>
      </c>
    </row>
    <row r="48" spans="1:5" x14ac:dyDescent="0.25">
      <c r="A48" t="str">
        <f>IF(Input!A49="","",Input!A49)</f>
        <v/>
      </c>
      <c r="B48" t="str">
        <f>IF(A48="","",'Additional Information'!E48)</f>
        <v/>
      </c>
      <c r="C48" t="str">
        <f>IF(A48="","",'Additional Information'!D48)</f>
        <v/>
      </c>
      <c r="D48" s="5"/>
      <c r="E48" t="str">
        <f>IF(A48="","",SUM('Additional Information'!C48))</f>
        <v/>
      </c>
    </row>
    <row r="49" spans="1:5" x14ac:dyDescent="0.25">
      <c r="A49" t="str">
        <f>IF(Input!A50="","",Input!A50)</f>
        <v/>
      </c>
      <c r="B49" t="str">
        <f>IF(A49="","",'Additional Information'!E49)</f>
        <v/>
      </c>
      <c r="C49" t="str">
        <f>IF(A49="","",'Additional Information'!D49)</f>
        <v/>
      </c>
      <c r="D49" s="5"/>
      <c r="E49" t="str">
        <f>IF(A49="","",SUM('Additional Information'!C49))</f>
        <v/>
      </c>
    </row>
    <row r="50" spans="1:5" x14ac:dyDescent="0.25">
      <c r="A50" t="str">
        <f>IF(Input!A51="","",Input!A51)</f>
        <v/>
      </c>
      <c r="B50" t="str">
        <f>IF(A50="","",'Additional Information'!E50)</f>
        <v/>
      </c>
      <c r="C50" t="str">
        <f>IF(A50="","",'Additional Information'!D50)</f>
        <v/>
      </c>
      <c r="D50" s="5"/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New Capital Strategic Portfolio UCITS Fund</v>
      </c>
      <c r="B2">
        <f>IF(A2="","",SUM('Asset Allocation'!B2,'Asset Allocation'!C2,'Asset Allocation'!D2,'Asset Allocation'!E2,'Asset Allocation'!F2))</f>
        <v>0.97619999999999996</v>
      </c>
      <c r="C2">
        <f>IF(A2="","",SUM('Asset Allocation'!H2,'Asset Allocation'!I2,'Asset Allocation'!J2))</f>
        <v>0.9163</v>
      </c>
      <c r="D2">
        <f>IF(A2="","",SUM('Asset Allocation'!K2))</f>
        <v>8.3699999999999997E-2</v>
      </c>
      <c r="E2">
        <f>IF(A2="","",SUM('Asset Allocation'!L2))</f>
        <v>0</v>
      </c>
      <c r="F2">
        <f>IF(A2="","",SUM('Asset Allocation'!G2,'Asset Allocation'!M2,'Asset Allocation'!O2))</f>
        <v>2.3799999999999998E-2</v>
      </c>
      <c r="G2">
        <f>IF(A2="","",SUM('Asset Allocation'!N2))</f>
        <v>0</v>
      </c>
      <c r="H2">
        <f t="shared" ref="H2:H50" si="0">IF(A2="","",1-SUM(B2:G2))</f>
        <v>-1</v>
      </c>
    </row>
    <row r="3" spans="1:8" x14ac:dyDescent="0.25">
      <c r="A3" t="str">
        <f>IF(Input!A4="","",Input!A4)</f>
        <v>New Capital Global Balanced Fund</v>
      </c>
      <c r="B3">
        <f>IF(A3="","",SUM('Asset Allocation'!B3,'Asset Allocation'!C3,'Asset Allocation'!D3,'Asset Allocation'!E3,'Asset Allocation'!F3))</f>
        <v>1</v>
      </c>
      <c r="C3">
        <f>IF(A3="","",SUM('Asset Allocation'!H3,'Asset Allocation'!I3,'Asset Allocation'!J3))</f>
        <v>0</v>
      </c>
      <c r="D3">
        <f>IF(A3="","",SUM('Asset Allocation'!K3))</f>
        <v>0</v>
      </c>
      <c r="E3">
        <f>IF(A3="","",SUM('Asset Allocation'!L3))</f>
        <v>0.69200000000000006</v>
      </c>
      <c r="F3">
        <f>IF(A3="","",SUM('Asset Allocation'!G3,'Asset Allocation'!M3,'Asset Allocation'!O3))</f>
        <v>0.26289999999999997</v>
      </c>
      <c r="G3">
        <f>IF(A3="","",SUM('Asset Allocation'!N3))</f>
        <v>4.5100000000000001E-2</v>
      </c>
      <c r="H3">
        <f t="shared" si="0"/>
        <v>-1</v>
      </c>
    </row>
    <row r="4" spans="1:8" x14ac:dyDescent="0.25">
      <c r="A4" t="str">
        <f>IF(Input!A5="","",Input!A5)</f>
        <v>New Capital Global Alpha Fund</v>
      </c>
      <c r="B4">
        <f>IF(A4="","",SUM('Asset Allocation'!B4,'Asset Allocation'!C4,'Asset Allocation'!D4,'Asset Allocation'!E4,'Asset Allocation'!F4))</f>
        <v>1</v>
      </c>
      <c r="C4">
        <f>IF(A4="","",SUM('Asset Allocation'!H4,'Asset Allocation'!I4,'Asset Allocation'!J4))</f>
        <v>0</v>
      </c>
      <c r="D4">
        <f>IF(A4="","",SUM('Asset Allocation'!K4))</f>
        <v>0</v>
      </c>
      <c r="E4">
        <f>IF(A4="","",SUM('Asset Allocation'!L4))</f>
        <v>0.63600000000000001</v>
      </c>
      <c r="F4">
        <f>IF(A4="","",SUM('Asset Allocation'!G4,'Asset Allocation'!M4,'Asset Allocation'!O4))</f>
        <v>0.25009999999999999</v>
      </c>
      <c r="G4">
        <f>IF(A4="","",SUM('Asset Allocation'!N4))</f>
        <v>0.1139</v>
      </c>
      <c r="H4">
        <f t="shared" si="0"/>
        <v>-1</v>
      </c>
    </row>
    <row r="5" spans="1:8" x14ac:dyDescent="0.25">
      <c r="A5" t="str">
        <f>IF(Input!A6="","",Input!A6)</f>
        <v/>
      </c>
      <c r="B5" t="str">
        <f>IF(A5="","",SUM('Asset Allocation'!B5,'Asset Allocation'!C5,'Asset Allocation'!D5,'Asset Allocation'!E5,'Asset Allocation'!F5))</f>
        <v/>
      </c>
      <c r="C5" t="str">
        <f>IF(A5="","",SUM('Asset Allocation'!H5,'Asset Allocation'!I5,'Asset Allocation'!J5))</f>
        <v/>
      </c>
      <c r="D5" t="str">
        <f>IF(A5="","",SUM('Asset Allocation'!K5))</f>
        <v/>
      </c>
      <c r="E5" t="str">
        <f>IF(A5="","",SUM('Asset Allocation'!L5))</f>
        <v/>
      </c>
      <c r="F5" t="str">
        <f>IF(A5="","",SUM('Asset Allocation'!G5,'Asset Allocation'!M5,'Asset Allocation'!O5))</f>
        <v/>
      </c>
      <c r="G5" t="str">
        <f>IF(A5="","",SUM('Asset Allocation'!N5))</f>
        <v/>
      </c>
      <c r="H5" t="str">
        <f t="shared" si="0"/>
        <v/>
      </c>
    </row>
    <row r="6" spans="1:8" x14ac:dyDescent="0.25">
      <c r="A6" t="str">
        <f>IF(Input!A7="","",Input!A7)</f>
        <v/>
      </c>
      <c r="B6" t="str">
        <f>IF(A6="","",SUM('Asset Allocation'!B6,'Asset Allocation'!C6,'Asset Allocation'!D6,'Asset Allocation'!E6,'Asset Allocation'!F6))</f>
        <v/>
      </c>
      <c r="C6" t="str">
        <f>IF(A6="","",SUM('Asset Allocation'!H6,'Asset Allocation'!I6,'Asset Allocation'!J6))</f>
        <v/>
      </c>
      <c r="D6" t="str">
        <f>IF(A6="","",SUM('Asset Allocation'!K6))</f>
        <v/>
      </c>
      <c r="E6" t="str">
        <f>IF(A6="","",SUM('Asset Allocation'!L6))</f>
        <v/>
      </c>
      <c r="F6" t="str">
        <f>IF(A6="","",SUM('Asset Allocation'!G6,'Asset Allocation'!M6,'Asset Allocation'!O6))</f>
        <v/>
      </c>
      <c r="G6" t="str">
        <f>IF(A6="","",SUM('Asset Allocation'!N6))</f>
        <v/>
      </c>
      <c r="H6" t="str">
        <f t="shared" si="0"/>
        <v/>
      </c>
    </row>
    <row r="7" spans="1:8" x14ac:dyDescent="0.25">
      <c r="A7" t="str">
        <f>IF(Input!A8="","",Input!A8)</f>
        <v/>
      </c>
      <c r="B7" t="str">
        <f>IF(A7="","",SUM('Asset Allocation'!B7,'Asset Allocation'!C7,'Asset Allocation'!D7,'Asset Allocation'!E7,'Asset Allocation'!F7))</f>
        <v/>
      </c>
      <c r="C7" t="str">
        <f>IF(A7="","",SUM('Asset Allocation'!H7,'Asset Allocation'!I7,'Asset Allocation'!J7))</f>
        <v/>
      </c>
      <c r="D7" t="str">
        <f>IF(A7="","",SUM('Asset Allocation'!K7))</f>
        <v/>
      </c>
      <c r="E7" t="str">
        <f>IF(A7="","",SUM('Asset Allocation'!L7))</f>
        <v/>
      </c>
      <c r="F7" t="str">
        <f>IF(A7="","",SUM('Asset Allocation'!G7,'Asset Allocation'!M7,'Asset Allocation'!O7))</f>
        <v/>
      </c>
      <c r="G7" t="str">
        <f>IF(A7="","",SUM('Asset Allocation'!N7))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Allocation'!B8,'Asset Allocation'!C8,'Asset Allocation'!D8,'Asset Allocation'!E8,'Asset Allocation'!F8))</f>
        <v/>
      </c>
      <c r="C8" t="str">
        <f>IF(A8="","",SUM('Asset Allocation'!H8,'Asset Allocation'!I8,'Asset Allocation'!J8))</f>
        <v/>
      </c>
      <c r="D8" t="str">
        <f>IF(A8="","",SUM('Asset Allocation'!K8))</f>
        <v/>
      </c>
      <c r="E8" t="str">
        <f>IF(A8="","",SUM('Asset Allocation'!L8))</f>
        <v/>
      </c>
      <c r="F8" t="str">
        <f>IF(A8="","",SUM('Asset Allocation'!G8,'Asset Allocation'!M8,'Asset Allocation'!O8))</f>
        <v/>
      </c>
      <c r="G8" t="str">
        <f>IF(A8="","",SUM('Asset Allocation'!N8))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Allocation'!B9,'Asset Allocation'!C9,'Asset Allocation'!D9,'Asset Allocation'!E9,'Asset Allocation'!F9))</f>
        <v/>
      </c>
      <c r="C9" t="str">
        <f>IF(A9="","",SUM('Asset Allocation'!H9,'Asset Allocation'!I9,'Asset Allocation'!J9))</f>
        <v/>
      </c>
      <c r="D9" t="str">
        <f>IF(A9="","",SUM('Asset Allocation'!K9))</f>
        <v/>
      </c>
      <c r="E9" t="str">
        <f>IF(A9="","",SUM('Asset Allocation'!L9))</f>
        <v/>
      </c>
      <c r="F9" t="str">
        <f>IF(A9="","",SUM('Asset Allocation'!G9,'Asset Allocation'!M9,'Asset Allocation'!O9))</f>
        <v/>
      </c>
      <c r="G9" t="str">
        <f>IF(A9="","",SUM('Asset Allocation'!N9))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Allocation'!B10,'Asset Allocation'!C10,'Asset Allocation'!D10,'Asset Allocation'!E10,'Asset Allocation'!F10))</f>
        <v/>
      </c>
      <c r="C10" t="str">
        <f>IF(A10="","",SUM('Asset Allocation'!H10,'Asset Allocation'!I10,'Asset Allocation'!J10))</f>
        <v/>
      </c>
      <c r="D10" t="str">
        <f>IF(A10="","",SUM('Asset Allocation'!K10))</f>
        <v/>
      </c>
      <c r="E10" t="str">
        <f>IF(A10="","",SUM('Asset Allocation'!L10))</f>
        <v/>
      </c>
      <c r="F10" t="str">
        <f>IF(A10="","",SUM('Asset Allocation'!G10,'Asset Allocation'!M10,'Asset Allocation'!O10))</f>
        <v/>
      </c>
      <c r="G10" t="str">
        <f>IF(A10="","",SUM('Asset Allocation'!N10))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Allocation'!B11,'Asset Allocation'!C11,'Asset Allocation'!D11,'Asset Allocation'!E11,'Asset Allocation'!F11))</f>
        <v/>
      </c>
      <c r="C11" t="str">
        <f>IF(A11="","",SUM('Asset Allocation'!H11,'Asset Allocation'!I11,'Asset Allocation'!J11))</f>
        <v/>
      </c>
      <c r="D11" t="str">
        <f>IF(A11="","",SUM('Asset Allocation'!K11))</f>
        <v/>
      </c>
      <c r="E11" t="str">
        <f>IF(A11="","",SUM('Asset Allocation'!L11))</f>
        <v/>
      </c>
      <c r="F11" t="str">
        <f>IF(A11="","",SUM('Asset Allocation'!G11,'Asset Allocation'!M11,'Asset Allocation'!O11))</f>
        <v/>
      </c>
      <c r="G11" t="str">
        <f>IF(A11="","",SUM('Asset Allocation'!N11))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Allocation'!B12,'Asset Allocation'!C12,'Asset Allocation'!D12,'Asset Allocation'!E12,'Asset Allocation'!F12))</f>
        <v/>
      </c>
      <c r="C12" t="str">
        <f>IF(A12="","",SUM('Asset Allocation'!H12,'Asset Allocation'!I12,'Asset Allocation'!J12))</f>
        <v/>
      </c>
      <c r="D12" t="str">
        <f>IF(A12="","",SUM('Asset Allocation'!K12))</f>
        <v/>
      </c>
      <c r="E12" t="str">
        <f>IF(A12="","",SUM('Asset Allocation'!L12))</f>
        <v/>
      </c>
      <c r="F12" t="str">
        <f>IF(A12="","",SUM('Asset Allocation'!G12,'Asset Allocation'!M12,'Asset Allocation'!O12))</f>
        <v/>
      </c>
      <c r="G12" t="str">
        <f>IF(A12="","",SUM('Asset Allocation'!N12))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Allocation'!B13,'Asset Allocation'!C13,'Asset Allocation'!D13,'Asset Allocation'!E13,'Asset Allocation'!F13))</f>
        <v/>
      </c>
      <c r="C13" t="str">
        <f>IF(A13="","",SUM('Asset Allocation'!H13,'Asset Allocation'!I13,'Asset Allocation'!J13))</f>
        <v/>
      </c>
      <c r="D13" t="str">
        <f>IF(A13="","",SUM('Asset Allocation'!K13))</f>
        <v/>
      </c>
      <c r="E13" t="str">
        <f>IF(A13="","",SUM('Asset Allocation'!L13))</f>
        <v/>
      </c>
      <c r="F13" t="str">
        <f>IF(A13="","",SUM('Asset Allocation'!G13,'Asset Allocation'!M13,'Asset Allocation'!O13))</f>
        <v/>
      </c>
      <c r="G13" t="str">
        <f>IF(A13="","",SUM('Asset Allocation'!N13))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Allocation'!B14,'Asset Allocation'!C14,'Asset Allocation'!D14,'Asset Allocation'!E14,'Asset Allocation'!F14))</f>
        <v/>
      </c>
      <c r="C14" t="str">
        <f>IF(A14="","",SUM('Asset Allocation'!H14,'Asset Allocation'!I14,'Asset Allocation'!J14))</f>
        <v/>
      </c>
      <c r="D14" t="str">
        <f>IF(A14="","",SUM('Asset Allocation'!K14))</f>
        <v/>
      </c>
      <c r="E14" t="str">
        <f>IF(A14="","",SUM('Asset Allocation'!L14))</f>
        <v/>
      </c>
      <c r="F14" t="str">
        <f>IF(A14="","",SUM('Asset Allocation'!G14,'Asset Allocation'!M14,'Asset Allocation'!O14))</f>
        <v/>
      </c>
      <c r="G14" t="str">
        <f>IF(A14="","",SUM('Asset Allocation'!N14))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Allocation'!B15,'Asset Allocation'!C15,'Asset Allocation'!D15,'Asset Allocation'!E15,'Asset Allocation'!F15))</f>
        <v/>
      </c>
      <c r="C15" t="str">
        <f>IF(A15="","",SUM('Asset Allocation'!H15,'Asset Allocation'!I15,'Asset Allocation'!J15))</f>
        <v/>
      </c>
      <c r="D15" t="str">
        <f>IF(A15="","",SUM('Asset Allocation'!K15))</f>
        <v/>
      </c>
      <c r="E15" t="str">
        <f>IF(A15="","",SUM('Asset Allocation'!L15))</f>
        <v/>
      </c>
      <c r="F15" t="str">
        <f>IF(A15="","",SUM('Asset Allocation'!G15,'Asset Allocation'!M15,'Asset Allocation'!O15))</f>
        <v/>
      </c>
      <c r="G15" t="str">
        <f>IF(A15="","",SUM('Asset Allocation'!N15))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Allocation'!B16,'Asset Allocation'!C16,'Asset Allocation'!D16,'Asset Allocation'!E16,'Asset Allocation'!F16))</f>
        <v/>
      </c>
      <c r="C16" t="str">
        <f>IF(A16="","",SUM('Asset Allocation'!H16,'Asset Allocation'!I16,'Asset Allocation'!J16))</f>
        <v/>
      </c>
      <c r="D16" t="str">
        <f>IF(A16="","",SUM('Asset Allocation'!K16))</f>
        <v/>
      </c>
      <c r="E16" t="str">
        <f>IF(A16="","",SUM('Asset Allocation'!L16))</f>
        <v/>
      </c>
      <c r="F16" t="str">
        <f>IF(A16="","",SUM('Asset Allocation'!G16,'Asset Allocation'!M16,'Asset Allocation'!O16))</f>
        <v/>
      </c>
      <c r="G16" t="str">
        <f>IF(A16="","",SUM('Asset Allocation'!N16))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Allocation'!B17,'Asset Allocation'!C17,'Asset Allocation'!D17,'Asset Allocation'!E17,'Asset Allocation'!F17))</f>
        <v/>
      </c>
      <c r="C17" t="str">
        <f>IF(A17="","",SUM('Asset Allocation'!H17,'Asset Allocation'!I17,'Asset Allocation'!J17))</f>
        <v/>
      </c>
      <c r="D17" t="str">
        <f>IF(A17="","",SUM('Asset Allocation'!K17))</f>
        <v/>
      </c>
      <c r="E17" t="str">
        <f>IF(A17="","",SUM('Asset Allocation'!L17))</f>
        <v/>
      </c>
      <c r="F17" t="str">
        <f>IF(A17="","",SUM('Asset Allocation'!G17,'Asset Allocation'!M17,'Asset Allocation'!O17))</f>
        <v/>
      </c>
      <c r="G17" t="str">
        <f>IF(A17="","",SUM('Asset Allocation'!N17))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Allocation'!B18,'Asset Allocation'!C18,'Asset Allocation'!D18,'Asset Allocation'!E18,'Asset Allocation'!F18))</f>
        <v/>
      </c>
      <c r="C18" t="str">
        <f>IF(A18="","",SUM('Asset Allocation'!H18,'Asset Allocation'!I18,'Asset Allocation'!J18))</f>
        <v/>
      </c>
      <c r="D18" t="str">
        <f>IF(A18="","",SUM('Asset Allocation'!K18))</f>
        <v/>
      </c>
      <c r="E18" t="str">
        <f>IF(A18="","",SUM('Asset Allocation'!L18))</f>
        <v/>
      </c>
      <c r="F18" t="str">
        <f>IF(A18="","",SUM('Asset Allocation'!G18,'Asset Allocation'!M18,'Asset Allocation'!O18))</f>
        <v/>
      </c>
      <c r="G18" t="str">
        <f>IF(A18="","",SUM('Asset Allocation'!N18))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Allocation'!B19,'Asset Allocation'!C19,'Asset Allocation'!D19,'Asset Allocation'!E19,'Asset Allocation'!F19))</f>
        <v/>
      </c>
      <c r="C19" t="str">
        <f>IF(A19="","",SUM('Asset Allocation'!H19,'Asset Allocation'!I19,'Asset Allocation'!J19))</f>
        <v/>
      </c>
      <c r="D19" t="str">
        <f>IF(A19="","",SUM('Asset Allocation'!K19))</f>
        <v/>
      </c>
      <c r="E19" t="str">
        <f>IF(A19="","",SUM('Asset Allocation'!L19))</f>
        <v/>
      </c>
      <c r="F19" t="str">
        <f>IF(A19="","",SUM('Asset Allocation'!G19,'Asset Allocation'!M19,'Asset Allocation'!O19))</f>
        <v/>
      </c>
      <c r="G19" t="str">
        <f>IF(A19="","",SUM('Asset Allocation'!N19))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Allocation'!B20,'Asset Allocation'!C20,'Asset Allocation'!D20,'Asset Allocation'!E20,'Asset Allocation'!F20))</f>
        <v/>
      </c>
      <c r="C20" t="str">
        <f>IF(A20="","",SUM('Asset Allocation'!H20,'Asset Allocation'!I20,'Asset Allocation'!J20))</f>
        <v/>
      </c>
      <c r="D20" t="str">
        <f>IF(A20="","",SUM('Asset Allocation'!K20))</f>
        <v/>
      </c>
      <c r="E20" t="str">
        <f>IF(A20="","",SUM('Asset Allocation'!L20))</f>
        <v/>
      </c>
      <c r="F20" t="str">
        <f>IF(A20="","",SUM('Asset Allocation'!G20,'Asset Allocation'!M20,'Asset Allocation'!O20))</f>
        <v/>
      </c>
      <c r="G20" t="str">
        <f>IF(A20="","",SUM('Asset Allocation'!N20))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Allocation'!B21,'Asset Allocation'!C21,'Asset Allocation'!D21,'Asset Allocation'!E21,'Asset Allocation'!F21))</f>
        <v/>
      </c>
      <c r="C21" t="str">
        <f>IF(A21="","",SUM('Asset Allocation'!H21,'Asset Allocation'!I21,'Asset Allocation'!J21))</f>
        <v/>
      </c>
      <c r="D21" t="str">
        <f>IF(A21="","",SUM('Asset Allocation'!K21))</f>
        <v/>
      </c>
      <c r="E21" t="str">
        <f>IF(A21="","",SUM('Asset Allocation'!L21))</f>
        <v/>
      </c>
      <c r="F21" t="str">
        <f>IF(A21="","",SUM('Asset Allocation'!G21,'Asset Allocation'!M21,'Asset Allocation'!O21))</f>
        <v/>
      </c>
      <c r="G21" t="str">
        <f>IF(A21="","",SUM('Asset Allocation'!N21))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Allocation'!B22,'Asset Allocation'!C22,'Asset Allocation'!D22,'Asset Allocation'!E22,'Asset Allocation'!F22))</f>
        <v/>
      </c>
      <c r="C22" t="str">
        <f>IF(A22="","",SUM('Asset Allocation'!H22,'Asset Allocation'!I22,'Asset Allocation'!J22))</f>
        <v/>
      </c>
      <c r="D22" t="str">
        <f>IF(A22="","",SUM('Asset Allocation'!K22))</f>
        <v/>
      </c>
      <c r="E22" t="str">
        <f>IF(A22="","",SUM('Asset Allocation'!L22))</f>
        <v/>
      </c>
      <c r="F22" t="str">
        <f>IF(A22="","",SUM('Asset Allocation'!G22,'Asset Allocation'!M22,'Asset Allocation'!O22))</f>
        <v/>
      </c>
      <c r="G22" t="str">
        <f>IF(A22="","",SUM('Asset Allocation'!N22))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Allocation'!B23,'Asset Allocation'!C23,'Asset Allocation'!D23,'Asset Allocation'!E23,'Asset Allocation'!F23))</f>
        <v/>
      </c>
      <c r="C23" t="str">
        <f>IF(A23="","",SUM('Asset Allocation'!H23,'Asset Allocation'!I23,'Asset Allocation'!J23))</f>
        <v/>
      </c>
      <c r="D23" t="str">
        <f>IF(A23="","",SUM('Asset Allocation'!K23))</f>
        <v/>
      </c>
      <c r="E23" t="str">
        <f>IF(A23="","",SUM('Asset Allocation'!L23))</f>
        <v/>
      </c>
      <c r="F23" t="str">
        <f>IF(A23="","",SUM('Asset Allocation'!G23,'Asset Allocation'!M23,'Asset Allocation'!O23))</f>
        <v/>
      </c>
      <c r="G23" t="str">
        <f>IF(A23="","",SUM('Asset Allocation'!N23))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Allocation'!B24,'Asset Allocation'!C24,'Asset Allocation'!D24,'Asset Allocation'!E24,'Asset Allocation'!F24))</f>
        <v/>
      </c>
      <c r="C24" t="str">
        <f>IF(A24="","",SUM('Asset Allocation'!H24,'Asset Allocation'!I24,'Asset Allocation'!J24))</f>
        <v/>
      </c>
      <c r="D24" t="str">
        <f>IF(A24="","",SUM('Asset Allocation'!K24))</f>
        <v/>
      </c>
      <c r="E24" t="str">
        <f>IF(A24="","",SUM('Asset Allocation'!L24))</f>
        <v/>
      </c>
      <c r="F24" t="str">
        <f>IF(A24="","",SUM('Asset Allocation'!G24,'Asset Allocation'!M24,'Asset Allocation'!O24))</f>
        <v/>
      </c>
      <c r="G24" t="str">
        <f>IF(A24="","",SUM('Asset Allocation'!N24))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Allocation'!B25,'Asset Allocation'!C25,'Asset Allocation'!D25,'Asset Allocation'!E25,'Asset Allocation'!F25))</f>
        <v/>
      </c>
      <c r="C25" t="str">
        <f>IF(A25="","",SUM('Asset Allocation'!H25,'Asset Allocation'!I25,'Asset Allocation'!J25))</f>
        <v/>
      </c>
      <c r="D25" t="str">
        <f>IF(A25="","",SUM('Asset Allocation'!K25))</f>
        <v/>
      </c>
      <c r="E25" t="str">
        <f>IF(A25="","",SUM('Asset Allocation'!L25))</f>
        <v/>
      </c>
      <c r="F25" t="str">
        <f>IF(A25="","",SUM('Asset Allocation'!G25,'Asset Allocation'!M25,'Asset Allocation'!O25))</f>
        <v/>
      </c>
      <c r="G25" t="str">
        <f>IF(A25="","",SUM('Asset Allocation'!N25))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Allocation'!B26,'Asset Allocation'!C26,'Asset Allocation'!D26,'Asset Allocation'!E26,'Asset Allocation'!F26))</f>
        <v/>
      </c>
      <c r="C26" t="str">
        <f>IF(A26="","",SUM('Asset Allocation'!H26,'Asset Allocation'!I26,'Asset Allocation'!J26))</f>
        <v/>
      </c>
      <c r="D26" t="str">
        <f>IF(A26="","",SUM('Asset Allocation'!K26))</f>
        <v/>
      </c>
      <c r="E26" t="str">
        <f>IF(A26="","",SUM('Asset Allocation'!L26))</f>
        <v/>
      </c>
      <c r="F26" t="str">
        <f>IF(A26="","",SUM('Asset Allocation'!G26,'Asset Allocation'!M26,'Asset Allocation'!O26))</f>
        <v/>
      </c>
      <c r="G26" t="str">
        <f>IF(A26="","",SUM('Asset Allocation'!N26))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Allocation'!B27,'Asset Allocation'!C27,'Asset Allocation'!D27,'Asset Allocation'!E27,'Asset Allocation'!F27))</f>
        <v/>
      </c>
      <c r="C27" t="str">
        <f>IF(A27="","",SUM('Asset Allocation'!H27,'Asset Allocation'!I27,'Asset Allocation'!J27))</f>
        <v/>
      </c>
      <c r="D27" t="str">
        <f>IF(A27="","",SUM('Asset Allocation'!K27))</f>
        <v/>
      </c>
      <c r="E27" t="str">
        <f>IF(A27="","",SUM('Asset Allocation'!L27))</f>
        <v/>
      </c>
      <c r="F27" t="str">
        <f>IF(A27="","",SUM('Asset Allocation'!G27,'Asset Allocation'!M27,'Asset Allocation'!O27))</f>
        <v/>
      </c>
      <c r="G27" t="str">
        <f>IF(A27="","",SUM('Asset Allocation'!N27))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Allocation'!B28,'Asset Allocation'!C28,'Asset Allocation'!D28,'Asset Allocation'!E28,'Asset Allocation'!F28))</f>
        <v/>
      </c>
      <c r="C28" t="str">
        <f>IF(A28="","",SUM('Asset Allocation'!H28,'Asset Allocation'!I28,'Asset Allocation'!J28))</f>
        <v/>
      </c>
      <c r="D28" t="str">
        <f>IF(A28="","",SUM('Asset Allocation'!K28))</f>
        <v/>
      </c>
      <c r="E28" t="str">
        <f>IF(A28="","",SUM('Asset Allocation'!L28))</f>
        <v/>
      </c>
      <c r="F28" t="str">
        <f>IF(A28="","",SUM('Asset Allocation'!G28,'Asset Allocation'!M28,'Asset Allocation'!O28))</f>
        <v/>
      </c>
      <c r="G28" t="str">
        <f>IF(A28="","",SUM('Asset Allocation'!N28))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Allocation'!B29,'Asset Allocation'!C29,'Asset Allocation'!D29,'Asset Allocation'!E29,'Asset Allocation'!F29))</f>
        <v/>
      </c>
      <c r="C29" t="str">
        <f>IF(A29="","",SUM('Asset Allocation'!H29,'Asset Allocation'!I29,'Asset Allocation'!J29))</f>
        <v/>
      </c>
      <c r="D29" t="str">
        <f>IF(A29="","",SUM('Asset Allocation'!K29))</f>
        <v/>
      </c>
      <c r="E29" t="str">
        <f>IF(A29="","",SUM('Asset Allocation'!L29))</f>
        <v/>
      </c>
      <c r="F29" t="str">
        <f>IF(A29="","",SUM('Asset Allocation'!G29,'Asset Allocation'!M29,'Asset Allocation'!O29))</f>
        <v/>
      </c>
      <c r="G29" t="str">
        <f>IF(A29="","",SUM('Asset Allocation'!N29))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Allocation'!B30,'Asset Allocation'!C30,'Asset Allocation'!D30,'Asset Allocation'!E30,'Asset Allocation'!F30))</f>
        <v/>
      </c>
      <c r="C30" t="str">
        <f>IF(A30="","",SUM('Asset Allocation'!H30,'Asset Allocation'!I30,'Asset Allocation'!J30))</f>
        <v/>
      </c>
      <c r="D30" t="str">
        <f>IF(A30="","",SUM('Asset Allocation'!K30))</f>
        <v/>
      </c>
      <c r="E30" t="str">
        <f>IF(A30="","",SUM('Asset Allocation'!L30))</f>
        <v/>
      </c>
      <c r="F30" t="str">
        <f>IF(A30="","",SUM('Asset Allocation'!G30,'Asset Allocation'!M30,'Asset Allocation'!O30))</f>
        <v/>
      </c>
      <c r="G30" t="str">
        <f>IF(A30="","",SUM('Asset Allocation'!N30))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Allocation'!B31,'Asset Allocation'!C31,'Asset Allocation'!D31,'Asset Allocation'!E31,'Asset Allocation'!F31))</f>
        <v/>
      </c>
      <c r="C31" t="str">
        <f>IF(A31="","",SUM('Asset Allocation'!H31,'Asset Allocation'!I31,'Asset Allocation'!J31))</f>
        <v/>
      </c>
      <c r="D31" t="str">
        <f>IF(A31="","",SUM('Asset Allocation'!K31))</f>
        <v/>
      </c>
      <c r="E31" t="str">
        <f>IF(A31="","",SUM('Asset Allocation'!L31))</f>
        <v/>
      </c>
      <c r="F31" t="str">
        <f>IF(A31="","",SUM('Asset Allocation'!G31,'Asset Allocation'!M31,'Asset Allocation'!O31))</f>
        <v/>
      </c>
      <c r="G31" t="str">
        <f>IF(A31="","",SUM('Asset Allocation'!N31))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Allocation'!B32,'Asset Allocation'!C32,'Asset Allocation'!D32,'Asset Allocation'!E32,'Asset Allocation'!F32))</f>
        <v/>
      </c>
      <c r="C32" t="str">
        <f>IF(A32="","",SUM('Asset Allocation'!H32,'Asset Allocation'!I32,'Asset Allocation'!J32))</f>
        <v/>
      </c>
      <c r="D32" t="str">
        <f>IF(A32="","",SUM('Asset Allocation'!K32))</f>
        <v/>
      </c>
      <c r="E32" t="str">
        <f>IF(A32="","",SUM('Asset Allocation'!L32))</f>
        <v/>
      </c>
      <c r="F32" t="str">
        <f>IF(A32="","",SUM('Asset Allocation'!G32,'Asset Allocation'!M32,'Asset Allocation'!O32))</f>
        <v/>
      </c>
      <c r="G32" t="str">
        <f>IF(A32="","",SUM('Asset Allocation'!N32))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Allocation'!B33,'Asset Allocation'!C33,'Asset Allocation'!D33,'Asset Allocation'!E33,'Asset Allocation'!F33))</f>
        <v/>
      </c>
      <c r="C33" t="str">
        <f>IF(A33="","",SUM('Asset Allocation'!H33,'Asset Allocation'!I33,'Asset Allocation'!J33))</f>
        <v/>
      </c>
      <c r="D33" t="str">
        <f>IF(A33="","",SUM('Asset Allocation'!K33))</f>
        <v/>
      </c>
      <c r="E33" t="str">
        <f>IF(A33="","",SUM('Asset Allocation'!L33))</f>
        <v/>
      </c>
      <c r="F33" t="str">
        <f>IF(A33="","",SUM('Asset Allocation'!G33,'Asset Allocation'!M33,'Asset Allocation'!O33))</f>
        <v/>
      </c>
      <c r="G33" t="str">
        <f>IF(A33="","",SUM('Asset Allocation'!N33))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Allocation'!B34,'Asset Allocation'!C34,'Asset Allocation'!D34,'Asset Allocation'!E34,'Asset Allocation'!F34))</f>
        <v/>
      </c>
      <c r="C34" t="str">
        <f>IF(A34="","",SUM('Asset Allocation'!H34,'Asset Allocation'!I34,'Asset Allocation'!J34))</f>
        <v/>
      </c>
      <c r="D34" t="str">
        <f>IF(A34="","",SUM('Asset Allocation'!K34))</f>
        <v/>
      </c>
      <c r="E34" t="str">
        <f>IF(A34="","",SUM('Asset Allocation'!L34))</f>
        <v/>
      </c>
      <c r="F34" t="str">
        <f>IF(A34="","",SUM('Asset Allocation'!G34,'Asset Allocation'!M34,'Asset Allocation'!O34))</f>
        <v/>
      </c>
      <c r="G34" t="str">
        <f>IF(A34="","",SUM('Asset Allocation'!N34))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Allocation'!B35,'Asset Allocation'!C35,'Asset Allocation'!D35,'Asset Allocation'!E35,'Asset Allocation'!F35))</f>
        <v/>
      </c>
      <c r="C35" t="str">
        <f>IF(A35="","",SUM('Asset Allocation'!H35,'Asset Allocation'!I35,'Asset Allocation'!J35))</f>
        <v/>
      </c>
      <c r="D35" t="str">
        <f>IF(A35="","",SUM('Asset Allocation'!K35))</f>
        <v/>
      </c>
      <c r="E35" t="str">
        <f>IF(A35="","",SUM('Asset Allocation'!L35))</f>
        <v/>
      </c>
      <c r="F35" t="str">
        <f>IF(A35="","",SUM('Asset Allocation'!G35,'Asset Allocation'!M35,'Asset Allocation'!O35))</f>
        <v/>
      </c>
      <c r="G35" t="str">
        <f>IF(A35="","",SUM('Asset Allocation'!N35))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Allocation'!B36,'Asset Allocation'!C36,'Asset Allocation'!D36,'Asset Allocation'!E36,'Asset Allocation'!F36))</f>
        <v/>
      </c>
      <c r="C36" t="str">
        <f>IF(A36="","",SUM('Asset Allocation'!H36,'Asset Allocation'!I36,'Asset Allocation'!J36))</f>
        <v/>
      </c>
      <c r="D36" t="str">
        <f>IF(A36="","",SUM('Asset Allocation'!K36))</f>
        <v/>
      </c>
      <c r="E36" t="str">
        <f>IF(A36="","",SUM('Asset Allocation'!L36))</f>
        <v/>
      </c>
      <c r="F36" t="str">
        <f>IF(A36="","",SUM('Asset Allocation'!G36,'Asset Allocation'!M36,'Asset Allocation'!O36))</f>
        <v/>
      </c>
      <c r="G36" t="str">
        <f>IF(A36="","",SUM('Asset Allocation'!N36))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Allocation'!B37,'Asset Allocation'!C37,'Asset Allocation'!D37,'Asset Allocation'!E37,'Asset Allocation'!F37))</f>
        <v/>
      </c>
      <c r="C37" t="str">
        <f>IF(A37="","",SUM('Asset Allocation'!H37,'Asset Allocation'!I37,'Asset Allocation'!J37))</f>
        <v/>
      </c>
      <c r="D37" t="str">
        <f>IF(A37="","",SUM('Asset Allocation'!K37))</f>
        <v/>
      </c>
      <c r="E37" t="str">
        <f>IF(A37="","",SUM('Asset Allocation'!L37))</f>
        <v/>
      </c>
      <c r="F37" t="str">
        <f>IF(A37="","",SUM('Asset Allocation'!G37,'Asset Allocation'!M37,'Asset Allocation'!O37))</f>
        <v/>
      </c>
      <c r="G37" t="str">
        <f>IF(A37="","",SUM('Asset Allocation'!N37))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Allocation'!B38,'Asset Allocation'!C38,'Asset Allocation'!D38,'Asset Allocation'!E38,'Asset Allocation'!F38))</f>
        <v/>
      </c>
      <c r="C38" t="str">
        <f>IF(A38="","",SUM('Asset Allocation'!H38,'Asset Allocation'!I38,'Asset Allocation'!J38))</f>
        <v/>
      </c>
      <c r="D38" t="str">
        <f>IF(A38="","",SUM('Asset Allocation'!K38))</f>
        <v/>
      </c>
      <c r="E38" t="str">
        <f>IF(A38="","",SUM('Asset Allocation'!L38))</f>
        <v/>
      </c>
      <c r="F38" t="str">
        <f>IF(A38="","",SUM('Asset Allocation'!G38,'Asset Allocation'!M38,'Asset Allocation'!O38))</f>
        <v/>
      </c>
      <c r="G38" t="str">
        <f>IF(A38="","",SUM('Asset Allocation'!N38))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Allocation'!B39,'Asset Allocation'!C39,'Asset Allocation'!D39,'Asset Allocation'!E39,'Asset Allocation'!F39))</f>
        <v/>
      </c>
      <c r="C39" t="str">
        <f>IF(A39="","",SUM('Asset Allocation'!H39,'Asset Allocation'!I39,'Asset Allocation'!J39))</f>
        <v/>
      </c>
      <c r="D39" t="str">
        <f>IF(A39="","",SUM('Asset Allocation'!K39))</f>
        <v/>
      </c>
      <c r="E39" t="str">
        <f>IF(A39="","",SUM('Asset Allocation'!L39))</f>
        <v/>
      </c>
      <c r="F39" t="str">
        <f>IF(A39="","",SUM('Asset Allocation'!G39,'Asset Allocation'!M39,'Asset Allocation'!O39))</f>
        <v/>
      </c>
      <c r="G39" t="str">
        <f>IF(A39="","",SUM('Asset Allocation'!N39))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Allocation'!B40,'Asset Allocation'!C40,'Asset Allocation'!D40,'Asset Allocation'!E40,'Asset Allocation'!F40))</f>
        <v/>
      </c>
      <c r="C40" t="str">
        <f>IF(A40="","",SUM('Asset Allocation'!H40,'Asset Allocation'!I40,'Asset Allocation'!J40))</f>
        <v/>
      </c>
      <c r="D40" t="str">
        <f>IF(A40="","",SUM('Asset Allocation'!K40))</f>
        <v/>
      </c>
      <c r="E40" t="str">
        <f>IF(A40="","",SUM('Asset Allocation'!L40))</f>
        <v/>
      </c>
      <c r="F40" t="str">
        <f>IF(A40="","",SUM('Asset Allocation'!G40,'Asset Allocation'!M40,'Asset Allocation'!O40))</f>
        <v/>
      </c>
      <c r="G40" t="str">
        <f>IF(A40="","",SUM('Asset Allocation'!N40))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Allocation'!B41,'Asset Allocation'!C41,'Asset Allocation'!D41,'Asset Allocation'!E41,'Asset Allocation'!F41))</f>
        <v/>
      </c>
      <c r="C41" t="str">
        <f>IF(A41="","",SUM('Asset Allocation'!H41,'Asset Allocation'!I41,'Asset Allocation'!J41))</f>
        <v/>
      </c>
      <c r="D41" t="str">
        <f>IF(A41="","",SUM('Asset Allocation'!K41))</f>
        <v/>
      </c>
      <c r="E41" t="str">
        <f>IF(A41="","",SUM('Asset Allocation'!L41))</f>
        <v/>
      </c>
      <c r="F41" t="str">
        <f>IF(A41="","",SUM('Asset Allocation'!G41,'Asset Allocation'!M41,'Asset Allocation'!O41))</f>
        <v/>
      </c>
      <c r="G41" t="str">
        <f>IF(A41="","",SUM('Asset Allocation'!N41))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Allocation'!B42,'Asset Allocation'!C42,'Asset Allocation'!D42,'Asset Allocation'!E42,'Asset Allocation'!F42))</f>
        <v/>
      </c>
      <c r="C42" t="str">
        <f>IF(A42="","",SUM('Asset Allocation'!H42,'Asset Allocation'!I42,'Asset Allocation'!J42))</f>
        <v/>
      </c>
      <c r="D42" t="str">
        <f>IF(A42="","",SUM('Asset Allocation'!K42))</f>
        <v/>
      </c>
      <c r="E42" t="str">
        <f>IF(A42="","",SUM('Asset Allocation'!L42))</f>
        <v/>
      </c>
      <c r="F42" t="str">
        <f>IF(A42="","",SUM('Asset Allocation'!G42,'Asset Allocation'!M42,'Asset Allocation'!O42))</f>
        <v/>
      </c>
      <c r="G42" t="str">
        <f>IF(A42="","",SUM('Asset Allocation'!N42))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Allocation'!B43,'Asset Allocation'!C43,'Asset Allocation'!D43,'Asset Allocation'!E43,'Asset Allocation'!F43))</f>
        <v/>
      </c>
      <c r="C43" t="str">
        <f>IF(A43="","",SUM('Asset Allocation'!H43,'Asset Allocation'!I43,'Asset Allocation'!J43))</f>
        <v/>
      </c>
      <c r="D43" t="str">
        <f>IF(A43="","",SUM('Asset Allocation'!K43))</f>
        <v/>
      </c>
      <c r="E43" t="str">
        <f>IF(A43="","",SUM('Asset Allocation'!L43))</f>
        <v/>
      </c>
      <c r="F43" t="str">
        <f>IF(A43="","",SUM('Asset Allocation'!G43,'Asset Allocation'!M43,'Asset Allocation'!O43))</f>
        <v/>
      </c>
      <c r="G43" t="str">
        <f>IF(A43="","",SUM('Asset Allocation'!N43))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Allocation'!B44,'Asset Allocation'!C44,'Asset Allocation'!D44,'Asset Allocation'!E44,'Asset Allocation'!F44))</f>
        <v/>
      </c>
      <c r="C44" t="str">
        <f>IF(A44="","",SUM('Asset Allocation'!H44,'Asset Allocation'!I44,'Asset Allocation'!J44))</f>
        <v/>
      </c>
      <c r="D44" t="str">
        <f>IF(A44="","",SUM('Asset Allocation'!K44))</f>
        <v/>
      </c>
      <c r="E44" t="str">
        <f>IF(A44="","",SUM('Asset Allocation'!L44))</f>
        <v/>
      </c>
      <c r="F44" t="str">
        <f>IF(A44="","",SUM('Asset Allocation'!G44,'Asset Allocation'!M44,'Asset Allocation'!O44))</f>
        <v/>
      </c>
      <c r="G44" t="str">
        <f>IF(A44="","",SUM('Asset Allocation'!N44))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Allocation'!B45,'Asset Allocation'!C45,'Asset Allocation'!D45,'Asset Allocation'!E45,'Asset Allocation'!F45))</f>
        <v/>
      </c>
      <c r="C45" t="str">
        <f>IF(A45="","",SUM('Asset Allocation'!H45,'Asset Allocation'!I45,'Asset Allocation'!J45))</f>
        <v/>
      </c>
      <c r="D45" t="str">
        <f>IF(A45="","",SUM('Asset Allocation'!K45))</f>
        <v/>
      </c>
      <c r="E45" t="str">
        <f>IF(A45="","",SUM('Asset Allocation'!L45))</f>
        <v/>
      </c>
      <c r="F45" t="str">
        <f>IF(A45="","",SUM('Asset Allocation'!G45,'Asset Allocation'!M45,'Asset Allocation'!O45))</f>
        <v/>
      </c>
      <c r="G45" t="str">
        <f>IF(A45="","",SUM('Asset Allocation'!N45))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Allocation'!B46,'Asset Allocation'!C46,'Asset Allocation'!D46,'Asset Allocation'!E46,'Asset Allocation'!F46))</f>
        <v/>
      </c>
      <c r="C46" t="str">
        <f>IF(A46="","",SUM('Asset Allocation'!H46,'Asset Allocation'!I46,'Asset Allocation'!J46))</f>
        <v/>
      </c>
      <c r="D46" t="str">
        <f>IF(A46="","",SUM('Asset Allocation'!K46))</f>
        <v/>
      </c>
      <c r="E46" t="str">
        <f>IF(A46="","",SUM('Asset Allocation'!L46))</f>
        <v/>
      </c>
      <c r="F46" t="str">
        <f>IF(A46="","",SUM('Asset Allocation'!G46,'Asset Allocation'!M46,'Asset Allocation'!O46))</f>
        <v/>
      </c>
      <c r="G46" t="str">
        <f>IF(A46="","",SUM('Asset Allocation'!N46))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Allocation'!B47,'Asset Allocation'!C47,'Asset Allocation'!D47,'Asset Allocation'!E47,'Asset Allocation'!F47))</f>
        <v/>
      </c>
      <c r="C47" t="str">
        <f>IF(A47="","",SUM('Asset Allocation'!H47,'Asset Allocation'!I47,'Asset Allocation'!J47))</f>
        <v/>
      </c>
      <c r="D47" t="str">
        <f>IF(A47="","",SUM('Asset Allocation'!K47))</f>
        <v/>
      </c>
      <c r="E47" t="str">
        <f>IF(A47="","",SUM('Asset Allocation'!L47))</f>
        <v/>
      </c>
      <c r="F47" t="str">
        <f>IF(A47="","",SUM('Asset Allocation'!G47,'Asset Allocation'!M47,'Asset Allocation'!O47))</f>
        <v/>
      </c>
      <c r="G47" t="str">
        <f>IF(A47="","",SUM('Asset Allocation'!N47))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Allocation'!B48,'Asset Allocation'!C48,'Asset Allocation'!D48,'Asset Allocation'!E48,'Asset Allocation'!F48))</f>
        <v/>
      </c>
      <c r="C48" t="str">
        <f>IF(A48="","",SUM('Asset Allocation'!H48,'Asset Allocation'!I48,'Asset Allocation'!J48))</f>
        <v/>
      </c>
      <c r="D48" t="str">
        <f>IF(A48="","",SUM('Asset Allocation'!K48))</f>
        <v/>
      </c>
      <c r="E48" t="str">
        <f>IF(A48="","",SUM('Asset Allocation'!L48))</f>
        <v/>
      </c>
      <c r="F48" t="str">
        <f>IF(A48="","",SUM('Asset Allocation'!G48,'Asset Allocation'!M48,'Asset Allocation'!O48))</f>
        <v/>
      </c>
      <c r="G48" t="str">
        <f>IF(A48="","",SUM('Asset Allocation'!N48))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Allocation'!B49,'Asset Allocation'!C49,'Asset Allocation'!D49,'Asset Allocation'!E49,'Asset Allocation'!F49))</f>
        <v/>
      </c>
      <c r="C49" t="str">
        <f>IF(A49="","",SUM('Asset Allocation'!H49,'Asset Allocation'!I49,'Asset Allocation'!J49))</f>
        <v/>
      </c>
      <c r="D49" t="str">
        <f>IF(A49="","",SUM('Asset Allocation'!K49))</f>
        <v/>
      </c>
      <c r="E49" t="str">
        <f>IF(A49="","",SUM('Asset Allocation'!L49))</f>
        <v/>
      </c>
      <c r="F49" t="str">
        <f>IF(A49="","",SUM('Asset Allocation'!G49,'Asset Allocation'!M49,'Asset Allocation'!O49))</f>
        <v/>
      </c>
      <c r="G49" t="str">
        <f>IF(A49="","",SUM('Asset Allocation'!N49))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Allocation'!B50,'Asset Allocation'!C50,'Asset Allocation'!D50,'Asset Allocation'!E50,'Asset Allocation'!F50))</f>
        <v/>
      </c>
      <c r="C50" t="str">
        <f>IF(A50="","",SUM('Asset Allocation'!H50,'Asset Allocation'!I50,'Asset Allocation'!J50))</f>
        <v/>
      </c>
      <c r="D50" t="str">
        <f>IF(A50="","",SUM('Asset Allocation'!K50))</f>
        <v/>
      </c>
      <c r="E50" t="str">
        <f>IF(A50="","",SUM('Asset Allocation'!L50))</f>
        <v/>
      </c>
      <c r="F50" t="str">
        <f>IF(A50="","",SUM('Asset Allocation'!G50,'Asset Allocation'!M50,'Asset Allocation'!O50))</f>
        <v/>
      </c>
      <c r="G50" t="str">
        <f>IF(A50="","",SUM('Asset Allocation'!N50))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New Capital Strategic Portfolio UCITS Fund</v>
      </c>
      <c r="B2" s="6"/>
      <c r="C2" s="6">
        <f>IFERROR(IF(A2="","",SUM('Asset Allocation'!B2)/'Broad Asset Allocation'!B2),0)</f>
        <v>0.30024585125998771</v>
      </c>
      <c r="D2" s="6"/>
      <c r="E2" s="6"/>
      <c r="F2" s="6"/>
      <c r="G2" s="6">
        <f>IFERROR(IF(A2="","",SUM('Asset Allocation'!D2)/'Broad Asset Allocation'!B2),0)</f>
        <v>0</v>
      </c>
      <c r="H2" s="6">
        <f>IFERROR(IF(A2="","",SUM('Asset Allocation'!C2,'Asset Allocation'!E2,'Asset Allocation'!F2)/'Broad Asset Allocation'!B2),0)</f>
        <v>0.6997541487400124</v>
      </c>
    </row>
    <row r="3" spans="1:8" x14ac:dyDescent="0.25">
      <c r="A3" t="str">
        <f>IF(Input!A4="","",Input!A4)</f>
        <v>New Capital Global Balanced Fund</v>
      </c>
      <c r="B3" s="6"/>
      <c r="C3" s="6">
        <f>IFERROR(IF(A3="","",SUM('Asset Allocation'!B3)/'Broad Asset Allocation'!B3),0)</f>
        <v>0.41139999999999999</v>
      </c>
      <c r="D3" s="6"/>
      <c r="E3" s="6"/>
      <c r="F3" s="6"/>
      <c r="G3" s="6">
        <f>IFERROR(IF(A3="","",SUM('Asset Allocation'!D3)/'Broad Asset Allocation'!B3),0)</f>
        <v>6.6400000000000001E-2</v>
      </c>
      <c r="H3" s="6">
        <f>IFERROR(IF(A3="","",SUM('Asset Allocation'!C3,'Asset Allocation'!E3,'Asset Allocation'!F3)/'Broad Asset Allocation'!B3),0)</f>
        <v>0.5222</v>
      </c>
    </row>
    <row r="4" spans="1:8" x14ac:dyDescent="0.25">
      <c r="A4" t="str">
        <f>IF(Input!A5="","",Input!A5)</f>
        <v>New Capital Global Alpha Fund</v>
      </c>
      <c r="B4" s="6"/>
      <c r="C4" s="6">
        <f>IFERROR(IF(A4="","",SUM('Asset Allocation'!B4)/'Broad Asset Allocation'!B4),0)</f>
        <v>0.54349999999999998</v>
      </c>
      <c r="D4" s="6"/>
      <c r="E4" s="6"/>
      <c r="F4" s="6"/>
      <c r="G4" s="6">
        <f>IFERROR(IF(A4="","",SUM('Asset Allocation'!D4)/'Broad Asset Allocation'!B4),0)</f>
        <v>0.2011</v>
      </c>
      <c r="H4" s="6">
        <f>IFERROR(IF(A4="","",SUM('Asset Allocation'!C4,'Asset Allocation'!E4,'Asset Allocation'!F4)/'Broad Asset Allocation'!B4),0)</f>
        <v>0.25539999999999996</v>
      </c>
    </row>
    <row r="5" spans="1:8" x14ac:dyDescent="0.25">
      <c r="A5" t="str">
        <f>IF(Input!A6="","",Input!A6)</f>
        <v/>
      </c>
      <c r="B5" s="6"/>
      <c r="C5" s="6" t="str">
        <f>IFERROR(IF(A5="","",SUM('Asset Allocation'!B5)/'Broad Asset Allocation'!B5),0)</f>
        <v/>
      </c>
      <c r="D5" s="6"/>
      <c r="E5" s="6"/>
      <c r="F5" s="6"/>
      <c r="G5" s="6" t="str">
        <f>IFERROR(IF(A5="","",SUM('Asset Allocation'!D5)/'Broad Asset Allocation'!B5),0)</f>
        <v/>
      </c>
      <c r="H5" s="6" t="str">
        <f>IFERROR(IF(A5="","",SUM('Asset Allocation'!C5,'Asset Allocation'!E5,'Asset Allocation'!F5)/'Broad Asset Allocation'!B5),0)</f>
        <v/>
      </c>
    </row>
    <row r="6" spans="1:8" x14ac:dyDescent="0.25">
      <c r="A6" t="str">
        <f>IF(Input!A7="","",Input!A7)</f>
        <v/>
      </c>
      <c r="B6" s="6"/>
      <c r="C6" s="6" t="str">
        <f>IFERROR(IF(A6="","",SUM('Asset Allocation'!B6)/'Broad Asset Allocation'!B6),0)</f>
        <v/>
      </c>
      <c r="D6" s="6"/>
      <c r="E6" s="6"/>
      <c r="F6" s="6"/>
      <c r="G6" s="6" t="str">
        <f>IFERROR(IF(A6="","",SUM('Asset Allocation'!D6)/'Broad Asset Allocation'!B6),0)</f>
        <v/>
      </c>
      <c r="H6" s="6" t="str">
        <f>IFERROR(IF(A6="","",SUM('Asset Allocation'!C6,'Asset Allocation'!E6,'Asset Allocation'!F6)/'Broad Asset Allocation'!B6),0)</f>
        <v/>
      </c>
    </row>
    <row r="7" spans="1:8" x14ac:dyDescent="0.25">
      <c r="A7" t="str">
        <f>IF(Input!A8="","",Input!A8)</f>
        <v/>
      </c>
      <c r="B7" s="6"/>
      <c r="C7" s="6" t="str">
        <f>IFERROR(IF(A7="","",SUM('Asset Allocation'!B7)/'Broad Asset Allocation'!B7),0)</f>
        <v/>
      </c>
      <c r="D7" s="6"/>
      <c r="E7" s="6"/>
      <c r="F7" s="6"/>
      <c r="G7" s="6" t="str">
        <f>IFERROR(IF(A7="","",SUM('Asset Allocation'!D7)/'Broad Asset Allocation'!B7),0)</f>
        <v/>
      </c>
      <c r="H7" s="6" t="str">
        <f>IFERROR(IF(A7="","",SUM('Asset Allocation'!C7,'Asset Allocation'!E7,'Asset Allocation'!F7)/'Broad Asset Allocation'!B7),0)</f>
        <v/>
      </c>
    </row>
    <row r="8" spans="1:8" x14ac:dyDescent="0.25">
      <c r="A8" t="str">
        <f>IF(Input!A9="","",Input!A9)</f>
        <v/>
      </c>
      <c r="B8" s="6"/>
      <c r="C8" s="6" t="str">
        <f>IFERROR(IF(A8="","",SUM('Asset Allocation'!B8)/'Broad Asset Allocation'!B8),0)</f>
        <v/>
      </c>
      <c r="D8" s="6"/>
      <c r="E8" s="6"/>
      <c r="F8" s="6"/>
      <c r="G8" s="6" t="str">
        <f>IFERROR(IF(A8="","",SUM('Asset Allocation'!D8)/'Broad Asset Allocation'!B8),0)</f>
        <v/>
      </c>
      <c r="H8" s="6" t="str">
        <f>IFERROR(IF(A8="","",SUM('Asset Allocation'!C8,'Asset Allocation'!E8,'Asset Allocation'!F8)/'Broad Asset Allocation'!B8),0)</f>
        <v/>
      </c>
    </row>
    <row r="9" spans="1:8" x14ac:dyDescent="0.25">
      <c r="A9" t="str">
        <f>IF(Input!A10="","",Input!A10)</f>
        <v/>
      </c>
      <c r="B9" s="6"/>
      <c r="C9" s="6" t="str">
        <f>IFERROR(IF(A9="","",SUM('Asset Allocation'!B9)/'Broad Asset Allocation'!B9),0)</f>
        <v/>
      </c>
      <c r="D9" s="6"/>
      <c r="E9" s="6"/>
      <c r="F9" s="6"/>
      <c r="G9" s="6" t="str">
        <f>IFERROR(IF(A9="","",SUM('Asset Allocation'!D9)/'Broad Asset Allocation'!B9),0)</f>
        <v/>
      </c>
      <c r="H9" s="6" t="str">
        <f>IFERROR(IF(A9="","",SUM('Asset Allocation'!C9,'Asset Allocation'!E9,'Asset Allocation'!F9)/'Broad Asset Allocation'!B9),0)</f>
        <v/>
      </c>
    </row>
    <row r="10" spans="1:8" x14ac:dyDescent="0.25">
      <c r="A10" t="str">
        <f>IF(Input!A11="","",Input!A11)</f>
        <v/>
      </c>
      <c r="B10" s="6"/>
      <c r="C10" s="6" t="str">
        <f>IFERROR(IF(A10="","",SUM('Asset Allocation'!B10)/'Broad Asset Allocation'!B10),0)</f>
        <v/>
      </c>
      <c r="D10" s="6"/>
      <c r="E10" s="6"/>
      <c r="F10" s="6"/>
      <c r="G10" s="6" t="str">
        <f>IFERROR(IF(A10="","",SUM('Asset Allocation'!D10)/'Broad Asset Allocation'!B10),0)</f>
        <v/>
      </c>
      <c r="H10" s="6" t="str">
        <f>IFERROR(IF(A10="","",SUM('Asset Allocation'!C10,'Asset Allocation'!E10,'Asset Allocation'!F10)/'Broad Asset Allocation'!B10),0)</f>
        <v/>
      </c>
    </row>
    <row r="11" spans="1:8" x14ac:dyDescent="0.25">
      <c r="A11" t="str">
        <f>IF(Input!A12="","",Input!A12)</f>
        <v/>
      </c>
      <c r="B11" s="6"/>
      <c r="C11" s="6" t="str">
        <f>IFERROR(IF(A11="","",SUM('Asset Allocation'!B11)/'Broad Asset Allocation'!B11),0)</f>
        <v/>
      </c>
      <c r="D11" s="6"/>
      <c r="E11" s="6"/>
      <c r="F11" s="6"/>
      <c r="G11" s="6" t="str">
        <f>IFERROR(IF(A11="","",SUM('Asset Allocation'!D11)/'Broad Asset Allocation'!B11),0)</f>
        <v/>
      </c>
      <c r="H11" s="6" t="str">
        <f>IFERROR(IF(A11="","",SUM('Asset Allocation'!C11,'Asset Allocation'!E11,'Asset Allocation'!F11)/'Broad Asset Allocation'!B11),0)</f>
        <v/>
      </c>
    </row>
    <row r="12" spans="1:8" x14ac:dyDescent="0.25">
      <c r="A12" t="str">
        <f>IF(Input!A13="","",Input!A13)</f>
        <v/>
      </c>
      <c r="B12" s="6"/>
      <c r="C12" s="6" t="str">
        <f>IFERROR(IF(A12="","",SUM('Asset Allocation'!B12)/'Broad Asset Allocation'!B12),0)</f>
        <v/>
      </c>
      <c r="D12" s="6"/>
      <c r="E12" s="6"/>
      <c r="F12" s="6"/>
      <c r="G12" s="6" t="str">
        <f>IFERROR(IF(A12="","",SUM('Asset Allocation'!D12)/'Broad Asset Allocation'!B12),0)</f>
        <v/>
      </c>
      <c r="H12" s="6" t="str">
        <f>IFERROR(IF(A12="","",SUM('Asset Allocation'!C12,'Asset Allocation'!E12,'Asset Allocation'!F12)/'Broad Asset Allocation'!B12),0)</f>
        <v/>
      </c>
    </row>
    <row r="13" spans="1:8" x14ac:dyDescent="0.25">
      <c r="A13" t="str">
        <f>IF(Input!A14="","",Input!A14)</f>
        <v/>
      </c>
      <c r="B13" s="6"/>
      <c r="C13" s="6" t="str">
        <f>IFERROR(IF(A13="","",SUM('Asset Allocation'!B13)/'Broad Asset Allocation'!B13),0)</f>
        <v/>
      </c>
      <c r="D13" s="6"/>
      <c r="E13" s="6"/>
      <c r="F13" s="6"/>
      <c r="G13" s="6" t="str">
        <f>IFERROR(IF(A13="","",SUM('Asset Allocation'!D13)/'Broad Asset Allocation'!B13),0)</f>
        <v/>
      </c>
      <c r="H13" s="6" t="str">
        <f>IFERROR(IF(A13="","",SUM('Asset Allocation'!C13,'Asset Allocation'!E13,'Asset Allocation'!F13)/'Broad Asset Allocation'!B13),0)</f>
        <v/>
      </c>
    </row>
    <row r="14" spans="1:8" x14ac:dyDescent="0.25">
      <c r="A14" t="str">
        <f>IF(Input!A15="","",Input!A15)</f>
        <v/>
      </c>
      <c r="B14" s="6"/>
      <c r="C14" s="6" t="str">
        <f>IFERROR(IF(A14="","",SUM('Asset Allocation'!B14)/'Broad Asset Allocation'!B14),0)</f>
        <v/>
      </c>
      <c r="D14" s="6"/>
      <c r="E14" s="6"/>
      <c r="F14" s="6"/>
      <c r="G14" s="6" t="str">
        <f>IFERROR(IF(A14="","",SUM('Asset Allocation'!D14)/'Broad Asset Allocation'!B14),0)</f>
        <v/>
      </c>
      <c r="H14" s="6" t="str">
        <f>IFERROR(IF(A14="","",SUM('Asset Allocation'!C14,'Asset Allocation'!E14,'Asset Allocation'!F14)/'Broad Asset Allocation'!B14),0)</f>
        <v/>
      </c>
    </row>
    <row r="15" spans="1:8" x14ac:dyDescent="0.25">
      <c r="A15" t="str">
        <f>IF(Input!A16="","",Input!A16)</f>
        <v/>
      </c>
      <c r="B15" s="6"/>
      <c r="C15" s="6" t="str">
        <f>IFERROR(IF(A15="","",SUM('Asset Allocation'!B15)/'Broad Asset Allocation'!B15),0)</f>
        <v/>
      </c>
      <c r="D15" s="6"/>
      <c r="E15" s="6"/>
      <c r="F15" s="6"/>
      <c r="G15" s="6" t="str">
        <f>IFERROR(IF(A15="","",SUM('Asset Allocation'!D15)/'Broad Asset Allocation'!B15),0)</f>
        <v/>
      </c>
      <c r="H15" s="6" t="str">
        <f>IFERROR(IF(A15="","",SUM('Asset Allocation'!C15,'Asset Allocation'!E15,'Asset Allocation'!F15)/'Broad Asset Allocation'!B15),0)</f>
        <v/>
      </c>
    </row>
    <row r="16" spans="1:8" x14ac:dyDescent="0.25">
      <c r="A16" t="str">
        <f>IF(Input!A17="","",Input!A17)</f>
        <v/>
      </c>
      <c r="B16" s="6"/>
      <c r="C16" s="6" t="str">
        <f>IFERROR(IF(A16="","",SUM('Asset Allocation'!B16)/'Broad Asset Allocation'!B16),0)</f>
        <v/>
      </c>
      <c r="D16" s="6"/>
      <c r="E16" s="6"/>
      <c r="F16" s="6"/>
      <c r="G16" s="6" t="str">
        <f>IFERROR(IF(A16="","",SUM('Asset Allocation'!D16)/'Broad Asset Allocation'!B16),0)</f>
        <v/>
      </c>
      <c r="H16" s="6" t="str">
        <f>IFERROR(IF(A16="","",SUM('Asset Allocation'!C16,'Asset Allocation'!E16,'Asset Allocation'!F16)/'Broad Asset Allocation'!B16),0)</f>
        <v/>
      </c>
    </row>
    <row r="17" spans="1:8" x14ac:dyDescent="0.25">
      <c r="A17" t="str">
        <f>IF(Input!A18="","",Input!A18)</f>
        <v/>
      </c>
      <c r="B17" s="6"/>
      <c r="C17" s="6" t="str">
        <f>IFERROR(IF(A17="","",SUM('Asset Allocation'!B17)/'Broad Asset Allocation'!B17),0)</f>
        <v/>
      </c>
      <c r="D17" s="6"/>
      <c r="E17" s="6"/>
      <c r="F17" s="6"/>
      <c r="G17" s="6" t="str">
        <f>IFERROR(IF(A17="","",SUM('Asset Allocation'!D17)/'Broad Asset Allocation'!B17),0)</f>
        <v/>
      </c>
      <c r="H17" s="6" t="str">
        <f>IFERROR(IF(A17="","",SUM('Asset Allocation'!C17,'Asset Allocation'!E17,'Asset Allocation'!F17)/'Broad Asset Allocation'!B17),0)</f>
        <v/>
      </c>
    </row>
    <row r="18" spans="1:8" x14ac:dyDescent="0.25">
      <c r="A18" t="str">
        <f>IF(Input!A19="","",Input!A19)</f>
        <v/>
      </c>
      <c r="B18" s="6"/>
      <c r="C18" s="6" t="str">
        <f>IFERROR(IF(A18="","",SUM('Asset Allocation'!B18)/'Broad Asset Allocation'!B18),0)</f>
        <v/>
      </c>
      <c r="D18" s="6"/>
      <c r="E18" s="6"/>
      <c r="F18" s="6"/>
      <c r="G18" s="6" t="str">
        <f>IFERROR(IF(A18="","",SUM('Asset Allocation'!D18)/'Broad Asset Allocation'!B18),0)</f>
        <v/>
      </c>
      <c r="H18" s="6" t="str">
        <f>IFERROR(IF(A18="","",SUM('Asset Allocation'!C18,'Asset Allocation'!E18,'Asset Allocation'!F18)/'Broad Asset Allocation'!B18),0)</f>
        <v/>
      </c>
    </row>
    <row r="19" spans="1:8" x14ac:dyDescent="0.25">
      <c r="A19" t="str">
        <f>IF(Input!A20="","",Input!A20)</f>
        <v/>
      </c>
      <c r="B19" s="6"/>
      <c r="C19" s="6" t="str">
        <f>IFERROR(IF(A19="","",SUM('Asset Allocation'!B19)/'Broad Asset Allocation'!B19),0)</f>
        <v/>
      </c>
      <c r="D19" s="6"/>
      <c r="E19" s="6"/>
      <c r="F19" s="6"/>
      <c r="G19" s="6" t="str">
        <f>IFERROR(IF(A19="","",SUM('Asset Allocation'!D19)/'Broad Asset Allocation'!B19),0)</f>
        <v/>
      </c>
      <c r="H19" s="6" t="str">
        <f>IFERROR(IF(A19="","",SUM('Asset Allocation'!C19,'Asset Allocation'!E19,'Asset Allocation'!F19)/'Broad Asset Allocation'!B19),0)</f>
        <v/>
      </c>
    </row>
    <row r="20" spans="1:8" x14ac:dyDescent="0.25">
      <c r="A20" t="str">
        <f>IF(Input!A21="","",Input!A21)</f>
        <v/>
      </c>
      <c r="B20" s="6"/>
      <c r="C20" s="6" t="str">
        <f>IFERROR(IF(A20="","",SUM('Asset Allocation'!B20)/'Broad Asset Allocation'!B20),0)</f>
        <v/>
      </c>
      <c r="D20" s="6"/>
      <c r="E20" s="6"/>
      <c r="F20" s="6"/>
      <c r="G20" s="6" t="str">
        <f>IFERROR(IF(A20="","",SUM('Asset Allocation'!D20)/'Broad Asset Allocation'!B20),0)</f>
        <v/>
      </c>
      <c r="H20" s="6" t="str">
        <f>IFERROR(IF(A20="","",SUM('Asset Allocation'!C20,'Asset Allocation'!E20,'Asset Allocation'!F20)/'Broad Asset Allocation'!B20),0)</f>
        <v/>
      </c>
    </row>
    <row r="21" spans="1:8" x14ac:dyDescent="0.25">
      <c r="A21" t="str">
        <f>IF(Input!A22="","",Input!A22)</f>
        <v/>
      </c>
      <c r="B21" s="6"/>
      <c r="C21" s="6" t="str">
        <f>IFERROR(IF(A21="","",SUM('Asset Allocation'!B21)/'Broad Asset Allocation'!B21),0)</f>
        <v/>
      </c>
      <c r="D21" s="6"/>
      <c r="E21" s="6"/>
      <c r="F21" s="6"/>
      <c r="G21" s="6" t="str">
        <f>IFERROR(IF(A21="","",SUM('Asset Allocation'!D21)/'Broad Asset Allocation'!B21),0)</f>
        <v/>
      </c>
      <c r="H21" s="6" t="str">
        <f>IFERROR(IF(A21="","",SUM('Asset Allocation'!C21,'Asset Allocation'!E21,'Asset Allocation'!F21)/'Broad Asset Allocation'!B21),0)</f>
        <v/>
      </c>
    </row>
    <row r="22" spans="1:8" x14ac:dyDescent="0.25">
      <c r="A22" t="str">
        <f>IF(Input!A23="","",Input!A23)</f>
        <v/>
      </c>
      <c r="B22" s="6"/>
      <c r="C22" s="6" t="str">
        <f>IFERROR(IF(A22="","",SUM('Asset Allocation'!B22)/'Broad Asset Allocation'!B22),0)</f>
        <v/>
      </c>
      <c r="D22" s="6"/>
      <c r="E22" s="6"/>
      <c r="F22" s="6"/>
      <c r="G22" s="6" t="str">
        <f>IFERROR(IF(A22="","",SUM('Asset Allocation'!D22)/'Broad Asset Allocation'!B22),0)</f>
        <v/>
      </c>
      <c r="H22" s="6" t="str">
        <f>IFERROR(IF(A22="","",SUM('Asset Allocation'!C22,'Asset Allocation'!E22,'Asset Allocation'!F22)/'Broad Asset Allocation'!B22),0)</f>
        <v/>
      </c>
    </row>
    <row r="23" spans="1:8" x14ac:dyDescent="0.25">
      <c r="A23" t="str">
        <f>IF(Input!A24="","",Input!A24)</f>
        <v/>
      </c>
      <c r="B23" s="6"/>
      <c r="C23" s="6" t="str">
        <f>IFERROR(IF(A23="","",SUM('Asset Allocation'!B23)/'Broad Asset Allocation'!B23),0)</f>
        <v/>
      </c>
      <c r="D23" s="6"/>
      <c r="E23" s="6"/>
      <c r="F23" s="6"/>
      <c r="G23" s="6" t="str">
        <f>IFERROR(IF(A23="","",SUM('Asset Allocation'!D23)/'Broad Asset Allocation'!B23),0)</f>
        <v/>
      </c>
      <c r="H23" s="6" t="str">
        <f>IFERROR(IF(A23="","",SUM('Asset Allocation'!C23,'Asset Allocation'!E23,'Asset Allocation'!F23)/'Broad Asset Allocation'!B23),0)</f>
        <v/>
      </c>
    </row>
    <row r="24" spans="1:8" x14ac:dyDescent="0.25">
      <c r="A24" t="str">
        <f>IF(Input!A25="","",Input!A25)</f>
        <v/>
      </c>
      <c r="B24" s="6"/>
      <c r="C24" s="6" t="str">
        <f>IFERROR(IF(A24="","",SUM('Asset Allocation'!B24)/'Broad Asset Allocation'!B24),0)</f>
        <v/>
      </c>
      <c r="D24" s="6"/>
      <c r="E24" s="6"/>
      <c r="F24" s="6"/>
      <c r="G24" s="6" t="str">
        <f>IFERROR(IF(A24="","",SUM('Asset Allocation'!D24)/'Broad Asset Allocation'!B24),0)</f>
        <v/>
      </c>
      <c r="H24" s="6" t="str">
        <f>IFERROR(IF(A24="","",SUM('Asset Allocation'!C24,'Asset Allocation'!E24,'Asset Allocation'!F24)/'Broad Asset Allocation'!B24),0)</f>
        <v/>
      </c>
    </row>
    <row r="25" spans="1:8" x14ac:dyDescent="0.25">
      <c r="A25" t="str">
        <f>IF(Input!A26="","",Input!A26)</f>
        <v/>
      </c>
      <c r="B25" s="6"/>
      <c r="C25" s="6" t="str">
        <f>IFERROR(IF(A25="","",SUM('Asset Allocation'!B25)/'Broad Asset Allocation'!B25),0)</f>
        <v/>
      </c>
      <c r="D25" s="6"/>
      <c r="E25" s="6"/>
      <c r="F25" s="6"/>
      <c r="G25" s="6" t="str">
        <f>IFERROR(IF(A25="","",SUM('Asset Allocation'!D25)/'Broad Asset Allocation'!B25),0)</f>
        <v/>
      </c>
      <c r="H25" s="6" t="str">
        <f>IFERROR(IF(A25="","",SUM('Asset Allocation'!C25,'Asset Allocation'!E25,'Asset Allocation'!F25)/'Broad Asset Allocation'!B25),0)</f>
        <v/>
      </c>
    </row>
    <row r="26" spans="1:8" x14ac:dyDescent="0.25">
      <c r="A26" t="str">
        <f>IF(Input!A27="","",Input!A27)</f>
        <v/>
      </c>
      <c r="B26" s="6"/>
      <c r="C26" s="6" t="str">
        <f>IFERROR(IF(A26="","",SUM('Asset Allocation'!B26)/'Broad Asset Allocation'!B26),0)</f>
        <v/>
      </c>
      <c r="D26" s="6"/>
      <c r="E26" s="6"/>
      <c r="F26" s="6"/>
      <c r="G26" s="6" t="str">
        <f>IFERROR(IF(A26="","",SUM('Asset Allocation'!D26)/'Broad Asset Allocation'!B26),0)</f>
        <v/>
      </c>
      <c r="H26" s="6" t="str">
        <f>IFERROR(IF(A26="","",SUM('Asset Allocation'!C26,'Asset Allocation'!E26,'Asset Allocation'!F26)/'Broad Asset Allocation'!B26),0)</f>
        <v/>
      </c>
    </row>
    <row r="27" spans="1:8" x14ac:dyDescent="0.25">
      <c r="A27" t="str">
        <f>IF(Input!A28="","",Input!A28)</f>
        <v/>
      </c>
      <c r="B27" s="6"/>
      <c r="C27" s="6" t="str">
        <f>IFERROR(IF(A27="","",SUM('Asset Allocation'!B27)/'Broad Asset Allocation'!B27),0)</f>
        <v/>
      </c>
      <c r="D27" s="6"/>
      <c r="E27" s="6"/>
      <c r="F27" s="6"/>
      <c r="G27" s="6" t="str">
        <f>IFERROR(IF(A27="","",SUM('Asset Allocation'!D27)/'Broad Asset Allocation'!B27),0)</f>
        <v/>
      </c>
      <c r="H27" s="6" t="str">
        <f>IFERROR(IF(A27="","",SUM('Asset Allocation'!C27,'Asset Allocation'!E27,'Asset Allocation'!F27)/'Broad Asset Allocation'!B27),0)</f>
        <v/>
      </c>
    </row>
    <row r="28" spans="1:8" x14ac:dyDescent="0.25">
      <c r="A28" t="str">
        <f>IF(Input!A29="","",Input!A29)</f>
        <v/>
      </c>
      <c r="B28" s="6"/>
      <c r="C28" s="6" t="str">
        <f>IFERROR(IF(A28="","",SUM('Asset Allocation'!B28)/'Broad Asset Allocation'!B28),0)</f>
        <v/>
      </c>
      <c r="D28" s="6"/>
      <c r="E28" s="6"/>
      <c r="F28" s="6"/>
      <c r="G28" s="6" t="str">
        <f>IFERROR(IF(A28="","",SUM('Asset Allocation'!D28)/'Broad Asset Allocation'!B28),0)</f>
        <v/>
      </c>
      <c r="H28" s="6" t="str">
        <f>IFERROR(IF(A28="","",SUM('Asset Allocation'!C28,'Asset Allocation'!E28,'Asset Allocation'!F28)/'Broad Asset Allocation'!B28),0)</f>
        <v/>
      </c>
    </row>
    <row r="29" spans="1:8" x14ac:dyDescent="0.25">
      <c r="A29" t="str">
        <f>IF(Input!A30="","",Input!A30)</f>
        <v/>
      </c>
      <c r="B29" s="6"/>
      <c r="C29" s="6" t="str">
        <f>IFERROR(IF(A29="","",SUM('Asset Allocation'!B29)/'Broad Asset Allocation'!B29),0)</f>
        <v/>
      </c>
      <c r="D29" s="6"/>
      <c r="E29" s="6"/>
      <c r="F29" s="6"/>
      <c r="G29" s="6" t="str">
        <f>IFERROR(IF(A29="","",SUM('Asset Allocation'!D29)/'Broad Asset Allocation'!B29),0)</f>
        <v/>
      </c>
      <c r="H29" s="6" t="str">
        <f>IFERROR(IF(A29="","",SUM('Asset Allocation'!C29,'Asset Allocation'!E29,'Asset Allocation'!F29)/'Broad Asset Allocation'!B29),0)</f>
        <v/>
      </c>
    </row>
    <row r="30" spans="1:8" x14ac:dyDescent="0.25">
      <c r="A30" t="str">
        <f>IF(Input!A31="","",Input!A31)</f>
        <v/>
      </c>
      <c r="B30" s="6"/>
      <c r="C30" s="6" t="str">
        <f>IFERROR(IF(A30="","",SUM('Asset Allocation'!B30)/'Broad Asset Allocation'!B30),0)</f>
        <v/>
      </c>
      <c r="D30" s="6"/>
      <c r="E30" s="6"/>
      <c r="F30" s="6"/>
      <c r="G30" s="6" t="str">
        <f>IFERROR(IF(A30="","",SUM('Asset Allocation'!D30)/'Broad Asset Allocation'!B30),0)</f>
        <v/>
      </c>
      <c r="H30" s="6" t="str">
        <f>IFERROR(IF(A30="","",SUM('Asset Allocation'!C30,'Asset Allocation'!E30,'Asset Allocation'!F30)/'Broad Asset Allocation'!B30),0)</f>
        <v/>
      </c>
    </row>
    <row r="31" spans="1:8" x14ac:dyDescent="0.25">
      <c r="A31" t="str">
        <f>IF(Input!A32="","",Input!A32)</f>
        <v/>
      </c>
      <c r="B31" s="6"/>
      <c r="C31" s="6" t="str">
        <f>IFERROR(IF(A31="","",SUM('Asset Allocation'!B31)/'Broad Asset Allocation'!B31),0)</f>
        <v/>
      </c>
      <c r="D31" s="6"/>
      <c r="E31" s="6"/>
      <c r="F31" s="6"/>
      <c r="G31" s="6" t="str">
        <f>IFERROR(IF(A31="","",SUM('Asset Allocation'!D31)/'Broad Asset Allocation'!B31),0)</f>
        <v/>
      </c>
      <c r="H31" s="6" t="str">
        <f>IFERROR(IF(A31="","",SUM('Asset Allocation'!C31,'Asset Allocation'!E31,'Asset Allocation'!F31)/'Broad Asset Allocation'!B31),0)</f>
        <v/>
      </c>
    </row>
    <row r="32" spans="1:8" x14ac:dyDescent="0.25">
      <c r="A32" t="str">
        <f>IF(Input!A33="","",Input!A33)</f>
        <v/>
      </c>
      <c r="B32" s="6"/>
      <c r="C32" s="6" t="str">
        <f>IFERROR(IF(A32="","",SUM('Asset Allocation'!B32)/'Broad Asset Allocation'!B32),0)</f>
        <v/>
      </c>
      <c r="D32" s="6"/>
      <c r="E32" s="6"/>
      <c r="F32" s="6"/>
      <c r="G32" s="6" t="str">
        <f>IFERROR(IF(A32="","",SUM('Asset Allocation'!D32)/'Broad Asset Allocation'!B32),0)</f>
        <v/>
      </c>
      <c r="H32" s="6" t="str">
        <f>IFERROR(IF(A32="","",SUM('Asset Allocation'!C32,'Asset Allocation'!E32,'Asset Allocation'!F32)/'Broad Asset Allocation'!B32),0)</f>
        <v/>
      </c>
    </row>
    <row r="33" spans="1:8" x14ac:dyDescent="0.25">
      <c r="A33" t="str">
        <f>IF(Input!A34="","",Input!A34)</f>
        <v/>
      </c>
      <c r="B33" s="6"/>
      <c r="C33" s="6" t="str">
        <f>IFERROR(IF(A33="","",SUM('Asset Allocation'!B33)/'Broad Asset Allocation'!B33),0)</f>
        <v/>
      </c>
      <c r="D33" s="6"/>
      <c r="E33" s="6"/>
      <c r="F33" s="6"/>
      <c r="G33" s="6" t="str">
        <f>IFERROR(IF(A33="","",SUM('Asset Allocation'!D33)/'Broad Asset Allocation'!B33),0)</f>
        <v/>
      </c>
      <c r="H33" s="6" t="str">
        <f>IFERROR(IF(A33="","",SUM('Asset Allocation'!C33,'Asset Allocation'!E33,'Asset Allocation'!F33)/'Broad Asset Allocation'!B33),0)</f>
        <v/>
      </c>
    </row>
    <row r="34" spans="1:8" x14ac:dyDescent="0.25">
      <c r="A34" t="str">
        <f>IF(Input!A35="","",Input!A35)</f>
        <v/>
      </c>
      <c r="B34" s="6"/>
      <c r="C34" s="6" t="str">
        <f>IFERROR(IF(A34="","",SUM('Asset Allocation'!B34)/'Broad Asset Allocation'!B34),0)</f>
        <v/>
      </c>
      <c r="D34" s="6"/>
      <c r="E34" s="6"/>
      <c r="F34" s="6"/>
      <c r="G34" s="6" t="str">
        <f>IFERROR(IF(A34="","",SUM('Asset Allocation'!D34)/'Broad Asset Allocation'!B34),0)</f>
        <v/>
      </c>
      <c r="H34" s="6" t="str">
        <f>IFERROR(IF(A34="","",SUM('Asset Allocation'!C34,'Asset Allocation'!E34,'Asset Allocation'!F34)/'Broad Asset Allocation'!B34),0)</f>
        <v/>
      </c>
    </row>
    <row r="35" spans="1:8" x14ac:dyDescent="0.25">
      <c r="A35" t="str">
        <f>IF(Input!A36="","",Input!A36)</f>
        <v/>
      </c>
      <c r="B35" s="6"/>
      <c r="C35" s="6" t="str">
        <f>IFERROR(IF(A35="","",SUM('Asset Allocation'!B35)/'Broad Asset Allocation'!B35),0)</f>
        <v/>
      </c>
      <c r="D35" s="6"/>
      <c r="E35" s="6"/>
      <c r="F35" s="6"/>
      <c r="G35" s="6" t="str">
        <f>IFERROR(IF(A35="","",SUM('Asset Allocation'!D35)/'Broad Asset Allocation'!B35),0)</f>
        <v/>
      </c>
      <c r="H35" s="6" t="str">
        <f>IFERROR(IF(A35="","",SUM('Asset Allocation'!C35,'Asset Allocation'!E35,'Asset Allocation'!F35)/'Broad Asset Allocation'!B35),0)</f>
        <v/>
      </c>
    </row>
    <row r="36" spans="1:8" x14ac:dyDescent="0.25">
      <c r="A36" t="str">
        <f>IF(Input!A37="","",Input!A37)</f>
        <v/>
      </c>
      <c r="B36" s="6"/>
      <c r="C36" s="6" t="str">
        <f>IFERROR(IF(A36="","",SUM('Asset Allocation'!B36)/'Broad Asset Allocation'!B36),0)</f>
        <v/>
      </c>
      <c r="D36" s="6"/>
      <c r="E36" s="6"/>
      <c r="F36" s="6"/>
      <c r="G36" s="6" t="str">
        <f>IFERROR(IF(A36="","",SUM('Asset Allocation'!D36)/'Broad Asset Allocation'!B36),0)</f>
        <v/>
      </c>
      <c r="H36" s="6" t="str">
        <f>IFERROR(IF(A36="","",SUM('Asset Allocation'!C36,'Asset Allocation'!E36,'Asset Allocation'!F36)/'Broad Asset Allocation'!B36),0)</f>
        <v/>
      </c>
    </row>
    <row r="37" spans="1:8" x14ac:dyDescent="0.25">
      <c r="A37" t="str">
        <f>IF(Input!A38="","",Input!A38)</f>
        <v/>
      </c>
      <c r="B37" s="6"/>
      <c r="C37" s="6" t="str">
        <f>IFERROR(IF(A37="","",SUM('Asset Allocation'!B37)/'Broad Asset Allocation'!B37),0)</f>
        <v/>
      </c>
      <c r="D37" s="6"/>
      <c r="E37" s="6"/>
      <c r="F37" s="6"/>
      <c r="G37" s="6" t="str">
        <f>IFERROR(IF(A37="","",SUM('Asset Allocation'!D37)/'Broad Asset Allocation'!B37),0)</f>
        <v/>
      </c>
      <c r="H37" s="6" t="str">
        <f>IFERROR(IF(A37="","",SUM('Asset Allocation'!C37,'Asset Allocation'!E37,'Asset Allocation'!F37)/'Broad Asset Allocation'!B37),0)</f>
        <v/>
      </c>
    </row>
    <row r="38" spans="1:8" x14ac:dyDescent="0.25">
      <c r="A38" t="str">
        <f>IF(Input!A39="","",Input!A39)</f>
        <v/>
      </c>
      <c r="B38" s="6"/>
      <c r="C38" s="6" t="str">
        <f>IFERROR(IF(A38="","",SUM('Asset Allocation'!B38)/'Broad Asset Allocation'!B38),0)</f>
        <v/>
      </c>
      <c r="D38" s="6"/>
      <c r="E38" s="6"/>
      <c r="F38" s="6"/>
      <c r="G38" s="6" t="str">
        <f>IFERROR(IF(A38="","",SUM('Asset Allocation'!D38)/'Broad Asset Allocation'!B38),0)</f>
        <v/>
      </c>
      <c r="H38" s="6" t="str">
        <f>IFERROR(IF(A38="","",SUM('Asset Allocation'!C38,'Asset Allocation'!E38,'Asset Allocation'!F38)/'Broad Asset Allocation'!B38),0)</f>
        <v/>
      </c>
    </row>
    <row r="39" spans="1:8" x14ac:dyDescent="0.25">
      <c r="A39" t="str">
        <f>IF(Input!A40="","",Input!A40)</f>
        <v/>
      </c>
      <c r="B39" s="6"/>
      <c r="C39" s="6" t="str">
        <f>IFERROR(IF(A39="","",SUM('Asset Allocation'!B39)/'Broad Asset Allocation'!B39),0)</f>
        <v/>
      </c>
      <c r="D39" s="6"/>
      <c r="E39" s="6"/>
      <c r="F39" s="6"/>
      <c r="G39" s="6" t="str">
        <f>IFERROR(IF(A39="","",SUM('Asset Allocation'!D39)/'Broad Asset Allocation'!B39),0)</f>
        <v/>
      </c>
      <c r="H39" s="6" t="str">
        <f>IFERROR(IF(A39="","",SUM('Asset Allocation'!C39,'Asset Allocation'!E39,'Asset Allocation'!F39)/'Broad Asset Allocation'!B39),0)</f>
        <v/>
      </c>
    </row>
    <row r="40" spans="1:8" x14ac:dyDescent="0.25">
      <c r="A40" t="str">
        <f>IF(Input!A41="","",Input!A41)</f>
        <v/>
      </c>
      <c r="B40" s="6"/>
      <c r="C40" s="6" t="str">
        <f>IFERROR(IF(A40="","",SUM('Asset Allocation'!B40)/'Broad Asset Allocation'!B40),0)</f>
        <v/>
      </c>
      <c r="D40" s="6"/>
      <c r="E40" s="6"/>
      <c r="F40" s="6"/>
      <c r="G40" s="6" t="str">
        <f>IFERROR(IF(A40="","",SUM('Asset Allocation'!D40)/'Broad Asset Allocation'!B40),0)</f>
        <v/>
      </c>
      <c r="H40" s="6" t="str">
        <f>IFERROR(IF(A40="","",SUM('Asset Allocation'!C40,'Asset Allocation'!E40,'Asset Allocation'!F40)/'Broad Asset Allocation'!B40),0)</f>
        <v/>
      </c>
    </row>
    <row r="41" spans="1:8" x14ac:dyDescent="0.25">
      <c r="A41" t="str">
        <f>IF(Input!A42="","",Input!A42)</f>
        <v/>
      </c>
      <c r="B41" s="6"/>
      <c r="C41" s="6" t="str">
        <f>IFERROR(IF(A41="","",SUM('Asset Allocation'!B41)/'Broad Asset Allocation'!B41),0)</f>
        <v/>
      </c>
      <c r="D41" s="6"/>
      <c r="E41" s="6"/>
      <c r="F41" s="6"/>
      <c r="G41" s="6" t="str">
        <f>IFERROR(IF(A41="","",SUM('Asset Allocation'!D41)/'Broad Asset Allocation'!B41),0)</f>
        <v/>
      </c>
      <c r="H41" s="6" t="str">
        <f>IFERROR(IF(A41="","",SUM('Asset Allocation'!C41,'Asset Allocation'!E41,'Asset Allocation'!F41)/'Broad Asset Allocation'!B41),0)</f>
        <v/>
      </c>
    </row>
    <row r="42" spans="1:8" x14ac:dyDescent="0.25">
      <c r="A42" t="str">
        <f>IF(Input!A43="","",Input!A43)</f>
        <v/>
      </c>
      <c r="B42" s="6"/>
      <c r="C42" s="6" t="str">
        <f>IFERROR(IF(A42="","",SUM('Asset Allocation'!B42)/'Broad Asset Allocation'!B42),0)</f>
        <v/>
      </c>
      <c r="D42" s="6"/>
      <c r="E42" s="6"/>
      <c r="F42" s="6"/>
      <c r="G42" s="6" t="str">
        <f>IFERROR(IF(A42="","",SUM('Asset Allocation'!D42)/'Broad Asset Allocation'!B42),0)</f>
        <v/>
      </c>
      <c r="H42" s="6" t="str">
        <f>IFERROR(IF(A42="","",SUM('Asset Allocation'!C42,'Asset Allocation'!E42,'Asset Allocation'!F42)/'Broad Asset Allocation'!B42),0)</f>
        <v/>
      </c>
    </row>
    <row r="43" spans="1:8" x14ac:dyDescent="0.25">
      <c r="A43" t="str">
        <f>IF(Input!A44="","",Input!A44)</f>
        <v/>
      </c>
      <c r="B43" s="6"/>
      <c r="C43" s="6" t="str">
        <f>IFERROR(IF(A43="","",SUM('Asset Allocation'!B43)/'Broad Asset Allocation'!B43),0)</f>
        <v/>
      </c>
      <c r="D43" s="6"/>
      <c r="E43" s="6"/>
      <c r="F43" s="6"/>
      <c r="G43" s="6" t="str">
        <f>IFERROR(IF(A43="","",SUM('Asset Allocation'!D43)/'Broad Asset Allocation'!B43),0)</f>
        <v/>
      </c>
      <c r="H43" s="6" t="str">
        <f>IFERROR(IF(A43="","",SUM('Asset Allocation'!C43,'Asset Allocation'!E43,'Asset Allocation'!F43)/'Broad Asset Allocation'!B43),0)</f>
        <v/>
      </c>
    </row>
    <row r="44" spans="1:8" x14ac:dyDescent="0.25">
      <c r="A44" t="str">
        <f>IF(Input!A45="","",Input!A45)</f>
        <v/>
      </c>
      <c r="B44" s="6"/>
      <c r="C44" s="6" t="str">
        <f>IFERROR(IF(A44="","",SUM('Asset Allocation'!B44)/'Broad Asset Allocation'!B44),0)</f>
        <v/>
      </c>
      <c r="D44" s="6"/>
      <c r="E44" s="6"/>
      <c r="F44" s="6"/>
      <c r="G44" s="6" t="str">
        <f>IFERROR(IF(A44="","",SUM('Asset Allocation'!D44)/'Broad Asset Allocation'!B44),0)</f>
        <v/>
      </c>
      <c r="H44" s="6" t="str">
        <f>IFERROR(IF(A44="","",SUM('Asset Allocation'!C44,'Asset Allocation'!E44,'Asset Allocation'!F44)/'Broad Asset Allocation'!B44),0)</f>
        <v/>
      </c>
    </row>
    <row r="45" spans="1:8" x14ac:dyDescent="0.25">
      <c r="A45" t="str">
        <f>IF(Input!A46="","",Input!A46)</f>
        <v/>
      </c>
      <c r="B45" s="6"/>
      <c r="C45" s="6" t="str">
        <f>IFERROR(IF(A45="","",SUM('Asset Allocation'!B45)/'Broad Asset Allocation'!B45),0)</f>
        <v/>
      </c>
      <c r="D45" s="6"/>
      <c r="E45" s="6"/>
      <c r="F45" s="6"/>
      <c r="G45" s="6" t="str">
        <f>IFERROR(IF(A45="","",SUM('Asset Allocation'!D45)/'Broad Asset Allocation'!B45),0)</f>
        <v/>
      </c>
      <c r="H45" s="6" t="str">
        <f>IFERROR(IF(A45="","",SUM('Asset Allocation'!C45,'Asset Allocation'!E45,'Asset Allocation'!F45)/'Broad Asset Allocation'!B45),0)</f>
        <v/>
      </c>
    </row>
    <row r="46" spans="1:8" x14ac:dyDescent="0.25">
      <c r="A46" t="str">
        <f>IF(Input!A47="","",Input!A47)</f>
        <v/>
      </c>
      <c r="B46" s="6"/>
      <c r="C46" s="6" t="str">
        <f>IFERROR(IF(A46="","",SUM('Asset Allocation'!B46)/'Broad Asset Allocation'!B46),0)</f>
        <v/>
      </c>
      <c r="D46" s="6"/>
      <c r="E46" s="6"/>
      <c r="F46" s="6"/>
      <c r="G46" s="6" t="str">
        <f>IFERROR(IF(A46="","",SUM('Asset Allocation'!D46)/'Broad Asset Allocation'!B46),0)</f>
        <v/>
      </c>
      <c r="H46" s="6" t="str">
        <f>IFERROR(IF(A46="","",SUM('Asset Allocation'!C46,'Asset Allocation'!E46,'Asset Allocation'!F46)/'Broad Asset Allocation'!B46),0)</f>
        <v/>
      </c>
    </row>
    <row r="47" spans="1:8" x14ac:dyDescent="0.25">
      <c r="A47" t="str">
        <f>IF(Input!A48="","",Input!A48)</f>
        <v/>
      </c>
      <c r="B47" s="6"/>
      <c r="C47" s="6" t="str">
        <f>IFERROR(IF(A47="","",SUM('Asset Allocation'!B47)/'Broad Asset Allocation'!B47),0)</f>
        <v/>
      </c>
      <c r="D47" s="6"/>
      <c r="E47" s="6"/>
      <c r="F47" s="6"/>
      <c r="G47" s="6" t="str">
        <f>IFERROR(IF(A47="","",SUM('Asset Allocation'!D47)/'Broad Asset Allocation'!B47),0)</f>
        <v/>
      </c>
      <c r="H47" s="6" t="str">
        <f>IFERROR(IF(A47="","",SUM('Asset Allocation'!C47,'Asset Allocation'!E47,'Asset Allocation'!F47)/'Broad Asset Allocation'!B47),0)</f>
        <v/>
      </c>
    </row>
    <row r="48" spans="1:8" x14ac:dyDescent="0.25">
      <c r="A48" t="str">
        <f>IF(Input!A49="","",Input!A49)</f>
        <v/>
      </c>
      <c r="B48" s="6"/>
      <c r="C48" s="6" t="str">
        <f>IFERROR(IF(A48="","",SUM('Asset Allocation'!B48)/'Broad Asset Allocation'!B48),0)</f>
        <v/>
      </c>
      <c r="D48" s="6"/>
      <c r="E48" s="6"/>
      <c r="F48" s="6"/>
      <c r="G48" s="6" t="str">
        <f>IFERROR(IF(A48="","",SUM('Asset Allocation'!D48)/'Broad Asset Allocation'!B48),0)</f>
        <v/>
      </c>
      <c r="H48" s="6" t="str">
        <f>IFERROR(IF(A48="","",SUM('Asset Allocation'!C48,'Asset Allocation'!E48,'Asset Allocation'!F48)/'Broad Asset Allocation'!B48),0)</f>
        <v/>
      </c>
    </row>
    <row r="49" spans="1:8" x14ac:dyDescent="0.25">
      <c r="A49" t="str">
        <f>IF(Input!A50="","",Input!A50)</f>
        <v/>
      </c>
      <c r="B49" s="6"/>
      <c r="C49" s="6" t="str">
        <f>IFERROR(IF(A49="","",SUM('Asset Allocation'!B49)/'Broad Asset Allocation'!B49),0)</f>
        <v/>
      </c>
      <c r="D49" s="6"/>
      <c r="E49" s="6"/>
      <c r="F49" s="6"/>
      <c r="G49" s="6" t="str">
        <f>IFERROR(IF(A49="","",SUM('Asset Allocation'!D49)/'Broad Asset Allocation'!B49),0)</f>
        <v/>
      </c>
      <c r="H49" s="6" t="str">
        <f>IFERROR(IF(A49="","",SUM('Asset Allocation'!C49,'Asset Allocation'!E49,'Asset Allocation'!F49)/'Broad Asset Allocation'!B49),0)</f>
        <v/>
      </c>
    </row>
    <row r="50" spans="1:8" x14ac:dyDescent="0.25">
      <c r="A50" t="str">
        <f>IF(Input!A51="","",Input!A51)</f>
        <v/>
      </c>
      <c r="B50" s="6"/>
      <c r="C50" s="6" t="str">
        <f>IFERROR(IF(A50="","",SUM('Asset Allocation'!B50)/'Broad Asset Allocation'!B50),0)</f>
        <v/>
      </c>
      <c r="D50" s="6"/>
      <c r="E50" s="6"/>
      <c r="F50" s="6"/>
      <c r="G50" s="6" t="str">
        <f>IFERROR(IF(A50="","",SUM('Asset Allocation'!D50)/'Broad Asset Allocation'!B50),0)</f>
        <v/>
      </c>
      <c r="H50" s="6" t="str">
        <f>IFERROR(IF(A50="","",SUM('Asset Allocation'!C50,'Asset Allocation'!E50,'Asset Allocation'!F50)/'Broad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25">
      <c r="A2" t="str">
        <f>IF(Input!A3="","",Input!A3)</f>
        <v>New Capital Strategic Portfolio UCITS Fund</v>
      </c>
      <c r="F2">
        <f>IFERROR(IF(A2="","",SUM('Asset Allocation'!J2)/'Broad Asset Allocation'!C2),0)</f>
        <v>0.15628069409582013</v>
      </c>
      <c r="H2">
        <f>IFERROR(IF(A2="","",SUM('Asset Allocation'!H2,'Asset Allocation'!I2)/'Broad Asset Allocation'!C2),0)</f>
        <v>0.84371930590417987</v>
      </c>
    </row>
    <row r="3" spans="1:8" x14ac:dyDescent="0.25">
      <c r="A3" t="str">
        <f>IF(Input!A4="","",Input!A4)</f>
        <v>New Capital Global Balanced Fund</v>
      </c>
      <c r="F3">
        <f>IFERROR(IF(A3="","",SUM('Asset Allocation'!J3)/'Broad Asset Allocation'!C3),0)</f>
        <v>0</v>
      </c>
      <c r="H3">
        <f>IFERROR(IF(A3="","",SUM('Asset Allocation'!H3,'Asset Allocation'!I3)/'Broad Asset Allocation'!C3),0)</f>
        <v>0</v>
      </c>
    </row>
    <row r="4" spans="1:8" x14ac:dyDescent="0.25">
      <c r="A4" t="str">
        <f>IF(Input!A5="","",Input!A5)</f>
        <v>New Capital Global Alpha Fund</v>
      </c>
      <c r="F4">
        <f>IFERROR(IF(A4="","",SUM('Asset Allocation'!J4)/'Broad Asset Allocation'!C4),0)</f>
        <v>0</v>
      </c>
      <c r="H4">
        <f>IFERROR(IF(A4="","",SUM('Asset Allocation'!H4,'Asset Allocation'!I4)/'Broad Asset Allocation'!C4),0)</f>
        <v>0</v>
      </c>
    </row>
    <row r="5" spans="1:8" x14ac:dyDescent="0.25">
      <c r="A5" t="str">
        <f>IF(Input!A6="","",Input!A6)</f>
        <v/>
      </c>
      <c r="F5" t="str">
        <f>IFERROR(IF(A5="","",SUM('Asset Allocation'!J5)/'Broad Asset Allocation'!C5),0)</f>
        <v/>
      </c>
      <c r="H5" t="str">
        <f>IFERROR(IF(A5="","",SUM('Asset Allocation'!H5,'Asset Allocation'!I5)/'Broad Asset Allocation'!C5),0)</f>
        <v/>
      </c>
    </row>
    <row r="6" spans="1:8" x14ac:dyDescent="0.25">
      <c r="A6" t="str">
        <f>IF(Input!A7="","",Input!A7)</f>
        <v/>
      </c>
      <c r="F6" t="str">
        <f>IFERROR(IF(A6="","",SUM('Asset Allocation'!J6)/'Broad Asset Allocation'!C6),0)</f>
        <v/>
      </c>
      <c r="H6" t="str">
        <f>IFERROR(IF(A6="","",SUM('Asset Allocation'!H6,'Asset Allocation'!I6)/'Broad Asset Allocation'!C6),0)</f>
        <v/>
      </c>
    </row>
    <row r="7" spans="1:8" x14ac:dyDescent="0.25">
      <c r="A7" t="str">
        <f>IF(Input!A8="","",Input!A8)</f>
        <v/>
      </c>
      <c r="F7" t="str">
        <f>IFERROR(IF(A7="","",SUM('Asset Allocation'!J7)/'Broad Asset Allocation'!C7),0)</f>
        <v/>
      </c>
      <c r="H7" t="str">
        <f>IFERROR(IF(A7="","",SUM('Asset Allocation'!H7,'Asset Allocation'!I7)/'Broad Asset Allocation'!C7),0)</f>
        <v/>
      </c>
    </row>
    <row r="8" spans="1:8" x14ac:dyDescent="0.25">
      <c r="A8" t="str">
        <f>IF(Input!A9="","",Input!A9)</f>
        <v/>
      </c>
      <c r="F8" t="str">
        <f>IFERROR(IF(A8="","",SUM('Asset Allocation'!J8)/'Broad Asset Allocation'!C8),0)</f>
        <v/>
      </c>
      <c r="H8" t="str">
        <f>IFERROR(IF(A8="","",SUM('Asset Allocation'!H8,'Asset Allocation'!I8)/'Broad Asset Allocation'!C8),0)</f>
        <v/>
      </c>
    </row>
    <row r="9" spans="1:8" x14ac:dyDescent="0.25">
      <c r="A9" t="str">
        <f>IF(Input!A10="","",Input!A10)</f>
        <v/>
      </c>
      <c r="F9" t="str">
        <f>IFERROR(IF(A9="","",SUM('Asset Allocation'!J9)/'Broad Asset Allocation'!C9),0)</f>
        <v/>
      </c>
      <c r="H9" t="str">
        <f>IFERROR(IF(A9="","",SUM('Asset Allocation'!H9,'Asset Allocation'!I9)/'Broad Asset Allocation'!C9),0)</f>
        <v/>
      </c>
    </row>
    <row r="10" spans="1:8" x14ac:dyDescent="0.25">
      <c r="A10" t="str">
        <f>IF(Input!A11="","",Input!A11)</f>
        <v/>
      </c>
      <c r="F10" t="str">
        <f>IFERROR(IF(A10="","",SUM('Asset Allocation'!J10)/'Broad Asset Allocation'!C10),0)</f>
        <v/>
      </c>
      <c r="H10" t="str">
        <f>IFERROR(IF(A10="","",SUM('Asset Allocation'!H10,'Asset Allocation'!I10)/'Broad Asset Allocation'!C10),0)</f>
        <v/>
      </c>
    </row>
    <row r="11" spans="1:8" x14ac:dyDescent="0.25">
      <c r="A11" t="str">
        <f>IF(Input!A12="","",Input!A12)</f>
        <v/>
      </c>
      <c r="F11" t="str">
        <f>IFERROR(IF(A11="","",SUM('Asset Allocation'!J11)/'Broad Asset Allocation'!C11),0)</f>
        <v/>
      </c>
      <c r="H11" t="str">
        <f>IFERROR(IF(A11="","",SUM('Asset Allocation'!H11,'Asset Allocation'!I11)/'Broad Asset Allocation'!C11),0)</f>
        <v/>
      </c>
    </row>
    <row r="12" spans="1:8" x14ac:dyDescent="0.25">
      <c r="A12" t="str">
        <f>IF(Input!A13="","",Input!A13)</f>
        <v/>
      </c>
      <c r="F12" t="str">
        <f>IFERROR(IF(A12="","",SUM('Asset Allocation'!J12)/'Broad Asset Allocation'!C12),0)</f>
        <v/>
      </c>
      <c r="H12" t="str">
        <f>IFERROR(IF(A12="","",SUM('Asset Allocation'!H12,'Asset Allocation'!I12)/'Broad Asset Allocation'!C12),0)</f>
        <v/>
      </c>
    </row>
    <row r="13" spans="1:8" x14ac:dyDescent="0.25">
      <c r="A13" t="str">
        <f>IF(Input!A14="","",Input!A14)</f>
        <v/>
      </c>
      <c r="F13" t="str">
        <f>IFERROR(IF(A13="","",SUM('Asset Allocation'!J13)/'Broad Asset Allocation'!C13),0)</f>
        <v/>
      </c>
      <c r="H13" t="str">
        <f>IFERROR(IF(A13="","",SUM('Asset Allocation'!H13,'Asset Allocation'!I13)/'Broad Asset Allocation'!C13),0)</f>
        <v/>
      </c>
    </row>
    <row r="14" spans="1:8" x14ac:dyDescent="0.25">
      <c r="A14" t="str">
        <f>IF(Input!A15="","",Input!A15)</f>
        <v/>
      </c>
      <c r="F14" t="str">
        <f>IFERROR(IF(A14="","",SUM('Asset Allocation'!J14)/'Broad Asset Allocation'!C14),0)</f>
        <v/>
      </c>
      <c r="H14" t="str">
        <f>IFERROR(IF(A14="","",SUM('Asset Allocation'!H14,'Asset Allocation'!I14)/'Broad Asset Allocation'!C14),0)</f>
        <v/>
      </c>
    </row>
    <row r="15" spans="1:8" x14ac:dyDescent="0.25">
      <c r="A15" t="str">
        <f>IF(Input!A16="","",Input!A16)</f>
        <v/>
      </c>
      <c r="F15" t="str">
        <f>IFERROR(IF(A15="","",SUM('Asset Allocation'!J15)/'Broad Asset Allocation'!C15),0)</f>
        <v/>
      </c>
      <c r="H15" t="str">
        <f>IFERROR(IF(A15="","",SUM('Asset Allocation'!H15,'Asset Allocation'!I15)/'Broad Asset Allocation'!C15),0)</f>
        <v/>
      </c>
    </row>
    <row r="16" spans="1:8" x14ac:dyDescent="0.25">
      <c r="A16" t="str">
        <f>IF(Input!A17="","",Input!A17)</f>
        <v/>
      </c>
      <c r="F16" t="str">
        <f>IFERROR(IF(A16="","",SUM('Asset Allocation'!J16)/'Broad Asset Allocation'!C16),0)</f>
        <v/>
      </c>
      <c r="H16" t="str">
        <f>IFERROR(IF(A16="","",SUM('Asset Allocation'!H16,'Asset Allocation'!I16)/'Broad Asset Allocation'!C16),0)</f>
        <v/>
      </c>
    </row>
    <row r="17" spans="1:8" x14ac:dyDescent="0.25">
      <c r="A17" t="str">
        <f>IF(Input!A18="","",Input!A18)</f>
        <v/>
      </c>
      <c r="F17" t="str">
        <f>IFERROR(IF(A17="","",SUM('Asset Allocation'!J17)/'Broad Asset Allocation'!C17),0)</f>
        <v/>
      </c>
      <c r="H17" t="str">
        <f>IFERROR(IF(A17="","",SUM('Asset Allocation'!H17,'Asset Allocation'!I17)/'Broad Asset Allocation'!C17),0)</f>
        <v/>
      </c>
    </row>
    <row r="18" spans="1:8" x14ac:dyDescent="0.25">
      <c r="A18" t="str">
        <f>IF(Input!A19="","",Input!A19)</f>
        <v/>
      </c>
      <c r="F18" t="str">
        <f>IFERROR(IF(A18="","",SUM('Asset Allocation'!J18)/'Broad Asset Allocation'!C18),0)</f>
        <v/>
      </c>
      <c r="H18" t="str">
        <f>IFERROR(IF(A18="","",SUM('Asset Allocation'!H18,'Asset Allocation'!I18)/'Broad Asset Allocation'!C18),0)</f>
        <v/>
      </c>
    </row>
    <row r="19" spans="1:8" x14ac:dyDescent="0.25">
      <c r="A19" t="str">
        <f>IF(Input!A20="","",Input!A20)</f>
        <v/>
      </c>
      <c r="F19" t="str">
        <f>IFERROR(IF(A19="","",SUM('Asset Allocation'!J19)/'Broad Asset Allocation'!C19),0)</f>
        <v/>
      </c>
      <c r="H19" t="str">
        <f>IFERROR(IF(A19="","",SUM('Asset Allocation'!H19,'Asset Allocation'!I19)/'Broad Asset Allocation'!C19),0)</f>
        <v/>
      </c>
    </row>
    <row r="20" spans="1:8" x14ac:dyDescent="0.25">
      <c r="A20" t="str">
        <f>IF(Input!A21="","",Input!A21)</f>
        <v/>
      </c>
      <c r="F20" t="str">
        <f>IFERROR(IF(A20="","",SUM('Asset Allocation'!J20)/'Broad Asset Allocation'!C20),0)</f>
        <v/>
      </c>
      <c r="H20" t="str">
        <f>IFERROR(IF(A20="","",SUM('Asset Allocation'!H20,'Asset Allocation'!I20)/'Broad Asset Allocation'!C20),0)</f>
        <v/>
      </c>
    </row>
    <row r="21" spans="1:8" x14ac:dyDescent="0.25">
      <c r="A21" t="str">
        <f>IF(Input!A22="","",Input!A22)</f>
        <v/>
      </c>
      <c r="F21" t="str">
        <f>IFERROR(IF(A21="","",SUM('Asset Allocation'!J21)/'Broad Asset Allocation'!C21),0)</f>
        <v/>
      </c>
      <c r="H21" t="str">
        <f>IFERROR(IF(A21="","",SUM('Asset Allocation'!H21,'Asset Allocation'!I21)/'Broad Asset Allocation'!C21),0)</f>
        <v/>
      </c>
    </row>
    <row r="22" spans="1:8" x14ac:dyDescent="0.25">
      <c r="A22" t="str">
        <f>IF(Input!A23="","",Input!A23)</f>
        <v/>
      </c>
      <c r="F22" t="str">
        <f>IFERROR(IF(A22="","",SUM('Asset Allocation'!J22)/'Broad Asset Allocation'!C22),0)</f>
        <v/>
      </c>
      <c r="H22" t="str">
        <f>IFERROR(IF(A22="","",SUM('Asset Allocation'!H22,'Asset Allocation'!I22)/'Broad Asset Allocation'!C22),0)</f>
        <v/>
      </c>
    </row>
    <row r="23" spans="1:8" x14ac:dyDescent="0.25">
      <c r="A23" t="str">
        <f>IF(Input!A24="","",Input!A24)</f>
        <v/>
      </c>
      <c r="F23" t="str">
        <f>IFERROR(IF(A23="","",SUM('Asset Allocation'!J23)/'Broad Asset Allocation'!C23),0)</f>
        <v/>
      </c>
      <c r="H23" t="str">
        <f>IFERROR(IF(A23="","",SUM('Asset Allocation'!H23,'Asset Allocation'!I23)/'Broad Asset Allocation'!C23),0)</f>
        <v/>
      </c>
    </row>
    <row r="24" spans="1:8" x14ac:dyDescent="0.25">
      <c r="A24" t="str">
        <f>IF(Input!A25="","",Input!A25)</f>
        <v/>
      </c>
      <c r="F24" t="str">
        <f>IFERROR(IF(A24="","",SUM('Asset Allocation'!J24)/'Broad Asset Allocation'!C24),0)</f>
        <v/>
      </c>
      <c r="H24" t="str">
        <f>IFERROR(IF(A24="","",SUM('Asset Allocation'!H24,'Asset Allocation'!I24)/'Broad Asset Allocation'!C24),0)</f>
        <v/>
      </c>
    </row>
    <row r="25" spans="1:8" x14ac:dyDescent="0.25">
      <c r="A25" t="str">
        <f>IF(Input!A26="","",Input!A26)</f>
        <v/>
      </c>
      <c r="F25" t="str">
        <f>IFERROR(IF(A25="","",SUM('Asset Allocation'!J25)/'Broad Asset Allocation'!C25),0)</f>
        <v/>
      </c>
      <c r="H25" t="str">
        <f>IFERROR(IF(A25="","",SUM('Asset Allocation'!H25,'Asset Allocation'!I25)/'Broad Asset Allocation'!C25),0)</f>
        <v/>
      </c>
    </row>
    <row r="26" spans="1:8" x14ac:dyDescent="0.25">
      <c r="A26" t="str">
        <f>IF(Input!A27="","",Input!A27)</f>
        <v/>
      </c>
      <c r="F26" t="str">
        <f>IFERROR(IF(A26="","",SUM('Asset Allocation'!J26)/'Broad Asset Allocation'!C26),0)</f>
        <v/>
      </c>
      <c r="H26" t="str">
        <f>IFERROR(IF(A26="","",SUM('Asset Allocation'!H26,'Asset Allocation'!I26)/'Broad Asset Allocation'!C26),0)</f>
        <v/>
      </c>
    </row>
    <row r="27" spans="1:8" x14ac:dyDescent="0.25">
      <c r="A27" t="str">
        <f>IF(Input!A28="","",Input!A28)</f>
        <v/>
      </c>
      <c r="F27" t="str">
        <f>IFERROR(IF(A27="","",SUM('Asset Allocation'!J27)/'Broad Asset Allocation'!C27),0)</f>
        <v/>
      </c>
      <c r="H27" t="str">
        <f>IFERROR(IF(A27="","",SUM('Asset Allocation'!H27,'Asset Allocation'!I27)/'Broad Asset Allocation'!C27),0)</f>
        <v/>
      </c>
    </row>
    <row r="28" spans="1:8" x14ac:dyDescent="0.25">
      <c r="A28" t="str">
        <f>IF(Input!A29="","",Input!A29)</f>
        <v/>
      </c>
      <c r="F28" t="str">
        <f>IFERROR(IF(A28="","",SUM('Asset Allocation'!J28)/'Broad Asset Allocation'!C28),0)</f>
        <v/>
      </c>
      <c r="H28" t="str">
        <f>IFERROR(IF(A28="","",SUM('Asset Allocation'!H28,'Asset Allocation'!I28)/'Broad Asset Allocation'!C28),0)</f>
        <v/>
      </c>
    </row>
    <row r="29" spans="1:8" x14ac:dyDescent="0.25">
      <c r="A29" t="str">
        <f>IF(Input!A30="","",Input!A30)</f>
        <v/>
      </c>
      <c r="F29" t="str">
        <f>IFERROR(IF(A29="","",SUM('Asset Allocation'!J29)/'Broad Asset Allocation'!C29),0)</f>
        <v/>
      </c>
      <c r="H29" t="str">
        <f>IFERROR(IF(A29="","",SUM('Asset Allocation'!H29,'Asset Allocation'!I29)/'Broad Asset Allocation'!C29),0)</f>
        <v/>
      </c>
    </row>
    <row r="30" spans="1:8" x14ac:dyDescent="0.25">
      <c r="A30" t="str">
        <f>IF(Input!A31="","",Input!A31)</f>
        <v/>
      </c>
      <c r="F30" t="str">
        <f>IFERROR(IF(A30="","",SUM('Asset Allocation'!J30)/'Broad Asset Allocation'!C30),0)</f>
        <v/>
      </c>
      <c r="H30" t="str">
        <f>IFERROR(IF(A30="","",SUM('Asset Allocation'!H30,'Asset Allocation'!I30)/'Broad Asset Allocation'!C30),0)</f>
        <v/>
      </c>
    </row>
    <row r="31" spans="1:8" x14ac:dyDescent="0.25">
      <c r="A31" t="str">
        <f>IF(Input!A32="","",Input!A32)</f>
        <v/>
      </c>
      <c r="F31" t="str">
        <f>IFERROR(IF(A31="","",SUM('Asset Allocation'!J31)/'Broad Asset Allocation'!C31),0)</f>
        <v/>
      </c>
      <c r="H31" t="str">
        <f>IFERROR(IF(A31="","",SUM('Asset Allocation'!H31,'Asset Allocation'!I31)/'Broad Asset Allocation'!C31),0)</f>
        <v/>
      </c>
    </row>
    <row r="32" spans="1:8" x14ac:dyDescent="0.25">
      <c r="A32" t="str">
        <f>IF(Input!A33="","",Input!A33)</f>
        <v/>
      </c>
      <c r="F32" t="str">
        <f>IFERROR(IF(A32="","",SUM('Asset Allocation'!J32)/'Broad Asset Allocation'!C32),0)</f>
        <v/>
      </c>
      <c r="H32" t="str">
        <f>IFERROR(IF(A32="","",SUM('Asset Allocation'!H32,'Asset Allocation'!I32)/'Broad Asset Allocation'!C32),0)</f>
        <v/>
      </c>
    </row>
    <row r="33" spans="1:8" x14ac:dyDescent="0.25">
      <c r="A33" t="str">
        <f>IF(Input!A34="","",Input!A34)</f>
        <v/>
      </c>
      <c r="F33" t="str">
        <f>IFERROR(IF(A33="","",SUM('Asset Allocation'!J33)/'Broad Asset Allocation'!C33),0)</f>
        <v/>
      </c>
      <c r="H33" t="str">
        <f>IFERROR(IF(A33="","",SUM('Asset Allocation'!H33,'Asset Allocation'!I33)/'Broad Asset Allocation'!C33),0)</f>
        <v/>
      </c>
    </row>
    <row r="34" spans="1:8" x14ac:dyDescent="0.25">
      <c r="A34" t="str">
        <f>IF(Input!A35="","",Input!A35)</f>
        <v/>
      </c>
      <c r="F34" t="str">
        <f>IFERROR(IF(A34="","",SUM('Asset Allocation'!J34)/'Broad Asset Allocation'!C34),0)</f>
        <v/>
      </c>
      <c r="H34" t="str">
        <f>IFERROR(IF(A34="","",SUM('Asset Allocation'!H34,'Asset Allocation'!I34)/'Broad Asset Allocation'!C34),0)</f>
        <v/>
      </c>
    </row>
    <row r="35" spans="1:8" x14ac:dyDescent="0.25">
      <c r="A35" t="str">
        <f>IF(Input!A36="","",Input!A36)</f>
        <v/>
      </c>
      <c r="F35" t="str">
        <f>IFERROR(IF(A35="","",SUM('Asset Allocation'!J35)/'Broad Asset Allocation'!C35),0)</f>
        <v/>
      </c>
      <c r="H35" t="str">
        <f>IFERROR(IF(A35="","",SUM('Asset Allocation'!H35,'Asset Allocation'!I35)/'Broad Asset Allocation'!C35),0)</f>
        <v/>
      </c>
    </row>
    <row r="36" spans="1:8" x14ac:dyDescent="0.25">
      <c r="A36" t="str">
        <f>IF(Input!A37="","",Input!A37)</f>
        <v/>
      </c>
      <c r="F36" t="str">
        <f>IFERROR(IF(A36="","",SUM('Asset Allocation'!J36)/'Broad Asset Allocation'!C36),0)</f>
        <v/>
      </c>
      <c r="H36" t="str">
        <f>IFERROR(IF(A36="","",SUM('Asset Allocation'!H36,'Asset Allocation'!I36)/'Broad Asset Allocation'!C36),0)</f>
        <v/>
      </c>
    </row>
    <row r="37" spans="1:8" x14ac:dyDescent="0.25">
      <c r="A37" t="str">
        <f>IF(Input!A38="","",Input!A38)</f>
        <v/>
      </c>
      <c r="F37" t="str">
        <f>IFERROR(IF(A37="","",SUM('Asset Allocation'!J37)/'Broad Asset Allocation'!C37),0)</f>
        <v/>
      </c>
      <c r="H37" t="str">
        <f>IFERROR(IF(A37="","",SUM('Asset Allocation'!H37,'Asset Allocation'!I37)/'Broad Asset Allocation'!C37),0)</f>
        <v/>
      </c>
    </row>
    <row r="38" spans="1:8" x14ac:dyDescent="0.25">
      <c r="A38" t="str">
        <f>IF(Input!A39="","",Input!A39)</f>
        <v/>
      </c>
      <c r="F38" t="str">
        <f>IFERROR(IF(A38="","",SUM('Asset Allocation'!J38)/'Broad Asset Allocation'!C38),0)</f>
        <v/>
      </c>
      <c r="H38" t="str">
        <f>IFERROR(IF(A38="","",SUM('Asset Allocation'!H38,'Asset Allocation'!I38)/'Broad Asset Allocation'!C38),0)</f>
        <v/>
      </c>
    </row>
    <row r="39" spans="1:8" x14ac:dyDescent="0.25">
      <c r="A39" t="str">
        <f>IF(Input!A40="","",Input!A40)</f>
        <v/>
      </c>
      <c r="F39" t="str">
        <f>IFERROR(IF(A39="","",SUM('Asset Allocation'!J39)/'Broad Asset Allocation'!C39),0)</f>
        <v/>
      </c>
      <c r="H39" t="str">
        <f>IFERROR(IF(A39="","",SUM('Asset Allocation'!H39,'Asset Allocation'!I39)/'Broad Asset Allocation'!C39),0)</f>
        <v/>
      </c>
    </row>
    <row r="40" spans="1:8" x14ac:dyDescent="0.25">
      <c r="A40" t="str">
        <f>IF(Input!A41="","",Input!A41)</f>
        <v/>
      </c>
      <c r="F40" t="str">
        <f>IFERROR(IF(A40="","",SUM('Asset Allocation'!J40)/'Broad Asset Allocation'!C40),0)</f>
        <v/>
      </c>
      <c r="H40" t="str">
        <f>IFERROR(IF(A40="","",SUM('Asset Allocation'!H40,'Asset Allocation'!I40)/'Broad Asset Allocation'!C40),0)</f>
        <v/>
      </c>
    </row>
    <row r="41" spans="1:8" x14ac:dyDescent="0.25">
      <c r="A41" t="str">
        <f>IF(Input!A42="","",Input!A42)</f>
        <v/>
      </c>
      <c r="F41" t="str">
        <f>IFERROR(IF(A41="","",SUM('Asset Allocation'!J41)/'Broad Asset Allocation'!C41),0)</f>
        <v/>
      </c>
      <c r="H41" t="str">
        <f>IFERROR(IF(A41="","",SUM('Asset Allocation'!H41,'Asset Allocation'!I41)/'Broad Asset Allocation'!C41),0)</f>
        <v/>
      </c>
    </row>
    <row r="42" spans="1:8" x14ac:dyDescent="0.25">
      <c r="A42" t="str">
        <f>IF(Input!A43="","",Input!A43)</f>
        <v/>
      </c>
      <c r="F42" t="str">
        <f>IFERROR(IF(A42="","",SUM('Asset Allocation'!J42)/'Broad Asset Allocation'!C42),0)</f>
        <v/>
      </c>
      <c r="H42" t="str">
        <f>IFERROR(IF(A42="","",SUM('Asset Allocation'!H42,'Asset Allocation'!I42)/'Broad Asset Allocation'!C42),0)</f>
        <v/>
      </c>
    </row>
    <row r="43" spans="1:8" x14ac:dyDescent="0.25">
      <c r="A43" t="str">
        <f>IF(Input!A44="","",Input!A44)</f>
        <v/>
      </c>
      <c r="F43" t="str">
        <f>IFERROR(IF(A43="","",SUM('Asset Allocation'!J43)/'Broad Asset Allocation'!C43),0)</f>
        <v/>
      </c>
      <c r="H43" t="str">
        <f>IFERROR(IF(A43="","",SUM('Asset Allocation'!H43,'Asset Allocation'!I43)/'Broad Asset Allocation'!C43),0)</f>
        <v/>
      </c>
    </row>
    <row r="44" spans="1:8" x14ac:dyDescent="0.25">
      <c r="A44" t="str">
        <f>IF(Input!A45="","",Input!A45)</f>
        <v/>
      </c>
      <c r="F44" t="str">
        <f>IFERROR(IF(A44="","",SUM('Asset Allocation'!J44)/'Broad Asset Allocation'!C44),0)</f>
        <v/>
      </c>
      <c r="H44" t="str">
        <f>IFERROR(IF(A44="","",SUM('Asset Allocation'!H44,'Asset Allocation'!I44)/'Broad Asset Allocation'!C44),0)</f>
        <v/>
      </c>
    </row>
    <row r="45" spans="1:8" x14ac:dyDescent="0.25">
      <c r="A45" t="str">
        <f>IF(Input!A46="","",Input!A46)</f>
        <v/>
      </c>
      <c r="F45" t="str">
        <f>IFERROR(IF(A45="","",SUM('Asset Allocation'!J45)/'Broad Asset Allocation'!C45),0)</f>
        <v/>
      </c>
      <c r="H45" t="str">
        <f>IFERROR(IF(A45="","",SUM('Asset Allocation'!H45,'Asset Allocation'!I45)/'Broad Asset Allocation'!C45),0)</f>
        <v/>
      </c>
    </row>
    <row r="46" spans="1:8" x14ac:dyDescent="0.25">
      <c r="A46" t="str">
        <f>IF(Input!A47="","",Input!A47)</f>
        <v/>
      </c>
      <c r="F46" t="str">
        <f>IFERROR(IF(A46="","",SUM('Asset Allocation'!J46)/'Broad Asset Allocation'!C46),0)</f>
        <v/>
      </c>
      <c r="H46" t="str">
        <f>IFERROR(IF(A46="","",SUM('Asset Allocation'!H46,'Asset Allocation'!I46)/'Broad Asset Allocation'!C46),0)</f>
        <v/>
      </c>
    </row>
    <row r="47" spans="1:8" x14ac:dyDescent="0.25">
      <c r="A47" t="str">
        <f>IF(Input!A48="","",Input!A48)</f>
        <v/>
      </c>
      <c r="F47" t="str">
        <f>IFERROR(IF(A47="","",SUM('Asset Allocation'!J47)/'Broad Asset Allocation'!C47),0)</f>
        <v/>
      </c>
      <c r="H47" t="str">
        <f>IFERROR(IF(A47="","",SUM('Asset Allocation'!H47,'Asset Allocation'!I47)/'Broad Asset Allocation'!C47),0)</f>
        <v/>
      </c>
    </row>
    <row r="48" spans="1:8" x14ac:dyDescent="0.25">
      <c r="A48" t="str">
        <f>IF(Input!A49="","",Input!A49)</f>
        <v/>
      </c>
      <c r="F48" t="str">
        <f>IFERROR(IF(A48="","",SUM('Asset Allocation'!J48)/'Broad Asset Allocation'!C48),0)</f>
        <v/>
      </c>
      <c r="H48" t="str">
        <f>IFERROR(IF(A48="","",SUM('Asset Allocation'!H48,'Asset Allocation'!I48)/'Broad Asset Allocation'!C48),0)</f>
        <v/>
      </c>
    </row>
    <row r="49" spans="1:8" x14ac:dyDescent="0.25">
      <c r="A49" t="str">
        <f>IF(Input!A50="","",Input!A50)</f>
        <v/>
      </c>
      <c r="F49" t="str">
        <f>IFERROR(IF(A49="","",SUM('Asset Allocation'!J49)/'Broad Asset Allocation'!C49),0)</f>
        <v/>
      </c>
      <c r="H49" t="str">
        <f>IFERROR(IF(A49="","",SUM('Asset Allocation'!H49,'Asset Allocation'!I49)/'Broad Asset Allocation'!C49),0)</f>
        <v/>
      </c>
    </row>
    <row r="50" spans="1:8" x14ac:dyDescent="0.25">
      <c r="A50" t="str">
        <f>IF(Input!A51="","",Input!A51)</f>
        <v/>
      </c>
      <c r="F50" t="str">
        <f>IFERROR(IF(A50="","",SUM('Asset Allocation'!J50)/'Broad Asset Allocation'!C50),0)</f>
        <v/>
      </c>
      <c r="H50" t="str">
        <f>IFERROR(IF(A50="","",SUM('Asset Allocation'!H50,'Asset Allocation'!I50)/'Broad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New Capital Strategic Portfolio UCITS Fund</v>
      </c>
      <c r="C1" s="1" t="str">
        <v>New Capital Global Balanced Fund</v>
      </c>
      <c r="D1" t="str">
        <v>New Capital Global Alpha Fund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2023-09-04T00:30:36Z</dcterms:modified>
</cp:coreProperties>
</file>