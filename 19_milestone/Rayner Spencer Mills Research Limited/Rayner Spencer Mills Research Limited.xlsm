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26\Documents\IONOS HiDrive\Mabel Insights\DFM\Rayner Spencer Mills Research Limited\"/>
    </mc:Choice>
  </mc:AlternateContent>
  <xr:revisionPtr revIDLastSave="0" documentId="13_ncr:1_{A6B86107-EC82-4D9C-8D75-B3D414E6C81E}" xr6:coauthVersionLast="47" xr6:coauthVersionMax="47" xr10:uidLastSave="{00000000-0000-0000-0000-000000000000}"/>
  <bookViews>
    <workbookView xWindow="-110" yWindow="-110" windowWidth="19420" windowHeight="10300" xr2:uid="{6472F16B-E6C9-4D85-9AAC-E7E1930420F2}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2" i="35"/>
  <c r="B9" i="1"/>
  <c r="B10" i="1"/>
  <c r="B11" i="1"/>
  <c r="B12" i="1"/>
  <c r="B13" i="1"/>
  <c r="B14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26</author>
  </authors>
  <commentList>
    <comment ref="E1" authorId="0" shapeId="0" xr:uid="{6921B18C-F14F-4880-A680-51D6C840813D}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<sst xmlns="http://schemas.openxmlformats.org/spreadsheetml/2006/main" count="82" uniqueCount="69">
  <si>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</si>
  <si>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</si>
  <si>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</si>
  <si>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</si>
  <si>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</si>
  <si>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</si>
  <si>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</si>
  <si>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</si>
  <si>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</si>
  <si>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</si>
  <si>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</si>
  <si>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</si>
  <si>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</si>
  <si>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</si>
  <si>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</si>
  <si>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</si>
  <si>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</si>
  <si>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</si>
  <si>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</si>
  <si>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</si>
  <si>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</si>
  <si>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</si>
  <si>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</si>
  <si>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</si>
  <si>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</si>
  <si>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</si>
  <si>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</si>
  <si>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</si>
  <si>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</si>
  <si>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</si>
  <si>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</si>
  <si>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</si>
  <si>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</si>
  <si>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</si>
  <si>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</si>
  <si>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Month</t>
  </si>
  <si>
    <t>1 Year</t>
  </si>
  <si>
    <t>Rfolio Defensive Factsheet</t>
  </si>
  <si>
    <t>Rfolio Cautious Factsheet</t>
  </si>
  <si>
    <t>Rfolio Prudent Factsheet</t>
  </si>
  <si>
    <t>Rfolio Balanced Factsheet</t>
  </si>
  <si>
    <t>Rfolio Growth Factsheet</t>
  </si>
  <si>
    <t>Rfolio Dynamic Factsheet</t>
  </si>
  <si>
    <t>Rfolio Adventurous Factsheet</t>
  </si>
  <si>
    <t>Rfolio Income Factsheet</t>
  </si>
  <si>
    <t>Responsible Cautious Factsheet</t>
  </si>
  <si>
    <t>Responsible Dynamic Factsheet</t>
  </si>
  <si>
    <t>Responsible Balanced Factsheet</t>
  </si>
  <si>
    <t>Responsible Growth Factsheet</t>
  </si>
  <si>
    <t>Rfolio Defensive</t>
  </si>
  <si>
    <t>Rfolio Cautious</t>
  </si>
  <si>
    <t>Rfolio Prudent</t>
  </si>
  <si>
    <t>Rfolio Balanced</t>
  </si>
  <si>
    <t>Rfolio Growth</t>
  </si>
  <si>
    <t>Rfolio Dynamic</t>
  </si>
  <si>
    <t>Rfolio Adventurous</t>
  </si>
  <si>
    <t>Rfolio Income</t>
  </si>
  <si>
    <t>Responsible Cautious</t>
  </si>
  <si>
    <t>Responsible Dynamic</t>
  </si>
  <si>
    <t>Responsible Balanced</t>
  </si>
  <si>
    <t>Responsible Growth</t>
  </si>
  <si>
    <t>Equities</t>
  </si>
  <si>
    <t>Fixed Income</t>
  </si>
  <si>
    <t>Cash/Money Market</t>
  </si>
  <si>
    <t>Other</t>
  </si>
  <si>
    <t>Annual DFM Management Charge</t>
  </si>
  <si>
    <t>KIID Ongoing Charge</t>
  </si>
  <si>
    <t>3 Years</t>
  </si>
  <si>
    <t>https://www.rsmr.co.uk/managed-portfolio-service/your-support/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</si>
</sst>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2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0" fontId="0" fillId="0" borderId="0" xfId="0" applyFill="1"/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1</xdr:rowOff>
    </xdr:from>
    <xdr:to>
      <xdr:col>1</xdr:col>
      <xdr:colOff>560943</xdr:colOff>
      <xdr:row>8</xdr:row>
      <xdr:rowOff>139701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3DB2D3-A079-E997-893B-EAFE13D9A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84151"/>
          <a:ext cx="1170542" cy="1428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25400</xdr:rowOff>
    </xdr:from>
    <xdr:to>
      <xdr:col>5</xdr:col>
      <xdr:colOff>50877</xdr:colOff>
      <xdr:row>15</xdr:row>
      <xdr:rowOff>81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6FA431-A668-2EC8-E8A1-C942B09E1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82750"/>
          <a:ext cx="3098877" cy="10795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95250</xdr:rowOff>
    </xdr:from>
    <xdr:to>
      <xdr:col>3</xdr:col>
      <xdr:colOff>552572</xdr:colOff>
      <xdr:row>28</xdr:row>
      <xdr:rowOff>108074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16DF27D-7892-3CA9-D23E-DECE5B1E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857500"/>
          <a:ext cx="2381372" cy="2406774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</xdr:colOff>
      <xdr:row>0</xdr:row>
      <xdr:rowOff>101600</xdr:rowOff>
    </xdr:from>
    <xdr:to>
      <xdr:col>13</xdr:col>
      <xdr:colOff>209814</xdr:colOff>
      <xdr:row>12</xdr:row>
      <xdr:rowOff>46694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8E580C0-8A76-8AA2-BDB1-93231D96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86250" y="101600"/>
          <a:ext cx="3848364" cy="21548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6218A-41FF-4A4F-94E4-2DC613D1766F}">
  <sheetPr codeName="Sheet2">
    <tabColor rgb="FFFFFF00"/>
  </sheetPr>
  <dimension ref="A1:Q4"/>
  <sheetViews>
    <sheetView tabSelected="1" workbookViewId="0">
      <selection activeCell="H2" sqref="H2"/>
    </sheetView>
  </sheetViews>
  <sheetFormatPr defaultRowHeight="14.5" x14ac:dyDescent="0.35"/>
  <sheetData>
    <row r="1" spans="1:17" x14ac:dyDescent="0.35">
      <c r="A1" s="3" t="s">
        <v>21</v>
      </c>
      <c r="H1" s="3" t="s">
        <v>19</v>
      </c>
    </row>
    <row r="3" spans="1:17" x14ac:dyDescent="0.35">
      <c r="Q3" s="3"/>
    </row>
    <row r="4" spans="1:17" x14ac:dyDescent="0.3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4349C-D510-47DC-8241-4FF9B17996F8}">
  <sheetPr codeName="Sheet1">
    <tabColor rgb="FFFFFF00"/>
  </sheetPr>
  <dimension ref="A1:J14"/>
  <sheetViews>
    <sheetView workbookViewId="0">
      <selection activeCell="E12" sqref="E12"/>
    </sheetView>
  </sheetViews>
  <sheetFormatPr defaultRowHeight="14.5" x14ac:dyDescent="0.35"/>
  <cols>
    <col min="1" max="1" width="27.7265625" bestFit="1" customWidth="1"/>
    <col min="2" max="2" width="14.26953125" customWidth="1"/>
    <col min="3" max="3" width="16.81640625" customWidth="1"/>
  </cols>
  <sheetData>
    <row r="1" spans="1:10" x14ac:dyDescent="0.35">
      <c r="A1" s="2">
        <f ca="1">EOMONTH(TODAY(),-1)</f>
        <v>45199</v>
      </c>
      <c r="B1" s="3"/>
      <c r="C1" s="4"/>
    </row>
    <row r="2" spans="1:10" x14ac:dyDescent="0.35">
      <c r="A2" t="s">
        <v>0</v>
      </c>
      <c r="B2" s="3"/>
      <c r="C2" s="4"/>
    </row>
    <row r="3" spans="1:10" x14ac:dyDescent="0.35">
      <c r="A3" t="s">
        <v>49</v>
      </c>
      <c r="B3">
        <f>'PDF Scraping'!D2</f>
        <v>0</v>
      </c>
      <c r="J3" s="4"/>
    </row>
    <row r="4" spans="1:10" x14ac:dyDescent="0.35">
      <c r="A4" t="s">
        <v>50</v>
      </c>
      <c r="B4">
        <f>'PDF Scraping'!D3</f>
        <v>0</v>
      </c>
      <c r="J4" s="4"/>
    </row>
    <row r="5" spans="1:10" x14ac:dyDescent="0.35">
      <c r="A5" t="s">
        <v>51</v>
      </c>
      <c r="B5">
        <f>'PDF Scraping'!D4</f>
        <v>0</v>
      </c>
    </row>
    <row r="6" spans="1:10" x14ac:dyDescent="0.35">
      <c r="A6" t="s">
        <v>52</v>
      </c>
      <c r="B6">
        <f>'PDF Scraping'!D5</f>
        <v>0</v>
      </c>
    </row>
    <row r="7" spans="1:10" x14ac:dyDescent="0.35">
      <c r="A7" t="s">
        <v>53</v>
      </c>
      <c r="B7">
        <f>'PDF Scraping'!D6</f>
        <v>0</v>
      </c>
    </row>
    <row r="8" spans="1:10" x14ac:dyDescent="0.35">
      <c r="A8" t="s">
        <v>54</v>
      </c>
      <c r="B8">
        <f>'PDF Scraping'!D7</f>
        <v>0</v>
      </c>
    </row>
    <row r="9" spans="1:10" x14ac:dyDescent="0.35">
      <c r="A9" t="s">
        <v>55</v>
      </c>
      <c r="B9">
        <f>'PDF Scraping'!D8</f>
        <v>0</v>
      </c>
    </row>
    <row r="10" spans="1:10" x14ac:dyDescent="0.35">
      <c r="A10" t="s">
        <v>56</v>
      </c>
      <c r="B10">
        <f>'PDF Scraping'!D9</f>
        <v>0</v>
      </c>
    </row>
    <row r="11" spans="1:10" x14ac:dyDescent="0.35">
      <c r="A11" t="s">
        <v>57</v>
      </c>
      <c r="B11">
        <f>'PDF Scraping'!D10</f>
        <v>0</v>
      </c>
    </row>
    <row r="12" spans="1:10" x14ac:dyDescent="0.35">
      <c r="A12" t="s">
        <v>58</v>
      </c>
      <c r="B12">
        <f>'PDF Scraping'!D11</f>
        <v>0</v>
      </c>
    </row>
    <row r="13" spans="1:10" x14ac:dyDescent="0.35">
      <c r="A13" t="s">
        <v>59</v>
      </c>
      <c r="B13">
        <f>'PDF Scraping'!D12</f>
        <v>0</v>
      </c>
    </row>
    <row r="14" spans="1:10" x14ac:dyDescent="0.35">
      <c r="A14" t="s">
        <v>60</v>
      </c>
      <c r="B14">
        <f>'PDF Scraping'!D13</f>
        <v>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FBBBB-E86C-40D6-8738-0FE8FAF5204B}">
  <sheetPr codeName="Sheet3">
    <tabColor rgb="FFFFFF00"/>
  </sheetPr>
  <dimension ref="A1:I50"/>
  <sheetViews>
    <sheetView workbookViewId="0">
      <selection activeCell="G2" sqref="G2"/>
    </sheetView>
  </sheetViews>
  <sheetFormatPr defaultRowHeight="14.5" x14ac:dyDescent="0.35"/>
  <cols>
    <col min="1" max="1" width="26.1796875" bestFit="1" customWidth="1"/>
    <col min="2" max="2" width="19.08984375" customWidth="1"/>
    <col min="3" max="4" width="33.1796875" style="10" bestFit="1" customWidth="1"/>
    <col min="5" max="5" width="21.54296875" style="10" bestFit="1" customWidth="1"/>
    <col min="6" max="6" width="13.7265625" bestFit="1" customWidth="1"/>
  </cols>
  <sheetData>
    <row r="1" spans="1:9" x14ac:dyDescent="0.35">
      <c r="B1" t="s">
        <v>22</v>
      </c>
      <c r="C1" s="10" t="s">
        <v>65</v>
      </c>
      <c r="D1" s="10" t="s">
        <v>66</v>
      </c>
      <c r="E1" s="10" t="s">
        <v>35</v>
      </c>
      <c r="F1" t="s">
        <v>36</v>
      </c>
      <c r="G1" t="s">
        <v>67</v>
      </c>
    </row>
    <row r="2" spans="1:9" x14ac:dyDescent="0.35">
      <c r="A2" t="str">
        <f>IF(Input!A3="","",Input!A3)</f>
        <v>Rfolio Defensive</v>
      </c>
      <c r="B2" s="1"/>
      <c r="F2" s="5"/>
      <c r="G2" s="5"/>
      <c r="H2" s="5"/>
      <c r="I2" s="5"/>
    </row>
    <row r="3" spans="1:9" x14ac:dyDescent="0.35">
      <c r="A3" t="str">
        <f>IF(Input!A4="","",Input!A4)</f>
        <v>Rfolio Cautious</v>
      </c>
      <c r="B3" s="1"/>
      <c r="F3" s="5"/>
      <c r="G3" s="5"/>
      <c r="H3" s="5"/>
      <c r="I3" s="5"/>
    </row>
    <row r="4" spans="1:9" x14ac:dyDescent="0.35">
      <c r="A4" t="str">
        <f>IF(Input!A5="","",Input!A5)</f>
        <v>Rfolio Prudent</v>
      </c>
      <c r="B4" s="1"/>
      <c r="F4" s="5"/>
      <c r="G4" s="5"/>
      <c r="H4" s="5"/>
      <c r="I4" s="5"/>
    </row>
    <row r="5" spans="1:9" x14ac:dyDescent="0.35">
      <c r="A5" t="str">
        <f>IF(Input!A6="","",Input!A6)</f>
        <v>Rfolio Balanced</v>
      </c>
      <c r="B5" s="1"/>
      <c r="F5" s="5"/>
      <c r="G5" s="5"/>
      <c r="H5" s="5"/>
      <c r="I5" s="5"/>
    </row>
    <row r="6" spans="1:9" x14ac:dyDescent="0.35">
      <c r="A6" t="str">
        <f>IF(Input!A7="","",Input!A7)</f>
        <v>Rfolio Growth</v>
      </c>
      <c r="B6" s="1"/>
      <c r="F6" s="5"/>
      <c r="G6" s="5"/>
      <c r="H6" s="5"/>
      <c r="I6" s="5"/>
    </row>
    <row r="7" spans="1:9" x14ac:dyDescent="0.35">
      <c r="A7" t="str">
        <f>IF(Input!A8="","",Input!A8)</f>
        <v>Rfolio Dynamic</v>
      </c>
      <c r="B7" s="1"/>
      <c r="F7" s="5"/>
      <c r="G7" s="5"/>
      <c r="H7" s="5"/>
      <c r="I7" s="5"/>
    </row>
    <row r="8" spans="1:9" x14ac:dyDescent="0.35">
      <c r="A8" t="str">
        <f>IF(Input!A9="","",Input!A9)</f>
        <v>Rfolio Adventurous</v>
      </c>
      <c r="B8" s="1"/>
      <c r="F8" s="5"/>
      <c r="G8" s="5"/>
      <c r="H8" s="5"/>
      <c r="I8" s="5"/>
    </row>
    <row r="9" spans="1:9" x14ac:dyDescent="0.35">
      <c r="A9" t="str">
        <f>IF(Input!A10="","",Input!A10)</f>
        <v>Rfolio Income</v>
      </c>
      <c r="B9" s="1"/>
      <c r="F9" s="5"/>
      <c r="G9" s="5"/>
      <c r="H9" s="5"/>
      <c r="I9" s="5"/>
    </row>
    <row r="10" spans="1:9" x14ac:dyDescent="0.35">
      <c r="A10" t="str">
        <f>IF(Input!A11="","",Input!A11)</f>
        <v>Responsible Cautious</v>
      </c>
      <c r="B10" s="1"/>
      <c r="F10" s="5"/>
      <c r="G10" s="5"/>
      <c r="H10" s="5"/>
      <c r="I10" s="5"/>
    </row>
    <row r="11" spans="1:9" x14ac:dyDescent="0.35">
      <c r="A11" t="str">
        <f>IF(Input!A12="","",Input!A12)</f>
        <v>Responsible Dynamic</v>
      </c>
      <c r="B11" s="1"/>
      <c r="F11" s="5"/>
      <c r="G11" s="5"/>
      <c r="H11" s="5"/>
      <c r="I11" s="5"/>
    </row>
    <row r="12" spans="1:9" x14ac:dyDescent="0.35">
      <c r="A12" t="str">
        <f>IF(Input!A13="","",Input!A13)</f>
        <v>Responsible Balanced</v>
      </c>
      <c r="B12" s="1"/>
      <c r="F12" s="5"/>
      <c r="G12" s="5"/>
      <c r="H12" s="5"/>
      <c r="I12" s="5"/>
    </row>
    <row r="13" spans="1:9" x14ac:dyDescent="0.35">
      <c r="A13" t="str">
        <f>IF(Input!A14="","",Input!A14)</f>
        <v>Responsible Growth</v>
      </c>
      <c r="B13" s="1"/>
      <c r="F13" s="5"/>
      <c r="G13" s="5"/>
      <c r="H13" s="5"/>
      <c r="I13" s="5"/>
    </row>
    <row r="14" spans="1:9" x14ac:dyDescent="0.35">
      <c r="A14" t="str">
        <f>IF(Input!A15="","",Input!A15)</f>
        <v/>
      </c>
      <c r="B14" s="1"/>
      <c r="F14" s="5"/>
      <c r="G14" s="5"/>
      <c r="H14" s="5"/>
      <c r="I14" s="5"/>
    </row>
    <row r="15" spans="1:9" x14ac:dyDescent="0.3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3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3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3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3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3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3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3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3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3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3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35">
      <c r="A26" t="str">
        <f>IF(Input!A27="","",Input!A27)</f>
        <v/>
      </c>
      <c r="B26" s="7"/>
    </row>
    <row r="27" spans="1:9" x14ac:dyDescent="0.35">
      <c r="A27" t="str">
        <f>IF(Input!A28="","",Input!A28)</f>
        <v/>
      </c>
      <c r="B27" s="7"/>
    </row>
    <row r="28" spans="1:9" x14ac:dyDescent="0.35">
      <c r="A28" t="str">
        <f>IF(Input!A29="","",Input!A29)</f>
        <v/>
      </c>
      <c r="B28" s="7"/>
    </row>
    <row r="29" spans="1:9" x14ac:dyDescent="0.35">
      <c r="A29" t="str">
        <f>IF(Input!A30="","",Input!A30)</f>
        <v/>
      </c>
      <c r="B29" s="7"/>
    </row>
    <row r="30" spans="1:9" x14ac:dyDescent="0.35">
      <c r="A30" t="str">
        <f>IF(Input!A31="","",Input!A31)</f>
        <v/>
      </c>
      <c r="B30" s="7"/>
    </row>
    <row r="31" spans="1:9" x14ac:dyDescent="0.35">
      <c r="A31" t="str">
        <f>IF(Input!A32="","",Input!A32)</f>
        <v/>
      </c>
      <c r="B31" s="7"/>
    </row>
    <row r="32" spans="1:9" x14ac:dyDescent="0.35">
      <c r="A32" t="str">
        <f>IF(Input!A33="","",Input!A33)</f>
        <v/>
      </c>
      <c r="B32" s="7"/>
    </row>
    <row r="33" spans="1:2" x14ac:dyDescent="0.35">
      <c r="A33" t="str">
        <f>IF(Input!A34="","",Input!A34)</f>
        <v/>
      </c>
      <c r="B33" s="7"/>
    </row>
    <row r="34" spans="1:2" x14ac:dyDescent="0.35">
      <c r="A34" t="str">
        <f>IF(Input!A35="","",Input!A35)</f>
        <v/>
      </c>
      <c r="B34" s="7"/>
    </row>
    <row r="35" spans="1:2" x14ac:dyDescent="0.35">
      <c r="A35" t="str">
        <f>IF(Input!A36="","",Input!A36)</f>
        <v/>
      </c>
    </row>
    <row r="36" spans="1:2" x14ac:dyDescent="0.35">
      <c r="A36" t="str">
        <f>IF(Input!A37="","",Input!A37)</f>
        <v/>
      </c>
    </row>
    <row r="37" spans="1:2" x14ac:dyDescent="0.35">
      <c r="A37" t="str">
        <f>IF(Input!A38="","",Input!A38)</f>
        <v/>
      </c>
    </row>
    <row r="38" spans="1:2" x14ac:dyDescent="0.35">
      <c r="A38" t="str">
        <f>IF(Input!A39="","",Input!A39)</f>
        <v/>
      </c>
    </row>
    <row r="39" spans="1:2" x14ac:dyDescent="0.35">
      <c r="A39" t="str">
        <f>IF(Input!A40="","",Input!A40)</f>
        <v/>
      </c>
    </row>
    <row r="40" spans="1:2" x14ac:dyDescent="0.35">
      <c r="A40" t="str">
        <f>IF(Input!A41="","",Input!A41)</f>
        <v/>
      </c>
    </row>
    <row r="41" spans="1:2" x14ac:dyDescent="0.35">
      <c r="A41" t="str">
        <f>IF(Input!A42="","",Input!A42)</f>
        <v/>
      </c>
    </row>
    <row r="42" spans="1:2" x14ac:dyDescent="0.35">
      <c r="A42" t="str">
        <f>IF(Input!A43="","",Input!A43)</f>
        <v/>
      </c>
    </row>
    <row r="43" spans="1:2" x14ac:dyDescent="0.35">
      <c r="A43" t="str">
        <f>IF(Input!A44="","",Input!A44)</f>
        <v/>
      </c>
    </row>
    <row r="44" spans="1:2" x14ac:dyDescent="0.35">
      <c r="A44" t="str">
        <f>IF(Input!A45="","",Input!A45)</f>
        <v/>
      </c>
    </row>
    <row r="45" spans="1:2" x14ac:dyDescent="0.35">
      <c r="A45" t="str">
        <f>IF(Input!A46="","",Input!A46)</f>
        <v/>
      </c>
    </row>
    <row r="46" spans="1:2" x14ac:dyDescent="0.35">
      <c r="A46" t="str">
        <f>IF(Input!A47="","",Input!A47)</f>
        <v/>
      </c>
    </row>
    <row r="47" spans="1:2" x14ac:dyDescent="0.35">
      <c r="A47" t="str">
        <f>IF(Input!A48="","",Input!A48)</f>
        <v/>
      </c>
    </row>
    <row r="48" spans="1:2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7C62F-ECAF-448D-A9AB-F2BF01896012}">
  <sheetPr codeName="Sheet4">
    <tabColor rgb="FFFFFF00"/>
  </sheetPr>
  <dimension ref="A1:AD50"/>
  <sheetViews>
    <sheetView workbookViewId="0">
      <selection activeCell="D4" sqref="D4"/>
    </sheetView>
  </sheetViews>
  <sheetFormatPr defaultRowHeight="14.5" x14ac:dyDescent="0.35"/>
  <cols>
    <col min="1" max="1" width="19" bestFit="1" customWidth="1"/>
    <col min="2" max="2" width="7.36328125" style="10" bestFit="1" customWidth="1"/>
    <col min="3" max="3" width="11.81640625" style="10" bestFit="1" customWidth="1"/>
    <col min="4" max="4" width="18.08984375" style="10" bestFit="1" customWidth="1"/>
    <col min="5" max="5" width="5.6328125" style="10" bestFit="1" customWidth="1"/>
    <col min="6" max="6" width="14.7265625" style="10" bestFit="1" customWidth="1"/>
    <col min="7" max="7" width="8.7265625" style="10" bestFit="1" customWidth="1"/>
    <col min="8" max="8" width="8.6328125" style="10" bestFit="1" customWidth="1"/>
    <col min="9" max="9" width="11.26953125" style="10" bestFit="1" customWidth="1"/>
    <col min="10" max="10" width="17.7265625" style="10" bestFit="1" customWidth="1"/>
    <col min="11" max="11" width="23.453125" style="10" bestFit="1" customWidth="1"/>
    <col min="12" max="12" width="20.1796875" bestFit="1" customWidth="1"/>
    <col min="13" max="13" width="4.7265625" bestFit="1" customWidth="1"/>
    <col min="14" max="14" width="10.453125" bestFit="1" customWidth="1"/>
    <col min="15" max="15" width="22.36328125" bestFit="1" customWidth="1"/>
    <col min="16" max="16" width="13.1796875" bestFit="1" customWidth="1"/>
    <col min="17" max="17" width="11.81640625" bestFit="1" customWidth="1"/>
    <col min="18" max="18" width="6.1796875" bestFit="1" customWidth="1"/>
    <col min="19" max="19" width="18.08984375" bestFit="1" customWidth="1"/>
    <col min="20" max="20" width="15.90625" bestFit="1" customWidth="1"/>
    <col min="21" max="21" width="20.54296875" bestFit="1" customWidth="1"/>
    <col min="22" max="22" width="27.6328125" bestFit="1" customWidth="1"/>
    <col min="23" max="23" width="24.1796875" bestFit="1" customWidth="1"/>
    <col min="24" max="24" width="24.7265625" bestFit="1" customWidth="1"/>
    <col min="25" max="25" width="9.90625" bestFit="1" customWidth="1"/>
    <col min="26" max="26" width="18.453125" bestFit="1" customWidth="1"/>
    <col min="27" max="27" width="18.1796875" bestFit="1" customWidth="1"/>
    <col min="28" max="28" width="21.453125" bestFit="1" customWidth="1"/>
    <col min="29" max="29" width="18.453125" bestFit="1" customWidth="1"/>
    <col min="30" max="30" width="21.6328125" bestFit="1" customWidth="1"/>
  </cols>
  <sheetData>
    <row r="1" spans="1:30" x14ac:dyDescent="0.35">
      <c r="B1" s="10" t="s">
        <v>61</v>
      </c>
      <c r="C1" s="10" t="s">
        <v>62</v>
      </c>
      <c r="D1" s="10" t="s">
        <v>63</v>
      </c>
      <c r="E1" s="10" t="s">
        <v>64</v>
      </c>
    </row>
    <row r="2" spans="1:30" x14ac:dyDescent="0.35">
      <c r="A2" t="str">
        <f>IF(Input!A3="","",Input!A3)</f>
        <v>Rfolio Defensive</v>
      </c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35">
      <c r="A3" t="str">
        <f>IF(Input!A4="","",Input!A4)</f>
        <v>Rfolio Cautious</v>
      </c>
      <c r="L3" s="5"/>
      <c r="M3" s="5"/>
      <c r="N3" s="5"/>
      <c r="O3" s="5"/>
      <c r="P3" s="5"/>
      <c r="Q3" s="5"/>
      <c r="R3" s="5"/>
      <c r="S3" s="5"/>
      <c r="T3" s="5"/>
    </row>
    <row r="4" spans="1:30" x14ac:dyDescent="0.35">
      <c r="A4" t="str">
        <f>IF(Input!A5="","",Input!A5)</f>
        <v>Rfolio Prudent</v>
      </c>
      <c r="L4" s="5"/>
      <c r="M4" s="5"/>
      <c r="N4" s="5"/>
      <c r="O4" s="5"/>
      <c r="P4" s="5"/>
      <c r="Q4" s="5"/>
      <c r="R4" s="5"/>
      <c r="S4" s="5"/>
      <c r="T4" s="5"/>
    </row>
    <row r="5" spans="1:30" x14ac:dyDescent="0.35">
      <c r="A5" t="str">
        <f>IF(Input!A6="","",Input!A6)</f>
        <v>Rfolio Balanced</v>
      </c>
      <c r="L5" s="5"/>
      <c r="M5" s="5"/>
      <c r="N5" s="5"/>
      <c r="O5" s="5"/>
      <c r="P5" s="5"/>
      <c r="Q5" s="5"/>
      <c r="R5" s="5"/>
      <c r="S5" s="5"/>
      <c r="T5" s="5"/>
    </row>
    <row r="6" spans="1:30" x14ac:dyDescent="0.35">
      <c r="A6" t="str">
        <f>IF(Input!A7="","",Input!A7)</f>
        <v>Rfolio Growth</v>
      </c>
      <c r="L6" s="5"/>
      <c r="M6" s="5"/>
      <c r="N6" s="5"/>
      <c r="O6" s="5"/>
      <c r="P6" s="5"/>
      <c r="Q6" s="5"/>
      <c r="R6" s="5"/>
      <c r="S6" s="5"/>
      <c r="T6" s="5"/>
    </row>
    <row r="7" spans="1:30" x14ac:dyDescent="0.35">
      <c r="A7" t="str">
        <f>IF(Input!A8="","",Input!A8)</f>
        <v>Rfolio Dynamic</v>
      </c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35">
      <c r="A8" t="str">
        <f>IF(Input!A9="","",Input!A9)</f>
        <v>Rfolio Adventurous</v>
      </c>
      <c r="L8" s="5"/>
      <c r="M8" s="5"/>
      <c r="N8" s="5"/>
      <c r="O8" s="5"/>
      <c r="P8" s="5"/>
      <c r="Q8" s="5"/>
      <c r="R8" s="5"/>
      <c r="S8" s="5"/>
      <c r="T8" s="5"/>
    </row>
    <row r="9" spans="1:30" x14ac:dyDescent="0.35">
      <c r="A9" t="str">
        <f>IF(Input!A10="","",Input!A10)</f>
        <v>Rfolio Income</v>
      </c>
      <c r="L9" s="5"/>
      <c r="M9" s="5"/>
      <c r="N9" s="5"/>
      <c r="O9" s="5"/>
      <c r="P9" s="5"/>
      <c r="Q9" s="5"/>
      <c r="R9" s="5"/>
      <c r="S9" s="5"/>
      <c r="T9" s="5"/>
    </row>
    <row r="10" spans="1:30" x14ac:dyDescent="0.35">
      <c r="A10" t="str">
        <f>IF(Input!A11="","",Input!A11)</f>
        <v>Responsible Cautious</v>
      </c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35">
      <c r="A11" t="str">
        <f>IF(Input!A12="","",Input!A12)</f>
        <v>Responsible Dynamic</v>
      </c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35">
      <c r="A12" t="str">
        <f>IF(Input!A13="","",Input!A13)</f>
        <v>Responsible Balanced</v>
      </c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35">
      <c r="A13" t="str">
        <f>IF(Input!A14="","",Input!A14)</f>
        <v>Responsible Growth</v>
      </c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35">
      <c r="A14" t="str">
        <f>IF(Input!A15="","",Input!A15)</f>
        <v/>
      </c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35">
      <c r="A15" t="str">
        <f>IF(Input!A16="","",Input!A16)</f>
        <v/>
      </c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35">
      <c r="A16" t="str">
        <f>IF(Input!A17="","",Input!A17)</f>
        <v/>
      </c>
      <c r="L16" s="5"/>
      <c r="M16" s="5"/>
      <c r="N16" s="5"/>
      <c r="O16" s="5"/>
      <c r="Q16" s="5"/>
      <c r="R16" s="5"/>
      <c r="S16" s="5"/>
      <c r="T16" s="5"/>
    </row>
    <row r="17" spans="1:29" x14ac:dyDescent="0.35">
      <c r="A17" t="str">
        <f>IF(Input!A18="","",Input!A18)</f>
        <v/>
      </c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35">
      <c r="A18" t="str">
        <f>IF(Input!A19="","",Input!A19)</f>
        <v/>
      </c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35">
      <c r="A19" t="str">
        <f>IF(Input!A20="","",Input!A20)</f>
        <v/>
      </c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3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3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3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3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3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3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3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3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3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3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3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3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3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3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3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35">
      <c r="A35" t="str">
        <f>IF(Input!A36="","",Input!A36)</f>
        <v/>
      </c>
    </row>
    <row r="36" spans="1:27" x14ac:dyDescent="0.35">
      <c r="A36" t="str">
        <f>IF(Input!A37="","",Input!A37)</f>
        <v/>
      </c>
    </row>
    <row r="37" spans="1:27" x14ac:dyDescent="0.35">
      <c r="A37" t="str">
        <f>IF(Input!A38="","",Input!A38)</f>
        <v/>
      </c>
    </row>
    <row r="38" spans="1:27" x14ac:dyDescent="0.35">
      <c r="A38" t="str">
        <f>IF(Input!A39="","",Input!A39)</f>
        <v/>
      </c>
    </row>
    <row r="39" spans="1:27" x14ac:dyDescent="0.35">
      <c r="A39" t="str">
        <f>IF(Input!A40="","",Input!A40)</f>
        <v/>
      </c>
    </row>
    <row r="40" spans="1:27" x14ac:dyDescent="0.35">
      <c r="A40" t="str">
        <f>IF(Input!A41="","",Input!A41)</f>
        <v/>
      </c>
    </row>
    <row r="41" spans="1:27" x14ac:dyDescent="0.35">
      <c r="A41" t="str">
        <f>IF(Input!A42="","",Input!A42)</f>
        <v/>
      </c>
    </row>
    <row r="42" spans="1:27" x14ac:dyDescent="0.35">
      <c r="A42" t="str">
        <f>IF(Input!A43="","",Input!A43)</f>
        <v/>
      </c>
    </row>
    <row r="43" spans="1:27" x14ac:dyDescent="0.35">
      <c r="A43" t="str">
        <f>IF(Input!A44="","",Input!A44)</f>
        <v/>
      </c>
    </row>
    <row r="44" spans="1:27" x14ac:dyDescent="0.35">
      <c r="A44" t="str">
        <f>IF(Input!A45="","",Input!A45)</f>
        <v/>
      </c>
    </row>
    <row r="45" spans="1:27" x14ac:dyDescent="0.35">
      <c r="A45" t="str">
        <f>IF(Input!A46="","",Input!A46)</f>
        <v/>
      </c>
    </row>
    <row r="46" spans="1:27" x14ac:dyDescent="0.35">
      <c r="A46" t="str">
        <f>IF(Input!A47="","",Input!A47)</f>
        <v/>
      </c>
    </row>
    <row r="47" spans="1:27" x14ac:dyDescent="0.35">
      <c r="A47" t="str">
        <f>IF(Input!A48="","",Input!A48)</f>
        <v/>
      </c>
    </row>
    <row r="48" spans="1:27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BCDE-1FFD-4C2E-B64B-AA463D5E7605}">
  <sheetPr codeName="Sheet34">
    <tabColor theme="5" tint="0.79998168889431442"/>
  </sheetPr>
  <dimension ref="A1:F50"/>
  <sheetViews>
    <sheetView workbookViewId="0">
      <selection activeCell="E16" sqref="E16"/>
    </sheetView>
  </sheetViews>
  <sheetFormatPr defaultRowHeight="14.5" x14ac:dyDescent="0.35"/>
  <cols>
    <col min="1" max="1" width="19.6328125" bestFit="1" customWidth="1"/>
    <col min="4" max="4" width="8.7265625" style="8"/>
  </cols>
  <sheetData>
    <row r="1" spans="1:6" x14ac:dyDescent="0.3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6" x14ac:dyDescent="0.35">
      <c r="A2" t="str">
        <f>IF(Input!A3="","",Input!A3)</f>
        <v>Rfolio Defensive</v>
      </c>
      <c r="B2" s="11" t="s">
        <v>68</v>
      </c>
      <c r="C2" t="s">
        <v>37</v>
      </c>
      <c r="F2" t="str">
        <f>SUBSTITUTE(C2," Factsheet","")</f>
        <v>Rfolio Defensive</v>
      </c>
    </row>
    <row r="3" spans="1:6" x14ac:dyDescent="0.35">
      <c r="A3" t="str">
        <f>IF(Input!A4="","",Input!A4)</f>
        <v>Rfolio Cautious</v>
      </c>
      <c r="B3" s="11" t="s">
        <v>68</v>
      </c>
      <c r="C3" t="s">
        <v>38</v>
      </c>
      <c r="F3" t="str">
        <f t="shared" ref="F3:F13" si="0">SUBSTITUTE(C3," Factsheet","")</f>
        <v>Rfolio Cautious</v>
      </c>
    </row>
    <row r="4" spans="1:6" x14ac:dyDescent="0.35">
      <c r="A4" t="str">
        <f>IF(Input!A5="","",Input!A5)</f>
        <v>Rfolio Prudent</v>
      </c>
      <c r="B4" s="11" t="s">
        <v>68</v>
      </c>
      <c r="C4" t="s">
        <v>39</v>
      </c>
      <c r="F4" t="str">
        <f t="shared" si="0"/>
        <v>Rfolio Prudent</v>
      </c>
    </row>
    <row r="5" spans="1:6" x14ac:dyDescent="0.35">
      <c r="A5" t="str">
        <f>IF(Input!A6="","",Input!A6)</f>
        <v>Rfolio Balanced</v>
      </c>
      <c r="B5" s="11" t="s">
        <v>68</v>
      </c>
      <c r="C5" t="s">
        <v>40</v>
      </c>
      <c r="F5" t="str">
        <f t="shared" si="0"/>
        <v>Rfolio Balanced</v>
      </c>
    </row>
    <row r="6" spans="1:6" x14ac:dyDescent="0.35">
      <c r="A6" t="str">
        <f>IF(Input!A7="","",Input!A7)</f>
        <v>Rfolio Growth</v>
      </c>
      <c r="B6" s="11" t="s">
        <v>68</v>
      </c>
      <c r="C6" t="s">
        <v>41</v>
      </c>
      <c r="F6" t="str">
        <f t="shared" si="0"/>
        <v>Rfolio Growth</v>
      </c>
    </row>
    <row r="7" spans="1:6" x14ac:dyDescent="0.35">
      <c r="A7" t="str">
        <f>IF(Input!A8="","",Input!A8)</f>
        <v>Rfolio Dynamic</v>
      </c>
      <c r="B7" s="11" t="s">
        <v>68</v>
      </c>
      <c r="C7" t="s">
        <v>42</v>
      </c>
      <c r="F7" t="str">
        <f t="shared" si="0"/>
        <v>Rfolio Dynamic</v>
      </c>
    </row>
    <row r="8" spans="1:6" x14ac:dyDescent="0.35">
      <c r="A8" t="str">
        <f>IF(Input!A9="","",Input!A9)</f>
        <v>Rfolio Adventurous</v>
      </c>
      <c r="B8" s="11" t="s">
        <v>68</v>
      </c>
      <c r="C8" t="s">
        <v>43</v>
      </c>
      <c r="F8" t="str">
        <f t="shared" si="0"/>
        <v>Rfolio Adventurous</v>
      </c>
    </row>
    <row r="9" spans="1:6" x14ac:dyDescent="0.35">
      <c r="A9" t="str">
        <f>IF(Input!A10="","",Input!A10)</f>
        <v>Rfolio Income</v>
      </c>
      <c r="B9" s="11" t="s">
        <v>68</v>
      </c>
      <c r="C9" t="s">
        <v>44</v>
      </c>
      <c r="F9" t="str">
        <f t="shared" si="0"/>
        <v>Rfolio Income</v>
      </c>
    </row>
    <row r="10" spans="1:6" x14ac:dyDescent="0.35">
      <c r="A10" t="str">
        <f>IF(Input!A11="","",Input!A11)</f>
        <v>Responsible Cautious</v>
      </c>
      <c r="B10" s="11" t="s">
        <v>68</v>
      </c>
      <c r="C10" t="s">
        <v>45</v>
      </c>
      <c r="F10" t="str">
        <f t="shared" si="0"/>
        <v>Responsible Cautious</v>
      </c>
    </row>
    <row r="11" spans="1:6" x14ac:dyDescent="0.35">
      <c r="A11" t="str">
        <f>IF(Input!A12="","",Input!A12)</f>
        <v>Responsible Dynamic</v>
      </c>
      <c r="B11" s="11" t="s">
        <v>68</v>
      </c>
      <c r="C11" t="s">
        <v>46</v>
      </c>
      <c r="F11" t="str">
        <f t="shared" si="0"/>
        <v>Responsible Dynamic</v>
      </c>
    </row>
    <row r="12" spans="1:6" x14ac:dyDescent="0.35">
      <c r="A12" t="str">
        <f>IF(Input!A13="","",Input!A13)</f>
        <v>Responsible Balanced</v>
      </c>
      <c r="B12" s="11" t="s">
        <v>68</v>
      </c>
      <c r="C12" t="s">
        <v>47</v>
      </c>
      <c r="F12" t="str">
        <f t="shared" si="0"/>
        <v>Responsible Balanced</v>
      </c>
    </row>
    <row r="13" spans="1:6" x14ac:dyDescent="0.35">
      <c r="A13" t="str">
        <f>IF(Input!A14="","",Input!A14)</f>
        <v>Responsible Growth</v>
      </c>
      <c r="B13" s="11" t="s">
        <v>68</v>
      </c>
      <c r="C13" t="s">
        <v>48</v>
      </c>
      <c r="F13" t="str">
        <f t="shared" si="0"/>
        <v>Responsible Growth</v>
      </c>
    </row>
    <row r="14" spans="1:6" x14ac:dyDescent="0.35">
      <c r="A14" t="str">
        <f>IF(Input!A15="","",Input!A15)</f>
        <v/>
      </c>
    </row>
    <row r="15" spans="1:6" x14ac:dyDescent="0.35">
      <c r="A15" t="str">
        <f>IF(Input!A16="","",Input!A16)</f>
        <v/>
      </c>
    </row>
    <row r="16" spans="1:6" x14ac:dyDescent="0.35">
      <c r="A16" t="str">
        <f>IF(Input!A17="","",Input!A17)</f>
        <v/>
      </c>
    </row>
    <row r="17" spans="1:1" x14ac:dyDescent="0.35">
      <c r="A17" t="str">
        <f>IF(Input!A18="","",Input!A18)</f>
        <v/>
      </c>
    </row>
    <row r="18" spans="1:1" x14ac:dyDescent="0.35">
      <c r="A18" t="str">
        <f>IF(Input!A19="","",Input!A19)</f>
        <v/>
      </c>
    </row>
    <row r="19" spans="1:1" x14ac:dyDescent="0.35">
      <c r="A19" t="str">
        <f>IF(Input!A20="","",Input!A20)</f>
        <v/>
      </c>
    </row>
    <row r="20" spans="1:1" x14ac:dyDescent="0.35">
      <c r="A20" t="str">
        <f>IF(Input!A21="","",Input!A21)</f>
        <v/>
      </c>
    </row>
    <row r="21" spans="1:1" x14ac:dyDescent="0.35">
      <c r="A21" t="str">
        <f>IF(Input!A22="","",Input!A22)</f>
        <v/>
      </c>
    </row>
    <row r="22" spans="1:1" x14ac:dyDescent="0.35">
      <c r="A22" t="str">
        <f>IF(Input!A23="","",Input!A23)</f>
        <v/>
      </c>
    </row>
    <row r="23" spans="1:1" x14ac:dyDescent="0.35">
      <c r="A23" t="str">
        <f>IF(Input!A24="","",Input!A24)</f>
        <v/>
      </c>
    </row>
    <row r="24" spans="1:1" x14ac:dyDescent="0.35">
      <c r="A24" t="str">
        <f>IF(Input!A25="","",Input!A25)</f>
        <v/>
      </c>
    </row>
    <row r="25" spans="1:1" x14ac:dyDescent="0.35">
      <c r="A25" t="str">
        <f>IF(Input!A26="","",Input!A26)</f>
        <v/>
      </c>
    </row>
    <row r="26" spans="1:1" x14ac:dyDescent="0.35">
      <c r="A26" t="str">
        <f>IF(Input!A27="","",Input!A27)</f>
        <v/>
      </c>
    </row>
    <row r="27" spans="1:1" x14ac:dyDescent="0.35">
      <c r="A27" t="str">
        <f>IF(Input!A28="","",Input!A28)</f>
        <v/>
      </c>
    </row>
    <row r="28" spans="1:1" x14ac:dyDescent="0.35">
      <c r="A28" t="str">
        <f>IF(Input!A29="","",Input!A29)</f>
        <v/>
      </c>
    </row>
    <row r="29" spans="1:1" x14ac:dyDescent="0.35">
      <c r="A29" t="str">
        <f>IF(Input!A30="","",Input!A30)</f>
        <v/>
      </c>
    </row>
    <row r="30" spans="1:1" x14ac:dyDescent="0.35">
      <c r="A30" t="str">
        <f>IF(Input!A31="","",Input!A31)</f>
        <v/>
      </c>
    </row>
    <row r="31" spans="1:1" x14ac:dyDescent="0.35">
      <c r="A31" t="str">
        <f>IF(Input!A32="","",Input!A32)</f>
        <v/>
      </c>
    </row>
    <row r="32" spans="1:1" x14ac:dyDescent="0.35">
      <c r="A32" t="str">
        <f>IF(Input!A33="","",Input!A33)</f>
        <v/>
      </c>
    </row>
    <row r="33" spans="1:1" x14ac:dyDescent="0.35">
      <c r="A33" t="str">
        <f>IF(Input!A34="","",Input!A34)</f>
        <v/>
      </c>
    </row>
    <row r="34" spans="1:1" x14ac:dyDescent="0.35">
      <c r="A34" t="str">
        <f>IF(Input!A35="","",Input!A35)</f>
        <v/>
      </c>
    </row>
    <row r="35" spans="1:1" x14ac:dyDescent="0.35">
      <c r="A35" t="str">
        <f>IF(Input!A36="","",Input!A36)</f>
        <v/>
      </c>
    </row>
    <row r="36" spans="1:1" x14ac:dyDescent="0.35">
      <c r="A36" t="str">
        <f>IF(Input!A37="","",Input!A37)</f>
        <v/>
      </c>
    </row>
    <row r="37" spans="1:1" x14ac:dyDescent="0.35">
      <c r="A37" t="str">
        <f>IF(Input!A38="","",Input!A38)</f>
        <v/>
      </c>
    </row>
    <row r="38" spans="1:1" x14ac:dyDescent="0.35">
      <c r="A38" t="str">
        <f>IF(Input!A39="","",Input!A39)</f>
        <v/>
      </c>
    </row>
    <row r="39" spans="1:1" x14ac:dyDescent="0.35">
      <c r="A39" t="str">
        <f>IF(Input!A40="","",Input!A40)</f>
        <v/>
      </c>
    </row>
    <row r="40" spans="1:1" x14ac:dyDescent="0.35">
      <c r="A40" t="str">
        <f>IF(Input!A41="","",Input!A41)</f>
        <v/>
      </c>
    </row>
    <row r="41" spans="1:1" x14ac:dyDescent="0.35">
      <c r="A41" t="str">
        <f>IF(Input!A42="","",Input!A42)</f>
        <v/>
      </c>
    </row>
    <row r="42" spans="1:1" x14ac:dyDescent="0.35">
      <c r="A42" t="str">
        <f>IF(Input!A43="","",Input!A43)</f>
        <v/>
      </c>
    </row>
    <row r="43" spans="1:1" x14ac:dyDescent="0.35">
      <c r="A43" t="str">
        <f>IF(Input!A44="","",Input!A44)</f>
        <v/>
      </c>
    </row>
    <row r="44" spans="1:1" x14ac:dyDescent="0.35">
      <c r="A44" t="str">
        <f>IF(Input!A45="","",Input!A45)</f>
        <v/>
      </c>
    </row>
    <row r="45" spans="1:1" x14ac:dyDescent="0.35">
      <c r="A45" t="str">
        <f>IF(Input!A46="","",Input!A46)</f>
        <v/>
      </c>
    </row>
    <row r="46" spans="1:1" x14ac:dyDescent="0.35">
      <c r="A46" t="str">
        <f>IF(Input!A47="","",Input!A47)</f>
        <v/>
      </c>
    </row>
    <row r="47" spans="1:1" x14ac:dyDescent="0.35">
      <c r="A47" t="str">
        <f>IF(Input!A48="","",Input!A48)</f>
        <v/>
      </c>
    </row>
    <row r="48" spans="1:1" x14ac:dyDescent="0.35">
      <c r="A48" t="str">
        <f>IF(Input!A49="","",Input!A49)</f>
        <v/>
      </c>
    </row>
    <row r="49" spans="1:1" x14ac:dyDescent="0.35">
      <c r="A49" t="str">
        <f>IF(Input!A50="","",Input!A50)</f>
        <v/>
      </c>
    </row>
    <row r="50" spans="1:1" x14ac:dyDescent="0.3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2F9356-86C8-4E58-8786-C6159039EEF1}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4.5" x14ac:dyDescent="0.35"/>
  <cols>
    <col min="2" max="2" width="10.453125" bestFit="1" customWidth="1"/>
  </cols>
  <sheetData>
    <row r="1" spans="1:2" x14ac:dyDescent="0.35">
      <c r="B1" t="s">
        <v>22</v>
      </c>
    </row>
    <row r="2" spans="1:2" x14ac:dyDescent="0.35">
      <c r="A2" t="str">
        <f>IF(Input!A3="","",Input!A3)</f>
        <v>Rfolio Defensive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35">
      <c r="A3" t="str">
        <f>IF(Input!A4="","",Input!A4)</f>
        <v>Rfolio Cautious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35">
      <c r="A4" t="str">
        <f>IF(Input!A5="","",Input!A5)</f>
        <v>Rfolio Prudent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35">
      <c r="A5" t="str">
        <f>IF(Input!A6="","",Input!A6)</f>
        <v>Rfolio Balanced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35">
      <c r="A6" t="str">
        <f>IF(Input!A7="","",Input!A7)</f>
        <v>Rfolio Growth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35">
      <c r="A7" t="str">
        <f>IF(Input!A8="","",Input!A8)</f>
        <v>Rfolio Dynamic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35">
      <c r="A8" t="str">
        <f>IF(Input!A9="","",Input!A9)</f>
        <v>Rfolio Adventurous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35">
      <c r="A9" t="str">
        <f>IF(Input!A10="","",Input!A10)</f>
        <v>Rfolio Income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35">
      <c r="A10" t="str">
        <f>IF(Input!A11="","",Input!A11)</f>
        <v>Responsible Cautious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35">
      <c r="A11" t="str">
        <f>IF(Input!A12="","",Input!A12)</f>
        <v>Responsible Dynamic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35">
      <c r="A12" t="str">
        <f>IF(Input!A13="","",Input!A13)</f>
        <v>Responsible Balanced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35">
      <c r="A13" t="str">
        <f>IF(Input!A14="","",Input!A14)</f>
        <v>Responsible Growth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3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3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3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3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3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3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3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3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3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3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3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3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3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3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3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3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3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3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3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3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3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3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3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3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3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3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3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3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3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3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3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3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3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3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3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3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3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996DE-5B63-454E-ABB7-FF9EB2E05737}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4.5" x14ac:dyDescent="0.35"/>
  <cols>
    <col min="2" max="2" width="19.26953125" bestFit="1" customWidth="1"/>
    <col min="3" max="3" width="17.26953125" bestFit="1" customWidth="1"/>
  </cols>
  <sheetData>
    <row r="1" spans="1:7" x14ac:dyDescent="0.3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35">
      <c r="A2" t="str">
        <f>IF(Input!A3="","",Input!A3)</f>
        <v>Rfolio Defensive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0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35">
      <c r="A3" t="str">
        <f>IF(Input!A4="","",Input!A4)</f>
        <v>Rfolio Cautious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0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35">
      <c r="A4" t="str">
        <f>IF(Input!A5="","",Input!A5)</f>
        <v>Rfolio Prudent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0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35">
      <c r="A5" t="str">
        <f>IF(Input!A6="","",Input!A6)</f>
        <v>Rfolio Balanced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0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35">
      <c r="A6" t="str">
        <f>IF(Input!A7="","",Input!A7)</f>
        <v>Rfolio Growth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0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35">
      <c r="A7" t="str">
        <f>IF(Input!A8="","",Input!A8)</f>
        <v>Rfolio Dynamic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0</v>
      </c>
      <c r="E7">
        <f>IF(A7="","",SUM('Additional Information'!C7))</f>
        <v>0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35">
      <c r="A8" t="str">
        <f>IF(Input!A9="","",Input!A9)</f>
        <v>Rfolio Adventurous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0</v>
      </c>
      <c r="E8">
        <f>IF(A8="","",SUM('Additional Information'!C8))</f>
        <v>0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35">
      <c r="A9" t="str">
        <f>IF(Input!A10="","",Input!A10)</f>
        <v>Rfolio Income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0</v>
      </c>
      <c r="E9">
        <f>IF(A9="","",SUM('Additional Information'!C9))</f>
        <v>0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35">
      <c r="A10" t="str">
        <f>IF(Input!A11="","",Input!A11)</f>
        <v>Responsible Cautious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0</v>
      </c>
      <c r="E10">
        <f>IF(A10="","",SUM('Additional Information'!C10))</f>
        <v>0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35">
      <c r="A11" t="str">
        <f>IF(Input!A12="","",Input!A12)</f>
        <v>Responsible Dynamic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0</v>
      </c>
      <c r="E11">
        <f>IF(A11="","",SUM('Additional Information'!C11))</f>
        <v>0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35">
      <c r="A12" t="str">
        <f>IF(Input!A13="","",Input!A13)</f>
        <v>Responsible Balanced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0</v>
      </c>
      <c r="E12">
        <f>IF(A12="","",SUM('Additional Information'!C12))</f>
        <v>0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35">
      <c r="A13" t="str">
        <f>IF(Input!A14="","",Input!A14)</f>
        <v>Responsible Growth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0</v>
      </c>
      <c r="E13">
        <f>IF(A13="","",SUM('Additional Information'!C13))</f>
        <v>0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35">
      <c r="A14" t="str">
        <f>IF(Input!A15="","",Input!A15)</f>
        <v/>
      </c>
      <c r="C14" t="str">
        <f>IF(A14="","",IF(OR('Additional Information'!G14="",'Additional Information'!G14="-"),"",'Additional Information'!G14))</f>
        <v/>
      </c>
      <c r="D14" s="5" t="str">
        <f>IF(A14="","",SUM('Additional Information'!C14,'Additional Information'!D14))</f>
        <v/>
      </c>
      <c r="E14" t="str">
        <f>IF(A14="","",SUM('Additional Information'!C14))</f>
        <v/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3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3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3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3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3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3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3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3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3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3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3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3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3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3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3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3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3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3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3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3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3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3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3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3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3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3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3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3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3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3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3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3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3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3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3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3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F76ED-58A3-46C3-B1A7-FCF58094DB8B}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4.5" x14ac:dyDescent="0.35"/>
  <cols>
    <col min="1" max="1" width="39.54296875" bestFit="1" customWidth="1"/>
    <col min="5" max="5" width="11.81640625" bestFit="1" customWidth="1"/>
    <col min="6" max="6" width="14.36328125" bestFit="1" customWidth="1"/>
  </cols>
  <sheetData>
    <row r="1" spans="1:8" x14ac:dyDescent="0.3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35">
      <c r="A2" t="str">
        <f>IF(Input!A3="","",Input!A3)</f>
        <v>Rfolio Defensive</v>
      </c>
      <c r="B2">
        <f>IF(A2="","",SUM('Asset Allocation'!F2,'Asset Allocation'!G2,'Asset Allocation'!H2,'Asset Allocation'!I2,'Asset Allocation'!J2,'Asset Allocation'!K2))</f>
        <v>0</v>
      </c>
      <c r="C2">
        <f>IF(A2="","",SUM('Asset Allocation'!C2))</f>
        <v>0</v>
      </c>
      <c r="D2">
        <f>IF(A2="","",SUM('Asset Allocation'!D2))</f>
        <v>0</v>
      </c>
      <c r="F2">
        <f>IF(A2="","",SUM('Asset Allocation'!E2))</f>
        <v>0</v>
      </c>
      <c r="G2">
        <f>IF(A2="","",SUM('Asset Allocation'!B2))</f>
        <v>0</v>
      </c>
      <c r="H2">
        <f t="shared" ref="H2:H50" si="0">IF(A2="","",1-SUM(B2:G2))</f>
        <v>1</v>
      </c>
    </row>
    <row r="3" spans="1:8" x14ac:dyDescent="0.35">
      <c r="A3" t="str">
        <f>IF(Input!A4="","",Input!A4)</f>
        <v>Rfolio Cautious</v>
      </c>
      <c r="B3">
        <f>IF(A3="","",SUM('Asset Allocation'!F3,'Asset Allocation'!G3,'Asset Allocation'!H3,'Asset Allocation'!I3,'Asset Allocation'!J3,'Asset Allocation'!K3))</f>
        <v>0</v>
      </c>
      <c r="C3">
        <f>IF(A3="","",SUM('Asset Allocation'!C3))</f>
        <v>0</v>
      </c>
      <c r="D3">
        <f>IF(A3="","",SUM('Asset Allocation'!D3))</f>
        <v>0</v>
      </c>
      <c r="F3">
        <f>IF(A3="","",SUM('Asset Allocation'!E3))</f>
        <v>0</v>
      </c>
      <c r="G3">
        <f>IF(A3="","",SUM('Asset Allocation'!B3))</f>
        <v>0</v>
      </c>
      <c r="H3">
        <f t="shared" si="0"/>
        <v>1</v>
      </c>
    </row>
    <row r="4" spans="1:8" x14ac:dyDescent="0.35">
      <c r="A4" t="str">
        <f>IF(Input!A5="","",Input!A5)</f>
        <v>Rfolio Prudent</v>
      </c>
      <c r="B4">
        <f>IF(A4="","",SUM('Asset Allocation'!F4,'Asset Allocation'!G4,'Asset Allocation'!H4,'Asset Allocation'!I4,'Asset Allocation'!J4,'Asset Allocation'!K4))</f>
        <v>0</v>
      </c>
      <c r="C4">
        <f>IF(A4="","",SUM('Asset Allocation'!C4))</f>
        <v>0</v>
      </c>
      <c r="D4">
        <f>IF(A4="","",SUM('Asset Allocation'!D4))</f>
        <v>0</v>
      </c>
      <c r="F4">
        <f>IF(A4="","",SUM('Asset Allocation'!E4))</f>
        <v>0</v>
      </c>
      <c r="G4">
        <f>IF(A4="","",SUM('Asset Allocation'!B4))</f>
        <v>0</v>
      </c>
      <c r="H4">
        <f t="shared" si="0"/>
        <v>1</v>
      </c>
    </row>
    <row r="5" spans="1:8" x14ac:dyDescent="0.35">
      <c r="A5" t="str">
        <f>IF(Input!A6="","",Input!A6)</f>
        <v>Rfolio Balanced</v>
      </c>
      <c r="B5">
        <f>IF(A5="","",SUM('Asset Allocation'!F5,'Asset Allocation'!G5,'Asset Allocation'!H5,'Asset Allocation'!I5,'Asset Allocation'!J5,'Asset Allocation'!K5))</f>
        <v>0</v>
      </c>
      <c r="C5">
        <f>IF(A5="","",SUM('Asset Allocation'!C5))</f>
        <v>0</v>
      </c>
      <c r="D5">
        <f>IF(A5="","",SUM('Asset Allocation'!D5))</f>
        <v>0</v>
      </c>
      <c r="F5">
        <f>IF(A5="","",SUM('Asset Allocation'!E5))</f>
        <v>0</v>
      </c>
      <c r="G5">
        <f>IF(A5="","",SUM('Asset Allocation'!B5))</f>
        <v>0</v>
      </c>
      <c r="H5">
        <f t="shared" si="0"/>
        <v>1</v>
      </c>
    </row>
    <row r="6" spans="1:8" x14ac:dyDescent="0.35">
      <c r="A6" t="str">
        <f>IF(Input!A7="","",Input!A7)</f>
        <v>Rfolio Growth</v>
      </c>
      <c r="B6">
        <f>IF(A6="","",SUM('Asset Allocation'!F6,'Asset Allocation'!G6,'Asset Allocation'!H6,'Asset Allocation'!I6,'Asset Allocation'!J6,'Asset Allocation'!K6))</f>
        <v>0</v>
      </c>
      <c r="C6">
        <f>IF(A6="","",SUM('Asset Allocation'!C6))</f>
        <v>0</v>
      </c>
      <c r="D6">
        <f>IF(A6="","",SUM('Asset Allocation'!D6))</f>
        <v>0</v>
      </c>
      <c r="F6">
        <f>IF(A6="","",SUM('Asset Allocation'!E6))</f>
        <v>0</v>
      </c>
      <c r="G6">
        <f>IF(A6="","",SUM('Asset Allocation'!B6))</f>
        <v>0</v>
      </c>
      <c r="H6">
        <f t="shared" si="0"/>
        <v>1</v>
      </c>
    </row>
    <row r="7" spans="1:8" x14ac:dyDescent="0.35">
      <c r="A7" t="str">
        <f>IF(Input!A8="","",Input!A8)</f>
        <v>Rfolio Dynamic</v>
      </c>
      <c r="B7">
        <f>IF(A7="","",SUM('Asset Allocation'!F7,'Asset Allocation'!G7,'Asset Allocation'!H7,'Asset Allocation'!I7,'Asset Allocation'!J7,'Asset Allocation'!K7))</f>
        <v>0</v>
      </c>
      <c r="C7">
        <f>IF(A7="","",SUM('Asset Allocation'!C7))</f>
        <v>0</v>
      </c>
      <c r="D7">
        <f>IF(A7="","",SUM('Asset Allocation'!D7))</f>
        <v>0</v>
      </c>
      <c r="F7">
        <f>IF(A7="","",SUM('Asset Allocation'!E7))</f>
        <v>0</v>
      </c>
      <c r="G7">
        <f>IF(A7="","",SUM('Asset Allocation'!B7))</f>
        <v>0</v>
      </c>
      <c r="H7">
        <f t="shared" si="0"/>
        <v>1</v>
      </c>
    </row>
    <row r="8" spans="1:8" x14ac:dyDescent="0.35">
      <c r="A8" t="str">
        <f>IF(Input!A9="","",Input!A9)</f>
        <v>Rfolio Adventurous</v>
      </c>
      <c r="B8">
        <f>IF(A8="","",SUM('Asset Allocation'!F8,'Asset Allocation'!G8,'Asset Allocation'!H8,'Asset Allocation'!I8,'Asset Allocation'!J8,'Asset Allocation'!K8))</f>
        <v>0</v>
      </c>
      <c r="C8">
        <f>IF(A8="","",SUM('Asset Allocation'!C8))</f>
        <v>0</v>
      </c>
      <c r="D8">
        <f>IF(A8="","",SUM('Asset Allocation'!D8))</f>
        <v>0</v>
      </c>
      <c r="F8">
        <f>IF(A8="","",SUM('Asset Allocation'!E8))</f>
        <v>0</v>
      </c>
      <c r="G8">
        <f>IF(A8="","",SUM('Asset Allocation'!B8))</f>
        <v>0</v>
      </c>
      <c r="H8">
        <f t="shared" si="0"/>
        <v>1</v>
      </c>
    </row>
    <row r="9" spans="1:8" x14ac:dyDescent="0.35">
      <c r="A9" t="str">
        <f>IF(Input!A10="","",Input!A10)</f>
        <v>Rfolio Income</v>
      </c>
      <c r="B9">
        <f>IF(A9="","",SUM('Asset Allocation'!F9,'Asset Allocation'!G9,'Asset Allocation'!H9,'Asset Allocation'!I9,'Asset Allocation'!J9,'Asset Allocation'!K9))</f>
        <v>0</v>
      </c>
      <c r="C9">
        <f>IF(A9="","",SUM('Asset Allocation'!C9))</f>
        <v>0</v>
      </c>
      <c r="D9">
        <f>IF(A9="","",SUM('Asset Allocation'!D9))</f>
        <v>0</v>
      </c>
      <c r="F9">
        <f>IF(A9="","",SUM('Asset Allocation'!E9))</f>
        <v>0</v>
      </c>
      <c r="G9">
        <f>IF(A9="","",SUM('Asset Allocation'!B9))</f>
        <v>0</v>
      </c>
      <c r="H9">
        <f t="shared" si="0"/>
        <v>1</v>
      </c>
    </row>
    <row r="10" spans="1:8" x14ac:dyDescent="0.35">
      <c r="A10" t="str">
        <f>IF(Input!A11="","",Input!A11)</f>
        <v>Responsible Cautious</v>
      </c>
      <c r="B10">
        <f>IF(A10="","",SUM('Asset Allocation'!F10,'Asset Allocation'!G10,'Asset Allocation'!H10,'Asset Allocation'!I10,'Asset Allocation'!J10,'Asset Allocation'!K10))</f>
        <v>0</v>
      </c>
      <c r="C10">
        <f>IF(A10="","",SUM('Asset Allocation'!C10))</f>
        <v>0</v>
      </c>
      <c r="D10">
        <f>IF(A10="","",SUM('Asset Allocation'!D10))</f>
        <v>0</v>
      </c>
      <c r="F10">
        <f>IF(A10="","",SUM('Asset Allocation'!E10))</f>
        <v>0</v>
      </c>
      <c r="G10">
        <f>IF(A10="","",SUM('Asset Allocation'!B10))</f>
        <v>0</v>
      </c>
      <c r="H10">
        <f t="shared" si="0"/>
        <v>1</v>
      </c>
    </row>
    <row r="11" spans="1:8" x14ac:dyDescent="0.35">
      <c r="A11" t="str">
        <f>IF(Input!A12="","",Input!A12)</f>
        <v>Responsible Dynamic</v>
      </c>
      <c r="B11">
        <f>IF(A11="","",SUM('Asset Allocation'!F11,'Asset Allocation'!G11,'Asset Allocation'!H11,'Asset Allocation'!I11,'Asset Allocation'!J11,'Asset Allocation'!K11))</f>
        <v>0</v>
      </c>
      <c r="C11">
        <f>IF(A11="","",SUM('Asset Allocation'!C11))</f>
        <v>0</v>
      </c>
      <c r="D11">
        <f>IF(A11="","",SUM('Asset Allocation'!D11))</f>
        <v>0</v>
      </c>
      <c r="F11">
        <f>IF(A11="","",SUM('Asset Allocation'!E11))</f>
        <v>0</v>
      </c>
      <c r="G11">
        <f>IF(A11="","",SUM('Asset Allocation'!B11))</f>
        <v>0</v>
      </c>
      <c r="H11">
        <f t="shared" si="0"/>
        <v>1</v>
      </c>
    </row>
    <row r="12" spans="1:8" x14ac:dyDescent="0.35">
      <c r="A12" t="str">
        <f>IF(Input!A13="","",Input!A13)</f>
        <v>Responsible Balanced</v>
      </c>
      <c r="B12">
        <f>IF(A12="","",SUM('Asset Allocation'!F12,'Asset Allocation'!G12,'Asset Allocation'!H12,'Asset Allocation'!I12,'Asset Allocation'!J12,'Asset Allocation'!K12))</f>
        <v>0</v>
      </c>
      <c r="C12">
        <f>IF(A12="","",SUM('Asset Allocation'!C12))</f>
        <v>0</v>
      </c>
      <c r="D12">
        <f>IF(A12="","",SUM('Asset Allocation'!D12))</f>
        <v>0</v>
      </c>
      <c r="F12">
        <f>IF(A12="","",SUM('Asset Allocation'!E12))</f>
        <v>0</v>
      </c>
      <c r="G12">
        <f>IF(A12="","",SUM('Asset Allocation'!B12))</f>
        <v>0</v>
      </c>
      <c r="H12">
        <f t="shared" si="0"/>
        <v>1</v>
      </c>
    </row>
    <row r="13" spans="1:8" x14ac:dyDescent="0.35">
      <c r="A13" t="str">
        <f>IF(Input!A14="","",Input!A14)</f>
        <v>Responsible Growth</v>
      </c>
      <c r="B13">
        <f>IF(A13="","",SUM('Asset Allocation'!F13,'Asset Allocation'!G13,'Asset Allocation'!H13,'Asset Allocation'!I13,'Asset Allocation'!J13,'Asset Allocation'!K13))</f>
        <v>0</v>
      </c>
      <c r="C13">
        <f>IF(A13="","",SUM('Asset Allocation'!C13))</f>
        <v>0</v>
      </c>
      <c r="D13">
        <f>IF(A13="","",SUM('Asset Allocation'!D13))</f>
        <v>0</v>
      </c>
      <c r="F13">
        <f>IF(A13="","",SUM('Asset Allocation'!E13))</f>
        <v>0</v>
      </c>
      <c r="G13">
        <f>IF(A13="","",SUM('Asset Allocation'!B13))</f>
        <v>0</v>
      </c>
      <c r="H13">
        <f t="shared" si="0"/>
        <v>1</v>
      </c>
    </row>
    <row r="14" spans="1:8" x14ac:dyDescent="0.35">
      <c r="A14" t="str">
        <f>IF(Input!A15="","",Input!A15)</f>
        <v/>
      </c>
      <c r="B14" t="str">
        <f>IF(A14="","",SUM('Asset Allocation'!F14,'Asset Allocation'!G14,'Asset Allocation'!H14,'Asset Allocation'!I14,'Asset Allocation'!J14,'Asset Allocation'!K14))</f>
        <v/>
      </c>
      <c r="C14" t="str">
        <f>IF(A14="","",SUM('Asset Allocation'!C14))</f>
        <v/>
      </c>
      <c r="D14" t="str">
        <f>IF(A14="","",SUM('Asset Allocation'!D14))</f>
        <v/>
      </c>
      <c r="F14" t="str">
        <f>IF(A14="","",SUM('Asset Allocation'!E14))</f>
        <v/>
      </c>
      <c r="G14" t="str">
        <f>IF(A14="","",SUM('Asset Allocation'!B14))</f>
        <v/>
      </c>
      <c r="H14" t="str">
        <f t="shared" si="0"/>
        <v/>
      </c>
    </row>
    <row r="15" spans="1:8" x14ac:dyDescent="0.3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3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3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3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3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3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3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3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3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3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3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3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3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3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3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3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3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3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3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3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3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3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3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3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3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3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3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3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3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3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3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3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3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3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3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3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07330-D7C5-4FC7-81EF-FD92785D8676}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cols>
    <col min="1" max="1" width="19.08984375" bestFit="1" customWidth="1"/>
    <col min="2" max="7" width="8.81640625" bestFit="1" customWidth="1"/>
    <col min="8" max="8" width="17.54296875" bestFit="1" customWidth="1"/>
  </cols>
  <sheetData>
    <row r="1" spans="1:8" x14ac:dyDescent="0.3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35">
      <c r="A2" t="str">
        <f>IF(Input!A3="","",Input!A3)</f>
        <v>Rfolio Defensive</v>
      </c>
      <c r="B2" s="6">
        <f>IFERROR(IF(A2="","",SUM('Asset Allocation'!G2)/'Broad Asset Allocation'!B2),0)</f>
        <v>0</v>
      </c>
      <c r="C2" s="6">
        <f>IFERROR(IF(A2="","",SUM('Asset Allocation'!F2)/'Broad Asset Allocation'!B2),0)</f>
        <v>0</v>
      </c>
      <c r="D2" s="6">
        <f>IFERROR(IF(A2="","",SUM('Asset Allocation'!H2)/'Broad Asset Allocation'!B2),0)</f>
        <v>0</v>
      </c>
      <c r="E2" s="6">
        <f>IFERROR(IF(A2="","",SUM('Asset Allocation'!I2)/'Broad Asset Allocation'!B2),0)</f>
        <v>0</v>
      </c>
      <c r="F2" s="6"/>
      <c r="G2" s="6">
        <f>IFERROR(IF(A2="","",SUM('Asset Allocation'!J2)/'Broad Asset Allocation'!B2),0)</f>
        <v>0</v>
      </c>
      <c r="H2" s="6">
        <f>IFERROR(IF(A2="","",SUM('Asset Allocation'!K2)/'Broad Asset Allocation'!B2),0)</f>
        <v>0</v>
      </c>
    </row>
    <row r="3" spans="1:8" x14ac:dyDescent="0.35">
      <c r="A3" t="str">
        <f>IF(Input!A4="","",Input!A4)</f>
        <v>Rfolio Cautious</v>
      </c>
      <c r="B3" s="6">
        <f>IFERROR(IF(A3="","",SUM('Asset Allocation'!G3)/'Broad Asset Allocation'!B3),0)</f>
        <v>0</v>
      </c>
      <c r="C3" s="6">
        <f>IFERROR(IF(A3="","",SUM('Asset Allocation'!F3)/'Broad Asset Allocation'!B3),0)</f>
        <v>0</v>
      </c>
      <c r="D3" s="6">
        <f>IFERROR(IF(A3="","",SUM('Asset Allocation'!H3)/'Broad Asset Allocation'!B3),0)</f>
        <v>0</v>
      </c>
      <c r="E3" s="6">
        <f>IFERROR(IF(A3="","",SUM('Asset Allocation'!I3)/'Broad Asset Allocation'!B3),0)</f>
        <v>0</v>
      </c>
      <c r="F3" s="6"/>
      <c r="G3" s="6">
        <f>IFERROR(IF(A3="","",SUM('Asset Allocation'!J3)/'Broad Asset Allocation'!B3),0)</f>
        <v>0</v>
      </c>
      <c r="H3" s="6">
        <f>IFERROR(IF(A3="","",SUM('Asset Allocation'!K3)/'Broad Asset Allocation'!B3),0)</f>
        <v>0</v>
      </c>
    </row>
    <row r="4" spans="1:8" x14ac:dyDescent="0.35">
      <c r="A4" t="str">
        <f>IF(Input!A5="","",Input!A5)</f>
        <v>Rfolio Prudent</v>
      </c>
      <c r="B4" s="6">
        <f>IFERROR(IF(A4="","",SUM('Asset Allocation'!G4)/'Broad Asset Allocation'!B4),0)</f>
        <v>0</v>
      </c>
      <c r="C4" s="6">
        <f>IFERROR(IF(A4="","",SUM('Asset Allocation'!F4)/'Broad Asset Allocation'!B4),0)</f>
        <v>0</v>
      </c>
      <c r="D4" s="6">
        <f>IFERROR(IF(A4="","",SUM('Asset Allocation'!H4)/'Broad Asset Allocation'!B4),0)</f>
        <v>0</v>
      </c>
      <c r="E4" s="6">
        <f>IFERROR(IF(A4="","",SUM('Asset Allocation'!I4)/'Broad Asset Allocation'!B4),0)</f>
        <v>0</v>
      </c>
      <c r="F4" s="6"/>
      <c r="G4" s="6">
        <f>IFERROR(IF(A4="","",SUM('Asset Allocation'!J4)/'Broad Asset Allocation'!B4),0)</f>
        <v>0</v>
      </c>
      <c r="H4" s="6">
        <f>IFERROR(IF(A4="","",SUM('Asset Allocation'!K4)/'Broad Asset Allocation'!B4),0)</f>
        <v>0</v>
      </c>
    </row>
    <row r="5" spans="1:8" x14ac:dyDescent="0.35">
      <c r="A5" t="str">
        <f>IF(Input!A6="","",Input!A6)</f>
        <v>Rfolio Balanced</v>
      </c>
      <c r="B5" s="6">
        <f>IFERROR(IF(A5="","",SUM('Asset Allocation'!G5)/'Broad Asset Allocation'!B5),0)</f>
        <v>0</v>
      </c>
      <c r="C5" s="6">
        <f>IFERROR(IF(A5="","",SUM('Asset Allocation'!F5)/'Broad Asset Allocation'!B5),0)</f>
        <v>0</v>
      </c>
      <c r="D5" s="6">
        <f>IFERROR(IF(A5="","",SUM('Asset Allocation'!H5)/'Broad Asset Allocation'!B5),0)</f>
        <v>0</v>
      </c>
      <c r="E5" s="6">
        <f>IFERROR(IF(A5="","",SUM('Asset Allocation'!I5)/'Broad Asset Allocation'!B5),0)</f>
        <v>0</v>
      </c>
      <c r="F5" s="6"/>
      <c r="G5" s="6">
        <f>IFERROR(IF(A5="","",SUM('Asset Allocation'!J5)/'Broad Asset Allocation'!B5),0)</f>
        <v>0</v>
      </c>
      <c r="H5" s="6">
        <f>IFERROR(IF(A5="","",SUM('Asset Allocation'!K5)/'Broad Asset Allocation'!B5),0)</f>
        <v>0</v>
      </c>
    </row>
    <row r="6" spans="1:8" x14ac:dyDescent="0.35">
      <c r="A6" t="str">
        <f>IF(Input!A7="","",Input!A7)</f>
        <v>Rfolio Growth</v>
      </c>
      <c r="B6" s="6">
        <f>IFERROR(IF(A6="","",SUM('Asset Allocation'!G6)/'Broad Asset Allocation'!B6),0)</f>
        <v>0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</v>
      </c>
      <c r="E6" s="6">
        <f>IFERROR(IF(A6="","",SUM('Asset Allocation'!I6)/'Broad Asset Allocation'!B6),0)</f>
        <v>0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35">
      <c r="A7" t="str">
        <f>IF(Input!A8="","",Input!A8)</f>
        <v>Rfolio Dynamic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0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35">
      <c r="A8" t="str">
        <f>IF(Input!A9="","",Input!A9)</f>
        <v>Rfolio Adventurous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0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35">
      <c r="A9" t="str">
        <f>IF(Input!A10="","",Input!A10)</f>
        <v>Rfolio Income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0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35">
      <c r="A10" t="str">
        <f>IF(Input!A11="","",Input!A11)</f>
        <v>Responsible Cautious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</v>
      </c>
      <c r="H10" s="6">
        <f>IFERROR(IF(A10="","",SUM('Asset Allocation'!K10)/'Broad Asset Allocation'!B10),0)</f>
        <v>0</v>
      </c>
    </row>
    <row r="11" spans="1:8" x14ac:dyDescent="0.35">
      <c r="A11" t="str">
        <f>IF(Input!A12="","",Input!A12)</f>
        <v>Responsible Dynamic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</v>
      </c>
      <c r="H11" s="6">
        <f>IFERROR(IF(A11="","",SUM('Asset Allocation'!K11)/'Broad Asset Allocation'!B11),0)</f>
        <v>0</v>
      </c>
    </row>
    <row r="12" spans="1:8" x14ac:dyDescent="0.35">
      <c r="A12" t="str">
        <f>IF(Input!A13="","",Input!A13)</f>
        <v>Responsible Balanced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0</v>
      </c>
      <c r="D12" s="6">
        <f>IFERROR(IF(A12="","",SUM('Asset Allocation'!H12)/'Broad Asset Allocation'!B12),0)</f>
        <v>0</v>
      </c>
      <c r="E12" s="6">
        <f>IFERROR(IF(A12="","",SUM('Asset Allocation'!I12)/'Broad Asset Allocation'!B12),0)</f>
        <v>0</v>
      </c>
      <c r="F12" s="6"/>
      <c r="G12" s="6">
        <f>IFERROR(IF(A12="","",SUM('Asset Allocation'!J12)/'Broad Asset Allocation'!B12),0)</f>
        <v>0</v>
      </c>
      <c r="H12" s="6">
        <f>IFERROR(IF(A12="","",SUM('Asset Allocation'!K12)/'Broad Asset Allocation'!B12),0)</f>
        <v>0</v>
      </c>
    </row>
    <row r="13" spans="1:8" x14ac:dyDescent="0.35">
      <c r="A13" t="str">
        <f>IF(Input!A14="","",Input!A14)</f>
        <v>Responsible Growth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</v>
      </c>
      <c r="D13" s="6">
        <f>IFERROR(IF(A13="","",SUM('Asset Allocation'!H13)/'Broad Asset Allocation'!B13),0)</f>
        <v>0</v>
      </c>
      <c r="E13" s="6">
        <f>IFERROR(IF(A13="","",SUM('Asset Allocation'!I13)/'Broad Asset Allocation'!B13),0)</f>
        <v>0</v>
      </c>
      <c r="F13" s="6"/>
      <c r="G13" s="6">
        <f>IFERROR(IF(A13="","",SUM('Asset Allocation'!J13)/'Broad Asset Allocation'!B13),0)</f>
        <v>0</v>
      </c>
      <c r="H13" s="6">
        <f>IFERROR(IF(A13="","",SUM('Asset Allocation'!K13)/'Broad Asset Allocation'!B13),0)</f>
        <v>0</v>
      </c>
    </row>
    <row r="14" spans="1:8" x14ac:dyDescent="0.35">
      <c r="A14" t="str">
        <f>IF(Input!A15="","",Input!A15)</f>
        <v/>
      </c>
      <c r="B14" s="6" t="str">
        <f>IFERROR(IF(A14="","",SUM('Asset Allocation'!G14)/'Broad Asset Allocation'!B14),0)</f>
        <v/>
      </c>
      <c r="C14" s="6" t="str">
        <f>IFERROR(IF(A14="","",SUM('Asset Allocation'!F14)/'Broad Asset Allocation'!B14),0)</f>
        <v/>
      </c>
      <c r="D14" s="6" t="str">
        <f>IFERROR(IF(A14="","",SUM('Asset Allocation'!H14)/'Broad Asset Allocation'!B14),0)</f>
        <v/>
      </c>
      <c r="E14" s="6" t="str">
        <f>IFERROR(IF(A14="","",SUM('Asset Allocation'!I14)/'Broad Asset Allocation'!B14),0)</f>
        <v/>
      </c>
      <c r="F14" s="6"/>
      <c r="G14" s="6" t="str">
        <f>IFERROR(IF(A14="","",SUM('Asset Allocation'!J14)/'Broad Asset Allocation'!B14),0)</f>
        <v/>
      </c>
      <c r="H14" s="6" t="str">
        <f>IFERROR(IF(A14="","",SUM('Asset Allocation'!K14)/'Broad Asset Allocation'!B14),0)</f>
        <v/>
      </c>
    </row>
    <row r="15" spans="1:8" x14ac:dyDescent="0.3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3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3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3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3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3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3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3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3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3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3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3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3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3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3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3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3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3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3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3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3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3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3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3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3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3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3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3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3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3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3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3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3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3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3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3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272C2-029E-4949-BB6B-3C6003880A5D}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4.5" x14ac:dyDescent="0.35"/>
  <sheetData>
    <row r="1" spans="1:8" x14ac:dyDescent="0.3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35">
      <c r="A2" t="str">
        <f>IF(Input!A3="","",Input!A3)</f>
        <v>Rfolio Defensive</v>
      </c>
      <c r="H2">
        <f>IFERROR(IF(A2="","",SUM('Asset Allocation'!C2)/'Broad Asset Allocation'!C2),0)</f>
        <v>0</v>
      </c>
    </row>
    <row r="3" spans="1:8" x14ac:dyDescent="0.35">
      <c r="A3" t="str">
        <f>IF(Input!A4="","",Input!A4)</f>
        <v>Rfolio Cautious</v>
      </c>
      <c r="H3">
        <f>IFERROR(IF(A3="","",SUM('Asset Allocation'!C3)/'Broad Asset Allocation'!C3),0)</f>
        <v>0</v>
      </c>
    </row>
    <row r="4" spans="1:8" x14ac:dyDescent="0.35">
      <c r="A4" t="str">
        <f>IF(Input!A5="","",Input!A5)</f>
        <v>Rfolio Prudent</v>
      </c>
      <c r="H4">
        <f>IFERROR(IF(A4="","",SUM('Asset Allocation'!C4)/'Broad Asset Allocation'!C4),0)</f>
        <v>0</v>
      </c>
    </row>
    <row r="5" spans="1:8" x14ac:dyDescent="0.35">
      <c r="A5" t="str">
        <f>IF(Input!A6="","",Input!A6)</f>
        <v>Rfolio Balanced</v>
      </c>
      <c r="H5">
        <f>IFERROR(IF(A5="","",SUM('Asset Allocation'!C5)/'Broad Asset Allocation'!C5),0)</f>
        <v>0</v>
      </c>
    </row>
    <row r="6" spans="1:8" x14ac:dyDescent="0.35">
      <c r="A6" t="str">
        <f>IF(Input!A7="","",Input!A7)</f>
        <v>Rfolio Growth</v>
      </c>
      <c r="H6">
        <f>IFERROR(IF(A6="","",SUM('Asset Allocation'!C6)/'Broad Asset Allocation'!C6),0)</f>
        <v>0</v>
      </c>
    </row>
    <row r="7" spans="1:8" x14ac:dyDescent="0.35">
      <c r="A7" t="str">
        <f>IF(Input!A8="","",Input!A8)</f>
        <v>Rfolio Dynamic</v>
      </c>
      <c r="H7">
        <f>IFERROR(IF(A7="","",SUM('Asset Allocation'!C7)/'Broad Asset Allocation'!C7),0)</f>
        <v>0</v>
      </c>
    </row>
    <row r="8" spans="1:8" x14ac:dyDescent="0.35">
      <c r="A8" t="str">
        <f>IF(Input!A9="","",Input!A9)</f>
        <v>Rfolio Adventurous</v>
      </c>
      <c r="H8">
        <f>IFERROR(IF(A8="","",SUM('Asset Allocation'!C8)/'Broad Asset Allocation'!C8),0)</f>
        <v>0</v>
      </c>
    </row>
    <row r="9" spans="1:8" x14ac:dyDescent="0.35">
      <c r="A9" t="str">
        <f>IF(Input!A10="","",Input!A10)</f>
        <v>Rfolio Income</v>
      </c>
      <c r="H9">
        <f>IFERROR(IF(A9="","",SUM('Asset Allocation'!C9)/'Broad Asset Allocation'!C9),0)</f>
        <v>0</v>
      </c>
    </row>
    <row r="10" spans="1:8" x14ac:dyDescent="0.35">
      <c r="A10" t="str">
        <f>IF(Input!A11="","",Input!A11)</f>
        <v>Responsible Cautious</v>
      </c>
      <c r="H10">
        <f>IFERROR(IF(A10="","",SUM('Asset Allocation'!C10)/'Broad Asset Allocation'!C10),0)</f>
        <v>0</v>
      </c>
    </row>
    <row r="11" spans="1:8" x14ac:dyDescent="0.35">
      <c r="A11" t="str">
        <f>IF(Input!A12="","",Input!A12)</f>
        <v>Responsible Dynamic</v>
      </c>
      <c r="H11">
        <f>IFERROR(IF(A11="","",SUM('Asset Allocation'!C11)/'Broad Asset Allocation'!C11),0)</f>
        <v>0</v>
      </c>
    </row>
    <row r="12" spans="1:8" x14ac:dyDescent="0.35">
      <c r="A12" t="str">
        <f>IF(Input!A13="","",Input!A13)</f>
        <v>Responsible Balanced</v>
      </c>
      <c r="H12">
        <f>IFERROR(IF(A12="","",SUM('Asset Allocation'!C12)/'Broad Asset Allocation'!C12),0)</f>
        <v>0</v>
      </c>
    </row>
    <row r="13" spans="1:8" x14ac:dyDescent="0.35">
      <c r="A13" t="str">
        <f>IF(Input!A14="","",Input!A14)</f>
        <v>Responsible Growth</v>
      </c>
      <c r="H13">
        <f>IFERROR(IF(A13="","",SUM('Asset Allocation'!C13)/'Broad Asset Allocation'!C13),0)</f>
        <v>0</v>
      </c>
    </row>
    <row r="14" spans="1:8" x14ac:dyDescent="0.35">
      <c r="A14" t="str">
        <f>IF(Input!A15="","",Input!A15)</f>
        <v/>
      </c>
      <c r="H14" t="str">
        <f>IFERROR(IF(A14="","",SUM('Asset Allocation'!C14)/'Broad Asset Allocation'!C14),0)</f>
        <v/>
      </c>
    </row>
    <row r="15" spans="1:8" x14ac:dyDescent="0.3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3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3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3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3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3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3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3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3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3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3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3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3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3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3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3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3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3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3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3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3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3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3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3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3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3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3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3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3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3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3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3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3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3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3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3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E4A3C-DB9C-4521-9498-63EF6F796360}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C3C34-E32C-4C2F-8F8A-41542C6C51B5}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BD70C-719E-4033-901E-8ADB240C68EC}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8788B-7D70-40A2-8220-A73F9A82F61F}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19BF6-91B2-4E10-A7FE-77466AA38F10}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0EB08-3DB8-4DCA-BD83-565C614FDB62}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1" width="19.08984375" bestFit="1" customWidth="1"/>
    <col min="2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EEC2-BFFF-4584-A1A7-AEA6568BDF20}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B78C4-3155-4C71-A520-29197BD81524}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243AF-9EE4-4C7D-AC50-1647FA9D6711}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19BC-52CD-44AB-903D-1F0755699404}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44D58-7A40-4DDE-B697-15F749FDA586}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F9DA5-91A5-4BE4-80AD-E6A65648B8A3}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2BF2-41AF-44AE-ACB8-DC04C543750C}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5D0A-55B0-4FC8-AF49-198C0C104DD1}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C2834-3319-4E5D-9A3F-587C2097ED52}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B8BDF-68E1-421B-902A-A996499BA669}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FD16B-D524-420A-BD04-AAF9FE2B9A83}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E25B6-3E35-4BF5-96FB-E044333492E0}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9672E-CAD6-4028-BFA1-D0DD01753B0B}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CF249-F289-4F1F-8B70-D7ADA6A13951}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EF831-C18B-49DC-8F0C-E55941B86767}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C1C1-EE3D-435A-B8D9-9CEEE94BE793}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938A6-DD37-4CB1-92D3-65CD9C6C0910}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B2EBF-1029-4FD3-B848-43A03293C054}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1DE9E-3122-44B3-BB5E-571E5F46A86B}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9216B-5D8A-45A3-AE6B-DE69839C8D14}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B588D-7D7C-4F77-ABDE-3BD7E3A9B988}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4.5" x14ac:dyDescent="0.35"/>
  <cols>
    <col min="1" max="3" width="10.453125" bestFit="1" customWidth="1"/>
  </cols>
  <sheetData>
    <row r="1" spans="1:50" x14ac:dyDescent="0.35">
      <c r="B1" s="1" t="str" cm="1">
        <f t="array" ref="B1:AX1">TRANSPOSE('Bond Allocation'!A2:A50)</f>
        <v>Rfolio Defensive</v>
      </c>
      <c r="C1" s="1" t="str">
        <v>Rfolio Cautious</v>
      </c>
      <c r="D1" t="str">
        <v>Rfolio Prudent</v>
      </c>
      <c r="E1" t="str">
        <v>Rfolio Balanced</v>
      </c>
      <c r="F1" t="str">
        <v>Rfolio Growth</v>
      </c>
      <c r="G1" t="str">
        <v>Rfolio Dynamic</v>
      </c>
      <c r="H1" t="str">
        <v>Rfolio Adventurous</v>
      </c>
      <c r="I1" t="str">
        <v>Rfolio Income</v>
      </c>
      <c r="J1" t="str">
        <v>Responsible Cautious</v>
      </c>
      <c r="K1" t="str">
        <v>Responsible Dynamic</v>
      </c>
      <c r="L1" t="str">
        <v>Responsible Balanced</v>
      </c>
      <c r="M1" t="str">
        <v>Responsible Growth</v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3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xmlns:xlrd2="http://schemas.microsoft.com/office/spreadsheetml/2017/richdata2"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Gaurav Gupta</cp:lastModifiedBy>
  <dcterms:created xsi:type="dcterms:W3CDTF">2023-07-09T20:52:37Z</dcterms:created>
  <dcterms:modified xsi:type="dcterms:W3CDTF">2023-10-24T15:28:01Z</dcterms:modified>
</cp:coreProperties>
</file>