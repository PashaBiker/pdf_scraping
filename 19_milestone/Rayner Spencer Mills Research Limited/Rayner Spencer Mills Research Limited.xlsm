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Rayner Spencer Mills Research Limited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2" i="35"/>
  <c r="B9" i="1"/>
  <c r="B10" i="1"/>
  <c r="B11" i="1"/>
  <c r="B12" i="1"/>
  <c r="B13" i="1"/>
  <c r="B14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<sst xmlns="http://schemas.openxmlformats.org/spreadsheetml/2006/main" count="107" uniqueCount="83">
  <si>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</si>
  <si>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</si>
  <si>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</si>
  <si>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</si>
  <si>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</si>
  <si>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</si>
  <si>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</si>
  <si>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</si>
  <si>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</si>
  <si>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</si>
  <si>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</si>
  <si>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</si>
  <si>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</si>
  <si>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</si>
  <si>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</si>
  <si>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</si>
  <si>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</si>
  <si>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</si>
  <si>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</si>
  <si>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</si>
  <si>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</si>
  <si>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</si>
  <si>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</si>
  <si>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</si>
  <si>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</si>
  <si>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</si>
  <si>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</si>
  <si>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</si>
  <si>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</si>
  <si>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</si>
  <si>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</si>
  <si>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</si>
  <si>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</si>
  <si>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</si>
  <si>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</si>
  <si>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Month</t>
  </si>
  <si>
    <t>1 Year</t>
  </si>
  <si>
    <t>Rfolio Defensive Factsheet</t>
  </si>
  <si>
    <t>Rfolio Cautious Factsheet</t>
  </si>
  <si>
    <t>Rfolio Prudent Factsheet</t>
  </si>
  <si>
    <t>Rfolio Balanced Factsheet</t>
  </si>
  <si>
    <t>Rfolio Growth Factsheet</t>
  </si>
  <si>
    <t>Rfolio Dynamic Factsheet</t>
  </si>
  <si>
    <t>Rfolio Adventurous Factsheet</t>
  </si>
  <si>
    <t>Rfolio Income Factsheet</t>
  </si>
  <si>
    <t>Responsible Cautious Factsheet</t>
  </si>
  <si>
    <t>Responsible Dynamic Factsheet</t>
  </si>
  <si>
    <t>Responsible Balanced Factsheet</t>
  </si>
  <si>
    <t>Responsible Growth Factsheet</t>
  </si>
  <si>
    <t>Rfolio Defensive</t>
  </si>
  <si>
    <t>Rfolio Cautious</t>
  </si>
  <si>
    <t>Rfolio Prudent</t>
  </si>
  <si>
    <t>Rfolio Balanced</t>
  </si>
  <si>
    <t>Rfolio Growth</t>
  </si>
  <si>
    <t>Rfolio Dynamic</t>
  </si>
  <si>
    <t>Rfolio Adventurous</t>
  </si>
  <si>
    <t>Rfolio Income</t>
  </si>
  <si>
    <t>Responsible Cautious</t>
  </si>
  <si>
    <t>Responsible Dynamic</t>
  </si>
  <si>
    <t>Responsible Balanced</t>
  </si>
  <si>
    <t>Responsible Growth</t>
  </si>
  <si>
    <t>Equities</t>
  </si>
  <si>
    <t>Fixed Income</t>
  </si>
  <si>
    <t>Cash/Money Market</t>
  </si>
  <si>
    <t>Other</t>
  </si>
  <si>
    <t>Annual DFM Management Charge</t>
  </si>
  <si>
    <t>KIID Ongoing Charge</t>
  </si>
  <si>
    <t>3 Years</t>
  </si>
  <si>
    <t>https://www.rsmr.co.uk/managed-portfolio-service/your-support/</t>
  </si>
  <si>
    <t>https://www.rsmr.co.uk/document-store/mps/documents/portfolio-factsheets/rfolio-defensive-factsheet/?rel=01FE4C65-AC4D-4F2A-9C46A68DE8187089</t>
  </si>
  <si>
    <t>https://www.rsmr.co.uk/document-store/mps/documents/portfolio-factsheets/rfolio-cautious-factsheet/?rel=96830212-27B1-4346-95C257CC7EE3A65F</t>
  </si>
  <si>
    <t>https://www.rsmr.co.uk/document-store/mps/documents/portfolio-factsheets/rfolio-prudent-factsheet/?rel=A01E8DA4-264E-40BF-A7C5C7C20FB28C99</t>
  </si>
  <si>
    <t>https://www.rsmr.co.uk/document-store/mps/documents/portfolio-factsheets/rfolio-balanced-factsheet/?rel=F145FF30-D1E0-4718-98592904F4297002</t>
  </si>
  <si>
    <t>https://www.rsmr.co.uk/document-store/mps/documents/portfolio-factsheets/rfolio-growth-factsheet/?rel=A1B77F13-3511-48DF-A50CF36720060851</t>
  </si>
  <si>
    <t>https://www.rsmr.co.uk/document-store/mps/documents/portfolio-factsheets/rfolio-dynamic-factsheet/?rel=03C6EC22-B110-40A0-864BBA8F0999F80D</t>
  </si>
  <si>
    <t>https://www.rsmr.co.uk/document-store/mps/documents/portfolio-factsheets/rfolio-adventurous-factsheet/?rel=C3B222D0-CD0E-4549-B36B134D212A2CEA</t>
  </si>
  <si>
    <t>https://www.rsmr.co.uk/document-store/mps/documents/portfolio-factsheets/rfolio-income-factsheet/?rel=4FE620DB-8CD6-48C0-B5076560E5155FCE</t>
  </si>
  <si>
    <t>https://www.rsmr.co.uk/document-store/mps/documents/responsible-range/responsible-cautious-factsheet/?rel=D77F8DF0-CEB7-4D92-A370EC7441ADDCA4</t>
  </si>
  <si>
    <t>https://www.rsmr.co.uk/document-store/mps/documents/responsible-range/responsible-balanced-factsheet/?rel=FEF4E2E0-4001-46CA-A2D108BC1E0EDACE</t>
  </si>
  <si>
    <t>https://www.rsmr.co.uk/document-store/mps/documents/responsible-range/responsible-growth-factsheet/?rel=E7ED031A-6812-4B05-B465877072E95EF3</t>
  </si>
  <si>
    <t>https://www.rsmr.co.uk/document-store/mps/documents/responsible-range/responsible-dynamic-factsheet/?rel=70BA779F-FD3B-408C-82631BA4D566184B</t>
  </si>
  <si>
    <t>5 Years</t>
  </si>
  <si>
    <t>30/09/2023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</si>
</sst>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1</xdr:rowOff>
    </xdr:from>
    <xdr:to>
      <xdr:col>1</xdr:col>
      <xdr:colOff>560943</xdr:colOff>
      <xdr:row>8</xdr:row>
      <xdr:rowOff>139701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3DB2D3-A079-E997-893B-EAFE13D9A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84151"/>
          <a:ext cx="1170542" cy="1428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25400</xdr:rowOff>
    </xdr:from>
    <xdr:to>
      <xdr:col>5</xdr:col>
      <xdr:colOff>50877</xdr:colOff>
      <xdr:row>15</xdr:row>
      <xdr:rowOff>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6FA431-A668-2EC8-E8A1-C942B09E1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82750"/>
          <a:ext cx="3098877" cy="10795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95250</xdr:rowOff>
    </xdr:from>
    <xdr:to>
      <xdr:col>3</xdr:col>
      <xdr:colOff>552572</xdr:colOff>
      <xdr:row>28</xdr:row>
      <xdr:rowOff>108074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16DF27D-7892-3CA9-D23E-DECE5B1E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857500"/>
          <a:ext cx="2381372" cy="2406774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</xdr:colOff>
      <xdr:row>0</xdr:row>
      <xdr:rowOff>101600</xdr:rowOff>
    </xdr:from>
    <xdr:to>
      <xdr:col>13</xdr:col>
      <xdr:colOff>209814</xdr:colOff>
      <xdr:row>12</xdr:row>
      <xdr:rowOff>46694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8E580C0-8A76-8AA2-BDB1-93231D96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101600"/>
          <a:ext cx="3848364" cy="21548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topLeftCell="A4" workbookViewId="0">
      <selection activeCell="O17" sqref="O17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4"/>
  <sheetViews>
    <sheetView workbookViewId="0">
      <selection activeCell="L11" sqref="L11"/>
    </sheetView>
  </sheetViews>
  <sheetFormatPr defaultRowHeight="15" x14ac:dyDescent="0.25"/>
  <cols>
    <col min="1" max="1" width="27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49</v>
      </c>
      <c r="B3" t="str">
        <f>'PDF Scraping'!D2</f>
        <v>https://www.rsmr.co.uk/document-store/mps/documents/portfolio-factsheets/rfolio-defensive-factsheet/?rel=01FE4C65-AC4D-4F2A-9C46A68DE8187089</v>
      </c>
      <c r="J3" s="4"/>
    </row>
    <row r="4" spans="1:10" x14ac:dyDescent="0.25">
      <c r="A4" t="s">
        <v>50</v>
      </c>
      <c r="B4" t="str">
        <f>'PDF Scraping'!D3</f>
        <v>https://www.rsmr.co.uk/document-store/mps/documents/portfolio-factsheets/rfolio-cautious-factsheet/?rel=96830212-27B1-4346-95C257CC7EE3A65F</v>
      </c>
      <c r="J4" s="4"/>
    </row>
    <row r="5" spans="1:10" x14ac:dyDescent="0.25">
      <c r="A5" t="s">
        <v>51</v>
      </c>
      <c r="B5" t="str">
        <f>'PDF Scraping'!D4</f>
        <v>https://www.rsmr.co.uk/document-store/mps/documents/portfolio-factsheets/rfolio-prudent-factsheet/?rel=A01E8DA4-264E-40BF-A7C5C7C20FB28C99</v>
      </c>
    </row>
    <row r="6" spans="1:10" x14ac:dyDescent="0.25">
      <c r="A6" t="s">
        <v>52</v>
      </c>
      <c r="B6" t="str">
        <f>'PDF Scraping'!D5</f>
        <v>https://www.rsmr.co.uk/document-store/mps/documents/portfolio-factsheets/rfolio-balanced-factsheet/?rel=F145FF30-D1E0-4718-98592904F4297002</v>
      </c>
    </row>
    <row r="7" spans="1:10" x14ac:dyDescent="0.25">
      <c r="A7" t="s">
        <v>53</v>
      </c>
      <c r="B7" t="str">
        <f>'PDF Scraping'!D6</f>
        <v>https://www.rsmr.co.uk/document-store/mps/documents/portfolio-factsheets/rfolio-growth-factsheet/?rel=A1B77F13-3511-48DF-A50CF36720060851</v>
      </c>
    </row>
    <row r="8" spans="1:10" x14ac:dyDescent="0.25">
      <c r="A8" t="s">
        <v>54</v>
      </c>
      <c r="B8" t="str">
        <f>'PDF Scraping'!D7</f>
        <v>https://www.rsmr.co.uk/document-store/mps/documents/portfolio-factsheets/rfolio-dynamic-factsheet/?rel=03C6EC22-B110-40A0-864BBA8F0999F80D</v>
      </c>
    </row>
    <row r="9" spans="1:10" x14ac:dyDescent="0.25">
      <c r="A9" t="s">
        <v>55</v>
      </c>
      <c r="B9" t="str">
        <f>'PDF Scraping'!D8</f>
        <v>https://www.rsmr.co.uk/document-store/mps/documents/portfolio-factsheets/rfolio-adventurous-factsheet/?rel=C3B222D0-CD0E-4549-B36B134D212A2CEA</v>
      </c>
    </row>
    <row r="10" spans="1:10" x14ac:dyDescent="0.25">
      <c r="A10" t="s">
        <v>56</v>
      </c>
      <c r="B10" t="str">
        <f>'PDF Scraping'!D9</f>
        <v>https://www.rsmr.co.uk/document-store/mps/documents/portfolio-factsheets/rfolio-income-factsheet/?rel=4FE620DB-8CD6-48C0-B5076560E5155FCE</v>
      </c>
    </row>
    <row r="11" spans="1:10" x14ac:dyDescent="0.25">
      <c r="A11" t="s">
        <v>57</v>
      </c>
      <c r="B11" t="str">
        <f>'PDF Scraping'!D10</f>
        <v>https://www.rsmr.co.uk/document-store/mps/documents/responsible-range/responsible-cautious-factsheet/?rel=D77F8DF0-CEB7-4D92-A370EC7441ADDCA4</v>
      </c>
    </row>
    <row r="12" spans="1:10" x14ac:dyDescent="0.25">
      <c r="A12" t="s">
        <v>58</v>
      </c>
      <c r="B12" t="str">
        <f>'PDF Scraping'!D11</f>
        <v>https://www.rsmr.co.uk/document-store/mps/documents/responsible-range/responsible-dynamic-factsheet/?rel=70BA779F-FD3B-408C-82631BA4D566184B</v>
      </c>
    </row>
    <row r="13" spans="1:10" x14ac:dyDescent="0.25">
      <c r="A13" t="s">
        <v>59</v>
      </c>
      <c r="B13" t="str">
        <f>'PDF Scraping'!D12</f>
        <v>https://www.rsmr.co.uk/document-store/mps/documents/responsible-range/responsible-balanced-factsheet/?rel=FEF4E2E0-4001-46CA-A2D108BC1E0EDACE</v>
      </c>
    </row>
    <row r="14" spans="1:10" x14ac:dyDescent="0.25">
      <c r="A14" t="s">
        <v>60</v>
      </c>
      <c r="B14" t="str">
        <f>'PDF Scraping'!D13</f>
        <v>https://www.rsmr.co.uk/document-store/mps/documents/responsible-range/responsible-growth-factsheet/?rel=E7ED031A-6812-4B05-B465877072E95EF3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H2" sqref="H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65</v>
      </c>
      <c r="D1" s="10" t="s">
        <v>66</v>
      </c>
      <c r="E1" s="10" t="s">
        <v>35</v>
      </c>
      <c r="F1" t="s">
        <v>36</v>
      </c>
      <c r="G1" t="s">
        <v>67</v>
      </c>
      <c r="H1" s="10" t="s">
        <v>81</v>
      </c>
    </row>
    <row r="2" spans="1:9" x14ac:dyDescent="0.25">
      <c r="A2" t="str">
        <f>IF(Input!A3="","",Input!A3)</f>
        <v>Rfolio Defensive</v>
      </c>
      <c r="B2" s="1" t="s">
        <v>82</v>
      </c>
      <c r="C2" s="10">
        <v>1.5E-3</v>
      </c>
      <c r="D2" s="10">
        <v>4.7999999999999996E-3</v>
      </c>
      <c r="E2" s="10">
        <v>-1.7000000000000001E-3</v>
      </c>
      <c r="F2" s="5">
        <v>3.8900000000000004E-2</v>
      </c>
      <c r="G2" s="5">
        <v>8.3000000000000001E-3</v>
      </c>
      <c r="H2" s="5">
        <v>1.3000000000000001E-2</v>
      </c>
      <c r="I2" s="5"/>
    </row>
    <row r="3" spans="1:9" x14ac:dyDescent="0.25">
      <c r="A3" t="str">
        <f>IF(Input!A4="","",Input!A4)</f>
        <v>Rfolio Cautious</v>
      </c>
      <c r="B3" s="1" t="s">
        <v>82</v>
      </c>
      <c r="C3" s="10">
        <v>1.5E-3</v>
      </c>
      <c r="D3" s="10">
        <v>6.3E-3</v>
      </c>
      <c r="E3" s="10">
        <v>-3.4999999999999996E-3</v>
      </c>
      <c r="F3" s="5">
        <v>4.4400000000000002E-2</v>
      </c>
      <c r="G3" s="5">
        <v>1.4800000000000001E-2</v>
      </c>
      <c r="H3" s="5">
        <v>1.5800000000000002E-2</v>
      </c>
      <c r="I3" s="5"/>
    </row>
    <row r="4" spans="1:9" x14ac:dyDescent="0.25">
      <c r="A4" t="str">
        <f>IF(Input!A5="","",Input!A5)</f>
        <v>Rfolio Prudent</v>
      </c>
      <c r="B4" s="1" t="s">
        <v>82</v>
      </c>
      <c r="C4" s="10">
        <v>1.5E-3</v>
      </c>
      <c r="D4" s="10">
        <v>6.8000000000000005E-3</v>
      </c>
      <c r="E4" s="10">
        <v>-1.9E-3</v>
      </c>
      <c r="F4" s="5">
        <v>4.5100000000000001E-2</v>
      </c>
      <c r="G4" s="5">
        <v>1.6E-2</v>
      </c>
      <c r="H4" s="5">
        <v>1.43E-2</v>
      </c>
      <c r="I4" s="5"/>
    </row>
    <row r="5" spans="1:9" x14ac:dyDescent="0.25">
      <c r="A5" t="str">
        <f>IF(Input!A6="","",Input!A6)</f>
        <v>Rfolio Balanced</v>
      </c>
      <c r="B5" s="1" t="s">
        <v>82</v>
      </c>
      <c r="C5" s="10">
        <v>1.5E-3</v>
      </c>
      <c r="D5" s="10">
        <v>7.1999999999999998E-3</v>
      </c>
      <c r="E5" s="10">
        <v>-2.2000000000000001E-3</v>
      </c>
      <c r="F5" s="5">
        <v>5.2900000000000003E-2</v>
      </c>
      <c r="G5" s="5">
        <v>1.67E-2</v>
      </c>
      <c r="H5" s="5">
        <v>1.9299999999999998E-2</v>
      </c>
      <c r="I5" s="5"/>
    </row>
    <row r="6" spans="1:9" x14ac:dyDescent="0.25">
      <c r="A6" t="str">
        <f>IF(Input!A7="","",Input!A7)</f>
        <v>Rfolio Growth</v>
      </c>
      <c r="B6" s="1" t="s">
        <v>82</v>
      </c>
      <c r="C6" s="10">
        <v>1.5E-3</v>
      </c>
      <c r="D6" s="10">
        <v>7.0999999999999995E-3</v>
      </c>
      <c r="E6" s="10">
        <v>-1.1000000000000001E-3</v>
      </c>
      <c r="F6" s="5">
        <v>6.3099999999999989E-2</v>
      </c>
      <c r="G6" s="5">
        <v>2.1600000000000001E-2</v>
      </c>
      <c r="H6" s="5">
        <v>2.41E-2</v>
      </c>
      <c r="I6" s="5"/>
    </row>
    <row r="7" spans="1:9" x14ac:dyDescent="0.25">
      <c r="A7" t="str">
        <f>IF(Input!A8="","",Input!A8)</f>
        <v>Rfolio Dynamic</v>
      </c>
      <c r="B7" s="1" t="s">
        <v>82</v>
      </c>
      <c r="C7" s="10">
        <v>1.5E-3</v>
      </c>
      <c r="D7" s="10">
        <v>7.4000000000000003E-3</v>
      </c>
      <c r="E7" s="10">
        <v>2.8000000000000004E-3</v>
      </c>
      <c r="F7" s="5">
        <v>6.5700000000000008E-2</v>
      </c>
      <c r="G7" s="5">
        <v>1.77E-2</v>
      </c>
      <c r="H7" s="5">
        <v>2.1700000000000001E-2</v>
      </c>
      <c r="I7" s="5"/>
    </row>
    <row r="8" spans="1:9" x14ac:dyDescent="0.25">
      <c r="A8" t="str">
        <f>IF(Input!A9="","",Input!A9)</f>
        <v>Rfolio Adventurous</v>
      </c>
      <c r="B8" s="1" t="s">
        <v>82</v>
      </c>
      <c r="C8" s="10">
        <v>1.5E-3</v>
      </c>
      <c r="D8" s="10">
        <v>7.4999999999999997E-3</v>
      </c>
      <c r="E8" s="10">
        <v>2.0999999999999999E-3</v>
      </c>
      <c r="F8" s="5">
        <v>7.0699999999999999E-2</v>
      </c>
      <c r="G8" s="5">
        <v>1.7000000000000001E-2</v>
      </c>
      <c r="H8" s="5">
        <v>1.9E-2</v>
      </c>
      <c r="I8" s="5"/>
    </row>
    <row r="9" spans="1:9" x14ac:dyDescent="0.25">
      <c r="A9" t="str">
        <f>IF(Input!A10="","",Input!A10)</f>
        <v>Rfolio Income</v>
      </c>
      <c r="B9" s="1" t="s">
        <v>82</v>
      </c>
      <c r="C9" s="10">
        <v>1.5E-3</v>
      </c>
      <c r="D9" s="10">
        <v>8.3000000000000001E-3</v>
      </c>
      <c r="E9" s="10">
        <v>1.6000000000000001E-3</v>
      </c>
      <c r="F9" s="5">
        <v>5.57E-2</v>
      </c>
      <c r="G9" s="5">
        <v>3.27E-2</v>
      </c>
      <c r="H9" s="5">
        <v>1.78E-2</v>
      </c>
      <c r="I9" s="5"/>
    </row>
    <row r="10" spans="1:9" x14ac:dyDescent="0.25">
      <c r="A10" t="str">
        <f>IF(Input!A11="","",Input!A11)</f>
        <v>Responsible Cautious</v>
      </c>
      <c r="B10" s="1" t="s">
        <v>82</v>
      </c>
      <c r="C10" s="10">
        <v>1.5E-3</v>
      </c>
      <c r="D10" s="10">
        <v>6.0999999999999995E-3</v>
      </c>
      <c r="E10" s="10">
        <v>-3.8E-3</v>
      </c>
      <c r="F10" s="5">
        <v>5.5399999999999998E-2</v>
      </c>
      <c r="G10" s="5">
        <v>-8.5000000000000006E-3</v>
      </c>
      <c r="H10" s="5">
        <v>7.8000000000000005E-3</v>
      </c>
      <c r="I10" s="5"/>
    </row>
    <row r="11" spans="1:9" x14ac:dyDescent="0.25">
      <c r="A11" t="str">
        <f>IF(Input!A12="","",Input!A12)</f>
        <v>Responsible Dynamic</v>
      </c>
      <c r="B11" s="1" t="s">
        <v>82</v>
      </c>
      <c r="C11" s="10">
        <v>1.5E-3</v>
      </c>
      <c r="D11" s="10">
        <v>8.3999999999999995E-3</v>
      </c>
      <c r="E11" s="10">
        <v>-1.6200000000000003E-2</v>
      </c>
      <c r="F11" s="5">
        <v>4.1399999999999999E-2</v>
      </c>
      <c r="G11" s="5">
        <v>1.6799999999999999E-2</v>
      </c>
      <c r="H11" s="5">
        <v>2.6099999999999998E-2</v>
      </c>
      <c r="I11" s="5"/>
    </row>
    <row r="12" spans="1:9" x14ac:dyDescent="0.25">
      <c r="A12" t="str">
        <f>IF(Input!A13="","",Input!A13)</f>
        <v>Responsible Balanced</v>
      </c>
      <c r="B12" s="1" t="s">
        <v>82</v>
      </c>
      <c r="C12" s="10">
        <v>1.5E-3</v>
      </c>
      <c r="D12" s="10">
        <v>7.0999999999999995E-3</v>
      </c>
      <c r="E12" s="10">
        <v>-8.3999999999999995E-3</v>
      </c>
      <c r="F12" s="5">
        <v>4.8600000000000004E-2</v>
      </c>
      <c r="G12" s="5">
        <v>6.4000000000000003E-3</v>
      </c>
      <c r="H12" s="5">
        <v>2.0400000000000001E-2</v>
      </c>
      <c r="I12" s="5"/>
    </row>
    <row r="13" spans="1:9" x14ac:dyDescent="0.25">
      <c r="A13" t="str">
        <f>IF(Input!A14="","",Input!A14)</f>
        <v>Responsible Growth</v>
      </c>
      <c r="B13" s="1" t="s">
        <v>82</v>
      </c>
      <c r="C13" s="10">
        <v>1.5E-3</v>
      </c>
      <c r="D13" s="10">
        <v>7.8000000000000005E-3</v>
      </c>
      <c r="E13" s="10">
        <v>-1.2E-2</v>
      </c>
      <c r="F13" s="5">
        <v>4.4600000000000001E-2</v>
      </c>
      <c r="G13" s="5"/>
      <c r="H13" s="5"/>
      <c r="I13" s="5"/>
    </row>
    <row r="14" spans="1:9" x14ac:dyDescent="0.2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I12" sqref="I12"/>
    </sheetView>
  </sheetViews>
  <sheetFormatPr defaultRowHeight="15" x14ac:dyDescent="0.25"/>
  <cols>
    <col min="1" max="1" width="19" bestFit="1" customWidth="1"/>
    <col min="2" max="2" width="7.42578125" style="10" bestFit="1" customWidth="1"/>
    <col min="3" max="3" width="11.85546875" style="10" bestFit="1" customWidth="1"/>
    <col min="4" max="4" width="18.140625" style="10" bestFit="1" customWidth="1"/>
    <col min="5" max="5" width="6.140625" style="10" bestFit="1" customWidth="1"/>
    <col min="6" max="6" width="14.7109375" style="10" bestFit="1" customWidth="1"/>
    <col min="7" max="7" width="8.7109375" style="10" bestFit="1" customWidth="1"/>
    <col min="8" max="8" width="8.5703125" style="10" bestFit="1" customWidth="1"/>
    <col min="9" max="9" width="11.28515625" style="10" bestFit="1" customWidth="1"/>
    <col min="10" max="10" width="17.7109375" style="10" bestFit="1" customWidth="1"/>
    <col min="11" max="11" width="23.42578125" style="10" bestFit="1" customWidth="1"/>
    <col min="12" max="12" width="20.140625" bestFit="1" customWidth="1"/>
    <col min="13" max="13" width="4.710937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61</v>
      </c>
      <c r="C1" s="10" t="s">
        <v>62</v>
      </c>
      <c r="D1" s="10" t="s">
        <v>63</v>
      </c>
      <c r="E1" s="10" t="s">
        <v>64</v>
      </c>
    </row>
    <row r="2" spans="1:30" x14ac:dyDescent="0.25">
      <c r="A2" t="str">
        <f>IF(Input!A3="","",Input!A3)</f>
        <v>Rfolio Defensive</v>
      </c>
      <c r="B2" s="10">
        <v>0.17800000000000002</v>
      </c>
      <c r="C2" s="10">
        <v>0.51700000000000002</v>
      </c>
      <c r="D2" s="10">
        <v>0.24100000000000002</v>
      </c>
      <c r="E2" s="10">
        <v>6.4000000000000001E-2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Rfolio Cautious</v>
      </c>
      <c r="B3" s="10">
        <v>0.35600000000000004</v>
      </c>
      <c r="C3" s="10">
        <v>0.46200000000000002</v>
      </c>
      <c r="D3" s="10">
        <v>0.11199999999999999</v>
      </c>
      <c r="E3" s="10">
        <v>7.0000000000000007E-2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Rfolio Prudent</v>
      </c>
      <c r="B4" s="10">
        <v>0.503</v>
      </c>
      <c r="C4" s="10">
        <v>0.36299999999999999</v>
      </c>
      <c r="D4" s="10">
        <v>6.4000000000000001E-2</v>
      </c>
      <c r="E4" s="10">
        <v>7.0000000000000007E-2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Rfolio Balanced</v>
      </c>
      <c r="B5" s="10">
        <v>0.63700000000000001</v>
      </c>
      <c r="C5" s="10">
        <v>0.26300000000000001</v>
      </c>
      <c r="D5" s="10">
        <v>3.4000000000000002E-2</v>
      </c>
      <c r="E5" s="10">
        <v>6.7000000000000004E-2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Rfolio Growth</v>
      </c>
      <c r="B6" s="10">
        <v>0.78</v>
      </c>
      <c r="C6" s="10">
        <v>0.14099999999999999</v>
      </c>
      <c r="D6" s="10">
        <v>1.3999999999999999E-2</v>
      </c>
      <c r="E6" s="10">
        <v>6.5000000000000002E-2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Rfolio Dynamic</v>
      </c>
      <c r="B7" s="10">
        <v>0.85699999999999998</v>
      </c>
      <c r="C7" s="10">
        <v>8.8000000000000009E-2</v>
      </c>
      <c r="D7" s="10">
        <v>1.3999999999999999E-2</v>
      </c>
      <c r="E7" s="10">
        <v>4.0999999999999995E-2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Rfolio Adventurous</v>
      </c>
      <c r="B8" s="10">
        <v>0.91500000000000004</v>
      </c>
      <c r="C8" s="10">
        <v>3.2000000000000001E-2</v>
      </c>
      <c r="D8" s="10">
        <v>1.6E-2</v>
      </c>
      <c r="E8" s="10">
        <v>3.7000000000000005E-2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Rfolio Income</v>
      </c>
      <c r="B9" s="10">
        <v>0.48899999999999999</v>
      </c>
      <c r="C9" s="10">
        <v>0.35600000000000004</v>
      </c>
      <c r="D9" s="10">
        <v>6.5000000000000002E-2</v>
      </c>
      <c r="E9" s="10">
        <v>0.09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Responsible Cautious</v>
      </c>
      <c r="B10" s="10">
        <v>0.26600000000000001</v>
      </c>
      <c r="C10" s="10">
        <v>0.54</v>
      </c>
      <c r="D10" s="10">
        <v>0.13900000000000001</v>
      </c>
      <c r="E10" s="10">
        <v>5.5E-2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Responsible Dynamic</v>
      </c>
      <c r="B11" s="10">
        <v>0.76700000000000002</v>
      </c>
      <c r="C11" s="10">
        <v>0.15</v>
      </c>
      <c r="D11" s="10">
        <v>2.4E-2</v>
      </c>
      <c r="E11" s="10">
        <v>0.06</v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Responsible Balanced</v>
      </c>
      <c r="B12" s="10">
        <v>0.47799999999999998</v>
      </c>
      <c r="C12" s="10">
        <v>0.36700000000000005</v>
      </c>
      <c r="D12" s="10">
        <v>9.9000000000000005E-2</v>
      </c>
      <c r="E12" s="10">
        <v>5.5999999999999994E-2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Responsible Growth</v>
      </c>
      <c r="B13" s="10">
        <v>0.622</v>
      </c>
      <c r="C13" s="10">
        <v>0.27500000000000002</v>
      </c>
      <c r="D13" s="10">
        <v>4.5999999999999999E-2</v>
      </c>
      <c r="E13" s="10">
        <v>5.7999999999999996E-2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F50"/>
  <sheetViews>
    <sheetView topLeftCell="C1" workbookViewId="0">
      <selection activeCell="D2" sqref="D2"/>
    </sheetView>
  </sheetViews>
  <sheetFormatPr defaultRowHeight="15" x14ac:dyDescent="0.25"/>
  <cols>
    <col min="1" max="1" width="20.5703125" bestFit="1" customWidth="1"/>
    <col min="2" max="2" width="62" bestFit="1" customWidth="1"/>
    <col min="3" max="3" width="30" bestFit="1" customWidth="1"/>
    <col min="4" max="4" width="145.140625" style="8" bestFit="1" customWidth="1"/>
    <col min="5" max="5" width="10.28515625" bestFit="1" customWidth="1"/>
    <col min="6" max="6" width="20.5703125" bestFit="1" customWidth="1"/>
  </cols>
  <sheetData>
    <row r="1" spans="1:6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6" x14ac:dyDescent="0.25">
      <c r="A2" t="str">
        <f>IF(Input!A3="","",Input!A3)</f>
        <v>Rfolio Defensive</v>
      </c>
      <c r="B2" s="11" t="s">
        <v>68</v>
      </c>
      <c r="C2" t="s">
        <v>37</v>
      </c>
      <c r="D2" s="8" t="s">
        <v>69</v>
      </c>
      <c r="F2" t="str">
        <f>SUBSTITUTE(C2," Factsheet","")</f>
        <v>Rfolio Defensive</v>
      </c>
    </row>
    <row r="3" spans="1:6" x14ac:dyDescent="0.25">
      <c r="A3" t="str">
        <f>IF(Input!A4="","",Input!A4)</f>
        <v>Rfolio Cautious</v>
      </c>
      <c r="B3" s="11" t="s">
        <v>68</v>
      </c>
      <c r="C3" t="s">
        <v>38</v>
      </c>
      <c r="D3" s="8" t="s">
        <v>70</v>
      </c>
      <c r="F3" t="str">
        <f t="shared" ref="F3:F13" si="0">SUBSTITUTE(C3," Factsheet","")</f>
        <v>Rfolio Cautious</v>
      </c>
    </row>
    <row r="4" spans="1:6" x14ac:dyDescent="0.25">
      <c r="A4" t="str">
        <f>IF(Input!A5="","",Input!A5)</f>
        <v>Rfolio Prudent</v>
      </c>
      <c r="B4" s="11" t="s">
        <v>68</v>
      </c>
      <c r="C4" t="s">
        <v>39</v>
      </c>
      <c r="D4" s="8" t="s">
        <v>71</v>
      </c>
      <c r="F4" t="str">
        <f t="shared" si="0"/>
        <v>Rfolio Prudent</v>
      </c>
    </row>
    <row r="5" spans="1:6" x14ac:dyDescent="0.25">
      <c r="A5" t="str">
        <f>IF(Input!A6="","",Input!A6)</f>
        <v>Rfolio Balanced</v>
      </c>
      <c r="B5" s="11" t="s">
        <v>68</v>
      </c>
      <c r="C5" t="s">
        <v>40</v>
      </c>
      <c r="D5" s="8" t="s">
        <v>72</v>
      </c>
      <c r="F5" t="str">
        <f t="shared" si="0"/>
        <v>Rfolio Balanced</v>
      </c>
    </row>
    <row r="6" spans="1:6" x14ac:dyDescent="0.25">
      <c r="A6" t="str">
        <f>IF(Input!A7="","",Input!A7)</f>
        <v>Rfolio Growth</v>
      </c>
      <c r="B6" s="11" t="s">
        <v>68</v>
      </c>
      <c r="C6" t="s">
        <v>41</v>
      </c>
      <c r="D6" s="8" t="s">
        <v>73</v>
      </c>
      <c r="F6" t="str">
        <f t="shared" si="0"/>
        <v>Rfolio Growth</v>
      </c>
    </row>
    <row r="7" spans="1:6" x14ac:dyDescent="0.25">
      <c r="A7" t="str">
        <f>IF(Input!A8="","",Input!A8)</f>
        <v>Rfolio Dynamic</v>
      </c>
      <c r="B7" s="11" t="s">
        <v>68</v>
      </c>
      <c r="C7" t="s">
        <v>42</v>
      </c>
      <c r="D7" s="8" t="s">
        <v>74</v>
      </c>
      <c r="F7" t="str">
        <f t="shared" si="0"/>
        <v>Rfolio Dynamic</v>
      </c>
    </row>
    <row r="8" spans="1:6" x14ac:dyDescent="0.25">
      <c r="A8" t="str">
        <f>IF(Input!A9="","",Input!A9)</f>
        <v>Rfolio Adventurous</v>
      </c>
      <c r="B8" s="11" t="s">
        <v>68</v>
      </c>
      <c r="C8" t="s">
        <v>43</v>
      </c>
      <c r="D8" s="8" t="s">
        <v>75</v>
      </c>
      <c r="F8" t="str">
        <f t="shared" si="0"/>
        <v>Rfolio Adventurous</v>
      </c>
    </row>
    <row r="9" spans="1:6" x14ac:dyDescent="0.25">
      <c r="A9" t="str">
        <f>IF(Input!A10="","",Input!A10)</f>
        <v>Rfolio Income</v>
      </c>
      <c r="B9" s="11" t="s">
        <v>68</v>
      </c>
      <c r="C9" t="s">
        <v>44</v>
      </c>
      <c r="D9" s="8" t="s">
        <v>76</v>
      </c>
      <c r="F9" t="str">
        <f t="shared" si="0"/>
        <v>Rfolio Income</v>
      </c>
    </row>
    <row r="10" spans="1:6" x14ac:dyDescent="0.25">
      <c r="A10" t="str">
        <f>IF(Input!A11="","",Input!A11)</f>
        <v>Responsible Cautious</v>
      </c>
      <c r="B10" s="11" t="s">
        <v>68</v>
      </c>
      <c r="C10" t="s">
        <v>45</v>
      </c>
      <c r="D10" s="8" t="s">
        <v>77</v>
      </c>
      <c r="F10" t="str">
        <f t="shared" si="0"/>
        <v>Responsible Cautious</v>
      </c>
    </row>
    <row r="11" spans="1:6" x14ac:dyDescent="0.25">
      <c r="A11" t="str">
        <f>IF(Input!A12="","",Input!A12)</f>
        <v>Responsible Dynamic</v>
      </c>
      <c r="B11" s="11" t="s">
        <v>68</v>
      </c>
      <c r="C11" t="s">
        <v>46</v>
      </c>
      <c r="D11" s="8" t="s">
        <v>80</v>
      </c>
      <c r="F11" t="str">
        <f t="shared" si="0"/>
        <v>Responsible Dynamic</v>
      </c>
    </row>
    <row r="12" spans="1:6" x14ac:dyDescent="0.25">
      <c r="A12" t="str">
        <f>IF(Input!A13="","",Input!A13)</f>
        <v>Responsible Balanced</v>
      </c>
      <c r="B12" s="11" t="s">
        <v>68</v>
      </c>
      <c r="C12" t="s">
        <v>47</v>
      </c>
      <c r="D12" s="8" t="s">
        <v>78</v>
      </c>
      <c r="F12" t="str">
        <f t="shared" si="0"/>
        <v>Responsible Balanced</v>
      </c>
    </row>
    <row r="13" spans="1:6" x14ac:dyDescent="0.25">
      <c r="A13" t="str">
        <f>IF(Input!A14="","",Input!A14)</f>
        <v>Responsible Growth</v>
      </c>
      <c r="B13" s="11" t="s">
        <v>68</v>
      </c>
      <c r="C13" t="s">
        <v>48</v>
      </c>
      <c r="D13" s="8" t="s">
        <v>79</v>
      </c>
      <c r="F13" t="str">
        <f t="shared" si="0"/>
        <v>Responsible Growth</v>
      </c>
    </row>
    <row r="14" spans="1:6" x14ac:dyDescent="0.25">
      <c r="A14" t="str">
        <f>IF(Input!A15="","",Input!A15)</f>
        <v/>
      </c>
    </row>
    <row r="15" spans="1:6" x14ac:dyDescent="0.25">
      <c r="A15" t="str">
        <f>IF(Input!A16="","",Input!A16)</f>
        <v/>
      </c>
    </row>
    <row r="16" spans="1:6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Rfolio Defensive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Rfolio Cautious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>Rfolio Prudent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IF(Input!A6="","",Input!A6)</f>
        <v>Rfolio Balanced</v>
      </c>
      <c r="B5" s="1">
        <f>IF(A5="","",EOMONTH(DATE(YEAR(IF(A5="","",'Additional Information'!B5)),MONTH(IF(A5="","",'Additional Information'!B5)),DAY(IF(A5="","",'Additional Information'!B5))),0))</f>
        <v>45199</v>
      </c>
    </row>
    <row r="6" spans="1:2" x14ac:dyDescent="0.25">
      <c r="A6" t="str">
        <f>IF(Input!A7="","",Input!A7)</f>
        <v>Rfolio Growth</v>
      </c>
      <c r="B6" s="1">
        <f>IF(A6="","",EOMONTH(DATE(YEAR(IF(A6="","",'Additional Information'!B6)),MONTH(IF(A6="","",'Additional Information'!B6)),DAY(IF(A6="","",'Additional Information'!B6))),0))</f>
        <v>45199</v>
      </c>
    </row>
    <row r="7" spans="1:2" x14ac:dyDescent="0.25">
      <c r="A7" t="str">
        <f>IF(Input!A8="","",Input!A8)</f>
        <v>Rfolio Dynamic</v>
      </c>
      <c r="B7" s="1">
        <f>IF(A7="","",EOMONTH(DATE(YEAR(IF(A7="","",'Additional Information'!B7)),MONTH(IF(A7="","",'Additional Information'!B7)),DAY(IF(A7="","",'Additional Information'!B7))),0))</f>
        <v>45199</v>
      </c>
    </row>
    <row r="8" spans="1:2" x14ac:dyDescent="0.25">
      <c r="A8" t="str">
        <f>IF(Input!A9="","",Input!A9)</f>
        <v>Rfolio Adventurous</v>
      </c>
      <c r="B8" s="1">
        <f>IF(A8="","",EOMONTH(DATE(YEAR(IF(A8="","",'Additional Information'!B8)),MONTH(IF(A8="","",'Additional Information'!B8)),DAY(IF(A8="","",'Additional Information'!B8))),0))</f>
        <v>45199</v>
      </c>
    </row>
    <row r="9" spans="1:2" x14ac:dyDescent="0.25">
      <c r="A9" t="str">
        <f>IF(Input!A10="","",Input!A10)</f>
        <v>Rfolio Income</v>
      </c>
      <c r="B9" s="1">
        <f>IF(A9="","",EOMONTH(DATE(YEAR(IF(A9="","",'Additional Information'!B9)),MONTH(IF(A9="","",'Additional Information'!B9)),DAY(IF(A9="","",'Additional Information'!B9))),0))</f>
        <v>45199</v>
      </c>
    </row>
    <row r="10" spans="1:2" x14ac:dyDescent="0.25">
      <c r="A10" t="str">
        <f>IF(Input!A11="","",Input!A11)</f>
        <v>Responsible Cautious</v>
      </c>
      <c r="B10" s="1">
        <f>IF(A10="","",EOMONTH(DATE(YEAR(IF(A10="","",'Additional Information'!B10)),MONTH(IF(A10="","",'Additional Information'!B10)),DAY(IF(A10="","",'Additional Information'!B10))),0))</f>
        <v>45199</v>
      </c>
    </row>
    <row r="11" spans="1:2" x14ac:dyDescent="0.25">
      <c r="A11" t="str">
        <f>IF(Input!A12="","",Input!A12)</f>
        <v>Responsible Dynamic</v>
      </c>
      <c r="B11" s="1">
        <f>IF(A11="","",EOMONTH(DATE(YEAR(IF(A11="","",'Additional Information'!B11)),MONTH(IF(A11="","",'Additional Information'!B11)),DAY(IF(A11="","",'Additional Information'!B11))),0))</f>
        <v>45199</v>
      </c>
    </row>
    <row r="12" spans="1:2" x14ac:dyDescent="0.25">
      <c r="A12" t="str">
        <f>IF(Input!A13="","",Input!A13)</f>
        <v>Responsible Balanced</v>
      </c>
      <c r="B12" s="1">
        <f>IF(A12="","",EOMONTH(DATE(YEAR(IF(A12="","",'Additional Information'!B12)),MONTH(IF(A12="","",'Additional Information'!B12)),DAY(IF(A12="","",'Additional Information'!B12))),0))</f>
        <v>45199</v>
      </c>
    </row>
    <row r="13" spans="1:2" x14ac:dyDescent="0.25">
      <c r="A13" t="str">
        <f>IF(Input!A14="","",Input!A14)</f>
        <v>Responsible Growth</v>
      </c>
      <c r="B13" s="1">
        <f>IF(A13="","",EOMONTH(DATE(YEAR(IF(A13="","",'Additional Information'!B13)),MONTH(IF(A13="","",'Additional Information'!B13)),DAY(IF(A13="","",'Additional Information'!B13))),0))</f>
        <v>45199</v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Rfolio Defensive</v>
      </c>
      <c r="C2">
        <f>IF(A2="","",IF(OR('Additional Information'!G2="",'Additional Information'!G2="-"),"",'Additional Information'!G2))</f>
        <v>8.3000000000000001E-3</v>
      </c>
      <c r="D2" s="5">
        <f>IF(A2="","",SUM('Additional Information'!C2,'Additional Information'!D2))</f>
        <v>6.3E-3</v>
      </c>
      <c r="E2">
        <f>IF(A2="","",SUM('Additional Information'!C2))</f>
        <v>1.5E-3</v>
      </c>
      <c r="F2">
        <f>IF(A2="","",IF(OR('Additional Information'!H2="",'Additional Information'!H2="-"),"",'Additional Information'!H2))</f>
        <v>1.3000000000000001E-2</v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Rfolio Cautious</v>
      </c>
      <c r="C3">
        <f>IF(A3="","",IF(OR('Additional Information'!G3="",'Additional Information'!G3="-"),"",'Additional Information'!G3))</f>
        <v>1.4800000000000001E-2</v>
      </c>
      <c r="D3" s="5">
        <f>IF(A3="","",SUM('Additional Information'!C3,'Additional Information'!D3))</f>
        <v>7.7999999999999996E-3</v>
      </c>
      <c r="E3">
        <f>IF(A3="","",SUM('Additional Information'!C3))</f>
        <v>1.5E-3</v>
      </c>
      <c r="F3">
        <f>IF(A3="","",IF(OR('Additional Information'!H3="",'Additional Information'!H3="-"),"",'Additional Information'!H3))</f>
        <v>1.5800000000000002E-2</v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Rfolio Prudent</v>
      </c>
      <c r="C4">
        <f>IF(A4="","",IF(OR('Additional Information'!G4="",'Additional Information'!G4="-"),"",'Additional Information'!G4))</f>
        <v>1.6E-2</v>
      </c>
      <c r="D4" s="5">
        <f>IF(A4="","",SUM('Additional Information'!C4,'Additional Information'!D4))</f>
        <v>8.3000000000000001E-3</v>
      </c>
      <c r="E4">
        <f>IF(A4="","",SUM('Additional Information'!C4))</f>
        <v>1.5E-3</v>
      </c>
      <c r="F4">
        <f>IF(A4="","",IF(OR('Additional Information'!H4="",'Additional Information'!H4="-"),"",'Additional Information'!H4))</f>
        <v>1.43E-2</v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Rfolio Balanced</v>
      </c>
      <c r="C5">
        <f>IF(A5="","",IF(OR('Additional Information'!G5="",'Additional Information'!G5="-"),"",'Additional Information'!G5))</f>
        <v>1.67E-2</v>
      </c>
      <c r="D5" s="5">
        <f>IF(A5="","",SUM('Additional Information'!C5,'Additional Information'!D5))</f>
        <v>8.6999999999999994E-3</v>
      </c>
      <c r="E5">
        <f>IF(A5="","",SUM('Additional Information'!C5))</f>
        <v>1.5E-3</v>
      </c>
      <c r="F5">
        <f>IF(A5="","",IF(OR('Additional Information'!H5="",'Additional Information'!H5="-"),"",'Additional Information'!H5))</f>
        <v>1.9299999999999998E-2</v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Rfolio Growth</v>
      </c>
      <c r="C6">
        <f>IF(A6="","",IF(OR('Additional Information'!G6="",'Additional Information'!G6="-"),"",'Additional Information'!G6))</f>
        <v>2.1600000000000001E-2</v>
      </c>
      <c r="D6" s="5">
        <f>IF(A6="","",SUM('Additional Information'!C6,'Additional Information'!D6))</f>
        <v>8.6E-3</v>
      </c>
      <c r="E6">
        <f>IF(A6="","",SUM('Additional Information'!C6))</f>
        <v>1.5E-3</v>
      </c>
      <c r="F6">
        <f>IF(A6="","",IF(OR('Additional Information'!H6="",'Additional Information'!H6="-"),"",'Additional Information'!H6))</f>
        <v>2.41E-2</v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Rfolio Dynamic</v>
      </c>
      <c r="C7">
        <f>IF(A7="","",IF(OR('Additional Information'!G7="",'Additional Information'!G7="-"),"",'Additional Information'!G7))</f>
        <v>1.77E-2</v>
      </c>
      <c r="D7" s="5">
        <f>IF(A7="","",SUM('Additional Information'!C7,'Additional Information'!D7))</f>
        <v>8.8999999999999999E-3</v>
      </c>
      <c r="E7">
        <f>IF(A7="","",SUM('Additional Information'!C7))</f>
        <v>1.5E-3</v>
      </c>
      <c r="F7">
        <f>IF(A7="","",IF(OR('Additional Information'!H7="",'Additional Information'!H7="-"),"",'Additional Information'!H7))</f>
        <v>2.1700000000000001E-2</v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Rfolio Adventurous</v>
      </c>
      <c r="C8">
        <f>IF(A8="","",IF(OR('Additional Information'!G8="",'Additional Information'!G8="-"),"",'Additional Information'!G8))</f>
        <v>1.7000000000000001E-2</v>
      </c>
      <c r="D8" s="5">
        <f>IF(A8="","",SUM('Additional Information'!C8,'Additional Information'!D8))</f>
        <v>8.9999999999999993E-3</v>
      </c>
      <c r="E8">
        <f>IF(A8="","",SUM('Additional Information'!C8))</f>
        <v>1.5E-3</v>
      </c>
      <c r="F8">
        <f>IF(A8="","",IF(OR('Additional Information'!H8="",'Additional Information'!H8="-"),"",'Additional Information'!H8))</f>
        <v>1.9E-2</v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Rfolio Income</v>
      </c>
      <c r="C9">
        <f>IF(A9="","",IF(OR('Additional Information'!G9="",'Additional Information'!G9="-"),"",'Additional Information'!G9))</f>
        <v>3.27E-2</v>
      </c>
      <c r="D9" s="5">
        <f>IF(A9="","",SUM('Additional Information'!C9,'Additional Information'!D9))</f>
        <v>9.7999999999999997E-3</v>
      </c>
      <c r="E9">
        <f>IF(A9="","",SUM('Additional Information'!C9))</f>
        <v>1.5E-3</v>
      </c>
      <c r="F9">
        <f>IF(A9="","",IF(OR('Additional Information'!H9="",'Additional Information'!H9="-"),"",'Additional Information'!H9))</f>
        <v>1.78E-2</v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Responsible Cautious</v>
      </c>
      <c r="C10">
        <f>IF(A10="","",IF(OR('Additional Information'!G10="",'Additional Information'!G10="-"),"",'Additional Information'!G10))</f>
        <v>-8.5000000000000006E-3</v>
      </c>
      <c r="D10" s="5">
        <f>IF(A10="","",SUM('Additional Information'!C10,'Additional Information'!D10))</f>
        <v>7.5999999999999991E-3</v>
      </c>
      <c r="E10">
        <f>IF(A10="","",SUM('Additional Information'!C10))</f>
        <v>1.5E-3</v>
      </c>
      <c r="F10">
        <f>IF(A10="","",IF(OR('Additional Information'!H10="",'Additional Information'!H10="-"),"",'Additional Information'!H10))</f>
        <v>7.8000000000000005E-3</v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Responsible Dynamic</v>
      </c>
      <c r="C11">
        <f>IF(A11="","",IF(OR('Additional Information'!G11="",'Additional Information'!G11="-"),"",'Additional Information'!G11))</f>
        <v>1.6799999999999999E-2</v>
      </c>
      <c r="D11" s="5">
        <f>IF(A11="","",SUM('Additional Information'!C11,'Additional Information'!D11))</f>
        <v>9.8999999999999991E-3</v>
      </c>
      <c r="E11">
        <f>IF(A11="","",SUM('Additional Information'!C11))</f>
        <v>1.5E-3</v>
      </c>
      <c r="F11">
        <f>IF(A11="","",IF(OR('Additional Information'!H11="",'Additional Information'!H11="-"),"",'Additional Information'!H11))</f>
        <v>2.6099999999999998E-2</v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Responsible Balanced</v>
      </c>
      <c r="C12">
        <f>IF(A12="","",IF(OR('Additional Information'!G12="",'Additional Information'!G12="-"),"",'Additional Information'!G12))</f>
        <v>6.4000000000000003E-3</v>
      </c>
      <c r="D12" s="5">
        <f>IF(A12="","",SUM('Additional Information'!C12,'Additional Information'!D12))</f>
        <v>8.6E-3</v>
      </c>
      <c r="E12">
        <f>IF(A12="","",SUM('Additional Information'!C12))</f>
        <v>1.5E-3</v>
      </c>
      <c r="F12">
        <f>IF(A12="","",IF(OR('Additional Information'!H12="",'Additional Information'!H12="-"),"",'Additional Information'!H12))</f>
        <v>2.0400000000000001E-2</v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Responsible Growth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9.300000000000001E-3</v>
      </c>
      <c r="E13">
        <f>IF(A13="","",SUM('Additional Information'!C13))</f>
        <v>1.5E-3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Rfolio Defensive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0.51700000000000002</v>
      </c>
      <c r="D2">
        <f>IF(A2="","",SUM('Asset Allocation'!D2))</f>
        <v>0.24100000000000002</v>
      </c>
      <c r="F2">
        <f>IF(A2="","",SUM('Asset Allocation'!E2))</f>
        <v>6.4000000000000001E-2</v>
      </c>
      <c r="G2">
        <f>IF(A2="","",SUM('Asset Allocation'!B2))</f>
        <v>0.17800000000000002</v>
      </c>
      <c r="H2">
        <f t="shared" ref="H2:H50" si="0">IF(A2="","",1-SUM(B2:G2))</f>
        <v>0</v>
      </c>
    </row>
    <row r="3" spans="1:8" x14ac:dyDescent="0.25">
      <c r="A3" t="str">
        <f>IF(Input!A4="","",Input!A4)</f>
        <v>Rfolio Cautious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0.46200000000000002</v>
      </c>
      <c r="D3">
        <f>IF(A3="","",SUM('Asset Allocation'!D3))</f>
        <v>0.11199999999999999</v>
      </c>
      <c r="F3">
        <f>IF(A3="","",SUM('Asset Allocation'!E3))</f>
        <v>7.0000000000000007E-2</v>
      </c>
      <c r="G3">
        <f>IF(A3="","",SUM('Asset Allocation'!B3))</f>
        <v>0.35600000000000004</v>
      </c>
      <c r="H3">
        <f t="shared" si="0"/>
        <v>-2.2204460492503131E-16</v>
      </c>
    </row>
    <row r="4" spans="1:8" x14ac:dyDescent="0.25">
      <c r="A4" t="str">
        <f>IF(Input!A5="","",Input!A5)</f>
        <v>Rfolio Prudent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0.36299999999999999</v>
      </c>
      <c r="D4">
        <f>IF(A4="","",SUM('Asset Allocation'!D4))</f>
        <v>6.4000000000000001E-2</v>
      </c>
      <c r="F4">
        <f>IF(A4="","",SUM('Asset Allocation'!E4))</f>
        <v>7.0000000000000007E-2</v>
      </c>
      <c r="G4">
        <f>IF(A4="","",SUM('Asset Allocation'!B4))</f>
        <v>0.503</v>
      </c>
      <c r="H4">
        <f t="shared" si="0"/>
        <v>0</v>
      </c>
    </row>
    <row r="5" spans="1:8" x14ac:dyDescent="0.25">
      <c r="A5" t="str">
        <f>IF(Input!A6="","",Input!A6)</f>
        <v>Rfolio Balanced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0.26300000000000001</v>
      </c>
      <c r="D5">
        <f>IF(A5="","",SUM('Asset Allocation'!D5))</f>
        <v>3.4000000000000002E-2</v>
      </c>
      <c r="F5">
        <f>IF(A5="","",SUM('Asset Allocation'!E5))</f>
        <v>6.7000000000000004E-2</v>
      </c>
      <c r="G5">
        <f>IF(A5="","",SUM('Asset Allocation'!B5))</f>
        <v>0.63700000000000001</v>
      </c>
      <c r="H5">
        <f t="shared" si="0"/>
        <v>-1.0000000000001119E-3</v>
      </c>
    </row>
    <row r="6" spans="1:8" x14ac:dyDescent="0.25">
      <c r="A6" t="str">
        <f>IF(Input!A7="","",Input!A7)</f>
        <v>Rfolio Growth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0.14099999999999999</v>
      </c>
      <c r="D6">
        <f>IF(A6="","",SUM('Asset Allocation'!D6))</f>
        <v>1.3999999999999999E-2</v>
      </c>
      <c r="F6">
        <f>IF(A6="","",SUM('Asset Allocation'!E6))</f>
        <v>6.5000000000000002E-2</v>
      </c>
      <c r="G6">
        <f>IF(A6="","",SUM('Asset Allocation'!B6))</f>
        <v>0.78</v>
      </c>
      <c r="H6">
        <f t="shared" si="0"/>
        <v>0</v>
      </c>
    </row>
    <row r="7" spans="1:8" x14ac:dyDescent="0.25">
      <c r="A7" t="str">
        <f>IF(Input!A8="","",Input!A8)</f>
        <v>Rfolio Dynamic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8.8000000000000009E-2</v>
      </c>
      <c r="D7">
        <f>IF(A7="","",SUM('Asset Allocation'!D7))</f>
        <v>1.3999999999999999E-2</v>
      </c>
      <c r="F7">
        <f>IF(A7="","",SUM('Asset Allocation'!E7))</f>
        <v>4.0999999999999995E-2</v>
      </c>
      <c r="G7">
        <f>IF(A7="","",SUM('Asset Allocation'!B7))</f>
        <v>0.85699999999999998</v>
      </c>
      <c r="H7">
        <f t="shared" si="0"/>
        <v>0</v>
      </c>
    </row>
    <row r="8" spans="1:8" x14ac:dyDescent="0.25">
      <c r="A8" t="str">
        <f>IF(Input!A9="","",Input!A9)</f>
        <v>Rfolio Adventurous</v>
      </c>
      <c r="B8">
        <f>IF(A8="","",SUM('Asset Allocation'!F8,'Asset Allocation'!G8,'Asset Allocation'!H8,'Asset Allocation'!I8,'Asset Allocation'!J8,'Asset Allocation'!K8))</f>
        <v>0</v>
      </c>
      <c r="C8">
        <f>IF(A8="","",SUM('Asset Allocation'!C8))</f>
        <v>3.2000000000000001E-2</v>
      </c>
      <c r="D8">
        <f>IF(A8="","",SUM('Asset Allocation'!D8))</f>
        <v>1.6E-2</v>
      </c>
      <c r="F8">
        <f>IF(A8="","",SUM('Asset Allocation'!E8))</f>
        <v>3.7000000000000005E-2</v>
      </c>
      <c r="G8">
        <f>IF(A8="","",SUM('Asset Allocation'!B8))</f>
        <v>0.91500000000000004</v>
      </c>
      <c r="H8">
        <f t="shared" si="0"/>
        <v>0</v>
      </c>
    </row>
    <row r="9" spans="1:8" x14ac:dyDescent="0.25">
      <c r="A9" t="str">
        <f>IF(Input!A10="","",Input!A10)</f>
        <v>Rfolio Income</v>
      </c>
      <c r="B9">
        <f>IF(A9="","",SUM('Asset Allocation'!F9,'Asset Allocation'!G9,'Asset Allocation'!H9,'Asset Allocation'!I9,'Asset Allocation'!J9,'Asset Allocation'!K9))</f>
        <v>0</v>
      </c>
      <c r="C9">
        <f>IF(A9="","",SUM('Asset Allocation'!C9))</f>
        <v>0.35600000000000004</v>
      </c>
      <c r="D9">
        <f>IF(A9="","",SUM('Asset Allocation'!D9))</f>
        <v>6.5000000000000002E-2</v>
      </c>
      <c r="F9">
        <f>IF(A9="","",SUM('Asset Allocation'!E9))</f>
        <v>0.09</v>
      </c>
      <c r="G9">
        <f>IF(A9="","",SUM('Asset Allocation'!B9))</f>
        <v>0.48899999999999999</v>
      </c>
      <c r="H9">
        <f t="shared" si="0"/>
        <v>0</v>
      </c>
    </row>
    <row r="10" spans="1:8" x14ac:dyDescent="0.25">
      <c r="A10" t="str">
        <f>IF(Input!A11="","",Input!A11)</f>
        <v>Responsible Cautious</v>
      </c>
      <c r="B10">
        <f>IF(A10="","",SUM('Asset Allocation'!F10,'Asset Allocation'!G10,'Asset Allocation'!H10,'Asset Allocation'!I10,'Asset Allocation'!J10,'Asset Allocation'!K10))</f>
        <v>0</v>
      </c>
      <c r="C10">
        <f>IF(A10="","",SUM('Asset Allocation'!C10))</f>
        <v>0.54</v>
      </c>
      <c r="D10">
        <f>IF(A10="","",SUM('Asset Allocation'!D10))</f>
        <v>0.13900000000000001</v>
      </c>
      <c r="F10">
        <f>IF(A10="","",SUM('Asset Allocation'!E10))</f>
        <v>5.5E-2</v>
      </c>
      <c r="G10">
        <f>IF(A10="","",SUM('Asset Allocation'!B10))</f>
        <v>0.26600000000000001</v>
      </c>
      <c r="H10">
        <f t="shared" si="0"/>
        <v>0</v>
      </c>
    </row>
    <row r="11" spans="1:8" x14ac:dyDescent="0.25">
      <c r="A11" t="str">
        <f>IF(Input!A12="","",Input!A12)</f>
        <v>Responsible Dynamic</v>
      </c>
      <c r="B11">
        <f>IF(A11="","",SUM('Asset Allocation'!F11,'Asset Allocation'!G11,'Asset Allocation'!H11,'Asset Allocation'!I11,'Asset Allocation'!J11,'Asset Allocation'!K11))</f>
        <v>0</v>
      </c>
      <c r="C11">
        <f>IF(A11="","",SUM('Asset Allocation'!C11))</f>
        <v>0.15</v>
      </c>
      <c r="D11">
        <f>IF(A11="","",SUM('Asset Allocation'!D11))</f>
        <v>2.4E-2</v>
      </c>
      <c r="F11">
        <f>IF(A11="","",SUM('Asset Allocation'!E11))</f>
        <v>0.06</v>
      </c>
      <c r="G11">
        <f>IF(A11="","",SUM('Asset Allocation'!B11))</f>
        <v>0.76700000000000002</v>
      </c>
      <c r="H11">
        <f t="shared" si="0"/>
        <v>-9.9999999999988987E-4</v>
      </c>
    </row>
    <row r="12" spans="1:8" x14ac:dyDescent="0.25">
      <c r="A12" t="str">
        <f>IF(Input!A13="","",Input!A13)</f>
        <v>Responsible Balanced</v>
      </c>
      <c r="B12">
        <f>IF(A12="","",SUM('Asset Allocation'!F12,'Asset Allocation'!G12,'Asset Allocation'!H12,'Asset Allocation'!I12,'Asset Allocation'!J12,'Asset Allocation'!K12))</f>
        <v>0</v>
      </c>
      <c r="C12">
        <f>IF(A12="","",SUM('Asset Allocation'!C12))</f>
        <v>0.36700000000000005</v>
      </c>
      <c r="D12">
        <f>IF(A12="","",SUM('Asset Allocation'!D12))</f>
        <v>9.9000000000000005E-2</v>
      </c>
      <c r="F12">
        <f>IF(A12="","",SUM('Asset Allocation'!E12))</f>
        <v>5.5999999999999994E-2</v>
      </c>
      <c r="G12">
        <f>IF(A12="","",SUM('Asset Allocation'!B12))</f>
        <v>0.47799999999999998</v>
      </c>
      <c r="H12">
        <f t="shared" si="0"/>
        <v>0</v>
      </c>
    </row>
    <row r="13" spans="1:8" x14ac:dyDescent="0.25">
      <c r="A13" t="str">
        <f>IF(Input!A14="","",Input!A14)</f>
        <v>Responsible Growth</v>
      </c>
      <c r="B13">
        <f>IF(A13="","",SUM('Asset Allocation'!F13,'Asset Allocation'!G13,'Asset Allocation'!H13,'Asset Allocation'!I13,'Asset Allocation'!J13,'Asset Allocation'!K13))</f>
        <v>0</v>
      </c>
      <c r="C13">
        <f>IF(A13="","",SUM('Asset Allocation'!C13))</f>
        <v>0.27500000000000002</v>
      </c>
      <c r="D13">
        <f>IF(A13="","",SUM('Asset Allocation'!D13))</f>
        <v>4.5999999999999999E-2</v>
      </c>
      <c r="F13">
        <f>IF(A13="","",SUM('Asset Allocation'!E13))</f>
        <v>5.7999999999999996E-2</v>
      </c>
      <c r="G13">
        <f>IF(A13="","",SUM('Asset Allocation'!B13))</f>
        <v>0.622</v>
      </c>
      <c r="H13">
        <f t="shared" si="0"/>
        <v>-9.9999999999988987E-4</v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Rfolio Defensive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Rfolio Cautious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Rfolio Prudent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Rfolio Balanced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Rfolio Growth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Rfolio Dynamic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Rfolio Adventurous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Rfolio Income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Responsible Cautious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Responsible Dynamic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Responsible Balanced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0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Responsible Growth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</v>
      </c>
      <c r="D13" s="6">
        <f>IFERROR(IF(A13="","",SUM('Asset Allocation'!H13)/'Broad Asset Allocation'!B13),0)</f>
        <v>0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Rfolio Defensive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Rfolio Cautious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Rfolio Prudent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Rfolio Balanced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Rfolio Growth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Rfolio Dynamic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Rfolio Adventurous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Rfolio Income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Responsible Cautious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Responsible Dynamic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Responsible Balanced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Responsible Growth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2023-11-08T21:41:43Z</dcterms:modified>
</cp:coreProperties>
</file>