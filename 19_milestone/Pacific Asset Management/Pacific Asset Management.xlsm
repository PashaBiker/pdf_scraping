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26\Documents\IONOS HiDrive\Mabel Insights\DFM\Pacific Asset Management\"/>
    </mc:Choice>
  </mc:AlternateContent>
  <xr:revisionPtr revIDLastSave="0" documentId="13_ncr:1_{2890CCC3-70AE-4B3E-AAAE-F86D831CB288}" xr6:coauthVersionLast="47" xr6:coauthVersionMax="47" xr10:uidLastSave="{00000000-0000-0000-0000-000000000000}"/>
  <bookViews>
    <workbookView xWindow="-110" yWindow="-110" windowWidth="19420" windowHeight="10300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" l="1"/>
  <c r="B9" i="1"/>
  <c r="B10" i="1"/>
  <c r="B11" i="1"/>
  <c r="B12" i="1"/>
  <c r="B13" i="1"/>
  <c r="B14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<sst xmlns="http://schemas.openxmlformats.org/spreadsheetml/2006/main" count="108" uniqueCount="74">
  <si>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</si>
  <si>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</si>
  <si>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</si>
  <si>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</si>
  <si>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</si>
  <si>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</si>
  <si>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</si>
  <si>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</si>
  <si>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</si>
  <si>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</si>
  <si>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</si>
  <si>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</si>
  <si>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</si>
  <si>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</si>
  <si>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</si>
  <si>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</si>
  <si>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</si>
  <si>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</si>
  <si>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</si>
  <si>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</si>
  <si>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</si>
  <si>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</si>
  <si>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</si>
  <si>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</si>
  <si>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</si>
  <si>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</si>
  <si>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</si>
  <si>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</si>
  <si>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</si>
  <si>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</si>
  <si>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</si>
  <si>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</si>
  <si>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</si>
  <si>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</si>
  <si>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</si>
  <si>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</si>
  <si>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Core Growth Defensive</t>
  </si>
  <si>
    <t>Core Growth Conservative</t>
  </si>
  <si>
    <t>Core Growth Balanced</t>
  </si>
  <si>
    <t>Core Growth Adventurous</t>
  </si>
  <si>
    <t>Core Growth Aggressive</t>
  </si>
  <si>
    <t>Sustainable Conservative</t>
  </si>
  <si>
    <t>Sustainable Balanced</t>
  </si>
  <si>
    <t>Sustainable Adventurous</t>
  </si>
  <si>
    <t>Income Defensive</t>
  </si>
  <si>
    <t>Income Balanced</t>
  </si>
  <si>
    <t>Passive Conservative</t>
  </si>
  <si>
    <t>Passive Balanced</t>
  </si>
  <si>
    <t>Passive Adventurous</t>
  </si>
  <si>
    <t>SUSTAINABLE</t>
  </si>
  <si>
    <t>CONSERVATIVE</t>
  </si>
  <si>
    <t>BALANCED</t>
  </si>
  <si>
    <t>ADVENTUROUS</t>
  </si>
  <si>
    <t>CORE GROWTH</t>
  </si>
  <si>
    <t>INCOME</t>
  </si>
  <si>
    <t>PASSIVE</t>
  </si>
  <si>
    <t>DEFENSIVE</t>
  </si>
  <si>
    <t>AGGRESSIVE</t>
  </si>
  <si>
    <t>https://www.pacificam.co.uk/core-capabilities/model-portfolio-solutions/portfolio-range/</t>
  </si>
  <si>
    <t>DFM</t>
  </si>
  <si>
    <t>Ongoing Charges Figure</t>
  </si>
  <si>
    <t>UK Equity</t>
  </si>
  <si>
    <t>US Equity</t>
  </si>
  <si>
    <t>Emerging Equity</t>
  </si>
  <si>
    <t>Japan Equity</t>
  </si>
  <si>
    <t>Europe Equity</t>
  </si>
  <si>
    <t>UK Government Bonds</t>
  </si>
  <si>
    <t>Investment Grade Corporate Bonds (Global)</t>
  </si>
  <si>
    <t>Global Bonds</t>
  </si>
  <si>
    <t>Investment Grade Corporate Bonds (Ultrashort)</t>
  </si>
  <si>
    <t>Investment Grade Corporate Bonds (GBP)</t>
  </si>
  <si>
    <t>EM Bonds</t>
  </si>
  <si>
    <t>REITS</t>
  </si>
  <si>
    <t>Diversifying Risk Assets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</si>
</sst>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0" fontId="0" fillId="0" borderId="0" xfId="0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0</xdr:rowOff>
    </xdr:from>
    <xdr:to>
      <xdr:col>3</xdr:col>
      <xdr:colOff>63075</xdr:colOff>
      <xdr:row>6</xdr:row>
      <xdr:rowOff>127000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D682945-0E19-80C5-8011-8CC32A721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84150"/>
          <a:ext cx="1891874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177800</xdr:rowOff>
    </xdr:from>
    <xdr:to>
      <xdr:col>4</xdr:col>
      <xdr:colOff>21535</xdr:colOff>
      <xdr:row>10</xdr:row>
      <xdr:rowOff>139753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BE421CA-80F9-AF24-2E6D-3A501B948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282700"/>
          <a:ext cx="2459935" cy="6985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4</xdr:col>
      <xdr:colOff>533553</xdr:colOff>
      <xdr:row>17</xdr:row>
      <xdr:rowOff>19108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097332-7E4E-C892-F826-DD5A01127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5650"/>
          <a:ext cx="2971953" cy="112400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482719</xdr:colOff>
      <xdr:row>27</xdr:row>
      <xdr:rowOff>44698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BF676DF-A55A-8EDE-10E2-905B4EED6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11519" cy="48325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tabSelected="1" workbookViewId="0">
      <selection activeCell="H2" sqref="H2"/>
    </sheetView>
  </sheetViews>
  <sheetFormatPr defaultRowHeight="14.5" x14ac:dyDescent="0.35"/>
  <sheetData>
    <row r="1" spans="1:17" x14ac:dyDescent="0.35">
      <c r="A1" s="3" t="s">
        <v>21</v>
      </c>
      <c r="H1" s="3" t="s">
        <v>19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15"/>
  <sheetViews>
    <sheetView workbookViewId="0">
      <selection activeCell="B15" sqref="B15"/>
    </sheetView>
  </sheetViews>
  <sheetFormatPr defaultRowHeight="14.5" x14ac:dyDescent="0.35"/>
  <cols>
    <col min="1" max="1" width="27.726562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45199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36</v>
      </c>
      <c r="B3">
        <f>'PDF Scraping'!D2</f>
        <v>0</v>
      </c>
      <c r="J3" s="4"/>
    </row>
    <row r="4" spans="1:10" x14ac:dyDescent="0.35">
      <c r="A4" t="s">
        <v>37</v>
      </c>
      <c r="B4">
        <f>'PDF Scraping'!D3</f>
        <v>0</v>
      </c>
      <c r="J4" s="4"/>
    </row>
    <row r="5" spans="1:10" x14ac:dyDescent="0.35">
      <c r="A5" t="s">
        <v>38</v>
      </c>
      <c r="B5">
        <f>'PDF Scraping'!D4</f>
        <v>0</v>
      </c>
    </row>
    <row r="6" spans="1:10" x14ac:dyDescent="0.35">
      <c r="A6" t="s">
        <v>39</v>
      </c>
      <c r="B6">
        <f>'PDF Scraping'!D5</f>
        <v>0</v>
      </c>
    </row>
    <row r="7" spans="1:10" x14ac:dyDescent="0.35">
      <c r="A7" t="s">
        <v>40</v>
      </c>
      <c r="B7">
        <f>'PDF Scraping'!D6</f>
        <v>0</v>
      </c>
    </row>
    <row r="8" spans="1:10" x14ac:dyDescent="0.35">
      <c r="A8" t="s">
        <v>41</v>
      </c>
      <c r="B8">
        <f>'PDF Scraping'!D7</f>
        <v>0</v>
      </c>
    </row>
    <row r="9" spans="1:10" x14ac:dyDescent="0.35">
      <c r="A9" t="s">
        <v>42</v>
      </c>
      <c r="B9">
        <f>'PDF Scraping'!D8</f>
        <v>0</v>
      </c>
    </row>
    <row r="10" spans="1:10" x14ac:dyDescent="0.35">
      <c r="A10" t="s">
        <v>43</v>
      </c>
      <c r="B10">
        <f>'PDF Scraping'!D9</f>
        <v>0</v>
      </c>
    </row>
    <row r="11" spans="1:10" x14ac:dyDescent="0.35">
      <c r="A11" t="s">
        <v>44</v>
      </c>
      <c r="B11">
        <f>'PDF Scraping'!D10</f>
        <v>0</v>
      </c>
    </row>
    <row r="12" spans="1:10" x14ac:dyDescent="0.35">
      <c r="A12" t="s">
        <v>45</v>
      </c>
      <c r="B12">
        <f>'PDF Scraping'!D11</f>
        <v>0</v>
      </c>
    </row>
    <row r="13" spans="1:10" x14ac:dyDescent="0.35">
      <c r="A13" t="s">
        <v>46</v>
      </c>
      <c r="B13">
        <f>'PDF Scraping'!D12</f>
        <v>0</v>
      </c>
    </row>
    <row r="14" spans="1:10" x14ac:dyDescent="0.35">
      <c r="A14" t="s">
        <v>47</v>
      </c>
      <c r="B14">
        <f>'PDF Scraping'!D13</f>
        <v>0</v>
      </c>
    </row>
    <row r="15" spans="1:10" x14ac:dyDescent="0.35">
      <c r="A15" t="s">
        <v>48</v>
      </c>
      <c r="B15">
        <f>'PDF Scraping'!D14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I50"/>
  <sheetViews>
    <sheetView workbookViewId="0">
      <selection activeCell="E5" sqref="E5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style="10" bestFit="1" customWidth="1"/>
    <col min="5" max="5" width="21.54296875" style="10" bestFit="1" customWidth="1"/>
    <col min="6" max="6" width="13.7265625" bestFit="1" customWidth="1"/>
  </cols>
  <sheetData>
    <row r="1" spans="1:9" x14ac:dyDescent="0.35">
      <c r="B1" t="s">
        <v>22</v>
      </c>
      <c r="C1" s="10" t="s">
        <v>59</v>
      </c>
      <c r="D1" s="10" t="s">
        <v>60</v>
      </c>
      <c r="E1" t="s">
        <v>35</v>
      </c>
    </row>
    <row r="2" spans="1:9" x14ac:dyDescent="0.35">
      <c r="A2" t="str">
        <f>IF(Input!A3="","",Input!A3)</f>
        <v>Core Growth Defensive</v>
      </c>
      <c r="B2" s="1"/>
      <c r="F2" s="5"/>
      <c r="G2" s="5"/>
      <c r="H2" s="5"/>
      <c r="I2" s="5"/>
    </row>
    <row r="3" spans="1:9" x14ac:dyDescent="0.35">
      <c r="A3" t="str">
        <f>IF(Input!A4="","",Input!A4)</f>
        <v>Core Growth Conservative</v>
      </c>
      <c r="B3" s="1"/>
      <c r="F3" s="5"/>
      <c r="G3" s="5"/>
      <c r="H3" s="5"/>
      <c r="I3" s="5"/>
    </row>
    <row r="4" spans="1:9" x14ac:dyDescent="0.35">
      <c r="A4" t="str">
        <f>IF(Input!A5="","",Input!A5)</f>
        <v>Core Growth Balanced</v>
      </c>
      <c r="B4" s="1"/>
      <c r="F4" s="5"/>
      <c r="G4" s="5"/>
      <c r="H4" s="5"/>
      <c r="I4" s="5"/>
    </row>
    <row r="5" spans="1:9" x14ac:dyDescent="0.35">
      <c r="A5" t="str">
        <f>IF(Input!A6="","",Input!A6)</f>
        <v>Core Growth Adventurous</v>
      </c>
      <c r="B5" s="1"/>
      <c r="F5" s="5"/>
      <c r="G5" s="5"/>
      <c r="H5" s="5"/>
      <c r="I5" s="5"/>
    </row>
    <row r="6" spans="1:9" x14ac:dyDescent="0.35">
      <c r="A6" t="str">
        <f>IF(Input!A7="","",Input!A7)</f>
        <v>Core Growth Aggressive</v>
      </c>
      <c r="B6" s="1"/>
      <c r="F6" s="5"/>
      <c r="G6" s="5"/>
      <c r="H6" s="5"/>
      <c r="I6" s="5"/>
    </row>
    <row r="7" spans="1:9" x14ac:dyDescent="0.35">
      <c r="A7" t="str">
        <f>IF(Input!A8="","",Input!A8)</f>
        <v>Sustainable Conservative</v>
      </c>
      <c r="B7" s="1"/>
      <c r="F7" s="5"/>
      <c r="G7" s="5"/>
      <c r="H7" s="5"/>
      <c r="I7" s="5"/>
    </row>
    <row r="8" spans="1:9" x14ac:dyDescent="0.35">
      <c r="A8" t="str">
        <f>IF(Input!A9="","",Input!A9)</f>
        <v>Sustainable Balanced</v>
      </c>
      <c r="B8" s="1"/>
      <c r="F8" s="5"/>
      <c r="G8" s="5"/>
      <c r="H8" s="5"/>
      <c r="I8" s="5"/>
    </row>
    <row r="9" spans="1:9" x14ac:dyDescent="0.35">
      <c r="A9" t="str">
        <f>IF(Input!A10="","",Input!A10)</f>
        <v>Sustainable Adventurous</v>
      </c>
      <c r="B9" s="1"/>
      <c r="F9" s="5"/>
      <c r="G9" s="5"/>
      <c r="H9" s="5"/>
      <c r="I9" s="5"/>
    </row>
    <row r="10" spans="1:9" x14ac:dyDescent="0.35">
      <c r="A10" t="str">
        <f>IF(Input!A11="","",Input!A11)</f>
        <v>Income Defensive</v>
      </c>
      <c r="B10" s="1"/>
      <c r="F10" s="5"/>
      <c r="G10" s="5"/>
      <c r="H10" s="5"/>
      <c r="I10" s="5"/>
    </row>
    <row r="11" spans="1:9" x14ac:dyDescent="0.35">
      <c r="A11" t="str">
        <f>IF(Input!A12="","",Input!A12)</f>
        <v>Income Balanced</v>
      </c>
      <c r="B11" s="1"/>
      <c r="F11" s="5"/>
      <c r="G11" s="5"/>
      <c r="H11" s="5"/>
      <c r="I11" s="5"/>
    </row>
    <row r="12" spans="1:9" x14ac:dyDescent="0.35">
      <c r="A12" t="str">
        <f>IF(Input!A13="","",Input!A13)</f>
        <v>Passive Conservative</v>
      </c>
      <c r="B12" s="1"/>
      <c r="F12" s="5"/>
      <c r="G12" s="5"/>
      <c r="H12" s="5"/>
      <c r="I12" s="5"/>
    </row>
    <row r="13" spans="1:9" x14ac:dyDescent="0.35">
      <c r="A13" t="str">
        <f>IF(Input!A14="","",Input!A14)</f>
        <v>Passive Balanced</v>
      </c>
      <c r="B13" s="1"/>
      <c r="F13" s="5"/>
      <c r="G13" s="5"/>
      <c r="H13" s="5"/>
      <c r="I13" s="5"/>
    </row>
    <row r="14" spans="1:9" x14ac:dyDescent="0.35">
      <c r="A14" t="str">
        <f>IF(Input!A15="","",Input!A15)</f>
        <v>Passive Adventurous</v>
      </c>
      <c r="B14" s="1"/>
      <c r="F14" s="5"/>
      <c r="G14" s="5"/>
      <c r="H14" s="5"/>
      <c r="I14" s="5"/>
    </row>
    <row r="15" spans="1:9" x14ac:dyDescent="0.3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3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3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3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3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3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3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3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3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3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3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35">
      <c r="A26" t="str">
        <f>IF(Input!A27="","",Input!A27)</f>
        <v/>
      </c>
      <c r="B26" s="7"/>
    </row>
    <row r="27" spans="1:9" x14ac:dyDescent="0.35">
      <c r="A27" t="str">
        <f>IF(Input!A28="","",Input!A28)</f>
        <v/>
      </c>
      <c r="B27" s="7"/>
    </row>
    <row r="28" spans="1:9" x14ac:dyDescent="0.35">
      <c r="A28" t="str">
        <f>IF(Input!A29="","",Input!A29)</f>
        <v/>
      </c>
      <c r="B28" s="7"/>
    </row>
    <row r="29" spans="1:9" x14ac:dyDescent="0.35">
      <c r="A29" t="str">
        <f>IF(Input!A30="","",Input!A30)</f>
        <v/>
      </c>
      <c r="B29" s="7"/>
    </row>
    <row r="30" spans="1:9" x14ac:dyDescent="0.35">
      <c r="A30" t="str">
        <f>IF(Input!A31="","",Input!A31)</f>
        <v/>
      </c>
      <c r="B30" s="7"/>
    </row>
    <row r="31" spans="1:9" x14ac:dyDescent="0.35">
      <c r="A31" t="str">
        <f>IF(Input!A32="","",Input!A32)</f>
        <v/>
      </c>
      <c r="B31" s="7"/>
    </row>
    <row r="32" spans="1:9" x14ac:dyDescent="0.35">
      <c r="A32" t="str">
        <f>IF(Input!A33="","",Input!A33)</f>
        <v/>
      </c>
      <c r="B32" s="7"/>
    </row>
    <row r="33" spans="1:2" x14ac:dyDescent="0.35">
      <c r="A33" t="str">
        <f>IF(Input!A34="","",Input!A34)</f>
        <v/>
      </c>
      <c r="B33" s="7"/>
    </row>
    <row r="34" spans="1:2" x14ac:dyDescent="0.35">
      <c r="A34" t="str">
        <f>IF(Input!A35="","",Input!A35)</f>
        <v/>
      </c>
      <c r="B34" s="7"/>
    </row>
    <row r="35" spans="1:2" x14ac:dyDescent="0.35">
      <c r="A35" t="str">
        <f>IF(Input!A36="","",Input!A36)</f>
        <v/>
      </c>
    </row>
    <row r="36" spans="1:2" x14ac:dyDescent="0.35">
      <c r="A36" t="str">
        <f>IF(Input!A37="","",Input!A37)</f>
        <v/>
      </c>
    </row>
    <row r="37" spans="1:2" x14ac:dyDescent="0.35">
      <c r="A37" t="str">
        <f>IF(Input!A38="","",Input!A38)</f>
        <v/>
      </c>
    </row>
    <row r="38" spans="1:2" x14ac:dyDescent="0.35">
      <c r="A38" t="str">
        <f>IF(Input!A39="","",Input!A39)</f>
        <v/>
      </c>
    </row>
    <row r="39" spans="1:2" x14ac:dyDescent="0.35">
      <c r="A39" t="str">
        <f>IF(Input!A40="","",Input!A40)</f>
        <v/>
      </c>
    </row>
    <row r="40" spans="1:2" x14ac:dyDescent="0.35">
      <c r="A40" t="str">
        <f>IF(Input!A41="","",Input!A41)</f>
        <v/>
      </c>
    </row>
    <row r="41" spans="1:2" x14ac:dyDescent="0.35">
      <c r="A41" t="str">
        <f>IF(Input!A42="","",Input!A42)</f>
        <v/>
      </c>
    </row>
    <row r="42" spans="1:2" x14ac:dyDescent="0.35">
      <c r="A42" t="str">
        <f>IF(Input!A43="","",Input!A43)</f>
        <v/>
      </c>
    </row>
    <row r="43" spans="1:2" x14ac:dyDescent="0.35">
      <c r="A43" t="str">
        <f>IF(Input!A44="","",Input!A44)</f>
        <v/>
      </c>
    </row>
    <row r="44" spans="1:2" x14ac:dyDescent="0.35">
      <c r="A44" t="str">
        <f>IF(Input!A45="","",Input!A45)</f>
        <v/>
      </c>
    </row>
    <row r="45" spans="1:2" x14ac:dyDescent="0.35">
      <c r="A45" t="str">
        <f>IF(Input!A46="","",Input!A46)</f>
        <v/>
      </c>
    </row>
    <row r="46" spans="1:2" x14ac:dyDescent="0.35">
      <c r="A46" t="str">
        <f>IF(Input!A47="","",Input!A47)</f>
        <v/>
      </c>
    </row>
    <row r="47" spans="1:2" x14ac:dyDescent="0.35">
      <c r="A47" t="str">
        <f>IF(Input!A48="","",Input!A48)</f>
        <v/>
      </c>
    </row>
    <row r="48" spans="1:2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>
      <selection activeCell="B5" sqref="B5"/>
    </sheetView>
  </sheetViews>
  <sheetFormatPr defaultRowHeight="14.5" x14ac:dyDescent="0.35"/>
  <cols>
    <col min="1" max="1" width="22.90625" bestFit="1" customWidth="1"/>
    <col min="2" max="2" width="11.81640625" style="10" bestFit="1" customWidth="1"/>
    <col min="3" max="3" width="8.7265625" style="10" bestFit="1" customWidth="1"/>
    <col min="4" max="4" width="8.6328125" style="10" bestFit="1" customWidth="1"/>
    <col min="5" max="5" width="14.26953125" style="10" bestFit="1" customWidth="1"/>
    <col min="6" max="6" width="11.26953125" style="10" bestFit="1" customWidth="1"/>
    <col min="7" max="7" width="12.453125" style="10" bestFit="1" customWidth="1"/>
    <col min="8" max="8" width="19.81640625" style="10" bestFit="1" customWidth="1"/>
    <col min="9" max="9" width="38" style="10" bestFit="1" customWidth="1"/>
    <col min="10" max="10" width="11.81640625" style="10" bestFit="1" customWidth="1"/>
    <col min="11" max="11" width="41.08984375" style="10" bestFit="1" customWidth="1"/>
    <col min="12" max="12" width="35.90625" bestFit="1" customWidth="1"/>
    <col min="13" max="13" width="9.1796875" bestFit="1" customWidth="1"/>
    <col min="14" max="14" width="5.36328125" bestFit="1" customWidth="1"/>
    <col min="15" max="15" width="14.36328125" bestFit="1" customWidth="1"/>
    <col min="16" max="16" width="20.08984375" bestFit="1" customWidth="1"/>
    <col min="17" max="17" width="4.81640625" bestFit="1" customWidth="1"/>
    <col min="18" max="18" width="6.17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s="10" t="s">
        <v>17</v>
      </c>
      <c r="C1" s="10" t="s">
        <v>61</v>
      </c>
      <c r="D1" s="10" t="s">
        <v>62</v>
      </c>
      <c r="E1" s="10" t="s">
        <v>63</v>
      </c>
      <c r="F1" s="10" t="s">
        <v>64</v>
      </c>
      <c r="G1" s="10" t="s">
        <v>65</v>
      </c>
      <c r="H1" s="10" t="s">
        <v>66</v>
      </c>
      <c r="I1" s="10" t="s">
        <v>67</v>
      </c>
      <c r="J1" s="10" t="s">
        <v>68</v>
      </c>
      <c r="K1" s="10" t="s">
        <v>69</v>
      </c>
      <c r="L1" t="s">
        <v>70</v>
      </c>
      <c r="M1" t="s">
        <v>71</v>
      </c>
      <c r="N1" t="s">
        <v>72</v>
      </c>
      <c r="O1" t="s">
        <v>1</v>
      </c>
      <c r="P1" t="s">
        <v>73</v>
      </c>
      <c r="Q1" t="s">
        <v>4</v>
      </c>
    </row>
    <row r="2" spans="1:30" x14ac:dyDescent="0.35">
      <c r="A2" t="str">
        <f>IF(Input!A3="","",Input!A3)</f>
        <v>Core Growth Defensive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Core Growth Conservative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Core Growth Balanced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>Core Growth Adventurous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>Core Growth Aggressive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>Sustainable Conservative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>Sustainable Balanced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>Sustainable Adventurous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>Income Defensive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>Income Balanced</v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>Passive Conservative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>Passive Balanced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>Passive Adventurous</v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workbookViewId="0"/>
  </sheetViews>
  <sheetFormatPr defaultRowHeight="14.5" x14ac:dyDescent="0.35"/>
  <cols>
    <col min="1" max="1" width="19.6328125" bestFit="1" customWidth="1"/>
    <col min="4" max="4" width="8.7265625" style="8"/>
  </cols>
  <sheetData>
    <row r="1" spans="1:5" x14ac:dyDescent="0.3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35">
      <c r="A2" t="str">
        <f>IF(Input!A3="","",Input!A3)</f>
        <v>Core Growth Defensive</v>
      </c>
      <c r="B2" s="11" t="s">
        <v>58</v>
      </c>
      <c r="C2" t="s">
        <v>56</v>
      </c>
      <c r="E2" t="s">
        <v>53</v>
      </c>
    </row>
    <row r="3" spans="1:5" x14ac:dyDescent="0.35">
      <c r="A3" t="str">
        <f>IF(Input!A4="","",Input!A4)</f>
        <v>Core Growth Conservative</v>
      </c>
      <c r="B3" s="11" t="s">
        <v>58</v>
      </c>
      <c r="C3" t="s">
        <v>50</v>
      </c>
      <c r="E3" t="s">
        <v>53</v>
      </c>
    </row>
    <row r="4" spans="1:5" x14ac:dyDescent="0.35">
      <c r="A4" t="str">
        <f>IF(Input!A5="","",Input!A5)</f>
        <v>Core Growth Balanced</v>
      </c>
      <c r="B4" s="11" t="s">
        <v>58</v>
      </c>
      <c r="C4" t="s">
        <v>51</v>
      </c>
      <c r="E4" t="s">
        <v>53</v>
      </c>
    </row>
    <row r="5" spans="1:5" x14ac:dyDescent="0.35">
      <c r="A5" t="str">
        <f>IF(Input!A6="","",Input!A6)</f>
        <v>Core Growth Adventurous</v>
      </c>
      <c r="B5" s="11" t="s">
        <v>58</v>
      </c>
      <c r="C5" t="s">
        <v>52</v>
      </c>
      <c r="E5" t="s">
        <v>53</v>
      </c>
    </row>
    <row r="6" spans="1:5" x14ac:dyDescent="0.35">
      <c r="A6" t="str">
        <f>IF(Input!A7="","",Input!A7)</f>
        <v>Core Growth Aggressive</v>
      </c>
      <c r="B6" s="11" t="s">
        <v>58</v>
      </c>
      <c r="C6" t="s">
        <v>57</v>
      </c>
      <c r="E6" t="s">
        <v>53</v>
      </c>
    </row>
    <row r="7" spans="1:5" x14ac:dyDescent="0.35">
      <c r="A7" t="str">
        <f>IF(Input!A8="","",Input!A8)</f>
        <v>Sustainable Conservative</v>
      </c>
      <c r="B7" s="11" t="s">
        <v>58</v>
      </c>
      <c r="C7" t="s">
        <v>50</v>
      </c>
      <c r="E7" t="s">
        <v>49</v>
      </c>
    </row>
    <row r="8" spans="1:5" x14ac:dyDescent="0.35">
      <c r="A8" t="str">
        <f>IF(Input!A9="","",Input!A9)</f>
        <v>Sustainable Balanced</v>
      </c>
      <c r="B8" s="11" t="s">
        <v>58</v>
      </c>
      <c r="C8" t="s">
        <v>51</v>
      </c>
      <c r="E8" t="s">
        <v>49</v>
      </c>
    </row>
    <row r="9" spans="1:5" x14ac:dyDescent="0.35">
      <c r="A9" t="str">
        <f>IF(Input!A10="","",Input!A10)</f>
        <v>Sustainable Adventurous</v>
      </c>
      <c r="B9" s="11" t="s">
        <v>58</v>
      </c>
      <c r="C9" t="s">
        <v>52</v>
      </c>
      <c r="E9" t="s">
        <v>49</v>
      </c>
    </row>
    <row r="10" spans="1:5" x14ac:dyDescent="0.35">
      <c r="A10" t="str">
        <f>IF(Input!A11="","",Input!A11)</f>
        <v>Income Defensive</v>
      </c>
      <c r="B10" s="11" t="s">
        <v>58</v>
      </c>
      <c r="C10" t="s">
        <v>56</v>
      </c>
      <c r="E10" t="s">
        <v>54</v>
      </c>
    </row>
    <row r="11" spans="1:5" x14ac:dyDescent="0.35">
      <c r="A11" t="str">
        <f>IF(Input!A12="","",Input!A12)</f>
        <v>Income Balanced</v>
      </c>
      <c r="B11" s="11" t="s">
        <v>58</v>
      </c>
      <c r="C11" t="s">
        <v>51</v>
      </c>
      <c r="E11" t="s">
        <v>54</v>
      </c>
    </row>
    <row r="12" spans="1:5" x14ac:dyDescent="0.35">
      <c r="A12" t="str">
        <f>IF(Input!A13="","",Input!A13)</f>
        <v>Passive Conservative</v>
      </c>
      <c r="B12" s="11" t="s">
        <v>58</v>
      </c>
      <c r="C12" t="s">
        <v>50</v>
      </c>
      <c r="E12" t="s">
        <v>55</v>
      </c>
    </row>
    <row r="13" spans="1:5" x14ac:dyDescent="0.35">
      <c r="A13" t="str">
        <f>IF(Input!A14="","",Input!A14)</f>
        <v>Passive Balanced</v>
      </c>
      <c r="B13" s="11" t="s">
        <v>58</v>
      </c>
      <c r="C13" t="s">
        <v>51</v>
      </c>
      <c r="E13" t="s">
        <v>55</v>
      </c>
    </row>
    <row r="14" spans="1:5" x14ac:dyDescent="0.35">
      <c r="A14" t="str">
        <f>IF(Input!A15="","",Input!A15)</f>
        <v>Passive Adventurous</v>
      </c>
      <c r="B14" s="11" t="s">
        <v>58</v>
      </c>
      <c r="C14" t="s">
        <v>52</v>
      </c>
      <c r="E14" t="s">
        <v>55</v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22</v>
      </c>
    </row>
    <row r="2" spans="1:2" x14ac:dyDescent="0.35">
      <c r="A2" t="str">
        <f>IF(Input!A3="","",Input!A3)</f>
        <v>Core Growth Defensive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Core Growth Conservative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Core Growth Balanced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Core Growth Adventurous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Core Growth Aggressive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>Sustainable Conservative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35">
      <c r="A8" t="str">
        <f>IF(Input!A9="","",Input!A9)</f>
        <v>Sustainable Balanced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35">
      <c r="A9" t="str">
        <f>IF(Input!A10="","",Input!A10)</f>
        <v>Sustainable Adventurous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35">
      <c r="A10" t="str">
        <f>IF(Input!A11="","",Input!A11)</f>
        <v>Income Defensive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35">
      <c r="A11" t="str">
        <f>IF(Input!A12="","",Input!A12)</f>
        <v>Income Balanced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35">
      <c r="A12" t="str">
        <f>IF(Input!A13="","",Input!A13)</f>
        <v>Passive Conservative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35">
      <c r="A13" t="str">
        <f>IF(Input!A14="","",Input!A14)</f>
        <v>Passive Balanced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35">
      <c r="A14" t="str">
        <f>IF(Input!A15="","",Input!A15)</f>
        <v>Passive Adventurous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3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3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3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3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3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3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3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3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3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3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3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3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3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3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3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3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3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3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3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3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3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3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3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3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7" x14ac:dyDescent="0.3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35">
      <c r="A2" t="str">
        <f>IF(Input!A3="","",Input!A3)</f>
        <v>Core Growth Defensive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35">
      <c r="A3" t="str">
        <f>IF(Input!A4="","",Input!A4)</f>
        <v>Core Growth Conservative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35">
      <c r="A4" t="str">
        <f>IF(Input!A5="","",Input!A5)</f>
        <v>Core Growth Balanced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35">
      <c r="A5" t="str">
        <f>IF(Input!A6="","",Input!A6)</f>
        <v>Core Growth Adventurous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35">
      <c r="A6" t="str">
        <f>IF(Input!A7="","",Input!A7)</f>
        <v>Core Growth Aggressive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35">
      <c r="A7" t="str">
        <f>IF(Input!A8="","",Input!A8)</f>
        <v>Sustainable Conservative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35">
      <c r="A8" t="str">
        <f>IF(Input!A9="","",Input!A9)</f>
        <v>Sustainable Balanced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0</v>
      </c>
      <c r="E8">
        <f>IF(A8="","",SUM('Additional Information'!C8))</f>
        <v>0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35">
      <c r="A9" t="str">
        <f>IF(Input!A10="","",Input!A10)</f>
        <v>Sustainable Adventurous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0</v>
      </c>
      <c r="E9">
        <f>IF(A9="","",SUM('Additional Information'!C9))</f>
        <v>0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35">
      <c r="A10" t="str">
        <f>IF(Input!A11="","",Input!A11)</f>
        <v>Income Defensive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0</v>
      </c>
      <c r="E10">
        <f>IF(A10="","",SUM('Additional Information'!C10))</f>
        <v>0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35">
      <c r="A11" t="str">
        <f>IF(Input!A12="","",Input!A12)</f>
        <v>Income Balanced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0</v>
      </c>
      <c r="E11">
        <f>IF(A11="","",SUM('Additional Information'!C11))</f>
        <v>0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35">
      <c r="A12" t="str">
        <f>IF(Input!A13="","",Input!A13)</f>
        <v>Passive Conservative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0</v>
      </c>
      <c r="E12">
        <f>IF(A12="","",SUM('Additional Information'!C12))</f>
        <v>0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35">
      <c r="A13" t="str">
        <f>IF(Input!A14="","",Input!A14)</f>
        <v>Passive Balanced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0</v>
      </c>
      <c r="E13">
        <f>IF(A13="","",SUM('Additional Information'!C13))</f>
        <v>0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35">
      <c r="A14" t="str">
        <f>IF(Input!A15="","",Input!A15)</f>
        <v>Passive Adventurous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0</v>
      </c>
      <c r="E14">
        <f>IF(A14="","",SUM('Additional Information'!C14))</f>
        <v>0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3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3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3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3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3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3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3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3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3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3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3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3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3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3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3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3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3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3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3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3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3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3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3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3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3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3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3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3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3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3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3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3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3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3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3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3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35">
      <c r="A2" t="str">
        <f>IF(Input!A3="","",Input!A3)</f>
        <v>Core Growth Defensive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Core Growth Conservative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35">
      <c r="A4" t="str">
        <f>IF(Input!A5="","",Input!A5)</f>
        <v>Core Growth Balanced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35">
      <c r="A5" t="str">
        <f>IF(Input!A6="","",Input!A6)</f>
        <v>Core Growth Adventurous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35">
      <c r="A6" t="str">
        <f>IF(Input!A7="","",Input!A7)</f>
        <v>Core Growth Aggressive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35">
      <c r="A7" t="str">
        <f>IF(Input!A8="","",Input!A8)</f>
        <v>Sustainable Conservative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35">
      <c r="A8" t="str">
        <f>IF(Input!A9="","",Input!A9)</f>
        <v>Sustainable Balanced</v>
      </c>
      <c r="B8">
        <f>IF(A8="","",SUM('Asset Allocation'!F8,'Asset Allocation'!G8,'Asset Allocation'!H8,'Asset Allocation'!I8,'Asset Allocation'!J8,'Asset Allocation'!K8))</f>
        <v>0</v>
      </c>
      <c r="C8">
        <f>IF(A8="","",SUM('Asset Allocation'!C8))</f>
        <v>0</v>
      </c>
      <c r="D8">
        <f>IF(A8="","",SUM('Asset Allocation'!D8))</f>
        <v>0</v>
      </c>
      <c r="F8">
        <f>IF(A8="","",SUM('Asset Allocation'!E8))</f>
        <v>0</v>
      </c>
      <c r="G8">
        <f>IF(A8="","",SUM('Asset Allocation'!B8))</f>
        <v>0</v>
      </c>
      <c r="H8">
        <f t="shared" si="0"/>
        <v>1</v>
      </c>
    </row>
    <row r="9" spans="1:8" x14ac:dyDescent="0.35">
      <c r="A9" t="str">
        <f>IF(Input!A10="","",Input!A10)</f>
        <v>Sustainable Adventurous</v>
      </c>
      <c r="B9">
        <f>IF(A9="","",SUM('Asset Allocation'!F9,'Asset Allocation'!G9,'Asset Allocation'!H9,'Asset Allocation'!I9,'Asset Allocation'!J9,'Asset Allocation'!K9))</f>
        <v>0</v>
      </c>
      <c r="C9">
        <f>IF(A9="","",SUM('Asset Allocation'!C9))</f>
        <v>0</v>
      </c>
      <c r="D9">
        <f>IF(A9="","",SUM('Asset Allocation'!D9))</f>
        <v>0</v>
      </c>
      <c r="F9">
        <f>IF(A9="","",SUM('Asset Allocation'!E9))</f>
        <v>0</v>
      </c>
      <c r="G9">
        <f>IF(A9="","",SUM('Asset Allocation'!B9))</f>
        <v>0</v>
      </c>
      <c r="H9">
        <f t="shared" si="0"/>
        <v>1</v>
      </c>
    </row>
    <row r="10" spans="1:8" x14ac:dyDescent="0.35">
      <c r="A10" t="str">
        <f>IF(Input!A11="","",Input!A11)</f>
        <v>Income Defensive</v>
      </c>
      <c r="B10">
        <f>IF(A10="","",SUM('Asset Allocation'!F10,'Asset Allocation'!G10,'Asset Allocation'!H10,'Asset Allocation'!I10,'Asset Allocation'!J10,'Asset Allocation'!K10))</f>
        <v>0</v>
      </c>
      <c r="C10">
        <f>IF(A10="","",SUM('Asset Allocation'!C10))</f>
        <v>0</v>
      </c>
      <c r="D10">
        <f>IF(A10="","",SUM('Asset Allocation'!D10))</f>
        <v>0</v>
      </c>
      <c r="F10">
        <f>IF(A10="","",SUM('Asset Allocation'!E10))</f>
        <v>0</v>
      </c>
      <c r="G10">
        <f>IF(A10="","",SUM('Asset Allocation'!B10))</f>
        <v>0</v>
      </c>
      <c r="H10">
        <f t="shared" si="0"/>
        <v>1</v>
      </c>
    </row>
    <row r="11" spans="1:8" x14ac:dyDescent="0.35">
      <c r="A11" t="str">
        <f>IF(Input!A12="","",Input!A12)</f>
        <v>Income Balanced</v>
      </c>
      <c r="B11">
        <f>IF(A11="","",SUM('Asset Allocation'!F11,'Asset Allocation'!G11,'Asset Allocation'!H11,'Asset Allocation'!I11,'Asset Allocation'!J11,'Asset Allocation'!K11))</f>
        <v>0</v>
      </c>
      <c r="C11">
        <f>IF(A11="","",SUM('Asset Allocation'!C11))</f>
        <v>0</v>
      </c>
      <c r="D11">
        <f>IF(A11="","",SUM('Asset Allocation'!D11))</f>
        <v>0</v>
      </c>
      <c r="F11">
        <f>IF(A11="","",SUM('Asset Allocation'!E11))</f>
        <v>0</v>
      </c>
      <c r="G11">
        <f>IF(A11="","",SUM('Asset Allocation'!B11))</f>
        <v>0</v>
      </c>
      <c r="H11">
        <f t="shared" si="0"/>
        <v>1</v>
      </c>
    </row>
    <row r="12" spans="1:8" x14ac:dyDescent="0.35">
      <c r="A12" t="str">
        <f>IF(Input!A13="","",Input!A13)</f>
        <v>Passive Conservative</v>
      </c>
      <c r="B12">
        <f>IF(A12="","",SUM('Asset Allocation'!F12,'Asset Allocation'!G12,'Asset Allocation'!H12,'Asset Allocation'!I12,'Asset Allocation'!J12,'Asset Allocation'!K12))</f>
        <v>0</v>
      </c>
      <c r="C12">
        <f>IF(A12="","",SUM('Asset Allocation'!C12))</f>
        <v>0</v>
      </c>
      <c r="D12">
        <f>IF(A12="","",SUM('Asset Allocation'!D12))</f>
        <v>0</v>
      </c>
      <c r="F12">
        <f>IF(A12="","",SUM('Asset Allocation'!E12))</f>
        <v>0</v>
      </c>
      <c r="G12">
        <f>IF(A12="","",SUM('Asset Allocation'!B12))</f>
        <v>0</v>
      </c>
      <c r="H12">
        <f t="shared" si="0"/>
        <v>1</v>
      </c>
    </row>
    <row r="13" spans="1:8" x14ac:dyDescent="0.35">
      <c r="A13" t="str">
        <f>IF(Input!A14="","",Input!A14)</f>
        <v>Passive Balanced</v>
      </c>
      <c r="B13">
        <f>IF(A13="","",SUM('Asset Allocation'!F13,'Asset Allocation'!G13,'Asset Allocation'!H13,'Asset Allocation'!I13,'Asset Allocation'!J13,'Asset Allocation'!K13))</f>
        <v>0</v>
      </c>
      <c r="C13">
        <f>IF(A13="","",SUM('Asset Allocation'!C13))</f>
        <v>0</v>
      </c>
      <c r="D13">
        <f>IF(A13="","",SUM('Asset Allocation'!D13))</f>
        <v>0</v>
      </c>
      <c r="F13">
        <f>IF(A13="","",SUM('Asset Allocation'!E13))</f>
        <v>0</v>
      </c>
      <c r="G13">
        <f>IF(A13="","",SUM('Asset Allocation'!B13))</f>
        <v>0</v>
      </c>
      <c r="H13">
        <f t="shared" si="0"/>
        <v>1</v>
      </c>
    </row>
    <row r="14" spans="1:8" x14ac:dyDescent="0.35">
      <c r="A14" t="str">
        <f>IF(Input!A15="","",Input!A15)</f>
        <v>Passive Adventurous</v>
      </c>
      <c r="B14">
        <f>IF(A14="","",SUM('Asset Allocation'!F14,'Asset Allocation'!G14,'Asset Allocation'!H14,'Asset Allocation'!I14,'Asset Allocation'!J14,'Asset Allocation'!K14))</f>
        <v>0</v>
      </c>
      <c r="C14">
        <f>IF(A14="","",SUM('Asset Allocation'!C14))</f>
        <v>0</v>
      </c>
      <c r="D14">
        <f>IF(A14="","",SUM('Asset Allocation'!D14))</f>
        <v>0</v>
      </c>
      <c r="F14">
        <f>IF(A14="","",SUM('Asset Allocation'!E14))</f>
        <v>0</v>
      </c>
      <c r="G14">
        <f>IF(A14="","",SUM('Asset Allocation'!B14))</f>
        <v>0</v>
      </c>
      <c r="H14">
        <f t="shared" si="0"/>
        <v>1</v>
      </c>
    </row>
    <row r="15" spans="1:8" x14ac:dyDescent="0.3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3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3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35">
      <c r="A2" t="str">
        <f>IF(Input!A3="","",Input!A3)</f>
        <v>Core Growth Defensive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35">
      <c r="A3" t="str">
        <f>IF(Input!A4="","",Input!A4)</f>
        <v>Core Growth Conservative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35">
      <c r="A4" t="str">
        <f>IF(Input!A5="","",Input!A5)</f>
        <v>Core Growth Balanced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35">
      <c r="A5" t="str">
        <f>IF(Input!A6="","",Input!A6)</f>
        <v>Core Growth Adventurous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35">
      <c r="A6" t="str">
        <f>IF(Input!A7="","",Input!A7)</f>
        <v>Core Growth Aggressive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35">
      <c r="A7" t="str">
        <f>IF(Input!A8="","",Input!A8)</f>
        <v>Sustainable Conservative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35">
      <c r="A8" t="str">
        <f>IF(Input!A9="","",Input!A9)</f>
        <v>Sustainable Balanced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35">
      <c r="A9" t="str">
        <f>IF(Input!A10="","",Input!A10)</f>
        <v>Sustainable Adventurous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35">
      <c r="A10" t="str">
        <f>IF(Input!A11="","",Input!A11)</f>
        <v>Income Defensive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</v>
      </c>
      <c r="H10" s="6">
        <f>IFERROR(IF(A10="","",SUM('Asset Allocation'!K10)/'Broad Asset Allocation'!B10),0)</f>
        <v>0</v>
      </c>
    </row>
    <row r="11" spans="1:8" x14ac:dyDescent="0.35">
      <c r="A11" t="str">
        <f>IF(Input!A12="","",Input!A12)</f>
        <v>Income Balanced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</v>
      </c>
      <c r="H11" s="6">
        <f>IFERROR(IF(A11="","",SUM('Asset Allocation'!K11)/'Broad Asset Allocation'!B11),0)</f>
        <v>0</v>
      </c>
    </row>
    <row r="12" spans="1:8" x14ac:dyDescent="0.35">
      <c r="A12" t="str">
        <f>IF(Input!A13="","",Input!A13)</f>
        <v>Passive Conservative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0</v>
      </c>
      <c r="D12" s="6">
        <f>IFERROR(IF(A12="","",SUM('Asset Allocation'!H12)/'Broad Asset Allocation'!B12),0)</f>
        <v>0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35">
      <c r="A13" t="str">
        <f>IF(Input!A14="","",Input!A14)</f>
        <v>Passive Balanced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</v>
      </c>
      <c r="D13" s="6">
        <f>IFERROR(IF(A13="","",SUM('Asset Allocation'!H13)/'Broad Asset Allocation'!B13),0)</f>
        <v>0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</v>
      </c>
      <c r="H13" s="6">
        <f>IFERROR(IF(A13="","",SUM('Asset Allocation'!K13)/'Broad Asset Allocation'!B13),0)</f>
        <v>0</v>
      </c>
    </row>
    <row r="14" spans="1:8" x14ac:dyDescent="0.35">
      <c r="A14" t="str">
        <f>IF(Input!A15="","",Input!A15)</f>
        <v>Passive Adventurous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0</v>
      </c>
      <c r="D14" s="6">
        <f>IFERROR(IF(A14="","",SUM('Asset Allocation'!H14)/'Broad Asset Allocation'!B14),0)</f>
        <v>0</v>
      </c>
      <c r="E14" s="6">
        <f>IFERROR(IF(A14="","",SUM('Asset Allocation'!I14)/'Broad Asset Allocation'!B14),0)</f>
        <v>0</v>
      </c>
      <c r="F14" s="6"/>
      <c r="G14" s="6">
        <f>IFERROR(IF(A14="","",SUM('Asset Allocation'!J14)/'Broad Asset Allocation'!B14),0)</f>
        <v>0</v>
      </c>
      <c r="H14" s="6">
        <f>IFERROR(IF(A14="","",SUM('Asset Allocation'!K14)/'Broad Asset Allocation'!B14),0)</f>
        <v>0</v>
      </c>
    </row>
    <row r="15" spans="1:8" x14ac:dyDescent="0.3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3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3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3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3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3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3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3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3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3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3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3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3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3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3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3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3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3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3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3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3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3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3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3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3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3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3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3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3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3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3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3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3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3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3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3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35">
      <c r="A2" t="str">
        <f>IF(Input!A3="","",Input!A3)</f>
        <v>Core Growth Defensive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Core Growth Conservative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Core Growth Balanced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>Core Growth Adventurous</v>
      </c>
      <c r="H5">
        <f>IFERROR(IF(A5="","",SUM('Asset Allocation'!C5)/'Broad Asset Allocation'!C5),0)</f>
        <v>0</v>
      </c>
    </row>
    <row r="6" spans="1:8" x14ac:dyDescent="0.35">
      <c r="A6" t="str">
        <f>IF(Input!A7="","",Input!A7)</f>
        <v>Core Growth Aggressive</v>
      </c>
      <c r="H6">
        <f>IFERROR(IF(A6="","",SUM('Asset Allocation'!C6)/'Broad Asset Allocation'!C6),0)</f>
        <v>0</v>
      </c>
    </row>
    <row r="7" spans="1:8" x14ac:dyDescent="0.35">
      <c r="A7" t="str">
        <f>IF(Input!A8="","",Input!A8)</f>
        <v>Sustainable Conservative</v>
      </c>
      <c r="H7">
        <f>IFERROR(IF(A7="","",SUM('Asset Allocation'!C7)/'Broad Asset Allocation'!C7),0)</f>
        <v>0</v>
      </c>
    </row>
    <row r="8" spans="1:8" x14ac:dyDescent="0.35">
      <c r="A8" t="str">
        <f>IF(Input!A9="","",Input!A9)</f>
        <v>Sustainable Balanced</v>
      </c>
      <c r="H8">
        <f>IFERROR(IF(A8="","",SUM('Asset Allocation'!C8)/'Broad Asset Allocation'!C8),0)</f>
        <v>0</v>
      </c>
    </row>
    <row r="9" spans="1:8" x14ac:dyDescent="0.35">
      <c r="A9" t="str">
        <f>IF(Input!A10="","",Input!A10)</f>
        <v>Sustainable Adventurous</v>
      </c>
      <c r="H9">
        <f>IFERROR(IF(A9="","",SUM('Asset Allocation'!C9)/'Broad Asset Allocation'!C9),0)</f>
        <v>0</v>
      </c>
    </row>
    <row r="10" spans="1:8" x14ac:dyDescent="0.35">
      <c r="A10" t="str">
        <f>IF(Input!A11="","",Input!A11)</f>
        <v>Income Defensive</v>
      </c>
      <c r="H10">
        <f>IFERROR(IF(A10="","",SUM('Asset Allocation'!C10)/'Broad Asset Allocation'!C10),0)</f>
        <v>0</v>
      </c>
    </row>
    <row r="11" spans="1:8" x14ac:dyDescent="0.35">
      <c r="A11" t="str">
        <f>IF(Input!A12="","",Input!A12)</f>
        <v>Income Balanced</v>
      </c>
      <c r="H11">
        <f>IFERROR(IF(A11="","",SUM('Asset Allocation'!C11)/'Broad Asset Allocation'!C11),0)</f>
        <v>0</v>
      </c>
    </row>
    <row r="12" spans="1:8" x14ac:dyDescent="0.35">
      <c r="A12" t="str">
        <f>IF(Input!A13="","",Input!A13)</f>
        <v>Passive Conservative</v>
      </c>
      <c r="H12">
        <f>IFERROR(IF(A12="","",SUM('Asset Allocation'!C12)/'Broad Asset Allocation'!C12),0)</f>
        <v>0</v>
      </c>
    </row>
    <row r="13" spans="1:8" x14ac:dyDescent="0.35">
      <c r="A13" t="str">
        <f>IF(Input!A14="","",Input!A14)</f>
        <v>Passive Balanced</v>
      </c>
      <c r="H13">
        <f>IFERROR(IF(A13="","",SUM('Asset Allocation'!C13)/'Broad Asset Allocation'!C13),0)</f>
        <v>0</v>
      </c>
    </row>
    <row r="14" spans="1:8" x14ac:dyDescent="0.35">
      <c r="A14" t="str">
        <f>IF(Input!A15="","",Input!A15)</f>
        <v>Passive Adventurous</v>
      </c>
      <c r="H14">
        <f>IFERROR(IF(A14="","",SUM('Asset Allocation'!C14)/'Broad Asset Allocation'!C14),0)</f>
        <v>0</v>
      </c>
    </row>
    <row r="15" spans="1:8" x14ac:dyDescent="0.3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3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3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3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3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3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8788B-7D70-40A2-8220-A73F9A82F61F}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19BF6-91B2-4E10-A7FE-77466AA38F10}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0EB08-3DB8-4DCA-BD83-565C614FDB62}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Gaurav Gupta</cp:lastModifiedBy>
  <dcterms:created xsi:type="dcterms:W3CDTF">2023-07-09T20:52:37Z</dcterms:created>
  <dcterms:modified xsi:type="dcterms:W3CDTF">2023-10-24T15:45:29Z</dcterms:modified>
</cp:coreProperties>
</file>