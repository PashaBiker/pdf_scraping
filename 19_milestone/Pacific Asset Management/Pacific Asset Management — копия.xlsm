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Pacific Asset Management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B3" i="3" l="1"/>
  <c r="AB4" i="3"/>
  <c r="AB5" i="3"/>
  <c r="AB6" i="3"/>
  <c r="AB7" i="3"/>
  <c r="AB8" i="3"/>
  <c r="AB9" i="3"/>
  <c r="AB10" i="3"/>
  <c r="AB11" i="3"/>
  <c r="AB12" i="3"/>
  <c r="AB13" i="3"/>
  <c r="AB14" i="3"/>
  <c r="AB2" i="3"/>
  <c r="B15" i="1" l="1"/>
  <c r="B9" i="1"/>
  <c r="B10" i="1"/>
  <c r="B11" i="1"/>
  <c r="B12" i="1"/>
  <c r="B13" i="1"/>
  <c r="B14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<sst xmlns="http://schemas.openxmlformats.org/spreadsheetml/2006/main" count="131" uniqueCount="104">
  <si>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</si>
  <si>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</si>
  <si>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</si>
  <si>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</si>
  <si>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</si>
  <si>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</si>
  <si>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</si>
  <si>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</si>
  <si>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</si>
  <si>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</si>
  <si>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</si>
  <si>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</si>
  <si>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</si>
  <si>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</si>
  <si>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</si>
  <si>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</si>
  <si>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</si>
  <si>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</si>
  <si>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</si>
  <si>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</si>
  <si>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</si>
  <si>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</si>
  <si>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</si>
  <si>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</si>
  <si>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</si>
  <si>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</si>
  <si>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</si>
  <si>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</si>
  <si>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</si>
  <si>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</si>
  <si>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</si>
  <si>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</si>
  <si>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</si>
  <si>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</si>
  <si>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</si>
  <si>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1 Year</t>
  </si>
  <si>
    <t>Core Growth Defensive</t>
  </si>
  <si>
    <t>Core Growth Conservative</t>
  </si>
  <si>
    <t>Core Growth Balanced</t>
  </si>
  <si>
    <t>Core Growth Adventurous</t>
  </si>
  <si>
    <t>Core Growth Aggressive</t>
  </si>
  <si>
    <t>Sustainable Conservative</t>
  </si>
  <si>
    <t>Sustainable Balanced</t>
  </si>
  <si>
    <t>Sustainable Adventurous</t>
  </si>
  <si>
    <t>Income Defensive</t>
  </si>
  <si>
    <t>Income Balanced</t>
  </si>
  <si>
    <t>Passive Conservative</t>
  </si>
  <si>
    <t>Passive Balanced</t>
  </si>
  <si>
    <t>Passive Adventurous</t>
  </si>
  <si>
    <t>SUSTAINABLE</t>
  </si>
  <si>
    <t>CORE GROWTH</t>
  </si>
  <si>
    <t>INCOME</t>
  </si>
  <si>
    <t>PASSIVE</t>
  </si>
  <si>
    <t>https://www.pacificam.co.uk/core-capabilities/model-portfolio-solutions/portfolio-range/</t>
  </si>
  <si>
    <t>DFM</t>
  </si>
  <si>
    <t>Ongoing Charges Figure</t>
  </si>
  <si>
    <t>UK Equity</t>
  </si>
  <si>
    <t>US Equity</t>
  </si>
  <si>
    <t>Emerging Equity</t>
  </si>
  <si>
    <t>Japan Equity</t>
  </si>
  <si>
    <t>Europe Equity</t>
  </si>
  <si>
    <t>UK Government Bonds</t>
  </si>
  <si>
    <t>Investment Grade Corporate Bonds (Global)</t>
  </si>
  <si>
    <t>Global Bonds</t>
  </si>
  <si>
    <t>Investment Grade Corporate Bonds (Ultrashort)</t>
  </si>
  <si>
    <t>Investment Grade Corporate Bonds (GBP)</t>
  </si>
  <si>
    <t>EM Bonds</t>
  </si>
  <si>
    <t>REITS</t>
  </si>
  <si>
    <t>Diversifying Risk Assets</t>
  </si>
  <si>
    <t>Core Growth Defensive Strategy Sheet</t>
  </si>
  <si>
    <t>Core Growth Conservative Strategy Sheet</t>
  </si>
  <si>
    <t>Core Growth Balanced Strategy Sheet</t>
  </si>
  <si>
    <t>Core Growth Adventurous Strategy Sheet</t>
  </si>
  <si>
    <t>Sustainable Conservative Strategy Sheet</t>
  </si>
  <si>
    <t>Sustainable Balanced Strategy Sheet</t>
  </si>
  <si>
    <t>Sustainable Adventurous Strategy Sheet</t>
  </si>
  <si>
    <t>Income Defensive Strategy Sheet</t>
  </si>
  <si>
    <t>Income Balanced Strategy Sheet</t>
  </si>
  <si>
    <t>Passive Conservative Strategy Sheet</t>
  </si>
  <si>
    <t>Passive Balanced Strategy Sheet</t>
  </si>
  <si>
    <t>Passive Adventurous Strategy Sheet</t>
  </si>
  <si>
    <t>https://www.pacificam.co.uk/wp-content/uploads/1_Defensive_Growth_Standard_GBP_A_779.pdf</t>
  </si>
  <si>
    <t>https://www.pacificam.co.uk/wp-content/uploads/2_Conservative_Growth_Standard_GBP_A_780.pdf</t>
  </si>
  <si>
    <t>https://www.pacificam.co.uk/wp-content/uploads/3_Balanced_Growth_Standard_GBP_A_781.pdf</t>
  </si>
  <si>
    <t>https://www.pacificam.co.uk/wp-content/uploads/4_Adventurous_Growth_Standard_GBP_A_782.pdf</t>
  </si>
  <si>
    <t>https://www.pacificam.co.uk/wp-content/uploads/2_Conservative_Sustainable_Standard_GBP_J_471.pdf</t>
  </si>
  <si>
    <t>https://www.pacificam.co.uk/wp-content/uploads/3_Balanced_Sustainable_Standard_GBP_J_472.pdf</t>
  </si>
  <si>
    <t>https://www.pacificam.co.uk/wp-content/uploads/4_Adventurous_Sustainable_Standard_GBP_J_595.pdf</t>
  </si>
  <si>
    <t>https://www.pacificam.co.uk/wp-content/uploads/1_Defensive_Income_Standard_GBP_J_470.pdf</t>
  </si>
  <si>
    <t>https://www.pacificam.co.uk/wp-content/uploads/3_Balanced_Income_Standard_GBP_J_465.pdf</t>
  </si>
  <si>
    <t>https://www.pacificam.co.uk/wp-content/uploads/2_Conservative_Passive_Standard_GBP_J_473.pdf</t>
  </si>
  <si>
    <t>https://www.pacificam.co.uk/wp-content/uploads/3_Balanced_Passive_Standard_GBP_J_474.pdf</t>
  </si>
  <si>
    <t>https://www.pacificam.co.uk/wp-content/uploads/4_Adventurous_Passive_Standard_GBP_J_475.pdf</t>
  </si>
  <si>
    <t>Core Growth Aggressive Strategy Sheet</t>
  </si>
  <si>
    <t>https://www.pacificam.co.uk/wp-content/uploads/4_Aggressive_Growth_Aggressive_GBP_A_783.pdf</t>
  </si>
  <si>
    <t>Fixed Income</t>
  </si>
  <si>
    <t>Alternatives</t>
  </si>
  <si>
    <t>Diversifying Assets</t>
  </si>
  <si>
    <t>Strategic Fixed Income</t>
  </si>
  <si>
    <t>Specialist Fixed Income</t>
  </si>
  <si>
    <t>AsiaPac ex Japan Equity</t>
  </si>
  <si>
    <t>Europe ex UK Equity</t>
  </si>
  <si>
    <t>Investment Grade Corporate Bonds</t>
  </si>
  <si>
    <t>Thematic Equity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</si>
</sst>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0" fontId="0" fillId="0" borderId="0" xfId="0" applyFill="1"/>
    <xf numFmtId="10" fontId="0" fillId="2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</xdr:row>
      <xdr:rowOff>0</xdr:rowOff>
    </xdr:from>
    <xdr:to>
      <xdr:col>3</xdr:col>
      <xdr:colOff>63075</xdr:colOff>
      <xdr:row>6</xdr:row>
      <xdr:rowOff>127000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D682945-0E19-80C5-8011-8CC32A721C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84150"/>
          <a:ext cx="1891874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177800</xdr:rowOff>
    </xdr:from>
    <xdr:to>
      <xdr:col>4</xdr:col>
      <xdr:colOff>21535</xdr:colOff>
      <xdr:row>10</xdr:row>
      <xdr:rowOff>139753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BE421CA-80F9-AF24-2E6D-3A501B948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282700"/>
          <a:ext cx="2459935" cy="698553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</xdr:row>
      <xdr:rowOff>0</xdr:rowOff>
    </xdr:from>
    <xdr:to>
      <xdr:col>4</xdr:col>
      <xdr:colOff>533553</xdr:colOff>
      <xdr:row>17</xdr:row>
      <xdr:rowOff>19108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7097332-7E4E-C892-F826-DD5A01127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2025650"/>
          <a:ext cx="2971953" cy="112400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10</xdr:col>
      <xdr:colOff>482719</xdr:colOff>
      <xdr:row>27</xdr:row>
      <xdr:rowOff>44698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BF676DF-A55A-8EDE-10E2-905B4EED6C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184150"/>
          <a:ext cx="2311519" cy="48325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O10" sqref="O10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5"/>
  <sheetViews>
    <sheetView workbookViewId="0">
      <selection activeCell="B15" sqref="B15"/>
    </sheetView>
  </sheetViews>
  <sheetFormatPr defaultRowHeight="15" x14ac:dyDescent="0.25"/>
  <cols>
    <col min="1" max="1" width="27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36</v>
      </c>
      <c r="B3" t="str">
        <f>'PDF Scraping'!D2</f>
        <v>https://www.pacificam.co.uk/wp-content/uploads/1_Defensive_Growth_Standard_GBP_A_779.pdf</v>
      </c>
      <c r="J3" s="4"/>
    </row>
    <row r="4" spans="1:10" x14ac:dyDescent="0.25">
      <c r="A4" t="s">
        <v>37</v>
      </c>
      <c r="B4" t="str">
        <f>'PDF Scraping'!D3</f>
        <v>https://www.pacificam.co.uk/wp-content/uploads/2_Conservative_Growth_Standard_GBP_A_780.pdf</v>
      </c>
      <c r="J4" s="4"/>
    </row>
    <row r="5" spans="1:10" x14ac:dyDescent="0.25">
      <c r="A5" t="s">
        <v>38</v>
      </c>
      <c r="B5" t="str">
        <f>'PDF Scraping'!D4</f>
        <v>https://www.pacificam.co.uk/wp-content/uploads/3_Balanced_Growth_Standard_GBP_A_781.pdf</v>
      </c>
    </row>
    <row r="6" spans="1:10" x14ac:dyDescent="0.25">
      <c r="A6" t="s">
        <v>39</v>
      </c>
      <c r="B6" t="str">
        <f>'PDF Scraping'!D5</f>
        <v>https://www.pacificam.co.uk/wp-content/uploads/4_Adventurous_Growth_Standard_GBP_A_782.pdf</v>
      </c>
    </row>
    <row r="7" spans="1:10" x14ac:dyDescent="0.25">
      <c r="A7" t="s">
        <v>40</v>
      </c>
      <c r="B7" t="str">
        <f>'PDF Scraping'!D6</f>
        <v>https://www.pacificam.co.uk/wp-content/uploads/4_Aggressive_Growth_Aggressive_GBP_A_783.pdf</v>
      </c>
    </row>
    <row r="8" spans="1:10" x14ac:dyDescent="0.25">
      <c r="A8" t="s">
        <v>41</v>
      </c>
      <c r="B8" t="str">
        <f>'PDF Scraping'!D7</f>
        <v>https://www.pacificam.co.uk/wp-content/uploads/2_Conservative_Sustainable_Standard_GBP_J_471.pdf</v>
      </c>
    </row>
    <row r="9" spans="1:10" x14ac:dyDescent="0.25">
      <c r="A9" t="s">
        <v>42</v>
      </c>
      <c r="B9" t="str">
        <f>'PDF Scraping'!D8</f>
        <v>https://www.pacificam.co.uk/wp-content/uploads/3_Balanced_Sustainable_Standard_GBP_J_472.pdf</v>
      </c>
    </row>
    <row r="10" spans="1:10" x14ac:dyDescent="0.25">
      <c r="A10" t="s">
        <v>43</v>
      </c>
      <c r="B10" t="str">
        <f>'PDF Scraping'!D9</f>
        <v>https://www.pacificam.co.uk/wp-content/uploads/4_Adventurous_Sustainable_Standard_GBP_J_595.pdf</v>
      </c>
    </row>
    <row r="11" spans="1:10" x14ac:dyDescent="0.25">
      <c r="A11" t="s">
        <v>44</v>
      </c>
      <c r="B11" t="str">
        <f>'PDF Scraping'!D10</f>
        <v>https://www.pacificam.co.uk/wp-content/uploads/1_Defensive_Income_Standard_GBP_J_470.pdf</v>
      </c>
    </row>
    <row r="12" spans="1:10" x14ac:dyDescent="0.25">
      <c r="A12" t="s">
        <v>45</v>
      </c>
      <c r="B12" t="str">
        <f>'PDF Scraping'!D11</f>
        <v>https://www.pacificam.co.uk/wp-content/uploads/3_Balanced_Income_Standard_GBP_J_465.pdf</v>
      </c>
    </row>
    <row r="13" spans="1:10" x14ac:dyDescent="0.25">
      <c r="A13" t="s">
        <v>46</v>
      </c>
      <c r="B13" t="str">
        <f>'PDF Scraping'!D12</f>
        <v>https://www.pacificam.co.uk/wp-content/uploads/2_Conservative_Passive_Standard_GBP_J_473.pdf</v>
      </c>
    </row>
    <row r="14" spans="1:10" x14ac:dyDescent="0.25">
      <c r="A14" t="s">
        <v>47</v>
      </c>
      <c r="B14" t="str">
        <f>'PDF Scraping'!D13</f>
        <v>https://www.pacificam.co.uk/wp-content/uploads/3_Balanced_Passive_Standard_GBP_J_474.pdf</v>
      </c>
    </row>
    <row r="15" spans="1:10" x14ac:dyDescent="0.25">
      <c r="A15" t="s">
        <v>48</v>
      </c>
      <c r="B15" t="str">
        <f>'PDF Scraping'!D14</f>
        <v>https://www.pacificam.co.uk/wp-content/uploads/4_Adventurous_Passive_Standard_GBP_J_475.pdf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C20" sqref="C20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54</v>
      </c>
      <c r="D1" s="10" t="s">
        <v>55</v>
      </c>
      <c r="E1" t="s">
        <v>35</v>
      </c>
    </row>
    <row r="2" spans="1:9" x14ac:dyDescent="0.25">
      <c r="A2" t="str">
        <f>IF(Input!A3="","",Input!A3)</f>
        <v>Core Growth Defensive</v>
      </c>
      <c r="B2" s="1">
        <v>45198</v>
      </c>
      <c r="C2" s="10">
        <v>0</v>
      </c>
      <c r="D2" s="10">
        <v>7.0999999999999995E-3</v>
      </c>
      <c r="E2" s="10">
        <v>2.7999999999999997E-2</v>
      </c>
      <c r="F2" s="5"/>
      <c r="G2" s="5"/>
      <c r="H2" s="5"/>
      <c r="I2" s="5"/>
    </row>
    <row r="3" spans="1:9" x14ac:dyDescent="0.25">
      <c r="A3" t="str">
        <f>IF(Input!A4="","",Input!A4)</f>
        <v>Core Growth Conservative</v>
      </c>
      <c r="B3" s="1">
        <v>45198</v>
      </c>
      <c r="C3" s="10">
        <v>0</v>
      </c>
      <c r="D3" s="10">
        <v>6.8000000000000005E-3</v>
      </c>
      <c r="E3" s="10">
        <v>0.05</v>
      </c>
      <c r="F3" s="5"/>
      <c r="G3" s="5"/>
      <c r="H3" s="5"/>
      <c r="I3" s="5"/>
    </row>
    <row r="4" spans="1:9" x14ac:dyDescent="0.25">
      <c r="A4" t="str">
        <f>IF(Input!A5="","",Input!A5)</f>
        <v>Core Growth Balanced</v>
      </c>
      <c r="B4" s="1">
        <v>45198</v>
      </c>
      <c r="C4" s="10">
        <v>0</v>
      </c>
      <c r="D4" s="10">
        <v>6.8000000000000005E-3</v>
      </c>
      <c r="E4" s="10">
        <v>6.6000000000000003E-2</v>
      </c>
      <c r="F4" s="5"/>
      <c r="G4" s="5"/>
      <c r="H4" s="5"/>
      <c r="I4" s="5"/>
    </row>
    <row r="5" spans="1:9" x14ac:dyDescent="0.25">
      <c r="A5" t="str">
        <f>IF(Input!A6="","",Input!A6)</f>
        <v>Core Growth Adventurous</v>
      </c>
      <c r="B5" s="1">
        <v>45198</v>
      </c>
      <c r="C5" s="10">
        <v>0</v>
      </c>
      <c r="D5" s="10">
        <v>7.0999999999999995E-3</v>
      </c>
      <c r="E5" s="10">
        <v>7.6999999999999999E-2</v>
      </c>
      <c r="F5" s="5"/>
      <c r="G5" s="5"/>
      <c r="H5" s="5"/>
      <c r="I5" s="5"/>
    </row>
    <row r="6" spans="1:9" x14ac:dyDescent="0.25">
      <c r="A6" t="str">
        <f>IF(Input!A7="","",Input!A7)</f>
        <v>Core Growth Aggressive</v>
      </c>
      <c r="B6" s="1">
        <v>45198</v>
      </c>
      <c r="C6" s="10">
        <v>0</v>
      </c>
      <c r="D6" s="10">
        <v>7.0999999999999995E-3</v>
      </c>
      <c r="E6" s="10">
        <v>8.1000000000000003E-2</v>
      </c>
      <c r="F6" s="5"/>
      <c r="G6" s="5"/>
      <c r="H6" s="5"/>
      <c r="I6" s="5"/>
    </row>
    <row r="7" spans="1:9" x14ac:dyDescent="0.25">
      <c r="A7" t="str">
        <f>IF(Input!A8="","",Input!A8)</f>
        <v>Sustainable Conservative</v>
      </c>
      <c r="B7" s="1">
        <v>45169</v>
      </c>
      <c r="C7" s="10">
        <v>3.5999999999999999E-3</v>
      </c>
      <c r="D7" s="10">
        <v>5.7999999999999996E-3</v>
      </c>
      <c r="E7" s="10">
        <v>0</v>
      </c>
      <c r="F7" s="5"/>
      <c r="G7" s="5"/>
      <c r="H7" s="5"/>
      <c r="I7" s="5"/>
    </row>
    <row r="8" spans="1:9" x14ac:dyDescent="0.25">
      <c r="A8" t="str">
        <f>IF(Input!A9="","",Input!A9)</f>
        <v>Sustainable Balanced</v>
      </c>
      <c r="B8" s="1">
        <v>45169</v>
      </c>
      <c r="C8" s="10">
        <v>3.5999999999999999E-3</v>
      </c>
      <c r="D8" s="10">
        <v>6.0000000000000001E-3</v>
      </c>
      <c r="E8" s="10">
        <v>2E-3</v>
      </c>
      <c r="F8" s="5"/>
      <c r="G8" s="5"/>
      <c r="H8" s="5"/>
      <c r="I8" s="5"/>
    </row>
    <row r="9" spans="1:9" x14ac:dyDescent="0.25">
      <c r="A9" t="str">
        <f>IF(Input!A10="","",Input!A10)</f>
        <v>Sustainable Adventurous</v>
      </c>
      <c r="B9" s="1">
        <v>45169</v>
      </c>
      <c r="C9" s="10">
        <v>3.5999999999999999E-3</v>
      </c>
      <c r="D9" s="10">
        <v>5.6000000000000008E-3</v>
      </c>
      <c r="E9" s="10">
        <v>6.0000000000000001E-3</v>
      </c>
      <c r="F9" s="5"/>
      <c r="G9" s="5"/>
      <c r="H9" s="5"/>
      <c r="I9" s="5"/>
    </row>
    <row r="10" spans="1:9" x14ac:dyDescent="0.25">
      <c r="A10" t="str">
        <f>IF(Input!A11="","",Input!A11)</f>
        <v>Income Defensive</v>
      </c>
      <c r="B10" s="1">
        <v>45198</v>
      </c>
      <c r="C10" s="10">
        <v>3.5999999999999999E-3</v>
      </c>
      <c r="D10" s="10">
        <v>5.4000000000000003E-3</v>
      </c>
      <c r="E10" s="10">
        <v>3.7000000000000005E-2</v>
      </c>
      <c r="F10" s="5"/>
      <c r="G10" s="5"/>
      <c r="H10" s="5"/>
      <c r="I10" s="5"/>
    </row>
    <row r="11" spans="1:9" x14ac:dyDescent="0.25">
      <c r="A11" t="str">
        <f>IF(Input!A12="","",Input!A12)</f>
        <v>Income Balanced</v>
      </c>
      <c r="B11" s="1">
        <v>45198</v>
      </c>
      <c r="C11" s="10">
        <v>3.5999999999999999E-3</v>
      </c>
      <c r="D11" s="10">
        <v>6.0999999999999995E-3</v>
      </c>
      <c r="E11" s="10">
        <v>4.8000000000000001E-2</v>
      </c>
      <c r="F11" s="5"/>
      <c r="G11" s="5"/>
      <c r="H11" s="5"/>
      <c r="I11" s="5"/>
    </row>
    <row r="12" spans="1:9" x14ac:dyDescent="0.25">
      <c r="A12" t="str">
        <f>IF(Input!A13="","",Input!A13)</f>
        <v>Passive Conservative</v>
      </c>
      <c r="B12" s="1">
        <v>45198</v>
      </c>
      <c r="C12" s="10">
        <v>2E-3</v>
      </c>
      <c r="D12" s="10">
        <v>8.0000000000000004E-4</v>
      </c>
      <c r="E12" s="10">
        <v>4.8000000000000001E-2</v>
      </c>
      <c r="F12" s="5"/>
      <c r="G12" s="5"/>
      <c r="H12" s="5"/>
      <c r="I12" s="5"/>
    </row>
    <row r="13" spans="1:9" x14ac:dyDescent="0.25">
      <c r="A13" t="str">
        <f>IF(Input!A14="","",Input!A14)</f>
        <v>Passive Balanced</v>
      </c>
      <c r="B13" s="1">
        <v>45198</v>
      </c>
      <c r="C13" s="10">
        <v>2E-3</v>
      </c>
      <c r="D13" s="10">
        <v>8.0000000000000004E-4</v>
      </c>
      <c r="E13" s="10">
        <v>5.7000000000000002E-2</v>
      </c>
      <c r="F13" s="5"/>
      <c r="G13" s="5"/>
      <c r="H13" s="5"/>
      <c r="I13" s="5"/>
    </row>
    <row r="14" spans="1:9" x14ac:dyDescent="0.25">
      <c r="A14" t="str">
        <f>IF(Input!A15="","",Input!A15)</f>
        <v>Passive Adventurous</v>
      </c>
      <c r="B14" s="1">
        <v>45198</v>
      </c>
      <c r="C14" s="10">
        <v>2E-3</v>
      </c>
      <c r="D14" s="10">
        <v>8.0000000000000004E-4</v>
      </c>
      <c r="E14" s="10">
        <v>7.2999999999999995E-2</v>
      </c>
      <c r="F14" s="5"/>
      <c r="G14" s="5"/>
      <c r="H14" s="5"/>
      <c r="I14" s="5"/>
    </row>
    <row r="15" spans="1:9" x14ac:dyDescent="0.25">
      <c r="A15" t="str">
        <f>IF(Input!A16="","",Input!A16)</f>
        <v/>
      </c>
      <c r="B15" s="1"/>
      <c r="F15" s="5"/>
      <c r="G15" s="5"/>
      <c r="H15" s="5"/>
      <c r="I15" s="5"/>
    </row>
    <row r="16" spans="1:9" x14ac:dyDescent="0.25">
      <c r="A16" t="str">
        <f>IF(Input!A17="","",Input!A17)</f>
        <v/>
      </c>
      <c r="B16" s="1"/>
      <c r="F16" s="5"/>
      <c r="G16" s="5"/>
      <c r="H16" s="5"/>
      <c r="I16" s="5"/>
    </row>
    <row r="17" spans="1:9" x14ac:dyDescent="0.25">
      <c r="A17" t="str">
        <f>IF(Input!A18="","",Input!A18)</f>
        <v/>
      </c>
      <c r="B17" s="1"/>
      <c r="F17" s="5"/>
      <c r="G17" s="5"/>
      <c r="H17" s="5"/>
      <c r="I17" s="5"/>
    </row>
    <row r="18" spans="1:9" x14ac:dyDescent="0.25">
      <c r="A18" t="str">
        <f>IF(Input!A19="","",Input!A19)</f>
        <v/>
      </c>
      <c r="B18" s="1"/>
      <c r="F18" s="5"/>
      <c r="G18" s="5"/>
      <c r="H18" s="5"/>
      <c r="I18" s="5"/>
    </row>
    <row r="19" spans="1:9" x14ac:dyDescent="0.25">
      <c r="A19" t="str">
        <f>IF(Input!A20="","",Input!A20)</f>
        <v/>
      </c>
      <c r="B19" s="1"/>
      <c r="F19" s="5"/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topLeftCell="M1" zoomScale="70" zoomScaleNormal="70" workbookViewId="0">
      <selection activeCell="S16" sqref="S16"/>
    </sheetView>
  </sheetViews>
  <sheetFormatPr defaultRowHeight="15" x14ac:dyDescent="0.25"/>
  <cols>
    <col min="1" max="1" width="24.5703125" bestFit="1" customWidth="1"/>
    <col min="2" max="2" width="12.7109375" style="10" bestFit="1" customWidth="1"/>
    <col min="3" max="3" width="9.42578125" style="10" bestFit="1" customWidth="1"/>
    <col min="4" max="4" width="9.28515625" style="10" bestFit="1" customWidth="1"/>
    <col min="5" max="5" width="15.42578125" style="10" bestFit="1" customWidth="1"/>
    <col min="6" max="6" width="12" style="10" bestFit="1" customWidth="1"/>
    <col min="7" max="7" width="13.42578125" style="10" bestFit="1" customWidth="1"/>
    <col min="8" max="8" width="21.140625" style="10" bestFit="1" customWidth="1"/>
    <col min="9" max="9" width="40.5703125" style="10" bestFit="1" customWidth="1"/>
    <col min="10" max="10" width="11.85546875" style="10" bestFit="1" customWidth="1"/>
    <col min="11" max="11" width="41.140625" style="10" bestFit="1" customWidth="1"/>
    <col min="12" max="12" width="35.85546875" bestFit="1" customWidth="1"/>
    <col min="13" max="13" width="9.140625" bestFit="1" customWidth="1"/>
    <col min="14" max="14" width="6.140625" bestFit="1" customWidth="1"/>
    <col min="15" max="15" width="14.42578125" bestFit="1" customWidth="1"/>
    <col min="16" max="16" width="20.140625" bestFit="1" customWidth="1"/>
    <col min="17" max="17" width="7.140625" style="8" bestFit="1" customWidth="1"/>
    <col min="18" max="18" width="7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17</v>
      </c>
      <c r="C1" s="10" t="s">
        <v>56</v>
      </c>
      <c r="D1" s="10" t="s">
        <v>57</v>
      </c>
      <c r="E1" s="10" t="s">
        <v>58</v>
      </c>
      <c r="F1" s="10" t="s">
        <v>59</v>
      </c>
      <c r="G1" s="10" t="s">
        <v>60</v>
      </c>
      <c r="H1" s="10" t="s">
        <v>61</v>
      </c>
      <c r="I1" s="10" t="s">
        <v>62</v>
      </c>
      <c r="J1" s="10" t="s">
        <v>63</v>
      </c>
      <c r="K1" s="10" t="s">
        <v>64</v>
      </c>
      <c r="L1" t="s">
        <v>65</v>
      </c>
      <c r="M1" t="s">
        <v>66</v>
      </c>
      <c r="N1" t="s">
        <v>67</v>
      </c>
      <c r="O1" t="s">
        <v>1</v>
      </c>
      <c r="P1" t="s">
        <v>68</v>
      </c>
      <c r="Q1" s="8" t="s">
        <v>4</v>
      </c>
      <c r="R1" t="s">
        <v>2</v>
      </c>
      <c r="S1" t="s">
        <v>95</v>
      </c>
      <c r="T1" t="s">
        <v>96</v>
      </c>
      <c r="U1" t="s">
        <v>97</v>
      </c>
      <c r="V1" t="s">
        <v>98</v>
      </c>
      <c r="W1" t="s">
        <v>99</v>
      </c>
      <c r="X1" t="s">
        <v>100</v>
      </c>
      <c r="Y1" t="s">
        <v>101</v>
      </c>
      <c r="Z1" t="s">
        <v>102</v>
      </c>
      <c r="AA1" t="s">
        <v>103</v>
      </c>
    </row>
    <row r="2" spans="1:30" x14ac:dyDescent="0.25">
      <c r="A2" t="str">
        <f>IF(Input!A3="","",Input!A3)</f>
        <v>Core Growth Defensive</v>
      </c>
      <c r="B2" s="10">
        <v>0.10279999999999999</v>
      </c>
      <c r="C2" s="10">
        <v>6.5500000000000003E-2</v>
      </c>
      <c r="D2" s="10">
        <v>3.7999999999999999E-2</v>
      </c>
      <c r="E2" s="10">
        <v>2.1600000000000001E-2</v>
      </c>
      <c r="F2" s="10">
        <v>9.1999999999999998E-3</v>
      </c>
      <c r="G2" s="10">
        <v>6.8000000000000005E-3</v>
      </c>
      <c r="H2" s="10">
        <v>0.18960000000000002</v>
      </c>
      <c r="I2" s="10">
        <v>0.16070000000000001</v>
      </c>
      <c r="J2" s="10">
        <v>0.10050000000000001</v>
      </c>
      <c r="K2" s="10">
        <v>4.87E-2</v>
      </c>
      <c r="L2" s="5">
        <v>1.4800000000000001E-2</v>
      </c>
      <c r="M2" s="5">
        <v>2.5000000000000001E-3</v>
      </c>
      <c r="N2" s="5">
        <v>5.6600000000000011E-2</v>
      </c>
      <c r="O2" s="5">
        <v>0.10830000000000001</v>
      </c>
      <c r="P2" s="5">
        <v>3.0799999999999998E-2</v>
      </c>
      <c r="Q2" s="12">
        <v>8.77E-2</v>
      </c>
      <c r="R2" s="5">
        <v>0.24399999999999999</v>
      </c>
      <c r="S2" s="5">
        <v>0.51700000000000002</v>
      </c>
      <c r="T2" s="5">
        <v>5.7000000000000002E-2</v>
      </c>
      <c r="U2" s="5">
        <v>0.13900000000000001</v>
      </c>
      <c r="V2" s="5"/>
      <c r="AB2" s="5">
        <f>SUM(B2:AA2)</f>
        <v>2.0011000000000001</v>
      </c>
    </row>
    <row r="3" spans="1:30" x14ac:dyDescent="0.25">
      <c r="A3" t="str">
        <f>IF(Input!A4="","",Input!A4)</f>
        <v>Core Growth Conservative</v>
      </c>
      <c r="B3" s="10">
        <v>0.16579999999999998</v>
      </c>
      <c r="C3" s="10">
        <v>0.11120000000000001</v>
      </c>
      <c r="D3" s="10">
        <v>7.1900000000000006E-2</v>
      </c>
      <c r="E3" s="10">
        <v>4.0399999999999998E-2</v>
      </c>
      <c r="F3" s="10">
        <v>1.6500000000000001E-2</v>
      </c>
      <c r="G3" s="10">
        <v>1.26E-2</v>
      </c>
      <c r="H3" s="10">
        <v>0.10580000000000001</v>
      </c>
      <c r="I3" s="10">
        <v>0.15200000000000002</v>
      </c>
      <c r="J3" s="10">
        <v>7.22E-2</v>
      </c>
      <c r="K3" s="10">
        <v>1.95E-2</v>
      </c>
      <c r="L3" s="5">
        <v>1.4999999999999999E-2</v>
      </c>
      <c r="M3" s="5">
        <v>2.5000000000000001E-3</v>
      </c>
      <c r="N3" s="5">
        <v>5.9699999999999996E-2</v>
      </c>
      <c r="O3" s="5">
        <v>0.10309999999999998</v>
      </c>
      <c r="P3" s="5">
        <v>2.7799999999999998E-2</v>
      </c>
      <c r="Q3" s="12">
        <v>4.7799999999999995E-2</v>
      </c>
      <c r="R3" s="5">
        <v>0.41799999999999998</v>
      </c>
      <c r="S3" s="5">
        <v>0.36700000000000005</v>
      </c>
      <c r="T3" s="5">
        <v>0.06</v>
      </c>
      <c r="U3" s="5">
        <v>0.13100000000000001</v>
      </c>
      <c r="AB3" s="5">
        <f t="shared" ref="AB3:AB14" si="0">SUM(B3:AA3)</f>
        <v>1.9998</v>
      </c>
    </row>
    <row r="4" spans="1:30" x14ac:dyDescent="0.25">
      <c r="A4" t="str">
        <f>IF(Input!A5="","",Input!A5)</f>
        <v>Core Growth Balanced</v>
      </c>
      <c r="B4" s="10">
        <v>0.23339999999999997</v>
      </c>
      <c r="C4" s="10">
        <v>0.15419999999999998</v>
      </c>
      <c r="D4" s="10">
        <v>0.10580000000000001</v>
      </c>
      <c r="E4" s="10">
        <v>6.0100000000000001E-2</v>
      </c>
      <c r="F4" s="10">
        <v>2.23E-2</v>
      </c>
      <c r="G4" s="10">
        <v>1.9400000000000001E-2</v>
      </c>
      <c r="H4" s="10">
        <v>6.25E-2</v>
      </c>
      <c r="I4" s="10">
        <v>9.3200000000000005E-2</v>
      </c>
      <c r="J4" s="10">
        <v>4.41E-2</v>
      </c>
      <c r="K4" s="10">
        <v>2.3599999999999999E-2</v>
      </c>
      <c r="L4" s="5">
        <v>1.4999999999999999E-2</v>
      </c>
      <c r="M4" s="5">
        <v>2.5000000000000001E-3</v>
      </c>
      <c r="N4" s="5">
        <v>2.53E-2</v>
      </c>
      <c r="O4" s="5">
        <v>7.9299999999999982E-2</v>
      </c>
      <c r="P4" s="5">
        <v>1.6700000000000003E-2</v>
      </c>
      <c r="Q4" s="12">
        <v>8.5599999999999982E-2</v>
      </c>
      <c r="R4" s="5">
        <v>0.59499999999999997</v>
      </c>
      <c r="S4" s="5">
        <v>0.24100000000000002</v>
      </c>
      <c r="T4" s="5">
        <v>2.5000000000000001E-2</v>
      </c>
      <c r="U4" s="5">
        <v>9.6000000000000002E-2</v>
      </c>
      <c r="AB4" s="5">
        <f t="shared" si="0"/>
        <v>2</v>
      </c>
    </row>
    <row r="5" spans="1:30" x14ac:dyDescent="0.25">
      <c r="A5" t="str">
        <f>IF(Input!A6="","",Input!A6)</f>
        <v>Core Growth Adventurous</v>
      </c>
      <c r="B5" s="10">
        <v>0.31690000000000007</v>
      </c>
      <c r="C5" s="10">
        <v>0.20620000000000002</v>
      </c>
      <c r="D5" s="10">
        <v>0.14589999999999997</v>
      </c>
      <c r="E5" s="10">
        <v>7.5800000000000006E-2</v>
      </c>
      <c r="F5" s="10">
        <v>3.1699999999999999E-2</v>
      </c>
      <c r="G5" s="10">
        <v>2.64E-2</v>
      </c>
      <c r="H5" s="10">
        <v>1.9000000000000003E-2</v>
      </c>
      <c r="I5" s="10">
        <v>3.0300000000000004E-2</v>
      </c>
      <c r="J5" s="10">
        <v>1.5700000000000002E-2</v>
      </c>
      <c r="L5" s="5"/>
      <c r="M5" s="5">
        <v>2.3999999999999998E-3</v>
      </c>
      <c r="N5" s="5">
        <v>1.9699999999999999E-2</v>
      </c>
      <c r="O5" s="5">
        <v>5.9900000000000002E-2</v>
      </c>
      <c r="P5" s="5">
        <v>1.14E-2</v>
      </c>
      <c r="Q5" s="12">
        <v>7.7699999999999991E-2</v>
      </c>
      <c r="R5" s="5">
        <v>0.80299999999999994</v>
      </c>
      <c r="S5" s="5">
        <v>6.7000000000000004E-2</v>
      </c>
      <c r="T5" s="5">
        <v>0.02</v>
      </c>
      <c r="U5" s="5">
        <v>7.0999999999999994E-2</v>
      </c>
      <c r="AB5" s="5">
        <f t="shared" si="0"/>
        <v>1.9999999999999998</v>
      </c>
    </row>
    <row r="6" spans="1:30" x14ac:dyDescent="0.25">
      <c r="A6" t="str">
        <f>IF(Input!A7="","",Input!A7)</f>
        <v>Core Growth Aggressive</v>
      </c>
      <c r="B6" s="10">
        <v>0.33939999999999998</v>
      </c>
      <c r="C6" s="10">
        <v>0.22539999999999999</v>
      </c>
      <c r="D6" s="10">
        <v>0.14499999999999999</v>
      </c>
      <c r="E6" s="10">
        <v>8.4599999999999995E-2</v>
      </c>
      <c r="F6" s="10">
        <v>3.1600000000000003E-2</v>
      </c>
      <c r="G6" s="10">
        <v>2.64E-2</v>
      </c>
      <c r="H6" s="10">
        <v>6.0999999999999995E-3</v>
      </c>
      <c r="I6" s="10">
        <v>9.5999999999999992E-3</v>
      </c>
      <c r="L6" s="5"/>
      <c r="M6" s="5">
        <v>2.3999999999999998E-3</v>
      </c>
      <c r="N6" s="5">
        <v>1.95E-2</v>
      </c>
      <c r="O6" s="5">
        <v>5.9500000000000004E-2</v>
      </c>
      <c r="P6" s="5">
        <v>1.14E-2</v>
      </c>
      <c r="Q6" s="12">
        <v>7.7899999999999997E-2</v>
      </c>
      <c r="R6" s="5">
        <v>0.85299999999999998</v>
      </c>
      <c r="S6" s="5">
        <v>1.8000000000000002E-2</v>
      </c>
      <c r="T6" s="5">
        <v>0.02</v>
      </c>
      <c r="U6" s="5">
        <v>7.0999999999999994E-2</v>
      </c>
      <c r="AB6" s="5">
        <f t="shared" si="0"/>
        <v>2.0007999999999999</v>
      </c>
    </row>
    <row r="7" spans="1:30" x14ac:dyDescent="0.25">
      <c r="A7" t="str">
        <f>IF(Input!A8="","",Input!A8)</f>
        <v>Sustainable Conservative</v>
      </c>
      <c r="B7" s="10">
        <v>0.245</v>
      </c>
      <c r="C7" s="10">
        <v>0.1067</v>
      </c>
      <c r="E7" s="10">
        <v>5.04E-2</v>
      </c>
      <c r="I7" s="10">
        <v>0.24820000000000003</v>
      </c>
      <c r="L7" s="5">
        <v>7.0099999999999996E-2</v>
      </c>
      <c r="M7" s="5"/>
      <c r="N7" s="5"/>
      <c r="O7" s="5">
        <v>9.7299999999999998E-2</v>
      </c>
      <c r="P7" s="5"/>
      <c r="Q7" s="12">
        <v>0.24609999999999999</v>
      </c>
      <c r="R7" s="5">
        <v>0.40200000000000002</v>
      </c>
      <c r="S7" s="5">
        <v>0.377</v>
      </c>
      <c r="T7" s="5"/>
      <c r="U7" s="5">
        <v>9.6999999999999989E-2</v>
      </c>
      <c r="V7" s="5">
        <v>5.9200000000000003E-2</v>
      </c>
      <c r="AB7" s="5">
        <f t="shared" si="0"/>
        <v>1.9990000000000001</v>
      </c>
      <c r="AD7" s="5"/>
    </row>
    <row r="8" spans="1:30" x14ac:dyDescent="0.25">
      <c r="A8" t="str">
        <f>IF(Input!A9="","",Input!A9)</f>
        <v>Sustainable Balanced</v>
      </c>
      <c r="B8" s="10">
        <v>0.31540000000000001</v>
      </c>
      <c r="C8" s="10">
        <v>0.12609999999999999</v>
      </c>
      <c r="E8" s="10">
        <v>7.0599999999999996E-2</v>
      </c>
      <c r="I8" s="10">
        <v>0.1686</v>
      </c>
      <c r="L8" s="5">
        <v>8.0100000000000005E-2</v>
      </c>
      <c r="M8" s="5"/>
      <c r="N8" s="5"/>
      <c r="O8" s="5">
        <v>0.107</v>
      </c>
      <c r="P8" s="5"/>
      <c r="Q8" s="12">
        <v>0.20560000000000003</v>
      </c>
      <c r="R8" s="5">
        <v>0.51200000000000001</v>
      </c>
      <c r="S8" s="5">
        <v>0.27800000000000002</v>
      </c>
      <c r="T8" s="5"/>
      <c r="U8" s="5">
        <v>0.107</v>
      </c>
      <c r="V8" s="5">
        <v>2.9600000000000001E-2</v>
      </c>
      <c r="AB8" s="5">
        <f t="shared" si="0"/>
        <v>2</v>
      </c>
    </row>
    <row r="9" spans="1:30" x14ac:dyDescent="0.25">
      <c r="A9" t="str">
        <f>IF(Input!A10="","",Input!A10)</f>
        <v>Sustainable Adventurous</v>
      </c>
      <c r="B9" s="10">
        <v>0.34560000000000002</v>
      </c>
      <c r="C9" s="10">
        <v>0.1845</v>
      </c>
      <c r="E9" s="10">
        <v>0.1009</v>
      </c>
      <c r="I9" s="10">
        <v>0.1091</v>
      </c>
      <c r="L9" s="5">
        <v>4.0099999999999997E-2</v>
      </c>
      <c r="M9" s="5"/>
      <c r="N9" s="5"/>
      <c r="O9" s="5">
        <v>2.92E-2</v>
      </c>
      <c r="P9" s="5"/>
      <c r="Q9" s="12">
        <v>0.14379999999999998</v>
      </c>
      <c r="R9" s="5">
        <v>0.73</v>
      </c>
      <c r="S9" s="5">
        <v>0.16899999999999998</v>
      </c>
      <c r="T9" s="5"/>
      <c r="U9" s="5">
        <v>2.8999999999999998E-2</v>
      </c>
      <c r="V9" s="5">
        <v>1.9699999999999999E-2</v>
      </c>
      <c r="AA9" s="5">
        <v>9.9000000000000005E-2</v>
      </c>
      <c r="AB9" s="5">
        <f t="shared" si="0"/>
        <v>1.9999</v>
      </c>
    </row>
    <row r="10" spans="1:30" x14ac:dyDescent="0.25">
      <c r="A10" t="str">
        <f>IF(Input!A11="","",Input!A11)</f>
        <v>Income Defensive</v>
      </c>
      <c r="B10" s="10">
        <v>4.8799999999999996E-2</v>
      </c>
      <c r="C10" s="10">
        <v>8.9800000000000005E-2</v>
      </c>
      <c r="D10" s="10">
        <v>3.49E-2</v>
      </c>
      <c r="E10" s="10">
        <v>2.9700000000000001E-2</v>
      </c>
      <c r="F10" s="10">
        <v>1.9699999999999999E-2</v>
      </c>
      <c r="H10" s="10">
        <v>2.9600000000000001E-2</v>
      </c>
      <c r="J10" s="10">
        <v>7.9600000000000004E-2</v>
      </c>
      <c r="L10" s="5"/>
      <c r="M10" s="5"/>
      <c r="N10" s="5"/>
      <c r="O10" s="5">
        <v>0.18009999999999998</v>
      </c>
      <c r="P10" s="5"/>
      <c r="Q10" s="12">
        <v>0.20199999999999999</v>
      </c>
      <c r="R10" s="5">
        <v>0.23300000000000001</v>
      </c>
      <c r="S10" s="5">
        <v>0.57600000000000007</v>
      </c>
      <c r="T10" s="5"/>
      <c r="U10" s="5"/>
      <c r="V10" s="5">
        <v>0.25089999999999996</v>
      </c>
      <c r="W10" s="5">
        <v>0.16590000000000005</v>
      </c>
      <c r="Y10" s="5">
        <v>0.01</v>
      </c>
      <c r="Z10" s="5">
        <v>5.0099999999999999E-2</v>
      </c>
      <c r="AB10" s="5">
        <f t="shared" si="0"/>
        <v>2.0000999999999998</v>
      </c>
    </row>
    <row r="11" spans="1:30" x14ac:dyDescent="0.25">
      <c r="A11" t="str">
        <f>IF(Input!A12="","",Input!A12)</f>
        <v>Income Balanced</v>
      </c>
      <c r="B11" s="10">
        <v>9.8000000000000004E-2</v>
      </c>
      <c r="C11" s="10">
        <v>0.19030000000000002</v>
      </c>
      <c r="D11" s="10">
        <v>0.10030000000000001</v>
      </c>
      <c r="E11" s="10">
        <v>5.9699999999999996E-2</v>
      </c>
      <c r="F11" s="10">
        <v>5.4400000000000004E-2</v>
      </c>
      <c r="H11" s="10">
        <v>1.9799999999999998E-2</v>
      </c>
      <c r="J11" s="10">
        <v>3.9900000000000005E-2</v>
      </c>
      <c r="L11" s="5"/>
      <c r="M11" s="5"/>
      <c r="N11" s="5"/>
      <c r="O11" s="5">
        <v>0.20049999999999998</v>
      </c>
      <c r="P11" s="5"/>
      <c r="Q11" s="12">
        <v>4.0299999999999996E-2</v>
      </c>
      <c r="R11" s="5">
        <v>0.55299999999999994</v>
      </c>
      <c r="S11" s="5">
        <v>0.32600000000000001</v>
      </c>
      <c r="T11" s="5"/>
      <c r="U11" s="5"/>
      <c r="V11" s="5">
        <v>0.18109999999999998</v>
      </c>
      <c r="W11" s="5">
        <v>8.5500000000000007E-2</v>
      </c>
      <c r="X11" s="5">
        <v>2.0099999999999996E-2</v>
      </c>
      <c r="Y11" s="5">
        <v>3.0099999999999998E-2</v>
      </c>
      <c r="AB11" s="5">
        <f t="shared" si="0"/>
        <v>1.9989999999999999</v>
      </c>
    </row>
    <row r="12" spans="1:30" x14ac:dyDescent="0.25">
      <c r="A12" t="str">
        <f>IF(Input!A13="","",Input!A13)</f>
        <v>Passive Conservative</v>
      </c>
      <c r="B12" s="10">
        <v>9.0299999999999991E-2</v>
      </c>
      <c r="C12" s="10">
        <v>0.1198</v>
      </c>
      <c r="D12" s="10">
        <v>0.1003</v>
      </c>
      <c r="E12" s="10">
        <v>3.9900000000000005E-2</v>
      </c>
      <c r="F12" s="10">
        <v>2.9500000000000002E-2</v>
      </c>
      <c r="H12" s="10">
        <v>7.9100000000000004E-2</v>
      </c>
      <c r="I12" s="10">
        <v>0.17989999999999998</v>
      </c>
      <c r="J12" s="10">
        <v>0.2</v>
      </c>
      <c r="L12" s="5"/>
      <c r="M12" s="5"/>
      <c r="N12" s="5"/>
      <c r="O12" s="5"/>
      <c r="P12" s="5"/>
      <c r="Q12" s="12">
        <v>0.2621</v>
      </c>
      <c r="R12" s="5">
        <v>0.41</v>
      </c>
      <c r="S12" s="5">
        <v>0.45899999999999996</v>
      </c>
      <c r="T12" s="5"/>
      <c r="U12" s="5"/>
      <c r="X12" s="5">
        <v>0.02</v>
      </c>
      <c r="Y12" s="5">
        <v>0.01</v>
      </c>
      <c r="AB12" s="5">
        <f t="shared" si="0"/>
        <v>1.9999</v>
      </c>
    </row>
    <row r="13" spans="1:30" x14ac:dyDescent="0.25">
      <c r="A13" t="str">
        <f>IF(Input!A14="","",Input!A14)</f>
        <v>Passive Balanced</v>
      </c>
      <c r="B13" s="10">
        <v>0.1103</v>
      </c>
      <c r="C13" s="10">
        <v>0.14980000000000002</v>
      </c>
      <c r="D13" s="10">
        <v>0.15049999999999999</v>
      </c>
      <c r="E13" s="10">
        <v>5.9800000000000006E-2</v>
      </c>
      <c r="F13" s="10">
        <v>3.9399999999999998E-2</v>
      </c>
      <c r="H13" s="10">
        <v>7.9100000000000004E-2</v>
      </c>
      <c r="I13" s="10">
        <v>0.11</v>
      </c>
      <c r="J13" s="10">
        <v>0.12</v>
      </c>
      <c r="L13" s="5"/>
      <c r="M13" s="5"/>
      <c r="N13" s="5"/>
      <c r="O13" s="5"/>
      <c r="P13" s="5"/>
      <c r="Q13" s="12">
        <v>0.28220000000000001</v>
      </c>
      <c r="R13" s="5">
        <v>0.55000000000000004</v>
      </c>
      <c r="S13" s="5">
        <v>0.309</v>
      </c>
      <c r="T13" s="5"/>
      <c r="U13" s="5"/>
      <c r="X13" s="5">
        <v>0.03</v>
      </c>
      <c r="Y13" s="5">
        <v>0.01</v>
      </c>
      <c r="AB13" s="5">
        <f t="shared" si="0"/>
        <v>2.0000999999999998</v>
      </c>
    </row>
    <row r="14" spans="1:30" x14ac:dyDescent="0.25">
      <c r="A14" t="str">
        <f>IF(Input!A15="","",Input!A15)</f>
        <v>Passive Adventurous</v>
      </c>
      <c r="B14" s="10">
        <v>0.17050000000000001</v>
      </c>
      <c r="C14" s="10">
        <v>0.1797</v>
      </c>
      <c r="D14" s="10">
        <v>0.1605</v>
      </c>
      <c r="E14" s="10">
        <v>6.9699999999999998E-2</v>
      </c>
      <c r="F14" s="10">
        <v>5.91E-2</v>
      </c>
      <c r="H14" s="10">
        <v>1.9699999999999999E-2</v>
      </c>
      <c r="I14" s="10">
        <v>0.06</v>
      </c>
      <c r="J14" s="10">
        <v>0.1</v>
      </c>
      <c r="L14" s="5"/>
      <c r="M14" s="5"/>
      <c r="N14" s="5"/>
      <c r="O14" s="5"/>
      <c r="P14" s="5"/>
      <c r="Q14" s="12">
        <v>0.26200000000000001</v>
      </c>
      <c r="R14" s="5">
        <v>0.68900000000000006</v>
      </c>
      <c r="S14" s="5">
        <v>0.18</v>
      </c>
      <c r="T14" s="5"/>
      <c r="U14" s="5"/>
      <c r="X14" s="5">
        <v>0.03</v>
      </c>
      <c r="Y14" s="5">
        <v>0.02</v>
      </c>
      <c r="AB14" s="5">
        <f t="shared" si="0"/>
        <v>2.0002</v>
      </c>
    </row>
    <row r="15" spans="1:30" x14ac:dyDescent="0.25">
      <c r="A15" t="str">
        <f>IF(Input!A16="","",Input!A16)</f>
        <v/>
      </c>
      <c r="L15" s="5"/>
      <c r="M15" s="5"/>
      <c r="N15" s="5"/>
      <c r="O15" s="5"/>
      <c r="P15" s="5"/>
      <c r="Q15" s="12"/>
      <c r="R15" s="5"/>
      <c r="S15" s="5"/>
      <c r="T15" s="5"/>
    </row>
    <row r="16" spans="1:30" x14ac:dyDescent="0.25">
      <c r="A16" t="str">
        <f>IF(Input!A17="","",Input!A17)</f>
        <v/>
      </c>
      <c r="L16" s="5"/>
      <c r="M16" s="5"/>
      <c r="N16" s="5"/>
      <c r="O16" s="5"/>
      <c r="Q16" s="12"/>
      <c r="R16" s="5"/>
      <c r="S16" s="5"/>
      <c r="T16" s="5"/>
    </row>
    <row r="17" spans="1:29" x14ac:dyDescent="0.25">
      <c r="A17" t="str">
        <f>IF(Input!A18="","",Input!A18)</f>
        <v/>
      </c>
      <c r="L17" s="5"/>
      <c r="M17" s="5"/>
      <c r="N17" s="5"/>
      <c r="O17" s="5"/>
      <c r="P17" s="5"/>
      <c r="Q17" s="12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L18" s="5"/>
      <c r="M18" s="5"/>
      <c r="N18" s="5"/>
      <c r="O18" s="5"/>
      <c r="Q18" s="12"/>
      <c r="R18" s="5"/>
      <c r="T18" s="5"/>
      <c r="U18" s="5"/>
      <c r="Z18" s="5"/>
    </row>
    <row r="19" spans="1:29" x14ac:dyDescent="0.25">
      <c r="A19" t="str">
        <f>IF(Input!A20="","",Input!A20)</f>
        <v/>
      </c>
      <c r="L19" s="5"/>
      <c r="M19" s="5"/>
      <c r="N19" s="5"/>
      <c r="O19" s="5"/>
      <c r="P19" s="5"/>
      <c r="Q19" s="12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12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12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12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12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12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12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12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12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12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opLeftCell="B1" workbookViewId="0">
      <selection activeCell="C17" sqref="C17"/>
    </sheetView>
  </sheetViews>
  <sheetFormatPr defaultRowHeight="15" x14ac:dyDescent="0.25"/>
  <cols>
    <col min="1" max="1" width="24.5703125" bestFit="1" customWidth="1"/>
    <col min="2" max="2" width="84.28515625" bestFit="1" customWidth="1"/>
    <col min="3" max="3" width="38.42578125" bestFit="1" customWidth="1"/>
    <col min="4" max="4" width="97.28515625" style="8" bestFit="1" customWidth="1"/>
    <col min="5" max="5" width="14.2851562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Core Growth Defensive</v>
      </c>
      <c r="B2" s="11" t="s">
        <v>53</v>
      </c>
      <c r="C2" t="s">
        <v>69</v>
      </c>
      <c r="D2" s="8" t="s">
        <v>81</v>
      </c>
      <c r="E2" t="s">
        <v>50</v>
      </c>
    </row>
    <row r="3" spans="1:5" x14ac:dyDescent="0.25">
      <c r="A3" t="str">
        <f>IF(Input!A4="","",Input!A4)</f>
        <v>Core Growth Conservative</v>
      </c>
      <c r="B3" s="11" t="s">
        <v>53</v>
      </c>
      <c r="C3" t="s">
        <v>70</v>
      </c>
      <c r="D3" s="8" t="s">
        <v>82</v>
      </c>
      <c r="E3" t="s">
        <v>50</v>
      </c>
    </row>
    <row r="4" spans="1:5" x14ac:dyDescent="0.25">
      <c r="A4" t="str">
        <f>IF(Input!A5="","",Input!A5)</f>
        <v>Core Growth Balanced</v>
      </c>
      <c r="B4" s="11" t="s">
        <v>53</v>
      </c>
      <c r="C4" t="s">
        <v>71</v>
      </c>
      <c r="D4" s="8" t="s">
        <v>83</v>
      </c>
      <c r="E4" t="s">
        <v>50</v>
      </c>
    </row>
    <row r="5" spans="1:5" x14ac:dyDescent="0.25">
      <c r="A5" t="str">
        <f>IF(Input!A6="","",Input!A6)</f>
        <v>Core Growth Adventurous</v>
      </c>
      <c r="B5" s="11" t="s">
        <v>53</v>
      </c>
      <c r="C5" t="s">
        <v>72</v>
      </c>
      <c r="D5" s="8" t="s">
        <v>84</v>
      </c>
      <c r="E5" t="s">
        <v>50</v>
      </c>
    </row>
    <row r="6" spans="1:5" x14ac:dyDescent="0.25">
      <c r="A6" t="str">
        <f>IF(Input!A7="","",Input!A7)</f>
        <v>Core Growth Aggressive</v>
      </c>
      <c r="B6" s="11" t="s">
        <v>53</v>
      </c>
      <c r="C6" t="s">
        <v>93</v>
      </c>
      <c r="D6" s="8" t="s">
        <v>94</v>
      </c>
      <c r="E6" t="s">
        <v>50</v>
      </c>
    </row>
    <row r="7" spans="1:5" x14ac:dyDescent="0.25">
      <c r="A7" t="str">
        <f>IF(Input!A8="","",Input!A8)</f>
        <v>Sustainable Conservative</v>
      </c>
      <c r="B7" s="11" t="s">
        <v>53</v>
      </c>
      <c r="C7" t="s">
        <v>73</v>
      </c>
      <c r="D7" s="8" t="s">
        <v>85</v>
      </c>
      <c r="E7" t="s">
        <v>49</v>
      </c>
    </row>
    <row r="8" spans="1:5" x14ac:dyDescent="0.25">
      <c r="A8" t="str">
        <f>IF(Input!A9="","",Input!A9)</f>
        <v>Sustainable Balanced</v>
      </c>
      <c r="B8" s="11" t="s">
        <v>53</v>
      </c>
      <c r="C8" t="s">
        <v>74</v>
      </c>
      <c r="D8" s="8" t="s">
        <v>86</v>
      </c>
      <c r="E8" t="s">
        <v>49</v>
      </c>
    </row>
    <row r="9" spans="1:5" x14ac:dyDescent="0.25">
      <c r="A9" t="str">
        <f>IF(Input!A10="","",Input!A10)</f>
        <v>Sustainable Adventurous</v>
      </c>
      <c r="B9" s="11" t="s">
        <v>53</v>
      </c>
      <c r="C9" t="s">
        <v>75</v>
      </c>
      <c r="D9" s="8" t="s">
        <v>87</v>
      </c>
      <c r="E9" t="s">
        <v>49</v>
      </c>
    </row>
    <row r="10" spans="1:5" x14ac:dyDescent="0.25">
      <c r="A10" t="str">
        <f>IF(Input!A11="","",Input!A11)</f>
        <v>Income Defensive</v>
      </c>
      <c r="B10" s="11" t="s">
        <v>53</v>
      </c>
      <c r="C10" t="s">
        <v>76</v>
      </c>
      <c r="D10" s="8" t="s">
        <v>88</v>
      </c>
      <c r="E10" t="s">
        <v>51</v>
      </c>
    </row>
    <row r="11" spans="1:5" x14ac:dyDescent="0.25">
      <c r="A11" t="str">
        <f>IF(Input!A12="","",Input!A12)</f>
        <v>Income Balanced</v>
      </c>
      <c r="B11" s="11" t="s">
        <v>53</v>
      </c>
      <c r="C11" t="s">
        <v>77</v>
      </c>
      <c r="D11" s="8" t="s">
        <v>89</v>
      </c>
      <c r="E11" t="s">
        <v>51</v>
      </c>
    </row>
    <row r="12" spans="1:5" x14ac:dyDescent="0.25">
      <c r="A12" t="str">
        <f>IF(Input!A13="","",Input!A13)</f>
        <v>Passive Conservative</v>
      </c>
      <c r="B12" s="11" t="s">
        <v>53</v>
      </c>
      <c r="C12" t="s">
        <v>78</v>
      </c>
      <c r="D12" s="8" t="s">
        <v>90</v>
      </c>
      <c r="E12" t="s">
        <v>52</v>
      </c>
    </row>
    <row r="13" spans="1:5" x14ac:dyDescent="0.25">
      <c r="A13" t="str">
        <f>IF(Input!A14="","",Input!A14)</f>
        <v>Passive Balanced</v>
      </c>
      <c r="B13" s="11" t="s">
        <v>53</v>
      </c>
      <c r="C13" t="s">
        <v>79</v>
      </c>
      <c r="D13" s="8" t="s">
        <v>91</v>
      </c>
      <c r="E13" t="s">
        <v>52</v>
      </c>
    </row>
    <row r="14" spans="1:5" x14ac:dyDescent="0.25">
      <c r="A14" t="str">
        <f>IF(Input!A15="","",Input!A15)</f>
        <v>Passive Adventurous</v>
      </c>
      <c r="B14" s="11" t="s">
        <v>53</v>
      </c>
      <c r="C14" t="s">
        <v>80</v>
      </c>
      <c r="D14" s="8" t="s">
        <v>92</v>
      </c>
      <c r="E14" t="s">
        <v>52</v>
      </c>
    </row>
    <row r="15" spans="1:5" x14ac:dyDescent="0.25">
      <c r="A15" t="str">
        <f>IF(Input!A16="","",Input!A16)</f>
        <v/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Core Growth Defensive</v>
      </c>
      <c r="B2" s="1">
        <f>IF(A2="","",EOMONTH(DATE(YEAR(IF(A2="","",'Additional Information'!B2)),MONTH(IF(A2="","",'Additional Information'!B2)),DAY(IF(A2="","",'Additional Information'!B2))),0))</f>
        <v>45199</v>
      </c>
    </row>
    <row r="3" spans="1:2" x14ac:dyDescent="0.25">
      <c r="A3" t="str">
        <f>IF(Input!A4="","",Input!A4)</f>
        <v>Core Growth Conservative</v>
      </c>
      <c r="B3" s="1">
        <f>IF(A3="","",EOMONTH(DATE(YEAR(IF(A3="","",'Additional Information'!B3)),MONTH(IF(A3="","",'Additional Information'!B3)),DAY(IF(A3="","",'Additional Information'!B3))),0))</f>
        <v>45199</v>
      </c>
    </row>
    <row r="4" spans="1:2" x14ac:dyDescent="0.25">
      <c r="A4" t="str">
        <f>IF(Input!A5="","",Input!A5)</f>
        <v>Core Growth Balanced</v>
      </c>
      <c r="B4" s="1">
        <f>IF(A4="","",EOMONTH(DATE(YEAR(IF(A4="","",'Additional Information'!B4)),MONTH(IF(A4="","",'Additional Information'!B4)),DAY(IF(A4="","",'Additional Information'!B4))),0))</f>
        <v>45199</v>
      </c>
    </row>
    <row r="5" spans="1:2" x14ac:dyDescent="0.25">
      <c r="A5" t="str">
        <f>IF(Input!A6="","",Input!A6)</f>
        <v>Core Growth Adventurous</v>
      </c>
      <c r="B5" s="1">
        <f>IF(A5="","",EOMONTH(DATE(YEAR(IF(A5="","",'Additional Information'!B5)),MONTH(IF(A5="","",'Additional Information'!B5)),DAY(IF(A5="","",'Additional Information'!B5))),0))</f>
        <v>45199</v>
      </c>
    </row>
    <row r="6" spans="1:2" x14ac:dyDescent="0.25">
      <c r="A6" t="str">
        <f>IF(Input!A7="","",Input!A7)</f>
        <v>Core Growth Aggressive</v>
      </c>
      <c r="B6" s="1">
        <f>IF(A6="","",EOMONTH(DATE(YEAR(IF(A6="","",'Additional Information'!B6)),MONTH(IF(A6="","",'Additional Information'!B6)),DAY(IF(A6="","",'Additional Information'!B6))),0))</f>
        <v>45199</v>
      </c>
    </row>
    <row r="7" spans="1:2" x14ac:dyDescent="0.25">
      <c r="A7" t="str">
        <f>IF(Input!A8="","",Input!A8)</f>
        <v>Sustainable Conservative</v>
      </c>
      <c r="B7" s="1">
        <f>IF(A7="","",EOMONTH(DATE(YEAR(IF(A7="","",'Additional Information'!B7)),MONTH(IF(A7="","",'Additional Information'!B7)),DAY(IF(A7="","",'Additional Information'!B7))),0))</f>
        <v>45169</v>
      </c>
    </row>
    <row r="8" spans="1:2" x14ac:dyDescent="0.25">
      <c r="A8" t="str">
        <f>IF(Input!A9="","",Input!A9)</f>
        <v>Sustainable Balanced</v>
      </c>
      <c r="B8" s="1">
        <f>IF(A8="","",EOMONTH(DATE(YEAR(IF(A8="","",'Additional Information'!B8)),MONTH(IF(A8="","",'Additional Information'!B8)),DAY(IF(A8="","",'Additional Information'!B8))),0))</f>
        <v>45169</v>
      </c>
    </row>
    <row r="9" spans="1:2" x14ac:dyDescent="0.25">
      <c r="A9" t="str">
        <f>IF(Input!A10="","",Input!A10)</f>
        <v>Sustainable Adventurous</v>
      </c>
      <c r="B9" s="1">
        <f>IF(A9="","",EOMONTH(DATE(YEAR(IF(A9="","",'Additional Information'!B9)),MONTH(IF(A9="","",'Additional Information'!B9)),DAY(IF(A9="","",'Additional Information'!B9))),0))</f>
        <v>45169</v>
      </c>
    </row>
    <row r="10" spans="1:2" x14ac:dyDescent="0.25">
      <c r="A10" t="str">
        <f>IF(Input!A11="","",Input!A11)</f>
        <v>Income Defensive</v>
      </c>
      <c r="B10" s="1">
        <f>IF(A10="","",EOMONTH(DATE(YEAR(IF(A10="","",'Additional Information'!B10)),MONTH(IF(A10="","",'Additional Information'!B10)),DAY(IF(A10="","",'Additional Information'!B10))),0))</f>
        <v>45199</v>
      </c>
    </row>
    <row r="11" spans="1:2" x14ac:dyDescent="0.25">
      <c r="A11" t="str">
        <f>IF(Input!A12="","",Input!A12)</f>
        <v>Income Balanced</v>
      </c>
      <c r="B11" s="1">
        <f>IF(A11="","",EOMONTH(DATE(YEAR(IF(A11="","",'Additional Information'!B11)),MONTH(IF(A11="","",'Additional Information'!B11)),DAY(IF(A11="","",'Additional Information'!B11))),0))</f>
        <v>45199</v>
      </c>
    </row>
    <row r="12" spans="1:2" x14ac:dyDescent="0.25">
      <c r="A12" t="str">
        <f>IF(Input!A13="","",Input!A13)</f>
        <v>Passive Conservative</v>
      </c>
      <c r="B12" s="1">
        <f>IF(A12="","",EOMONTH(DATE(YEAR(IF(A12="","",'Additional Information'!B12)),MONTH(IF(A12="","",'Additional Information'!B12)),DAY(IF(A12="","",'Additional Information'!B12))),0))</f>
        <v>45199</v>
      </c>
    </row>
    <row r="13" spans="1:2" x14ac:dyDescent="0.25">
      <c r="A13" t="str">
        <f>IF(Input!A14="","",Input!A14)</f>
        <v>Passive Balanced</v>
      </c>
      <c r="B13" s="1">
        <f>IF(A13="","",EOMONTH(DATE(YEAR(IF(A13="","",'Additional Information'!B13)),MONTH(IF(A13="","",'Additional Information'!B13)),DAY(IF(A13="","",'Additional Information'!B13))),0))</f>
        <v>45199</v>
      </c>
    </row>
    <row r="14" spans="1:2" x14ac:dyDescent="0.25">
      <c r="A14" t="str">
        <f>IF(Input!A15="","",Input!A15)</f>
        <v>Passive Adventurous</v>
      </c>
      <c r="B14" s="1">
        <f>IF(A14="","",EOMONTH(DATE(YEAR(IF(A14="","",'Additional Information'!B14)),MONTH(IF(A14="","",'Additional Information'!B14)),DAY(IF(A14="","",'Additional Information'!B14))),0))</f>
        <v>45199</v>
      </c>
    </row>
    <row r="15" spans="1:2" x14ac:dyDescent="0.25">
      <c r="A15" t="str">
        <f>IF(Input!A16="","",Input!A16)</f>
        <v/>
      </c>
      <c r="B15" s="1" t="str">
        <f>IF(A15="","",EOMONTH(DATE(YEAR(IF(A15="","",'Additional Information'!B15)),MONTH(IF(A15="","",'Additional Information'!B15)),DAY(IF(A15="","",'Additional Information'!B15))),0))</f>
        <v/>
      </c>
    </row>
    <row r="16" spans="1:2" x14ac:dyDescent="0.25">
      <c r="A16" t="str">
        <f>IF(Input!A17="","",Input!A17)</f>
        <v/>
      </c>
      <c r="B16" s="1" t="str">
        <f>IF(A16="","",EOMONTH(DATE(YEAR(IF(A16="","",'Additional Information'!B16)),MONTH(IF(A16="","",'Additional Information'!B16)),DAY(IF(A16="","",'Additional Information'!B16))),0))</f>
        <v/>
      </c>
    </row>
    <row r="17" spans="1:2" x14ac:dyDescent="0.25">
      <c r="A17" t="str">
        <f>IF(Input!A18="","",Input!A18)</f>
        <v/>
      </c>
      <c r="B17" s="1" t="str">
        <f>IF(A17="","",EOMONTH(DATE(YEAR(IF(A17="","",'Additional Information'!B17)),MONTH(IF(A17="","",'Additional Information'!B17)),DAY(IF(A17="","",'Additional Information'!B17))),0))</f>
        <v/>
      </c>
    </row>
    <row r="18" spans="1:2" x14ac:dyDescent="0.25">
      <c r="A18" t="str">
        <f>IF(Input!A19="","",Input!A19)</f>
        <v/>
      </c>
      <c r="B18" s="1" t="str">
        <f>IF(A18="","",EOMONTH(DATE(YEAR(IF(A18="","",'Additional Information'!B18)),MONTH(IF(A18="","",'Additional Information'!B18)),DAY(IF(A18="","",'Additional Information'!B18))),0))</f>
        <v/>
      </c>
    </row>
    <row r="19" spans="1:2" x14ac:dyDescent="0.25">
      <c r="A19" t="str">
        <f>IF(Input!A20="","",Input!A20)</f>
        <v/>
      </c>
      <c r="B19" s="1" t="str">
        <f>IF(A19="","",EOMONTH(DATE(YEAR(IF(A19="","",'Additional Information'!B19)),MONTH(IF(A19="","",'Additional Information'!B19)),DAY(IF(A19="","",'Additional Information'!B19))),0))</f>
        <v/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Core Growth Defensive</v>
      </c>
      <c r="C2" t="str">
        <f>IF(A2="","",IF(OR('Additional Information'!G2="",'Additional Information'!G2="-"),"",'Additional Information'!G2))</f>
        <v/>
      </c>
      <c r="D2" s="5">
        <f>IF(A2="","",SUM('Additional Information'!C2,'Additional Information'!D2))</f>
        <v>7.0999999999999995E-3</v>
      </c>
      <c r="E2">
        <f>IF(A2="","",SUM('Additional Information'!C2))</f>
        <v>0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Core Growth Conservative</v>
      </c>
      <c r="C3" t="str">
        <f>IF(A3="","",IF(OR('Additional Information'!G3="",'Additional Information'!G3="-"),"",'Additional Information'!G3))</f>
        <v/>
      </c>
      <c r="D3" s="5">
        <f>IF(A3="","",SUM('Additional Information'!C3,'Additional Information'!D3))</f>
        <v>6.8000000000000005E-3</v>
      </c>
      <c r="E3">
        <f>IF(A3="","",SUM('Additional Information'!C3))</f>
        <v>0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Core Growth Balanced</v>
      </c>
      <c r="C4" t="str">
        <f>IF(A4="","",IF(OR('Additional Information'!G4="",'Additional Information'!G4="-"),"",'Additional Information'!G4))</f>
        <v/>
      </c>
      <c r="D4" s="5">
        <f>IF(A4="","",SUM('Additional Information'!C4,'Additional Information'!D4))</f>
        <v>6.8000000000000005E-3</v>
      </c>
      <c r="E4">
        <f>IF(A4="","",SUM('Additional Information'!C4))</f>
        <v>0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Core Growth Adventurous</v>
      </c>
      <c r="C5" t="str">
        <f>IF(A5="","",IF(OR('Additional Information'!G5="",'Additional Information'!G5="-"),"",'Additional Information'!G5))</f>
        <v/>
      </c>
      <c r="D5" s="5">
        <f>IF(A5="","",SUM('Additional Information'!C5,'Additional Information'!D5))</f>
        <v>7.0999999999999995E-3</v>
      </c>
      <c r="E5">
        <f>IF(A5="","",SUM('Additional Information'!C5))</f>
        <v>0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Core Growth Aggressive</v>
      </c>
      <c r="C6" t="str">
        <f>IF(A6="","",IF(OR('Additional Information'!G6="",'Additional Information'!G6="-"),"",'Additional Information'!G6))</f>
        <v/>
      </c>
      <c r="D6" s="5">
        <f>IF(A6="","",SUM('Additional Information'!C6,'Additional Information'!D6))</f>
        <v>7.0999999999999995E-3</v>
      </c>
      <c r="E6">
        <f>IF(A6="","",SUM('Additional Information'!C6))</f>
        <v>0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Sustainable Conservative</v>
      </c>
      <c r="C7" t="str">
        <f>IF(A7="","",IF(OR('Additional Information'!G7="",'Additional Information'!G7="-"),"",'Additional Information'!G7))</f>
        <v/>
      </c>
      <c r="D7" s="5">
        <f>IF(A7="","",SUM('Additional Information'!C7,'Additional Information'!D7))</f>
        <v>9.3999999999999986E-3</v>
      </c>
      <c r="E7">
        <f>IF(A7="","",SUM('Additional Information'!C7))</f>
        <v>3.5999999999999999E-3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Sustainable Balanced</v>
      </c>
      <c r="C8" t="str">
        <f>IF(A8="","",IF(OR('Additional Information'!G8="",'Additional Information'!G8="-"),"",'Additional Information'!G8))</f>
        <v/>
      </c>
      <c r="D8" s="5">
        <f>IF(A8="","",SUM('Additional Information'!C8,'Additional Information'!D8))</f>
        <v>9.6000000000000009E-3</v>
      </c>
      <c r="E8">
        <f>IF(A8="","",SUM('Additional Information'!C8))</f>
        <v>3.5999999999999999E-3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Sustainable Adventurous</v>
      </c>
      <c r="C9" t="str">
        <f>IF(A9="","",IF(OR('Additional Information'!G9="",'Additional Information'!G9="-"),"",'Additional Information'!G9))</f>
        <v/>
      </c>
      <c r="D9" s="5">
        <f>IF(A9="","",SUM('Additional Information'!C9,'Additional Information'!D9))</f>
        <v>9.1999999999999998E-3</v>
      </c>
      <c r="E9">
        <f>IF(A9="","",SUM('Additional Information'!C9))</f>
        <v>3.5999999999999999E-3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Income Defensive</v>
      </c>
      <c r="C10" t="str">
        <f>IF(A10="","",IF(OR('Additional Information'!G10="",'Additional Information'!G10="-"),"",'Additional Information'!G10))</f>
        <v/>
      </c>
      <c r="D10" s="5">
        <f>IF(A10="","",SUM('Additional Information'!C10,'Additional Information'!D10))</f>
        <v>9.0000000000000011E-3</v>
      </c>
      <c r="E10">
        <f>IF(A10="","",SUM('Additional Information'!C10))</f>
        <v>3.5999999999999999E-3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Income Balanced</v>
      </c>
      <c r="C11" t="str">
        <f>IF(A11="","",IF(OR('Additional Information'!G11="",'Additional Information'!G11="-"),"",'Additional Information'!G11))</f>
        <v/>
      </c>
      <c r="D11" s="5">
        <f>IF(A11="","",SUM('Additional Information'!C11,'Additional Information'!D11))</f>
        <v>9.7000000000000003E-3</v>
      </c>
      <c r="E11">
        <f>IF(A11="","",SUM('Additional Information'!C11))</f>
        <v>3.5999999999999999E-3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Passive Conservative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2.8E-3</v>
      </c>
      <c r="E12">
        <f>IF(A12="","",SUM('Additional Information'!C12))</f>
        <v>2E-3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Passive Balanced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2.8E-3</v>
      </c>
      <c r="E13">
        <f>IF(A13="","",SUM('Additional Information'!C13))</f>
        <v>2E-3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Passive Adventurous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2.8E-3</v>
      </c>
      <c r="E14">
        <f>IF(A14="","",SUM('Additional Information'!C14))</f>
        <v>2E-3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/>
      </c>
      <c r="C15" t="str">
        <f>IF(A15="","",IF(OR('Additional Information'!G15="",'Additional Information'!G15="-"),"",'Additional Information'!G15))</f>
        <v/>
      </c>
      <c r="D15" s="5" t="str">
        <f>IF(A15="","",SUM('Additional Information'!C15,'Additional Information'!D15))</f>
        <v/>
      </c>
      <c r="E15" t="str">
        <f>IF(A15="","",SUM('Additional Information'!C15))</f>
        <v/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/>
      </c>
      <c r="C16" t="str">
        <f>IF(A16="","",IF(OR('Additional Information'!G16="",'Additional Information'!G16="-"),"",'Additional Information'!G16))</f>
        <v/>
      </c>
      <c r="D16" s="5" t="str">
        <f>IF(A16="","",SUM('Additional Information'!C16,'Additional Information'!D16))</f>
        <v/>
      </c>
      <c r="E16" t="str">
        <f>IF(A16="","",SUM('Additional Information'!C16))</f>
        <v/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/>
      </c>
      <c r="C17" t="str">
        <f>IF(A17="","",IF(OR('Additional Information'!G17="",'Additional Information'!G17="-"),"",'Additional Information'!G17))</f>
        <v/>
      </c>
      <c r="D17" s="5" t="str">
        <f>IF(A17="","",SUM('Additional Information'!C17,'Additional Information'!D17))</f>
        <v/>
      </c>
      <c r="E17" t="str">
        <f>IF(A17="","",SUM('Additional Information'!C17))</f>
        <v/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/>
      </c>
      <c r="C18" t="str">
        <f>IF(A18="","",IF(OR('Additional Information'!G18="",'Additional Information'!G18="-"),"",'Additional Information'!G18))</f>
        <v/>
      </c>
      <c r="D18" s="5" t="str">
        <f>IF(A18="","",SUM('Additional Information'!C18,'Additional Information'!D18))</f>
        <v/>
      </c>
      <c r="E18" t="str">
        <f>IF(A18="","",SUM('Additional Information'!C18))</f>
        <v/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/>
      </c>
      <c r="C19" t="str">
        <f>IF(A19="","",IF(OR('Additional Information'!G19="",'Additional Information'!G19="-"),"",'Additional Information'!G19))</f>
        <v/>
      </c>
      <c r="D19" s="5" t="str">
        <f>IF(A19="","",SUM('Additional Information'!C19,'Additional Information'!D19))</f>
        <v/>
      </c>
      <c r="E19" t="str">
        <f>IF(A19="","",SUM('Additional Information'!C19))</f>
        <v/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Core Growth Defensive</v>
      </c>
      <c r="B2">
        <f>IF(A2="","",SUM('Asset Allocation'!F2,'Asset Allocation'!G2,'Asset Allocation'!H2,'Asset Allocation'!I2,'Asset Allocation'!J2,'Asset Allocation'!K2))</f>
        <v>0.51549999999999996</v>
      </c>
      <c r="C2">
        <f>IF(A2="","",SUM('Asset Allocation'!C2))</f>
        <v>6.5500000000000003E-2</v>
      </c>
      <c r="D2">
        <f>IF(A2="","",SUM('Asset Allocation'!D2))</f>
        <v>3.7999999999999999E-2</v>
      </c>
      <c r="F2">
        <f>IF(A2="","",SUM('Asset Allocation'!E2))</f>
        <v>2.1600000000000001E-2</v>
      </c>
      <c r="G2">
        <f>IF(A2="","",SUM('Asset Allocation'!B2))</f>
        <v>0.10279999999999999</v>
      </c>
      <c r="H2">
        <f t="shared" ref="H2:H50" si="0">IF(A2="","",1-SUM(B2:G2))</f>
        <v>0.25660000000000005</v>
      </c>
    </row>
    <row r="3" spans="1:8" x14ac:dyDescent="0.25">
      <c r="A3" t="str">
        <f>IF(Input!A4="","",Input!A4)</f>
        <v>Core Growth Conservative</v>
      </c>
      <c r="B3">
        <f>IF(A3="","",SUM('Asset Allocation'!F3,'Asset Allocation'!G3,'Asset Allocation'!H3,'Asset Allocation'!I3,'Asset Allocation'!J3,'Asset Allocation'!K3))</f>
        <v>0.37860000000000005</v>
      </c>
      <c r="C3">
        <f>IF(A3="","",SUM('Asset Allocation'!C3))</f>
        <v>0.11120000000000001</v>
      </c>
      <c r="D3">
        <f>IF(A3="","",SUM('Asset Allocation'!D3))</f>
        <v>7.1900000000000006E-2</v>
      </c>
      <c r="F3">
        <f>IF(A3="","",SUM('Asset Allocation'!E3))</f>
        <v>4.0399999999999998E-2</v>
      </c>
      <c r="G3">
        <f>IF(A3="","",SUM('Asset Allocation'!B3))</f>
        <v>0.16579999999999998</v>
      </c>
      <c r="H3">
        <f t="shared" si="0"/>
        <v>0.23209999999999997</v>
      </c>
    </row>
    <row r="4" spans="1:8" x14ac:dyDescent="0.25">
      <c r="A4" t="str">
        <f>IF(Input!A5="","",Input!A5)</f>
        <v>Core Growth Balanced</v>
      </c>
      <c r="B4">
        <f>IF(A4="","",SUM('Asset Allocation'!F4,'Asset Allocation'!G4,'Asset Allocation'!H4,'Asset Allocation'!I4,'Asset Allocation'!J4,'Asset Allocation'!K4))</f>
        <v>0.2651</v>
      </c>
      <c r="C4">
        <f>IF(A4="","",SUM('Asset Allocation'!C4))</f>
        <v>0.15419999999999998</v>
      </c>
      <c r="D4">
        <f>IF(A4="","",SUM('Asset Allocation'!D4))</f>
        <v>0.10580000000000001</v>
      </c>
      <c r="F4">
        <f>IF(A4="","",SUM('Asset Allocation'!E4))</f>
        <v>6.0100000000000001E-2</v>
      </c>
      <c r="G4">
        <f>IF(A4="","",SUM('Asset Allocation'!B4))</f>
        <v>0.23339999999999997</v>
      </c>
      <c r="H4">
        <f t="shared" si="0"/>
        <v>0.18140000000000001</v>
      </c>
    </row>
    <row r="5" spans="1:8" x14ac:dyDescent="0.25">
      <c r="A5" t="str">
        <f>IF(Input!A6="","",Input!A6)</f>
        <v>Core Growth Adventurous</v>
      </c>
      <c r="B5">
        <f>IF(A5="","",SUM('Asset Allocation'!F5,'Asset Allocation'!G5,'Asset Allocation'!H5,'Asset Allocation'!I5,'Asset Allocation'!J5,'Asset Allocation'!K5))</f>
        <v>0.12310000000000001</v>
      </c>
      <c r="C5">
        <f>IF(A5="","",SUM('Asset Allocation'!C5))</f>
        <v>0.20620000000000002</v>
      </c>
      <c r="D5">
        <f>IF(A5="","",SUM('Asset Allocation'!D5))</f>
        <v>0.14589999999999997</v>
      </c>
      <c r="F5">
        <f>IF(A5="","",SUM('Asset Allocation'!E5))</f>
        <v>7.5800000000000006E-2</v>
      </c>
      <c r="G5">
        <f>IF(A5="","",SUM('Asset Allocation'!B5))</f>
        <v>0.31690000000000007</v>
      </c>
      <c r="H5">
        <f t="shared" si="0"/>
        <v>0.13209999999999988</v>
      </c>
    </row>
    <row r="6" spans="1:8" x14ac:dyDescent="0.25">
      <c r="A6" t="str">
        <f>IF(Input!A7="","",Input!A7)</f>
        <v>Core Growth Aggressive</v>
      </c>
      <c r="B6">
        <f>IF(A6="","",SUM('Asset Allocation'!F6,'Asset Allocation'!G6,'Asset Allocation'!H6,'Asset Allocation'!I6,'Asset Allocation'!J6,'Asset Allocation'!K6))</f>
        <v>7.3700000000000002E-2</v>
      </c>
      <c r="C6">
        <f>IF(A6="","",SUM('Asset Allocation'!C6))</f>
        <v>0.22539999999999999</v>
      </c>
      <c r="D6">
        <f>IF(A6="","",SUM('Asset Allocation'!D6))</f>
        <v>0.14499999999999999</v>
      </c>
      <c r="F6">
        <f>IF(A6="","",SUM('Asset Allocation'!E6))</f>
        <v>8.4599999999999995E-2</v>
      </c>
      <c r="G6">
        <f>IF(A6="","",SUM('Asset Allocation'!B6))</f>
        <v>0.33939999999999998</v>
      </c>
      <c r="H6">
        <f t="shared" si="0"/>
        <v>0.13190000000000013</v>
      </c>
    </row>
    <row r="7" spans="1:8" x14ac:dyDescent="0.25">
      <c r="A7" t="str">
        <f>IF(Input!A8="","",Input!A8)</f>
        <v>Sustainable Conservative</v>
      </c>
      <c r="B7">
        <f>IF(A7="","",SUM('Asset Allocation'!F7,'Asset Allocation'!G7,'Asset Allocation'!H7,'Asset Allocation'!I7,'Asset Allocation'!J7,'Asset Allocation'!K7))</f>
        <v>0.24820000000000003</v>
      </c>
      <c r="C7">
        <f>IF(A7="","",SUM('Asset Allocation'!C7))</f>
        <v>0.1067</v>
      </c>
      <c r="D7">
        <f>IF(A7="","",SUM('Asset Allocation'!D7))</f>
        <v>0</v>
      </c>
      <c r="F7">
        <f>IF(A7="","",SUM('Asset Allocation'!E7))</f>
        <v>5.04E-2</v>
      </c>
      <c r="G7">
        <f>IF(A7="","",SUM('Asset Allocation'!B7))</f>
        <v>0.245</v>
      </c>
      <c r="H7">
        <f t="shared" si="0"/>
        <v>0.3496999999999999</v>
      </c>
    </row>
    <row r="8" spans="1:8" x14ac:dyDescent="0.25">
      <c r="A8" t="str">
        <f>IF(Input!A9="","",Input!A9)</f>
        <v>Sustainable Balanced</v>
      </c>
      <c r="B8">
        <f>IF(A8="","",SUM('Asset Allocation'!F8,'Asset Allocation'!G8,'Asset Allocation'!H8,'Asset Allocation'!I8,'Asset Allocation'!J8,'Asset Allocation'!K8))</f>
        <v>0.1686</v>
      </c>
      <c r="C8">
        <f>IF(A8="","",SUM('Asset Allocation'!C8))</f>
        <v>0.12609999999999999</v>
      </c>
      <c r="D8">
        <f>IF(A8="","",SUM('Asset Allocation'!D8))</f>
        <v>0</v>
      </c>
      <c r="F8">
        <f>IF(A8="","",SUM('Asset Allocation'!E8))</f>
        <v>7.0599999999999996E-2</v>
      </c>
      <c r="G8">
        <f>IF(A8="","",SUM('Asset Allocation'!B8))</f>
        <v>0.31540000000000001</v>
      </c>
      <c r="H8">
        <f t="shared" si="0"/>
        <v>0.31930000000000003</v>
      </c>
    </row>
    <row r="9" spans="1:8" x14ac:dyDescent="0.25">
      <c r="A9" t="str">
        <f>IF(Input!A10="","",Input!A10)</f>
        <v>Sustainable Adventurous</v>
      </c>
      <c r="B9">
        <f>IF(A9="","",SUM('Asset Allocation'!F9,'Asset Allocation'!G9,'Asset Allocation'!H9,'Asset Allocation'!I9,'Asset Allocation'!J9,'Asset Allocation'!K9))</f>
        <v>0.1091</v>
      </c>
      <c r="C9">
        <f>IF(A9="","",SUM('Asset Allocation'!C9))</f>
        <v>0.1845</v>
      </c>
      <c r="D9">
        <f>IF(A9="","",SUM('Asset Allocation'!D9))</f>
        <v>0</v>
      </c>
      <c r="F9">
        <f>IF(A9="","",SUM('Asset Allocation'!E9))</f>
        <v>0.1009</v>
      </c>
      <c r="G9">
        <f>IF(A9="","",SUM('Asset Allocation'!B9))</f>
        <v>0.34560000000000002</v>
      </c>
      <c r="H9">
        <f t="shared" si="0"/>
        <v>0.25990000000000002</v>
      </c>
    </row>
    <row r="10" spans="1:8" x14ac:dyDescent="0.25">
      <c r="A10" t="str">
        <f>IF(Input!A11="","",Input!A11)</f>
        <v>Income Defensive</v>
      </c>
      <c r="B10">
        <f>IF(A10="","",SUM('Asset Allocation'!F10,'Asset Allocation'!G10,'Asset Allocation'!H10,'Asset Allocation'!I10,'Asset Allocation'!J10,'Asset Allocation'!K10))</f>
        <v>0.12890000000000001</v>
      </c>
      <c r="C10">
        <f>IF(A10="","",SUM('Asset Allocation'!C10))</f>
        <v>8.9800000000000005E-2</v>
      </c>
      <c r="D10">
        <f>IF(A10="","",SUM('Asset Allocation'!D10))</f>
        <v>3.49E-2</v>
      </c>
      <c r="F10">
        <f>IF(A10="","",SUM('Asset Allocation'!E10))</f>
        <v>2.9700000000000001E-2</v>
      </c>
      <c r="G10">
        <f>IF(A10="","",SUM('Asset Allocation'!B10))</f>
        <v>4.8799999999999996E-2</v>
      </c>
      <c r="H10">
        <f t="shared" si="0"/>
        <v>0.66789999999999994</v>
      </c>
    </row>
    <row r="11" spans="1:8" x14ac:dyDescent="0.25">
      <c r="A11" t="str">
        <f>IF(Input!A12="","",Input!A12)</f>
        <v>Income Balanced</v>
      </c>
      <c r="B11">
        <f>IF(A11="","",SUM('Asset Allocation'!F11,'Asset Allocation'!G11,'Asset Allocation'!H11,'Asset Allocation'!I11,'Asset Allocation'!J11,'Asset Allocation'!K11))</f>
        <v>0.11410000000000001</v>
      </c>
      <c r="C11">
        <f>IF(A11="","",SUM('Asset Allocation'!C11))</f>
        <v>0.19030000000000002</v>
      </c>
      <c r="D11">
        <f>IF(A11="","",SUM('Asset Allocation'!D11))</f>
        <v>0.10030000000000001</v>
      </c>
      <c r="F11">
        <f>IF(A11="","",SUM('Asset Allocation'!E11))</f>
        <v>5.9699999999999996E-2</v>
      </c>
      <c r="G11">
        <f>IF(A11="","",SUM('Asset Allocation'!B11))</f>
        <v>9.8000000000000004E-2</v>
      </c>
      <c r="H11">
        <f t="shared" si="0"/>
        <v>0.43759999999999999</v>
      </c>
    </row>
    <row r="12" spans="1:8" x14ac:dyDescent="0.25">
      <c r="A12" t="str">
        <f>IF(Input!A13="","",Input!A13)</f>
        <v>Passive Conservative</v>
      </c>
      <c r="B12">
        <f>IF(A12="","",SUM('Asset Allocation'!F12,'Asset Allocation'!G12,'Asset Allocation'!H12,'Asset Allocation'!I12,'Asset Allocation'!J12,'Asset Allocation'!K12))</f>
        <v>0.48849999999999999</v>
      </c>
      <c r="C12">
        <f>IF(A12="","",SUM('Asset Allocation'!C12))</f>
        <v>0.1198</v>
      </c>
      <c r="D12">
        <f>IF(A12="","",SUM('Asset Allocation'!D12))</f>
        <v>0.1003</v>
      </c>
      <c r="F12">
        <f>IF(A12="","",SUM('Asset Allocation'!E12))</f>
        <v>3.9900000000000005E-2</v>
      </c>
      <c r="G12">
        <f>IF(A12="","",SUM('Asset Allocation'!B12))</f>
        <v>9.0299999999999991E-2</v>
      </c>
      <c r="H12">
        <f t="shared" si="0"/>
        <v>0.16120000000000001</v>
      </c>
    </row>
    <row r="13" spans="1:8" x14ac:dyDescent="0.25">
      <c r="A13" t="str">
        <f>IF(Input!A14="","",Input!A14)</f>
        <v>Passive Balanced</v>
      </c>
      <c r="B13">
        <f>IF(A13="","",SUM('Asset Allocation'!F13,'Asset Allocation'!G13,'Asset Allocation'!H13,'Asset Allocation'!I13,'Asset Allocation'!J13,'Asset Allocation'!K13))</f>
        <v>0.34849999999999998</v>
      </c>
      <c r="C13">
        <f>IF(A13="","",SUM('Asset Allocation'!C13))</f>
        <v>0.14980000000000002</v>
      </c>
      <c r="D13">
        <f>IF(A13="","",SUM('Asset Allocation'!D13))</f>
        <v>0.15049999999999999</v>
      </c>
      <c r="F13">
        <f>IF(A13="","",SUM('Asset Allocation'!E13))</f>
        <v>5.9800000000000006E-2</v>
      </c>
      <c r="G13">
        <f>IF(A13="","",SUM('Asset Allocation'!B13))</f>
        <v>0.1103</v>
      </c>
      <c r="H13">
        <f t="shared" si="0"/>
        <v>0.18110000000000015</v>
      </c>
    </row>
    <row r="14" spans="1:8" x14ac:dyDescent="0.25">
      <c r="A14" t="str">
        <f>IF(Input!A15="","",Input!A15)</f>
        <v>Passive Adventurous</v>
      </c>
      <c r="B14">
        <f>IF(A14="","",SUM('Asset Allocation'!F14,'Asset Allocation'!G14,'Asset Allocation'!H14,'Asset Allocation'!I14,'Asset Allocation'!J14,'Asset Allocation'!K14))</f>
        <v>0.23879999999999998</v>
      </c>
      <c r="C14">
        <f>IF(A14="","",SUM('Asset Allocation'!C14))</f>
        <v>0.1797</v>
      </c>
      <c r="D14">
        <f>IF(A14="","",SUM('Asset Allocation'!D14))</f>
        <v>0.1605</v>
      </c>
      <c r="F14">
        <f>IF(A14="","",SUM('Asset Allocation'!E14))</f>
        <v>6.9699999999999998E-2</v>
      </c>
      <c r="G14">
        <f>IF(A14="","",SUM('Asset Allocation'!B14))</f>
        <v>0.17050000000000001</v>
      </c>
      <c r="H14">
        <f t="shared" si="0"/>
        <v>0.18080000000000007</v>
      </c>
    </row>
    <row r="15" spans="1:8" x14ac:dyDescent="0.25">
      <c r="A15" t="str">
        <f>IF(Input!A16="","",Input!A16)</f>
        <v/>
      </c>
      <c r="B15" t="str">
        <f>IF(A15="","",SUM('Asset Allocation'!F15,'Asset Allocation'!G15,'Asset Allocation'!H15,'Asset Allocation'!I15,'Asset Allocation'!J15,'Asset Allocation'!K15))</f>
        <v/>
      </c>
      <c r="C15" t="str">
        <f>IF(A15="","",SUM('Asset Allocation'!C15))</f>
        <v/>
      </c>
      <c r="D15" t="str">
        <f>IF(A15="","",SUM('Asset Allocation'!D15))</f>
        <v/>
      </c>
      <c r="F15" t="str">
        <f>IF(A15="","",SUM('Asset Allocation'!E15))</f>
        <v/>
      </c>
      <c r="G15" t="str">
        <f>IF(A15="","",SUM('Asset Allocation'!B15))</f>
        <v/>
      </c>
      <c r="H15" t="str">
        <f t="shared" si="0"/>
        <v/>
      </c>
    </row>
    <row r="16" spans="1:8" x14ac:dyDescent="0.25">
      <c r="A16" t="str">
        <f>IF(Input!A17="","",Input!A17)</f>
        <v/>
      </c>
      <c r="B16" t="str">
        <f>IF(A16="","",SUM('Asset Allocation'!F16,'Asset Allocation'!G16,'Asset Allocation'!H16,'Asset Allocation'!I16,'Asset Allocation'!J16,'Asset Allocation'!K16))</f>
        <v/>
      </c>
      <c r="C16" t="str">
        <f>IF(A16="","",SUM('Asset Allocation'!C16))</f>
        <v/>
      </c>
      <c r="D16" t="str">
        <f>IF(A16="","",SUM('Asset Allocation'!D16))</f>
        <v/>
      </c>
      <c r="F16" t="str">
        <f>IF(A16="","",SUM('Asset Allocation'!E16))</f>
        <v/>
      </c>
      <c r="G16" t="str">
        <f>IF(A16="","",SUM('Asset Allocation'!B16))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IF(A17="","",SUM('Asset Allocation'!F17,'Asset Allocation'!G17,'Asset Allocation'!H17,'Asset Allocation'!I17,'Asset Allocation'!J17,'Asset Allocation'!K17))</f>
        <v/>
      </c>
      <c r="C17" t="str">
        <f>IF(A17="","",SUM('Asset Allocation'!C17))</f>
        <v/>
      </c>
      <c r="D17" t="str">
        <f>IF(A17="","",SUM('Asset Allocation'!D17))</f>
        <v/>
      </c>
      <c r="F17" t="str">
        <f>IF(A17="","",SUM('Asset Allocation'!E17))</f>
        <v/>
      </c>
      <c r="G17" t="str">
        <f>IF(A17="","",SUM('Asset Allocation'!B17))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IF(A18="","",SUM('Asset Allocation'!F18,'Asset Allocation'!G18,'Asset Allocation'!H18,'Asset Allocation'!I18,'Asset Allocation'!J18,'Asset Allocation'!K18))</f>
        <v/>
      </c>
      <c r="C18" t="str">
        <f>IF(A18="","",SUM('Asset Allocation'!C18))</f>
        <v/>
      </c>
      <c r="D18" t="str">
        <f>IF(A18="","",SUM('Asset Allocation'!D18))</f>
        <v/>
      </c>
      <c r="F18" t="str">
        <f>IF(A18="","",SUM('Asset Allocation'!E18))</f>
        <v/>
      </c>
      <c r="G18" t="str">
        <f>IF(A18="","",SUM('Asset Allocation'!B18))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IF(A19="","",SUM('Asset Allocation'!F19,'Asset Allocation'!G19,'Asset Allocation'!H19,'Asset Allocation'!I19,'Asset Allocation'!J19,'Asset Allocation'!K19))</f>
        <v/>
      </c>
      <c r="C19" t="str">
        <f>IF(A19="","",SUM('Asset Allocation'!C19))</f>
        <v/>
      </c>
      <c r="D19" t="str">
        <f>IF(A19="","",SUM('Asset Allocation'!D19))</f>
        <v/>
      </c>
      <c r="F19" t="str">
        <f>IF(A19="","",SUM('Asset Allocation'!E19))</f>
        <v/>
      </c>
      <c r="G19" t="str">
        <f>IF(A19="","",SUM('Asset Allocation'!B19))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Core Growth Defensive</v>
      </c>
      <c r="B2" s="6">
        <f>IFERROR(IF(A2="","",SUM('Asset Allocation'!G2)/'Broad Asset Allocation'!B2),0)</f>
        <v>1.3191076624636278E-2</v>
      </c>
      <c r="C2" s="6">
        <f>IFERROR(IF(A2="","",SUM('Asset Allocation'!F2)/'Broad Asset Allocation'!B2),0)</f>
        <v>1.7846750727449078E-2</v>
      </c>
      <c r="D2" s="6">
        <f>IFERROR(IF(A2="","",SUM('Asset Allocation'!H2)/'Broad Asset Allocation'!B2),0)</f>
        <v>0.36779825412221151</v>
      </c>
      <c r="E2" s="6">
        <f>IFERROR(IF(A2="","",SUM('Asset Allocation'!I2)/'Broad Asset Allocation'!B2),0)</f>
        <v>0.31173617846750734</v>
      </c>
      <c r="F2" s="6"/>
      <c r="G2" s="6">
        <f>IFERROR(IF(A2="","",SUM('Asset Allocation'!J2)/'Broad Asset Allocation'!B2),0)</f>
        <v>0.19495635305528616</v>
      </c>
      <c r="H2" s="6">
        <f>IFERROR(IF(A2="","",SUM('Asset Allocation'!K2)/'Broad Asset Allocation'!B2),0)</f>
        <v>9.4471387002909801E-2</v>
      </c>
    </row>
    <row r="3" spans="1:8" x14ac:dyDescent="0.25">
      <c r="A3" t="str">
        <f>IF(Input!A4="","",Input!A4)</f>
        <v>Core Growth Conservative</v>
      </c>
      <c r="B3" s="6">
        <f>IFERROR(IF(A3="","",SUM('Asset Allocation'!G3)/'Broad Asset Allocation'!B3),0)</f>
        <v>3.328050713153724E-2</v>
      </c>
      <c r="C3" s="6">
        <f>IFERROR(IF(A3="","",SUM('Asset Allocation'!F3)/'Broad Asset Allocation'!B3),0)</f>
        <v>4.3581616481774957E-2</v>
      </c>
      <c r="D3" s="6">
        <f>IFERROR(IF(A3="","",SUM('Asset Allocation'!H3)/'Broad Asset Allocation'!B3),0)</f>
        <v>0.27945060750132061</v>
      </c>
      <c r="E3" s="6">
        <f>IFERROR(IF(A3="","",SUM('Asset Allocation'!I3)/'Broad Asset Allocation'!B3),0)</f>
        <v>0.40147913365029053</v>
      </c>
      <c r="F3" s="6"/>
      <c r="G3" s="6">
        <f>IFERROR(IF(A3="","",SUM('Asset Allocation'!J3)/'Broad Asset Allocation'!B3),0)</f>
        <v>0.19070258848388799</v>
      </c>
      <c r="H3" s="6">
        <f>IFERROR(IF(A3="","",SUM('Asset Allocation'!K3)/'Broad Asset Allocation'!B3),0)</f>
        <v>5.1505546751188583E-2</v>
      </c>
    </row>
    <row r="4" spans="1:8" x14ac:dyDescent="0.25">
      <c r="A4" t="str">
        <f>IF(Input!A5="","",Input!A5)</f>
        <v>Core Growth Balanced</v>
      </c>
      <c r="B4" s="6">
        <f>IFERROR(IF(A4="","",SUM('Asset Allocation'!G4)/'Broad Asset Allocation'!B4),0)</f>
        <v>7.3179932101093928E-2</v>
      </c>
      <c r="C4" s="6">
        <f>IFERROR(IF(A4="","",SUM('Asset Allocation'!F4)/'Broad Asset Allocation'!B4),0)</f>
        <v>8.4119200301772917E-2</v>
      </c>
      <c r="D4" s="6">
        <f>IFERROR(IF(A4="","",SUM('Asset Allocation'!H4)/'Broad Asset Allocation'!B4),0)</f>
        <v>0.23576009053187477</v>
      </c>
      <c r="E4" s="6">
        <f>IFERROR(IF(A4="","",SUM('Asset Allocation'!I4)/'Broad Asset Allocation'!B4),0)</f>
        <v>0.35156544700113168</v>
      </c>
      <c r="F4" s="6"/>
      <c r="G4" s="6">
        <f>IFERROR(IF(A4="","",SUM('Asset Allocation'!J4)/'Broad Asset Allocation'!B4),0)</f>
        <v>0.16635231987929083</v>
      </c>
      <c r="H4" s="6">
        <f>IFERROR(IF(A4="","",SUM('Asset Allocation'!K4)/'Broad Asset Allocation'!B4),0)</f>
        <v>8.902301018483591E-2</v>
      </c>
    </row>
    <row r="5" spans="1:8" x14ac:dyDescent="0.25">
      <c r="A5" t="str">
        <f>IF(Input!A6="","",Input!A6)</f>
        <v>Core Growth Adventurous</v>
      </c>
      <c r="B5" s="6">
        <f>IFERROR(IF(A5="","",SUM('Asset Allocation'!G5)/'Broad Asset Allocation'!B5),0)</f>
        <v>0.21445978878960192</v>
      </c>
      <c r="C5" s="6">
        <f>IFERROR(IF(A5="","",SUM('Asset Allocation'!F5)/'Broad Asset Allocation'!B5),0)</f>
        <v>0.2575142160844841</v>
      </c>
      <c r="D5" s="6">
        <f>IFERROR(IF(A5="","",SUM('Asset Allocation'!H5)/'Broad Asset Allocation'!B5),0)</f>
        <v>0.15434606011372867</v>
      </c>
      <c r="E5" s="6">
        <f>IFERROR(IF(A5="","",SUM('Asset Allocation'!I5)/'Broad Asset Allocation'!B5),0)</f>
        <v>0.2461413484971568</v>
      </c>
      <c r="F5" s="6"/>
      <c r="G5" s="6">
        <f>IFERROR(IF(A5="","",SUM('Asset Allocation'!J5)/'Broad Asset Allocation'!B5),0)</f>
        <v>0.12753858651502845</v>
      </c>
      <c r="H5" s="6">
        <f>IFERROR(IF(A5="","",SUM('Asset Allocation'!K5)/'Broad Asset Allocation'!B5),0)</f>
        <v>0</v>
      </c>
    </row>
    <row r="6" spans="1:8" x14ac:dyDescent="0.25">
      <c r="A6" t="str">
        <f>IF(Input!A7="","",Input!A7)</f>
        <v>Core Growth Aggressive</v>
      </c>
      <c r="B6" s="6">
        <f>IFERROR(IF(A6="","",SUM('Asset Allocation'!G6)/'Broad Asset Allocation'!B6),0)</f>
        <v>0.35820895522388058</v>
      </c>
      <c r="C6" s="6">
        <f>IFERROR(IF(A6="","",SUM('Asset Allocation'!F6)/'Broad Asset Allocation'!B6),0)</f>
        <v>0.42876526458616016</v>
      </c>
      <c r="D6" s="6">
        <f>IFERROR(IF(A6="","",SUM('Asset Allocation'!H6)/'Broad Asset Allocation'!B6),0)</f>
        <v>8.2767978290366348E-2</v>
      </c>
      <c r="E6" s="6">
        <f>IFERROR(IF(A6="","",SUM('Asset Allocation'!I6)/'Broad Asset Allocation'!B6),0)</f>
        <v>0.13025780189959293</v>
      </c>
      <c r="F6" s="6"/>
      <c r="G6" s="6">
        <f>IFERROR(IF(A6="","",SUM('Asset Allocation'!J6)/'Broad Asset Allocation'!B6),0)</f>
        <v>0</v>
      </c>
      <c r="H6" s="6">
        <f>IFERROR(IF(A6="","",SUM('Asset Allocation'!K6)/'Broad Asset Allocation'!B6),0)</f>
        <v>0</v>
      </c>
    </row>
    <row r="7" spans="1:8" x14ac:dyDescent="0.25">
      <c r="A7" t="str">
        <f>IF(Input!A8="","",Input!A8)</f>
        <v>Sustainable Conservative</v>
      </c>
      <c r="B7" s="6">
        <f>IFERROR(IF(A7="","",SUM('Asset Allocation'!G7)/'Broad Asset Allocation'!B7),0)</f>
        <v>0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</v>
      </c>
      <c r="E7" s="6">
        <f>IFERROR(IF(A7="","",SUM('Asset Allocation'!I7)/'Broad Asset Allocation'!B7),0)</f>
        <v>1</v>
      </c>
      <c r="F7" s="6"/>
      <c r="G7" s="6">
        <f>IFERROR(IF(A7="","",SUM('Asset Allocation'!J7)/'Broad Asset Allocation'!B7),0)</f>
        <v>0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Sustainable Balanced</v>
      </c>
      <c r="B8" s="6">
        <f>IFERROR(IF(A8="","",SUM('Asset Allocation'!G8)/'Broad Asset Allocation'!B8),0)</f>
        <v>0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</v>
      </c>
      <c r="E8" s="6">
        <f>IFERROR(IF(A8="","",SUM('Asset Allocation'!I8)/'Broad Asset Allocation'!B8),0)</f>
        <v>1</v>
      </c>
      <c r="F8" s="6"/>
      <c r="G8" s="6">
        <f>IFERROR(IF(A8="","",SUM('Asset Allocation'!J8)/'Broad Asset Allocation'!B8),0)</f>
        <v>0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Sustainable Adventurous</v>
      </c>
      <c r="B9" s="6">
        <f>IFERROR(IF(A9="","",SUM('Asset Allocation'!G9)/'Broad Asset Allocation'!B9),0)</f>
        <v>0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</v>
      </c>
      <c r="E9" s="6">
        <f>IFERROR(IF(A9="","",SUM('Asset Allocation'!I9)/'Broad Asset Allocation'!B9),0)</f>
        <v>1</v>
      </c>
      <c r="F9" s="6"/>
      <c r="G9" s="6">
        <f>IFERROR(IF(A9="","",SUM('Asset Allocation'!J9)/'Broad Asset Allocation'!B9),0)</f>
        <v>0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Income Defensive</v>
      </c>
      <c r="B10" s="6">
        <f>IFERROR(IF(A10="","",SUM('Asset Allocation'!G10)/'Broad Asset Allocation'!B10),0)</f>
        <v>0</v>
      </c>
      <c r="C10" s="6">
        <f>IFERROR(IF(A10="","",SUM('Asset Allocation'!F10)/'Broad Asset Allocation'!B10),0)</f>
        <v>0.15283165244375482</v>
      </c>
      <c r="D10" s="6">
        <f>IFERROR(IF(A10="","",SUM('Asset Allocation'!H10)/'Broad Asset Allocation'!B10),0)</f>
        <v>0.22963537626066716</v>
      </c>
      <c r="E10" s="6">
        <f>IFERROR(IF(A10="","",SUM('Asset Allocation'!I10)/'Broad Asset Allocation'!B10),0)</f>
        <v>0</v>
      </c>
      <c r="F10" s="6"/>
      <c r="G10" s="6">
        <f>IFERROR(IF(A10="","",SUM('Asset Allocation'!J10)/'Broad Asset Allocation'!B10),0)</f>
        <v>0.61753297129557794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Income Balanced</v>
      </c>
      <c r="B11" s="6">
        <f>IFERROR(IF(A11="","",SUM('Asset Allocation'!G11)/'Broad Asset Allocation'!B11),0)</f>
        <v>0</v>
      </c>
      <c r="C11" s="6">
        <f>IFERROR(IF(A11="","",SUM('Asset Allocation'!F11)/'Broad Asset Allocation'!B11),0)</f>
        <v>0.47677475898334792</v>
      </c>
      <c r="D11" s="6">
        <f>IFERROR(IF(A11="","",SUM('Asset Allocation'!H11)/'Broad Asset Allocation'!B11),0)</f>
        <v>0.17353198948290971</v>
      </c>
      <c r="E11" s="6">
        <f>IFERROR(IF(A11="","",SUM('Asset Allocation'!I11)/'Broad Asset Allocation'!B11),0)</f>
        <v>0</v>
      </c>
      <c r="F11" s="6"/>
      <c r="G11" s="6">
        <f>IFERROR(IF(A11="","",SUM('Asset Allocation'!J11)/'Broad Asset Allocation'!B11),0)</f>
        <v>0.34969325153374237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Passive Conservative</v>
      </c>
      <c r="B12" s="6">
        <f>IFERROR(IF(A12="","",SUM('Asset Allocation'!G12)/'Broad Asset Allocation'!B12),0)</f>
        <v>0</v>
      </c>
      <c r="C12" s="6">
        <f>IFERROR(IF(A12="","",SUM('Asset Allocation'!F12)/'Broad Asset Allocation'!B12),0)</f>
        <v>6.0388945752302976E-2</v>
      </c>
      <c r="D12" s="6">
        <f>IFERROR(IF(A12="","",SUM('Asset Allocation'!H12)/'Broad Asset Allocation'!B12),0)</f>
        <v>0.16192425793244627</v>
      </c>
      <c r="E12" s="6">
        <f>IFERROR(IF(A12="","",SUM('Asset Allocation'!I12)/'Broad Asset Allocation'!B12),0)</f>
        <v>0.36827021494370515</v>
      </c>
      <c r="F12" s="6"/>
      <c r="G12" s="6">
        <f>IFERROR(IF(A12="","",SUM('Asset Allocation'!J12)/'Broad Asset Allocation'!B12),0)</f>
        <v>0.40941658137154557</v>
      </c>
      <c r="H12" s="6">
        <f>IFERROR(IF(A12="","",SUM('Asset Allocation'!K12)/'Broad Asset Allocation'!B12),0)</f>
        <v>0</v>
      </c>
    </row>
    <row r="13" spans="1:8" x14ac:dyDescent="0.25">
      <c r="A13" t="str">
        <f>IF(Input!A14="","",Input!A14)</f>
        <v>Passive Balanced</v>
      </c>
      <c r="B13" s="6">
        <f>IFERROR(IF(A13="","",SUM('Asset Allocation'!G13)/'Broad Asset Allocation'!B13),0)</f>
        <v>0</v>
      </c>
      <c r="C13" s="6">
        <f>IFERROR(IF(A13="","",SUM('Asset Allocation'!F13)/'Broad Asset Allocation'!B13),0)</f>
        <v>0.11305595408895265</v>
      </c>
      <c r="D13" s="6">
        <f>IFERROR(IF(A13="","",SUM('Asset Allocation'!H13)/'Broad Asset Allocation'!B13),0)</f>
        <v>0.22697274031563847</v>
      </c>
      <c r="E13" s="6">
        <f>IFERROR(IF(A13="","",SUM('Asset Allocation'!I13)/'Broad Asset Allocation'!B13),0)</f>
        <v>0.31563845050215211</v>
      </c>
      <c r="F13" s="6"/>
      <c r="G13" s="6">
        <f>IFERROR(IF(A13="","",SUM('Asset Allocation'!J13)/'Broad Asset Allocation'!B13),0)</f>
        <v>0.34433285509325684</v>
      </c>
      <c r="H13" s="6">
        <f>IFERROR(IF(A13="","",SUM('Asset Allocation'!K13)/'Broad Asset Allocation'!B13),0)</f>
        <v>0</v>
      </c>
    </row>
    <row r="14" spans="1:8" x14ac:dyDescent="0.25">
      <c r="A14" t="str">
        <f>IF(Input!A15="","",Input!A15)</f>
        <v>Passive Adventurous</v>
      </c>
      <c r="B14" s="6">
        <f>IFERROR(IF(A14="","",SUM('Asset Allocation'!G14)/'Broad Asset Allocation'!B14),0)</f>
        <v>0</v>
      </c>
      <c r="C14" s="6">
        <f>IFERROR(IF(A14="","",SUM('Asset Allocation'!F14)/'Broad Asset Allocation'!B14),0)</f>
        <v>0.24748743718592967</v>
      </c>
      <c r="D14" s="6">
        <f>IFERROR(IF(A14="","",SUM('Asset Allocation'!H14)/'Broad Asset Allocation'!B14),0)</f>
        <v>8.2495812395309884E-2</v>
      </c>
      <c r="E14" s="6">
        <f>IFERROR(IF(A14="","",SUM('Asset Allocation'!I14)/'Broad Asset Allocation'!B14),0)</f>
        <v>0.25125628140703521</v>
      </c>
      <c r="F14" s="6"/>
      <c r="G14" s="6">
        <f>IFERROR(IF(A14="","",SUM('Asset Allocation'!J14)/'Broad Asset Allocation'!B14),0)</f>
        <v>0.41876046901172537</v>
      </c>
      <c r="H14" s="6">
        <f>IFERROR(IF(A14="","",SUM('Asset Allocation'!K14)/'Broad Asset Allocation'!B14),0)</f>
        <v>0</v>
      </c>
    </row>
    <row r="15" spans="1:8" x14ac:dyDescent="0.25">
      <c r="A15" t="str">
        <f>IF(Input!A16="","",Input!A16)</f>
        <v/>
      </c>
      <c r="B15" s="6" t="str">
        <f>IFERROR(IF(A15="","",SUM('Asset Allocation'!G15)/'Broad Asset Allocation'!B15),0)</f>
        <v/>
      </c>
      <c r="C15" s="6" t="str">
        <f>IFERROR(IF(A15="","",SUM('Asset Allocation'!F15)/'Broad Asset Allocation'!B15),0)</f>
        <v/>
      </c>
      <c r="D15" s="6" t="str">
        <f>IFERROR(IF(A15="","",SUM('Asset Allocation'!H15)/'Broad Asset Allocation'!B15),0)</f>
        <v/>
      </c>
      <c r="E15" s="6" t="str">
        <f>IFERROR(IF(A15="","",SUM('Asset Allocation'!I15)/'Broad Asset Allocation'!B15),0)</f>
        <v/>
      </c>
      <c r="F15" s="6"/>
      <c r="G15" s="6" t="str">
        <f>IFERROR(IF(A15="","",SUM('Asset Allocation'!J15)/'Broad Asset Allocation'!B15),0)</f>
        <v/>
      </c>
      <c r="H15" s="6" t="str">
        <f>IFERROR(IF(A15="","",SUM('Asset Allocation'!K15)/'Broad Asset Allocation'!B15),0)</f>
        <v/>
      </c>
    </row>
    <row r="16" spans="1:8" x14ac:dyDescent="0.25">
      <c r="A16" t="str">
        <f>IF(Input!A17="","",Input!A17)</f>
        <v/>
      </c>
      <c r="B16" s="6" t="str">
        <f>IFERROR(IF(A16="","",SUM('Asset Allocation'!G16)/'Broad Asset Allocation'!B16),0)</f>
        <v/>
      </c>
      <c r="C16" s="6" t="str">
        <f>IFERROR(IF(A16="","",SUM('Asset Allocation'!F16)/'Broad Asset Allocation'!B16),0)</f>
        <v/>
      </c>
      <c r="D16" s="6" t="str">
        <f>IFERROR(IF(A16="","",SUM('Asset Allocation'!H16)/'Broad Asset Allocation'!B16),0)</f>
        <v/>
      </c>
      <c r="E16" s="6" t="str">
        <f>IFERROR(IF(A16="","",SUM('Asset Allocation'!I16)/'Broad Asset Allocation'!B16),0)</f>
        <v/>
      </c>
      <c r="F16" s="6"/>
      <c r="G16" s="6" t="str">
        <f>IFERROR(IF(A16="","",SUM('Asset Allocation'!J16)/'Broad Asset Allocation'!B16),0)</f>
        <v/>
      </c>
      <c r="H16" s="6" t="str">
        <f>IFERROR(IF(A16="","",SUM('Asset Allocation'!K16)/'Broad Asset Allocation'!B16),0)</f>
        <v/>
      </c>
    </row>
    <row r="17" spans="1:8" x14ac:dyDescent="0.25">
      <c r="A17" t="str">
        <f>IF(Input!A18="","",Input!A18)</f>
        <v/>
      </c>
      <c r="B17" s="6" t="str">
        <f>IFERROR(IF(A17="","",SUM('Asset Allocation'!G17)/'Broad Asset Allocation'!B17),0)</f>
        <v/>
      </c>
      <c r="C17" s="6" t="str">
        <f>IFERROR(IF(A17="","",SUM('Asset Allocation'!F17)/'Broad Asset Allocation'!B17),0)</f>
        <v/>
      </c>
      <c r="D17" s="6" t="str">
        <f>IFERROR(IF(A17="","",SUM('Asset Allocation'!H17)/'Broad Asset Allocation'!B17),0)</f>
        <v/>
      </c>
      <c r="E17" s="6" t="str">
        <f>IFERROR(IF(A17="","",SUM('Asset Allocation'!I17)/'Broad Asset Allocation'!B17),0)</f>
        <v/>
      </c>
      <c r="F17" s="6"/>
      <c r="G17" s="6" t="str">
        <f>IFERROR(IF(A17="","",SUM('Asset Allocation'!J17)/'Broad Asset Allocation'!B17),0)</f>
        <v/>
      </c>
      <c r="H17" s="6" t="str">
        <f>IFERROR(IF(A17="","",SUM('Asset Allocation'!K17)/'Broad Asset Allocation'!B17),0)</f>
        <v/>
      </c>
    </row>
    <row r="18" spans="1:8" x14ac:dyDescent="0.25">
      <c r="A18" t="str">
        <f>IF(Input!A19="","",Input!A19)</f>
        <v/>
      </c>
      <c r="B18" s="6" t="str">
        <f>IFERROR(IF(A18="","",SUM('Asset Allocation'!G18)/'Broad Asset Allocation'!B18),0)</f>
        <v/>
      </c>
      <c r="C18" s="6" t="str">
        <f>IFERROR(IF(A18="","",SUM('Asset Allocation'!F18)/'Broad Asset Allocation'!B18),0)</f>
        <v/>
      </c>
      <c r="D18" s="6" t="str">
        <f>IFERROR(IF(A18="","",SUM('Asset Allocation'!H18)/'Broad Asset Allocation'!B18),0)</f>
        <v/>
      </c>
      <c r="E18" s="6" t="str">
        <f>IFERROR(IF(A18="","",SUM('Asset Allocation'!I18)/'Broad Asset Allocation'!B18),0)</f>
        <v/>
      </c>
      <c r="F18" s="6"/>
      <c r="G18" s="6" t="str">
        <f>IFERROR(IF(A18="","",SUM('Asset Allocation'!J18)/'Broad Asset Allocation'!B18),0)</f>
        <v/>
      </c>
      <c r="H18" s="6" t="str">
        <f>IFERROR(IF(A18="","",SUM('Asset Allocation'!K18)/'Broad Asset Allocation'!B18),0)</f>
        <v/>
      </c>
    </row>
    <row r="19" spans="1:8" x14ac:dyDescent="0.25">
      <c r="A19" t="str">
        <f>IF(Input!A20="","",Input!A20)</f>
        <v/>
      </c>
      <c r="B19" s="6" t="str">
        <f>IFERROR(IF(A19="","",SUM('Asset Allocation'!G19)/'Broad Asset Allocation'!B19),0)</f>
        <v/>
      </c>
      <c r="C19" s="6" t="str">
        <f>IFERROR(IF(A19="","",SUM('Asset Allocation'!F19)/'Broad Asset Allocation'!B19),0)</f>
        <v/>
      </c>
      <c r="D19" s="6" t="str">
        <f>IFERROR(IF(A19="","",SUM('Asset Allocation'!H19)/'Broad Asset Allocation'!B19),0)</f>
        <v/>
      </c>
      <c r="E19" s="6" t="str">
        <f>IFERROR(IF(A19="","",SUM('Asset Allocation'!I19)/'Broad Asset Allocation'!B19),0)</f>
        <v/>
      </c>
      <c r="F19" s="6"/>
      <c r="G19" s="6" t="str">
        <f>IFERROR(IF(A19="","",SUM('Asset Allocation'!J19)/'Broad Asset Allocation'!B19),0)</f>
        <v/>
      </c>
      <c r="H19" s="6" t="str">
        <f>IFERROR(IF(A19="","",SUM('Asset Allocation'!K19)/'Broad Asset Allocation'!B19),0)</f>
        <v/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Core Growth Defensive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Core Growth Conservative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Core Growth Balanced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Core Growth Adventurous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Core Growth Aggressive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Sustainable Conservative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Sustainable Balanced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Sustainable Adventurous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Income Defensive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Income Balanced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Passive Conservative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Passive Balanced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Passive Adventurous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/>
      </c>
      <c r="H15" t="str">
        <f>IFERROR(IF(A15="","",SUM('Asset Allocation'!C15)/'Broad Asset Allocation'!C15),0)</f>
        <v/>
      </c>
    </row>
    <row r="16" spans="1:8" x14ac:dyDescent="0.25">
      <c r="A16" t="str">
        <f>IF(Input!A17="","",Input!A17)</f>
        <v/>
      </c>
      <c r="H16" t="str">
        <f>IFERROR(IF(A16="","",SUM('Asset Allocation'!C16)/'Broad Asset Allocation'!C16),0)</f>
        <v/>
      </c>
    </row>
    <row r="17" spans="1:8" x14ac:dyDescent="0.25">
      <c r="A17" t="str">
        <f>IF(Input!A18="","",Input!A18)</f>
        <v/>
      </c>
      <c r="H17" t="str">
        <f>IFERROR(IF(A17="","",SUM('Asset Allocation'!C17)/'Broad Asset Allocation'!C17),0)</f>
        <v/>
      </c>
    </row>
    <row r="18" spans="1:8" x14ac:dyDescent="0.25">
      <c r="A18" t="str">
        <f>IF(Input!A19="","",Input!A19)</f>
        <v/>
      </c>
      <c r="H18" t="str">
        <f>IFERROR(IF(A18="","",SUM('Asset Allocation'!C18)/'Broad Asset Allocation'!C18),0)</f>
        <v/>
      </c>
    </row>
    <row r="19" spans="1:8" x14ac:dyDescent="0.25">
      <c r="A19" t="str">
        <f>IF(Input!A20="","",Input!A20)</f>
        <v/>
      </c>
      <c r="H19" t="str">
        <f>IFERROR(IF(A19="","",SUM('Asset Allocation'!C19)/'Broad Asset Allocation'!C19),0)</f>
        <v/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Core Growth Defensive</v>
      </c>
      <c r="C1" s="1" t="str">
        <v>Core Growth Conservative</v>
      </c>
      <c r="D1" t="str">
        <v>Core Growth Balanced</v>
      </c>
      <c r="E1" t="str">
        <v>Core Growth Adventurous</v>
      </c>
      <c r="F1" t="str">
        <v>Core Growth Aggressive</v>
      </c>
      <c r="G1" t="str">
        <v>Sustainable Conservative</v>
      </c>
      <c r="H1" t="str">
        <v>Sustainable Balanced</v>
      </c>
      <c r="I1" t="str">
        <v>Sustainable Adventurous</v>
      </c>
      <c r="J1" t="str">
        <v>Income Defensive</v>
      </c>
      <c r="K1" t="str">
        <v>Income Balanced</v>
      </c>
      <c r="L1" t="str">
        <v>Passive Conservative</v>
      </c>
      <c r="M1" t="str">
        <v>Passive Balanced</v>
      </c>
      <c r="N1" t="str">
        <v>Passive Adventurous</v>
      </c>
      <c r="O1" t="str">
        <v/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2023-12-13T20:53:50Z</dcterms:modified>
</cp:coreProperties>
</file>