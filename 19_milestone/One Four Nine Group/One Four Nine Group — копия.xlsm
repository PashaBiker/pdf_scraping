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<sst xmlns="http://schemas.openxmlformats.org/spreadsheetml/2006/main" count="145" uniqueCount="85">
  <si>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</si>
  <si>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</si>
  <si>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</si>
  <si>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</si>
  <si>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</si>
  <si>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</si>
  <si>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</si>
  <si>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</si>
  <si>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</si>
  <si>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</si>
  <si>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</si>
  <si>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</si>
  <si>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</si>
  <si>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</si>
  <si>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</si>
  <si>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</si>
  <si>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</si>
  <si>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</si>
  <si>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</si>
  <si>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</si>
  <si>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</si>
  <si>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</si>
  <si>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</si>
  <si>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</si>
  <si>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</si>
  <si>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</si>
  <si>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</si>
  <si>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</si>
  <si>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</si>
  <si>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</si>
  <si>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</si>
  <si>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</si>
  <si>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</si>
  <si>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</si>
  <si>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</si>
  <si>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</si>
  <si>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</si>
  <si>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</si>
  <si>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</si>
  <si>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</si>
  <si>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</si>
  <si>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</si>
  <si>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</si>
  <si>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</si>
  <si>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</si>
  <si>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</si>
  <si>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</si>
  <si>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</si>
  <si>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</si>
  <si>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</si>
  <si>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</si>
  <si>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</si>
  <si>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</si>
  <si>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</si>
  <si>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</si>
  <si>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</si>
  <si>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</si>
  <si>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</si>
  <si>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Defensive Model Factsheet</t>
  </si>
  <si>
    <t>Cautious Model Factsheet</t>
  </si>
  <si>
    <t>Balanced Model Factsheet</t>
  </si>
  <si>
    <t>Growth Model Factsheet</t>
  </si>
  <si>
    <t>Adventurous Model Factsheet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</si>
  <si>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</si>
  <si>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</si>
  <si>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</si>
  <si>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</si>
  <si>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</si>
  <si>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</si>
  <si>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</si>
  <si>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</si>
  <si>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</si>
  <si>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</si>
  <si>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</si>
  <si>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</si>
  <si>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</si>
  <si>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</si>
  <si>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</si>
  <si>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</si>
  <si>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https://www.onefourninegroup.co.uk/wp-content/uploads/2023/10/Investment-OFNPM-Sustainable-Defensive-Factsheet-September-2023.pdf</t>
  </si>
  <si>
    <t>https://www.onefourninegroup.co.uk/wp-content/uploads/2023/10/Investment-OFNPM-Income-Cautious-Factsheet-September-2023.pdf</t>
  </si>
  <si>
    <t>https://www.onefourninegroup.co.uk/wp-content/uploads/2023/10/Investment-OFNPM-Income-Balanced-Factsheet-September-2023.pdf</t>
  </si>
  <si>
    <t>https://www.onefourninegroup.co.uk/wp-content/uploads/2023/10/Investment-OFNPM-Income-Growth-Factsheet-September-2023.pdf</t>
  </si>
  <si>
    <t>https://www.onefourninegroup.co.uk/wp-content/uploads/2023/10/Investment-OFNPM-Sustainable-Adventurous-Factsheet-September-2023.pdf</t>
  </si>
  <si>
    <t>Real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</si>
</sst>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topLeftCell="A10" workbookViewId="0">
      <selection activeCell="B8" sqref="B8:B20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https://www.onefourninegroup.co.uk/wp-content/uploads/2023/10/Investment-OFNPM-Sustainable-Defensive-Factsheet-September-2023.pdf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https://www.onefourninegroup.co.uk/wp-content/uploads/2023/10/Investment-OFNPM-Income-Cautious-Factsheet-September-2023.pdf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https://www.onefourninegroup.co.uk/wp-content/uploads/2023/10/Investment-OFNPM-Income-Balanced-Factsheet-September-2023.pdf</v>
      </c>
    </row>
    <row r="6" spans="1:10" x14ac:dyDescent="0.25">
      <c r="A6" t="s">
        <v>38</v>
      </c>
      <c r="B6" t="str">
        <f>'PDF Scraping'!D5</f>
        <v>https://www.onefourninegroup.co.uk/wp-content/uploads/2023/10/Investment-OFNPM-Income-Growth-Factsheet-September-2023.pdf</v>
      </c>
    </row>
    <row r="7" spans="1:10" x14ac:dyDescent="0.25">
      <c r="A7" t="s">
        <v>39</v>
      </c>
      <c r="B7" t="str">
        <f>'PDF Scraping'!D6</f>
        <v>https://www.onefourninegroup.co.uk/wp-content/uploads/2023/10/Investment-OFNPM-Sustainable-Adventurous-Factsheet-September-2023.pdf</v>
      </c>
    </row>
    <row r="8" spans="1:10" x14ac:dyDescent="0.25">
      <c r="A8" t="s">
        <v>40</v>
      </c>
      <c r="B8" t="str">
        <f>'PDF Scraping'!D7</f>
        <v>https://www.onefourninegroup.co.uk/wp-content/uploads/2023/10/Investment-OFNPM-Sustainable-Defensive-Factsheet-September-2023.pdf</v>
      </c>
    </row>
    <row r="9" spans="1:10" x14ac:dyDescent="0.25">
      <c r="A9" t="s">
        <v>41</v>
      </c>
      <c r="B9" t="str">
        <f>'PDF Scraping'!D8</f>
        <v>https://www.onefourninegroup.co.uk/wp-content/uploads/2023/10/Investment-OFNPM-Income-Cautious-Factsheet-September-2023.pdf</v>
      </c>
    </row>
    <row r="10" spans="1:10" x14ac:dyDescent="0.25">
      <c r="A10" t="s">
        <v>42</v>
      </c>
      <c r="B10" t="str">
        <f>'PDF Scraping'!D9</f>
        <v>https://www.onefourninegroup.co.uk/wp-content/uploads/2023/10/Investment-OFNPM-Income-Balanced-Factsheet-September-2023.pdf</v>
      </c>
    </row>
    <row r="11" spans="1:10" x14ac:dyDescent="0.25">
      <c r="A11" t="s">
        <v>43</v>
      </c>
      <c r="B11" t="str">
        <f>'PDF Scraping'!D10</f>
        <v>https://www.onefourninegroup.co.uk/wp-content/uploads/2023/10/Investment-OFNPM-Income-Growth-Factsheet-September-2023.pdf</v>
      </c>
    </row>
    <row r="12" spans="1:10" x14ac:dyDescent="0.25">
      <c r="A12" t="s">
        <v>44</v>
      </c>
      <c r="B12" t="str">
        <f>'PDF Scraping'!D11</f>
        <v>https://www.onefourninegroup.co.uk/wp-content/uploads/2023/10/Investment-OFNPM-Sustainable-Adventurous-Factsheet-September-2023.pdf</v>
      </c>
    </row>
    <row r="13" spans="1:10" x14ac:dyDescent="0.25">
      <c r="A13" t="s">
        <v>45</v>
      </c>
      <c r="B13" t="str">
        <f>'PDF Scraping'!D12</f>
        <v>https://www.onefourninegroup.co.uk/wp-content/uploads/2023/10/Investment-OFNPM-Sustainable-Defensive-Factsheet-September-2023.pdf</v>
      </c>
    </row>
    <row r="14" spans="1:10" x14ac:dyDescent="0.25">
      <c r="A14" t="s">
        <v>46</v>
      </c>
      <c r="B14" t="str">
        <f>'PDF Scraping'!D13</f>
        <v>https://www.onefourninegroup.co.uk/wp-content/uploads/2023/10/Investment-OFNPM-Income-Cautious-Factsheet-September-2023.pdf</v>
      </c>
    </row>
    <row r="15" spans="1:10" x14ac:dyDescent="0.25">
      <c r="A15" t="s">
        <v>47</v>
      </c>
      <c r="B15" t="str">
        <f>'PDF Scraping'!D14</f>
        <v>https://www.onefourninegroup.co.uk/wp-content/uploads/2023/10/Investment-OFNPM-Income-Balanced-Factsheet-September-2023.pdf</v>
      </c>
    </row>
    <row r="16" spans="1:10" x14ac:dyDescent="0.25">
      <c r="A16" t="s">
        <v>48</v>
      </c>
      <c r="B16" t="str">
        <f>'PDF Scraping'!D15</f>
        <v>https://www.onefourninegroup.co.uk/wp-content/uploads/2023/10/Investment-OFNPM-Income-Growth-Factsheet-September-2023.pdf</v>
      </c>
    </row>
    <row r="17" spans="1:2" x14ac:dyDescent="0.25">
      <c r="A17" t="s">
        <v>49</v>
      </c>
      <c r="B17" t="str">
        <f>'PDF Scraping'!D16</f>
        <v>https://www.onefourninegroup.co.uk/wp-content/uploads/2023/10/Investment-OFNPM-Sustainable-Adventurous-Factsheet-September-2023.pdf</v>
      </c>
    </row>
    <row r="18" spans="1:2" x14ac:dyDescent="0.25">
      <c r="A18" t="s">
        <v>50</v>
      </c>
      <c r="B18" t="str">
        <f>'PDF Scraping'!D17</f>
        <v>https://www.onefourninegroup.co.uk/wp-content/uploads/2023/10/Investment-OFNPM-Income-Cautious-Factsheet-September-2023.pdf</v>
      </c>
    </row>
    <row r="19" spans="1:2" x14ac:dyDescent="0.25">
      <c r="A19" t="s">
        <v>51</v>
      </c>
      <c r="B19" t="str">
        <f>'PDF Scraping'!D18</f>
        <v>https://www.onefourninegroup.co.uk/wp-content/uploads/2023/10/Investment-OFNPM-Income-Balanced-Factsheet-September-2023.pdf</v>
      </c>
    </row>
    <row r="20" spans="1:2" x14ac:dyDescent="0.25">
      <c r="A20" t="s">
        <v>52</v>
      </c>
      <c r="B20" t="str">
        <f>'PDF Scraping'!D19</f>
        <v>https://www.onefourninegroup.co.uk/wp-content/uploads/2023/10/Investment-OFNPM-Income-Growth-Factsheet-September-2023.pdf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B13" sqref="B13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63</v>
      </c>
      <c r="D1" s="10" t="s">
        <v>64</v>
      </c>
      <c r="E1" s="10" t="s">
        <v>65</v>
      </c>
      <c r="F1" t="s">
        <v>66</v>
      </c>
      <c r="G1" t="s">
        <v>67</v>
      </c>
    </row>
    <row r="2" spans="1:9" x14ac:dyDescent="0.25">
      <c r="A2" t="str">
        <f>IF(Input!A3="","",Input!A3)</f>
        <v>Active Defensive Model</v>
      </c>
      <c r="B2" s="1">
        <v>45199</v>
      </c>
      <c r="C2" s="10">
        <v>2E-3</v>
      </c>
      <c r="D2" s="10">
        <v>4.4000000000000003E-3</v>
      </c>
      <c r="E2" s="10">
        <v>1.1999999999999999E-3</v>
      </c>
      <c r="F2" s="5">
        <v>5.8200000000000002E-2</v>
      </c>
      <c r="G2" s="5"/>
      <c r="H2" s="5"/>
      <c r="I2" s="5"/>
    </row>
    <row r="3" spans="1:9" x14ac:dyDescent="0.25">
      <c r="A3" t="str">
        <f>IF(Input!A4="","",Input!A4)</f>
        <v>Active Cautious Model</v>
      </c>
      <c r="B3" s="1">
        <v>45199</v>
      </c>
      <c r="C3" s="10">
        <v>2E-3</v>
      </c>
      <c r="D3" s="10">
        <v>5.1000000000000004E-3</v>
      </c>
      <c r="E3" s="10">
        <v>-2E-3</v>
      </c>
      <c r="F3" s="5">
        <v>6.9000000000000006E-2</v>
      </c>
      <c r="G3" s="5"/>
      <c r="H3" s="5"/>
      <c r="I3" s="5"/>
    </row>
    <row r="4" spans="1:9" x14ac:dyDescent="0.25">
      <c r="A4" t="str">
        <f>IF(Input!A5="","",Input!A5)</f>
        <v>Active Balanced Model</v>
      </c>
      <c r="B4" s="1">
        <v>45199</v>
      </c>
      <c r="C4" s="10">
        <v>2E-3</v>
      </c>
      <c r="D4" s="10">
        <v>5.7999999999999996E-3</v>
      </c>
      <c r="E4" s="10">
        <v>-3.4000000000000002E-3</v>
      </c>
      <c r="F4" s="5">
        <v>7.8799999999999995E-2</v>
      </c>
      <c r="G4" s="5"/>
      <c r="H4" s="5"/>
      <c r="I4" s="5"/>
    </row>
    <row r="5" spans="1:9" x14ac:dyDescent="0.25">
      <c r="A5" t="str">
        <f>IF(Input!A6="","",Input!A6)</f>
        <v>Active Growth Model</v>
      </c>
      <c r="B5" s="1">
        <v>45199</v>
      </c>
      <c r="C5" s="10">
        <v>2E-3</v>
      </c>
      <c r="D5" s="10">
        <v>6.4000000000000003E-3</v>
      </c>
      <c r="E5" s="10">
        <v>-4.5999999999999999E-3</v>
      </c>
      <c r="F5" s="5">
        <v>8.5600000000000009E-2</v>
      </c>
      <c r="G5" s="5"/>
      <c r="H5" s="5"/>
      <c r="I5" s="5"/>
    </row>
    <row r="6" spans="1:9" x14ac:dyDescent="0.25">
      <c r="A6" t="str">
        <f>IF(Input!A7="","",Input!A7)</f>
        <v>Active Adventurous Model</v>
      </c>
      <c r="B6" s="1">
        <v>45199</v>
      </c>
      <c r="C6" s="10">
        <v>2E-3</v>
      </c>
      <c r="D6" s="10">
        <v>8.1000000000000013E-3</v>
      </c>
      <c r="E6" s="10">
        <v>-1.2E-2</v>
      </c>
      <c r="F6" s="5">
        <v>7.2900000000000006E-2</v>
      </c>
      <c r="G6" s="5"/>
      <c r="H6" s="5"/>
      <c r="I6" s="5"/>
    </row>
    <row r="7" spans="1:9" x14ac:dyDescent="0.25">
      <c r="A7" t="str">
        <f>IF(Input!A8="","",Input!A8)</f>
        <v>Passive Defensive Model</v>
      </c>
      <c r="B7" s="1">
        <v>45199</v>
      </c>
      <c r="C7" s="10">
        <v>2E-3</v>
      </c>
      <c r="D7" s="10">
        <v>4.4000000000000003E-3</v>
      </c>
      <c r="E7" s="10">
        <v>1.1999999999999999E-3</v>
      </c>
      <c r="F7" s="5">
        <v>5.8200000000000002E-2</v>
      </c>
      <c r="G7" s="5"/>
      <c r="H7" s="5"/>
      <c r="I7" s="5"/>
    </row>
    <row r="8" spans="1:9" x14ac:dyDescent="0.25">
      <c r="A8" t="str">
        <f>IF(Input!A9="","",Input!A9)</f>
        <v>Passive Cautious Model</v>
      </c>
      <c r="B8" s="1">
        <v>45199</v>
      </c>
      <c r="C8" s="10">
        <v>2E-3</v>
      </c>
      <c r="D8" s="10">
        <v>5.1000000000000004E-3</v>
      </c>
      <c r="E8" s="10">
        <v>-2E-3</v>
      </c>
      <c r="F8" s="5">
        <v>6.9000000000000006E-2</v>
      </c>
      <c r="G8" s="5"/>
      <c r="H8" s="5"/>
      <c r="I8" s="5"/>
    </row>
    <row r="9" spans="1:9" x14ac:dyDescent="0.25">
      <c r="A9" t="str">
        <f>IF(Input!A10="","",Input!A10)</f>
        <v>Passive Balanced Model</v>
      </c>
      <c r="B9" s="1">
        <v>45199</v>
      </c>
      <c r="C9" s="10">
        <v>2E-3</v>
      </c>
      <c r="D9" s="10">
        <v>5.7999999999999996E-3</v>
      </c>
      <c r="E9" s="10">
        <v>-3.4000000000000002E-3</v>
      </c>
      <c r="F9" s="5">
        <v>7.8799999999999995E-2</v>
      </c>
      <c r="G9" s="5"/>
      <c r="H9" s="5"/>
      <c r="I9" s="5"/>
    </row>
    <row r="10" spans="1:9" x14ac:dyDescent="0.25">
      <c r="A10" t="str">
        <f>IF(Input!A11="","",Input!A11)</f>
        <v>Passive Growth Model</v>
      </c>
      <c r="B10" s="1">
        <v>45199</v>
      </c>
      <c r="C10" s="10">
        <v>2E-3</v>
      </c>
      <c r="D10" s="10">
        <v>6.4000000000000003E-3</v>
      </c>
      <c r="E10" s="10">
        <v>-4.5999999999999999E-3</v>
      </c>
      <c r="F10" s="5">
        <v>8.5600000000000009E-2</v>
      </c>
      <c r="G10" s="5"/>
      <c r="H10" s="5"/>
      <c r="I10" s="5"/>
    </row>
    <row r="11" spans="1:9" x14ac:dyDescent="0.25">
      <c r="A11" t="str">
        <f>IF(Input!A12="","",Input!A12)</f>
        <v>Passive Adventurous Model</v>
      </c>
      <c r="B11" s="1">
        <v>45199</v>
      </c>
      <c r="C11" s="10">
        <v>2E-3</v>
      </c>
      <c r="D11" s="10">
        <v>8.1000000000000013E-3</v>
      </c>
      <c r="E11" s="10">
        <v>-1.2E-2</v>
      </c>
      <c r="F11" s="5">
        <v>7.2900000000000006E-2</v>
      </c>
      <c r="G11" s="5"/>
      <c r="H11" s="5"/>
      <c r="I11" s="5"/>
    </row>
    <row r="12" spans="1:9" x14ac:dyDescent="0.25">
      <c r="A12" t="str">
        <f>IF(Input!A13="","",Input!A13)</f>
        <v>Sustainable Defensive Model</v>
      </c>
      <c r="B12" s="1">
        <v>45199</v>
      </c>
      <c r="C12" s="10">
        <v>2E-3</v>
      </c>
      <c r="D12" s="10">
        <v>4.4000000000000003E-3</v>
      </c>
      <c r="E12" s="10">
        <v>1.1999999999999999E-3</v>
      </c>
      <c r="F12" s="5">
        <v>5.8200000000000002E-2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>
        <v>45199</v>
      </c>
      <c r="C13" s="10">
        <v>2E-3</v>
      </c>
      <c r="D13" s="10">
        <v>5.1000000000000004E-3</v>
      </c>
      <c r="E13" s="10">
        <v>-2E-3</v>
      </c>
      <c r="F13" s="5">
        <v>6.9000000000000006E-2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>
        <v>45199</v>
      </c>
      <c r="C14" s="10">
        <v>2E-3</v>
      </c>
      <c r="D14" s="10">
        <v>5.7999999999999996E-3</v>
      </c>
      <c r="E14" s="10">
        <v>-3.4000000000000002E-3</v>
      </c>
      <c r="F14" s="5">
        <v>7.8799999999999995E-2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>
        <v>45199</v>
      </c>
      <c r="C15" s="10">
        <v>2E-3</v>
      </c>
      <c r="D15" s="10">
        <v>6.4000000000000003E-3</v>
      </c>
      <c r="E15" s="10">
        <v>-4.5999999999999999E-3</v>
      </c>
      <c r="F15" s="5">
        <v>8.5600000000000009E-2</v>
      </c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>
        <v>45199</v>
      </c>
      <c r="C16" s="10">
        <v>2E-3</v>
      </c>
      <c r="D16" s="10">
        <v>8.1000000000000013E-3</v>
      </c>
      <c r="E16" s="10">
        <v>-1.2E-2</v>
      </c>
      <c r="F16" s="5">
        <v>7.2900000000000006E-2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>
        <v>45199</v>
      </c>
      <c r="C17" s="10">
        <v>2E-3</v>
      </c>
      <c r="D17" s="10">
        <v>5.1000000000000004E-3</v>
      </c>
      <c r="E17" s="10">
        <v>-2E-3</v>
      </c>
      <c r="F17" s="5">
        <v>6.9000000000000006E-2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>
        <v>45199</v>
      </c>
      <c r="C18" s="10">
        <v>2E-3</v>
      </c>
      <c r="D18" s="10">
        <v>5.7999999999999996E-3</v>
      </c>
      <c r="E18" s="10">
        <v>-3.4000000000000002E-3</v>
      </c>
      <c r="F18" s="5">
        <v>7.8799999999999995E-2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>
        <v>45199</v>
      </c>
      <c r="C19" s="10">
        <v>2E-3</v>
      </c>
      <c r="D19" s="10">
        <v>6.4000000000000003E-3</v>
      </c>
      <c r="E19" s="10">
        <v>-4.5999999999999999E-3</v>
      </c>
      <c r="F19" s="5">
        <v>8.5600000000000009E-2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85" zoomScaleNormal="85" workbookViewId="0">
      <selection activeCell="P14" sqref="P14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68</v>
      </c>
      <c r="D1" s="10" t="s">
        <v>69</v>
      </c>
      <c r="E1" s="10" t="s">
        <v>70</v>
      </c>
      <c r="F1" s="10" t="s">
        <v>71</v>
      </c>
      <c r="G1" s="10" t="s">
        <v>72</v>
      </c>
      <c r="H1" s="10" t="s">
        <v>73</v>
      </c>
      <c r="I1" s="10" t="s">
        <v>74</v>
      </c>
      <c r="J1" s="10" t="s">
        <v>75</v>
      </c>
      <c r="K1" s="10" t="s">
        <v>76</v>
      </c>
      <c r="L1" t="s">
        <v>77</v>
      </c>
      <c r="M1" t="s">
        <v>78</v>
      </c>
      <c r="N1" t="s">
        <v>84</v>
      </c>
    </row>
    <row r="2" spans="1:30" x14ac:dyDescent="0.25">
      <c r="A2" t="str">
        <f>IF(Input!A3="","",Input!A3)</f>
        <v>Active Defensive Model</v>
      </c>
      <c r="B2" s="10">
        <v>0.25219999999999998</v>
      </c>
      <c r="C2" s="10">
        <v>0.14990000000000001</v>
      </c>
      <c r="D2" s="10">
        <v>5.0999999999999997E-2</v>
      </c>
      <c r="E2" s="10">
        <v>0.36109999999999998</v>
      </c>
      <c r="F2" s="10">
        <v>1.47E-2</v>
      </c>
      <c r="G2" s="10">
        <v>4.3099999999999999E-2</v>
      </c>
      <c r="H2" s="10">
        <v>9.01E-2</v>
      </c>
      <c r="I2" s="10">
        <v>2.9999999999999997E-4</v>
      </c>
      <c r="J2" s="10">
        <v>1.9799999999999998E-2</v>
      </c>
      <c r="K2" s="10">
        <v>2.0999999999999999E-3</v>
      </c>
      <c r="L2" s="5">
        <v>3.7000000000000002E-3</v>
      </c>
      <c r="M2" s="5">
        <v>1.2E-2</v>
      </c>
      <c r="O2" s="5">
        <f>SUM(B2:N2)</f>
        <v>1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3.1899999999999998E-2</v>
      </c>
      <c r="C3" s="10">
        <v>0.20170000000000002</v>
      </c>
      <c r="E3" s="10">
        <v>0.3271</v>
      </c>
      <c r="F3" s="10">
        <v>5.3800000000000001E-2</v>
      </c>
      <c r="G3" s="10">
        <v>0.11720000000000001</v>
      </c>
      <c r="H3" s="10">
        <v>7.2400000000000006E-2</v>
      </c>
      <c r="J3" s="10">
        <v>6.3500000000000001E-2</v>
      </c>
      <c r="K3" s="10">
        <v>1.83E-2</v>
      </c>
      <c r="L3" s="5">
        <v>1.4199999999999999E-2</v>
      </c>
      <c r="M3" s="5"/>
      <c r="N3" s="5">
        <v>0.1</v>
      </c>
      <c r="O3" s="5">
        <f t="shared" ref="O3:O19" si="0">SUM(B3:N3)</f>
        <v>1.0001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3.27E-2</v>
      </c>
      <c r="C4" s="10">
        <v>0.10439999999999999</v>
      </c>
      <c r="E4" s="10">
        <v>0.2235</v>
      </c>
      <c r="F4" s="10">
        <v>6.7099999999999993E-2</v>
      </c>
      <c r="G4" s="10">
        <v>0.19829999999999998</v>
      </c>
      <c r="H4" s="10">
        <v>0.15010000000000001</v>
      </c>
      <c r="J4" s="10">
        <v>0.1094</v>
      </c>
      <c r="K4" s="10">
        <v>2.5600000000000001E-2</v>
      </c>
      <c r="L4" s="5">
        <v>1.89E-2</v>
      </c>
      <c r="M4" s="5"/>
      <c r="N4" s="5">
        <v>7.0000000000000007E-2</v>
      </c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3.27E-2</v>
      </c>
      <c r="C5" s="10">
        <v>4.4800000000000006E-2</v>
      </c>
      <c r="E5" s="10">
        <v>8.5900000000000004E-2</v>
      </c>
      <c r="F5" s="10">
        <v>8.7799999999999989E-2</v>
      </c>
      <c r="G5" s="10">
        <v>0.27889999999999998</v>
      </c>
      <c r="H5" s="10">
        <v>0.20120000000000002</v>
      </c>
      <c r="J5" s="10">
        <v>0.1623</v>
      </c>
      <c r="K5" s="10">
        <v>3.3000000000000002E-2</v>
      </c>
      <c r="L5" s="5">
        <v>2.3599999999999999E-2</v>
      </c>
      <c r="M5" s="5"/>
      <c r="N5" s="5">
        <v>0.05</v>
      </c>
      <c r="O5" s="5">
        <f t="shared" si="0"/>
        <v>1.0002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3.6600000000000001E-2</v>
      </c>
      <c r="C6" s="10">
        <v>9.0000000000000011E-3</v>
      </c>
      <c r="D6" s="10">
        <v>3.0600000000000002E-2</v>
      </c>
      <c r="G6" s="10">
        <v>0.1045</v>
      </c>
      <c r="H6" s="10">
        <v>0.46710000000000002</v>
      </c>
      <c r="I6" s="10">
        <v>2.3399999999999997E-2</v>
      </c>
      <c r="J6" s="10">
        <v>0.1045</v>
      </c>
      <c r="K6" s="10">
        <v>2.3399999999999997E-2</v>
      </c>
      <c r="L6" s="5">
        <v>7.2900000000000006E-2</v>
      </c>
      <c r="M6" s="5">
        <v>7.1999999999999998E-3</v>
      </c>
      <c r="O6" s="5">
        <f t="shared" si="0"/>
        <v>0.87919999999999998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0.25219999999999998</v>
      </c>
      <c r="C7" s="10">
        <v>0.14990000000000001</v>
      </c>
      <c r="D7" s="10">
        <v>5.0999999999999997E-2</v>
      </c>
      <c r="E7" s="10">
        <v>0.36109999999999998</v>
      </c>
      <c r="F7" s="10">
        <v>1.47E-2</v>
      </c>
      <c r="G7" s="10">
        <v>4.3099999999999999E-2</v>
      </c>
      <c r="H7" s="10">
        <v>9.01E-2</v>
      </c>
      <c r="I7" s="10">
        <v>2.9999999999999997E-4</v>
      </c>
      <c r="J7" s="10">
        <v>1.9799999999999998E-2</v>
      </c>
      <c r="K7" s="10">
        <v>2.0999999999999999E-3</v>
      </c>
      <c r="L7" s="5">
        <v>3.7000000000000002E-3</v>
      </c>
      <c r="M7" s="5">
        <v>1.2E-2</v>
      </c>
      <c r="O7" s="5">
        <f t="shared" si="0"/>
        <v>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3.1899999999999998E-2</v>
      </c>
      <c r="C8" s="10">
        <v>0.20170000000000002</v>
      </c>
      <c r="E8" s="10">
        <v>0.3271</v>
      </c>
      <c r="F8" s="10">
        <v>5.3800000000000001E-2</v>
      </c>
      <c r="G8" s="10">
        <v>0.11720000000000001</v>
      </c>
      <c r="H8" s="10">
        <v>7.2400000000000006E-2</v>
      </c>
      <c r="J8" s="10">
        <v>6.3500000000000001E-2</v>
      </c>
      <c r="K8" s="10">
        <v>1.83E-2</v>
      </c>
      <c r="L8" s="5">
        <v>1.4199999999999999E-2</v>
      </c>
      <c r="M8" s="5"/>
      <c r="N8" s="5">
        <v>0.1</v>
      </c>
      <c r="O8" s="5">
        <f t="shared" si="0"/>
        <v>1.0001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3.27E-2</v>
      </c>
      <c r="C9" s="10">
        <v>0.10439999999999999</v>
      </c>
      <c r="E9" s="10">
        <v>0.2235</v>
      </c>
      <c r="F9" s="10">
        <v>6.7099999999999993E-2</v>
      </c>
      <c r="G9" s="10">
        <v>0.19829999999999998</v>
      </c>
      <c r="H9" s="10">
        <v>0.15010000000000001</v>
      </c>
      <c r="J9" s="10">
        <v>0.1094</v>
      </c>
      <c r="K9" s="10">
        <v>2.5600000000000001E-2</v>
      </c>
      <c r="L9" s="5">
        <v>1.89E-2</v>
      </c>
      <c r="M9" s="5"/>
      <c r="N9" s="5">
        <v>7.0000000000000007E-2</v>
      </c>
      <c r="O9" s="5">
        <f t="shared" si="0"/>
        <v>1</v>
      </c>
      <c r="P9" s="5"/>
      <c r="Q9" s="5"/>
      <c r="R9" s="5"/>
      <c r="S9" s="5"/>
      <c r="T9" s="5"/>
    </row>
    <row r="10" spans="1:30" x14ac:dyDescent="0.25">
      <c r="A10" t="str">
        <f>IF(Input!A11="","",Input!A11)</f>
        <v>Passive Growth Model</v>
      </c>
      <c r="B10" s="10">
        <v>3.27E-2</v>
      </c>
      <c r="C10" s="10">
        <v>4.4800000000000006E-2</v>
      </c>
      <c r="E10" s="10">
        <v>8.5900000000000004E-2</v>
      </c>
      <c r="F10" s="10">
        <v>8.7799999999999989E-2</v>
      </c>
      <c r="G10" s="10">
        <v>0.27889999999999998</v>
      </c>
      <c r="H10" s="10">
        <v>0.20120000000000002</v>
      </c>
      <c r="J10" s="10">
        <v>0.1623</v>
      </c>
      <c r="K10" s="10">
        <v>3.3000000000000002E-2</v>
      </c>
      <c r="L10" s="5">
        <v>2.3599999999999999E-2</v>
      </c>
      <c r="M10" s="5"/>
      <c r="N10" s="5">
        <v>0.05</v>
      </c>
      <c r="O10" s="5">
        <f t="shared" si="0"/>
        <v>1.0002</v>
      </c>
      <c r="P10" s="5"/>
      <c r="Q10" s="5"/>
      <c r="R10" s="5"/>
      <c r="S10" s="5"/>
      <c r="T10" s="5"/>
    </row>
    <row r="11" spans="1:30" x14ac:dyDescent="0.25">
      <c r="A11" t="str">
        <f>IF(Input!A12="","",Input!A12)</f>
        <v>Passive Adventurous Model</v>
      </c>
      <c r="B11" s="10">
        <v>3.6600000000000001E-2</v>
      </c>
      <c r="C11" s="10">
        <v>9.0000000000000011E-3</v>
      </c>
      <c r="D11" s="10">
        <v>3.0600000000000002E-2</v>
      </c>
      <c r="G11" s="10">
        <v>0.23680000000000001</v>
      </c>
      <c r="H11" s="10">
        <v>0.46710000000000002</v>
      </c>
      <c r="I11" s="10">
        <v>1.2E-2</v>
      </c>
      <c r="J11" s="10">
        <v>0.1045</v>
      </c>
      <c r="K11" s="10">
        <v>2.3399999999999997E-2</v>
      </c>
      <c r="L11" s="5">
        <v>7.2900000000000006E-2</v>
      </c>
      <c r="M11" s="5">
        <v>7.1999999999999998E-3</v>
      </c>
      <c r="O11" s="5">
        <f t="shared" si="0"/>
        <v>1.0001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0.25219999999999998</v>
      </c>
      <c r="C12" s="10">
        <v>0.14990000000000001</v>
      </c>
      <c r="D12" s="10">
        <v>5.0999999999999997E-2</v>
      </c>
      <c r="E12" s="10">
        <v>0.36109999999999998</v>
      </c>
      <c r="F12" s="10">
        <v>1.47E-2</v>
      </c>
      <c r="G12" s="10">
        <v>4.3099999999999999E-2</v>
      </c>
      <c r="H12" s="10">
        <v>9.01E-2</v>
      </c>
      <c r="I12" s="10">
        <v>2.9999999999999997E-4</v>
      </c>
      <c r="J12" s="10">
        <v>1.9799999999999998E-2</v>
      </c>
      <c r="K12" s="10">
        <v>2.0999999999999999E-3</v>
      </c>
      <c r="L12" s="5">
        <v>3.7000000000000002E-3</v>
      </c>
      <c r="M12" s="5">
        <v>1.2E-2</v>
      </c>
      <c r="O12" s="5">
        <f t="shared" si="0"/>
        <v>1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3.1899999999999998E-2</v>
      </c>
      <c r="C13" s="10">
        <v>0.20170000000000002</v>
      </c>
      <c r="E13" s="10">
        <v>0.3271</v>
      </c>
      <c r="F13" s="10">
        <v>5.3800000000000001E-2</v>
      </c>
      <c r="G13" s="10">
        <v>0.11720000000000001</v>
      </c>
      <c r="H13" s="10">
        <v>7.2400000000000006E-2</v>
      </c>
      <c r="J13" s="10">
        <v>6.3500000000000001E-2</v>
      </c>
      <c r="K13" s="10">
        <v>1.83E-2</v>
      </c>
      <c r="L13" s="5">
        <v>1.4199999999999999E-2</v>
      </c>
      <c r="M13" s="5"/>
      <c r="N13" s="5">
        <v>0.1</v>
      </c>
      <c r="O13" s="5">
        <f t="shared" si="0"/>
        <v>1.0001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3.27E-2</v>
      </c>
      <c r="C14" s="10">
        <v>0.10439999999999999</v>
      </c>
      <c r="E14" s="10">
        <v>0.2235</v>
      </c>
      <c r="F14" s="10">
        <v>6.7099999999999993E-2</v>
      </c>
      <c r="G14" s="10">
        <v>0.19829999999999998</v>
      </c>
      <c r="H14" s="10">
        <v>0.15010000000000001</v>
      </c>
      <c r="J14" s="10">
        <v>0.1094</v>
      </c>
      <c r="K14" s="10">
        <v>2.5600000000000001E-2</v>
      </c>
      <c r="L14" s="5">
        <v>1.89E-2</v>
      </c>
      <c r="M14" s="5"/>
      <c r="N14" s="5">
        <v>7.0000000000000007E-2</v>
      </c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3.27E-2</v>
      </c>
      <c r="C15" s="10">
        <v>4.4800000000000006E-2</v>
      </c>
      <c r="E15" s="10">
        <v>8.5900000000000004E-2</v>
      </c>
      <c r="F15" s="10">
        <v>8.7799999999999989E-2</v>
      </c>
      <c r="G15" s="10">
        <v>0.27889999999999998</v>
      </c>
      <c r="H15" s="10">
        <v>0.20120000000000002</v>
      </c>
      <c r="J15" s="10">
        <v>0.1623</v>
      </c>
      <c r="K15" s="10">
        <v>3.3000000000000002E-2</v>
      </c>
      <c r="L15" s="5">
        <v>2.3599999999999999E-2</v>
      </c>
      <c r="M15" s="5"/>
      <c r="N15" s="5">
        <v>0.05</v>
      </c>
      <c r="O15" s="5">
        <f t="shared" si="0"/>
        <v>1.0002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3.6600000000000001E-2</v>
      </c>
      <c r="C16" s="10">
        <v>9.0000000000000011E-3</v>
      </c>
      <c r="D16" s="10">
        <v>3.0600000000000002E-2</v>
      </c>
      <c r="G16" s="10">
        <v>0.23680000000000001</v>
      </c>
      <c r="H16" s="10">
        <v>0.46710000000000002</v>
      </c>
      <c r="I16" s="10">
        <v>1.2E-2</v>
      </c>
      <c r="J16" s="10">
        <v>0.1045</v>
      </c>
      <c r="K16" s="10">
        <v>2.3399999999999997E-2</v>
      </c>
      <c r="L16" s="5">
        <v>7.2900000000000006E-2</v>
      </c>
      <c r="M16" s="5">
        <v>7.1999999999999998E-3</v>
      </c>
      <c r="O16" s="5">
        <f t="shared" si="0"/>
        <v>1.0001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3.1899999999999998E-2</v>
      </c>
      <c r="C17" s="10">
        <v>0.20170000000000002</v>
      </c>
      <c r="E17" s="10">
        <v>0.3271</v>
      </c>
      <c r="F17" s="10">
        <v>5.3800000000000001E-2</v>
      </c>
      <c r="G17" s="10">
        <v>0.11720000000000001</v>
      </c>
      <c r="H17" s="10">
        <v>7.2400000000000006E-2</v>
      </c>
      <c r="J17" s="10">
        <v>6.3500000000000001E-2</v>
      </c>
      <c r="K17" s="10">
        <v>1.83E-2</v>
      </c>
      <c r="L17" s="5">
        <v>1.4199999999999999E-2</v>
      </c>
      <c r="M17" s="5"/>
      <c r="N17" s="5">
        <v>0.1</v>
      </c>
      <c r="O17" s="5">
        <f t="shared" si="0"/>
        <v>1.0001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3.27E-2</v>
      </c>
      <c r="C18" s="10">
        <v>0.10439999999999999</v>
      </c>
      <c r="E18" s="10">
        <v>0.2235</v>
      </c>
      <c r="F18" s="10">
        <v>6.7099999999999993E-2</v>
      </c>
      <c r="G18" s="10">
        <v>0.19829999999999998</v>
      </c>
      <c r="H18" s="10">
        <v>0.15010000000000001</v>
      </c>
      <c r="J18" s="10">
        <v>0.1094</v>
      </c>
      <c r="K18" s="10">
        <v>2.5600000000000001E-2</v>
      </c>
      <c r="L18" s="5">
        <v>1.89E-2</v>
      </c>
      <c r="M18" s="5"/>
      <c r="N18" s="5">
        <v>7.0000000000000007E-2</v>
      </c>
      <c r="O18" s="5">
        <f t="shared" si="0"/>
        <v>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3.27E-2</v>
      </c>
      <c r="C19" s="10">
        <v>4.4800000000000006E-2</v>
      </c>
      <c r="E19" s="10">
        <v>8.5900000000000004E-2</v>
      </c>
      <c r="F19" s="10">
        <v>8.7799999999999989E-2</v>
      </c>
      <c r="G19" s="10">
        <v>0.27889999999999998</v>
      </c>
      <c r="H19" s="10">
        <v>0.20120000000000002</v>
      </c>
      <c r="J19" s="10">
        <v>0.1623</v>
      </c>
      <c r="K19" s="10">
        <v>3.3000000000000002E-2</v>
      </c>
      <c r="L19" s="5">
        <v>2.3599999999999999E-2</v>
      </c>
      <c r="M19" s="5"/>
      <c r="N19" s="5">
        <v>0.05</v>
      </c>
      <c r="O19" s="5">
        <f t="shared" si="0"/>
        <v>1.0002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C1" workbookViewId="0">
      <selection activeCell="D22" sqref="D22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28.140625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58</v>
      </c>
      <c r="D2" s="8" t="s">
        <v>79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59</v>
      </c>
      <c r="D3" s="8" t="s">
        <v>80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60</v>
      </c>
      <c r="D4" s="8" t="s">
        <v>81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61</v>
      </c>
      <c r="D5" s="8" t="s">
        <v>82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62</v>
      </c>
      <c r="D6" s="8" t="s">
        <v>83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58</v>
      </c>
      <c r="D7" s="8" t="s">
        <v>79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59</v>
      </c>
      <c r="D8" s="8" t="s">
        <v>80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60</v>
      </c>
      <c r="D9" s="8" t="s">
        <v>81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61</v>
      </c>
      <c r="D10" s="8" t="s">
        <v>82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62</v>
      </c>
      <c r="D11" s="8" t="s">
        <v>83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58</v>
      </c>
      <c r="D12" s="8" t="s">
        <v>79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59</v>
      </c>
      <c r="D13" s="8" t="s">
        <v>80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60</v>
      </c>
      <c r="D14" s="8" t="s">
        <v>81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61</v>
      </c>
      <c r="D15" s="8" t="s">
        <v>82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62</v>
      </c>
      <c r="D16" s="8" t="s">
        <v>83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59</v>
      </c>
      <c r="D17" s="8" t="s">
        <v>80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60</v>
      </c>
      <c r="D18" s="8" t="s">
        <v>81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61</v>
      </c>
      <c r="D19" s="8" t="s">
        <v>82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45199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45199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45199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45199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45199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45199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45199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6.4000000000000003E-3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7.1000000000000004E-3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7.7999999999999996E-3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8.4000000000000012E-3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1.0100000000000001E-2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6.4000000000000003E-3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7.1000000000000004E-3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7.7999999999999996E-3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8.4000000000000012E-3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1.0100000000000001E-2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6.4000000000000003E-3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7.1000000000000004E-3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7.7999999999999996E-3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8.4000000000000012E-3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1.0100000000000001E-2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7.1000000000000004E-3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7.7999999999999996E-3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0.17009999999999997</v>
      </c>
      <c r="C2">
        <f>IF(A2="","",SUM('Asset Allocation'!C2))</f>
        <v>0.14990000000000001</v>
      </c>
      <c r="D2">
        <f>IF(A2="","",SUM('Asset Allocation'!D2))</f>
        <v>5.0999999999999997E-2</v>
      </c>
      <c r="F2">
        <f>IF(A2="","",SUM('Asset Allocation'!E2))</f>
        <v>0.36109999999999998</v>
      </c>
      <c r="G2">
        <f>IF(A2="","",SUM('Asset Allocation'!B2))</f>
        <v>0.25219999999999998</v>
      </c>
      <c r="H2">
        <f t="shared" ref="H2:H50" si="0">IF(A2="","",1-SUM(B2:G2))</f>
        <v>1.5700000000000047E-2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0.32519999999999999</v>
      </c>
      <c r="C3">
        <f>IF(A3="","",SUM('Asset Allocation'!C3))</f>
        <v>0.20170000000000002</v>
      </c>
      <c r="D3">
        <f>IF(A3="","",SUM('Asset Allocation'!D3))</f>
        <v>0</v>
      </c>
      <c r="F3">
        <f>IF(A3="","",SUM('Asset Allocation'!E3))</f>
        <v>0.3271</v>
      </c>
      <c r="G3">
        <f>IF(A3="","",SUM('Asset Allocation'!B3))</f>
        <v>3.1899999999999998E-2</v>
      </c>
      <c r="H3">
        <f t="shared" si="0"/>
        <v>0.11409999999999987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0.55049999999999988</v>
      </c>
      <c r="C4">
        <f>IF(A4="","",SUM('Asset Allocation'!C4))</f>
        <v>0.10439999999999999</v>
      </c>
      <c r="D4">
        <f>IF(A4="","",SUM('Asset Allocation'!D4))</f>
        <v>0</v>
      </c>
      <c r="F4">
        <f>IF(A4="","",SUM('Asset Allocation'!E4))</f>
        <v>0.2235</v>
      </c>
      <c r="G4">
        <f>IF(A4="","",SUM('Asset Allocation'!B4))</f>
        <v>3.27E-2</v>
      </c>
      <c r="H4">
        <f t="shared" si="0"/>
        <v>8.8900000000000201E-2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0.76319999999999999</v>
      </c>
      <c r="C5">
        <f>IF(A5="","",SUM('Asset Allocation'!C5))</f>
        <v>4.4800000000000006E-2</v>
      </c>
      <c r="D5">
        <f>IF(A5="","",SUM('Asset Allocation'!D5))</f>
        <v>0</v>
      </c>
      <c r="F5">
        <f>IF(A5="","",SUM('Asset Allocation'!E5))</f>
        <v>8.5900000000000004E-2</v>
      </c>
      <c r="G5">
        <f>IF(A5="","",SUM('Asset Allocation'!B5))</f>
        <v>3.27E-2</v>
      </c>
      <c r="H5">
        <f t="shared" si="0"/>
        <v>7.3400000000000021E-2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0.72289999999999999</v>
      </c>
      <c r="C6">
        <f>IF(A6="","",SUM('Asset Allocation'!C6))</f>
        <v>9.0000000000000011E-3</v>
      </c>
      <c r="D6">
        <f>IF(A6="","",SUM('Asset Allocation'!D6))</f>
        <v>3.0600000000000002E-2</v>
      </c>
      <c r="F6">
        <f>IF(A6="","",SUM('Asset Allocation'!E6))</f>
        <v>0</v>
      </c>
      <c r="G6">
        <f>IF(A6="","",SUM('Asset Allocation'!B6))</f>
        <v>3.6600000000000001E-2</v>
      </c>
      <c r="H6">
        <f t="shared" si="0"/>
        <v>0.20090000000000008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0.17009999999999997</v>
      </c>
      <c r="C7">
        <f>IF(A7="","",SUM('Asset Allocation'!C7))</f>
        <v>0.14990000000000001</v>
      </c>
      <c r="D7">
        <f>IF(A7="","",SUM('Asset Allocation'!D7))</f>
        <v>5.0999999999999997E-2</v>
      </c>
      <c r="F7">
        <f>IF(A7="","",SUM('Asset Allocation'!E7))</f>
        <v>0.36109999999999998</v>
      </c>
      <c r="G7">
        <f>IF(A7="","",SUM('Asset Allocation'!B7))</f>
        <v>0.25219999999999998</v>
      </c>
      <c r="H7">
        <f t="shared" si="0"/>
        <v>1.5700000000000047E-2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0.32519999999999999</v>
      </c>
      <c r="C8">
        <f>IF(A8="","",SUM('Asset Allocation'!C8))</f>
        <v>0.20170000000000002</v>
      </c>
      <c r="D8">
        <f>IF(A8="","",SUM('Asset Allocation'!D8))</f>
        <v>0</v>
      </c>
      <c r="F8">
        <f>IF(A8="","",SUM('Asset Allocation'!E8))</f>
        <v>0.3271</v>
      </c>
      <c r="G8">
        <f>IF(A8="","",SUM('Asset Allocation'!B8))</f>
        <v>3.1899999999999998E-2</v>
      </c>
      <c r="H8">
        <f t="shared" si="0"/>
        <v>0.11409999999999987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0.55049999999999988</v>
      </c>
      <c r="C9">
        <f>IF(A9="","",SUM('Asset Allocation'!C9))</f>
        <v>0.10439999999999999</v>
      </c>
      <c r="D9">
        <f>IF(A9="","",SUM('Asset Allocation'!D9))</f>
        <v>0</v>
      </c>
      <c r="F9">
        <f>IF(A9="","",SUM('Asset Allocation'!E9))</f>
        <v>0.2235</v>
      </c>
      <c r="G9">
        <f>IF(A9="","",SUM('Asset Allocation'!B9))</f>
        <v>3.27E-2</v>
      </c>
      <c r="H9">
        <f t="shared" si="0"/>
        <v>8.8900000000000201E-2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0.76319999999999999</v>
      </c>
      <c r="C10">
        <f>IF(A10="","",SUM('Asset Allocation'!C10))</f>
        <v>4.4800000000000006E-2</v>
      </c>
      <c r="D10">
        <f>IF(A10="","",SUM('Asset Allocation'!D10))</f>
        <v>0</v>
      </c>
      <c r="F10">
        <f>IF(A10="","",SUM('Asset Allocation'!E10))</f>
        <v>8.5900000000000004E-2</v>
      </c>
      <c r="G10">
        <f>IF(A10="","",SUM('Asset Allocation'!B10))</f>
        <v>3.27E-2</v>
      </c>
      <c r="H10">
        <f t="shared" si="0"/>
        <v>7.3400000000000021E-2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0.84379999999999999</v>
      </c>
      <c r="C11">
        <f>IF(A11="","",SUM('Asset Allocation'!C11))</f>
        <v>9.0000000000000011E-3</v>
      </c>
      <c r="D11">
        <f>IF(A11="","",SUM('Asset Allocation'!D11))</f>
        <v>3.0600000000000002E-2</v>
      </c>
      <c r="F11">
        <f>IF(A11="","",SUM('Asset Allocation'!E11))</f>
        <v>0</v>
      </c>
      <c r="G11">
        <f>IF(A11="","",SUM('Asset Allocation'!B11))</f>
        <v>3.6600000000000001E-2</v>
      </c>
      <c r="H11">
        <f t="shared" si="0"/>
        <v>8.0000000000000071E-2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0.17009999999999997</v>
      </c>
      <c r="C12">
        <f>IF(A12="","",SUM('Asset Allocation'!C12))</f>
        <v>0.14990000000000001</v>
      </c>
      <c r="D12">
        <f>IF(A12="","",SUM('Asset Allocation'!D12))</f>
        <v>5.0999999999999997E-2</v>
      </c>
      <c r="F12">
        <f>IF(A12="","",SUM('Asset Allocation'!E12))</f>
        <v>0.36109999999999998</v>
      </c>
      <c r="G12">
        <f>IF(A12="","",SUM('Asset Allocation'!B12))</f>
        <v>0.25219999999999998</v>
      </c>
      <c r="H12">
        <f t="shared" si="0"/>
        <v>1.5700000000000047E-2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0.32519999999999999</v>
      </c>
      <c r="C13">
        <f>IF(A13="","",SUM('Asset Allocation'!C13))</f>
        <v>0.20170000000000002</v>
      </c>
      <c r="D13">
        <f>IF(A13="","",SUM('Asset Allocation'!D13))</f>
        <v>0</v>
      </c>
      <c r="F13">
        <f>IF(A13="","",SUM('Asset Allocation'!E13))</f>
        <v>0.3271</v>
      </c>
      <c r="G13">
        <f>IF(A13="","",SUM('Asset Allocation'!B13))</f>
        <v>3.1899999999999998E-2</v>
      </c>
      <c r="H13">
        <f t="shared" si="0"/>
        <v>0.11409999999999987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0.55049999999999988</v>
      </c>
      <c r="C14">
        <f>IF(A14="","",SUM('Asset Allocation'!C14))</f>
        <v>0.10439999999999999</v>
      </c>
      <c r="D14">
        <f>IF(A14="","",SUM('Asset Allocation'!D14))</f>
        <v>0</v>
      </c>
      <c r="F14">
        <f>IF(A14="","",SUM('Asset Allocation'!E14))</f>
        <v>0.2235</v>
      </c>
      <c r="G14">
        <f>IF(A14="","",SUM('Asset Allocation'!B14))</f>
        <v>3.27E-2</v>
      </c>
      <c r="H14">
        <f t="shared" si="0"/>
        <v>8.8900000000000201E-2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0.76319999999999999</v>
      </c>
      <c r="C15">
        <f>IF(A15="","",SUM('Asset Allocation'!C15))</f>
        <v>4.4800000000000006E-2</v>
      </c>
      <c r="D15">
        <f>IF(A15="","",SUM('Asset Allocation'!D15))</f>
        <v>0</v>
      </c>
      <c r="F15">
        <f>IF(A15="","",SUM('Asset Allocation'!E15))</f>
        <v>8.5900000000000004E-2</v>
      </c>
      <c r="G15">
        <f>IF(A15="","",SUM('Asset Allocation'!B15))</f>
        <v>3.27E-2</v>
      </c>
      <c r="H15">
        <f t="shared" si="0"/>
        <v>7.3400000000000021E-2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0.84379999999999999</v>
      </c>
      <c r="C16">
        <f>IF(A16="","",SUM('Asset Allocation'!C16))</f>
        <v>9.0000000000000011E-3</v>
      </c>
      <c r="D16">
        <f>IF(A16="","",SUM('Asset Allocation'!D16))</f>
        <v>3.0600000000000002E-2</v>
      </c>
      <c r="F16">
        <f>IF(A16="","",SUM('Asset Allocation'!E16))</f>
        <v>0</v>
      </c>
      <c r="G16">
        <f>IF(A16="","",SUM('Asset Allocation'!B16))</f>
        <v>3.6600000000000001E-2</v>
      </c>
      <c r="H16">
        <f t="shared" si="0"/>
        <v>8.0000000000000071E-2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0.32519999999999999</v>
      </c>
      <c r="C17">
        <f>IF(A17="","",SUM('Asset Allocation'!C17))</f>
        <v>0.20170000000000002</v>
      </c>
      <c r="D17">
        <f>IF(A17="","",SUM('Asset Allocation'!D17))</f>
        <v>0</v>
      </c>
      <c r="F17">
        <f>IF(A17="","",SUM('Asset Allocation'!E17))</f>
        <v>0.3271</v>
      </c>
      <c r="G17">
        <f>IF(A17="","",SUM('Asset Allocation'!B17))</f>
        <v>3.1899999999999998E-2</v>
      </c>
      <c r="H17">
        <f t="shared" si="0"/>
        <v>0.11409999999999987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0.55049999999999988</v>
      </c>
      <c r="C18">
        <f>IF(A18="","",SUM('Asset Allocation'!C18))</f>
        <v>0.10439999999999999</v>
      </c>
      <c r="D18">
        <f>IF(A18="","",SUM('Asset Allocation'!D18))</f>
        <v>0</v>
      </c>
      <c r="F18">
        <f>IF(A18="","",SUM('Asset Allocation'!E18))</f>
        <v>0.2235</v>
      </c>
      <c r="G18">
        <f>IF(A18="","",SUM('Asset Allocation'!B18))</f>
        <v>3.27E-2</v>
      </c>
      <c r="H18">
        <f t="shared" si="0"/>
        <v>8.8900000000000201E-2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0.76319999999999999</v>
      </c>
      <c r="C19">
        <f>IF(A19="","",SUM('Asset Allocation'!C19))</f>
        <v>4.4800000000000006E-2</v>
      </c>
      <c r="D19">
        <f>IF(A19="","",SUM('Asset Allocation'!D19))</f>
        <v>0</v>
      </c>
      <c r="F19">
        <f>IF(A19="","",SUM('Asset Allocation'!E19))</f>
        <v>8.5900000000000004E-2</v>
      </c>
      <c r="G19">
        <f>IF(A19="","",SUM('Asset Allocation'!B19))</f>
        <v>3.27E-2</v>
      </c>
      <c r="H19">
        <f t="shared" si="0"/>
        <v>7.3400000000000021E-2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0.25338036449147566</v>
      </c>
      <c r="C2" s="6">
        <f>IFERROR(IF(A2="","",SUM('Asset Allocation'!F2)/'Broad Asset Allocation'!B2),0)</f>
        <v>8.6419753086419762E-2</v>
      </c>
      <c r="D2" s="6">
        <f>IFERROR(IF(A2="","",SUM('Asset Allocation'!H2)/'Broad Asset Allocation'!B2),0)</f>
        <v>0.52968841857730753</v>
      </c>
      <c r="E2" s="6">
        <f>IFERROR(IF(A2="","",SUM('Asset Allocation'!I2)/'Broad Asset Allocation'!B2),0)</f>
        <v>1.7636684303350971E-3</v>
      </c>
      <c r="F2" s="6"/>
      <c r="G2" s="6">
        <f>IFERROR(IF(A2="","",SUM('Asset Allocation'!J2)/'Broad Asset Allocation'!B2),0)</f>
        <v>0.11640211640211641</v>
      </c>
      <c r="H2" s="6">
        <f>IFERROR(IF(A2="","",SUM('Asset Allocation'!K2)/'Broad Asset Allocation'!B2),0)</f>
        <v>1.234567901234568E-2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0.36039360393603942</v>
      </c>
      <c r="C3" s="6">
        <f>IFERROR(IF(A3="","",SUM('Asset Allocation'!F3)/'Broad Asset Allocation'!B3),0)</f>
        <v>0.16543665436654367</v>
      </c>
      <c r="D3" s="6">
        <f>IFERROR(IF(A3="","",SUM('Asset Allocation'!H3)/'Broad Asset Allocation'!B3),0)</f>
        <v>0.22263222632226326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0.19526445264452646</v>
      </c>
      <c r="H3" s="6">
        <f>IFERROR(IF(A3="","",SUM('Asset Allocation'!K3)/'Broad Asset Allocation'!B3),0)</f>
        <v>5.6273062730627307E-2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0.3602179836512262</v>
      </c>
      <c r="C4" s="6">
        <f>IFERROR(IF(A4="","",SUM('Asset Allocation'!F4)/'Broad Asset Allocation'!B4),0)</f>
        <v>0.12188919164396005</v>
      </c>
      <c r="D4" s="6">
        <f>IFERROR(IF(A4="","",SUM('Asset Allocation'!H4)/'Broad Asset Allocation'!B4),0)</f>
        <v>0.2726612170753861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0.19872842870118079</v>
      </c>
      <c r="H4" s="6">
        <f>IFERROR(IF(A4="","",SUM('Asset Allocation'!K4)/'Broad Asset Allocation'!B4),0)</f>
        <v>4.6503178928247062E-2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0.3654350104821803</v>
      </c>
      <c r="C5" s="6">
        <f>IFERROR(IF(A5="","",SUM('Asset Allocation'!F5)/'Broad Asset Allocation'!B5),0)</f>
        <v>0.115041928721174</v>
      </c>
      <c r="D5" s="6">
        <f>IFERROR(IF(A5="","",SUM('Asset Allocation'!H5)/'Broad Asset Allocation'!B5),0)</f>
        <v>0.26362683438155138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0.21265723270440251</v>
      </c>
      <c r="H5" s="6">
        <f>IFERROR(IF(A5="","",SUM('Asset Allocation'!K5)/'Broad Asset Allocation'!B5),0)</f>
        <v>4.3238993710691828E-2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0.1445566468391202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0.64614746161294789</v>
      </c>
      <c r="E6" s="6">
        <f>IFERROR(IF(A6="","",SUM('Asset Allocation'!I6)/'Broad Asset Allocation'!B6),0)</f>
        <v>3.2369622354405859E-2</v>
      </c>
      <c r="F6" s="6"/>
      <c r="G6" s="6">
        <f>IFERROR(IF(A6="","",SUM('Asset Allocation'!J6)/'Broad Asset Allocation'!B6),0)</f>
        <v>0.1445566468391202</v>
      </c>
      <c r="H6" s="6">
        <f>IFERROR(IF(A6="","",SUM('Asset Allocation'!K6)/'Broad Asset Allocation'!B6),0)</f>
        <v>3.2369622354405859E-2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0.25338036449147566</v>
      </c>
      <c r="C7" s="6">
        <f>IFERROR(IF(A7="","",SUM('Asset Allocation'!F7)/'Broad Asset Allocation'!B7),0)</f>
        <v>8.6419753086419762E-2</v>
      </c>
      <c r="D7" s="6">
        <f>IFERROR(IF(A7="","",SUM('Asset Allocation'!H7)/'Broad Asset Allocation'!B7),0)</f>
        <v>0.52968841857730753</v>
      </c>
      <c r="E7" s="6">
        <f>IFERROR(IF(A7="","",SUM('Asset Allocation'!I7)/'Broad Asset Allocation'!B7),0)</f>
        <v>1.7636684303350971E-3</v>
      </c>
      <c r="F7" s="6"/>
      <c r="G7" s="6">
        <f>IFERROR(IF(A7="","",SUM('Asset Allocation'!J7)/'Broad Asset Allocation'!B7),0)</f>
        <v>0.11640211640211641</v>
      </c>
      <c r="H7" s="6">
        <f>IFERROR(IF(A7="","",SUM('Asset Allocation'!K7)/'Broad Asset Allocation'!B7),0)</f>
        <v>1.234567901234568E-2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0.36039360393603942</v>
      </c>
      <c r="C8" s="6">
        <f>IFERROR(IF(A8="","",SUM('Asset Allocation'!F8)/'Broad Asset Allocation'!B8),0)</f>
        <v>0.16543665436654367</v>
      </c>
      <c r="D8" s="6">
        <f>IFERROR(IF(A8="","",SUM('Asset Allocation'!H8)/'Broad Asset Allocation'!B8),0)</f>
        <v>0.22263222632226326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0.19526445264452646</v>
      </c>
      <c r="H8" s="6">
        <f>IFERROR(IF(A8="","",SUM('Asset Allocation'!K8)/'Broad Asset Allocation'!B8),0)</f>
        <v>5.6273062730627307E-2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0.3602179836512262</v>
      </c>
      <c r="C9" s="6">
        <f>IFERROR(IF(A9="","",SUM('Asset Allocation'!F9)/'Broad Asset Allocation'!B9),0)</f>
        <v>0.12188919164396005</v>
      </c>
      <c r="D9" s="6">
        <f>IFERROR(IF(A9="","",SUM('Asset Allocation'!H9)/'Broad Asset Allocation'!B9),0)</f>
        <v>0.2726612170753861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0.19872842870118079</v>
      </c>
      <c r="H9" s="6">
        <f>IFERROR(IF(A9="","",SUM('Asset Allocation'!K9)/'Broad Asset Allocation'!B9),0)</f>
        <v>4.6503178928247062E-2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0.3654350104821803</v>
      </c>
      <c r="C10" s="6">
        <f>IFERROR(IF(A10="","",SUM('Asset Allocation'!F10)/'Broad Asset Allocation'!B10),0)</f>
        <v>0.115041928721174</v>
      </c>
      <c r="D10" s="6">
        <f>IFERROR(IF(A10="","",SUM('Asset Allocation'!H10)/'Broad Asset Allocation'!B10),0)</f>
        <v>0.26362683438155138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0.21265723270440251</v>
      </c>
      <c r="H10" s="6">
        <f>IFERROR(IF(A10="","",SUM('Asset Allocation'!K10)/'Broad Asset Allocation'!B10),0)</f>
        <v>4.3238993710691828E-2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0.28063522161649679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0.55356719601801374</v>
      </c>
      <c r="E11" s="6">
        <f>IFERROR(IF(A11="","",SUM('Asset Allocation'!I11)/'Broad Asset Allocation'!B11),0)</f>
        <v>1.422137947380896E-2</v>
      </c>
      <c r="F11" s="6"/>
      <c r="G11" s="6">
        <f>IFERROR(IF(A11="","",SUM('Asset Allocation'!J11)/'Broad Asset Allocation'!B11),0)</f>
        <v>0.12384451291775302</v>
      </c>
      <c r="H11" s="6">
        <f>IFERROR(IF(A11="","",SUM('Asset Allocation'!K11)/'Broad Asset Allocation'!B11),0)</f>
        <v>2.7731689973927467E-2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0.25338036449147566</v>
      </c>
      <c r="C12" s="6">
        <f>IFERROR(IF(A12="","",SUM('Asset Allocation'!F12)/'Broad Asset Allocation'!B12),0)</f>
        <v>8.6419753086419762E-2</v>
      </c>
      <c r="D12" s="6">
        <f>IFERROR(IF(A12="","",SUM('Asset Allocation'!H12)/'Broad Asset Allocation'!B12),0)</f>
        <v>0.52968841857730753</v>
      </c>
      <c r="E12" s="6">
        <f>IFERROR(IF(A12="","",SUM('Asset Allocation'!I12)/'Broad Asset Allocation'!B12),0)</f>
        <v>1.7636684303350971E-3</v>
      </c>
      <c r="F12" s="6"/>
      <c r="G12" s="6">
        <f>IFERROR(IF(A12="","",SUM('Asset Allocation'!J12)/'Broad Asset Allocation'!B12),0)</f>
        <v>0.11640211640211641</v>
      </c>
      <c r="H12" s="6">
        <f>IFERROR(IF(A12="","",SUM('Asset Allocation'!K12)/'Broad Asset Allocation'!B12),0)</f>
        <v>1.234567901234568E-2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0.36039360393603942</v>
      </c>
      <c r="C13" s="6">
        <f>IFERROR(IF(A13="","",SUM('Asset Allocation'!F13)/'Broad Asset Allocation'!B13),0)</f>
        <v>0.16543665436654367</v>
      </c>
      <c r="D13" s="6">
        <f>IFERROR(IF(A13="","",SUM('Asset Allocation'!H13)/'Broad Asset Allocation'!B13),0)</f>
        <v>0.22263222632226326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0.19526445264452646</v>
      </c>
      <c r="H13" s="6">
        <f>IFERROR(IF(A13="","",SUM('Asset Allocation'!K13)/'Broad Asset Allocation'!B13),0)</f>
        <v>5.6273062730627307E-2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0.3602179836512262</v>
      </c>
      <c r="C14" s="6">
        <f>IFERROR(IF(A14="","",SUM('Asset Allocation'!F14)/'Broad Asset Allocation'!B14),0)</f>
        <v>0.12188919164396005</v>
      </c>
      <c r="D14" s="6">
        <f>IFERROR(IF(A14="","",SUM('Asset Allocation'!H14)/'Broad Asset Allocation'!B14),0)</f>
        <v>0.2726612170753861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0.19872842870118079</v>
      </c>
      <c r="H14" s="6">
        <f>IFERROR(IF(A14="","",SUM('Asset Allocation'!K14)/'Broad Asset Allocation'!B14),0)</f>
        <v>4.6503178928247062E-2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0.3654350104821803</v>
      </c>
      <c r="C15" s="6">
        <f>IFERROR(IF(A15="","",SUM('Asset Allocation'!F15)/'Broad Asset Allocation'!B15),0)</f>
        <v>0.115041928721174</v>
      </c>
      <c r="D15" s="6">
        <f>IFERROR(IF(A15="","",SUM('Asset Allocation'!H15)/'Broad Asset Allocation'!B15),0)</f>
        <v>0.26362683438155138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0.21265723270440251</v>
      </c>
      <c r="H15" s="6">
        <f>IFERROR(IF(A15="","",SUM('Asset Allocation'!K15)/'Broad Asset Allocation'!B15),0)</f>
        <v>4.3238993710691828E-2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0.28063522161649679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0.55356719601801374</v>
      </c>
      <c r="E16" s="6">
        <f>IFERROR(IF(A16="","",SUM('Asset Allocation'!I16)/'Broad Asset Allocation'!B16),0)</f>
        <v>1.422137947380896E-2</v>
      </c>
      <c r="F16" s="6"/>
      <c r="G16" s="6">
        <f>IFERROR(IF(A16="","",SUM('Asset Allocation'!J16)/'Broad Asset Allocation'!B16),0)</f>
        <v>0.12384451291775302</v>
      </c>
      <c r="H16" s="6">
        <f>IFERROR(IF(A16="","",SUM('Asset Allocation'!K16)/'Broad Asset Allocation'!B16),0)</f>
        <v>2.7731689973927467E-2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0.36039360393603942</v>
      </c>
      <c r="C17" s="6">
        <f>IFERROR(IF(A17="","",SUM('Asset Allocation'!F17)/'Broad Asset Allocation'!B17),0)</f>
        <v>0.16543665436654367</v>
      </c>
      <c r="D17" s="6">
        <f>IFERROR(IF(A17="","",SUM('Asset Allocation'!H17)/'Broad Asset Allocation'!B17),0)</f>
        <v>0.22263222632226326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0.19526445264452646</v>
      </c>
      <c r="H17" s="6">
        <f>IFERROR(IF(A17="","",SUM('Asset Allocation'!K17)/'Broad Asset Allocation'!B17),0)</f>
        <v>5.6273062730627307E-2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0.3602179836512262</v>
      </c>
      <c r="C18" s="6">
        <f>IFERROR(IF(A18="","",SUM('Asset Allocation'!F18)/'Broad Asset Allocation'!B18),0)</f>
        <v>0.12188919164396005</v>
      </c>
      <c r="D18" s="6">
        <f>IFERROR(IF(A18="","",SUM('Asset Allocation'!H18)/'Broad Asset Allocation'!B18),0)</f>
        <v>0.2726612170753861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0.19872842870118079</v>
      </c>
      <c r="H18" s="6">
        <f>IFERROR(IF(A18="","",SUM('Asset Allocation'!K18)/'Broad Asset Allocation'!B18),0)</f>
        <v>4.6503178928247062E-2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0.3654350104821803</v>
      </c>
      <c r="C19" s="6">
        <f>IFERROR(IF(A19="","",SUM('Asset Allocation'!F19)/'Broad Asset Allocation'!B19),0)</f>
        <v>0.115041928721174</v>
      </c>
      <c r="D19" s="6">
        <f>IFERROR(IF(A19="","",SUM('Asset Allocation'!H19)/'Broad Asset Allocation'!B19),0)</f>
        <v>0.26362683438155138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0.21265723270440251</v>
      </c>
      <c r="H19" s="6">
        <f>IFERROR(IF(A19="","",SUM('Asset Allocation'!K19)/'Broad Asset Allocation'!B19),0)</f>
        <v>4.3238993710691828E-2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2023-11-26T14:22:52Z</dcterms:modified>
</cp:coreProperties>
</file>