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<sst xmlns="http://schemas.openxmlformats.org/spreadsheetml/2006/main" count="144" uniqueCount="84">
  <si>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</si>
  <si>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</si>
  <si>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</si>
  <si>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</si>
  <si>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</si>
  <si>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</si>
  <si>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</si>
  <si>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</si>
  <si>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</si>
  <si>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</si>
  <si>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</si>
  <si>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</si>
  <si>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</si>
  <si>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</si>
  <si>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</si>
  <si>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</si>
  <si>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</si>
  <si>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</si>
  <si>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</si>
  <si>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</si>
  <si>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</si>
  <si>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</si>
  <si>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</si>
  <si>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</si>
  <si>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</si>
  <si>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</si>
  <si>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</si>
  <si>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</si>
  <si>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</si>
  <si>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</si>
  <si>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</si>
  <si>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</si>
  <si>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</si>
  <si>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</si>
  <si>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</si>
  <si>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</si>
  <si>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</si>
  <si>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</si>
  <si>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</si>
  <si>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</si>
  <si>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</si>
  <si>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</si>
  <si>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</si>
  <si>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</si>
  <si>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</si>
  <si>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</si>
  <si>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</si>
  <si>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</si>
  <si>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</si>
  <si>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</si>
  <si>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</si>
  <si>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</si>
  <si>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</si>
  <si>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</si>
  <si>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</si>
  <si>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</si>
  <si>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</si>
  <si>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</si>
  <si>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Defensive Model Factsheet</t>
  </si>
  <si>
    <t>Cautious Model Factsheet</t>
  </si>
  <si>
    <t>Balanced Model Factsheet</t>
  </si>
  <si>
    <t>Growth Model Factsheet</t>
  </si>
  <si>
    <t>Adventurous Model Factsheet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</si>
  <si>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</si>
  <si>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</si>
  <si>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</si>
  <si>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</si>
  <si>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</si>
  <si>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</si>
  <si>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</si>
  <si>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</si>
  <si>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</si>
  <si>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</si>
  <si>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</si>
  <si>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</si>
  <si>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</si>
  <si>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</si>
  <si>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</si>
  <si>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</si>
  <si>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https://www.onefourninegroup.co.uk/wp-content/uploads/2023/10/Investment-OFNPM-Sustainable-Defensive-Factsheet-September-2023.pdf</t>
  </si>
  <si>
    <t>https://www.onefourninegroup.co.uk/wp-content/uploads/2023/10/Investment-OFNPM-Income-Cautious-Factsheet-September-2023.pdf</t>
  </si>
  <si>
    <t>https://www.onefourninegroup.co.uk/wp-content/uploads/2023/10/Investment-OFNPM-Income-Balanced-Factsheet-September-2023.pdf</t>
  </si>
  <si>
    <t>https://www.onefourninegroup.co.uk/wp-content/uploads/2023/10/Investment-OFNPM-Income-Growth-Factsheet-September-2023.pdf</t>
  </si>
  <si>
    <t>https://www.onefourninegroup.co.uk/wp-content/uploads/2023/10/Investment-OFNPM-Sustainable-Adventurous-Factsheet-September-2023.pdf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</si>
</sst>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abSelected="1"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topLeftCell="A10" workbookViewId="0">
      <selection activeCell="B8" sqref="B8:B20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https://www.onefourninegroup.co.uk/wp-content/uploads/2023/10/Investment-OFNPM-Sustainable-Defensive-Factsheet-September-2023.pdf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https://www.onefourninegroup.co.uk/wp-content/uploads/2023/10/Investment-OFNPM-Income-Cautious-Factsheet-September-2023.pdf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https://www.onefourninegroup.co.uk/wp-content/uploads/2023/10/Investment-OFNPM-Income-Balanced-Factsheet-September-2023.pdf</v>
      </c>
    </row>
    <row r="6" spans="1:10" x14ac:dyDescent="0.25">
      <c r="A6" t="s">
        <v>38</v>
      </c>
      <c r="B6" t="str">
        <f>'PDF Scraping'!D5</f>
        <v>https://www.onefourninegroup.co.uk/wp-content/uploads/2023/10/Investment-OFNPM-Income-Growth-Factsheet-September-2023.pdf</v>
      </c>
    </row>
    <row r="7" spans="1:10" x14ac:dyDescent="0.25">
      <c r="A7" t="s">
        <v>39</v>
      </c>
      <c r="B7" t="str">
        <f>'PDF Scraping'!D6</f>
        <v>https://www.onefourninegroup.co.uk/wp-content/uploads/2023/10/Investment-OFNPM-Sustainable-Adventurous-Factsheet-September-2023.pdf</v>
      </c>
    </row>
    <row r="8" spans="1:10" x14ac:dyDescent="0.25">
      <c r="A8" t="s">
        <v>40</v>
      </c>
      <c r="B8" t="str">
        <f>'PDF Scraping'!D7</f>
        <v>https://www.onefourninegroup.co.uk/wp-content/uploads/2023/10/Investment-OFNPM-Sustainable-Defensive-Factsheet-September-2023.pdf</v>
      </c>
    </row>
    <row r="9" spans="1:10" x14ac:dyDescent="0.25">
      <c r="A9" t="s">
        <v>41</v>
      </c>
      <c r="B9" t="str">
        <f>'PDF Scraping'!D8</f>
        <v>https://www.onefourninegroup.co.uk/wp-content/uploads/2023/10/Investment-OFNPM-Income-Cautious-Factsheet-September-2023.pdf</v>
      </c>
    </row>
    <row r="10" spans="1:10" x14ac:dyDescent="0.25">
      <c r="A10" t="s">
        <v>42</v>
      </c>
      <c r="B10" t="str">
        <f>'PDF Scraping'!D9</f>
        <v>https://www.onefourninegroup.co.uk/wp-content/uploads/2023/10/Investment-OFNPM-Income-Balanced-Factsheet-September-2023.pdf</v>
      </c>
    </row>
    <row r="11" spans="1:10" x14ac:dyDescent="0.25">
      <c r="A11" t="s">
        <v>43</v>
      </c>
      <c r="B11" t="str">
        <f>'PDF Scraping'!D10</f>
        <v>https://www.onefourninegroup.co.uk/wp-content/uploads/2023/10/Investment-OFNPM-Income-Growth-Factsheet-September-2023.pdf</v>
      </c>
    </row>
    <row r="12" spans="1:10" x14ac:dyDescent="0.25">
      <c r="A12" t="s">
        <v>44</v>
      </c>
      <c r="B12" t="str">
        <f>'PDF Scraping'!D11</f>
        <v>https://www.onefourninegroup.co.uk/wp-content/uploads/2023/10/Investment-OFNPM-Sustainable-Adventurous-Factsheet-September-2023.pdf</v>
      </c>
    </row>
    <row r="13" spans="1:10" x14ac:dyDescent="0.25">
      <c r="A13" t="s">
        <v>45</v>
      </c>
      <c r="B13" t="str">
        <f>'PDF Scraping'!D12</f>
        <v>https://www.onefourninegroup.co.uk/wp-content/uploads/2023/10/Investment-OFNPM-Sustainable-Defensive-Factsheet-September-2023.pdf</v>
      </c>
    </row>
    <row r="14" spans="1:10" x14ac:dyDescent="0.25">
      <c r="A14" t="s">
        <v>46</v>
      </c>
      <c r="B14" t="str">
        <f>'PDF Scraping'!D13</f>
        <v>https://www.onefourninegroup.co.uk/wp-content/uploads/2023/10/Investment-OFNPM-Income-Cautious-Factsheet-September-2023.pdf</v>
      </c>
    </row>
    <row r="15" spans="1:10" x14ac:dyDescent="0.25">
      <c r="A15" t="s">
        <v>47</v>
      </c>
      <c r="B15" t="str">
        <f>'PDF Scraping'!D14</f>
        <v>https://www.onefourninegroup.co.uk/wp-content/uploads/2023/10/Investment-OFNPM-Income-Balanced-Factsheet-September-2023.pdf</v>
      </c>
    </row>
    <row r="16" spans="1:10" x14ac:dyDescent="0.25">
      <c r="A16" t="s">
        <v>48</v>
      </c>
      <c r="B16" t="str">
        <f>'PDF Scraping'!D15</f>
        <v>https://www.onefourninegroup.co.uk/wp-content/uploads/2023/10/Investment-OFNPM-Income-Growth-Factsheet-September-2023.pdf</v>
      </c>
    </row>
    <row r="17" spans="1:2" x14ac:dyDescent="0.25">
      <c r="A17" t="s">
        <v>49</v>
      </c>
      <c r="B17" t="str">
        <f>'PDF Scraping'!D16</f>
        <v>https://www.onefourninegroup.co.uk/wp-content/uploads/2023/10/Investment-OFNPM-Sustainable-Adventurous-Factsheet-September-2023.pdf</v>
      </c>
    </row>
    <row r="18" spans="1:2" x14ac:dyDescent="0.25">
      <c r="A18" t="s">
        <v>50</v>
      </c>
      <c r="B18" t="str">
        <f>'PDF Scraping'!D17</f>
        <v>https://www.onefourninegroup.co.uk/wp-content/uploads/2023/10/Investment-OFNPM-Income-Cautious-Factsheet-September-2023.pdf</v>
      </c>
    </row>
    <row r="19" spans="1:2" x14ac:dyDescent="0.25">
      <c r="A19" t="s">
        <v>51</v>
      </c>
      <c r="B19" t="str">
        <f>'PDF Scraping'!D18</f>
        <v>https://www.onefourninegroup.co.uk/wp-content/uploads/2023/10/Investment-OFNPM-Income-Balanced-Factsheet-September-2023.pdf</v>
      </c>
    </row>
    <row r="20" spans="1:2" x14ac:dyDescent="0.25">
      <c r="A20" t="s">
        <v>52</v>
      </c>
      <c r="B20" t="str">
        <f>'PDF Scraping'!D19</f>
        <v>https://www.onefourninegroup.co.uk/wp-content/uploads/2023/10/Investment-OFNPM-Income-Growth-Factsheet-September-2023.pdf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E10" sqref="E10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63</v>
      </c>
      <c r="D1" s="10" t="s">
        <v>64</v>
      </c>
      <c r="E1" s="10" t="s">
        <v>65</v>
      </c>
      <c r="F1" t="s">
        <v>66</v>
      </c>
      <c r="G1" t="s">
        <v>67</v>
      </c>
    </row>
    <row r="2" spans="1:9" x14ac:dyDescent="0.25">
      <c r="A2" t="str">
        <f>IF(Input!A3="","",Input!A3)</f>
        <v>Active Defensive Model</v>
      </c>
      <c r="B2" s="1"/>
      <c r="F2" s="5"/>
      <c r="G2" s="5"/>
      <c r="H2" s="5"/>
      <c r="I2" s="5"/>
    </row>
    <row r="3" spans="1:9" x14ac:dyDescent="0.25">
      <c r="A3" t="str">
        <f>IF(Input!A4="","",Input!A4)</f>
        <v>Active Cautious Model</v>
      </c>
      <c r="B3" s="1"/>
      <c r="F3" s="5"/>
      <c r="G3" s="5"/>
      <c r="H3" s="5"/>
      <c r="I3" s="5"/>
    </row>
    <row r="4" spans="1:9" x14ac:dyDescent="0.25">
      <c r="A4" t="str">
        <f>IF(Input!A5="","",Input!A5)</f>
        <v>Active Balanced Model</v>
      </c>
      <c r="B4" s="1"/>
      <c r="F4" s="5"/>
      <c r="G4" s="5"/>
      <c r="H4" s="5"/>
      <c r="I4" s="5"/>
    </row>
    <row r="5" spans="1:9" x14ac:dyDescent="0.25">
      <c r="A5" t="str">
        <f>IF(Input!A6="","",Input!A6)</f>
        <v>Active Growth Model</v>
      </c>
      <c r="B5" s="1"/>
      <c r="F5" s="5"/>
      <c r="G5" s="5"/>
      <c r="H5" s="5"/>
      <c r="I5" s="5"/>
    </row>
    <row r="6" spans="1:9" x14ac:dyDescent="0.25">
      <c r="A6" t="str">
        <f>IF(Input!A7="","",Input!A7)</f>
        <v>Active Adventurous Model</v>
      </c>
      <c r="B6" s="1"/>
      <c r="F6" s="5"/>
      <c r="G6" s="5"/>
      <c r="H6" s="5"/>
      <c r="I6" s="5"/>
    </row>
    <row r="7" spans="1:9" x14ac:dyDescent="0.25">
      <c r="A7" t="str">
        <f>IF(Input!A8="","",Input!A8)</f>
        <v>Passive Defensive Model</v>
      </c>
      <c r="B7" s="1"/>
      <c r="F7" s="5"/>
      <c r="G7" s="5"/>
      <c r="H7" s="5"/>
      <c r="I7" s="5"/>
    </row>
    <row r="8" spans="1:9" x14ac:dyDescent="0.25">
      <c r="A8" t="str">
        <f>IF(Input!A9="","",Input!A9)</f>
        <v>Passive Cautious Model</v>
      </c>
      <c r="B8" s="1"/>
      <c r="F8" s="5"/>
      <c r="G8" s="5"/>
      <c r="H8" s="5"/>
      <c r="I8" s="5"/>
    </row>
    <row r="9" spans="1:9" x14ac:dyDescent="0.25">
      <c r="A9" t="str">
        <f>IF(Input!A10="","",Input!A10)</f>
        <v>Passive Balanced Model</v>
      </c>
      <c r="B9" s="1"/>
      <c r="F9" s="5"/>
      <c r="G9" s="5"/>
      <c r="H9" s="5"/>
      <c r="I9" s="5"/>
    </row>
    <row r="10" spans="1:9" x14ac:dyDescent="0.25">
      <c r="A10" t="str">
        <f>IF(Input!A11="","",Input!A11)</f>
        <v>Passive Growth Model</v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>Passive Adventurous Model</v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>Sustainable Defensive Model</v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>Income Growth Model</v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E4" sqref="E4"/>
    </sheetView>
  </sheetViews>
  <sheetFormatPr defaultRowHeight="15" x14ac:dyDescent="0.25"/>
  <cols>
    <col min="1" max="1" width="27.7109375" bestFit="1" customWidth="1"/>
    <col min="2" max="2" width="4.85546875" style="10" bestFit="1" customWidth="1"/>
    <col min="3" max="3" width="7.140625" style="10" bestFit="1" customWidth="1"/>
    <col min="4" max="4" width="26.140625" style="10" bestFit="1" customWidth="1"/>
    <col min="5" max="5" width="30.7109375" style="10" bestFit="1" customWidth="1"/>
    <col min="6" max="6" width="14.7109375" style="10" bestFit="1" customWidth="1"/>
    <col min="7" max="7" width="8.7109375" style="10" bestFit="1" customWidth="1"/>
    <col min="8" max="8" width="8.5703125" style="10" bestFit="1" customWidth="1"/>
    <col min="9" max="9" width="11.28515625" style="10" bestFit="1" customWidth="1"/>
    <col min="10" max="10" width="17.7109375" style="10" bestFit="1" customWidth="1"/>
    <col min="11" max="11" width="23.42578125" style="10" bestFit="1" customWidth="1"/>
    <col min="12" max="12" width="20.140625" bestFit="1" customWidth="1"/>
    <col min="13" max="13" width="4.710937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68</v>
      </c>
      <c r="D1" s="10" t="s">
        <v>69</v>
      </c>
      <c r="E1" s="10" t="s">
        <v>70</v>
      </c>
      <c r="F1" s="10" t="s">
        <v>71</v>
      </c>
      <c r="G1" s="10" t="s">
        <v>72</v>
      </c>
      <c r="H1" s="10" t="s">
        <v>73</v>
      </c>
      <c r="I1" s="10" t="s">
        <v>74</v>
      </c>
      <c r="J1" s="10" t="s">
        <v>75</v>
      </c>
      <c r="K1" s="10" t="s">
        <v>76</v>
      </c>
      <c r="L1" t="s">
        <v>77</v>
      </c>
      <c r="M1" t="s">
        <v>78</v>
      </c>
    </row>
    <row r="2" spans="1:30" x14ac:dyDescent="0.25">
      <c r="A2" t="str">
        <f>IF(Input!A3="","",Input!A3)</f>
        <v>Active Defensive Model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Passive Growth Model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Passive Adventurous Model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23" sqref="C23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28.140625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58</v>
      </c>
      <c r="D2" s="8" t="s">
        <v>79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59</v>
      </c>
      <c r="D3" s="8" t="s">
        <v>80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60</v>
      </c>
      <c r="D4" s="8" t="s">
        <v>81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61</v>
      </c>
      <c r="D5" s="8" t="s">
        <v>82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62</v>
      </c>
      <c r="D6" s="8" t="s">
        <v>83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58</v>
      </c>
      <c r="D7" s="8" t="s">
        <v>79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59</v>
      </c>
      <c r="D8" s="8" t="s">
        <v>80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60</v>
      </c>
      <c r="D9" s="8" t="s">
        <v>81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61</v>
      </c>
      <c r="D10" s="8" t="s">
        <v>82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62</v>
      </c>
      <c r="D11" s="8" t="s">
        <v>83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58</v>
      </c>
      <c r="D12" s="8" t="s">
        <v>79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59</v>
      </c>
      <c r="D13" s="8" t="s">
        <v>80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60</v>
      </c>
      <c r="D14" s="8" t="s">
        <v>81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61</v>
      </c>
      <c r="D15" s="8" t="s">
        <v>82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62</v>
      </c>
      <c r="D16" s="8" t="s">
        <v>83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59</v>
      </c>
      <c r="D17" s="8" t="s">
        <v>80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60</v>
      </c>
      <c r="D18" s="8" t="s">
        <v>81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61</v>
      </c>
      <c r="D19" s="8" t="s">
        <v>82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0</v>
      </c>
      <c r="E15">
        <f>IF(A15="","",SUM('Additional Information'!C15))</f>
        <v>0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0</v>
      </c>
      <c r="E16">
        <f>IF(A16="","",SUM('Additional Information'!C16))</f>
        <v>0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0</v>
      </c>
      <c r="E17">
        <f>IF(A17="","",SUM('Additional Information'!C17))</f>
        <v>0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0</v>
      </c>
      <c r="E18">
        <f>IF(A18="","",SUM('Additional Information'!C18))</f>
        <v>0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0</v>
      </c>
      <c r="E19">
        <f>IF(A19="","",SUM('Additional Information'!C19))</f>
        <v>0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0</v>
      </c>
      <c r="D15">
        <f>IF(A15="","",SUM('Asset Allocation'!D15))</f>
        <v>0</v>
      </c>
      <c r="F15">
        <f>IF(A15="","",SUM('Asset Allocation'!E15))</f>
        <v>0</v>
      </c>
      <c r="G15">
        <f>IF(A15="","",SUM('Asset Allocation'!B15))</f>
        <v>0</v>
      </c>
      <c r="H15">
        <f t="shared" si="0"/>
        <v>1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</v>
      </c>
      <c r="C16">
        <f>IF(A16="","",SUM('Asset Allocation'!C16))</f>
        <v>0</v>
      </c>
      <c r="D16">
        <f>IF(A16="","",SUM('Asset Allocation'!D16))</f>
        <v>0</v>
      </c>
      <c r="F16">
        <f>IF(A16="","",SUM('Asset Allocation'!E16))</f>
        <v>0</v>
      </c>
      <c r="G16">
        <f>IF(A16="","",SUM('Asset Allocation'!B16))</f>
        <v>0</v>
      </c>
      <c r="H16">
        <f t="shared" si="0"/>
        <v>1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</v>
      </c>
      <c r="C17">
        <f>IF(A17="","",SUM('Asset Allocation'!C17))</f>
        <v>0</v>
      </c>
      <c r="D17">
        <f>IF(A17="","",SUM('Asset Allocation'!D17))</f>
        <v>0</v>
      </c>
      <c r="F17">
        <f>IF(A17="","",SUM('Asset Allocation'!E17))</f>
        <v>0</v>
      </c>
      <c r="G17">
        <f>IF(A17="","",SUM('Asset Allocation'!B17))</f>
        <v>0</v>
      </c>
      <c r="H17">
        <f t="shared" si="0"/>
        <v>1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</v>
      </c>
      <c r="C18">
        <f>IF(A18="","",SUM('Asset Allocation'!C18))</f>
        <v>0</v>
      </c>
      <c r="D18">
        <f>IF(A18="","",SUM('Asset Allocation'!D18))</f>
        <v>0</v>
      </c>
      <c r="F18">
        <f>IF(A18="","",SUM('Asset Allocation'!E18))</f>
        <v>0</v>
      </c>
      <c r="G18">
        <f>IF(A18="","",SUM('Asset Allocation'!B18))</f>
        <v>0</v>
      </c>
      <c r="H18">
        <f t="shared" si="0"/>
        <v>1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</v>
      </c>
      <c r="C19">
        <f>IF(A19="","",SUM('Asset Allocation'!C19))</f>
        <v>0</v>
      </c>
      <c r="D19">
        <f>IF(A19="","",SUM('Asset Allocation'!D19))</f>
        <v>0</v>
      </c>
      <c r="F19">
        <f>IF(A19="","",SUM('Asset Allocation'!E19))</f>
        <v>0</v>
      </c>
      <c r="G19">
        <f>IF(A19="","",SUM('Asset Allocation'!B19))</f>
        <v>0</v>
      </c>
      <c r="H19">
        <f t="shared" si="0"/>
        <v>1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Allocation'!I16)/'Broad Asset Allocation'!B16),0)</f>
        <v>0</v>
      </c>
      <c r="F16" s="6"/>
      <c r="G16" s="6">
        <f>IFERROR(IF(A16="","",SUM('Asset Allocation'!J16)/'Broad Asset Allocation'!B16),0)</f>
        <v>0</v>
      </c>
      <c r="H16" s="6">
        <f>IFERROR(IF(A16="","",SUM('Asset Allocation'!K16)/'Broad Asset Allocation'!B16),0)</f>
        <v>0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</v>
      </c>
      <c r="H17" s="6">
        <f>IFERROR(IF(A17="","",SUM('Asset Allocation'!K17)/'Broad Asset Allocation'!B17),0)</f>
        <v>0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0</v>
      </c>
      <c r="D18" s="6">
        <f>IFERROR(IF(A18="","",SUM('Asset Allocation'!H18)/'Broad Asset Allocation'!B18),0)</f>
        <v>0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</v>
      </c>
      <c r="H18" s="6">
        <f>IFERROR(IF(A18="","",SUM('Asset Allocation'!K18)/'Broad Asset Allocation'!B18),0)</f>
        <v>0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0</v>
      </c>
      <c r="D19" s="6">
        <f>IFERROR(IF(A19="","",SUM('Asset Allocation'!H19)/'Broad Asset Allocation'!B19),0)</f>
        <v>0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</v>
      </c>
      <c r="H19" s="6">
        <f>IFERROR(IF(A19="","",SUM('Asset Allocation'!K19)/'Broad Asset Allocation'!B19),0)</f>
        <v>0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2023-10-25T07:40:52Z</dcterms:modified>
</cp:coreProperties>
</file>