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<sst xmlns="http://schemas.openxmlformats.org/spreadsheetml/2006/main" count="145" uniqueCount="93">
  <si>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</si>
  <si>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</si>
  <si>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</si>
  <si>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</si>
  <si>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</si>
  <si>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</si>
  <si>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</si>
  <si>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</si>
  <si>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</si>
  <si>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</si>
  <si>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</si>
  <si>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</si>
  <si>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</si>
  <si>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</si>
  <si>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</si>
  <si>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</si>
  <si>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</si>
  <si>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</si>
  <si>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</si>
  <si>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</si>
  <si>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</si>
  <si>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</si>
  <si>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</si>
  <si>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</si>
  <si>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</si>
  <si>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</si>
  <si>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</si>
  <si>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</si>
  <si>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</si>
  <si>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</si>
  <si>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</si>
  <si>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</si>
  <si>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</si>
  <si>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</si>
  <si>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</si>
  <si>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</si>
  <si>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</si>
  <si>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</si>
  <si>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</si>
  <si>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</si>
  <si>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</si>
  <si>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</si>
  <si>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</si>
  <si>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</si>
  <si>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</si>
  <si>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</si>
  <si>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</si>
  <si>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</si>
  <si>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</si>
  <si>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</si>
  <si>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</si>
  <si>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</si>
  <si>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</si>
  <si>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</si>
  <si>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</si>
  <si>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</si>
  <si>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</si>
  <si>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</si>
  <si>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</si>
  <si>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</si>
  <si>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</si>
  <si>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</si>
  <si>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</si>
  <si>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</si>
  <si>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</si>
  <si>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</si>
  <si>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</si>
  <si>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</si>
  <si>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</si>
  <si>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</si>
  <si>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</si>
  <si>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</si>
  <si>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</si>
  <si>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</si>
  <si>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</si>
  <si>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https://www.onefourninegroup.co.uk/wp-content/uploads/2023/12/Investment-OFNPM-Active-Defensive-Factsheet-November-2023.pdf</t>
  </si>
  <si>
    <t>https://www.onefourninegroup.co.uk/wp-content/uploads/2023/12/Investment-OFNPM-Active-Cautious-Factsheet-November-2023.pdf</t>
  </si>
  <si>
    <t>https://www.onefourninegroup.co.uk/wp-content/uploads/2023/12/Investment-OFNPM-Active-Balanced-Factsheet-November-2023.pdf</t>
  </si>
  <si>
    <t>https://www.onefourninegroup.co.uk/wp-content/uploads/2023/12/Investment-OFNPM-Active-Growth-Factsheet-November-2023.pdf</t>
  </si>
  <si>
    <t>https://www.onefourninegroup.co.uk/wp-content/uploads/2023/12/Investment-OFNPM-Active-Adventurous-Factsheet-November-2023.pdf</t>
  </si>
  <si>
    <t>https://www.onefourninegroup.co.uk/wp-content/uploads/2023/12/Investment-OFNPM-Passive-Defensive-Factsheet-November-2023.pdf</t>
  </si>
  <si>
    <t>https://www.onefourninegroup.co.uk/wp-content/uploads/2023/12/Investment-OFNPM-Passive-Cautious-Factsheet-November-2023.pdf</t>
  </si>
  <si>
    <t>https://www.onefourninegroup.co.uk/wp-content/uploads/2023/12/Investment-OFNPM-Passive-Balanced-Factsheet-November-2023.pdf</t>
  </si>
  <si>
    <t>https://www.onefourninegroup.co.uk/wp-content/uploads/2023/12/Investment-OFNPM-Passive-Growth-Factsheet-November-2023.pdf</t>
  </si>
  <si>
    <t>https://www.onefourninegroup.co.uk/wp-content/uploads/2023/12/Investment-OFNPM-Passive-Adventurous-Factsheet-November-2023.pdf</t>
  </si>
  <si>
    <t>https://www.onefourninegroup.co.uk/wp-content/uploads/2023/12/Investment-OFNPM-Sustainable-Defensive-Factsheet-November-2023.pdf</t>
  </si>
  <si>
    <t>https://www.onefourninegroup.co.uk/wp-content/uploads/2023/12/Investment-OFNPM-Sustainable-Cautious-Factsheet-November-2023.pdf</t>
  </si>
  <si>
    <t>https://www.onefourninegroup.co.uk/wp-content/uploads/2023/12/Investment-OFNPM-Sustainable-Balanced-Factsheet-November-2023.pdf</t>
  </si>
  <si>
    <t>https://www.onefourninegroup.co.uk/wp-content/uploads/2023/12/Investment-OFNPM-Sustainable-Growth-Factsheet-November-2023.pdf</t>
  </si>
  <si>
    <t>https://www.onefourninegroup.co.uk/wp-content/uploads/2023/12/Investment-OFNPM-Sustainable-Adventurous-Factsheet-November-2023.pdf</t>
  </si>
  <si>
    <t>https://www.onefourninegroup.co.uk/wp-content/uploads/2023/12/Investment-OFNPM-Income-Cautious-Factsheet-November-2023.pdf</t>
  </si>
  <si>
    <t>https://www.onefourninegroup.co.uk/wp-content/uploads/2023/12/Investment-OFNPM-Income-Balanced-Factsheet-November-2023.pdf</t>
  </si>
  <si>
    <t>https://www.onefourninegroup.co.uk/wp-content/uploads/2023/12/Investment-OFNPM-Income-Growth-Factsheet-November-2023.pdf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</si>
</sst>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45260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https://www.onefourninegroup.co.uk/wp-content/uploads/2023/12/Investment-OFNPM-Active-Defensive-Factsheet-November-2023.pdf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https://www.onefourninegroup.co.uk/wp-content/uploads/2023/12/Investment-OFNPM-Active-Cautious-Factsheet-November-2023.pdf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https://www.onefourninegroup.co.uk/wp-content/uploads/2023/12/Investment-OFNPM-Active-Balanced-Factsheet-November-2023.pdf</v>
      </c>
    </row>
    <row r="6" spans="1:10" x14ac:dyDescent="0.25">
      <c r="A6" t="s">
        <v>38</v>
      </c>
      <c r="B6" t="str">
        <f>'PDF Scraping'!D5</f>
        <v>https://www.onefourninegroup.co.uk/wp-content/uploads/2023/12/Investment-OFNPM-Active-Growth-Factsheet-November-2023.pdf</v>
      </c>
    </row>
    <row r="7" spans="1:10" x14ac:dyDescent="0.25">
      <c r="A7" t="s">
        <v>39</v>
      </c>
      <c r="B7" t="str">
        <f>'PDF Scraping'!D6</f>
        <v>https://www.onefourninegroup.co.uk/wp-content/uploads/2023/12/Investment-OFNPM-Active-Adventurous-Factsheet-November-2023.pdf</v>
      </c>
    </row>
    <row r="8" spans="1:10" x14ac:dyDescent="0.25">
      <c r="A8" t="s">
        <v>40</v>
      </c>
      <c r="B8" t="str">
        <f>'PDF Scraping'!D7</f>
        <v>https://www.onefourninegroup.co.uk/wp-content/uploads/2023/12/Investment-OFNPM-Passive-Defensive-Factsheet-November-2023.pdf</v>
      </c>
    </row>
    <row r="9" spans="1:10" x14ac:dyDescent="0.25">
      <c r="A9" t="s">
        <v>41</v>
      </c>
      <c r="B9" t="str">
        <f>'PDF Scraping'!D8</f>
        <v>https://www.onefourninegroup.co.uk/wp-content/uploads/2023/12/Investment-OFNPM-Passive-Cautious-Factsheet-November-2023.pdf</v>
      </c>
    </row>
    <row r="10" spans="1:10" x14ac:dyDescent="0.25">
      <c r="A10" t="s">
        <v>42</v>
      </c>
      <c r="B10" t="str">
        <f>'PDF Scraping'!D9</f>
        <v>https://www.onefourninegroup.co.uk/wp-content/uploads/2023/12/Investment-OFNPM-Passive-Balanced-Factsheet-November-2023.pdf</v>
      </c>
    </row>
    <row r="11" spans="1:10" x14ac:dyDescent="0.25">
      <c r="A11" t="s">
        <v>43</v>
      </c>
      <c r="B11" t="str">
        <f>'PDF Scraping'!D10</f>
        <v>https://www.onefourninegroup.co.uk/wp-content/uploads/2023/12/Investment-OFNPM-Passive-Growth-Factsheet-November-2023.pdf</v>
      </c>
    </row>
    <row r="12" spans="1:10" x14ac:dyDescent="0.25">
      <c r="A12" t="s">
        <v>44</v>
      </c>
      <c r="B12" t="str">
        <f>'PDF Scraping'!D11</f>
        <v>https://www.onefourninegroup.co.uk/wp-content/uploads/2023/12/Investment-OFNPM-Passive-Adventurous-Factsheet-November-2023.pdf</v>
      </c>
    </row>
    <row r="13" spans="1:10" x14ac:dyDescent="0.25">
      <c r="A13" t="s">
        <v>45</v>
      </c>
      <c r="B13" t="str">
        <f>'PDF Scraping'!D12</f>
        <v>https://www.onefourninegroup.co.uk/wp-content/uploads/2023/12/Investment-OFNPM-Sustainable-Defensive-Factsheet-November-2023.pdf</v>
      </c>
    </row>
    <row r="14" spans="1:10" x14ac:dyDescent="0.25">
      <c r="A14" t="s">
        <v>46</v>
      </c>
      <c r="B14" t="str">
        <f>'PDF Scraping'!D13</f>
        <v>https://www.onefourninegroup.co.uk/wp-content/uploads/2023/12/Investment-OFNPM-Sustainable-Cautious-Factsheet-November-2023.pdf</v>
      </c>
    </row>
    <row r="15" spans="1:10" x14ac:dyDescent="0.25">
      <c r="A15" t="s">
        <v>47</v>
      </c>
      <c r="B15" t="str">
        <f>'PDF Scraping'!D14</f>
        <v>https://www.onefourninegroup.co.uk/wp-content/uploads/2023/12/Investment-OFNPM-Sustainable-Balanced-Factsheet-November-2023.pdf</v>
      </c>
    </row>
    <row r="16" spans="1:10" x14ac:dyDescent="0.25">
      <c r="A16" t="s">
        <v>48</v>
      </c>
      <c r="B16" t="str">
        <f>'PDF Scraping'!D15</f>
        <v>https://www.onefourninegroup.co.uk/wp-content/uploads/2023/12/Investment-OFNPM-Sustainable-Growth-Factsheet-November-2023.pdf</v>
      </c>
    </row>
    <row r="17" spans="1:2" x14ac:dyDescent="0.25">
      <c r="A17" t="s">
        <v>49</v>
      </c>
      <c r="B17" t="str">
        <f>'PDF Scraping'!D16</f>
        <v>https://www.onefourninegroup.co.uk/wp-content/uploads/2023/12/Investment-OFNPM-Sustainable-Adventurous-Factsheet-November-2023.pdf</v>
      </c>
    </row>
    <row r="18" spans="1:2" x14ac:dyDescent="0.25">
      <c r="A18" t="s">
        <v>50</v>
      </c>
      <c r="B18" t="str">
        <f>'PDF Scraping'!D17</f>
        <v>https://www.onefourninegroup.co.uk/wp-content/uploads/2023/12/Investment-OFNPM-Income-Cautious-Factsheet-November-2023.pdf</v>
      </c>
    </row>
    <row r="19" spans="1:2" x14ac:dyDescent="0.25">
      <c r="A19" t="s">
        <v>51</v>
      </c>
      <c r="B19" t="str">
        <f>'PDF Scraping'!D18</f>
        <v>https://www.onefourninegroup.co.uk/wp-content/uploads/2023/12/Investment-OFNPM-Income-Balanced-Factsheet-November-2023.pdf</v>
      </c>
    </row>
    <row r="20" spans="1:2" x14ac:dyDescent="0.25">
      <c r="A20" t="s">
        <v>52</v>
      </c>
      <c r="B20" t="str">
        <f>'PDF Scraping'!D19</f>
        <v>https://www.onefourninegroup.co.uk/wp-content/uploads/2023/12/Investment-OFNPM-Income-Growth-Factsheet-November-2023.pdf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B2" sqref="B2:H22"/>
    </sheetView>
  </sheetViews>
  <sheetFormatPr defaultRowHeight="15" x14ac:dyDescent="0.25"/>
  <cols>
    <col min="1" max="1" width="26.140625" bestFit="1" customWidth="1"/>
    <col min="2" max="2" width="27.28515625" bestFit="1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>
        <v>45230</v>
      </c>
      <c r="C2" s="10">
        <v>2E-3</v>
      </c>
      <c r="D2" s="10">
        <v>4.1999999999999997E-3</v>
      </c>
      <c r="E2" s="10">
        <v>-8.0000000000000004E-4</v>
      </c>
      <c r="F2" s="5">
        <v>3.32E-2</v>
      </c>
      <c r="G2" s="5">
        <v>5.2300000000000006E-2</v>
      </c>
      <c r="H2" s="5"/>
      <c r="I2" s="5"/>
    </row>
    <row r="3" spans="1:9" x14ac:dyDescent="0.25">
      <c r="A3" t="str">
        <f>IF(Input!A4="","",Input!A4)</f>
        <v>Active Cautious Model</v>
      </c>
      <c r="B3" s="1">
        <v>45230</v>
      </c>
      <c r="C3" s="10">
        <v>2E-3</v>
      </c>
      <c r="D3" s="10">
        <v>5.1000000000000004E-3</v>
      </c>
      <c r="E3" s="10">
        <v>-6.7000000000000002E-3</v>
      </c>
      <c r="F3" s="5">
        <v>2.8199999999999999E-2</v>
      </c>
      <c r="G3" s="5">
        <v>5.8799999999999998E-2</v>
      </c>
      <c r="H3" s="5"/>
      <c r="I3" s="5"/>
    </row>
    <row r="4" spans="1:9" x14ac:dyDescent="0.25">
      <c r="A4" t="str">
        <f>IF(Input!A5="","",Input!A5)</f>
        <v>Active Balanced Model</v>
      </c>
      <c r="B4" s="1">
        <v>45230</v>
      </c>
      <c r="C4" s="10">
        <v>2E-3</v>
      </c>
      <c r="D4" s="10">
        <v>5.8999999999999999E-3</v>
      </c>
      <c r="E4" s="10">
        <v>-1.38E-2</v>
      </c>
      <c r="F4" s="5">
        <v>2.9900000000000003E-2</v>
      </c>
      <c r="G4" s="5">
        <v>9.4499999999999987E-2</v>
      </c>
      <c r="H4" s="5"/>
      <c r="I4" s="5"/>
    </row>
    <row r="5" spans="1:9" x14ac:dyDescent="0.25">
      <c r="A5" t="str">
        <f>IF(Input!A6="","",Input!A6)</f>
        <v>Active Growth Model</v>
      </c>
      <c r="B5" s="1">
        <v>45230</v>
      </c>
      <c r="C5" s="10">
        <v>2E-3</v>
      </c>
      <c r="D5" s="10">
        <v>6.6E-3</v>
      </c>
      <c r="E5" s="10">
        <v>-1.9699999999999999E-2</v>
      </c>
      <c r="F5" s="5">
        <v>3.1300000000000001E-2</v>
      </c>
      <c r="G5" s="5">
        <v>0.1244</v>
      </c>
      <c r="H5" s="5"/>
      <c r="I5" s="5"/>
    </row>
    <row r="6" spans="1:9" x14ac:dyDescent="0.25">
      <c r="A6" t="str">
        <f>IF(Input!A7="","",Input!A7)</f>
        <v>Active Adventurous Model</v>
      </c>
      <c r="B6" s="1">
        <v>45230</v>
      </c>
      <c r="C6" s="10">
        <v>2E-3</v>
      </c>
      <c r="D6" s="10">
        <v>7.3000000000000001E-3</v>
      </c>
      <c r="E6" s="10">
        <v>-2.5699999999999997E-2</v>
      </c>
      <c r="F6" s="5">
        <v>3.3000000000000002E-2</v>
      </c>
      <c r="G6" s="5">
        <v>0.15859999999999999</v>
      </c>
      <c r="H6" s="5"/>
      <c r="I6" s="5"/>
    </row>
    <row r="7" spans="1:9" x14ac:dyDescent="0.25">
      <c r="A7" t="str">
        <f>IF(Input!A8="","",Input!A8)</f>
        <v>Passive Defensive Model</v>
      </c>
      <c r="B7" s="1">
        <v>45230</v>
      </c>
      <c r="C7" s="10">
        <v>2E-3</v>
      </c>
      <c r="D7" s="10">
        <v>1.4000000000000002E-3</v>
      </c>
      <c r="E7" s="10">
        <v>2.9999999999999997E-4</v>
      </c>
      <c r="F7" s="5">
        <v>3.5200000000000002E-2</v>
      </c>
      <c r="G7" s="5">
        <v>7.3800000000000004E-2</v>
      </c>
      <c r="H7" s="5"/>
      <c r="I7" s="5"/>
    </row>
    <row r="8" spans="1:9" x14ac:dyDescent="0.25">
      <c r="A8" t="str">
        <f>IF(Input!A9="","",Input!A9)</f>
        <v>Passive Cautious Model</v>
      </c>
      <c r="B8" s="1">
        <v>45230</v>
      </c>
      <c r="C8" s="10">
        <v>2E-3</v>
      </c>
      <c r="D8" s="10">
        <v>1.2999999999999999E-3</v>
      </c>
      <c r="E8" s="10">
        <v>-5.5000000000000005E-3</v>
      </c>
      <c r="F8" s="5">
        <v>3.6900000000000002E-2</v>
      </c>
      <c r="G8" s="5">
        <v>9.7500000000000003E-2</v>
      </c>
      <c r="H8" s="5"/>
      <c r="I8" s="5"/>
    </row>
    <row r="9" spans="1:9" x14ac:dyDescent="0.25">
      <c r="A9" t="str">
        <f>IF(Input!A10="","",Input!A10)</f>
        <v>Passive Balanced Model</v>
      </c>
      <c r="B9" s="1">
        <v>45230</v>
      </c>
      <c r="C9" s="10">
        <v>2E-3</v>
      </c>
      <c r="D9" s="10">
        <v>1.1999999999999999E-3</v>
      </c>
      <c r="E9" s="10">
        <v>-1.2800000000000001E-2</v>
      </c>
      <c r="F9" s="5">
        <v>4.0099999999999997E-2</v>
      </c>
      <c r="G9" s="5">
        <v>0.16320000000000001</v>
      </c>
      <c r="H9" s="5"/>
      <c r="I9" s="5"/>
    </row>
    <row r="10" spans="1:9" x14ac:dyDescent="0.25">
      <c r="A10" t="str">
        <f>IF(Input!A11="","",Input!A11)</f>
        <v>Passive Growth Model</v>
      </c>
      <c r="B10" s="1">
        <v>45230</v>
      </c>
      <c r="C10" s="10">
        <v>2E-3</v>
      </c>
      <c r="D10" s="10">
        <v>1.1000000000000001E-3</v>
      </c>
      <c r="E10" s="10">
        <v>-1.89E-2</v>
      </c>
      <c r="F10" s="5">
        <v>4.36E-2</v>
      </c>
      <c r="G10" s="5">
        <v>0.22399999999999998</v>
      </c>
      <c r="H10" s="5"/>
      <c r="I10" s="5"/>
    </row>
    <row r="11" spans="1:9" x14ac:dyDescent="0.25">
      <c r="A11" t="str">
        <f>IF(Input!A12="","",Input!A12)</f>
        <v>Passive Adventurous Model</v>
      </c>
      <c r="B11" s="1">
        <v>45230</v>
      </c>
      <c r="C11" s="10">
        <v>2E-3</v>
      </c>
      <c r="D11" s="10">
        <v>1.1000000000000001E-3</v>
      </c>
      <c r="E11" s="10">
        <v>-2.5499999999999998E-2</v>
      </c>
      <c r="F11" s="5">
        <v>4.7199999999999999E-2</v>
      </c>
      <c r="G11" s="5">
        <v>0.2918</v>
      </c>
      <c r="H11" s="5"/>
      <c r="I11" s="5"/>
    </row>
    <row r="12" spans="1:9" x14ac:dyDescent="0.25">
      <c r="A12" t="str">
        <f>IF(Input!A13="","",Input!A13)</f>
        <v>Sustainable Defensive Model</v>
      </c>
      <c r="B12" s="1">
        <v>45230</v>
      </c>
      <c r="C12" s="10">
        <v>2E-3</v>
      </c>
      <c r="D12" s="10">
        <v>4.4000000000000003E-3</v>
      </c>
      <c r="E12" s="10">
        <v>-1.4000000000000002E-3</v>
      </c>
      <c r="F12" s="5">
        <v>3.8100000000000002E-2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45230</v>
      </c>
      <c r="C13" s="10">
        <v>2E-3</v>
      </c>
      <c r="D13" s="10">
        <v>5.3E-3</v>
      </c>
      <c r="E13" s="10">
        <v>-7.8000000000000005E-3</v>
      </c>
      <c r="F13" s="5">
        <v>3.49E-2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45230</v>
      </c>
      <c r="C14" s="10">
        <v>2E-3</v>
      </c>
      <c r="D14" s="10">
        <v>6.3E-3</v>
      </c>
      <c r="E14" s="10">
        <v>-1.6E-2</v>
      </c>
      <c r="F14" s="5">
        <v>3.3799999999999997E-2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45230</v>
      </c>
      <c r="C15" s="10">
        <v>2E-3</v>
      </c>
      <c r="D15" s="10">
        <v>7.0999999999999995E-3</v>
      </c>
      <c r="E15" s="10">
        <v>-2.2400000000000003E-2</v>
      </c>
      <c r="F15" s="5">
        <v>3.4599999999999999E-2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45230</v>
      </c>
      <c r="C16" s="10">
        <v>2E-3</v>
      </c>
      <c r="D16" s="10">
        <v>8.0000000000000002E-3</v>
      </c>
      <c r="E16" s="10">
        <v>-2.98E-2</v>
      </c>
      <c r="F16" s="5">
        <v>3.1300000000000001E-2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45230</v>
      </c>
      <c r="C17" s="10">
        <v>2E-3</v>
      </c>
      <c r="D17" s="10">
        <v>5.1000000000000004E-3</v>
      </c>
      <c r="E17" s="10">
        <v>-1.0700000000000001E-2</v>
      </c>
      <c r="F17" s="5">
        <v>3.1200000000000002E-2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45230</v>
      </c>
      <c r="C18" s="10">
        <v>2E-3</v>
      </c>
      <c r="D18" s="10">
        <v>5.7999999999999996E-3</v>
      </c>
      <c r="E18" s="10">
        <v>-1.61E-2</v>
      </c>
      <c r="F18" s="5">
        <v>3.5499999999999997E-2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45230</v>
      </c>
      <c r="C19" s="10">
        <v>2E-3</v>
      </c>
      <c r="D19" s="10">
        <v>6.4000000000000003E-3</v>
      </c>
      <c r="E19" s="10">
        <v>-2.1400000000000002E-2</v>
      </c>
      <c r="F19" s="5">
        <v>3.78E-2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zoomScale="70" zoomScaleNormal="70" workbookViewId="0">
      <selection activeCell="K21" sqref="K21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0.25</v>
      </c>
      <c r="C2" s="10">
        <v>0.15679999999999999</v>
      </c>
      <c r="D2" s="10">
        <v>4.7E-2</v>
      </c>
      <c r="E2" s="10">
        <v>0.35799999999999998</v>
      </c>
      <c r="F2" s="10">
        <v>1.3500000000000002E-2</v>
      </c>
      <c r="G2" s="10">
        <v>5.8099999999999999E-2</v>
      </c>
      <c r="H2" s="10">
        <v>7.51E-2</v>
      </c>
      <c r="I2" s="10">
        <v>3.4999999999999996E-3</v>
      </c>
      <c r="J2" s="10">
        <v>2.2400000000000003E-2</v>
      </c>
      <c r="K2" s="10">
        <v>1.7000000000000001E-3</v>
      </c>
      <c r="L2" s="5">
        <v>1.9E-3</v>
      </c>
      <c r="M2" s="5">
        <v>1.2E-2</v>
      </c>
      <c r="O2" s="5">
        <f>SUM(B2:N2)</f>
        <v>0.99999999999999989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0.17180000000000001</v>
      </c>
      <c r="C3" s="10">
        <v>0.12990000000000002</v>
      </c>
      <c r="D3" s="10">
        <v>4.7E-2</v>
      </c>
      <c r="E3" s="10">
        <v>0.29830000000000001</v>
      </c>
      <c r="F3" s="10">
        <v>1.1200000000000002E-2</v>
      </c>
      <c r="G3" s="10">
        <v>0.1176</v>
      </c>
      <c r="H3" s="10">
        <v>0.126</v>
      </c>
      <c r="I3" s="10">
        <v>8.6999999999999994E-3</v>
      </c>
      <c r="J3" s="10">
        <v>4.2999999999999997E-2</v>
      </c>
      <c r="K3" s="10">
        <v>5.4000000000000003E-3</v>
      </c>
      <c r="L3" s="5">
        <v>2.8999999999999998E-2</v>
      </c>
      <c r="M3" s="5">
        <v>1.2E-2</v>
      </c>
      <c r="N3" s="5"/>
      <c r="O3" s="5">
        <f t="shared" ref="O3:O19" si="0">SUM(B3:N3)</f>
        <v>0.99990000000000012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9.3900000000000011E-2</v>
      </c>
      <c r="C4" s="10">
        <v>7.4400000000000008E-2</v>
      </c>
      <c r="D4" s="10">
        <v>3.7599999999999995E-2</v>
      </c>
      <c r="E4" s="10">
        <v>0.23449999999999999</v>
      </c>
      <c r="F4" s="10">
        <v>8.8000000000000005E-3</v>
      </c>
      <c r="G4" s="10">
        <v>0.1885</v>
      </c>
      <c r="H4" s="10">
        <v>0.21679999999999999</v>
      </c>
      <c r="I4" s="10">
        <v>1.41E-2</v>
      </c>
      <c r="J4" s="10">
        <v>6.8900000000000003E-2</v>
      </c>
      <c r="K4" s="10">
        <v>8.6999999999999994E-3</v>
      </c>
      <c r="L4" s="5">
        <v>4.4199999999999996E-2</v>
      </c>
      <c r="M4" s="5">
        <v>9.5999999999999992E-3</v>
      </c>
      <c r="N4" s="5"/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6.5099999999999991E-2</v>
      </c>
      <c r="C5" s="10">
        <v>2.5899999999999999E-2</v>
      </c>
      <c r="D5" s="10">
        <v>2.8199999999999999E-2</v>
      </c>
      <c r="E5" s="10">
        <v>0.14499999999999999</v>
      </c>
      <c r="F5" s="10">
        <v>5.4000000000000003E-3</v>
      </c>
      <c r="G5" s="10">
        <v>0.24979999999999999</v>
      </c>
      <c r="H5" s="10">
        <v>0.28770000000000001</v>
      </c>
      <c r="I5" s="10">
        <v>1.9599999999999999E-2</v>
      </c>
      <c r="J5" s="10">
        <v>9.4700000000000006E-2</v>
      </c>
      <c r="K5" s="10">
        <v>1.2E-2</v>
      </c>
      <c r="L5" s="5">
        <v>5.9299999999999999E-2</v>
      </c>
      <c r="M5" s="5">
        <v>7.1999999999999998E-3</v>
      </c>
      <c r="N5" s="5"/>
      <c r="O5" s="5">
        <f t="shared" si="0"/>
        <v>0.9998999999999999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3.56E-2</v>
      </c>
      <c r="C6" s="10">
        <v>9.0000000000000011E-3</v>
      </c>
      <c r="D6" s="10">
        <v>2.8199999999999999E-2</v>
      </c>
      <c r="G6" s="10">
        <v>0.31240000000000001</v>
      </c>
      <c r="H6" s="10">
        <v>0.3715</v>
      </c>
      <c r="I6" s="10">
        <v>2.5099999999999997E-2</v>
      </c>
      <c r="J6" s="10">
        <v>0.12119999999999999</v>
      </c>
      <c r="K6" s="10">
        <v>1.5300000000000001E-2</v>
      </c>
      <c r="L6" s="5">
        <v>7.4499999999999997E-2</v>
      </c>
      <c r="M6" s="5">
        <v>7.1999999999999998E-3</v>
      </c>
      <c r="O6" s="5">
        <f t="shared" si="0"/>
        <v>0.99999999999999989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0.2525</v>
      </c>
      <c r="C7" s="10">
        <v>0.1525</v>
      </c>
      <c r="D7" s="10">
        <v>4.7500000000000001E-2</v>
      </c>
      <c r="E7" s="10">
        <v>0.38</v>
      </c>
      <c r="F7" s="10">
        <v>0</v>
      </c>
      <c r="G7" s="10">
        <v>0.05</v>
      </c>
      <c r="H7" s="10">
        <v>7.7499999999999999E-2</v>
      </c>
      <c r="I7" s="10">
        <v>2.5000000000000001E-3</v>
      </c>
      <c r="J7" s="10">
        <v>2.2499999999999999E-2</v>
      </c>
      <c r="K7" s="10">
        <v>0</v>
      </c>
      <c r="L7" s="5">
        <v>5.0000000000000001E-3</v>
      </c>
      <c r="M7" s="5">
        <v>0.01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0.17749999999999999</v>
      </c>
      <c r="C8" s="10">
        <v>0.125</v>
      </c>
      <c r="D8" s="10">
        <v>4.7500000000000001E-2</v>
      </c>
      <c r="E8" s="10">
        <v>0.315</v>
      </c>
      <c r="F8" s="10">
        <v>0</v>
      </c>
      <c r="G8" s="10">
        <v>0.105</v>
      </c>
      <c r="H8" s="10">
        <v>0.13250000000000001</v>
      </c>
      <c r="I8" s="10">
        <v>7.4999999999999997E-3</v>
      </c>
      <c r="J8" s="10">
        <v>4.4999999999999998E-2</v>
      </c>
      <c r="K8" s="10">
        <v>0</v>
      </c>
      <c r="L8" s="5">
        <v>3.5000000000000003E-2</v>
      </c>
      <c r="M8" s="5">
        <v>0.01</v>
      </c>
      <c r="N8" s="5"/>
      <c r="O8" s="5">
        <f t="shared" si="0"/>
        <v>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0.1</v>
      </c>
      <c r="C9" s="10">
        <v>7.0000000000000007E-2</v>
      </c>
      <c r="D9" s="10">
        <v>3.7499999999999999E-2</v>
      </c>
      <c r="E9" s="10">
        <v>0.25</v>
      </c>
      <c r="F9" s="10">
        <v>0</v>
      </c>
      <c r="G9" s="10">
        <v>0.17249999999999999</v>
      </c>
      <c r="H9" s="10">
        <v>0.22500000000000001</v>
      </c>
      <c r="I9" s="10">
        <v>1.2500000000000001E-2</v>
      </c>
      <c r="J9" s="10">
        <v>7.2499999999999995E-2</v>
      </c>
      <c r="K9" s="10">
        <v>0</v>
      </c>
      <c r="L9" s="5">
        <v>5.2499999999999998E-2</v>
      </c>
      <c r="M9" s="5">
        <v>7.4999999999999997E-3</v>
      </c>
      <c r="N9" s="5"/>
      <c r="O9" s="5">
        <f t="shared" si="0"/>
        <v>0.99999999999999989</v>
      </c>
      <c r="P9" s="5"/>
      <c r="Q9" s="5"/>
      <c r="R9" s="5"/>
      <c r="S9" s="5"/>
      <c r="T9" s="5"/>
    </row>
    <row r="10" spans="1:30" s="8" customFormat="1" x14ac:dyDescent="0.25">
      <c r="A10" s="8" t="str">
        <f>IF(Input!A11="","",Input!A11)</f>
        <v>Passive Growth Model</v>
      </c>
      <c r="B10" s="11">
        <v>7.2499999999999995E-2</v>
      </c>
      <c r="C10" s="11">
        <v>2.2499999999999999E-2</v>
      </c>
      <c r="D10" s="11">
        <v>2.75E-2</v>
      </c>
      <c r="E10" s="11">
        <v>0.155</v>
      </c>
      <c r="F10" s="11">
        <v>0</v>
      </c>
      <c r="G10" s="11">
        <v>0.23</v>
      </c>
      <c r="H10" s="11">
        <v>0.29749999999999999</v>
      </c>
      <c r="I10" s="11">
        <v>1.7500000000000002E-2</v>
      </c>
      <c r="J10" s="11">
        <v>0.1</v>
      </c>
      <c r="K10" s="11">
        <v>0</v>
      </c>
      <c r="L10" s="12">
        <v>7.0000000000000007E-2</v>
      </c>
      <c r="M10" s="12">
        <v>7.4999999999999997E-3</v>
      </c>
      <c r="N10" s="12"/>
      <c r="O10" s="12">
        <f t="shared" si="0"/>
        <v>0.99999999999999989</v>
      </c>
      <c r="P10" s="12"/>
      <c r="Q10" s="12"/>
      <c r="R10" s="12"/>
      <c r="S10" s="12"/>
      <c r="T10" s="12"/>
    </row>
    <row r="11" spans="1:30" x14ac:dyDescent="0.25">
      <c r="A11" t="str">
        <f>IF(Input!A12="","",Input!A12)</f>
        <v>Passive Adventurous Model</v>
      </c>
      <c r="B11" s="10">
        <v>4.4999999999999998E-2</v>
      </c>
      <c r="C11" s="10">
        <v>0.01</v>
      </c>
      <c r="D11" s="10">
        <v>2.75E-2</v>
      </c>
      <c r="G11" s="10">
        <v>0.28999999999999998</v>
      </c>
      <c r="H11" s="10">
        <v>0.38250000000000001</v>
      </c>
      <c r="I11" s="10">
        <v>2.2499999999999999E-2</v>
      </c>
      <c r="J11" s="10">
        <v>0.1275</v>
      </c>
      <c r="L11" s="5">
        <v>0.09</v>
      </c>
      <c r="M11" s="5">
        <v>5.0000000000000001E-3</v>
      </c>
      <c r="O11" s="5">
        <f t="shared" si="0"/>
        <v>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0.25040000000000001</v>
      </c>
      <c r="C12" s="10">
        <v>0.15010000000000001</v>
      </c>
      <c r="D12" s="10">
        <v>5.2999999999999999E-2</v>
      </c>
      <c r="E12" s="10">
        <v>0.36</v>
      </c>
      <c r="F12" s="10">
        <v>1.67E-2</v>
      </c>
      <c r="G12" s="10">
        <v>4.3499999999999997E-2</v>
      </c>
      <c r="H12" s="10">
        <v>8.8800000000000004E-2</v>
      </c>
      <c r="I12" s="10">
        <v>2.9999999999999997E-4</v>
      </c>
      <c r="J12" s="10">
        <v>1.95E-2</v>
      </c>
      <c r="K12" s="10">
        <v>2.0999999999999999E-3</v>
      </c>
      <c r="L12" s="5">
        <v>3.5999999999999999E-3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0.17269999999999999</v>
      </c>
      <c r="C13" s="10">
        <v>0.12380000000000001</v>
      </c>
      <c r="D13" s="10">
        <v>5.2999999999999999E-2</v>
      </c>
      <c r="E13" s="10">
        <v>0.30010000000000003</v>
      </c>
      <c r="F13" s="10">
        <v>1.41E-2</v>
      </c>
      <c r="G13" s="10">
        <v>8.3299999999999999E-2</v>
      </c>
      <c r="H13" s="10">
        <v>0.1638</v>
      </c>
      <c r="I13" s="10">
        <v>4.0000000000000001E-3</v>
      </c>
      <c r="J13" s="10">
        <v>3.7400000000000003E-2</v>
      </c>
      <c r="K13" s="10">
        <v>7.8000000000000005E-3</v>
      </c>
      <c r="L13" s="5">
        <v>2.81E-2</v>
      </c>
      <c r="M13" s="5">
        <v>1.2E-2</v>
      </c>
      <c r="N13" s="5"/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9.5000000000000001E-2</v>
      </c>
      <c r="C14" s="10">
        <v>6.9800000000000001E-2</v>
      </c>
      <c r="D14" s="10">
        <v>4.24E-2</v>
      </c>
      <c r="E14" s="10">
        <v>0.23579999999999998</v>
      </c>
      <c r="F14" s="10">
        <v>1.09E-2</v>
      </c>
      <c r="G14" s="10">
        <v>0.14880000000000002</v>
      </c>
      <c r="H14" s="10">
        <v>0.2676</v>
      </c>
      <c r="I14" s="10">
        <v>6.0000000000000001E-3</v>
      </c>
      <c r="J14" s="10">
        <v>5.9299999999999999E-2</v>
      </c>
      <c r="K14" s="10">
        <v>1.21E-2</v>
      </c>
      <c r="L14" s="5">
        <v>4.2699999999999995E-2</v>
      </c>
      <c r="M14" s="5">
        <v>9.5999999999999992E-3</v>
      </c>
      <c r="N14" s="5"/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6.6400000000000001E-2</v>
      </c>
      <c r="C15" s="10">
        <v>2.3E-2</v>
      </c>
      <c r="D15" s="10">
        <v>3.1800000000000002E-2</v>
      </c>
      <c r="E15" s="10">
        <v>0.14580000000000001</v>
      </c>
      <c r="F15" s="10">
        <v>6.7000000000000002E-3</v>
      </c>
      <c r="G15" s="10">
        <v>0.18190000000000001</v>
      </c>
      <c r="H15" s="10">
        <v>0.3715</v>
      </c>
      <c r="I15" s="10">
        <v>8.199999999999999E-3</v>
      </c>
      <c r="J15" s="10">
        <v>8.199999999999999E-2</v>
      </c>
      <c r="K15" s="10">
        <v>1.7000000000000001E-2</v>
      </c>
      <c r="L15" s="5">
        <v>5.8499999999999996E-2</v>
      </c>
      <c r="M15" s="5">
        <v>7.1999999999999998E-3</v>
      </c>
      <c r="N15" s="5"/>
      <c r="O15" s="5">
        <f t="shared" si="0"/>
        <v>0.99999999999999989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3.7200000000000004E-2</v>
      </c>
      <c r="C16" s="10">
        <v>8.3999999999999995E-3</v>
      </c>
      <c r="D16" s="10">
        <v>3.1800000000000002E-2</v>
      </c>
      <c r="G16" s="10">
        <v>0.23910000000000001</v>
      </c>
      <c r="H16" s="10">
        <v>0.46509999999999996</v>
      </c>
      <c r="I16" s="10">
        <v>1.0700000000000001E-2</v>
      </c>
      <c r="J16" s="10">
        <v>0.10289999999999999</v>
      </c>
      <c r="K16" s="10">
        <v>2.1600000000000001E-2</v>
      </c>
      <c r="L16" s="5">
        <v>7.5999999999999998E-2</v>
      </c>
      <c r="M16" s="5">
        <v>7.1999999999999998E-3</v>
      </c>
      <c r="O16" s="5">
        <f t="shared" si="0"/>
        <v>0.99999999999999989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3.0200000000000001E-2</v>
      </c>
      <c r="C17" s="10">
        <v>0.2021</v>
      </c>
      <c r="E17" s="10">
        <v>0.3251</v>
      </c>
      <c r="F17" s="10">
        <v>5.6500000000000002E-2</v>
      </c>
      <c r="G17" s="10">
        <v>0.11800000000000001</v>
      </c>
      <c r="H17" s="10">
        <v>7.2499999999999995E-2</v>
      </c>
      <c r="J17" s="10">
        <v>6.25E-2</v>
      </c>
      <c r="K17" s="10">
        <v>1.8799999999999997E-2</v>
      </c>
      <c r="L17" s="5">
        <v>1.43E-2</v>
      </c>
      <c r="M17" s="5"/>
      <c r="N17" s="5">
        <v>0.1</v>
      </c>
      <c r="O17" s="5">
        <f t="shared" si="0"/>
        <v>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3.0499999999999999E-2</v>
      </c>
      <c r="C18" s="10">
        <v>0.1048</v>
      </c>
      <c r="E18" s="10">
        <v>0.22120000000000001</v>
      </c>
      <c r="F18" s="10">
        <v>7.0300000000000001E-2</v>
      </c>
      <c r="G18" s="10">
        <v>0.19949999999999998</v>
      </c>
      <c r="H18" s="10">
        <v>0.15039999999999998</v>
      </c>
      <c r="J18" s="10">
        <v>0.1076</v>
      </c>
      <c r="K18" s="10">
        <v>2.6699999999999998E-2</v>
      </c>
      <c r="L18" s="5">
        <v>1.9E-2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3.0099999999999998E-2</v>
      </c>
      <c r="C19" s="10">
        <v>4.4900000000000002E-2</v>
      </c>
      <c r="E19" s="10">
        <v>8.3000000000000004E-2</v>
      </c>
      <c r="F19" s="10">
        <v>9.1700000000000004E-2</v>
      </c>
      <c r="G19" s="10">
        <v>0.28059999999999996</v>
      </c>
      <c r="H19" s="10">
        <v>0.20170000000000002</v>
      </c>
      <c r="J19" s="10">
        <v>0.15970000000000001</v>
      </c>
      <c r="K19" s="10">
        <v>3.4500000000000003E-2</v>
      </c>
      <c r="L19" s="5">
        <v>2.3799999999999998E-2</v>
      </c>
      <c r="M19" s="5"/>
      <c r="N19" s="5">
        <v>0.05</v>
      </c>
      <c r="O19" s="5">
        <f t="shared" si="0"/>
        <v>1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topLeftCell="B1" workbookViewId="0">
      <selection activeCell="D22" sqref="D2:D22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>
        <f>IF(A2="","",IF(OR('Additional Information'!G2="",'Additional Information'!G2="-"),"",'Additional Information'!G2))</f>
        <v>5.2300000000000006E-2</v>
      </c>
      <c r="D2" s="5">
        <f>IF(A2="","",SUM('Additional Information'!C2,'Additional Information'!D2))</f>
        <v>6.1999999999999998E-3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>
        <f>IF(A3="","",IF(OR('Additional Information'!G3="",'Additional Information'!G3="-"),"",'Additional Information'!G3))</f>
        <v>5.8799999999999998E-2</v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>
        <f>IF(A4="","",IF(OR('Additional Information'!G4="",'Additional Information'!G4="-"),"",'Additional Information'!G4))</f>
        <v>9.4499999999999987E-2</v>
      </c>
      <c r="D4" s="5">
        <f>IF(A4="","",SUM('Additional Information'!C4,'Additional Information'!D4))</f>
        <v>7.9000000000000008E-3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>
        <f>IF(A5="","",IF(OR('Additional Information'!G5="",'Additional Information'!G5="-"),"",'Additional Information'!G5))</f>
        <v>0.1244</v>
      </c>
      <c r="D5" s="5">
        <f>IF(A5="","",SUM('Additional Information'!C5,'Additional Information'!D5))</f>
        <v>8.6E-3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>
        <f>IF(A6="","",IF(OR('Additional Information'!G6="",'Additional Information'!G6="-"),"",'Additional Information'!G6))</f>
        <v>0.15859999999999999</v>
      </c>
      <c r="D6" s="5">
        <f>IF(A6="","",SUM('Additional Information'!C6,'Additional Information'!D6))</f>
        <v>9.2999999999999992E-3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>
        <f>IF(A7="","",IF(OR('Additional Information'!G7="",'Additional Information'!G7="-"),"",'Additional Information'!G7))</f>
        <v>7.3800000000000004E-2</v>
      </c>
      <c r="D7" s="5">
        <f>IF(A7="","",SUM('Additional Information'!C7,'Additional Information'!D7))</f>
        <v>3.4000000000000002E-3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>
        <f>IF(A8="","",IF(OR('Additional Information'!G8="",'Additional Information'!G8="-"),"",'Additional Information'!G8))</f>
        <v>9.7500000000000003E-2</v>
      </c>
      <c r="D8" s="5">
        <f>IF(A8="","",SUM('Additional Information'!C8,'Additional Information'!D8))</f>
        <v>3.3E-3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>
        <f>IF(A9="","",IF(OR('Additional Information'!G9="",'Additional Information'!G9="-"),"",'Additional Information'!G9))</f>
        <v>0.16320000000000001</v>
      </c>
      <c r="D9" s="5">
        <f>IF(A9="","",SUM('Additional Information'!C9,'Additional Information'!D9))</f>
        <v>3.1999999999999997E-3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>
        <f>IF(A10="","",IF(OR('Additional Information'!G10="",'Additional Information'!G10="-"),"",'Additional Information'!G10))</f>
        <v>0.22399999999999998</v>
      </c>
      <c r="D10" s="5">
        <f>IF(A10="","",SUM('Additional Information'!C10,'Additional Information'!D10))</f>
        <v>3.1000000000000003E-3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>
        <f>IF(A11="","",IF(OR('Additional Information'!G11="",'Additional Information'!G11="-"),"",'Additional Information'!G11))</f>
        <v>0.2918</v>
      </c>
      <c r="D11" s="5">
        <f>IF(A11="","",SUM('Additional Information'!C11,'Additional Information'!D11))</f>
        <v>3.1000000000000003E-3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7.3000000000000001E-3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8.3000000000000001E-3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9.1000000000000004E-3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0.01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0.17430000000000001</v>
      </c>
      <c r="C2">
        <f>IF(A2="","",SUM('Asset Allocation'!C2))</f>
        <v>0.15679999999999999</v>
      </c>
      <c r="D2">
        <f>IF(A2="","",SUM('Asset Allocation'!D2))</f>
        <v>4.7E-2</v>
      </c>
      <c r="F2">
        <f>IF(A2="","",SUM('Asset Allocation'!E2))</f>
        <v>0.35799999999999998</v>
      </c>
      <c r="G2">
        <f>IF(A2="","",SUM('Asset Allocation'!B2))</f>
        <v>0.25</v>
      </c>
      <c r="H2">
        <f t="shared" ref="H2:H50" si="0">IF(A2="","",1-SUM(B2:G2))</f>
        <v>1.3900000000000023E-2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0.31190000000000001</v>
      </c>
      <c r="C3">
        <f>IF(A3="","",SUM('Asset Allocation'!C3))</f>
        <v>0.12990000000000002</v>
      </c>
      <c r="D3">
        <f>IF(A3="","",SUM('Asset Allocation'!D3))</f>
        <v>4.7E-2</v>
      </c>
      <c r="F3">
        <f>IF(A3="","",SUM('Asset Allocation'!E3))</f>
        <v>0.29830000000000001</v>
      </c>
      <c r="G3">
        <f>IF(A3="","",SUM('Asset Allocation'!B3))</f>
        <v>0.17180000000000001</v>
      </c>
      <c r="H3">
        <f t="shared" si="0"/>
        <v>4.1099999999999914E-2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0.50580000000000003</v>
      </c>
      <c r="C4">
        <f>IF(A4="","",SUM('Asset Allocation'!C4))</f>
        <v>7.4400000000000008E-2</v>
      </c>
      <c r="D4">
        <f>IF(A4="","",SUM('Asset Allocation'!D4))</f>
        <v>3.7599999999999995E-2</v>
      </c>
      <c r="F4">
        <f>IF(A4="","",SUM('Asset Allocation'!E4))</f>
        <v>0.23449999999999999</v>
      </c>
      <c r="G4">
        <f>IF(A4="","",SUM('Asset Allocation'!B4))</f>
        <v>9.3900000000000011E-2</v>
      </c>
      <c r="H4">
        <f t="shared" si="0"/>
        <v>5.3799999999999959E-2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0.66919999999999991</v>
      </c>
      <c r="C5">
        <f>IF(A5="","",SUM('Asset Allocation'!C5))</f>
        <v>2.5899999999999999E-2</v>
      </c>
      <c r="D5">
        <f>IF(A5="","",SUM('Asset Allocation'!D5))</f>
        <v>2.8199999999999999E-2</v>
      </c>
      <c r="F5">
        <f>IF(A5="","",SUM('Asset Allocation'!E5))</f>
        <v>0.14499999999999999</v>
      </c>
      <c r="G5">
        <f>IF(A5="","",SUM('Asset Allocation'!B5))</f>
        <v>6.5099999999999991E-2</v>
      </c>
      <c r="H5">
        <f t="shared" si="0"/>
        <v>6.6599999999999993E-2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0.84549999999999992</v>
      </c>
      <c r="C6">
        <f>IF(A6="","",SUM('Asset Allocation'!C6))</f>
        <v>9.0000000000000011E-3</v>
      </c>
      <c r="D6">
        <f>IF(A6="","",SUM('Asset Allocation'!D6))</f>
        <v>2.8199999999999999E-2</v>
      </c>
      <c r="F6">
        <f>IF(A6="","",SUM('Asset Allocation'!E6))</f>
        <v>0</v>
      </c>
      <c r="G6">
        <f>IF(A6="","",SUM('Asset Allocation'!B6))</f>
        <v>3.56E-2</v>
      </c>
      <c r="H6">
        <f t="shared" si="0"/>
        <v>8.1700000000000106E-2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0.1525</v>
      </c>
      <c r="C7">
        <f>IF(A7="","",SUM('Asset Allocation'!C7))</f>
        <v>0.1525</v>
      </c>
      <c r="D7">
        <f>IF(A7="","",SUM('Asset Allocation'!D7))</f>
        <v>4.7500000000000001E-2</v>
      </c>
      <c r="F7">
        <f>IF(A7="","",SUM('Asset Allocation'!E7))</f>
        <v>0.38</v>
      </c>
      <c r="G7">
        <f>IF(A7="","",SUM('Asset Allocation'!B7))</f>
        <v>0.2525</v>
      </c>
      <c r="H7">
        <f t="shared" si="0"/>
        <v>1.5000000000000124E-2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0.28999999999999998</v>
      </c>
      <c r="C8">
        <f>IF(A8="","",SUM('Asset Allocation'!C8))</f>
        <v>0.125</v>
      </c>
      <c r="D8">
        <f>IF(A8="","",SUM('Asset Allocation'!D8))</f>
        <v>4.7500000000000001E-2</v>
      </c>
      <c r="F8">
        <f>IF(A8="","",SUM('Asset Allocation'!E8))</f>
        <v>0.315</v>
      </c>
      <c r="G8">
        <f>IF(A8="","",SUM('Asset Allocation'!B8))</f>
        <v>0.17749999999999999</v>
      </c>
      <c r="H8">
        <f t="shared" si="0"/>
        <v>4.500000000000004E-2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0.48249999999999998</v>
      </c>
      <c r="C9">
        <f>IF(A9="","",SUM('Asset Allocation'!C9))</f>
        <v>7.0000000000000007E-2</v>
      </c>
      <c r="D9">
        <f>IF(A9="","",SUM('Asset Allocation'!D9))</f>
        <v>3.7499999999999999E-2</v>
      </c>
      <c r="F9">
        <f>IF(A9="","",SUM('Asset Allocation'!E9))</f>
        <v>0.25</v>
      </c>
      <c r="G9">
        <f>IF(A9="","",SUM('Asset Allocation'!B9))</f>
        <v>0.1</v>
      </c>
      <c r="H9">
        <f t="shared" si="0"/>
        <v>6.0000000000000053E-2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0.64499999999999991</v>
      </c>
      <c r="C10">
        <f>IF(A10="","",SUM('Asset Allocation'!C10))</f>
        <v>2.2499999999999999E-2</v>
      </c>
      <c r="D10">
        <f>IF(A10="","",SUM('Asset Allocation'!D10))</f>
        <v>2.75E-2</v>
      </c>
      <c r="F10">
        <f>IF(A10="","",SUM('Asset Allocation'!E10))</f>
        <v>0.155</v>
      </c>
      <c r="G10">
        <f>IF(A10="","",SUM('Asset Allocation'!B10))</f>
        <v>7.2499999999999995E-2</v>
      </c>
      <c r="H10">
        <f t="shared" si="0"/>
        <v>7.7500000000000124E-2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0.82250000000000001</v>
      </c>
      <c r="C11">
        <f>IF(A11="","",SUM('Asset Allocation'!C11))</f>
        <v>0.01</v>
      </c>
      <c r="D11">
        <f>IF(A11="","",SUM('Asset Allocation'!D11))</f>
        <v>2.75E-2</v>
      </c>
      <c r="F11">
        <f>IF(A11="","",SUM('Asset Allocation'!E11))</f>
        <v>0</v>
      </c>
      <c r="G11">
        <f>IF(A11="","",SUM('Asset Allocation'!B11))</f>
        <v>4.4999999999999998E-2</v>
      </c>
      <c r="H11">
        <f t="shared" si="0"/>
        <v>9.4999999999999973E-2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0.17089999999999997</v>
      </c>
      <c r="C12">
        <f>IF(A12="","",SUM('Asset Allocation'!C12))</f>
        <v>0.15010000000000001</v>
      </c>
      <c r="D12">
        <f>IF(A12="","",SUM('Asset Allocation'!D12))</f>
        <v>5.2999999999999999E-2</v>
      </c>
      <c r="F12">
        <f>IF(A12="","",SUM('Asset Allocation'!E12))</f>
        <v>0.36</v>
      </c>
      <c r="G12">
        <f>IF(A12="","",SUM('Asset Allocation'!B12))</f>
        <v>0.25040000000000001</v>
      </c>
      <c r="H12">
        <f t="shared" si="0"/>
        <v>1.5600000000000058E-2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0.31039999999999995</v>
      </c>
      <c r="C13">
        <f>IF(A13="","",SUM('Asset Allocation'!C13))</f>
        <v>0.12380000000000001</v>
      </c>
      <c r="D13">
        <f>IF(A13="","",SUM('Asset Allocation'!D13))</f>
        <v>5.2999999999999999E-2</v>
      </c>
      <c r="F13">
        <f>IF(A13="","",SUM('Asset Allocation'!E13))</f>
        <v>0.30010000000000003</v>
      </c>
      <c r="G13">
        <f>IF(A13="","",SUM('Asset Allocation'!B13))</f>
        <v>0.17269999999999999</v>
      </c>
      <c r="H13">
        <f t="shared" si="0"/>
        <v>4.0000000000000036E-2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0.50470000000000004</v>
      </c>
      <c r="C14">
        <f>IF(A14="","",SUM('Asset Allocation'!C14))</f>
        <v>6.9800000000000001E-2</v>
      </c>
      <c r="D14">
        <f>IF(A14="","",SUM('Asset Allocation'!D14))</f>
        <v>4.24E-2</v>
      </c>
      <c r="F14">
        <f>IF(A14="","",SUM('Asset Allocation'!E14))</f>
        <v>0.23579999999999998</v>
      </c>
      <c r="G14">
        <f>IF(A14="","",SUM('Asset Allocation'!B14))</f>
        <v>9.5000000000000001E-2</v>
      </c>
      <c r="H14">
        <f t="shared" si="0"/>
        <v>5.2300000000000013E-2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0.6673</v>
      </c>
      <c r="C15">
        <f>IF(A15="","",SUM('Asset Allocation'!C15))</f>
        <v>2.3E-2</v>
      </c>
      <c r="D15">
        <f>IF(A15="","",SUM('Asset Allocation'!D15))</f>
        <v>3.1800000000000002E-2</v>
      </c>
      <c r="F15">
        <f>IF(A15="","",SUM('Asset Allocation'!E15))</f>
        <v>0.14580000000000001</v>
      </c>
      <c r="G15">
        <f>IF(A15="","",SUM('Asset Allocation'!B15))</f>
        <v>6.6400000000000001E-2</v>
      </c>
      <c r="H15">
        <f t="shared" si="0"/>
        <v>6.569999999999987E-2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0.83939999999999992</v>
      </c>
      <c r="C16">
        <f>IF(A16="","",SUM('Asset Allocation'!C16))</f>
        <v>8.3999999999999995E-3</v>
      </c>
      <c r="D16">
        <f>IF(A16="","",SUM('Asset Allocation'!D16))</f>
        <v>3.1800000000000002E-2</v>
      </c>
      <c r="F16">
        <f>IF(A16="","",SUM('Asset Allocation'!E16))</f>
        <v>0</v>
      </c>
      <c r="G16">
        <f>IF(A16="","",SUM('Asset Allocation'!B16))</f>
        <v>3.7200000000000004E-2</v>
      </c>
      <c r="H16">
        <f t="shared" si="0"/>
        <v>8.3200000000000052E-2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0.32829999999999998</v>
      </c>
      <c r="C17">
        <f>IF(A17="","",SUM('Asset Allocation'!C17))</f>
        <v>0.2021</v>
      </c>
      <c r="D17">
        <f>IF(A17="","",SUM('Asset Allocation'!D17))</f>
        <v>0</v>
      </c>
      <c r="F17">
        <f>IF(A17="","",SUM('Asset Allocation'!E17))</f>
        <v>0.3251</v>
      </c>
      <c r="G17">
        <f>IF(A17="","",SUM('Asset Allocation'!B17))</f>
        <v>3.0200000000000001E-2</v>
      </c>
      <c r="H17">
        <f t="shared" si="0"/>
        <v>0.11430000000000007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0.55449999999999988</v>
      </c>
      <c r="C18">
        <f>IF(A18="","",SUM('Asset Allocation'!C18))</f>
        <v>0.1048</v>
      </c>
      <c r="D18">
        <f>IF(A18="","",SUM('Asset Allocation'!D18))</f>
        <v>0</v>
      </c>
      <c r="F18">
        <f>IF(A18="","",SUM('Asset Allocation'!E18))</f>
        <v>0.22120000000000001</v>
      </c>
      <c r="G18">
        <f>IF(A18="","",SUM('Asset Allocation'!B18))</f>
        <v>3.0499999999999999E-2</v>
      </c>
      <c r="H18">
        <f t="shared" si="0"/>
        <v>8.900000000000019E-2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0.76819999999999999</v>
      </c>
      <c r="C19">
        <f>IF(A19="","",SUM('Asset Allocation'!C19))</f>
        <v>4.4900000000000002E-2</v>
      </c>
      <c r="D19">
        <f>IF(A19="","",SUM('Asset Allocation'!D19))</f>
        <v>0</v>
      </c>
      <c r="F19">
        <f>IF(A19="","",SUM('Asset Allocation'!E19))</f>
        <v>8.3000000000000004E-2</v>
      </c>
      <c r="G19">
        <f>IF(A19="","",SUM('Asset Allocation'!B19))</f>
        <v>3.0099999999999998E-2</v>
      </c>
      <c r="H19">
        <f t="shared" si="0"/>
        <v>7.3799999999999977E-2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0.33333333333333331</v>
      </c>
      <c r="C2" s="6">
        <f>IFERROR(IF(A2="","",SUM('Asset Allocation'!F2)/'Broad Asset Allocation'!B2),0)</f>
        <v>7.7452667814113599E-2</v>
      </c>
      <c r="D2" s="6">
        <f>IFERROR(IF(A2="","",SUM('Asset Allocation'!H2)/'Broad Asset Allocation'!B2),0)</f>
        <v>0.43086632243258749</v>
      </c>
      <c r="E2" s="6">
        <f>IFERROR(IF(A2="","",SUM('Asset Allocation'!I2)/'Broad Asset Allocation'!B2),0)</f>
        <v>2.0080321285140559E-2</v>
      </c>
      <c r="F2" s="6"/>
      <c r="G2" s="6">
        <f>IFERROR(IF(A2="","",SUM('Asset Allocation'!J2)/'Broad Asset Allocation'!B2),0)</f>
        <v>0.12851405622489961</v>
      </c>
      <c r="H2" s="6">
        <f>IFERROR(IF(A2="","",SUM('Asset Allocation'!K2)/'Broad Asset Allocation'!B2),0)</f>
        <v>9.7532989099254168E-3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0.37704392433472267</v>
      </c>
      <c r="C3" s="6">
        <f>IFERROR(IF(A3="","",SUM('Asset Allocation'!F3)/'Broad Asset Allocation'!B3),0)</f>
        <v>3.5908945174735495E-2</v>
      </c>
      <c r="D3" s="6">
        <f>IFERROR(IF(A3="","",SUM('Asset Allocation'!H3)/'Broad Asset Allocation'!B3),0)</f>
        <v>0.40397563321577429</v>
      </c>
      <c r="E3" s="6">
        <f>IFERROR(IF(A3="","",SUM('Asset Allocation'!I3)/'Broad Asset Allocation'!B3),0)</f>
        <v>2.789355562680346E-2</v>
      </c>
      <c r="F3" s="6"/>
      <c r="G3" s="6">
        <f>IFERROR(IF(A3="","",SUM('Asset Allocation'!J3)/'Broad Asset Allocation'!B3),0)</f>
        <v>0.1378647002244309</v>
      </c>
      <c r="H3" s="6">
        <f>IFERROR(IF(A3="","",SUM('Asset Allocation'!K3)/'Broad Asset Allocation'!B3),0)</f>
        <v>1.7313241423533184E-2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0.37267694741004348</v>
      </c>
      <c r="C4" s="6">
        <f>IFERROR(IF(A4="","",SUM('Asset Allocation'!F4)/'Broad Asset Allocation'!B4),0)</f>
        <v>1.7398181099248716E-2</v>
      </c>
      <c r="D4" s="6">
        <f>IFERROR(IF(A4="","",SUM('Asset Allocation'!H4)/'Broad Asset Allocation'!B4),0)</f>
        <v>0.42862791617240015</v>
      </c>
      <c r="E4" s="6">
        <f>IFERROR(IF(A4="","",SUM('Asset Allocation'!I4)/'Broad Asset Allocation'!B4),0)</f>
        <v>2.7876631079478052E-2</v>
      </c>
      <c r="F4" s="6"/>
      <c r="G4" s="6">
        <f>IFERROR(IF(A4="","",SUM('Asset Allocation'!J4)/'Broad Asset Allocation'!B4),0)</f>
        <v>0.1362198497429814</v>
      </c>
      <c r="H4" s="6">
        <f>IFERROR(IF(A4="","",SUM('Asset Allocation'!K4)/'Broad Asset Allocation'!B4),0)</f>
        <v>1.7200474495848158E-2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0.37328153018529592</v>
      </c>
      <c r="C5" s="6">
        <f>IFERROR(IF(A5="","",SUM('Asset Allocation'!F5)/'Broad Asset Allocation'!B5),0)</f>
        <v>8.0693365212193679E-3</v>
      </c>
      <c r="D5" s="6">
        <f>IFERROR(IF(A5="","",SUM('Asset Allocation'!H5)/'Broad Asset Allocation'!B5),0)</f>
        <v>0.42991631799163188</v>
      </c>
      <c r="E5" s="6">
        <f>IFERROR(IF(A5="","",SUM('Asset Allocation'!I5)/'Broad Asset Allocation'!B5),0)</f>
        <v>2.9288702928870296E-2</v>
      </c>
      <c r="F5" s="6"/>
      <c r="G5" s="6">
        <f>IFERROR(IF(A5="","",SUM('Asset Allocation'!J5)/'Broad Asset Allocation'!B5),0)</f>
        <v>0.14151225343693966</v>
      </c>
      <c r="H5" s="6">
        <f>IFERROR(IF(A5="","",SUM('Asset Allocation'!K5)/'Broad Asset Allocation'!B5),0)</f>
        <v>1.793185893604304E-2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0.36948551153163811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0.43938497930218812</v>
      </c>
      <c r="E6" s="6">
        <f>IFERROR(IF(A6="","",SUM('Asset Allocation'!I6)/'Broad Asset Allocation'!B6),0)</f>
        <v>2.9686575990538144E-2</v>
      </c>
      <c r="F6" s="6"/>
      <c r="G6" s="6">
        <f>IFERROR(IF(A6="","",SUM('Asset Allocation'!J6)/'Broad Asset Allocation'!B6),0)</f>
        <v>0.14334713187463038</v>
      </c>
      <c r="H6" s="6">
        <f>IFERROR(IF(A6="","",SUM('Asset Allocation'!K6)/'Broad Asset Allocation'!B6),0)</f>
        <v>1.8095801301005326E-2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0.32786885245901642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0.50819672131147542</v>
      </c>
      <c r="E7" s="6">
        <f>IFERROR(IF(A7="","",SUM('Asset Allocation'!I7)/'Broad Asset Allocation'!B7),0)</f>
        <v>1.6393442622950821E-2</v>
      </c>
      <c r="F7" s="6"/>
      <c r="G7" s="6">
        <f>IFERROR(IF(A7="","",SUM('Asset Allocation'!J7)/'Broad Asset Allocation'!B7),0)</f>
        <v>0.14754098360655737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0.36206896551724138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0.45689655172413801</v>
      </c>
      <c r="E8" s="6">
        <f>IFERROR(IF(A8="","",SUM('Asset Allocation'!I8)/'Broad Asset Allocation'!B8),0)</f>
        <v>2.5862068965517241E-2</v>
      </c>
      <c r="F8" s="6"/>
      <c r="G8" s="6">
        <f>IFERROR(IF(A8="","",SUM('Asset Allocation'!J8)/'Broad Asset Allocation'!B8),0)</f>
        <v>0.15517241379310345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0.35751295336787564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0.46632124352331611</v>
      </c>
      <c r="E9" s="6">
        <f>IFERROR(IF(A9="","",SUM('Asset Allocation'!I9)/'Broad Asset Allocation'!B9),0)</f>
        <v>2.5906735751295339E-2</v>
      </c>
      <c r="F9" s="6"/>
      <c r="G9" s="6">
        <f>IFERROR(IF(A9="","",SUM('Asset Allocation'!J9)/'Broad Asset Allocation'!B9),0)</f>
        <v>0.15025906735751296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0.35658914728682178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0.46124031007751942</v>
      </c>
      <c r="E10" s="6">
        <f>IFERROR(IF(A10="","",SUM('Asset Allocation'!I10)/'Broad Asset Allocation'!B10),0)</f>
        <v>2.7131782945736441E-2</v>
      </c>
      <c r="F10" s="6"/>
      <c r="G10" s="6">
        <f>IFERROR(IF(A10="","",SUM('Asset Allocation'!J10)/'Broad Asset Allocation'!B10),0)</f>
        <v>0.15503875968992251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0.35258358662613981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0.46504559270516715</v>
      </c>
      <c r="E11" s="6">
        <f>IFERROR(IF(A11="","",SUM('Asset Allocation'!I11)/'Broad Asset Allocation'!B11),0)</f>
        <v>2.7355623100303952E-2</v>
      </c>
      <c r="F11" s="6"/>
      <c r="G11" s="6">
        <f>IFERROR(IF(A11="","",SUM('Asset Allocation'!J11)/'Broad Asset Allocation'!B11),0)</f>
        <v>0.15501519756838905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0.25453481568168523</v>
      </c>
      <c r="C12" s="6">
        <f>IFERROR(IF(A12="","",SUM('Asset Allocation'!F12)/'Broad Asset Allocation'!B12),0)</f>
        <v>9.7717963721474566E-2</v>
      </c>
      <c r="D12" s="6">
        <f>IFERROR(IF(A12="","",SUM('Asset Allocation'!H12)/'Broad Asset Allocation'!B12),0)</f>
        <v>0.51960210649502647</v>
      </c>
      <c r="E12" s="6">
        <f>IFERROR(IF(A12="","",SUM('Asset Allocation'!I12)/'Broad Asset Allocation'!B12),0)</f>
        <v>1.7554125219426567E-3</v>
      </c>
      <c r="F12" s="6"/>
      <c r="G12" s="6">
        <f>IFERROR(IF(A12="","",SUM('Asset Allocation'!J12)/'Broad Asset Allocation'!B12),0)</f>
        <v>0.11410181392627269</v>
      </c>
      <c r="H12" s="6">
        <f>IFERROR(IF(A12="","",SUM('Asset Allocation'!K12)/'Broad Asset Allocation'!B12),0)</f>
        <v>1.2287887653598598E-2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0.26836340206185572</v>
      </c>
      <c r="C13" s="6">
        <f>IFERROR(IF(A13="","",SUM('Asset Allocation'!F13)/'Broad Asset Allocation'!B13),0)</f>
        <v>4.5425257731958768E-2</v>
      </c>
      <c r="D13" s="6">
        <f>IFERROR(IF(A13="","",SUM('Asset Allocation'!H13)/'Broad Asset Allocation'!B13),0)</f>
        <v>0.52770618556701043</v>
      </c>
      <c r="E13" s="6">
        <f>IFERROR(IF(A13="","",SUM('Asset Allocation'!I13)/'Broad Asset Allocation'!B13),0)</f>
        <v>1.2886597938144333E-2</v>
      </c>
      <c r="F13" s="6"/>
      <c r="G13" s="6">
        <f>IFERROR(IF(A13="","",SUM('Asset Allocation'!J13)/'Broad Asset Allocation'!B13),0)</f>
        <v>0.12048969072164951</v>
      </c>
      <c r="H13" s="6">
        <f>IFERROR(IF(A13="","",SUM('Asset Allocation'!K13)/'Broad Asset Allocation'!B13),0)</f>
        <v>2.5128865979381448E-2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0.29482861105607294</v>
      </c>
      <c r="C14" s="6">
        <f>IFERROR(IF(A14="","",SUM('Asset Allocation'!F14)/'Broad Asset Allocation'!B14),0)</f>
        <v>2.1596988309887061E-2</v>
      </c>
      <c r="D14" s="6">
        <f>IFERROR(IF(A14="","",SUM('Asset Allocation'!H14)/'Broad Asset Allocation'!B14),0)</f>
        <v>0.53021596988309883</v>
      </c>
      <c r="E14" s="6">
        <f>IFERROR(IF(A14="","",SUM('Asset Allocation'!I14)/'Broad Asset Allocation'!B14),0)</f>
        <v>1.1888250445809391E-2</v>
      </c>
      <c r="F14" s="6"/>
      <c r="G14" s="6">
        <f>IFERROR(IF(A14="","",SUM('Asset Allocation'!J14)/'Broad Asset Allocation'!B14),0)</f>
        <v>0.11749554190608281</v>
      </c>
      <c r="H14" s="6">
        <f>IFERROR(IF(A14="","",SUM('Asset Allocation'!K14)/'Broad Asset Allocation'!B14),0)</f>
        <v>2.3974638399048936E-2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0.27259103851341226</v>
      </c>
      <c r="C15" s="6">
        <f>IFERROR(IF(A15="","",SUM('Asset Allocation'!F15)/'Broad Asset Allocation'!B15),0)</f>
        <v>1.0040461561516559E-2</v>
      </c>
      <c r="D15" s="6">
        <f>IFERROR(IF(A15="","",SUM('Asset Allocation'!H15)/'Broad Asset Allocation'!B15),0)</f>
        <v>0.55672111494080623</v>
      </c>
      <c r="E15" s="6">
        <f>IFERROR(IF(A15="","",SUM('Asset Allocation'!I15)/'Broad Asset Allocation'!B15),0)</f>
        <v>1.2288326090214295E-2</v>
      </c>
      <c r="F15" s="6"/>
      <c r="G15" s="6">
        <f>IFERROR(IF(A15="","",SUM('Asset Allocation'!J15)/'Broad Asset Allocation'!B15),0)</f>
        <v>0.12288326090214295</v>
      </c>
      <c r="H15" s="6">
        <f>IFERROR(IF(A15="","",SUM('Asset Allocation'!K15)/'Broad Asset Allocation'!B15),0)</f>
        <v>2.5475797991907689E-2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0.2848463187991423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0.55408625208482254</v>
      </c>
      <c r="E16" s="6">
        <f>IFERROR(IF(A16="","",SUM('Asset Allocation'!I16)/'Broad Asset Allocation'!B16),0)</f>
        <v>1.2747200381224687E-2</v>
      </c>
      <c r="F16" s="6"/>
      <c r="G16" s="6">
        <f>IFERROR(IF(A16="","",SUM('Asset Allocation'!J16)/'Broad Asset Allocation'!B16),0)</f>
        <v>0.12258756254467477</v>
      </c>
      <c r="H16" s="6">
        <f>IFERROR(IF(A16="","",SUM('Asset Allocation'!K16)/'Broad Asset Allocation'!B16),0)</f>
        <v>2.5732666190135815E-2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0.35942735303076456</v>
      </c>
      <c r="C17" s="6">
        <f>IFERROR(IF(A17="","",SUM('Asset Allocation'!F17)/'Broad Asset Allocation'!B17),0)</f>
        <v>0.1720986902223576</v>
      </c>
      <c r="D17" s="6">
        <f>IFERROR(IF(A17="","",SUM('Asset Allocation'!H17)/'Broad Asset Allocation'!B17),0)</f>
        <v>0.2208346024977155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0.19037465732561681</v>
      </c>
      <c r="H17" s="6">
        <f>IFERROR(IF(A17="","",SUM('Asset Allocation'!K17)/'Broad Asset Allocation'!B17),0)</f>
        <v>5.7264696923545536E-2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0.35978358881875566</v>
      </c>
      <c r="C18" s="6">
        <f>IFERROR(IF(A18="","",SUM('Asset Allocation'!F18)/'Broad Asset Allocation'!B18),0)</f>
        <v>0.1267808836789901</v>
      </c>
      <c r="D18" s="6">
        <f>IFERROR(IF(A18="","",SUM('Asset Allocation'!H18)/'Broad Asset Allocation'!B18),0)</f>
        <v>0.27123534715960329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0.19404869251578002</v>
      </c>
      <c r="H18" s="6">
        <f>IFERROR(IF(A18="","",SUM('Asset Allocation'!K18)/'Broad Asset Allocation'!B18),0)</f>
        <v>4.8151487826871064E-2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0.36526946107784425</v>
      </c>
      <c r="C19" s="6">
        <f>IFERROR(IF(A19="","",SUM('Asset Allocation'!F19)/'Broad Asset Allocation'!B19),0)</f>
        <v>0.11936995574069253</v>
      </c>
      <c r="D19" s="6">
        <f>IFERROR(IF(A19="","",SUM('Asset Allocation'!H19)/'Broad Asset Allocation'!B19),0)</f>
        <v>0.26256183285602708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0.20788857068471753</v>
      </c>
      <c r="H19" s="6">
        <f>IFERROR(IF(A19="","",SUM('Asset Allocation'!K19)/'Broad Asset Allocation'!B19),0)</f>
        <v>4.491017964071857E-2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2023-12-13T22:36:29Z</dcterms:modified>
</cp:coreProperties>
</file>