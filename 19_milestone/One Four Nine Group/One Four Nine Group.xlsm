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<sst xmlns="http://schemas.openxmlformats.org/spreadsheetml/2006/main" count="163" uniqueCount="94">
  <si>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</si>
  <si>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</si>
  <si>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</si>
  <si>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</si>
  <si>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</si>
  <si>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</si>
  <si>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</si>
  <si>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</si>
  <si>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</si>
  <si>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</si>
  <si>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</si>
  <si>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</si>
  <si>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</si>
  <si>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</si>
  <si>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</si>
  <si>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</si>
  <si>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</si>
  <si>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</si>
  <si>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</si>
  <si>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</si>
  <si>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</si>
  <si>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</si>
  <si>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</si>
  <si>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</si>
  <si>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</si>
  <si>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</si>
  <si>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</si>
  <si>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</si>
  <si>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</si>
  <si>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</si>
  <si>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</si>
  <si>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</si>
  <si>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</si>
  <si>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</si>
  <si>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</si>
  <si>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</si>
  <si>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</si>
  <si>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</si>
  <si>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</si>
  <si>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</si>
  <si>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</si>
  <si>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</si>
  <si>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</si>
  <si>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</si>
  <si>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</si>
  <si>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</si>
  <si>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</si>
  <si>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</si>
  <si>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</si>
  <si>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</si>
  <si>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</si>
  <si>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</si>
  <si>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</si>
  <si>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</si>
  <si>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</si>
  <si>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</si>
  <si>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</si>
  <si>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</si>
  <si>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</si>
  <si>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</si>
  <si>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</si>
  <si>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</si>
  <si>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</si>
  <si>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</si>
  <si>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</si>
  <si>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</si>
  <si>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</si>
  <si>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</si>
  <si>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</si>
  <si>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</si>
  <si>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</si>
  <si>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</si>
  <si>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</si>
  <si>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</si>
  <si>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Real Assets</t>
  </si>
  <si>
    <t>https://www.onefourninegroup.co.uk/wp-content/uploads/2024/01/Investment-OFNPM-Active-Defensive-Factsheet-December-2023.pdf</t>
  </si>
  <si>
    <t>https://www.onefourninegroup.co.uk/wp-content/uploads/2024/01/Investment-OFNPM-Active-Cautious-Factsheet-December-2023.pdf</t>
  </si>
  <si>
    <t>https://www.onefourninegroup.co.uk/wp-content/uploads/2024/01/Investment-OFNPM-Active-Balanced-Factsheet-December-2023.pdf</t>
  </si>
  <si>
    <t>https://www.onefourninegroup.co.uk/wp-content/uploads/2024/01/Investment-OFNPM-Active-Growth-Factsheet-December-2023.pdf</t>
  </si>
  <si>
    <t>https://www.onefourninegroup.co.uk/wp-content/uploads/2024/01/Investment-OFNPM-Active-Adventurous-Factsheet-December-2023.pdf</t>
  </si>
  <si>
    <t>https://www.onefourninegroup.co.uk/wp-content/uploads/2024/01/Investment-OFNPM-Passive-Defensive-Factsheet-December-2023.pdf</t>
  </si>
  <si>
    <t>https://www.onefourninegroup.co.uk/wp-content/uploads/2024/01/Investment-OFNPM-Passive-Cautious-Factsheet-December-2023.pdf</t>
  </si>
  <si>
    <t>https://www.onefourninegroup.co.uk/wp-content/uploads/2024/01/Investment-OFNPM-Passive-Balanced-Factsheet-December-2023.pdf</t>
  </si>
  <si>
    <t>https://www.onefourninegroup.co.uk/wp-content/uploads/2024/01/Investment-OFNPM-Passive-Growth-Factsheet-December-2023.pdf</t>
  </si>
  <si>
    <t>https://www.onefourninegroup.co.uk/wp-content/uploads/2024/01/Investment-OFNPM-Passive-Adventurous-Factsheet-December-2023.pdf</t>
  </si>
  <si>
    <t>https://www.onefourninegroup.co.uk/wp-content/uploads/2024/01/Investment-OFNPM-Sustainable-Defensive-Factsheet-December-2023.pdf</t>
  </si>
  <si>
    <t>https://www.onefourninegroup.co.uk/wp-content/uploads/2024/01/Investment-OFNPM-Sustainable-Cautious-Factsheet-December-2023.pdf</t>
  </si>
  <si>
    <t>https://www.onefourninegroup.co.uk/wp-content/uploads/2024/01/Investment-OFNPM-Sustainable-Balanced-Factsheet-December-2023.pdf</t>
  </si>
  <si>
    <t>https://www.onefourninegroup.co.uk/wp-content/uploads/2024/01/Investment-OFNPM-Sustainable-Growth-Factsheet-December-2023.pdf</t>
  </si>
  <si>
    <t>https://www.onefourninegroup.co.uk/wp-content/uploads/2024/01/Investment-OFNPM-Sustainable-Adventurous-Factsheet-December-2023.pdf</t>
  </si>
  <si>
    <t>https://www.onefourninegroup.co.uk/wp-content/uploads/2024/01/Investment-OFNPM-Income-Cautious-Factsheet-December-2023.pdf</t>
  </si>
  <si>
    <t>https://www.onefourninegroup.co.uk/wp-content/uploads/2024/01/Investment-OFNPM-Income-Balanced-Factsheet-December-2023.pdf</t>
  </si>
  <si>
    <t>https://www.onefourninegroup.co.uk/wp-content/uploads/2024/01/Investment-OFNPM-Income-Growth-Factsheet-December-2023.pdf</t>
  </si>
  <si>
    <t>31/12/2023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</si>
</sst>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workbookViewId="0">
      <selection activeCell="A3" sqref="A3:A20"/>
    </sheetView>
  </sheetViews>
  <sheetFormatPr defaultRowHeight="15" x14ac:dyDescent="0.25"/>
  <cols>
    <col min="1" max="1" width="30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https://www.onefourninegroup.co.uk/wp-content/uploads/2024/01/Investment-OFNPM-Active-Defensive-Factsheet-December-2023.pdf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https://www.onefourninegroup.co.uk/wp-content/uploads/2024/01/Investment-OFNPM-Active-Cautious-Factsheet-December-2023.pdf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https://www.onefourninegroup.co.uk/wp-content/uploads/2024/01/Investment-OFNPM-Active-Balanced-Factsheet-December-2023.pdf</v>
      </c>
    </row>
    <row r="6" spans="1:10" x14ac:dyDescent="0.25">
      <c r="A6" t="s">
        <v>38</v>
      </c>
      <c r="B6" t="str">
        <f>'PDF Scraping'!D5</f>
        <v>https://www.onefourninegroup.co.uk/wp-content/uploads/2024/01/Investment-OFNPM-Active-Growth-Factsheet-December-2023.pdf</v>
      </c>
    </row>
    <row r="7" spans="1:10" x14ac:dyDescent="0.25">
      <c r="A7" t="s">
        <v>39</v>
      </c>
      <c r="B7" t="str">
        <f>'PDF Scraping'!D6</f>
        <v>https://www.onefourninegroup.co.uk/wp-content/uploads/2024/01/Investment-OFNPM-Active-Adventurous-Factsheet-December-2023.pdf</v>
      </c>
    </row>
    <row r="8" spans="1:10" x14ac:dyDescent="0.25">
      <c r="A8" t="s">
        <v>40</v>
      </c>
      <c r="B8" t="str">
        <f>'PDF Scraping'!D7</f>
        <v>https://www.onefourninegroup.co.uk/wp-content/uploads/2024/01/Investment-OFNPM-Passive-Defensive-Factsheet-December-2023.pdf</v>
      </c>
    </row>
    <row r="9" spans="1:10" x14ac:dyDescent="0.25">
      <c r="A9" t="s">
        <v>41</v>
      </c>
      <c r="B9" t="str">
        <f>'PDF Scraping'!D8</f>
        <v>https://www.onefourninegroup.co.uk/wp-content/uploads/2024/01/Investment-OFNPM-Passive-Cautious-Factsheet-December-2023.pdf</v>
      </c>
    </row>
    <row r="10" spans="1:10" x14ac:dyDescent="0.25">
      <c r="A10" t="s">
        <v>42</v>
      </c>
      <c r="B10" t="str">
        <f>'PDF Scraping'!D9</f>
        <v>https://www.onefourninegroup.co.uk/wp-content/uploads/2024/01/Investment-OFNPM-Passive-Balanced-Factsheet-December-2023.pdf</v>
      </c>
    </row>
    <row r="11" spans="1:10" x14ac:dyDescent="0.25">
      <c r="A11" t="s">
        <v>43</v>
      </c>
      <c r="B11" t="str">
        <f>'PDF Scraping'!D10</f>
        <v>https://www.onefourninegroup.co.uk/wp-content/uploads/2024/01/Investment-OFNPM-Passive-Growth-Factsheet-December-2023.pdf</v>
      </c>
    </row>
    <row r="12" spans="1:10" x14ac:dyDescent="0.25">
      <c r="A12" t="s">
        <v>44</v>
      </c>
      <c r="B12" t="str">
        <f>'PDF Scraping'!D11</f>
        <v>https://www.onefourninegroup.co.uk/wp-content/uploads/2024/01/Investment-OFNPM-Passive-Adventurous-Factsheet-December-2023.pdf</v>
      </c>
    </row>
    <row r="13" spans="1:10" x14ac:dyDescent="0.25">
      <c r="A13" t="s">
        <v>45</v>
      </c>
      <c r="B13" t="str">
        <f>'PDF Scraping'!D12</f>
        <v>https://www.onefourninegroup.co.uk/wp-content/uploads/2024/01/Investment-OFNPM-Sustainable-Defensive-Factsheet-December-2023.pdf</v>
      </c>
    </row>
    <row r="14" spans="1:10" x14ac:dyDescent="0.25">
      <c r="A14" t="s">
        <v>46</v>
      </c>
      <c r="B14" t="str">
        <f>'PDF Scraping'!D13</f>
        <v>https://www.onefourninegroup.co.uk/wp-content/uploads/2024/01/Investment-OFNPM-Sustainable-Cautious-Factsheet-December-2023.pdf</v>
      </c>
    </row>
    <row r="15" spans="1:10" x14ac:dyDescent="0.25">
      <c r="A15" t="s">
        <v>47</v>
      </c>
      <c r="B15" t="str">
        <f>'PDF Scraping'!D14</f>
        <v>https://www.onefourninegroup.co.uk/wp-content/uploads/2024/01/Investment-OFNPM-Sustainable-Balanced-Factsheet-December-2023.pdf</v>
      </c>
    </row>
    <row r="16" spans="1:10" x14ac:dyDescent="0.25">
      <c r="A16" t="s">
        <v>48</v>
      </c>
      <c r="B16" t="str">
        <f>'PDF Scraping'!D15</f>
        <v>https://www.onefourninegroup.co.uk/wp-content/uploads/2024/01/Investment-OFNPM-Sustainable-Growth-Factsheet-December-2023.pdf</v>
      </c>
    </row>
    <row r="17" spans="1:2" x14ac:dyDescent="0.25">
      <c r="A17" t="s">
        <v>49</v>
      </c>
      <c r="B17" t="str">
        <f>'PDF Scraping'!D16</f>
        <v>https://www.onefourninegroup.co.uk/wp-content/uploads/2024/01/Investment-OFNPM-Sustainable-Adventurous-Factsheet-December-2023.pdf</v>
      </c>
    </row>
    <row r="18" spans="1:2" x14ac:dyDescent="0.25">
      <c r="A18" t="s">
        <v>50</v>
      </c>
      <c r="B18" t="str">
        <f>'PDF Scraping'!D17</f>
        <v>https://www.onefourninegroup.co.uk/wp-content/uploads/2024/01/Investment-OFNPM-Income-Cautious-Factsheet-December-2023.pdf</v>
      </c>
    </row>
    <row r="19" spans="1:2" x14ac:dyDescent="0.25">
      <c r="A19" t="s">
        <v>51</v>
      </c>
      <c r="B19" t="str">
        <f>'PDF Scraping'!D18</f>
        <v>https://www.onefourninegroup.co.uk/wp-content/uploads/2024/01/Investment-OFNPM-Income-Balanced-Factsheet-December-2023.pdf</v>
      </c>
    </row>
    <row r="20" spans="1:2" x14ac:dyDescent="0.25">
      <c r="A20" t="s">
        <v>52</v>
      </c>
      <c r="B20" t="str">
        <f>'PDF Scraping'!D19</f>
        <v>https://www.onefourninegroup.co.uk/wp-content/uploads/2024/01/Investment-OFNPM-Income-Growth-Factsheet-December-2023.pdf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tabSelected="1" workbookViewId="0">
      <selection activeCell="F27" sqref="F27"/>
    </sheetView>
  </sheetViews>
  <sheetFormatPr defaultRowHeight="15" x14ac:dyDescent="0.25"/>
  <cols>
    <col min="1" max="1" width="26.140625" bestFit="1" customWidth="1"/>
    <col min="2" max="2" width="10.7109375" bestFit="1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60</v>
      </c>
      <c r="F1" t="s">
        <v>61</v>
      </c>
      <c r="G1" t="s">
        <v>62</v>
      </c>
    </row>
    <row r="2" spans="1:9" x14ac:dyDescent="0.25">
      <c r="A2" t="str">
        <f>IF(Input!A3="","",Input!A3)</f>
        <v>Active Defensive Model</v>
      </c>
      <c r="B2" s="1" t="s">
        <v>93</v>
      </c>
      <c r="C2" s="10">
        <v>2E-3</v>
      </c>
      <c r="D2" s="10">
        <v>4.1999999999999997E-3</v>
      </c>
      <c r="E2" s="10">
        <v>2.4E-2</v>
      </c>
      <c r="F2" s="5">
        <v>6.9099999999999995E-2</v>
      </c>
      <c r="G2" s="5">
        <v>6.8400000000000002E-2</v>
      </c>
      <c r="H2" s="5"/>
      <c r="I2" s="5"/>
    </row>
    <row r="3" spans="1:9" x14ac:dyDescent="0.25">
      <c r="A3" t="str">
        <f>IF(Input!A4="","",Input!A4)</f>
        <v>Active Cautious Model</v>
      </c>
      <c r="B3" s="1" t="s">
        <v>93</v>
      </c>
      <c r="C3" s="10">
        <v>2E-3</v>
      </c>
      <c r="D3" s="10">
        <v>5.0000000000000001E-3</v>
      </c>
      <c r="E3" s="10">
        <v>2.92E-2</v>
      </c>
      <c r="F3" s="5">
        <v>7.0699999999999999E-2</v>
      </c>
      <c r="G3" s="5">
        <v>7.4200000000000002E-2</v>
      </c>
      <c r="H3" s="5"/>
      <c r="I3" s="5"/>
    </row>
    <row r="4" spans="1:9" x14ac:dyDescent="0.25">
      <c r="A4" t="str">
        <f>IF(Input!A5="","",Input!A5)</f>
        <v>Active Balanced Model</v>
      </c>
      <c r="B4" s="1" t="s">
        <v>93</v>
      </c>
      <c r="C4" s="10">
        <v>2E-3</v>
      </c>
      <c r="D4" s="10">
        <v>5.7999999999999996E-3</v>
      </c>
      <c r="E4" s="10">
        <v>3.5699999999999996E-2</v>
      </c>
      <c r="F4" s="5">
        <v>8.5000000000000006E-2</v>
      </c>
      <c r="G4" s="5">
        <v>0.10300000000000001</v>
      </c>
      <c r="H4" s="5"/>
      <c r="I4" s="5"/>
    </row>
    <row r="5" spans="1:9" x14ac:dyDescent="0.25">
      <c r="A5" t="str">
        <f>IF(Input!A6="","",Input!A6)</f>
        <v>Active Growth Model</v>
      </c>
      <c r="B5" s="1" t="s">
        <v>93</v>
      </c>
      <c r="C5" s="10">
        <v>2E-3</v>
      </c>
      <c r="D5" s="10">
        <v>6.5000000000000006E-3</v>
      </c>
      <c r="E5" s="10">
        <v>4.0099999999999997E-2</v>
      </c>
      <c r="F5" s="5">
        <v>9.4499999999999987E-2</v>
      </c>
      <c r="G5" s="5">
        <v>0.1249</v>
      </c>
      <c r="H5" s="5"/>
      <c r="I5" s="5"/>
    </row>
    <row r="6" spans="1:9" x14ac:dyDescent="0.25">
      <c r="A6" t="str">
        <f>IF(Input!A7="","",Input!A7)</f>
        <v>Active Adventurous Model</v>
      </c>
      <c r="B6" s="1" t="s">
        <v>93</v>
      </c>
      <c r="C6" s="10">
        <v>2E-3</v>
      </c>
      <c r="D6" s="10">
        <v>7.0999999999999995E-3</v>
      </c>
      <c r="E6" s="10">
        <v>4.3899999999999995E-2</v>
      </c>
      <c r="F6" s="5">
        <v>0.1038</v>
      </c>
      <c r="G6" s="5">
        <v>0.1482</v>
      </c>
      <c r="H6" s="5"/>
      <c r="I6" s="5"/>
    </row>
    <row r="7" spans="1:9" x14ac:dyDescent="0.25">
      <c r="A7" t="str">
        <f>IF(Input!A8="","",Input!A8)</f>
        <v>Passive Defensive Model</v>
      </c>
      <c r="B7" s="1" t="s">
        <v>93</v>
      </c>
      <c r="C7" s="10">
        <v>2E-3</v>
      </c>
      <c r="D7" s="10">
        <v>1.2999999999999999E-3</v>
      </c>
      <c r="E7" s="10">
        <v>2.3099999999999999E-2</v>
      </c>
      <c r="F7" s="5">
        <v>7.17E-2</v>
      </c>
      <c r="G7" s="5">
        <v>7.8899999999999998E-2</v>
      </c>
      <c r="H7" s="5"/>
      <c r="I7" s="5"/>
    </row>
    <row r="8" spans="1:9" x14ac:dyDescent="0.25">
      <c r="A8" t="str">
        <f>IF(Input!A9="","",Input!A9)</f>
        <v>Passive Cautious Model</v>
      </c>
      <c r="B8" s="1" t="s">
        <v>93</v>
      </c>
      <c r="C8" s="10">
        <v>2E-3</v>
      </c>
      <c r="D8" s="10">
        <v>1.1999999999999999E-3</v>
      </c>
      <c r="E8" s="10">
        <v>2.7200000000000002E-2</v>
      </c>
      <c r="F8" s="5">
        <v>7.9299999999999995E-2</v>
      </c>
      <c r="G8" s="5">
        <v>9.8000000000000004E-2</v>
      </c>
      <c r="H8" s="5"/>
      <c r="I8" s="5"/>
    </row>
    <row r="9" spans="1:9" x14ac:dyDescent="0.25">
      <c r="A9" t="str">
        <f>IF(Input!A10="","",Input!A10)</f>
        <v>Passive Balanced Model</v>
      </c>
      <c r="B9" s="1" t="s">
        <v>93</v>
      </c>
      <c r="C9" s="10">
        <v>2E-3</v>
      </c>
      <c r="D9" s="10">
        <v>1.1000000000000001E-3</v>
      </c>
      <c r="E9" s="10">
        <v>3.2599999999999997E-2</v>
      </c>
      <c r="F9" s="5">
        <v>9.5799999999999996E-2</v>
      </c>
      <c r="G9" s="5">
        <v>0.14880000000000002</v>
      </c>
      <c r="H9" s="5"/>
      <c r="I9" s="5"/>
    </row>
    <row r="10" spans="1:9" x14ac:dyDescent="0.25">
      <c r="A10" t="str">
        <f>IF(Input!A11="","",Input!A11)</f>
        <v>Passive Growth Model</v>
      </c>
      <c r="B10" s="1" t="s">
        <v>93</v>
      </c>
      <c r="C10" s="10">
        <v>2E-3</v>
      </c>
      <c r="D10" s="10">
        <v>1.1000000000000001E-3</v>
      </c>
      <c r="E10" s="10">
        <v>3.6299999999999999E-2</v>
      </c>
      <c r="F10" s="5">
        <v>0.1085</v>
      </c>
      <c r="G10" s="5">
        <v>0.19420000000000001</v>
      </c>
      <c r="H10" s="5"/>
      <c r="I10" s="5"/>
    </row>
    <row r="11" spans="1:9" x14ac:dyDescent="0.25">
      <c r="A11" t="str">
        <f>IF(Input!A12="","",Input!A12)</f>
        <v>Passive Adventurous Model</v>
      </c>
      <c r="B11" s="1" t="s">
        <v>93</v>
      </c>
      <c r="C11" s="10">
        <v>2E-3</v>
      </c>
      <c r="D11" s="10">
        <v>1E-3</v>
      </c>
      <c r="E11" s="10">
        <v>3.9300000000000002E-2</v>
      </c>
      <c r="F11" s="5">
        <v>0.1211</v>
      </c>
      <c r="G11" s="5">
        <v>0.24230000000000002</v>
      </c>
      <c r="H11" s="5"/>
      <c r="I11" s="5"/>
    </row>
    <row r="12" spans="1:9" x14ac:dyDescent="0.25">
      <c r="A12" t="str">
        <f>IF(Input!A13="","",Input!A13)</f>
        <v>Sustainable Defensive Model</v>
      </c>
      <c r="B12" s="1" t="s">
        <v>93</v>
      </c>
      <c r="C12" s="10">
        <v>2E-3</v>
      </c>
      <c r="D12" s="10">
        <v>4.3E-3</v>
      </c>
      <c r="E12" s="10">
        <v>2.5699999999999997E-2</v>
      </c>
      <c r="F12" s="5">
        <v>7.85E-2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 t="s">
        <v>93</v>
      </c>
      <c r="C13" s="10">
        <v>2E-3</v>
      </c>
      <c r="D13" s="10">
        <v>5.1999999999999998E-3</v>
      </c>
      <c r="E13" s="10">
        <v>3.0899999999999997E-2</v>
      </c>
      <c r="F13" s="5">
        <v>8.8800000000000004E-2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 t="s">
        <v>93</v>
      </c>
      <c r="C14" s="10">
        <v>2E-3</v>
      </c>
      <c r="D14" s="10">
        <v>6.1999999999999998E-3</v>
      </c>
      <c r="E14" s="10">
        <v>3.7400000000000003E-2</v>
      </c>
      <c r="F14" s="5">
        <v>0.106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 t="s">
        <v>93</v>
      </c>
      <c r="C15" s="10">
        <v>2E-3</v>
      </c>
      <c r="D15" s="10">
        <v>6.9999999999999993E-3</v>
      </c>
      <c r="E15" s="10">
        <v>4.1799999999999997E-2</v>
      </c>
      <c r="F15" s="5">
        <v>0.1211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 t="s">
        <v>93</v>
      </c>
      <c r="C16" s="10">
        <v>2E-3</v>
      </c>
      <c r="D16" s="10">
        <v>7.8000000000000005E-3</v>
      </c>
      <c r="E16" s="10">
        <v>4.5400000000000003E-2</v>
      </c>
      <c r="F16" s="5">
        <v>0.12839999999999999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 t="s">
        <v>93</v>
      </c>
      <c r="C17" s="10">
        <v>2E-3</v>
      </c>
      <c r="D17" s="10">
        <v>5.0000000000000001E-3</v>
      </c>
      <c r="E17" s="10">
        <v>3.85E-2</v>
      </c>
      <c r="F17" s="5">
        <v>8.9200000000000002E-2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 t="s">
        <v>93</v>
      </c>
      <c r="C18" s="10">
        <v>2E-3</v>
      </c>
      <c r="D18" s="10">
        <v>5.6999999999999993E-3</v>
      </c>
      <c r="E18" s="10">
        <v>4.0399999999999998E-2</v>
      </c>
      <c r="F18" s="5">
        <v>9.6199999999999994E-2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 t="s">
        <v>93</v>
      </c>
      <c r="C19" s="10">
        <v>2E-3</v>
      </c>
      <c r="D19" s="10">
        <v>6.4000000000000003E-3</v>
      </c>
      <c r="E19" s="10">
        <v>4.1500000000000002E-2</v>
      </c>
      <c r="F19" s="5">
        <v>9.8800000000000013E-2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85" zoomScaleNormal="85" workbookViewId="0">
      <selection activeCell="O25" sqref="O25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63</v>
      </c>
      <c r="D1" s="10" t="s">
        <v>64</v>
      </c>
      <c r="E1" s="10" t="s">
        <v>65</v>
      </c>
      <c r="F1" s="10" t="s">
        <v>66</v>
      </c>
      <c r="G1" s="10" t="s">
        <v>67</v>
      </c>
      <c r="H1" s="10" t="s">
        <v>68</v>
      </c>
      <c r="I1" s="10" t="s">
        <v>69</v>
      </c>
      <c r="J1" s="10" t="s">
        <v>70</v>
      </c>
      <c r="K1" s="10" t="s">
        <v>71</v>
      </c>
      <c r="L1" t="s">
        <v>72</v>
      </c>
      <c r="M1" t="s">
        <v>73</v>
      </c>
      <c r="N1" t="s">
        <v>74</v>
      </c>
    </row>
    <row r="2" spans="1:30" x14ac:dyDescent="0.25">
      <c r="A2" t="str">
        <f>IF(Input!A3="","",Input!A3)</f>
        <v>Active Defensive Model</v>
      </c>
      <c r="B2" s="10">
        <v>0.252</v>
      </c>
      <c r="C2" s="10">
        <v>0.17800000000000002</v>
      </c>
      <c r="D2" s="10">
        <v>4.8000000000000001E-2</v>
      </c>
      <c r="E2" s="10">
        <v>0.33500000000000002</v>
      </c>
      <c r="F2" s="10">
        <v>1.3000000000000001E-2</v>
      </c>
      <c r="G2" s="10">
        <v>5.7999999999999996E-2</v>
      </c>
      <c r="H2" s="10">
        <v>7.5999999999999998E-2</v>
      </c>
      <c r="I2" s="10">
        <v>3.0000000000000001E-3</v>
      </c>
      <c r="J2" s="10">
        <v>2.3E-2</v>
      </c>
      <c r="K2" s="10">
        <v>2E-3</v>
      </c>
      <c r="L2" s="5">
        <v>2E-3</v>
      </c>
      <c r="M2" s="5">
        <v>1.1000000000000001E-2</v>
      </c>
      <c r="O2" s="5">
        <f>SUM(B2:N2)</f>
        <v>1.0010000000000001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0.17399999999999999</v>
      </c>
      <c r="C3" s="10">
        <v>0.14699999999999999</v>
      </c>
      <c r="D3" s="10">
        <v>4.8000000000000001E-2</v>
      </c>
      <c r="E3" s="10">
        <v>0.27899999999999997</v>
      </c>
      <c r="F3" s="10">
        <v>1.1000000000000001E-2</v>
      </c>
      <c r="G3" s="10">
        <v>0.11699999999999999</v>
      </c>
      <c r="H3" s="10">
        <v>0.13699999999999998</v>
      </c>
      <c r="I3" s="10">
        <v>9.0000000000000011E-3</v>
      </c>
      <c r="J3" s="10">
        <v>4.2999999999999997E-2</v>
      </c>
      <c r="K3" s="10">
        <v>6.0000000000000001E-3</v>
      </c>
      <c r="L3" s="5">
        <v>1.9E-2</v>
      </c>
      <c r="M3" s="5">
        <v>1.1000000000000001E-2</v>
      </c>
      <c r="N3" s="5"/>
      <c r="O3" s="5">
        <f t="shared" ref="O3:O19" si="0">SUM(B3:N3)</f>
        <v>1.0009999999999999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9.6000000000000002E-2</v>
      </c>
      <c r="C4" s="10">
        <v>8.8000000000000009E-2</v>
      </c>
      <c r="D4" s="10">
        <v>3.7999999999999999E-2</v>
      </c>
      <c r="E4" s="10">
        <v>0.21899999999999997</v>
      </c>
      <c r="F4" s="10">
        <v>9.0000000000000011E-3</v>
      </c>
      <c r="G4" s="10">
        <v>0.187</v>
      </c>
      <c r="H4" s="10">
        <v>0.23399999999999999</v>
      </c>
      <c r="I4" s="10">
        <v>1.3999999999999999E-2</v>
      </c>
      <c r="J4" s="10">
        <v>6.8000000000000005E-2</v>
      </c>
      <c r="K4" s="10">
        <v>9.0000000000000011E-3</v>
      </c>
      <c r="L4" s="5">
        <v>2.8999999999999998E-2</v>
      </c>
      <c r="M4" s="5">
        <v>9.0000000000000011E-3</v>
      </c>
      <c r="N4" s="5"/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6.7000000000000004E-2</v>
      </c>
      <c r="C5" s="10">
        <v>3.4000000000000002E-2</v>
      </c>
      <c r="D5" s="10">
        <v>2.8999999999999998E-2</v>
      </c>
      <c r="E5" s="10">
        <v>0.13500000000000001</v>
      </c>
      <c r="F5" s="10">
        <v>5.0000000000000001E-3</v>
      </c>
      <c r="G5" s="10">
        <v>0.248</v>
      </c>
      <c r="H5" s="10">
        <v>0.31</v>
      </c>
      <c r="I5" s="10">
        <v>0.02</v>
      </c>
      <c r="J5" s="10">
        <v>9.3000000000000013E-2</v>
      </c>
      <c r="K5" s="10">
        <v>1.3000000000000001E-2</v>
      </c>
      <c r="L5" s="5">
        <v>3.9E-2</v>
      </c>
      <c r="M5" s="5">
        <v>6.9999999999999993E-3</v>
      </c>
      <c r="N5" s="5"/>
      <c r="O5" s="5">
        <f t="shared" si="0"/>
        <v>1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3.7000000000000005E-2</v>
      </c>
      <c r="C6" s="10">
        <v>8.0000000000000002E-3</v>
      </c>
      <c r="D6" s="10">
        <v>2.8999999999999998E-2</v>
      </c>
      <c r="G6" s="10">
        <v>0.31</v>
      </c>
      <c r="H6" s="10">
        <v>0.4</v>
      </c>
      <c r="I6" s="10">
        <v>2.5000000000000001E-2</v>
      </c>
      <c r="J6" s="10">
        <v>0.11900000000000001</v>
      </c>
      <c r="K6" s="10">
        <v>1.6E-2</v>
      </c>
      <c r="L6" s="5">
        <v>4.9000000000000002E-2</v>
      </c>
      <c r="M6" s="5">
        <v>6.9999999999999993E-3</v>
      </c>
      <c r="O6" s="5">
        <f t="shared" si="0"/>
        <v>1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</v>
      </c>
      <c r="C7" s="10">
        <v>0.158</v>
      </c>
      <c r="D7" s="10">
        <v>4.8000000000000001E-2</v>
      </c>
      <c r="E7" s="10">
        <v>0.37</v>
      </c>
      <c r="G7" s="10">
        <v>5.7999999999999996E-2</v>
      </c>
      <c r="H7" s="10">
        <v>7.4999999999999997E-2</v>
      </c>
      <c r="I7" s="10">
        <v>4.0000000000000001E-3</v>
      </c>
      <c r="J7" s="10">
        <v>2.3E-2</v>
      </c>
      <c r="L7" s="5">
        <v>4.0000000000000001E-3</v>
      </c>
      <c r="M7" s="5">
        <v>1.3000000000000001E-2</v>
      </c>
      <c r="O7" s="5">
        <f t="shared" si="0"/>
        <v>1.0030000000000001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0.17300000000000001</v>
      </c>
      <c r="C8" s="10">
        <v>0.13</v>
      </c>
      <c r="D8" s="10">
        <v>4.8000000000000001E-2</v>
      </c>
      <c r="E8" s="10">
        <v>0.31</v>
      </c>
      <c r="G8" s="10">
        <v>0.11800000000000001</v>
      </c>
      <c r="H8" s="10">
        <v>0.13500000000000001</v>
      </c>
      <c r="I8" s="10">
        <v>0.01</v>
      </c>
      <c r="J8" s="10">
        <v>4.2999999999999997E-2</v>
      </c>
      <c r="L8" s="5">
        <v>2.5000000000000001E-2</v>
      </c>
      <c r="M8" s="5">
        <v>0.01</v>
      </c>
      <c r="N8" s="5"/>
      <c r="O8" s="5">
        <f t="shared" si="0"/>
        <v>1.002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9.5000000000000001E-2</v>
      </c>
      <c r="C9" s="10">
        <v>7.4999999999999997E-2</v>
      </c>
      <c r="D9" s="10">
        <v>3.7999999999999999E-2</v>
      </c>
      <c r="E9" s="10">
        <v>0.24</v>
      </c>
      <c r="G9" s="10">
        <v>0.188</v>
      </c>
      <c r="H9" s="10">
        <v>0.23300000000000001</v>
      </c>
      <c r="I9" s="10">
        <v>1.4999999999999999E-2</v>
      </c>
      <c r="J9" s="10">
        <v>7.0000000000000007E-2</v>
      </c>
      <c r="L9" s="5">
        <v>3.7999999999999999E-2</v>
      </c>
      <c r="M9" s="5">
        <v>0.01</v>
      </c>
      <c r="N9" s="5"/>
      <c r="O9" s="5">
        <f t="shared" si="0"/>
        <v>1.002</v>
      </c>
      <c r="P9" s="5"/>
      <c r="Q9" s="5"/>
      <c r="R9" s="5"/>
      <c r="S9" s="5"/>
      <c r="T9" s="5"/>
    </row>
    <row r="10" spans="1:30" s="8" customFormat="1" x14ac:dyDescent="0.25">
      <c r="A10" s="8" t="str">
        <f>IF(Input!A11="","",Input!A11)</f>
        <v>Passive Growth Model</v>
      </c>
      <c r="B10" s="11">
        <v>6.5000000000000002E-2</v>
      </c>
      <c r="C10" s="11">
        <v>2.7999999999999997E-2</v>
      </c>
      <c r="D10" s="11">
        <v>2.7999999999999997E-2</v>
      </c>
      <c r="E10" s="11">
        <v>0.15</v>
      </c>
      <c r="F10" s="11"/>
      <c r="G10" s="11">
        <v>0.25</v>
      </c>
      <c r="H10" s="11">
        <v>0.308</v>
      </c>
      <c r="I10" s="11">
        <v>0.02</v>
      </c>
      <c r="J10" s="11">
        <v>9.5000000000000001E-2</v>
      </c>
      <c r="K10" s="11"/>
      <c r="L10" s="12">
        <v>0.05</v>
      </c>
      <c r="M10" s="12">
        <v>8.0000000000000002E-3</v>
      </c>
      <c r="N10" s="12"/>
      <c r="O10" s="12">
        <f t="shared" si="0"/>
        <v>1.002</v>
      </c>
      <c r="P10" s="12"/>
      <c r="Q10" s="12"/>
      <c r="R10" s="12"/>
      <c r="S10" s="12"/>
      <c r="T10" s="12"/>
    </row>
    <row r="11" spans="1:30" x14ac:dyDescent="0.25">
      <c r="A11" t="str">
        <f>IF(Input!A12="","",Input!A12)</f>
        <v>Passive Adventurous Model</v>
      </c>
      <c r="B11" s="10">
        <v>3.5000000000000003E-2</v>
      </c>
      <c r="C11" s="10">
        <v>0.01</v>
      </c>
      <c r="D11" s="10">
        <v>2.7999999999999997E-2</v>
      </c>
      <c r="G11" s="10">
        <v>0.313</v>
      </c>
      <c r="H11" s="10">
        <v>0.39799999999999996</v>
      </c>
      <c r="I11" s="10">
        <v>2.5000000000000001E-2</v>
      </c>
      <c r="J11" s="10">
        <v>0.12300000000000001</v>
      </c>
      <c r="L11" s="5">
        <v>6.3E-2</v>
      </c>
      <c r="M11" s="5">
        <v>8.0000000000000002E-3</v>
      </c>
      <c r="O11" s="5">
        <f t="shared" si="0"/>
        <v>1.0030000000000001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0.25600000000000001</v>
      </c>
      <c r="C12" s="10">
        <v>0.14800000000000002</v>
      </c>
      <c r="D12" s="10">
        <v>4.9000000000000002E-2</v>
      </c>
      <c r="E12" s="10">
        <v>0.35799999999999998</v>
      </c>
      <c r="F12" s="10">
        <v>1.7000000000000001E-2</v>
      </c>
      <c r="G12" s="10">
        <v>4.4000000000000004E-2</v>
      </c>
      <c r="H12" s="10">
        <v>0.09</v>
      </c>
      <c r="I12" s="10">
        <v>0</v>
      </c>
      <c r="J12" s="10">
        <v>2.1000000000000001E-2</v>
      </c>
      <c r="K12" s="10">
        <v>2E-3</v>
      </c>
      <c r="L12" s="5">
        <v>4.0000000000000001E-3</v>
      </c>
      <c r="M12" s="5">
        <v>1.2E-2</v>
      </c>
      <c r="O12" s="5">
        <f t="shared" si="0"/>
        <v>1.0009999999999999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0.17699999999999999</v>
      </c>
      <c r="C13" s="10">
        <v>0.122</v>
      </c>
      <c r="D13" s="10">
        <v>4.9000000000000002E-2</v>
      </c>
      <c r="E13" s="10">
        <v>0.29799999999999999</v>
      </c>
      <c r="F13" s="10">
        <v>1.3999999999999999E-2</v>
      </c>
      <c r="G13" s="10">
        <v>8.3000000000000004E-2</v>
      </c>
      <c r="H13" s="10">
        <v>0.16500000000000001</v>
      </c>
      <c r="I13" s="10">
        <v>4.0000000000000001E-3</v>
      </c>
      <c r="J13" s="10">
        <v>3.9E-2</v>
      </c>
      <c r="K13" s="10">
        <v>8.0000000000000002E-3</v>
      </c>
      <c r="L13" s="5">
        <v>0.03</v>
      </c>
      <c r="M13" s="5">
        <v>1.2E-2</v>
      </c>
      <c r="N13" s="5"/>
      <c r="O13" s="5">
        <f t="shared" si="0"/>
        <v>1.0009999999999999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9.6999999999999989E-2</v>
      </c>
      <c r="C14" s="10">
        <v>6.8000000000000005E-2</v>
      </c>
      <c r="D14" s="10">
        <v>3.9E-2</v>
      </c>
      <c r="E14" s="10">
        <v>0.23399999999999999</v>
      </c>
      <c r="F14" s="10">
        <v>1.1000000000000001E-2</v>
      </c>
      <c r="G14" s="10">
        <v>0.14800000000000002</v>
      </c>
      <c r="H14" s="10">
        <v>0.26800000000000002</v>
      </c>
      <c r="I14" s="10">
        <v>6.0000000000000001E-3</v>
      </c>
      <c r="J14" s="10">
        <v>6.0999999999999999E-2</v>
      </c>
      <c r="K14" s="10">
        <v>1.2E-2</v>
      </c>
      <c r="L14" s="5">
        <v>4.5999999999999999E-2</v>
      </c>
      <c r="M14" s="5">
        <v>0.01</v>
      </c>
      <c r="N14" s="5"/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6.6000000000000003E-2</v>
      </c>
      <c r="C15" s="10">
        <v>2.2000000000000002E-2</v>
      </c>
      <c r="D15" s="10">
        <v>2.8999999999999998E-2</v>
      </c>
      <c r="E15" s="10">
        <v>0.14499999999999999</v>
      </c>
      <c r="F15" s="10">
        <v>6.9999999999999993E-3</v>
      </c>
      <c r="G15" s="10">
        <v>0.18100000000000002</v>
      </c>
      <c r="H15" s="10">
        <v>0.37200000000000005</v>
      </c>
      <c r="I15" s="10">
        <v>8.0000000000000002E-3</v>
      </c>
      <c r="J15" s="10">
        <v>8.4000000000000005E-2</v>
      </c>
      <c r="K15" s="10">
        <v>1.7000000000000001E-2</v>
      </c>
      <c r="L15" s="5">
        <v>6.2E-2</v>
      </c>
      <c r="M15" s="5">
        <v>6.9999999999999993E-3</v>
      </c>
      <c r="N15" s="5"/>
      <c r="O15" s="5">
        <f t="shared" si="0"/>
        <v>1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3.5000000000000003E-2</v>
      </c>
      <c r="C16" s="10">
        <v>8.0000000000000002E-3</v>
      </c>
      <c r="D16" s="10">
        <v>2.8999999999999998E-2</v>
      </c>
      <c r="G16" s="10">
        <v>0.23699999999999999</v>
      </c>
      <c r="H16" s="10">
        <v>0.46500000000000002</v>
      </c>
      <c r="I16" s="10">
        <v>1.1000000000000001E-2</v>
      </c>
      <c r="J16" s="10">
        <v>0.105</v>
      </c>
      <c r="K16" s="10">
        <v>2.1000000000000001E-2</v>
      </c>
      <c r="L16" s="5">
        <v>8.1000000000000003E-2</v>
      </c>
      <c r="M16" s="5">
        <v>6.9999999999999993E-3</v>
      </c>
      <c r="O16" s="5">
        <f t="shared" si="0"/>
        <v>0.999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3.2000000000000001E-2</v>
      </c>
      <c r="C17" s="10">
        <v>0.20399999999999999</v>
      </c>
      <c r="E17" s="10">
        <v>0.32600000000000001</v>
      </c>
      <c r="F17" s="10">
        <v>5.2000000000000005E-2</v>
      </c>
      <c r="G17" s="10">
        <v>0.11699999999999999</v>
      </c>
      <c r="H17" s="10">
        <v>7.5999999999999998E-2</v>
      </c>
      <c r="J17" s="10">
        <v>6.2E-2</v>
      </c>
      <c r="K17" s="10">
        <v>1.7000000000000001E-2</v>
      </c>
      <c r="L17" s="5">
        <v>1.4999999999999999E-2</v>
      </c>
      <c r="M17" s="5"/>
      <c r="N17" s="5">
        <v>0.1</v>
      </c>
      <c r="O17" s="5">
        <f t="shared" si="0"/>
        <v>1.0010000000000001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3.2000000000000001E-2</v>
      </c>
      <c r="C18" s="10">
        <v>0.106</v>
      </c>
      <c r="E18" s="10">
        <v>0.222</v>
      </c>
      <c r="F18" s="10">
        <v>6.5000000000000002E-2</v>
      </c>
      <c r="G18" s="10">
        <v>0.19800000000000001</v>
      </c>
      <c r="H18" s="10">
        <v>0.156</v>
      </c>
      <c r="J18" s="10">
        <v>0.107</v>
      </c>
      <c r="K18" s="10">
        <v>2.4E-2</v>
      </c>
      <c r="L18" s="5">
        <v>2.1000000000000001E-2</v>
      </c>
      <c r="M18" s="5"/>
      <c r="N18" s="5">
        <v>7.0000000000000007E-2</v>
      </c>
      <c r="O18" s="5">
        <f t="shared" si="0"/>
        <v>1.0010000000000001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3.2000000000000001E-2</v>
      </c>
      <c r="C19" s="10">
        <v>4.4999999999999998E-2</v>
      </c>
      <c r="E19" s="10">
        <v>8.4000000000000005E-2</v>
      </c>
      <c r="F19" s="10">
        <v>8.5999999999999993E-2</v>
      </c>
      <c r="G19" s="10">
        <v>0.27800000000000002</v>
      </c>
      <c r="H19" s="10">
        <v>0.20899999999999999</v>
      </c>
      <c r="J19" s="10">
        <v>0.159</v>
      </c>
      <c r="K19" s="10">
        <v>3.2000000000000001E-2</v>
      </c>
      <c r="L19" s="5">
        <v>2.6000000000000002E-2</v>
      </c>
      <c r="M19" s="5"/>
      <c r="N19" s="5">
        <v>0.05</v>
      </c>
      <c r="O19" s="5">
        <f t="shared" si="0"/>
        <v>1.0010000000000001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D21" sqref="D2:D21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30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35</v>
      </c>
      <c r="D2" s="8" t="s">
        <v>75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36</v>
      </c>
      <c r="D3" s="8" t="s">
        <v>76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37</v>
      </c>
      <c r="D4" s="8" t="s">
        <v>77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38</v>
      </c>
      <c r="D5" s="8" t="s">
        <v>78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39</v>
      </c>
      <c r="D6" s="8" t="s">
        <v>79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40</v>
      </c>
      <c r="D7" s="8" t="s">
        <v>80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41</v>
      </c>
      <c r="D8" s="8" t="s">
        <v>81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42</v>
      </c>
      <c r="D9" s="8" t="s">
        <v>82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43</v>
      </c>
      <c r="D10" s="8" t="s">
        <v>83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44</v>
      </c>
      <c r="D11" s="8" t="s">
        <v>84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45</v>
      </c>
      <c r="D12" s="8" t="s">
        <v>85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46</v>
      </c>
      <c r="D13" s="8" t="s">
        <v>86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47</v>
      </c>
      <c r="D14" s="8" t="s">
        <v>87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48</v>
      </c>
      <c r="D15" s="8" t="s">
        <v>88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49</v>
      </c>
      <c r="D16" s="8" t="s">
        <v>89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50</v>
      </c>
      <c r="D17" s="8" t="s">
        <v>90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51</v>
      </c>
      <c r="D18" s="8" t="s">
        <v>91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52</v>
      </c>
      <c r="D19" s="8" t="s">
        <v>92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45291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45291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45291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45291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45291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45291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45291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45291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45291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45291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45291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45291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45291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45291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45291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45291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45291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45291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>
        <f>IF(A2="","",IF(OR('Additional Information'!G2="",'Additional Information'!G2="-"),"",'Additional Information'!G2))</f>
        <v>6.8400000000000002E-2</v>
      </c>
      <c r="D2" s="5">
        <f>IF(A2="","",SUM('Additional Information'!C2,'Additional Information'!D2))</f>
        <v>6.1999999999999998E-3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>
        <f>IF(A3="","",IF(OR('Additional Information'!G3="",'Additional Information'!G3="-"),"",'Additional Information'!G3))</f>
        <v>7.4200000000000002E-2</v>
      </c>
      <c r="D3" s="5">
        <f>IF(A3="","",SUM('Additional Information'!C3,'Additional Information'!D3))</f>
        <v>7.0000000000000001E-3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>
        <f>IF(A4="","",IF(OR('Additional Information'!G4="",'Additional Information'!G4="-"),"",'Additional Information'!G4))</f>
        <v>0.10300000000000001</v>
      </c>
      <c r="D4" s="5">
        <f>IF(A4="","",SUM('Additional Information'!C4,'Additional Information'!D4))</f>
        <v>7.7999999999999996E-3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>
        <f>IF(A5="","",IF(OR('Additional Information'!G5="",'Additional Information'!G5="-"),"",'Additional Information'!G5))</f>
        <v>0.1249</v>
      </c>
      <c r="D5" s="5">
        <f>IF(A5="","",SUM('Additional Information'!C5,'Additional Information'!D5))</f>
        <v>8.5000000000000006E-3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>
        <f>IF(A6="","",IF(OR('Additional Information'!G6="",'Additional Information'!G6="-"),"",'Additional Information'!G6))</f>
        <v>0.1482</v>
      </c>
      <c r="D6" s="5">
        <f>IF(A6="","",SUM('Additional Information'!C6,'Additional Information'!D6))</f>
        <v>9.1000000000000004E-3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>
        <f>IF(A7="","",IF(OR('Additional Information'!G7="",'Additional Information'!G7="-"),"",'Additional Information'!G7))</f>
        <v>7.8899999999999998E-2</v>
      </c>
      <c r="D7" s="5">
        <f>IF(A7="","",SUM('Additional Information'!C7,'Additional Information'!D7))</f>
        <v>3.3E-3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>
        <f>IF(A8="","",IF(OR('Additional Information'!G8="",'Additional Information'!G8="-"),"",'Additional Information'!G8))</f>
        <v>9.8000000000000004E-2</v>
      </c>
      <c r="D8" s="5">
        <f>IF(A8="","",SUM('Additional Information'!C8,'Additional Information'!D8))</f>
        <v>3.1999999999999997E-3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>
        <f>IF(A9="","",IF(OR('Additional Information'!G9="",'Additional Information'!G9="-"),"",'Additional Information'!G9))</f>
        <v>0.14880000000000002</v>
      </c>
      <c r="D9" s="5">
        <f>IF(A9="","",SUM('Additional Information'!C9,'Additional Information'!D9))</f>
        <v>3.1000000000000003E-3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>
        <f>IF(A10="","",IF(OR('Additional Information'!G10="",'Additional Information'!G10="-"),"",'Additional Information'!G10))</f>
        <v>0.19420000000000001</v>
      </c>
      <c r="D10" s="5">
        <f>IF(A10="","",SUM('Additional Information'!C10,'Additional Information'!D10))</f>
        <v>3.1000000000000003E-3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>
        <f>IF(A11="","",IF(OR('Additional Information'!G11="",'Additional Information'!G11="-"),"",'Additional Information'!G11))</f>
        <v>0.24230000000000002</v>
      </c>
      <c r="D11" s="5">
        <f>IF(A11="","",SUM('Additional Information'!C11,'Additional Information'!D11))</f>
        <v>3.0000000000000001E-3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7.1999999999999998E-3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8.199999999999999E-3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8.9999999999999993E-3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9.7999999999999997E-3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7.0000000000000001E-3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7.6999999999999994E-3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0.17499999999999999</v>
      </c>
      <c r="C2">
        <f>IF(A2="","",SUM('Asset Allocation'!C2))</f>
        <v>0.17800000000000002</v>
      </c>
      <c r="D2">
        <f>IF(A2="","",SUM('Asset Allocation'!D2))</f>
        <v>4.8000000000000001E-2</v>
      </c>
      <c r="F2">
        <f>IF(A2="","",SUM('Asset Allocation'!E2))</f>
        <v>0.33500000000000002</v>
      </c>
      <c r="G2">
        <f>IF(A2="","",SUM('Asset Allocation'!B2))</f>
        <v>0.252</v>
      </c>
      <c r="H2">
        <f t="shared" ref="H2:H50" si="0">IF(A2="","",1-SUM(B2:G2))</f>
        <v>1.2000000000000011E-2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0.32300000000000001</v>
      </c>
      <c r="C3">
        <f>IF(A3="","",SUM('Asset Allocation'!C3))</f>
        <v>0.14699999999999999</v>
      </c>
      <c r="D3">
        <f>IF(A3="","",SUM('Asset Allocation'!D3))</f>
        <v>4.8000000000000001E-2</v>
      </c>
      <c r="F3">
        <f>IF(A3="","",SUM('Asset Allocation'!E3))</f>
        <v>0.27899999999999997</v>
      </c>
      <c r="G3">
        <f>IF(A3="","",SUM('Asset Allocation'!B3))</f>
        <v>0.17399999999999999</v>
      </c>
      <c r="H3">
        <f t="shared" si="0"/>
        <v>2.9000000000000137E-2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0.52100000000000002</v>
      </c>
      <c r="C4">
        <f>IF(A4="","",SUM('Asset Allocation'!C4))</f>
        <v>8.8000000000000009E-2</v>
      </c>
      <c r="D4">
        <f>IF(A4="","",SUM('Asset Allocation'!D4))</f>
        <v>3.7999999999999999E-2</v>
      </c>
      <c r="F4">
        <f>IF(A4="","",SUM('Asset Allocation'!E4))</f>
        <v>0.21899999999999997</v>
      </c>
      <c r="G4">
        <f>IF(A4="","",SUM('Asset Allocation'!B4))</f>
        <v>9.6000000000000002E-2</v>
      </c>
      <c r="H4">
        <f t="shared" si="0"/>
        <v>3.8000000000000034E-2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0.68899999999999995</v>
      </c>
      <c r="C5">
        <f>IF(A5="","",SUM('Asset Allocation'!C5))</f>
        <v>3.4000000000000002E-2</v>
      </c>
      <c r="D5">
        <f>IF(A5="","",SUM('Asset Allocation'!D5))</f>
        <v>2.8999999999999998E-2</v>
      </c>
      <c r="F5">
        <f>IF(A5="","",SUM('Asset Allocation'!E5))</f>
        <v>0.13500000000000001</v>
      </c>
      <c r="G5">
        <f>IF(A5="","",SUM('Asset Allocation'!B5))</f>
        <v>6.7000000000000004E-2</v>
      </c>
      <c r="H5">
        <f t="shared" si="0"/>
        <v>4.6000000000000041E-2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0.87</v>
      </c>
      <c r="C6">
        <f>IF(A6="","",SUM('Asset Allocation'!C6))</f>
        <v>8.0000000000000002E-3</v>
      </c>
      <c r="D6">
        <f>IF(A6="","",SUM('Asset Allocation'!D6))</f>
        <v>2.8999999999999998E-2</v>
      </c>
      <c r="F6">
        <f>IF(A6="","",SUM('Asset Allocation'!E6))</f>
        <v>0</v>
      </c>
      <c r="G6">
        <f>IF(A6="","",SUM('Asset Allocation'!B6))</f>
        <v>3.7000000000000005E-2</v>
      </c>
      <c r="H6">
        <f t="shared" si="0"/>
        <v>5.5999999999999939E-2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0.16</v>
      </c>
      <c r="C7">
        <f>IF(A7="","",SUM('Asset Allocation'!C7))</f>
        <v>0.158</v>
      </c>
      <c r="D7">
        <f>IF(A7="","",SUM('Asset Allocation'!D7))</f>
        <v>4.8000000000000001E-2</v>
      </c>
      <c r="F7">
        <f>IF(A7="","",SUM('Asset Allocation'!E7))</f>
        <v>0.37</v>
      </c>
      <c r="G7">
        <f>IF(A7="","",SUM('Asset Allocation'!B7))</f>
        <v>0.25</v>
      </c>
      <c r="H7">
        <f t="shared" si="0"/>
        <v>1.4000000000000012E-2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0.30599999999999999</v>
      </c>
      <c r="C8">
        <f>IF(A8="","",SUM('Asset Allocation'!C8))</f>
        <v>0.13</v>
      </c>
      <c r="D8">
        <f>IF(A8="","",SUM('Asset Allocation'!D8))</f>
        <v>4.8000000000000001E-2</v>
      </c>
      <c r="F8">
        <f>IF(A8="","",SUM('Asset Allocation'!E8))</f>
        <v>0.31</v>
      </c>
      <c r="G8">
        <f>IF(A8="","",SUM('Asset Allocation'!B8))</f>
        <v>0.17300000000000001</v>
      </c>
      <c r="H8">
        <f t="shared" si="0"/>
        <v>3.2999999999999918E-2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0.50600000000000001</v>
      </c>
      <c r="C9">
        <f>IF(A9="","",SUM('Asset Allocation'!C9))</f>
        <v>7.4999999999999997E-2</v>
      </c>
      <c r="D9">
        <f>IF(A9="","",SUM('Asset Allocation'!D9))</f>
        <v>3.7999999999999999E-2</v>
      </c>
      <c r="F9">
        <f>IF(A9="","",SUM('Asset Allocation'!E9))</f>
        <v>0.24</v>
      </c>
      <c r="G9">
        <f>IF(A9="","",SUM('Asset Allocation'!B9))</f>
        <v>9.5000000000000001E-2</v>
      </c>
      <c r="H9">
        <f t="shared" si="0"/>
        <v>4.6000000000000041E-2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0.67300000000000004</v>
      </c>
      <c r="C10">
        <f>IF(A10="","",SUM('Asset Allocation'!C10))</f>
        <v>2.7999999999999997E-2</v>
      </c>
      <c r="D10">
        <f>IF(A10="","",SUM('Asset Allocation'!D10))</f>
        <v>2.7999999999999997E-2</v>
      </c>
      <c r="F10">
        <f>IF(A10="","",SUM('Asset Allocation'!E10))</f>
        <v>0.15</v>
      </c>
      <c r="G10">
        <f>IF(A10="","",SUM('Asset Allocation'!B10))</f>
        <v>6.5000000000000002E-2</v>
      </c>
      <c r="H10">
        <f t="shared" si="0"/>
        <v>5.5999999999999828E-2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0.85899999999999999</v>
      </c>
      <c r="C11">
        <f>IF(A11="","",SUM('Asset Allocation'!C11))</f>
        <v>0.01</v>
      </c>
      <c r="D11">
        <f>IF(A11="","",SUM('Asset Allocation'!D11))</f>
        <v>2.7999999999999997E-2</v>
      </c>
      <c r="F11">
        <f>IF(A11="","",SUM('Asset Allocation'!E11))</f>
        <v>0</v>
      </c>
      <c r="G11">
        <f>IF(A11="","",SUM('Asset Allocation'!B11))</f>
        <v>3.5000000000000003E-2</v>
      </c>
      <c r="H11">
        <f t="shared" si="0"/>
        <v>6.7999999999999949E-2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0.17399999999999999</v>
      </c>
      <c r="C12">
        <f>IF(A12="","",SUM('Asset Allocation'!C12))</f>
        <v>0.14800000000000002</v>
      </c>
      <c r="D12">
        <f>IF(A12="","",SUM('Asset Allocation'!D12))</f>
        <v>4.9000000000000002E-2</v>
      </c>
      <c r="F12">
        <f>IF(A12="","",SUM('Asset Allocation'!E12))</f>
        <v>0.35799999999999998</v>
      </c>
      <c r="G12">
        <f>IF(A12="","",SUM('Asset Allocation'!B12))</f>
        <v>0.25600000000000001</v>
      </c>
      <c r="H12">
        <f t="shared" si="0"/>
        <v>1.5000000000000013E-2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0.313</v>
      </c>
      <c r="C13">
        <f>IF(A13="","",SUM('Asset Allocation'!C13))</f>
        <v>0.122</v>
      </c>
      <c r="D13">
        <f>IF(A13="","",SUM('Asset Allocation'!D13))</f>
        <v>4.9000000000000002E-2</v>
      </c>
      <c r="F13">
        <f>IF(A13="","",SUM('Asset Allocation'!E13))</f>
        <v>0.29799999999999999</v>
      </c>
      <c r="G13">
        <f>IF(A13="","",SUM('Asset Allocation'!B13))</f>
        <v>0.17699999999999999</v>
      </c>
      <c r="H13">
        <f t="shared" si="0"/>
        <v>4.0999999999999925E-2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0.50600000000000001</v>
      </c>
      <c r="C14">
        <f>IF(A14="","",SUM('Asset Allocation'!C14))</f>
        <v>6.8000000000000005E-2</v>
      </c>
      <c r="D14">
        <f>IF(A14="","",SUM('Asset Allocation'!D14))</f>
        <v>3.9E-2</v>
      </c>
      <c r="F14">
        <f>IF(A14="","",SUM('Asset Allocation'!E14))</f>
        <v>0.23399999999999999</v>
      </c>
      <c r="G14">
        <f>IF(A14="","",SUM('Asset Allocation'!B14))</f>
        <v>9.6999999999999989E-2</v>
      </c>
      <c r="H14">
        <f t="shared" si="0"/>
        <v>5.5999999999999939E-2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0.66900000000000004</v>
      </c>
      <c r="C15">
        <f>IF(A15="","",SUM('Asset Allocation'!C15))</f>
        <v>2.2000000000000002E-2</v>
      </c>
      <c r="D15">
        <f>IF(A15="","",SUM('Asset Allocation'!D15))</f>
        <v>2.8999999999999998E-2</v>
      </c>
      <c r="F15">
        <f>IF(A15="","",SUM('Asset Allocation'!E15))</f>
        <v>0.14499999999999999</v>
      </c>
      <c r="G15">
        <f>IF(A15="","",SUM('Asset Allocation'!B15))</f>
        <v>6.6000000000000003E-2</v>
      </c>
      <c r="H15">
        <f t="shared" si="0"/>
        <v>6.899999999999995E-2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0.83899999999999997</v>
      </c>
      <c r="C16">
        <f>IF(A16="","",SUM('Asset Allocation'!C16))</f>
        <v>8.0000000000000002E-3</v>
      </c>
      <c r="D16">
        <f>IF(A16="","",SUM('Asset Allocation'!D16))</f>
        <v>2.8999999999999998E-2</v>
      </c>
      <c r="F16">
        <f>IF(A16="","",SUM('Asset Allocation'!E16))</f>
        <v>0</v>
      </c>
      <c r="G16">
        <f>IF(A16="","",SUM('Asset Allocation'!B16))</f>
        <v>3.5000000000000003E-2</v>
      </c>
      <c r="H16">
        <f t="shared" si="0"/>
        <v>8.8999999999999968E-2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0.32400000000000001</v>
      </c>
      <c r="C17">
        <f>IF(A17="","",SUM('Asset Allocation'!C17))</f>
        <v>0.20399999999999999</v>
      </c>
      <c r="D17">
        <f>IF(A17="","",SUM('Asset Allocation'!D17))</f>
        <v>0</v>
      </c>
      <c r="F17">
        <f>IF(A17="","",SUM('Asset Allocation'!E17))</f>
        <v>0.32600000000000001</v>
      </c>
      <c r="G17">
        <f>IF(A17="","",SUM('Asset Allocation'!B17))</f>
        <v>3.2000000000000001E-2</v>
      </c>
      <c r="H17">
        <f t="shared" si="0"/>
        <v>0.11399999999999988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0.55000000000000004</v>
      </c>
      <c r="C18">
        <f>IF(A18="","",SUM('Asset Allocation'!C18))</f>
        <v>0.106</v>
      </c>
      <c r="D18">
        <f>IF(A18="","",SUM('Asset Allocation'!D18))</f>
        <v>0</v>
      </c>
      <c r="F18">
        <f>IF(A18="","",SUM('Asset Allocation'!E18))</f>
        <v>0.222</v>
      </c>
      <c r="G18">
        <f>IF(A18="","",SUM('Asset Allocation'!B18))</f>
        <v>3.2000000000000001E-2</v>
      </c>
      <c r="H18">
        <f t="shared" si="0"/>
        <v>8.9999999999999969E-2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0.76400000000000001</v>
      </c>
      <c r="C19">
        <f>IF(A19="","",SUM('Asset Allocation'!C19))</f>
        <v>4.4999999999999998E-2</v>
      </c>
      <c r="D19">
        <f>IF(A19="","",SUM('Asset Allocation'!D19))</f>
        <v>0</v>
      </c>
      <c r="F19">
        <f>IF(A19="","",SUM('Asset Allocation'!E19))</f>
        <v>8.4000000000000005E-2</v>
      </c>
      <c r="G19">
        <f>IF(A19="","",SUM('Asset Allocation'!B19))</f>
        <v>3.2000000000000001E-2</v>
      </c>
      <c r="H19">
        <f t="shared" si="0"/>
        <v>7.4999999999999956E-2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0.33142857142857141</v>
      </c>
      <c r="C2" s="6">
        <f>IFERROR(IF(A2="","",SUM('Asset Allocation'!F2)/'Broad Asset Allocation'!B2),0)</f>
        <v>7.4285714285714302E-2</v>
      </c>
      <c r="D2" s="6">
        <f>IFERROR(IF(A2="","",SUM('Asset Allocation'!H2)/'Broad Asset Allocation'!B2),0)</f>
        <v>0.43428571428571427</v>
      </c>
      <c r="E2" s="6">
        <f>IFERROR(IF(A2="","",SUM('Asset Allocation'!I2)/'Broad Asset Allocation'!B2),0)</f>
        <v>1.7142857142857144E-2</v>
      </c>
      <c r="F2" s="6"/>
      <c r="G2" s="6">
        <f>IFERROR(IF(A2="","",SUM('Asset Allocation'!J2)/'Broad Asset Allocation'!B2),0)</f>
        <v>0.13142857142857142</v>
      </c>
      <c r="H2" s="6">
        <f>IFERROR(IF(A2="","",SUM('Asset Allocation'!K2)/'Broad Asset Allocation'!B2),0)</f>
        <v>1.142857142857143E-2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0.36222910216718263</v>
      </c>
      <c r="C3" s="6">
        <f>IFERROR(IF(A3="","",SUM('Asset Allocation'!F3)/'Broad Asset Allocation'!B3),0)</f>
        <v>3.4055727554179571E-2</v>
      </c>
      <c r="D3" s="6">
        <f>IFERROR(IF(A3="","",SUM('Asset Allocation'!H3)/'Broad Asset Allocation'!B3),0)</f>
        <v>0.42414860681114547</v>
      </c>
      <c r="E3" s="6">
        <f>IFERROR(IF(A3="","",SUM('Asset Allocation'!I3)/'Broad Asset Allocation'!B3),0)</f>
        <v>2.7863777089783284E-2</v>
      </c>
      <c r="F3" s="6"/>
      <c r="G3" s="6">
        <f>IFERROR(IF(A3="","",SUM('Asset Allocation'!J3)/'Broad Asset Allocation'!B3),0)</f>
        <v>0.13312693498452011</v>
      </c>
      <c r="H3" s="6">
        <f>IFERROR(IF(A3="","",SUM('Asset Allocation'!K3)/'Broad Asset Allocation'!B3),0)</f>
        <v>1.8575851393188854E-2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0.35892514395393471</v>
      </c>
      <c r="C4" s="6">
        <f>IFERROR(IF(A4="","",SUM('Asset Allocation'!F4)/'Broad Asset Allocation'!B4),0)</f>
        <v>1.7274472168905951E-2</v>
      </c>
      <c r="D4" s="6">
        <f>IFERROR(IF(A4="","",SUM('Asset Allocation'!H4)/'Broad Asset Allocation'!B4),0)</f>
        <v>0.44913627639155468</v>
      </c>
      <c r="E4" s="6">
        <f>IFERROR(IF(A4="","",SUM('Asset Allocation'!I4)/'Broad Asset Allocation'!B4),0)</f>
        <v>2.6871401151631474E-2</v>
      </c>
      <c r="F4" s="6"/>
      <c r="G4" s="6">
        <f>IFERROR(IF(A4="","",SUM('Asset Allocation'!J4)/'Broad Asset Allocation'!B4),0)</f>
        <v>0.13051823416506719</v>
      </c>
      <c r="H4" s="6">
        <f>IFERROR(IF(A4="","",SUM('Asset Allocation'!K4)/'Broad Asset Allocation'!B4),0)</f>
        <v>1.7274472168905951E-2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0.35994194484760528</v>
      </c>
      <c r="C5" s="6">
        <f>IFERROR(IF(A5="","",SUM('Asset Allocation'!F5)/'Broad Asset Allocation'!B5),0)</f>
        <v>7.2568940493468806E-3</v>
      </c>
      <c r="D5" s="6">
        <f>IFERROR(IF(A5="","",SUM('Asset Allocation'!H5)/'Broad Asset Allocation'!B5),0)</f>
        <v>0.44992743105950656</v>
      </c>
      <c r="E5" s="6">
        <f>IFERROR(IF(A5="","",SUM('Asset Allocation'!I5)/'Broad Asset Allocation'!B5),0)</f>
        <v>2.9027576197387522E-2</v>
      </c>
      <c r="F5" s="6"/>
      <c r="G5" s="6">
        <f>IFERROR(IF(A5="","",SUM('Asset Allocation'!J5)/'Broad Asset Allocation'!B5),0)</f>
        <v>0.134978229317852</v>
      </c>
      <c r="H5" s="6">
        <f>IFERROR(IF(A5="","",SUM('Asset Allocation'!K5)/'Broad Asset Allocation'!B5),0)</f>
        <v>1.886792452830189E-2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0.35632183908045978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0.45977011494252878</v>
      </c>
      <c r="E6" s="6">
        <f>IFERROR(IF(A6="","",SUM('Asset Allocation'!I6)/'Broad Asset Allocation'!B6),0)</f>
        <v>2.8735632183908049E-2</v>
      </c>
      <c r="F6" s="6"/>
      <c r="G6" s="6">
        <f>IFERROR(IF(A6="","",SUM('Asset Allocation'!J6)/'Broad Asset Allocation'!B6),0)</f>
        <v>0.1367816091954023</v>
      </c>
      <c r="H6" s="6">
        <f>IFERROR(IF(A6="","",SUM('Asset Allocation'!K6)/'Broad Asset Allocation'!B6),0)</f>
        <v>1.8390804597701149E-2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0.36249999999999999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0.46875</v>
      </c>
      <c r="E7" s="6">
        <f>IFERROR(IF(A7="","",SUM('Asset Allocation'!I7)/'Broad Asset Allocation'!B7),0)</f>
        <v>2.5000000000000001E-2</v>
      </c>
      <c r="F7" s="6"/>
      <c r="G7" s="6">
        <f>IFERROR(IF(A7="","",SUM('Asset Allocation'!J7)/'Broad Asset Allocation'!B7),0)</f>
        <v>0.14374999999999999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0.38562091503267976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0.44117647058823534</v>
      </c>
      <c r="E8" s="6">
        <f>IFERROR(IF(A8="","",SUM('Asset Allocation'!I8)/'Broad Asset Allocation'!B8),0)</f>
        <v>3.2679738562091505E-2</v>
      </c>
      <c r="F8" s="6"/>
      <c r="G8" s="6">
        <f>IFERROR(IF(A8="","",SUM('Asset Allocation'!J8)/'Broad Asset Allocation'!B8),0)</f>
        <v>0.14052287581699346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0.3715415019762846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0.46047430830039526</v>
      </c>
      <c r="E9" s="6">
        <f>IFERROR(IF(A9="","",SUM('Asset Allocation'!I9)/'Broad Asset Allocation'!B9),0)</f>
        <v>2.9644268774703556E-2</v>
      </c>
      <c r="F9" s="6"/>
      <c r="G9" s="6">
        <f>IFERROR(IF(A9="","",SUM('Asset Allocation'!J9)/'Broad Asset Allocation'!B9),0)</f>
        <v>0.13833992094861661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0.37147102526002967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0.4576523031203566</v>
      </c>
      <c r="E10" s="6">
        <f>IFERROR(IF(A10="","",SUM('Asset Allocation'!I10)/'Broad Asset Allocation'!B10),0)</f>
        <v>2.9717682020802376E-2</v>
      </c>
      <c r="F10" s="6"/>
      <c r="G10" s="6">
        <f>IFERROR(IF(A10="","",SUM('Asset Allocation'!J10)/'Broad Asset Allocation'!B10),0)</f>
        <v>0.14115898959881129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0.36437718277066355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0.46332945285215366</v>
      </c>
      <c r="E11" s="6">
        <f>IFERROR(IF(A11="","",SUM('Asset Allocation'!I11)/'Broad Asset Allocation'!B11),0)</f>
        <v>2.9103608847497093E-2</v>
      </c>
      <c r="F11" s="6"/>
      <c r="G11" s="6">
        <f>IFERROR(IF(A11="","",SUM('Asset Allocation'!J11)/'Broad Asset Allocation'!B11),0)</f>
        <v>0.14318975552968569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0.25287356321839083</v>
      </c>
      <c r="C12" s="6">
        <f>IFERROR(IF(A12="","",SUM('Asset Allocation'!F12)/'Broad Asset Allocation'!B12),0)</f>
        <v>9.7701149425287376E-2</v>
      </c>
      <c r="D12" s="6">
        <f>IFERROR(IF(A12="","",SUM('Asset Allocation'!H12)/'Broad Asset Allocation'!B12),0)</f>
        <v>0.51724137931034486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0.12068965517241381</v>
      </c>
      <c r="H12" s="6">
        <f>IFERROR(IF(A12="","",SUM('Asset Allocation'!K12)/'Broad Asset Allocation'!B12),0)</f>
        <v>1.149425287356322E-2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0.26517571884984026</v>
      </c>
      <c r="C13" s="6">
        <f>IFERROR(IF(A13="","",SUM('Asset Allocation'!F13)/'Broad Asset Allocation'!B13),0)</f>
        <v>4.472843450479233E-2</v>
      </c>
      <c r="D13" s="6">
        <f>IFERROR(IF(A13="","",SUM('Asset Allocation'!H13)/'Broad Asset Allocation'!B13),0)</f>
        <v>0.52715654952076685</v>
      </c>
      <c r="E13" s="6">
        <f>IFERROR(IF(A13="","",SUM('Asset Allocation'!I13)/'Broad Asset Allocation'!B13),0)</f>
        <v>1.2779552715654952E-2</v>
      </c>
      <c r="F13" s="6"/>
      <c r="G13" s="6">
        <f>IFERROR(IF(A13="","",SUM('Asset Allocation'!J13)/'Broad Asset Allocation'!B13),0)</f>
        <v>0.12460063897763578</v>
      </c>
      <c r="H13" s="6">
        <f>IFERROR(IF(A13="","",SUM('Asset Allocation'!K13)/'Broad Asset Allocation'!B13),0)</f>
        <v>2.5559105431309903E-2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0.29249011857707513</v>
      </c>
      <c r="C14" s="6">
        <f>IFERROR(IF(A14="","",SUM('Asset Allocation'!F14)/'Broad Asset Allocation'!B14),0)</f>
        <v>2.1739130434782612E-2</v>
      </c>
      <c r="D14" s="6">
        <f>IFERROR(IF(A14="","",SUM('Asset Allocation'!H14)/'Broad Asset Allocation'!B14),0)</f>
        <v>0.52964426877470361</v>
      </c>
      <c r="E14" s="6">
        <f>IFERROR(IF(A14="","",SUM('Asset Allocation'!I14)/'Broad Asset Allocation'!B14),0)</f>
        <v>1.1857707509881424E-2</v>
      </c>
      <c r="F14" s="6"/>
      <c r="G14" s="6">
        <f>IFERROR(IF(A14="","",SUM('Asset Allocation'!J14)/'Broad Asset Allocation'!B14),0)</f>
        <v>0.12055335968379446</v>
      </c>
      <c r="H14" s="6">
        <f>IFERROR(IF(A14="","",SUM('Asset Allocation'!K14)/'Broad Asset Allocation'!B14),0)</f>
        <v>2.3715415019762848E-2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0.27055306427503739</v>
      </c>
      <c r="C15" s="6">
        <f>IFERROR(IF(A15="","",SUM('Asset Allocation'!F15)/'Broad Asset Allocation'!B15),0)</f>
        <v>1.0463378176382659E-2</v>
      </c>
      <c r="D15" s="6">
        <f>IFERROR(IF(A15="","",SUM('Asset Allocation'!H15)/'Broad Asset Allocation'!B15),0)</f>
        <v>0.55605381165919288</v>
      </c>
      <c r="E15" s="6">
        <f>IFERROR(IF(A15="","",SUM('Asset Allocation'!I15)/'Broad Asset Allocation'!B15),0)</f>
        <v>1.195814648729447E-2</v>
      </c>
      <c r="F15" s="6"/>
      <c r="G15" s="6">
        <f>IFERROR(IF(A15="","",SUM('Asset Allocation'!J15)/'Broad Asset Allocation'!B15),0)</f>
        <v>0.12556053811659193</v>
      </c>
      <c r="H15" s="6">
        <f>IFERROR(IF(A15="","",SUM('Asset Allocation'!K15)/'Broad Asset Allocation'!B15),0)</f>
        <v>2.5411061285500747E-2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0.28247914183551848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0.55423122765196664</v>
      </c>
      <c r="E16" s="6">
        <f>IFERROR(IF(A16="","",SUM('Asset Allocation'!I16)/'Broad Asset Allocation'!B16),0)</f>
        <v>1.3110846245530395E-2</v>
      </c>
      <c r="F16" s="6"/>
      <c r="G16" s="6">
        <f>IFERROR(IF(A16="","",SUM('Asset Allocation'!J16)/'Broad Asset Allocation'!B16),0)</f>
        <v>0.12514898688915377</v>
      </c>
      <c r="H16" s="6">
        <f>IFERROR(IF(A16="","",SUM('Asset Allocation'!K16)/'Broad Asset Allocation'!B16),0)</f>
        <v>2.5029797377830752E-2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0.3611111111111111</v>
      </c>
      <c r="C17" s="6">
        <f>IFERROR(IF(A17="","",SUM('Asset Allocation'!F17)/'Broad Asset Allocation'!B17),0)</f>
        <v>0.16049382716049385</v>
      </c>
      <c r="D17" s="6">
        <f>IFERROR(IF(A17="","",SUM('Asset Allocation'!H17)/'Broad Asset Allocation'!B17),0)</f>
        <v>0.23456790123456789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0.19135802469135801</v>
      </c>
      <c r="H17" s="6">
        <f>IFERROR(IF(A17="","",SUM('Asset Allocation'!K17)/'Broad Asset Allocation'!B17),0)</f>
        <v>5.246913580246914E-2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0.36</v>
      </c>
      <c r="C18" s="6">
        <f>IFERROR(IF(A18="","",SUM('Asset Allocation'!F18)/'Broad Asset Allocation'!B18),0)</f>
        <v>0.11818181818181818</v>
      </c>
      <c r="D18" s="6">
        <f>IFERROR(IF(A18="","",SUM('Asset Allocation'!H18)/'Broad Asset Allocation'!B18),0)</f>
        <v>0.28363636363636363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0.19454545454545452</v>
      </c>
      <c r="H18" s="6">
        <f>IFERROR(IF(A18="","",SUM('Asset Allocation'!K18)/'Broad Asset Allocation'!B18),0)</f>
        <v>4.3636363636363633E-2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0.36387434554973824</v>
      </c>
      <c r="C19" s="6">
        <f>IFERROR(IF(A19="","",SUM('Asset Allocation'!F19)/'Broad Asset Allocation'!B19),0)</f>
        <v>0.112565445026178</v>
      </c>
      <c r="D19" s="6">
        <f>IFERROR(IF(A19="","",SUM('Asset Allocation'!H19)/'Broad Asset Allocation'!B19),0)</f>
        <v>0.27356020942408377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0.20811518324607331</v>
      </c>
      <c r="H19" s="6">
        <f>IFERROR(IF(A19="","",SUM('Asset Allocation'!K19)/'Broad Asset Allocation'!B19),0)</f>
        <v>4.1884816753926704E-2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2024-01-13T09:57:31Z</dcterms:modified>
</cp:coreProperties>
</file>