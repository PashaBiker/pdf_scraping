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Quilter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2" i="3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<sst xmlns="http://schemas.openxmlformats.org/spreadsheetml/2006/main" count="181" uniqueCount="147">
  <si>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</si>
  <si>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</si>
  <si>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</si>
  <si>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</si>
  <si>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</si>
  <si>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</si>
  <si>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</si>
  <si>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</si>
  <si>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</si>
  <si>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</si>
  <si>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</si>
  <si>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</si>
  <si>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</si>
  <si>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</si>
  <si>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</si>
  <si>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</si>
  <si>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</si>
  <si>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</si>
  <si>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</si>
  <si>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</si>
  <si>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</si>
  <si>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</si>
  <si>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</si>
  <si>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</si>
  <si>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</si>
  <si>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</si>
  <si>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</si>
  <si>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</si>
  <si>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</si>
  <si>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</si>
  <si>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</si>
  <si>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</si>
  <si>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</si>
  <si>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</si>
  <si>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</si>
  <si>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</si>
  <si>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WealthSelect Managed Active 10 factsheet</t>
  </si>
  <si>
    <t>WealthSelect Managed Active 3 factsheet</t>
  </si>
  <si>
    <t>WealthSelect Managed Active 4 factsheet</t>
  </si>
  <si>
    <t>WealthSelect Managed Active 5 factsheet</t>
  </si>
  <si>
    <t>WealthSelect Managed Active 6 factsheet</t>
  </si>
  <si>
    <t>WealthSelect Managed Active 7 factsheet</t>
  </si>
  <si>
    <t>WealthSelect Managed Active 8 factsheet</t>
  </si>
  <si>
    <t>WealthSelect Managed Active 9 factsheet</t>
  </si>
  <si>
    <t>WealthSelect Managed Blend 10 factsheet</t>
  </si>
  <si>
    <t>WealthSelect Managed Blend 3 factsheet</t>
  </si>
  <si>
    <t>WealthSelect Managed Blend 4 factsheet</t>
  </si>
  <si>
    <t>WealthSelect Managed Blend 5 factsheet</t>
  </si>
  <si>
    <t>WealthSelect Managed Blend 6 factsheet</t>
  </si>
  <si>
    <t>WealthSelect Managed Blend 7 factsheet</t>
  </si>
  <si>
    <t>WealthSelect Managed Blend 8 factsheet</t>
  </si>
  <si>
    <t>WealthSelect Managed Blend 9 factsheet</t>
  </si>
  <si>
    <t>WealthSelect Managed Passive 10 factsheet</t>
  </si>
  <si>
    <t>WealthSelect Managed Passive 3 factsheet</t>
  </si>
  <si>
    <t>WealthSelect Managed Passive 5 factsheet</t>
  </si>
  <si>
    <t>WealthSelect Managed Passive 6 factsheet</t>
  </si>
  <si>
    <t>WealthSelect Managed Passive 7 factsheet</t>
  </si>
  <si>
    <t>WealthSelect Managed Passive 8 factsheet</t>
  </si>
  <si>
    <t>WealthSelect Managed Passive 9 factsheet</t>
  </si>
  <si>
    <t>WealthSelect Sustainable Active 10 factsheet</t>
  </si>
  <si>
    <t>WealthSelect Sustainable Active 3 factsheet</t>
  </si>
  <si>
    <t>WealthSelect Sustainable Active 4 factsheet</t>
  </si>
  <si>
    <t>WealthSelect Sustainable Active 5 factsheet</t>
  </si>
  <si>
    <t>WealthSelect Sustainable Active 6 factsheet</t>
  </si>
  <si>
    <t>WealthSelect Sustainable Active 7 factsheet</t>
  </si>
  <si>
    <t>WealthSelect Sustainable Active 8 factsheet</t>
  </si>
  <si>
    <t>WealthSelect Sustainable Active 9 factsheet</t>
  </si>
  <si>
    <t>https://www.quilter.com/documents/?filters=116472%2c116442%2c137171&amp;page=1&amp;Region=uk&amp;Role=adv</t>
  </si>
  <si>
    <t>WealthSelect Managed Active 10</t>
  </si>
  <si>
    <t>WealthSelect Managed Active 3</t>
  </si>
  <si>
    <t>WealthSelect Managed Active 4</t>
  </si>
  <si>
    <t>WealthSelect Managed Active 5</t>
  </si>
  <si>
    <t>WealthSelect Managed Active 6</t>
  </si>
  <si>
    <t>WealthSelect Managed Active 7</t>
  </si>
  <si>
    <t>WealthSelect Managed Active 8</t>
  </si>
  <si>
    <t>WealthSelect Managed Active 9</t>
  </si>
  <si>
    <t>WealthSelect Managed Blend 10</t>
  </si>
  <si>
    <t>WealthSelect Managed Blend 3</t>
  </si>
  <si>
    <t>WealthSelect Managed Blend 4</t>
  </si>
  <si>
    <t>WealthSelect Managed Blend 5</t>
  </si>
  <si>
    <t>WealthSelect Managed Blend 6</t>
  </si>
  <si>
    <t>WealthSelect Managed Blend 7</t>
  </si>
  <si>
    <t>WealthSelect Managed Blend 8</t>
  </si>
  <si>
    <t>WealthSelect Managed Blend 9</t>
  </si>
  <si>
    <t>WealthSelect Managed Passive 10</t>
  </si>
  <si>
    <t>WealthSelect Managed Passive 3</t>
  </si>
  <si>
    <t>WealthSelect Managed Passive 5</t>
  </si>
  <si>
    <t>WealthSelect Managed Passive 6</t>
  </si>
  <si>
    <t>WealthSelect Managed Passive 7</t>
  </si>
  <si>
    <t>WealthSelect Managed Passive 8</t>
  </si>
  <si>
    <t>WealthSelect Managed Passive 9</t>
  </si>
  <si>
    <t>WealthSelect Sustainable Active 10</t>
  </si>
  <si>
    <t>WealthSelect Sustainable Active 3</t>
  </si>
  <si>
    <t>WealthSelect Sustainable Active 4</t>
  </si>
  <si>
    <t>WealthSelect Sustainable Active 5</t>
  </si>
  <si>
    <t>WealthSelect Sustainable Active 6</t>
  </si>
  <si>
    <t>WealthSelect Sustainable Active 7</t>
  </si>
  <si>
    <t>WealthSelect Sustainable Active 8</t>
  </si>
  <si>
    <t>WealthSelect Sustainable Active 9</t>
  </si>
  <si>
    <t>Weighted fund charge</t>
  </si>
  <si>
    <t>MPS charge</t>
  </si>
  <si>
    <t>3 years</t>
  </si>
  <si>
    <t>5 years</t>
  </si>
  <si>
    <t>https://www.quilter.com/siteassets/documents/platform/wealthselect/factsheets/MM00964_WealthSelectManagedActive10.pdf</t>
  </si>
  <si>
    <t>https://www.quilter.com/siteassets/documents/platform/wealthselect/factsheets/MM00957_WealthSelectManagedActive3.pdf</t>
  </si>
  <si>
    <t>https://www.quilter.com/siteassets/documents/platform/wealthselect/factsheets/MM00958_WealthSelectManagedActive4.pdf</t>
  </si>
  <si>
    <t>https://www.quilter.com/siteassets/documents/platform/wealthselect/factsheets/MM00959_WealthSelectManagedActive5.pdf</t>
  </si>
  <si>
    <t>https://www.quilter.com/siteassets/documents/platform/wealthselect/factsheets/MM00960_WealthSelectManagedActive6.pdf</t>
  </si>
  <si>
    <t>https://www.quilter.com/siteassets/documents/platform/wealthselect/factsheets/MM00961_WealthSelectManagedActive7.pdf</t>
  </si>
  <si>
    <t>https://www.quilter.com/siteassets/documents/platform/wealthselect/factsheets/MM00962_WealthSelectManagedActive8.pdf</t>
  </si>
  <si>
    <t>https://www.quilter.com/siteassets/documents/platform/wealthselect/factsheets/MM00963_WealthSelectManagedActive9.pdf</t>
  </si>
  <si>
    <t>https://www.quilter.com/siteassets/documents/platform/wealthselect/factsheets/MM00972_WealthSelectManagedBlend10.pdf</t>
  </si>
  <si>
    <t>https://www.quilter.com/siteassets/documents/platform/wealthselect/factsheets/MM00965_WealthSelectManagedBlend3.pdf</t>
  </si>
  <si>
    <t>https://www.quilter.com/siteassets/documents/platform/wealthselect/factsheets/MM00966_WealthSelectManagedBlend4.pdf</t>
  </si>
  <si>
    <t>https://www.quilter.com/siteassets/documents/platform/wealthselect/factsheets/MM00967_WealthSelectManagedBlend5.pdf</t>
  </si>
  <si>
    <t>https://www.quilter.com/siteassets/documents/platform/wealthselect/factsheets/MM00968_WealthSelectManagedBlend6.pdf</t>
  </si>
  <si>
    <t>https://www.quilter.com/siteassets/documents/platform/wealthselect/factsheets/MM00969_WealthSelectManagedBlend7.pdf</t>
  </si>
  <si>
    <t>https://www.quilter.com/siteassets/documents/platform/wealthselect/factsheets/MM00970_WealthSelectManagedBlend8.pdf</t>
  </si>
  <si>
    <t>https://www.quilter.com/siteassets/documents/platform/wealthselect/factsheets/MM00971_WealthSelectManagedBlend9.pdf</t>
  </si>
  <si>
    <t>https://www.quilter.com/siteassets/documents/platform/wealthselect/factsheets/mm01621_wealthselectmanagedpassive10.pdf</t>
  </si>
  <si>
    <t>https://www.quilter.com/siteassets/documents/platform/wealthselect/factsheets/mm01614_wealthselectmanagedpassive3.pdf</t>
  </si>
  <si>
    <t>https://www.quilter.com/siteassets/documents/platform/wealthselect/factsheets/mm01616_wealthselectmanagedpassive5.pdf</t>
  </si>
  <si>
    <t>https://www.quilter.com/siteassets/documents/platform/wealthselect/factsheets/mm01617_wealthselectmanagedpassive6.pdf</t>
  </si>
  <si>
    <t>https://www.quilter.com/siteassets/documents/platform/wealthselect/factsheets/mm01618_wealthselectmanagedpassive7.pdf</t>
  </si>
  <si>
    <t>https://www.quilter.com/siteassets/documents/platform/wealthselect/factsheets/mm01619_wealthselectmanagedpassive8.pdf</t>
  </si>
  <si>
    <t>https://www.quilter.com/siteassets/documents/platform/wealthselect/factsheets/mm01620_wealthselectmanagedpassive9.pdf</t>
  </si>
  <si>
    <t>https://www.quilter.com/siteassets/documents/platform/wealthselect/factsheets/mm01653_WealthSelectSustainableActive10.pdf</t>
  </si>
  <si>
    <t>https://www.quilter.com/siteassets/documents/platform/wealthselect/factsheets/mm01646_WealthSelectSustainableActive3.pdf</t>
  </si>
  <si>
    <t>https://www.quilter.com/siteassets/documents/platform/wealthselect/factsheets/mm01647_WealthSelectSustainableActive4.pdf</t>
  </si>
  <si>
    <t>https://www.quilter.com/siteassets/documents/platform/wealthselect/factsheets/mm01648_WealthSelectSustainableActive5.pdf</t>
  </si>
  <si>
    <t>https://www.quilter.com/siteassets/documents/platform/wealthselect/factsheets/mm01649_WealthSelectSustainableActive6.pdf</t>
  </si>
  <si>
    <t>https://www.quilter.com/siteassets/documents/platform/wealthselect/factsheets/mm01650_WealthSelectSustainableActive7.pdf</t>
  </si>
  <si>
    <t>https://www.quilter.com/siteassets/documents/platform/wealthselect/factsheets/mm01651_WealthSelectSustainableActive8.pdf</t>
  </si>
  <si>
    <t>https://www.quilter.com/siteassets/documents/platform/wealthselect/factsheets/mm01652_WealthSelectSustainableActive9.pdf</t>
  </si>
  <si>
    <t>WealthSelect Managed Passive 4 factsheet</t>
  </si>
  <si>
    <t>https://www.quilter.com/siteassets/documents/platform/wealthselect/factsheets/mm01615_wealthselectmanagedpassive4.pdf</t>
  </si>
  <si>
    <t>Developed markets (ex UK) equity</t>
  </si>
  <si>
    <t>Emerging markets equity</t>
  </si>
  <si>
    <t>UK equity</t>
  </si>
  <si>
    <t>Fixed interest</t>
  </si>
  <si>
    <t>Emerging markets multi-thematic equity</t>
  </si>
  <si>
    <t>Engagement equity</t>
  </si>
  <si>
    <t>Global multi-thematic equity</t>
  </si>
  <si>
    <t>Social equity</t>
  </si>
  <si>
    <t>Environmental equity</t>
  </si>
  <si>
    <t>Alternatives</t>
  </si>
  <si>
    <t>WealthSelect Managed Passive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</si>
</sst>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5</xdr:col>
      <xdr:colOff>401272</xdr:colOff>
      <xdr:row>10</xdr:row>
      <xdr:rowOff>165234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88F051-742B-7F94-F007-DACCDA21B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449272" cy="1847984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11</xdr:row>
      <xdr:rowOff>127000</xdr:rowOff>
    </xdr:from>
    <xdr:to>
      <xdr:col>5</xdr:col>
      <xdr:colOff>562554</xdr:colOff>
      <xdr:row>16</xdr:row>
      <xdr:rowOff>171546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265A64-BD6D-FAFA-C629-79CA3D147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" y="2152650"/>
          <a:ext cx="3547054" cy="9652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76200</xdr:rowOff>
    </xdr:from>
    <xdr:to>
      <xdr:col>6</xdr:col>
      <xdr:colOff>330112</xdr:colOff>
      <xdr:row>23</xdr:row>
      <xdr:rowOff>108052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FEA5D0-968D-98E5-B195-B81EBF16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06750"/>
          <a:ext cx="3987712" cy="1136752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1</xdr:row>
      <xdr:rowOff>76200</xdr:rowOff>
    </xdr:from>
    <xdr:to>
      <xdr:col>13</xdr:col>
      <xdr:colOff>241501</xdr:colOff>
      <xdr:row>24</xdr:row>
      <xdr:rowOff>101819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28E8A91-1C39-ADB0-49BC-F0699CF6E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260350"/>
          <a:ext cx="3918151" cy="42610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6" sqref="O6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Q10" sqref="Q10:Q11"/>
    </sheetView>
  </sheetViews>
  <sheetFormatPr defaultRowHeight="15" x14ac:dyDescent="0.25"/>
  <cols>
    <col min="1" max="1" width="32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68</v>
      </c>
      <c r="B3" t="str">
        <f>'PDF Scraping'!D2</f>
        <v>https://www.quilter.com/siteassets/documents/platform/wealthselect/factsheets/MM00964_WealthSelectManagedActive10.pdf</v>
      </c>
      <c r="J3" s="4"/>
    </row>
    <row r="4" spans="1:10" x14ac:dyDescent="0.25">
      <c r="A4" t="s">
        <v>69</v>
      </c>
      <c r="B4" t="str">
        <f>'PDF Scraping'!D3</f>
        <v>https://www.quilter.com/siteassets/documents/platform/wealthselect/factsheets/MM00957_WealthSelectManagedActive3.pdf</v>
      </c>
      <c r="J4" s="4"/>
    </row>
    <row r="5" spans="1:10" x14ac:dyDescent="0.25">
      <c r="A5" t="s">
        <v>70</v>
      </c>
      <c r="B5" t="str">
        <f>'PDF Scraping'!D4</f>
        <v>https://www.quilter.com/siteassets/documents/platform/wealthselect/factsheets/MM00958_WealthSelectManagedActive4.pdf</v>
      </c>
    </row>
    <row r="6" spans="1:10" x14ac:dyDescent="0.25">
      <c r="A6" t="s">
        <v>71</v>
      </c>
      <c r="B6" t="str">
        <f>'PDF Scraping'!D5</f>
        <v>https://www.quilter.com/siteassets/documents/platform/wealthselect/factsheets/MM00959_WealthSelectManagedActive5.pdf</v>
      </c>
    </row>
    <row r="7" spans="1:10" x14ac:dyDescent="0.25">
      <c r="A7" t="s">
        <v>72</v>
      </c>
      <c r="B7" t="str">
        <f>'PDF Scraping'!D6</f>
        <v>https://www.quilter.com/siteassets/documents/platform/wealthselect/factsheets/MM00960_WealthSelectManagedActive6.pdf</v>
      </c>
    </row>
    <row r="8" spans="1:10" x14ac:dyDescent="0.25">
      <c r="A8" t="s">
        <v>73</v>
      </c>
      <c r="B8" t="str">
        <f>'PDF Scraping'!D7</f>
        <v>https://www.quilter.com/siteassets/documents/platform/wealthselect/factsheets/MM00961_WealthSelectManagedActive7.pdf</v>
      </c>
    </row>
    <row r="9" spans="1:10" x14ac:dyDescent="0.25">
      <c r="A9" t="s">
        <v>74</v>
      </c>
      <c r="B9" t="str">
        <f>'PDF Scraping'!D8</f>
        <v>https://www.quilter.com/siteassets/documents/platform/wealthselect/factsheets/MM00962_WealthSelectManagedActive8.pdf</v>
      </c>
    </row>
    <row r="10" spans="1:10" x14ac:dyDescent="0.25">
      <c r="A10" t="s">
        <v>75</v>
      </c>
      <c r="B10" t="str">
        <f>'PDF Scraping'!D9</f>
        <v>https://www.quilter.com/siteassets/documents/platform/wealthselect/factsheets/MM00963_WealthSelectManagedActive9.pdf</v>
      </c>
    </row>
    <row r="11" spans="1:10" x14ac:dyDescent="0.25">
      <c r="A11" t="s">
        <v>76</v>
      </c>
      <c r="B11" t="str">
        <f>'PDF Scraping'!D10</f>
        <v>https://www.quilter.com/siteassets/documents/platform/wealthselect/factsheets/MM00972_WealthSelectManagedBlend10.pdf</v>
      </c>
    </row>
    <row r="12" spans="1:10" x14ac:dyDescent="0.25">
      <c r="A12" t="s">
        <v>77</v>
      </c>
      <c r="B12" t="str">
        <f>'PDF Scraping'!D11</f>
        <v>https://www.quilter.com/siteassets/documents/platform/wealthselect/factsheets/MM00965_WealthSelectManagedBlend3.pdf</v>
      </c>
    </row>
    <row r="13" spans="1:10" x14ac:dyDescent="0.25">
      <c r="A13" t="s">
        <v>78</v>
      </c>
      <c r="B13" t="str">
        <f>'PDF Scraping'!D12</f>
        <v>https://www.quilter.com/siteassets/documents/platform/wealthselect/factsheets/MM00966_WealthSelectManagedBlend4.pdf</v>
      </c>
    </row>
    <row r="14" spans="1:10" x14ac:dyDescent="0.25">
      <c r="A14" t="s">
        <v>79</v>
      </c>
      <c r="B14" t="str">
        <f>'PDF Scraping'!D13</f>
        <v>https://www.quilter.com/siteassets/documents/platform/wealthselect/factsheets/MM00967_WealthSelectManagedBlend5.pdf</v>
      </c>
    </row>
    <row r="15" spans="1:10" x14ac:dyDescent="0.25">
      <c r="A15" t="s">
        <v>80</v>
      </c>
      <c r="B15" t="str">
        <f>'PDF Scraping'!D14</f>
        <v>https://www.quilter.com/siteassets/documents/platform/wealthselect/factsheets/MM00968_WealthSelectManagedBlend6.pdf</v>
      </c>
    </row>
    <row r="16" spans="1:10" x14ac:dyDescent="0.25">
      <c r="A16" t="s">
        <v>81</v>
      </c>
      <c r="B16" t="str">
        <f>'PDF Scraping'!D15</f>
        <v>https://www.quilter.com/siteassets/documents/platform/wealthselect/factsheets/MM00969_WealthSelectManagedBlend7.pdf</v>
      </c>
    </row>
    <row r="17" spans="1:2" x14ac:dyDescent="0.25">
      <c r="A17" t="s">
        <v>82</v>
      </c>
      <c r="B17" t="str">
        <f>'PDF Scraping'!D16</f>
        <v>https://www.quilter.com/siteassets/documents/platform/wealthselect/factsheets/MM00970_WealthSelectManagedBlend8.pdf</v>
      </c>
    </row>
    <row r="18" spans="1:2" x14ac:dyDescent="0.25">
      <c r="A18" t="s">
        <v>83</v>
      </c>
      <c r="B18" t="str">
        <f>'PDF Scraping'!D17</f>
        <v>https://www.quilter.com/siteassets/documents/platform/wealthselect/factsheets/MM00971_WealthSelectManagedBlend9.pdf</v>
      </c>
    </row>
    <row r="19" spans="1:2" x14ac:dyDescent="0.25">
      <c r="A19" t="s">
        <v>84</v>
      </c>
      <c r="B19" t="str">
        <f>'PDF Scraping'!D18</f>
        <v>https://www.quilter.com/siteassets/documents/platform/wealthselect/factsheets/mm01621_wealthselectmanagedpassive10.pdf</v>
      </c>
    </row>
    <row r="20" spans="1:2" x14ac:dyDescent="0.25">
      <c r="A20" t="s">
        <v>85</v>
      </c>
      <c r="B20" t="str">
        <f>'PDF Scraping'!D19</f>
        <v>https://www.quilter.com/siteassets/documents/platform/wealthselect/factsheets/mm01614_wealthselectmanagedpassive3.pdf</v>
      </c>
    </row>
    <row r="21" spans="1:2" x14ac:dyDescent="0.25">
      <c r="A21" s="8" t="s">
        <v>146</v>
      </c>
      <c r="B21" t="str">
        <f>'PDF Scraping'!D20</f>
        <v>https://www.quilter.com/siteassets/documents/platform/wealthselect/factsheets/mm01615_wealthselectmanagedpassive4.pdf</v>
      </c>
    </row>
    <row r="22" spans="1:2" x14ac:dyDescent="0.25">
      <c r="A22" t="s">
        <v>86</v>
      </c>
      <c r="B22" t="str">
        <f>'PDF Scraping'!D21</f>
        <v>https://www.quilter.com/siteassets/documents/platform/wealthselect/factsheets/mm01616_wealthselectmanagedpassive5.pdf</v>
      </c>
    </row>
    <row r="23" spans="1:2" x14ac:dyDescent="0.25">
      <c r="A23" t="s">
        <v>87</v>
      </c>
      <c r="B23" t="str">
        <f>'PDF Scraping'!D22</f>
        <v>https://www.quilter.com/siteassets/documents/platform/wealthselect/factsheets/mm01617_wealthselectmanagedpassive6.pdf</v>
      </c>
    </row>
    <row r="24" spans="1:2" x14ac:dyDescent="0.25">
      <c r="A24" t="s">
        <v>88</v>
      </c>
      <c r="B24" t="str">
        <f>'PDF Scraping'!D23</f>
        <v>https://www.quilter.com/siteassets/documents/platform/wealthselect/factsheets/mm01618_wealthselectmanagedpassive7.pdf</v>
      </c>
    </row>
    <row r="25" spans="1:2" x14ac:dyDescent="0.25">
      <c r="A25" t="s">
        <v>89</v>
      </c>
      <c r="B25" t="str">
        <f>'PDF Scraping'!D24</f>
        <v>https://www.quilter.com/siteassets/documents/platform/wealthselect/factsheets/mm01619_wealthselectmanagedpassive8.pdf</v>
      </c>
    </row>
    <row r="26" spans="1:2" x14ac:dyDescent="0.25">
      <c r="A26" t="s">
        <v>90</v>
      </c>
      <c r="B26" t="str">
        <f>'PDF Scraping'!D25</f>
        <v>https://www.quilter.com/siteassets/documents/platform/wealthselect/factsheets/mm01620_wealthselectmanagedpassive9.pdf</v>
      </c>
    </row>
    <row r="27" spans="1:2" x14ac:dyDescent="0.25">
      <c r="A27" t="s">
        <v>91</v>
      </c>
      <c r="B27" t="str">
        <f>'PDF Scraping'!D26</f>
        <v>https://www.quilter.com/siteassets/documents/platform/wealthselect/factsheets/mm01653_WealthSelectSustainableActive10.pdf</v>
      </c>
    </row>
    <row r="28" spans="1:2" x14ac:dyDescent="0.25">
      <c r="A28" t="s">
        <v>92</v>
      </c>
      <c r="B28" t="str">
        <f>'PDF Scraping'!D27</f>
        <v>https://www.quilter.com/siteassets/documents/platform/wealthselect/factsheets/mm01646_WealthSelectSustainableActive3.pdf</v>
      </c>
    </row>
    <row r="29" spans="1:2" x14ac:dyDescent="0.25">
      <c r="A29" t="s">
        <v>93</v>
      </c>
      <c r="B29" t="str">
        <f>'PDF Scraping'!D28</f>
        <v>https://www.quilter.com/siteassets/documents/platform/wealthselect/factsheets/mm01647_WealthSelectSustainableActive4.pdf</v>
      </c>
    </row>
    <row r="30" spans="1:2" x14ac:dyDescent="0.25">
      <c r="A30" t="s">
        <v>94</v>
      </c>
      <c r="B30" t="str">
        <f>'PDF Scraping'!D29</f>
        <v>https://www.quilter.com/siteassets/documents/platform/wealthselect/factsheets/mm01648_WealthSelectSustainableActive5.pdf</v>
      </c>
    </row>
    <row r="31" spans="1:2" x14ac:dyDescent="0.25">
      <c r="A31" t="s">
        <v>95</v>
      </c>
      <c r="B31" t="str">
        <f>'PDF Scraping'!D30</f>
        <v>https://www.quilter.com/siteassets/documents/platform/wealthselect/factsheets/mm01649_WealthSelectSustainableActive6.pdf</v>
      </c>
    </row>
    <row r="32" spans="1:2" x14ac:dyDescent="0.25">
      <c r="A32" t="s">
        <v>96</v>
      </c>
      <c r="B32" t="str">
        <f>'PDF Scraping'!D31</f>
        <v>https://www.quilter.com/siteassets/documents/platform/wealthselect/factsheets/mm01650_WealthSelectSustainableActive7.pdf</v>
      </c>
    </row>
    <row r="33" spans="1:2" x14ac:dyDescent="0.25">
      <c r="A33" t="s">
        <v>97</v>
      </c>
      <c r="B33" t="str">
        <f>'PDF Scraping'!D32</f>
        <v>https://www.quilter.com/siteassets/documents/platform/wealthselect/factsheets/mm01651_WealthSelectSustainableActive8.pdf</v>
      </c>
    </row>
    <row r="34" spans="1:2" x14ac:dyDescent="0.25">
      <c r="A34" t="s">
        <v>98</v>
      </c>
      <c r="B34" t="str">
        <f>'PDF Scraping'!D33</f>
        <v>https://www.quilter.com/siteassets/documents/platform/wealthselect/factsheets/mm01652_WealthSelectSustainableActive9.pdf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34" sqref="D34"/>
    </sheetView>
  </sheetViews>
  <sheetFormatPr defaultRowHeight="15" x14ac:dyDescent="0.25"/>
  <cols>
    <col min="1" max="1" width="32.7109375" bestFit="1" customWidth="1"/>
    <col min="2" max="2" width="19.140625" customWidth="1"/>
    <col min="3" max="4" width="33.140625" style="10" bestFit="1" customWidth="1"/>
    <col min="5" max="5" width="6.85546875" style="10" bestFit="1" customWidth="1"/>
    <col min="6" max="7" width="7.140625" bestFit="1" customWidth="1"/>
  </cols>
  <sheetData>
    <row r="1" spans="1:9" x14ac:dyDescent="0.25">
      <c r="B1" t="s">
        <v>22</v>
      </c>
      <c r="C1" s="10" t="s">
        <v>99</v>
      </c>
      <c r="D1" s="10" t="s">
        <v>100</v>
      </c>
      <c r="E1" s="10" t="s">
        <v>35</v>
      </c>
      <c r="F1" t="s">
        <v>101</v>
      </c>
      <c r="G1" t="s">
        <v>102</v>
      </c>
    </row>
    <row r="2" spans="1:9" x14ac:dyDescent="0.25">
      <c r="A2" t="str">
        <f>IF(Input!A3="","",Input!A3)</f>
        <v>WealthSelect Managed Active 10</v>
      </c>
      <c r="B2" s="1">
        <v>45169</v>
      </c>
      <c r="C2" s="10">
        <v>6.3E-3</v>
      </c>
      <c r="D2" s="10">
        <v>1.5E-3</v>
      </c>
      <c r="E2" s="10">
        <v>5.2999999999999999E-2</v>
      </c>
      <c r="F2" s="5">
        <v>0.28999999999999998</v>
      </c>
      <c r="G2" s="5">
        <v>0.39899999999999997</v>
      </c>
      <c r="H2" s="5"/>
      <c r="I2" s="5"/>
    </row>
    <row r="3" spans="1:9" x14ac:dyDescent="0.25">
      <c r="A3" t="str">
        <f>IF(Input!A4="","",Input!A4)</f>
        <v>WealthSelect Managed Active 3</v>
      </c>
      <c r="B3" s="1">
        <v>45169</v>
      </c>
      <c r="C3" s="10">
        <v>4.5999999999999999E-3</v>
      </c>
      <c r="D3" s="10">
        <v>1.5E-3</v>
      </c>
      <c r="E3" s="10">
        <v>2.3E-2</v>
      </c>
      <c r="F3" s="5">
        <v>3.7000000000000005E-2</v>
      </c>
      <c r="G3" s="5">
        <v>0.12300000000000001</v>
      </c>
      <c r="H3" s="5"/>
      <c r="I3" s="5"/>
    </row>
    <row r="4" spans="1:9" x14ac:dyDescent="0.25">
      <c r="A4" t="str">
        <f>IF(Input!A5="","",Input!A5)</f>
        <v>WealthSelect Managed Active 4</v>
      </c>
      <c r="B4" s="1">
        <v>45169</v>
      </c>
      <c r="C4" s="10">
        <v>5.0000000000000001E-3</v>
      </c>
      <c r="D4" s="10">
        <v>1.5E-3</v>
      </c>
      <c r="E4" s="10">
        <v>0.03</v>
      </c>
      <c r="F4" s="5">
        <v>7.2000000000000008E-2</v>
      </c>
      <c r="G4" s="5">
        <v>0.158</v>
      </c>
      <c r="H4" s="5"/>
      <c r="I4" s="5"/>
    </row>
    <row r="5" spans="1:9" x14ac:dyDescent="0.25">
      <c r="A5" t="str">
        <f>IF(Input!A6="","",Input!A6)</f>
        <v>WealthSelect Managed Active 5</v>
      </c>
      <c r="B5" s="1">
        <v>45169</v>
      </c>
      <c r="C5" s="10">
        <v>5.5000000000000005E-3</v>
      </c>
      <c r="D5" s="10">
        <v>1.5E-3</v>
      </c>
      <c r="E5" s="10">
        <v>3.6000000000000004E-2</v>
      </c>
      <c r="F5" s="5">
        <v>0.10800000000000001</v>
      </c>
      <c r="G5" s="5">
        <v>0.191</v>
      </c>
      <c r="H5" s="5"/>
      <c r="I5" s="5"/>
    </row>
    <row r="6" spans="1:9" x14ac:dyDescent="0.25">
      <c r="A6" t="str">
        <f>IF(Input!A7="","",Input!A7)</f>
        <v>WealthSelect Managed Active 6</v>
      </c>
      <c r="B6" s="1">
        <v>45169</v>
      </c>
      <c r="C6" s="10">
        <v>6.0000000000000001E-3</v>
      </c>
      <c r="D6" s="10">
        <v>1.5E-3</v>
      </c>
      <c r="E6" s="10">
        <v>4.0999999999999995E-2</v>
      </c>
      <c r="F6" s="5">
        <v>0.14599999999999999</v>
      </c>
      <c r="G6" s="5">
        <v>0.22399999999999998</v>
      </c>
      <c r="H6" s="5"/>
      <c r="I6" s="5"/>
    </row>
    <row r="7" spans="1:9" x14ac:dyDescent="0.25">
      <c r="A7" t="str">
        <f>IF(Input!A8="","",Input!A8)</f>
        <v>WealthSelect Managed Active 7</v>
      </c>
      <c r="B7" s="1">
        <v>45169</v>
      </c>
      <c r="C7" s="10">
        <v>6.3E-3</v>
      </c>
      <c r="D7" s="10">
        <v>1.5E-3</v>
      </c>
      <c r="E7" s="10">
        <v>4.7E-2</v>
      </c>
      <c r="F7" s="5">
        <v>0.18600000000000003</v>
      </c>
      <c r="G7" s="5">
        <v>0.25900000000000001</v>
      </c>
      <c r="H7" s="5"/>
      <c r="I7" s="5"/>
    </row>
    <row r="8" spans="1:9" x14ac:dyDescent="0.25">
      <c r="A8" t="str">
        <f>IF(Input!A9="","",Input!A9)</f>
        <v>WealthSelect Managed Active 8</v>
      </c>
      <c r="B8" s="1">
        <v>45169</v>
      </c>
      <c r="C8" s="10">
        <v>6.5000000000000006E-3</v>
      </c>
      <c r="D8" s="10">
        <v>1.5E-3</v>
      </c>
      <c r="E8" s="10">
        <v>5.4000000000000006E-2</v>
      </c>
      <c r="F8" s="5">
        <v>0.22699999999999998</v>
      </c>
      <c r="G8" s="5">
        <v>0.30199999999999999</v>
      </c>
      <c r="H8" s="5"/>
      <c r="I8" s="5"/>
    </row>
    <row r="9" spans="1:9" x14ac:dyDescent="0.25">
      <c r="A9" t="str">
        <f>IF(Input!A10="","",Input!A10)</f>
        <v>WealthSelect Managed Active 9</v>
      </c>
      <c r="B9" s="1">
        <v>45169</v>
      </c>
      <c r="C9" s="10">
        <v>6.5000000000000006E-3</v>
      </c>
      <c r="D9" s="10">
        <v>1.5E-3</v>
      </c>
      <c r="E9" s="10">
        <v>5.2999999999999999E-2</v>
      </c>
      <c r="F9" s="5">
        <v>0.26600000000000001</v>
      </c>
      <c r="G9" s="5">
        <v>0.35799999999999998</v>
      </c>
      <c r="H9" s="5"/>
      <c r="I9" s="5"/>
    </row>
    <row r="10" spans="1:9" x14ac:dyDescent="0.25">
      <c r="A10" t="str">
        <f>IF(Input!A11="","",Input!A11)</f>
        <v>WealthSelect Managed Blend 10</v>
      </c>
      <c r="B10" s="1">
        <v>45169</v>
      </c>
      <c r="C10" s="10">
        <v>4.4000000000000003E-3</v>
      </c>
      <c r="D10" s="10">
        <v>1.5E-3</v>
      </c>
      <c r="E10" s="10">
        <v>0.06</v>
      </c>
      <c r="F10" s="5">
        <v>0.252</v>
      </c>
      <c r="G10" s="5">
        <v>0.4</v>
      </c>
      <c r="H10" s="5"/>
      <c r="I10" s="5"/>
    </row>
    <row r="11" spans="1:9" x14ac:dyDescent="0.25">
      <c r="A11" t="str">
        <f>IF(Input!A12="","",Input!A12)</f>
        <v>WealthSelect Managed Blend 3</v>
      </c>
      <c r="B11" s="1">
        <v>45169</v>
      </c>
      <c r="C11" s="10">
        <v>4.4000000000000003E-3</v>
      </c>
      <c r="D11" s="10">
        <v>1.5E-3</v>
      </c>
      <c r="E11" s="10">
        <v>2.4E-2</v>
      </c>
      <c r="F11" s="5">
        <v>3.3000000000000002E-2</v>
      </c>
      <c r="G11" s="5">
        <v>0.125</v>
      </c>
      <c r="H11" s="5"/>
      <c r="I11" s="5"/>
    </row>
    <row r="12" spans="1:9" x14ac:dyDescent="0.25">
      <c r="A12" t="str">
        <f>IF(Input!A13="","",Input!A13)</f>
        <v>WealthSelect Managed Blend 4</v>
      </c>
      <c r="B12" s="1">
        <v>45169</v>
      </c>
      <c r="C12" s="10">
        <v>4.5000000000000005E-3</v>
      </c>
      <c r="D12" s="10">
        <v>1.5E-3</v>
      </c>
      <c r="E12" s="10">
        <v>3.1E-2</v>
      </c>
      <c r="F12" s="5">
        <v>6.5000000000000002E-2</v>
      </c>
      <c r="G12" s="5">
        <v>0.16200000000000001</v>
      </c>
      <c r="H12" s="5"/>
      <c r="I12" s="5"/>
    </row>
    <row r="13" spans="1:9" x14ac:dyDescent="0.25">
      <c r="A13" t="str">
        <f>IF(Input!A14="","",Input!A14)</f>
        <v>WealthSelect Managed Blend 5</v>
      </c>
      <c r="B13" s="1">
        <v>45169</v>
      </c>
      <c r="C13" s="10">
        <v>4.5000000000000005E-3</v>
      </c>
      <c r="D13" s="10">
        <v>1.5E-3</v>
      </c>
      <c r="E13" s="10">
        <v>3.7000000000000005E-2</v>
      </c>
      <c r="F13" s="5">
        <v>9.1999999999999998E-2</v>
      </c>
      <c r="G13" s="5">
        <v>0.191</v>
      </c>
      <c r="H13" s="5"/>
      <c r="I13" s="5"/>
    </row>
    <row r="14" spans="1:9" x14ac:dyDescent="0.25">
      <c r="A14" t="str">
        <f>IF(Input!A15="","",Input!A15)</f>
        <v>WealthSelect Managed Blend 6</v>
      </c>
      <c r="B14" s="1">
        <v>45169</v>
      </c>
      <c r="C14" s="10">
        <v>4.5000000000000005E-3</v>
      </c>
      <c r="D14" s="10">
        <v>1.5E-3</v>
      </c>
      <c r="E14" s="10">
        <v>4.2000000000000003E-2</v>
      </c>
      <c r="F14" s="5">
        <v>0.128</v>
      </c>
      <c r="G14" s="5">
        <v>0.22600000000000001</v>
      </c>
      <c r="H14" s="5"/>
      <c r="I14" s="5"/>
    </row>
    <row r="15" spans="1:9" x14ac:dyDescent="0.25">
      <c r="A15" t="str">
        <f>IF(Input!A16="","",Input!A16)</f>
        <v>WealthSelect Managed Blend 7</v>
      </c>
      <c r="B15" s="1">
        <v>45169</v>
      </c>
      <c r="C15" s="10">
        <v>4.5000000000000005E-3</v>
      </c>
      <c r="D15" s="10">
        <v>1.5E-3</v>
      </c>
      <c r="E15" s="10">
        <v>4.7E-2</v>
      </c>
      <c r="F15" s="5">
        <v>0.161</v>
      </c>
      <c r="G15" s="5">
        <v>0.25800000000000001</v>
      </c>
      <c r="H15" s="5"/>
      <c r="I15" s="5"/>
    </row>
    <row r="16" spans="1:9" x14ac:dyDescent="0.25">
      <c r="A16" t="str">
        <f>IF(Input!A17="","",Input!A17)</f>
        <v>WealthSelect Managed Blend 8</v>
      </c>
      <c r="B16" s="1">
        <v>45169</v>
      </c>
      <c r="C16" s="10">
        <v>4.4000000000000003E-3</v>
      </c>
      <c r="D16" s="10">
        <v>1.5E-3</v>
      </c>
      <c r="E16" s="10">
        <v>5.4000000000000006E-2</v>
      </c>
      <c r="F16" s="5">
        <v>0.20100000000000001</v>
      </c>
      <c r="G16" s="5">
        <v>0.30199999999999999</v>
      </c>
      <c r="H16" s="5"/>
      <c r="I16" s="5"/>
    </row>
    <row r="17" spans="1:9" x14ac:dyDescent="0.25">
      <c r="A17" t="str">
        <f>IF(Input!A18="","",Input!A18)</f>
        <v>WealthSelect Managed Blend 9</v>
      </c>
      <c r="B17" s="1">
        <v>45169</v>
      </c>
      <c r="C17" s="10">
        <v>4.4000000000000003E-3</v>
      </c>
      <c r="D17" s="10">
        <v>1.5E-3</v>
      </c>
      <c r="E17" s="10">
        <v>5.7000000000000002E-2</v>
      </c>
      <c r="F17" s="5">
        <v>0.23300000000000001</v>
      </c>
      <c r="G17" s="5">
        <v>0.35799999999999998</v>
      </c>
      <c r="H17" s="5"/>
      <c r="I17" s="5"/>
    </row>
    <row r="18" spans="1:9" x14ac:dyDescent="0.25">
      <c r="A18" t="str">
        <f>IF(Input!A19="","",Input!A19)</f>
        <v>WealthSelect Managed Passive 10</v>
      </c>
      <c r="B18" s="1">
        <v>45169</v>
      </c>
      <c r="C18" s="10">
        <v>7.000000000000001E-4</v>
      </c>
      <c r="D18" s="10">
        <v>1.5E-3</v>
      </c>
      <c r="E18" s="10">
        <v>0.04</v>
      </c>
      <c r="F18" s="5"/>
      <c r="G18" s="5"/>
      <c r="H18" s="5"/>
      <c r="I18" s="5"/>
    </row>
    <row r="19" spans="1:9" x14ac:dyDescent="0.25">
      <c r="A19" t="str">
        <f>IF(Input!A20="","",Input!A20)</f>
        <v>WealthSelect Managed Passive 3</v>
      </c>
      <c r="B19" s="1">
        <v>45169</v>
      </c>
      <c r="C19" s="10">
        <v>7.000000000000001E-4</v>
      </c>
      <c r="D19" s="10">
        <v>1.5E-3</v>
      </c>
      <c r="E19" s="10">
        <v>9.0000000000000011E-3</v>
      </c>
      <c r="F19" s="5"/>
      <c r="G19" s="5"/>
      <c r="H19" s="5"/>
      <c r="I19" s="5"/>
    </row>
    <row r="20" spans="1:9" x14ac:dyDescent="0.25">
      <c r="A20" t="str">
        <f>IF(Input!A21="","",Input!A21)</f>
        <v>WealthSelect Managed Passive 4</v>
      </c>
      <c r="B20" s="1">
        <v>45169</v>
      </c>
      <c r="C20" s="10">
        <v>7.000000000000001E-4</v>
      </c>
      <c r="D20" s="10">
        <v>1.5E-3</v>
      </c>
      <c r="E20" s="10">
        <v>1.9E-2</v>
      </c>
      <c r="F20" s="5"/>
      <c r="G20" s="5"/>
      <c r="H20" s="5"/>
      <c r="I20" s="5"/>
    </row>
    <row r="21" spans="1:9" x14ac:dyDescent="0.25">
      <c r="A21" t="str">
        <f>IF(Input!A22="","",Input!A22)</f>
        <v>WealthSelect Managed Passive 5</v>
      </c>
      <c r="B21" s="1">
        <v>45169</v>
      </c>
      <c r="C21" s="10">
        <v>7.000000000000001E-4</v>
      </c>
      <c r="D21" s="10">
        <v>1.5E-3</v>
      </c>
      <c r="E21" s="10">
        <v>2.5000000000000001E-2</v>
      </c>
      <c r="F21" s="5"/>
      <c r="G21" s="5"/>
      <c r="H21" s="5"/>
      <c r="I21" s="5"/>
    </row>
    <row r="22" spans="1:9" x14ac:dyDescent="0.25">
      <c r="A22" t="str">
        <f>IF(Input!A23="","",Input!A23)</f>
        <v>WealthSelect Managed Passive 6</v>
      </c>
      <c r="B22" s="1">
        <v>45169</v>
      </c>
      <c r="C22" s="10">
        <v>7.000000000000001E-4</v>
      </c>
      <c r="D22" s="10">
        <v>1.5E-3</v>
      </c>
      <c r="E22" s="10">
        <v>3.1E-2</v>
      </c>
      <c r="F22" s="5"/>
      <c r="G22" s="5"/>
      <c r="H22" s="5"/>
      <c r="I22" s="5"/>
    </row>
    <row r="23" spans="1:9" x14ac:dyDescent="0.25">
      <c r="A23" t="str">
        <f>IF(Input!A24="","",Input!A24)</f>
        <v>WealthSelect Managed Passive 7</v>
      </c>
      <c r="B23" s="1">
        <v>45169</v>
      </c>
      <c r="C23" s="10">
        <v>7.000000000000001E-4</v>
      </c>
      <c r="D23" s="10">
        <v>1.5E-3</v>
      </c>
      <c r="E23" s="10">
        <v>3.6000000000000004E-2</v>
      </c>
      <c r="F23" s="5"/>
      <c r="G23" s="5"/>
      <c r="H23" s="5"/>
      <c r="I23" s="5"/>
    </row>
    <row r="24" spans="1:9" x14ac:dyDescent="0.25">
      <c r="A24" t="str">
        <f>IF(Input!A25="","",Input!A25)</f>
        <v>WealthSelect Managed Passive 8</v>
      </c>
      <c r="B24" s="1">
        <v>45169</v>
      </c>
      <c r="C24" s="10">
        <v>7.000000000000001E-4</v>
      </c>
      <c r="D24" s="10">
        <v>1.5E-3</v>
      </c>
      <c r="E24" s="10">
        <v>3.9E-2</v>
      </c>
      <c r="F24" s="5"/>
      <c r="G24" s="5"/>
      <c r="H24" s="5"/>
      <c r="I24" s="5"/>
    </row>
    <row r="25" spans="1:9" x14ac:dyDescent="0.25">
      <c r="A25" t="str">
        <f>IF(Input!A26="","",Input!A26)</f>
        <v>WealthSelect Managed Passive 9</v>
      </c>
      <c r="B25" s="7">
        <v>45169</v>
      </c>
      <c r="C25" s="10">
        <v>7.000000000000001E-4</v>
      </c>
      <c r="D25" s="10">
        <v>1.5E-3</v>
      </c>
      <c r="E25" s="10">
        <v>4.4999999999999998E-2</v>
      </c>
      <c r="F25" s="5"/>
      <c r="G25" s="5"/>
      <c r="H25" s="5"/>
      <c r="I25" s="5"/>
    </row>
    <row r="26" spans="1:9" x14ac:dyDescent="0.25">
      <c r="A26" t="str">
        <f>IF(Input!A27="","",Input!A27)</f>
        <v>WealthSelect Sustainable Active 10</v>
      </c>
      <c r="B26" s="7">
        <v>45169</v>
      </c>
      <c r="C26" s="10">
        <v>7.4999999999999997E-3</v>
      </c>
      <c r="D26" s="10">
        <v>2E-3</v>
      </c>
      <c r="E26" s="10">
        <v>-6.9999999999999993E-3</v>
      </c>
    </row>
    <row r="27" spans="1:9" x14ac:dyDescent="0.25">
      <c r="A27" t="str">
        <f>IF(Input!A28="","",Input!A28)</f>
        <v>WealthSelect Sustainable Active 3</v>
      </c>
      <c r="B27" s="7">
        <v>45169</v>
      </c>
      <c r="C27" s="10">
        <v>3.8E-3</v>
      </c>
      <c r="D27" s="10">
        <v>2E-3</v>
      </c>
      <c r="E27" s="10">
        <v>3.0000000000000001E-3</v>
      </c>
    </row>
    <row r="28" spans="1:9" x14ac:dyDescent="0.25">
      <c r="A28" t="str">
        <f>IF(Input!A29="","",Input!A29)</f>
        <v>WealthSelect Sustainable Active 4</v>
      </c>
      <c r="B28" s="7">
        <v>45169</v>
      </c>
      <c r="C28" s="10">
        <v>4.3E-3</v>
      </c>
      <c r="D28" s="10">
        <v>2E-3</v>
      </c>
      <c r="E28" s="10">
        <v>3.0000000000000001E-3</v>
      </c>
    </row>
    <row r="29" spans="1:9" x14ac:dyDescent="0.25">
      <c r="A29" t="str">
        <f>IF(Input!A30="","",Input!A30)</f>
        <v>WealthSelect Sustainable Active 5</v>
      </c>
      <c r="B29" s="7">
        <v>45169</v>
      </c>
      <c r="C29" s="10">
        <v>4.6999999999999993E-3</v>
      </c>
      <c r="D29" s="10">
        <v>2E-3</v>
      </c>
      <c r="E29" s="10">
        <v>3.0000000000000001E-3</v>
      </c>
    </row>
    <row r="30" spans="1:9" x14ac:dyDescent="0.25">
      <c r="A30" t="str">
        <f>IF(Input!A31="","",Input!A31)</f>
        <v>WealthSelect Sustainable Active 6</v>
      </c>
      <c r="B30" s="7">
        <v>45169</v>
      </c>
      <c r="C30" s="10">
        <v>5.1999999999999998E-3</v>
      </c>
      <c r="D30" s="10">
        <v>2E-3</v>
      </c>
      <c r="E30" s="10">
        <v>1E-3</v>
      </c>
    </row>
    <row r="31" spans="1:9" x14ac:dyDescent="0.25">
      <c r="A31" t="str">
        <f>IF(Input!A32="","",Input!A32)</f>
        <v>WealthSelect Sustainable Active 7</v>
      </c>
      <c r="B31" s="7">
        <v>45169</v>
      </c>
      <c r="C31" s="10">
        <v>5.7999999999999996E-3</v>
      </c>
      <c r="D31" s="10">
        <v>2E-3</v>
      </c>
      <c r="E31" s="10">
        <v>-3.0000000000000001E-3</v>
      </c>
    </row>
    <row r="32" spans="1:9" x14ac:dyDescent="0.25">
      <c r="A32" t="str">
        <f>IF(Input!A33="","",Input!A33)</f>
        <v>WealthSelect Sustainable Active 8</v>
      </c>
      <c r="B32" s="7">
        <v>45169</v>
      </c>
      <c r="C32" s="10">
        <v>6.4000000000000003E-3</v>
      </c>
      <c r="D32" s="10">
        <v>2E-3</v>
      </c>
      <c r="E32" s="10">
        <v>-6.0000000000000001E-3</v>
      </c>
    </row>
    <row r="33" spans="1:5" x14ac:dyDescent="0.25">
      <c r="A33" t="str">
        <f>IF(Input!A34="","",Input!A34)</f>
        <v>WealthSelect Sustainable Active 9</v>
      </c>
      <c r="B33" s="7">
        <v>45169</v>
      </c>
      <c r="C33" s="10">
        <v>6.9999999999999993E-3</v>
      </c>
      <c r="D33" s="10">
        <v>2E-3</v>
      </c>
      <c r="E33" s="10">
        <v>-6.0000000000000001E-3</v>
      </c>
    </row>
    <row r="34" spans="1:5" x14ac:dyDescent="0.25">
      <c r="A34" t="str">
        <f>IF(Input!A35="","",Input!A35)</f>
        <v/>
      </c>
      <c r="B34" s="7"/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L2" sqref="B2:L33"/>
    </sheetView>
  </sheetViews>
  <sheetFormatPr defaultRowHeight="15" x14ac:dyDescent="0.25"/>
  <cols>
    <col min="1" max="1" width="32.7109375" bestFit="1" customWidth="1"/>
    <col min="2" max="2" width="32" style="10" bestFit="1" customWidth="1"/>
    <col min="3" max="3" width="23.42578125" style="10" bestFit="1" customWidth="1"/>
    <col min="4" max="4" width="9.5703125" style="10" bestFit="1" customWidth="1"/>
    <col min="5" max="5" width="13.42578125" style="10" bestFit="1" customWidth="1"/>
    <col min="6" max="6" width="7.140625" style="10" bestFit="1" customWidth="1"/>
    <col min="7" max="7" width="37.5703125" style="10" bestFit="1" customWidth="1"/>
    <col min="8" max="8" width="18.42578125" style="10" bestFit="1" customWidth="1"/>
    <col min="9" max="9" width="27.140625" style="10" bestFit="1" customWidth="1"/>
    <col min="10" max="10" width="12.28515625" style="10" bestFit="1" customWidth="1"/>
    <col min="11" max="11" width="20.42578125" style="10" bestFit="1" customWidth="1"/>
    <col min="12" max="12" width="11.85546875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136</v>
      </c>
      <c r="C1" s="10" t="s">
        <v>137</v>
      </c>
      <c r="D1" s="10" t="s">
        <v>138</v>
      </c>
      <c r="E1" s="10" t="s">
        <v>139</v>
      </c>
      <c r="F1" s="10" t="s">
        <v>4</v>
      </c>
      <c r="G1" s="10" t="s">
        <v>140</v>
      </c>
      <c r="H1" s="10" t="s">
        <v>141</v>
      </c>
      <c r="I1" s="10" t="s">
        <v>142</v>
      </c>
      <c r="J1" s="10" t="s">
        <v>143</v>
      </c>
      <c r="K1" t="s">
        <v>144</v>
      </c>
      <c r="L1" t="s">
        <v>145</v>
      </c>
    </row>
    <row r="2" spans="1:30" x14ac:dyDescent="0.25">
      <c r="A2" t="str">
        <f>IF(Input!A3="","",Input!A3)</f>
        <v>WealthSelect Managed Active 10</v>
      </c>
      <c r="B2" s="10">
        <v>0.83140000000000003</v>
      </c>
      <c r="C2" s="10">
        <v>6.2100000000000002E-2</v>
      </c>
      <c r="D2" s="10">
        <v>8.6400000000000005E-2</v>
      </c>
      <c r="L2" s="5">
        <v>2.0099999999999996E-2</v>
      </c>
      <c r="M2" s="5">
        <f>SUM(B2:L2)</f>
        <v>1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WealthSelect Managed Active 3</v>
      </c>
      <c r="B3" s="10">
        <v>0.14859999999999998</v>
      </c>
      <c r="C3" s="10">
        <v>1.2800000000000001E-2</v>
      </c>
      <c r="D3" s="10">
        <v>7.0900000000000005E-2</v>
      </c>
      <c r="E3" s="10">
        <v>0.37420000000000003</v>
      </c>
      <c r="F3" s="10">
        <v>0.1721</v>
      </c>
      <c r="L3" s="5">
        <v>0.2213</v>
      </c>
      <c r="M3" s="5">
        <f t="shared" ref="M3:M33" si="0">SUM(B3:L3)</f>
        <v>0.99990000000000001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WealthSelect Managed Active 4</v>
      </c>
      <c r="B4" s="10">
        <v>0.21170000000000003</v>
      </c>
      <c r="C4" s="10">
        <v>1.9699999999999999E-2</v>
      </c>
      <c r="D4" s="10">
        <v>0.1011</v>
      </c>
      <c r="E4" s="10">
        <v>0.30109999999999998</v>
      </c>
      <c r="F4" s="10">
        <v>0.13789999999999999</v>
      </c>
      <c r="L4" s="5">
        <v>0.22850000000000001</v>
      </c>
      <c r="M4" s="5">
        <f t="shared" si="0"/>
        <v>1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WealthSelect Managed Active 5</v>
      </c>
      <c r="B5" s="10">
        <v>0.2767</v>
      </c>
      <c r="C5" s="10">
        <v>2.5399999999999999E-2</v>
      </c>
      <c r="D5" s="10">
        <v>0.13189999999999999</v>
      </c>
      <c r="E5" s="10">
        <v>0.24299999999999999</v>
      </c>
      <c r="F5" s="10">
        <v>8.7599999999999997E-2</v>
      </c>
      <c r="L5" s="5">
        <v>0.2354</v>
      </c>
      <c r="M5" s="5">
        <f t="shared" si="0"/>
        <v>1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WealthSelect Managed Active 6</v>
      </c>
      <c r="B6" s="10">
        <v>0.34090000000000004</v>
      </c>
      <c r="C6" s="10">
        <v>3.1699999999999999E-2</v>
      </c>
      <c r="D6" s="10">
        <v>0.16260000000000002</v>
      </c>
      <c r="E6" s="10">
        <v>0.1875</v>
      </c>
      <c r="F6" s="10">
        <v>3.44E-2</v>
      </c>
      <c r="L6" s="5">
        <v>0.2429</v>
      </c>
      <c r="M6" s="5">
        <f t="shared" si="0"/>
        <v>1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WealthSelect Managed Active 7</v>
      </c>
      <c r="B7" s="10">
        <v>0.41369999999999996</v>
      </c>
      <c r="C7" s="10">
        <v>3.9300000000000002E-2</v>
      </c>
      <c r="D7" s="10">
        <v>0.19789999999999999</v>
      </c>
      <c r="E7" s="10">
        <v>0.1326</v>
      </c>
      <c r="L7" s="5">
        <v>0.21660000000000001</v>
      </c>
      <c r="M7" s="5">
        <f t="shared" si="0"/>
        <v>1.0000999999999998</v>
      </c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WealthSelect Managed Active 8</v>
      </c>
      <c r="B8" s="10">
        <v>0.49520000000000003</v>
      </c>
      <c r="C8" s="10">
        <v>4.6799999999999994E-2</v>
      </c>
      <c r="D8" s="10">
        <v>0.23739999999999997</v>
      </c>
      <c r="E8" s="10">
        <v>5.4199999999999998E-2</v>
      </c>
      <c r="L8" s="5">
        <v>0.16639999999999999</v>
      </c>
      <c r="M8" s="5">
        <f t="shared" si="0"/>
        <v>1</v>
      </c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WealthSelect Managed Active 9</v>
      </c>
      <c r="B9" s="10">
        <v>0.65549999999999997</v>
      </c>
      <c r="C9" s="10">
        <v>5.3600000000000002E-2</v>
      </c>
      <c r="D9" s="10">
        <v>0.18479999999999999</v>
      </c>
      <c r="L9" s="5">
        <v>0.1061</v>
      </c>
      <c r="M9" s="5">
        <f t="shared" si="0"/>
        <v>0.99999999999999989</v>
      </c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WealthSelect Managed Blend 10</v>
      </c>
      <c r="B10" s="10">
        <v>0.80640000000000001</v>
      </c>
      <c r="C10" s="10">
        <v>6.9599999999999995E-2</v>
      </c>
      <c r="D10" s="10">
        <v>0.10390000000000001</v>
      </c>
      <c r="L10" s="5">
        <v>2.0099999999999996E-2</v>
      </c>
      <c r="M10" s="5">
        <f t="shared" si="0"/>
        <v>1</v>
      </c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WealthSelect Managed Blend 3</v>
      </c>
      <c r="B11" s="10">
        <v>0.1439</v>
      </c>
      <c r="C11" s="10">
        <v>1.4199999999999999E-2</v>
      </c>
      <c r="D11" s="10">
        <v>7.4099999999999999E-2</v>
      </c>
      <c r="E11" s="10">
        <v>0.37439999999999996</v>
      </c>
      <c r="F11" s="10">
        <v>0.17199999999999999</v>
      </c>
      <c r="L11" s="5">
        <v>0.22140000000000001</v>
      </c>
      <c r="M11" s="5">
        <f t="shared" si="0"/>
        <v>1</v>
      </c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WealthSelect Managed Blend 4</v>
      </c>
      <c r="B12" s="10">
        <v>0.20499999999999999</v>
      </c>
      <c r="C12" s="10">
        <v>2.1600000000000001E-2</v>
      </c>
      <c r="D12" s="10">
        <v>0.1061</v>
      </c>
      <c r="E12" s="10">
        <v>0.30099999999999999</v>
      </c>
      <c r="F12" s="10">
        <v>0.13780000000000001</v>
      </c>
      <c r="L12" s="5">
        <v>0.22839999999999999</v>
      </c>
      <c r="M12" s="5">
        <f t="shared" si="0"/>
        <v>0.99990000000000001</v>
      </c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WealthSelect Managed Blend 5</v>
      </c>
      <c r="B13" s="10">
        <v>0.2676</v>
      </c>
      <c r="C13" s="10">
        <v>2.8199999999999999E-2</v>
      </c>
      <c r="D13" s="10">
        <v>0.13830000000000001</v>
      </c>
      <c r="E13" s="10">
        <v>0.24299999999999999</v>
      </c>
      <c r="F13" s="10">
        <v>8.77E-2</v>
      </c>
      <c r="L13" s="5">
        <v>0.23530000000000001</v>
      </c>
      <c r="M13" s="5">
        <f t="shared" si="0"/>
        <v>1.0001</v>
      </c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WealthSelect Managed Blend 6</v>
      </c>
      <c r="B14" s="10">
        <v>0.32979999999999998</v>
      </c>
      <c r="C14" s="10">
        <v>3.5000000000000003E-2</v>
      </c>
      <c r="D14" s="10">
        <v>0.17059999999999997</v>
      </c>
      <c r="E14" s="10">
        <v>0.18739999999999998</v>
      </c>
      <c r="F14" s="10">
        <v>3.44E-2</v>
      </c>
      <c r="L14" s="5">
        <v>0.24280000000000002</v>
      </c>
      <c r="M14" s="5">
        <f t="shared" si="0"/>
        <v>1</v>
      </c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WealthSelect Managed Blend 7</v>
      </c>
      <c r="B15" s="10">
        <v>0.40039999999999998</v>
      </c>
      <c r="C15" s="10">
        <v>4.3099999999999999E-2</v>
      </c>
      <c r="D15" s="10">
        <v>0.20730000000000001</v>
      </c>
      <c r="E15" s="10">
        <v>0.1326</v>
      </c>
      <c r="L15" s="5">
        <v>0.21660000000000001</v>
      </c>
      <c r="M15" s="5">
        <f t="shared" si="0"/>
        <v>1</v>
      </c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WealthSelect Managed Blend 8</v>
      </c>
      <c r="B16" s="10">
        <v>0.47979999999999995</v>
      </c>
      <c r="C16" s="10">
        <v>5.1399999999999994E-2</v>
      </c>
      <c r="D16" s="10">
        <v>0.2482</v>
      </c>
      <c r="E16" s="10">
        <v>5.4199999999999998E-2</v>
      </c>
      <c r="L16" s="5">
        <v>0.16639999999999999</v>
      </c>
      <c r="M16" s="5">
        <f t="shared" si="0"/>
        <v>0.99999999999999989</v>
      </c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WealthSelect Managed Blend 9</v>
      </c>
      <c r="B17" s="10">
        <v>0.63460000000000005</v>
      </c>
      <c r="C17" s="10">
        <v>5.9800000000000006E-2</v>
      </c>
      <c r="D17" s="10">
        <v>0.19940000000000002</v>
      </c>
      <c r="L17" s="5">
        <v>0.1061</v>
      </c>
      <c r="M17" s="5">
        <f t="shared" si="0"/>
        <v>0.99990000000000001</v>
      </c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WealthSelect Managed Passive 10</v>
      </c>
      <c r="B18" s="10">
        <v>0.68700000000000006</v>
      </c>
      <c r="C18" s="10">
        <v>0.20069999999999999</v>
      </c>
      <c r="D18" s="10">
        <v>0.1023</v>
      </c>
      <c r="F18" s="10">
        <v>0.01</v>
      </c>
      <c r="L18" s="5"/>
      <c r="M18" s="5">
        <f t="shared" si="0"/>
        <v>1</v>
      </c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WealthSelect Managed Passive 3</v>
      </c>
      <c r="B19" s="10">
        <v>0.14580000000000001</v>
      </c>
      <c r="C19" s="10">
        <v>3.32E-2</v>
      </c>
      <c r="D19" s="10">
        <v>7.5399999999999995E-2</v>
      </c>
      <c r="E19" s="10">
        <v>0.49420000000000003</v>
      </c>
      <c r="F19" s="10">
        <v>0.2515</v>
      </c>
      <c r="L19" s="5"/>
      <c r="M19" s="5">
        <f t="shared" si="0"/>
        <v>1.0001</v>
      </c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WealthSelect Managed Passive 4</v>
      </c>
      <c r="B20" s="10">
        <v>0.21390000000000001</v>
      </c>
      <c r="C20" s="10">
        <v>4.9100000000000005E-2</v>
      </c>
      <c r="D20" s="10">
        <v>0.11070000000000001</v>
      </c>
      <c r="E20" s="10">
        <v>0.37530000000000002</v>
      </c>
      <c r="F20" s="10">
        <v>0.25109999999999999</v>
      </c>
      <c r="L20" s="5"/>
      <c r="M20" s="5">
        <f t="shared" si="0"/>
        <v>1.0001000000000002</v>
      </c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WealthSelect Managed Passive 5</v>
      </c>
      <c r="B21" s="10">
        <v>0.27600000000000002</v>
      </c>
      <c r="C21" s="10">
        <v>6.3700000000000007E-2</v>
      </c>
      <c r="D21" s="10">
        <v>0.14300000000000002</v>
      </c>
      <c r="E21" s="10">
        <v>0.3095</v>
      </c>
      <c r="F21" s="10">
        <v>0.20780000000000001</v>
      </c>
      <c r="L21" s="5"/>
      <c r="M21" s="5">
        <f t="shared" si="0"/>
        <v>1</v>
      </c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WealthSelect Managed Passive 6</v>
      </c>
      <c r="B22" s="10">
        <v>0.33860000000000001</v>
      </c>
      <c r="C22" s="10">
        <v>7.8E-2</v>
      </c>
      <c r="D22" s="10">
        <v>0.17550000000000002</v>
      </c>
      <c r="E22" s="10">
        <v>0.2651</v>
      </c>
      <c r="F22" s="10">
        <v>0.14279999999999998</v>
      </c>
      <c r="L22" s="5"/>
      <c r="M22" s="5">
        <f t="shared" si="0"/>
        <v>1</v>
      </c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WealthSelect Managed Passive 7</v>
      </c>
      <c r="B23" s="10">
        <v>0.40189999999999998</v>
      </c>
      <c r="C23" s="10">
        <v>9.2499999999999999E-2</v>
      </c>
      <c r="D23" s="10">
        <v>0.20829999999999999</v>
      </c>
      <c r="E23" s="10">
        <v>0.22070000000000001</v>
      </c>
      <c r="F23" s="10">
        <v>7.6600000000000001E-2</v>
      </c>
      <c r="L23" s="5"/>
      <c r="M23" s="5">
        <f t="shared" si="0"/>
        <v>0.99999999999999989</v>
      </c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WealthSelect Managed Passive 8</v>
      </c>
      <c r="B24" s="10">
        <v>0.4637</v>
      </c>
      <c r="C24" s="10">
        <v>0.10859999999999999</v>
      </c>
      <c r="D24" s="10">
        <v>0.24109999999999998</v>
      </c>
      <c r="E24" s="10">
        <v>0.17660000000000001</v>
      </c>
      <c r="F24" s="10">
        <v>0.01</v>
      </c>
      <c r="L24" s="5"/>
      <c r="M24" s="5">
        <f t="shared" si="0"/>
        <v>1</v>
      </c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WealthSelect Managed Passive 9</v>
      </c>
      <c r="B25" s="10">
        <v>0.57729999999999992</v>
      </c>
      <c r="C25" s="10">
        <v>0.1346</v>
      </c>
      <c r="D25" s="10">
        <v>0.2079</v>
      </c>
      <c r="E25" s="10">
        <v>7.0099999999999996E-2</v>
      </c>
      <c r="F25" s="10">
        <v>0.01</v>
      </c>
      <c r="L25" s="5"/>
      <c r="M25" s="5">
        <f t="shared" si="0"/>
        <v>0.99990000000000001</v>
      </c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WealthSelect Sustainable Active 10</v>
      </c>
      <c r="G26" s="10">
        <v>0.05</v>
      </c>
      <c r="H26" s="10">
        <v>5.0999999999999997E-2</v>
      </c>
      <c r="I26" s="10">
        <v>0.502</v>
      </c>
      <c r="J26" s="10">
        <v>0.17399999999999999</v>
      </c>
      <c r="K26" s="10">
        <v>0.223</v>
      </c>
      <c r="L26" s="5"/>
      <c r="M26" s="5">
        <f t="shared" si="0"/>
        <v>0.99999999999999989</v>
      </c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WealthSelect Sustainable Active 3</v>
      </c>
      <c r="E27" s="10">
        <v>0.51400000000000001</v>
      </c>
      <c r="F27" s="10">
        <v>0.252</v>
      </c>
      <c r="G27" s="10">
        <v>1.2E-2</v>
      </c>
      <c r="H27" s="10">
        <v>1.2E-2</v>
      </c>
      <c r="I27" s="10">
        <v>0.11699999999999999</v>
      </c>
      <c r="J27" s="10">
        <v>4.0999999999999995E-2</v>
      </c>
      <c r="K27" s="10">
        <v>5.2000000000000005E-2</v>
      </c>
      <c r="L27" s="5"/>
      <c r="M27" s="5">
        <f t="shared" si="0"/>
        <v>1</v>
      </c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WealthSelect Sustainable Active 4</v>
      </c>
      <c r="E28" s="10">
        <v>0.41100000000000003</v>
      </c>
      <c r="F28" s="10">
        <v>0.245</v>
      </c>
      <c r="G28" s="10">
        <v>1.7000000000000001E-2</v>
      </c>
      <c r="H28" s="10">
        <v>1.7000000000000001E-2</v>
      </c>
      <c r="I28" s="10">
        <v>0.17300000000000001</v>
      </c>
      <c r="J28" s="10">
        <v>0.06</v>
      </c>
      <c r="K28" s="10">
        <v>7.6999999999999999E-2</v>
      </c>
      <c r="L28" s="5"/>
      <c r="M28" s="5">
        <f t="shared" si="0"/>
        <v>1</v>
      </c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WealthSelect Sustainable Active 5</v>
      </c>
      <c r="E29" s="10">
        <v>0.32899999999999996</v>
      </c>
      <c r="F29" s="10">
        <v>0.22500000000000001</v>
      </c>
      <c r="G29" s="10">
        <v>2.2000000000000002E-2</v>
      </c>
      <c r="H29" s="10">
        <v>2.3E-2</v>
      </c>
      <c r="I29" s="10">
        <v>0.22399999999999998</v>
      </c>
      <c r="J29" s="10">
        <v>7.8E-2</v>
      </c>
      <c r="K29" s="10">
        <v>0.1</v>
      </c>
      <c r="L29" s="5"/>
      <c r="M29" s="5">
        <f t="shared" si="0"/>
        <v>1.0009999999999999</v>
      </c>
      <c r="N29" s="5"/>
      <c r="O29" s="5"/>
      <c r="P29" s="5"/>
      <c r="S29" s="5"/>
      <c r="T29" s="5"/>
    </row>
    <row r="30" spans="1:29" x14ac:dyDescent="0.25">
      <c r="A30" t="str">
        <f>IF(Input!A31="","",Input!A31)</f>
        <v>WealthSelect Sustainable Active 6</v>
      </c>
      <c r="E30" s="10">
        <v>0.28699999999999998</v>
      </c>
      <c r="F30" s="10">
        <v>0.16899999999999998</v>
      </c>
      <c r="G30" s="10">
        <v>2.7000000000000003E-2</v>
      </c>
      <c r="H30" s="10">
        <v>2.7999999999999997E-2</v>
      </c>
      <c r="I30" s="10">
        <v>0.27300000000000002</v>
      </c>
      <c r="J30" s="10">
        <v>9.5000000000000001E-2</v>
      </c>
      <c r="K30" s="10">
        <v>0.122</v>
      </c>
      <c r="L30" s="5"/>
      <c r="M30" s="5">
        <f t="shared" si="0"/>
        <v>1.0009999999999999</v>
      </c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WealthSelect Sustainable Active 7</v>
      </c>
      <c r="E31" s="10">
        <v>0.251</v>
      </c>
      <c r="F31" s="10">
        <v>0.10099999999999999</v>
      </c>
      <c r="G31" s="10">
        <v>3.2000000000000001E-2</v>
      </c>
      <c r="H31" s="10">
        <v>3.3000000000000002E-2</v>
      </c>
      <c r="I31" s="10">
        <v>0.32500000000000001</v>
      </c>
      <c r="J31" s="10">
        <v>0.113</v>
      </c>
      <c r="K31" s="10">
        <v>0.14499999999999999</v>
      </c>
      <c r="L31" s="5"/>
      <c r="M31" s="5">
        <f t="shared" si="0"/>
        <v>1</v>
      </c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WealthSelect Sustainable Active 8</v>
      </c>
      <c r="E32" s="10">
        <v>0.21600000000000003</v>
      </c>
      <c r="F32" s="10">
        <v>3.4000000000000002E-2</v>
      </c>
      <c r="G32" s="10">
        <v>3.7000000000000005E-2</v>
      </c>
      <c r="H32" s="10">
        <v>3.7999999999999999E-2</v>
      </c>
      <c r="I32" s="10">
        <v>0.377</v>
      </c>
      <c r="J32" s="10">
        <v>0.13100000000000001</v>
      </c>
      <c r="K32" s="10">
        <v>0.16800000000000001</v>
      </c>
      <c r="L32" s="5"/>
      <c r="M32" s="5">
        <f t="shared" si="0"/>
        <v>1.0009999999999999</v>
      </c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WealthSelect Sustainable Active 9</v>
      </c>
      <c r="E33" s="10">
        <v>0.10199999999999999</v>
      </c>
      <c r="F33" s="10">
        <v>0.01</v>
      </c>
      <c r="G33" s="10">
        <v>4.4000000000000004E-2</v>
      </c>
      <c r="H33" s="10">
        <v>4.4999999999999998E-2</v>
      </c>
      <c r="I33" s="10">
        <v>0.44600000000000001</v>
      </c>
      <c r="J33" s="10">
        <v>0.155</v>
      </c>
      <c r="K33" s="10">
        <v>0.19800000000000001</v>
      </c>
      <c r="L33" s="5"/>
      <c r="M33" s="5">
        <f t="shared" si="0"/>
        <v>1</v>
      </c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9" sqref="A9"/>
    </sheetView>
  </sheetViews>
  <sheetFormatPr defaultRowHeight="15" x14ac:dyDescent="0.25"/>
  <cols>
    <col min="1" max="1" width="32.7109375" bestFit="1" customWidth="1"/>
    <col min="2" max="2" width="98.140625" bestFit="1" customWidth="1"/>
    <col min="3" max="3" width="41.7109375" bestFit="1" customWidth="1"/>
    <col min="4" max="4" width="122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WealthSelect Managed Active 10</v>
      </c>
      <c r="B2" t="s">
        <v>67</v>
      </c>
      <c r="C2" t="s">
        <v>36</v>
      </c>
      <c r="D2" s="8" t="s">
        <v>103</v>
      </c>
    </row>
    <row r="3" spans="1:5" x14ac:dyDescent="0.25">
      <c r="A3" t="str">
        <f>IF(Input!A4="","",Input!A4)</f>
        <v>WealthSelect Managed Active 3</v>
      </c>
      <c r="B3" t="s">
        <v>67</v>
      </c>
      <c r="C3" t="s">
        <v>37</v>
      </c>
      <c r="D3" s="8" t="s">
        <v>104</v>
      </c>
    </row>
    <row r="4" spans="1:5" x14ac:dyDescent="0.25">
      <c r="A4" t="str">
        <f>IF(Input!A5="","",Input!A5)</f>
        <v>WealthSelect Managed Active 4</v>
      </c>
      <c r="B4" t="s">
        <v>67</v>
      </c>
      <c r="C4" t="s">
        <v>38</v>
      </c>
      <c r="D4" s="8" t="s">
        <v>105</v>
      </c>
    </row>
    <row r="5" spans="1:5" x14ac:dyDescent="0.25">
      <c r="A5" t="str">
        <f>IF(Input!A6="","",Input!A6)</f>
        <v>WealthSelect Managed Active 5</v>
      </c>
      <c r="B5" t="s">
        <v>67</v>
      </c>
      <c r="C5" t="s">
        <v>39</v>
      </c>
      <c r="D5" s="8" t="s">
        <v>106</v>
      </c>
    </row>
    <row r="6" spans="1:5" x14ac:dyDescent="0.25">
      <c r="A6" t="str">
        <f>IF(Input!A7="","",Input!A7)</f>
        <v>WealthSelect Managed Active 6</v>
      </c>
      <c r="B6" t="s">
        <v>67</v>
      </c>
      <c r="C6" t="s">
        <v>40</v>
      </c>
      <c r="D6" s="8" t="s">
        <v>107</v>
      </c>
    </row>
    <row r="7" spans="1:5" x14ac:dyDescent="0.25">
      <c r="A7" t="str">
        <f>IF(Input!A8="","",Input!A8)</f>
        <v>WealthSelect Managed Active 7</v>
      </c>
      <c r="B7" t="s">
        <v>67</v>
      </c>
      <c r="C7" t="s">
        <v>41</v>
      </c>
      <c r="D7" s="8" t="s">
        <v>108</v>
      </c>
    </row>
    <row r="8" spans="1:5" x14ac:dyDescent="0.25">
      <c r="A8" t="str">
        <f>IF(Input!A9="","",Input!A9)</f>
        <v>WealthSelect Managed Active 8</v>
      </c>
      <c r="B8" t="s">
        <v>67</v>
      </c>
      <c r="C8" t="s">
        <v>42</v>
      </c>
      <c r="D8" s="8" t="s">
        <v>109</v>
      </c>
    </row>
    <row r="9" spans="1:5" x14ac:dyDescent="0.25">
      <c r="A9" t="str">
        <f>IF(Input!A10="","",Input!A10)</f>
        <v>WealthSelect Managed Active 9</v>
      </c>
      <c r="B9" t="s">
        <v>67</v>
      </c>
      <c r="C9" t="s">
        <v>43</v>
      </c>
      <c r="D9" s="8" t="s">
        <v>110</v>
      </c>
    </row>
    <row r="10" spans="1:5" x14ac:dyDescent="0.25">
      <c r="A10" t="str">
        <f>IF(Input!A11="","",Input!A11)</f>
        <v>WealthSelect Managed Blend 10</v>
      </c>
      <c r="B10" t="s">
        <v>67</v>
      </c>
      <c r="C10" t="s">
        <v>44</v>
      </c>
      <c r="D10" s="8" t="s">
        <v>111</v>
      </c>
    </row>
    <row r="11" spans="1:5" x14ac:dyDescent="0.25">
      <c r="A11" t="str">
        <f>IF(Input!A12="","",Input!A12)</f>
        <v>WealthSelect Managed Blend 3</v>
      </c>
      <c r="B11" t="s">
        <v>67</v>
      </c>
      <c r="C11" t="s">
        <v>45</v>
      </c>
      <c r="D11" s="8" t="s">
        <v>112</v>
      </c>
    </row>
    <row r="12" spans="1:5" x14ac:dyDescent="0.25">
      <c r="A12" t="str">
        <f>IF(Input!A13="","",Input!A13)</f>
        <v>WealthSelect Managed Blend 4</v>
      </c>
      <c r="B12" t="s">
        <v>67</v>
      </c>
      <c r="C12" t="s">
        <v>46</v>
      </c>
      <c r="D12" s="8" t="s">
        <v>113</v>
      </c>
    </row>
    <row r="13" spans="1:5" x14ac:dyDescent="0.25">
      <c r="A13" t="str">
        <f>IF(Input!A14="","",Input!A14)</f>
        <v>WealthSelect Managed Blend 5</v>
      </c>
      <c r="B13" t="s">
        <v>67</v>
      </c>
      <c r="C13" t="s">
        <v>47</v>
      </c>
      <c r="D13" s="8" t="s">
        <v>114</v>
      </c>
    </row>
    <row r="14" spans="1:5" x14ac:dyDescent="0.25">
      <c r="A14" t="str">
        <f>IF(Input!A15="","",Input!A15)</f>
        <v>WealthSelect Managed Blend 6</v>
      </c>
      <c r="B14" t="s">
        <v>67</v>
      </c>
      <c r="C14" t="s">
        <v>48</v>
      </c>
      <c r="D14" s="8" t="s">
        <v>115</v>
      </c>
    </row>
    <row r="15" spans="1:5" x14ac:dyDescent="0.25">
      <c r="A15" t="str">
        <f>IF(Input!A16="","",Input!A16)</f>
        <v>WealthSelect Managed Blend 7</v>
      </c>
      <c r="B15" t="s">
        <v>67</v>
      </c>
      <c r="C15" t="s">
        <v>49</v>
      </c>
      <c r="D15" s="8" t="s">
        <v>116</v>
      </c>
    </row>
    <row r="16" spans="1:5" x14ac:dyDescent="0.25">
      <c r="A16" t="str">
        <f>IF(Input!A17="","",Input!A17)</f>
        <v>WealthSelect Managed Blend 8</v>
      </c>
      <c r="B16" t="s">
        <v>67</v>
      </c>
      <c r="C16" t="s">
        <v>50</v>
      </c>
      <c r="D16" s="8" t="s">
        <v>117</v>
      </c>
    </row>
    <row r="17" spans="1:4" x14ac:dyDescent="0.25">
      <c r="A17" t="str">
        <f>IF(Input!A18="","",Input!A18)</f>
        <v>WealthSelect Managed Blend 9</v>
      </c>
      <c r="B17" t="s">
        <v>67</v>
      </c>
      <c r="C17" t="s">
        <v>51</v>
      </c>
      <c r="D17" s="8" t="s">
        <v>118</v>
      </c>
    </row>
    <row r="18" spans="1:4" x14ac:dyDescent="0.25">
      <c r="A18" t="str">
        <f>IF(Input!A19="","",Input!A19)</f>
        <v>WealthSelect Managed Passive 10</v>
      </c>
      <c r="B18" t="s">
        <v>67</v>
      </c>
      <c r="C18" t="s">
        <v>52</v>
      </c>
      <c r="D18" s="8" t="s">
        <v>119</v>
      </c>
    </row>
    <row r="19" spans="1:4" x14ac:dyDescent="0.25">
      <c r="A19" t="str">
        <f>IF(Input!A20="","",Input!A20)</f>
        <v>WealthSelect Managed Passive 3</v>
      </c>
      <c r="B19" t="s">
        <v>67</v>
      </c>
      <c r="C19" t="s">
        <v>53</v>
      </c>
      <c r="D19" s="8" t="s">
        <v>120</v>
      </c>
    </row>
    <row r="20" spans="1:4" x14ac:dyDescent="0.25">
      <c r="A20" t="str">
        <f>IF(Input!A21="","",Input!A21)</f>
        <v>WealthSelect Managed Passive 4</v>
      </c>
      <c r="B20" t="s">
        <v>67</v>
      </c>
      <c r="C20" t="s">
        <v>134</v>
      </c>
      <c r="D20" s="8" t="s">
        <v>135</v>
      </c>
    </row>
    <row r="21" spans="1:4" x14ac:dyDescent="0.25">
      <c r="A21" t="str">
        <f>IF(Input!A22="","",Input!A22)</f>
        <v>WealthSelect Managed Passive 5</v>
      </c>
      <c r="B21" t="s">
        <v>67</v>
      </c>
      <c r="C21" t="s">
        <v>54</v>
      </c>
      <c r="D21" s="8" t="s">
        <v>121</v>
      </c>
    </row>
    <row r="22" spans="1:4" x14ac:dyDescent="0.25">
      <c r="A22" t="str">
        <f>IF(Input!A23="","",Input!A23)</f>
        <v>WealthSelect Managed Passive 6</v>
      </c>
      <c r="B22" t="s">
        <v>67</v>
      </c>
      <c r="C22" t="s">
        <v>55</v>
      </c>
      <c r="D22" s="8" t="s">
        <v>122</v>
      </c>
    </row>
    <row r="23" spans="1:4" x14ac:dyDescent="0.25">
      <c r="A23" t="str">
        <f>IF(Input!A24="","",Input!A24)</f>
        <v>WealthSelect Managed Passive 7</v>
      </c>
      <c r="B23" t="s">
        <v>67</v>
      </c>
      <c r="C23" t="s">
        <v>56</v>
      </c>
      <c r="D23" s="8" t="s">
        <v>123</v>
      </c>
    </row>
    <row r="24" spans="1:4" x14ac:dyDescent="0.25">
      <c r="A24" t="str">
        <f>IF(Input!A25="","",Input!A25)</f>
        <v>WealthSelect Managed Passive 8</v>
      </c>
      <c r="B24" t="s">
        <v>67</v>
      </c>
      <c r="C24" t="s">
        <v>57</v>
      </c>
      <c r="D24" s="8" t="s">
        <v>124</v>
      </c>
    </row>
    <row r="25" spans="1:4" x14ac:dyDescent="0.25">
      <c r="A25" t="str">
        <f>IF(Input!A26="","",Input!A26)</f>
        <v>WealthSelect Managed Passive 9</v>
      </c>
      <c r="B25" t="s">
        <v>67</v>
      </c>
      <c r="C25" t="s">
        <v>58</v>
      </c>
      <c r="D25" s="8" t="s">
        <v>125</v>
      </c>
    </row>
    <row r="26" spans="1:4" x14ac:dyDescent="0.25">
      <c r="A26" t="str">
        <f>IF(Input!A27="","",Input!A27)</f>
        <v>WealthSelect Sustainable Active 10</v>
      </c>
      <c r="B26" t="s">
        <v>67</v>
      </c>
      <c r="C26" t="s">
        <v>59</v>
      </c>
      <c r="D26" s="8" t="s">
        <v>126</v>
      </c>
    </row>
    <row r="27" spans="1:4" x14ac:dyDescent="0.25">
      <c r="A27" t="str">
        <f>IF(Input!A28="","",Input!A28)</f>
        <v>WealthSelect Sustainable Active 3</v>
      </c>
      <c r="B27" t="s">
        <v>67</v>
      </c>
      <c r="C27" t="s">
        <v>60</v>
      </c>
      <c r="D27" s="8" t="s">
        <v>127</v>
      </c>
    </row>
    <row r="28" spans="1:4" x14ac:dyDescent="0.25">
      <c r="A28" t="str">
        <f>IF(Input!A29="","",Input!A29)</f>
        <v>WealthSelect Sustainable Active 4</v>
      </c>
      <c r="B28" t="s">
        <v>67</v>
      </c>
      <c r="C28" t="s">
        <v>61</v>
      </c>
      <c r="D28" s="8" t="s">
        <v>128</v>
      </c>
    </row>
    <row r="29" spans="1:4" x14ac:dyDescent="0.25">
      <c r="A29" t="str">
        <f>IF(Input!A30="","",Input!A30)</f>
        <v>WealthSelect Sustainable Active 5</v>
      </c>
      <c r="B29" t="s">
        <v>67</v>
      </c>
      <c r="C29" t="s">
        <v>62</v>
      </c>
      <c r="D29" s="8" t="s">
        <v>129</v>
      </c>
    </row>
    <row r="30" spans="1:4" x14ac:dyDescent="0.25">
      <c r="A30" t="str">
        <f>IF(Input!A31="","",Input!A31)</f>
        <v>WealthSelect Sustainable Active 6</v>
      </c>
      <c r="B30" t="s">
        <v>67</v>
      </c>
      <c r="C30" t="s">
        <v>63</v>
      </c>
      <c r="D30" s="8" t="s">
        <v>130</v>
      </c>
    </row>
    <row r="31" spans="1:4" x14ac:dyDescent="0.25">
      <c r="A31" t="str">
        <f>IF(Input!A32="","",Input!A32)</f>
        <v>WealthSelect Sustainable Active 7</v>
      </c>
      <c r="B31" t="s">
        <v>67</v>
      </c>
      <c r="C31" t="s">
        <v>64</v>
      </c>
      <c r="D31" s="8" t="s">
        <v>131</v>
      </c>
    </row>
    <row r="32" spans="1:4" x14ac:dyDescent="0.25">
      <c r="A32" t="str">
        <f>IF(Input!A33="","",Input!A33)</f>
        <v>WealthSelect Sustainable Active 8</v>
      </c>
      <c r="B32" t="s">
        <v>67</v>
      </c>
      <c r="C32" t="s">
        <v>65</v>
      </c>
      <c r="D32" s="8" t="s">
        <v>132</v>
      </c>
    </row>
    <row r="33" spans="1:4" x14ac:dyDescent="0.25">
      <c r="A33" t="str">
        <f>IF(Input!A34="","",Input!A34)</f>
        <v>WealthSelect Sustainable Active 9</v>
      </c>
      <c r="B33" t="s">
        <v>67</v>
      </c>
      <c r="C33" t="s">
        <v>66</v>
      </c>
      <c r="D33" s="8" t="s">
        <v>133</v>
      </c>
    </row>
    <row r="34" spans="1:4" x14ac:dyDescent="0.25">
      <c r="A34" t="str">
        <f>IF(Input!A35="","",Input!A35)</f>
        <v/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WealthSelect Managed Active 10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WealthSelect Managed Active 3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WealthSelect Managed Active 4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WealthSelect Managed Active 5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WealthSelect Managed Active 6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>WealthSelect Managed Active 7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WealthSelect Managed Active 8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WealthSelect Managed Active 9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WealthSelect Managed Blend 10</v>
      </c>
      <c r="B10" s="1">
        <f>IF(A10="","",EOMONTH(DATE(YEAR(IF(A10="","",'Additional Information'!B10)),MONTH(IF(A10="","",'Additional Information'!B10)),DAY(IF(A10="","",'Additional Information'!B10))),0))</f>
        <v>45169</v>
      </c>
    </row>
    <row r="11" spans="1:2" x14ac:dyDescent="0.25">
      <c r="A11" t="str">
        <f>IF(Input!A12="","",Input!A12)</f>
        <v>WealthSelect Managed Blend 3</v>
      </c>
      <c r="B11" s="1">
        <f>IF(A11="","",EOMONTH(DATE(YEAR(IF(A11="","",'Additional Information'!B11)),MONTH(IF(A11="","",'Additional Information'!B11)),DAY(IF(A11="","",'Additional Information'!B11))),0))</f>
        <v>45169</v>
      </c>
    </row>
    <row r="12" spans="1:2" x14ac:dyDescent="0.25">
      <c r="A12" t="str">
        <f>IF(Input!A13="","",Input!A13)</f>
        <v>WealthSelect Managed Blend 4</v>
      </c>
      <c r="B12" s="1">
        <f>IF(A12="","",EOMONTH(DATE(YEAR(IF(A12="","",'Additional Information'!B12)),MONTH(IF(A12="","",'Additional Information'!B12)),DAY(IF(A12="","",'Additional Information'!B12))),0))</f>
        <v>45169</v>
      </c>
    </row>
    <row r="13" spans="1:2" x14ac:dyDescent="0.25">
      <c r="A13" t="str">
        <f>IF(Input!A14="","",Input!A14)</f>
        <v>WealthSelect Managed Blend 5</v>
      </c>
      <c r="B13" s="1">
        <f>IF(A13="","",EOMONTH(DATE(YEAR(IF(A13="","",'Additional Information'!B13)),MONTH(IF(A13="","",'Additional Information'!B13)),DAY(IF(A13="","",'Additional Information'!B13))),0))</f>
        <v>45169</v>
      </c>
    </row>
    <row r="14" spans="1:2" x14ac:dyDescent="0.25">
      <c r="A14" t="str">
        <f>IF(Input!A15="","",Input!A15)</f>
        <v>WealthSelect Managed Blend 6</v>
      </c>
      <c r="B14" s="1">
        <f>IF(A14="","",EOMONTH(DATE(YEAR(IF(A14="","",'Additional Information'!B14)),MONTH(IF(A14="","",'Additional Information'!B14)),DAY(IF(A14="","",'Additional Information'!B14))),0))</f>
        <v>45169</v>
      </c>
    </row>
    <row r="15" spans="1:2" x14ac:dyDescent="0.25">
      <c r="A15" t="str">
        <f>IF(Input!A16="","",Input!A16)</f>
        <v>WealthSelect Managed Blend 7</v>
      </c>
      <c r="B15" s="1">
        <f>IF(A15="","",EOMONTH(DATE(YEAR(IF(A15="","",'Additional Information'!B15)),MONTH(IF(A15="","",'Additional Information'!B15)),DAY(IF(A15="","",'Additional Information'!B15))),0))</f>
        <v>45169</v>
      </c>
    </row>
    <row r="16" spans="1:2" x14ac:dyDescent="0.25">
      <c r="A16" t="str">
        <f>IF(Input!A17="","",Input!A17)</f>
        <v>WealthSelect Managed Blend 8</v>
      </c>
      <c r="B16" s="1">
        <f>IF(A16="","",EOMONTH(DATE(YEAR(IF(A16="","",'Additional Information'!B16)),MONTH(IF(A16="","",'Additional Information'!B16)),DAY(IF(A16="","",'Additional Information'!B16))),0))</f>
        <v>45169</v>
      </c>
    </row>
    <row r="17" spans="1:2" x14ac:dyDescent="0.25">
      <c r="A17" t="str">
        <f>IF(Input!A18="","",Input!A18)</f>
        <v>WealthSelect Managed Blend 9</v>
      </c>
      <c r="B17" s="1">
        <f>IF(A17="","",EOMONTH(DATE(YEAR(IF(A17="","",'Additional Information'!B17)),MONTH(IF(A17="","",'Additional Information'!B17)),DAY(IF(A17="","",'Additional Information'!B17))),0))</f>
        <v>45169</v>
      </c>
    </row>
    <row r="18" spans="1:2" x14ac:dyDescent="0.25">
      <c r="A18" t="str">
        <f>IF(Input!A19="","",Input!A19)</f>
        <v>WealthSelect Managed Passive 10</v>
      </c>
      <c r="B18" s="1">
        <f>IF(A18="","",EOMONTH(DATE(YEAR(IF(A18="","",'Additional Information'!B18)),MONTH(IF(A18="","",'Additional Information'!B18)),DAY(IF(A18="","",'Additional Information'!B18))),0))</f>
        <v>45169</v>
      </c>
    </row>
    <row r="19" spans="1:2" x14ac:dyDescent="0.25">
      <c r="A19" t="str">
        <f>IF(Input!A20="","",Input!A20)</f>
        <v>WealthSelect Managed Passive 3</v>
      </c>
      <c r="B19" s="1">
        <f>IF(A19="","",EOMONTH(DATE(YEAR(IF(A19="","",'Additional Information'!B19)),MONTH(IF(A19="","",'Additional Information'!B19)),DAY(IF(A19="","",'Additional Information'!B19))),0))</f>
        <v>45169</v>
      </c>
    </row>
    <row r="20" spans="1:2" x14ac:dyDescent="0.25">
      <c r="A20" t="str">
        <f>IF(Input!A21="","",Input!A21)</f>
        <v>WealthSelect Managed Passive 4</v>
      </c>
      <c r="B20" s="1">
        <f>IF(A20="","",EOMONTH(DATE(YEAR(IF(A20="","",'Additional Information'!B20)),MONTH(IF(A20="","",'Additional Information'!B20)),DAY(IF(A20="","",'Additional Information'!B20))),0))</f>
        <v>45169</v>
      </c>
    </row>
    <row r="21" spans="1:2" x14ac:dyDescent="0.25">
      <c r="A21" t="str">
        <f>IF(Input!A22="","",Input!A22)</f>
        <v>WealthSelect Managed Passive 5</v>
      </c>
      <c r="B21" s="1">
        <f>IF(A21="","",EOMONTH(DATE(YEAR(IF(A21="","",'Additional Information'!B21)),MONTH(IF(A21="","",'Additional Information'!B21)),DAY(IF(A21="","",'Additional Information'!B21))),0))</f>
        <v>45169</v>
      </c>
    </row>
    <row r="22" spans="1:2" x14ac:dyDescent="0.25">
      <c r="A22" t="str">
        <f>IF(Input!A23="","",Input!A23)</f>
        <v>WealthSelect Managed Passive 6</v>
      </c>
      <c r="B22" s="1">
        <f>IF(A22="","",EOMONTH(DATE(YEAR(IF(A22="","",'Additional Information'!B22)),MONTH(IF(A22="","",'Additional Information'!B22)),DAY(IF(A22="","",'Additional Information'!B22))),0))</f>
        <v>45169</v>
      </c>
    </row>
    <row r="23" spans="1:2" x14ac:dyDescent="0.25">
      <c r="A23" t="str">
        <f>IF(Input!A24="","",Input!A24)</f>
        <v>WealthSelect Managed Passive 7</v>
      </c>
      <c r="B23" s="1">
        <f>IF(A23="","",EOMONTH(DATE(YEAR(IF(A23="","",'Additional Information'!B23)),MONTH(IF(A23="","",'Additional Information'!B23)),DAY(IF(A23="","",'Additional Information'!B23))),0))</f>
        <v>45169</v>
      </c>
    </row>
    <row r="24" spans="1:2" x14ac:dyDescent="0.25">
      <c r="A24" t="str">
        <f>IF(Input!A25="","",Input!A25)</f>
        <v>WealthSelect Managed Passive 8</v>
      </c>
      <c r="B24" s="1">
        <f>IF(A24="","",EOMONTH(DATE(YEAR(IF(A24="","",'Additional Information'!B24)),MONTH(IF(A24="","",'Additional Information'!B24)),DAY(IF(A24="","",'Additional Information'!B24))),0))</f>
        <v>45169</v>
      </c>
    </row>
    <row r="25" spans="1:2" x14ac:dyDescent="0.25">
      <c r="A25" t="str">
        <f>IF(Input!A26="","",Input!A26)</f>
        <v>WealthSelect Managed Passive 9</v>
      </c>
      <c r="B25" s="1">
        <f>IF(A25="","",EOMONTH(DATE(YEAR(IF(A25="","",'Additional Information'!B25)),MONTH(IF(A25="","",'Additional Information'!B25)),DAY(IF(A25="","",'Additional Information'!B25))),0))</f>
        <v>45169</v>
      </c>
    </row>
    <row r="26" spans="1:2" x14ac:dyDescent="0.25">
      <c r="A26" t="str">
        <f>IF(Input!A27="","",Input!A27)</f>
        <v>WealthSelect Sustainable Active 10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WealthSelect Sustainable Active 3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WealthSelect Sustainable Active 4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WealthSelect Sustainable Active 5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>WealthSelect Sustainable Active 6</v>
      </c>
      <c r="B30" s="1">
        <f>IF(A30="","",EOMONTH(DATE(YEAR(IF(A30="","",'Additional Information'!B30)),MONTH(IF(A30="","",'Additional Information'!B30)),DAY(IF(A30="","",'Additional Information'!B30))),0))</f>
        <v>45169</v>
      </c>
    </row>
    <row r="31" spans="1:2" x14ac:dyDescent="0.25">
      <c r="A31" t="str">
        <f>IF(Input!A32="","",Input!A32)</f>
        <v>WealthSelect Sustainable Active 7</v>
      </c>
      <c r="B31" s="1">
        <f>IF(A31="","",EOMONTH(DATE(YEAR(IF(A31="","",'Additional Information'!B31)),MONTH(IF(A31="","",'Additional Information'!B31)),DAY(IF(A31="","",'Additional Information'!B31))),0))</f>
        <v>45169</v>
      </c>
    </row>
    <row r="32" spans="1:2" x14ac:dyDescent="0.25">
      <c r="A32" t="str">
        <f>IF(Input!A33="","",Input!A33)</f>
        <v>WealthSelect Sustainable Active 8</v>
      </c>
      <c r="B32" s="1">
        <f>IF(A32="","",EOMONTH(DATE(YEAR(IF(A32="","",'Additional Information'!B32)),MONTH(IF(A32="","",'Additional Information'!B32)),DAY(IF(A32="","",'Additional Information'!B32))),0))</f>
        <v>45169</v>
      </c>
    </row>
    <row r="33" spans="1:2" x14ac:dyDescent="0.25">
      <c r="A33" t="str">
        <f>IF(Input!A34="","",Input!A34)</f>
        <v>WealthSelect Sustainable Active 9</v>
      </c>
      <c r="B33" s="1">
        <f>IF(A33="","",EOMONTH(DATE(YEAR(IF(A33="","",'Additional Information'!B33)),MONTH(IF(A33="","",'Additional Information'!B33)),DAY(IF(A33="","",'Additional Information'!B33))),0))</f>
        <v>45169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WealthSelect Managed Active 10</v>
      </c>
      <c r="C2">
        <f>IF(A2="","",IF(OR('Additional Information'!G2="",'Additional Information'!G2="-"),"",'Additional Information'!G2))</f>
        <v>0.39899999999999997</v>
      </c>
      <c r="D2" s="5">
        <f>IF(A2="","",SUM('Additional Information'!C2,'Additional Information'!D2))</f>
        <v>7.7999999999999996E-3</v>
      </c>
      <c r="E2">
        <f>IF(A2="","",SUM('Additional Information'!C2))</f>
        <v>6.3E-3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WealthSelect Managed Active 3</v>
      </c>
      <c r="C3">
        <f>IF(A3="","",IF(OR('Additional Information'!G3="",'Additional Information'!G3="-"),"",'Additional Information'!G3))</f>
        <v>0.12300000000000001</v>
      </c>
      <c r="D3" s="5">
        <f>IF(A3="","",SUM('Additional Information'!C3,'Additional Information'!D3))</f>
        <v>6.0999999999999995E-3</v>
      </c>
      <c r="E3">
        <f>IF(A3="","",SUM('Additional Information'!C3))</f>
        <v>4.5999999999999999E-3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WealthSelect Managed Active 4</v>
      </c>
      <c r="C4">
        <f>IF(A4="","",IF(OR('Additional Information'!G4="",'Additional Information'!G4="-"),"",'Additional Information'!G4))</f>
        <v>0.158</v>
      </c>
      <c r="D4" s="5">
        <f>IF(A4="","",SUM('Additional Information'!C4,'Additional Information'!D4))</f>
        <v>6.5000000000000006E-3</v>
      </c>
      <c r="E4">
        <f>IF(A4="","",SUM('Additional Information'!C4))</f>
        <v>5.0000000000000001E-3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WealthSelect Managed Active 5</v>
      </c>
      <c r="C5">
        <f>IF(A5="","",IF(OR('Additional Information'!G5="",'Additional Information'!G5="-"),"",'Additional Information'!G5))</f>
        <v>0.191</v>
      </c>
      <c r="D5" s="5">
        <f>IF(A5="","",SUM('Additional Information'!C5,'Additional Information'!D5))</f>
        <v>7.000000000000001E-3</v>
      </c>
      <c r="E5">
        <f>IF(A5="","",SUM('Additional Information'!C5))</f>
        <v>5.5000000000000005E-3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WealthSelect Managed Active 6</v>
      </c>
      <c r="C6">
        <f>IF(A6="","",IF(OR('Additional Information'!G6="",'Additional Information'!G6="-"),"",'Additional Information'!G6))</f>
        <v>0.22399999999999998</v>
      </c>
      <c r="D6" s="5">
        <f>IF(A6="","",SUM('Additional Information'!C6,'Additional Information'!D6))</f>
        <v>7.4999999999999997E-3</v>
      </c>
      <c r="E6">
        <f>IF(A6="","",SUM('Additional Information'!C6))</f>
        <v>6.0000000000000001E-3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WealthSelect Managed Active 7</v>
      </c>
      <c r="C7">
        <f>IF(A7="","",IF(OR('Additional Information'!G7="",'Additional Information'!G7="-"),"",'Additional Information'!G7))</f>
        <v>0.25900000000000001</v>
      </c>
      <c r="D7" s="5">
        <f>IF(A7="","",SUM('Additional Information'!C7,'Additional Information'!D7))</f>
        <v>7.7999999999999996E-3</v>
      </c>
      <c r="E7">
        <f>IF(A7="","",SUM('Additional Information'!C7))</f>
        <v>6.3E-3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WealthSelect Managed Active 8</v>
      </c>
      <c r="C8">
        <f>IF(A8="","",IF(OR('Additional Information'!G8="",'Additional Information'!G8="-"),"",'Additional Information'!G8))</f>
        <v>0.30199999999999999</v>
      </c>
      <c r="D8" s="5">
        <f>IF(A8="","",SUM('Additional Information'!C8,'Additional Information'!D8))</f>
        <v>8.0000000000000002E-3</v>
      </c>
      <c r="E8">
        <f>IF(A8="","",SUM('Additional Information'!C8))</f>
        <v>6.5000000000000006E-3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WealthSelect Managed Active 9</v>
      </c>
      <c r="C9">
        <f>IF(A9="","",IF(OR('Additional Information'!G9="",'Additional Information'!G9="-"),"",'Additional Information'!G9))</f>
        <v>0.35799999999999998</v>
      </c>
      <c r="D9" s="5">
        <f>IF(A9="","",SUM('Additional Information'!C9,'Additional Information'!D9))</f>
        <v>8.0000000000000002E-3</v>
      </c>
      <c r="E9">
        <f>IF(A9="","",SUM('Additional Information'!C9))</f>
        <v>6.5000000000000006E-3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WealthSelect Managed Blend 10</v>
      </c>
      <c r="C10">
        <f>IF(A10="","",IF(OR('Additional Information'!G10="",'Additional Information'!G10="-"),"",'Additional Information'!G10))</f>
        <v>0.4</v>
      </c>
      <c r="D10" s="5">
        <f>IF(A10="","",SUM('Additional Information'!C10,'Additional Information'!D10))</f>
        <v>5.9000000000000007E-3</v>
      </c>
      <c r="E10">
        <f>IF(A10="","",SUM('Additional Information'!C10))</f>
        <v>4.4000000000000003E-3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WealthSelect Managed Blend 3</v>
      </c>
      <c r="C11">
        <f>IF(A11="","",IF(OR('Additional Information'!G11="",'Additional Information'!G11="-"),"",'Additional Information'!G11))</f>
        <v>0.125</v>
      </c>
      <c r="D11" s="5">
        <f>IF(A11="","",SUM('Additional Information'!C11,'Additional Information'!D11))</f>
        <v>5.9000000000000007E-3</v>
      </c>
      <c r="E11">
        <f>IF(A11="","",SUM('Additional Information'!C11))</f>
        <v>4.4000000000000003E-3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WealthSelect Managed Blend 4</v>
      </c>
      <c r="C12">
        <f>IF(A12="","",IF(OR('Additional Information'!G12="",'Additional Information'!G12="-"),"",'Additional Information'!G12))</f>
        <v>0.16200000000000001</v>
      </c>
      <c r="D12" s="5">
        <f>IF(A12="","",SUM('Additional Information'!C12,'Additional Information'!D12))</f>
        <v>6.0000000000000001E-3</v>
      </c>
      <c r="E12">
        <f>IF(A12="","",SUM('Additional Information'!C12))</f>
        <v>4.5000000000000005E-3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WealthSelect Managed Blend 5</v>
      </c>
      <c r="C13">
        <f>IF(A13="","",IF(OR('Additional Information'!G13="",'Additional Information'!G13="-"),"",'Additional Information'!G13))</f>
        <v>0.191</v>
      </c>
      <c r="D13" s="5">
        <f>IF(A13="","",SUM('Additional Information'!C13,'Additional Information'!D13))</f>
        <v>6.0000000000000001E-3</v>
      </c>
      <c r="E13">
        <f>IF(A13="","",SUM('Additional Information'!C13))</f>
        <v>4.5000000000000005E-3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WealthSelect Managed Blend 6</v>
      </c>
      <c r="C14">
        <f>IF(A14="","",IF(OR('Additional Information'!G14="",'Additional Information'!G14="-"),"",'Additional Information'!G14))</f>
        <v>0.22600000000000001</v>
      </c>
      <c r="D14" s="5">
        <f>IF(A14="","",SUM('Additional Information'!C14,'Additional Information'!D14))</f>
        <v>6.0000000000000001E-3</v>
      </c>
      <c r="E14">
        <f>IF(A14="","",SUM('Additional Information'!C14))</f>
        <v>4.5000000000000005E-3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WealthSelect Managed Blend 7</v>
      </c>
      <c r="C15">
        <f>IF(A15="","",IF(OR('Additional Information'!G15="",'Additional Information'!G15="-"),"",'Additional Information'!G15))</f>
        <v>0.25800000000000001</v>
      </c>
      <c r="D15" s="5">
        <f>IF(A15="","",SUM('Additional Information'!C15,'Additional Information'!D15))</f>
        <v>6.0000000000000001E-3</v>
      </c>
      <c r="E15">
        <f>IF(A15="","",SUM('Additional Information'!C15))</f>
        <v>4.5000000000000005E-3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WealthSelect Managed Blend 8</v>
      </c>
      <c r="C16">
        <f>IF(A16="","",IF(OR('Additional Information'!G16="",'Additional Information'!G16="-"),"",'Additional Information'!G16))</f>
        <v>0.30199999999999999</v>
      </c>
      <c r="D16" s="5">
        <f>IF(A16="","",SUM('Additional Information'!C16,'Additional Information'!D16))</f>
        <v>5.9000000000000007E-3</v>
      </c>
      <c r="E16">
        <f>IF(A16="","",SUM('Additional Information'!C16))</f>
        <v>4.4000000000000003E-3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WealthSelect Managed Blend 9</v>
      </c>
      <c r="C17">
        <f>IF(A17="","",IF(OR('Additional Information'!G17="",'Additional Information'!G17="-"),"",'Additional Information'!G17))</f>
        <v>0.35799999999999998</v>
      </c>
      <c r="D17" s="5">
        <f>IF(A17="","",SUM('Additional Information'!C17,'Additional Information'!D17))</f>
        <v>5.9000000000000007E-3</v>
      </c>
      <c r="E17">
        <f>IF(A17="","",SUM('Additional Information'!C17))</f>
        <v>4.4000000000000003E-3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WealthSelect Managed Passive 10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2.2000000000000001E-3</v>
      </c>
      <c r="E18">
        <f>IF(A18="","",SUM('Additional Information'!C18))</f>
        <v>7.000000000000001E-4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WealthSelect Managed Passive 3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2.2000000000000001E-3</v>
      </c>
      <c r="E19">
        <f>IF(A19="","",SUM('Additional Information'!C19))</f>
        <v>7.000000000000001E-4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WealthSelect Managed Passive 4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2.2000000000000001E-3</v>
      </c>
      <c r="E20">
        <f>IF(A20="","",SUM('Additional Information'!C20))</f>
        <v>7.000000000000001E-4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WealthSelect Managed Passive 5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2.2000000000000001E-3</v>
      </c>
      <c r="E21">
        <f>IF(A21="","",SUM('Additional Information'!C21))</f>
        <v>7.000000000000001E-4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WealthSelect Managed Passive 6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2.2000000000000001E-3</v>
      </c>
      <c r="E22">
        <f>IF(A22="","",SUM('Additional Information'!C22))</f>
        <v>7.000000000000001E-4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WealthSelect Managed Passive 7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2.2000000000000001E-3</v>
      </c>
      <c r="E23">
        <f>IF(A23="","",SUM('Additional Information'!C23))</f>
        <v>7.000000000000001E-4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WealthSelect Managed Passive 8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2.2000000000000001E-3</v>
      </c>
      <c r="E24">
        <f>IF(A24="","",SUM('Additional Information'!C24))</f>
        <v>7.000000000000001E-4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WealthSelect Managed Passive 9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2.2000000000000001E-3</v>
      </c>
      <c r="E25">
        <f>IF(A25="","",SUM('Additional Information'!C25))</f>
        <v>7.000000000000001E-4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WealthSelect Sustainable Active 10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9.4999999999999998E-3</v>
      </c>
      <c r="E26">
        <f>IF(A26="","",SUM('Additional Information'!C26))</f>
        <v>7.4999999999999997E-3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WealthSelect Sustainable Active 3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5.7999999999999996E-3</v>
      </c>
      <c r="E27">
        <f>IF(A27="","",SUM('Additional Information'!C27))</f>
        <v>3.8E-3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WealthSelect Sustainable Active 4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6.3E-3</v>
      </c>
      <c r="E28">
        <f>IF(A28="","",SUM('Additional Information'!C28))</f>
        <v>4.3E-3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WealthSelect Sustainable Active 5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6.6999999999999994E-3</v>
      </c>
      <c r="E29">
        <f>IF(A29="","",SUM('Additional Information'!C29))</f>
        <v>4.6999999999999993E-3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WealthSelect Sustainable Active 6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7.1999999999999998E-3</v>
      </c>
      <c r="E30">
        <f>IF(A30="","",SUM('Additional Information'!C30))</f>
        <v>5.1999999999999998E-3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WealthSelect Sustainable Active 7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7.7999999999999996E-3</v>
      </c>
      <c r="E31">
        <f>IF(A31="","",SUM('Additional Information'!C31))</f>
        <v>5.7999999999999996E-3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WealthSelect Sustainable Active 8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8.4000000000000012E-3</v>
      </c>
      <c r="E32">
        <f>IF(A32="","",SUM('Additional Information'!C32))</f>
        <v>6.4000000000000003E-3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WealthSelect Sustainable Active 9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8.9999999999999993E-3</v>
      </c>
      <c r="E33">
        <f>IF(A33="","",SUM('Additional Information'!C33))</f>
        <v>6.9999999999999993E-3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WealthSelect Managed Active 10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6.2100000000000002E-2</v>
      </c>
      <c r="D2">
        <f>IF(A2="","",SUM('Asset Allocation'!D2))</f>
        <v>8.6400000000000005E-2</v>
      </c>
      <c r="F2">
        <f>IF(A2="","",SUM('Asset Allocation'!E2))</f>
        <v>0</v>
      </c>
      <c r="G2">
        <f>IF(A2="","",SUM('Asset Allocation'!B2))</f>
        <v>0.83140000000000003</v>
      </c>
      <c r="H2">
        <f t="shared" ref="H2:H50" si="0">IF(A2="","",1-SUM(B2:G2))</f>
        <v>2.0100000000000007E-2</v>
      </c>
    </row>
    <row r="3" spans="1:8" x14ac:dyDescent="0.25">
      <c r="A3" t="str">
        <f>IF(Input!A4="","",Input!A4)</f>
        <v>WealthSelect Managed Active 3</v>
      </c>
      <c r="B3">
        <f>IF(A3="","",SUM('Asset Allocation'!F3,'Asset Allocation'!G3,'Asset Allocation'!H3,'Asset Allocation'!I3,'Asset Allocation'!J3,'Asset Allocation'!K3))</f>
        <v>0.1721</v>
      </c>
      <c r="C3">
        <f>IF(A3="","",SUM('Asset Allocation'!C3))</f>
        <v>1.2800000000000001E-2</v>
      </c>
      <c r="D3">
        <f>IF(A3="","",SUM('Asset Allocation'!D3))</f>
        <v>7.0900000000000005E-2</v>
      </c>
      <c r="F3">
        <f>IF(A3="","",SUM('Asset Allocation'!E3))</f>
        <v>0.37420000000000003</v>
      </c>
      <c r="G3">
        <f>IF(A3="","",SUM('Asset Allocation'!B3))</f>
        <v>0.14859999999999998</v>
      </c>
      <c r="H3">
        <f t="shared" si="0"/>
        <v>0.22139999999999993</v>
      </c>
    </row>
    <row r="4" spans="1:8" x14ac:dyDescent="0.25">
      <c r="A4" t="str">
        <f>IF(Input!A5="","",Input!A5)</f>
        <v>WealthSelect Managed Active 4</v>
      </c>
      <c r="B4">
        <f>IF(A4="","",SUM('Asset Allocation'!F4,'Asset Allocation'!G4,'Asset Allocation'!H4,'Asset Allocation'!I4,'Asset Allocation'!J4,'Asset Allocation'!K4))</f>
        <v>0.13789999999999999</v>
      </c>
      <c r="C4">
        <f>IF(A4="","",SUM('Asset Allocation'!C4))</f>
        <v>1.9699999999999999E-2</v>
      </c>
      <c r="D4">
        <f>IF(A4="","",SUM('Asset Allocation'!D4))</f>
        <v>0.1011</v>
      </c>
      <c r="F4">
        <f>IF(A4="","",SUM('Asset Allocation'!E4))</f>
        <v>0.30109999999999998</v>
      </c>
      <c r="G4">
        <f>IF(A4="","",SUM('Asset Allocation'!B4))</f>
        <v>0.21170000000000003</v>
      </c>
      <c r="H4">
        <f t="shared" si="0"/>
        <v>0.22850000000000004</v>
      </c>
    </row>
    <row r="5" spans="1:8" x14ac:dyDescent="0.25">
      <c r="A5" t="str">
        <f>IF(Input!A6="","",Input!A6)</f>
        <v>WealthSelect Managed Active 5</v>
      </c>
      <c r="B5">
        <f>IF(A5="","",SUM('Asset Allocation'!F5,'Asset Allocation'!G5,'Asset Allocation'!H5,'Asset Allocation'!I5,'Asset Allocation'!J5,'Asset Allocation'!K5))</f>
        <v>8.7599999999999997E-2</v>
      </c>
      <c r="C5">
        <f>IF(A5="","",SUM('Asset Allocation'!C5))</f>
        <v>2.5399999999999999E-2</v>
      </c>
      <c r="D5">
        <f>IF(A5="","",SUM('Asset Allocation'!D5))</f>
        <v>0.13189999999999999</v>
      </c>
      <c r="F5">
        <f>IF(A5="","",SUM('Asset Allocation'!E5))</f>
        <v>0.24299999999999999</v>
      </c>
      <c r="G5">
        <f>IF(A5="","",SUM('Asset Allocation'!B5))</f>
        <v>0.2767</v>
      </c>
      <c r="H5">
        <f t="shared" si="0"/>
        <v>0.23540000000000005</v>
      </c>
    </row>
    <row r="6" spans="1:8" x14ac:dyDescent="0.25">
      <c r="A6" t="str">
        <f>IF(Input!A7="","",Input!A7)</f>
        <v>WealthSelect Managed Active 6</v>
      </c>
      <c r="B6">
        <f>IF(A6="","",SUM('Asset Allocation'!F6,'Asset Allocation'!G6,'Asset Allocation'!H6,'Asset Allocation'!I6,'Asset Allocation'!J6,'Asset Allocation'!K6))</f>
        <v>3.44E-2</v>
      </c>
      <c r="C6">
        <f>IF(A6="","",SUM('Asset Allocation'!C6))</f>
        <v>3.1699999999999999E-2</v>
      </c>
      <c r="D6">
        <f>IF(A6="","",SUM('Asset Allocation'!D6))</f>
        <v>0.16260000000000002</v>
      </c>
      <c r="F6">
        <f>IF(A6="","",SUM('Asset Allocation'!E6))</f>
        <v>0.1875</v>
      </c>
      <c r="G6">
        <f>IF(A6="","",SUM('Asset Allocation'!B6))</f>
        <v>0.34090000000000004</v>
      </c>
      <c r="H6">
        <f t="shared" si="0"/>
        <v>0.24289999999999989</v>
      </c>
    </row>
    <row r="7" spans="1:8" x14ac:dyDescent="0.25">
      <c r="A7" t="str">
        <f>IF(Input!A8="","",Input!A8)</f>
        <v>WealthSelect Managed Active 7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3.9300000000000002E-2</v>
      </c>
      <c r="D7">
        <f>IF(A7="","",SUM('Asset Allocation'!D7))</f>
        <v>0.19789999999999999</v>
      </c>
      <c r="F7">
        <f>IF(A7="","",SUM('Asset Allocation'!E7))</f>
        <v>0.1326</v>
      </c>
      <c r="G7">
        <f>IF(A7="","",SUM('Asset Allocation'!B7))</f>
        <v>0.41369999999999996</v>
      </c>
      <c r="H7">
        <f t="shared" si="0"/>
        <v>0.21650000000000003</v>
      </c>
    </row>
    <row r="8" spans="1:8" x14ac:dyDescent="0.25">
      <c r="A8" t="str">
        <f>IF(Input!A9="","",Input!A9)</f>
        <v>WealthSelect Managed Active 8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4.6799999999999994E-2</v>
      </c>
      <c r="D8">
        <f>IF(A8="","",SUM('Asset Allocation'!D8))</f>
        <v>0.23739999999999997</v>
      </c>
      <c r="F8">
        <f>IF(A8="","",SUM('Asset Allocation'!E8))</f>
        <v>5.4199999999999998E-2</v>
      </c>
      <c r="G8">
        <f>IF(A8="","",SUM('Asset Allocation'!B8))</f>
        <v>0.49520000000000003</v>
      </c>
      <c r="H8">
        <f t="shared" si="0"/>
        <v>0.1664000000000001</v>
      </c>
    </row>
    <row r="9" spans="1:8" x14ac:dyDescent="0.25">
      <c r="A9" t="str">
        <f>IF(Input!A10="","",Input!A10)</f>
        <v>WealthSelect Managed Active 9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5.3600000000000002E-2</v>
      </c>
      <c r="D9">
        <f>IF(A9="","",SUM('Asset Allocation'!D9))</f>
        <v>0.18479999999999999</v>
      </c>
      <c r="F9">
        <f>IF(A9="","",SUM('Asset Allocation'!E9))</f>
        <v>0</v>
      </c>
      <c r="G9">
        <f>IF(A9="","",SUM('Asset Allocation'!B9))</f>
        <v>0.65549999999999997</v>
      </c>
      <c r="H9">
        <f t="shared" si="0"/>
        <v>0.10610000000000008</v>
      </c>
    </row>
    <row r="10" spans="1:8" x14ac:dyDescent="0.25">
      <c r="A10" t="str">
        <f>IF(Input!A11="","",Input!A11)</f>
        <v>WealthSelect Managed Blend 10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6.9599999999999995E-2</v>
      </c>
      <c r="D10">
        <f>IF(A10="","",SUM('Asset Allocation'!D10))</f>
        <v>0.10390000000000001</v>
      </c>
      <c r="F10">
        <f>IF(A10="","",SUM('Asset Allocation'!E10))</f>
        <v>0</v>
      </c>
      <c r="G10">
        <f>IF(A10="","",SUM('Asset Allocation'!B10))</f>
        <v>0.80640000000000001</v>
      </c>
      <c r="H10">
        <f t="shared" si="0"/>
        <v>2.0100000000000007E-2</v>
      </c>
    </row>
    <row r="11" spans="1:8" x14ac:dyDescent="0.25">
      <c r="A11" t="str">
        <f>IF(Input!A12="","",Input!A12)</f>
        <v>WealthSelect Managed Blend 3</v>
      </c>
      <c r="B11">
        <f>IF(A11="","",SUM('Asset Allocation'!F11,'Asset Allocation'!G11,'Asset Allocation'!H11,'Asset Allocation'!I11,'Asset Allocation'!J11,'Asset Allocation'!K11))</f>
        <v>0.17199999999999999</v>
      </c>
      <c r="C11">
        <f>IF(A11="","",SUM('Asset Allocation'!C11))</f>
        <v>1.4199999999999999E-2</v>
      </c>
      <c r="D11">
        <f>IF(A11="","",SUM('Asset Allocation'!D11))</f>
        <v>7.4099999999999999E-2</v>
      </c>
      <c r="F11">
        <f>IF(A11="","",SUM('Asset Allocation'!E11))</f>
        <v>0.37439999999999996</v>
      </c>
      <c r="G11">
        <f>IF(A11="","",SUM('Asset Allocation'!B11))</f>
        <v>0.1439</v>
      </c>
      <c r="H11">
        <f t="shared" si="0"/>
        <v>0.22140000000000004</v>
      </c>
    </row>
    <row r="12" spans="1:8" x14ac:dyDescent="0.25">
      <c r="A12" t="str">
        <f>IF(Input!A13="","",Input!A13)</f>
        <v>WealthSelect Managed Blend 4</v>
      </c>
      <c r="B12">
        <f>IF(A12="","",SUM('Asset Allocation'!F12,'Asset Allocation'!G12,'Asset Allocation'!H12,'Asset Allocation'!I12,'Asset Allocation'!J12,'Asset Allocation'!K12))</f>
        <v>0.13780000000000001</v>
      </c>
      <c r="C12">
        <f>IF(A12="","",SUM('Asset Allocation'!C12))</f>
        <v>2.1600000000000001E-2</v>
      </c>
      <c r="D12">
        <f>IF(A12="","",SUM('Asset Allocation'!D12))</f>
        <v>0.1061</v>
      </c>
      <c r="F12">
        <f>IF(A12="","",SUM('Asset Allocation'!E12))</f>
        <v>0.30099999999999999</v>
      </c>
      <c r="G12">
        <f>IF(A12="","",SUM('Asset Allocation'!B12))</f>
        <v>0.20499999999999999</v>
      </c>
      <c r="H12">
        <f t="shared" si="0"/>
        <v>0.22850000000000004</v>
      </c>
    </row>
    <row r="13" spans="1:8" x14ac:dyDescent="0.25">
      <c r="A13" t="str">
        <f>IF(Input!A14="","",Input!A14)</f>
        <v>WealthSelect Managed Blend 5</v>
      </c>
      <c r="B13">
        <f>IF(A13="","",SUM('Asset Allocation'!F13,'Asset Allocation'!G13,'Asset Allocation'!H13,'Asset Allocation'!I13,'Asset Allocation'!J13,'Asset Allocation'!K13))</f>
        <v>8.77E-2</v>
      </c>
      <c r="C13">
        <f>IF(A13="","",SUM('Asset Allocation'!C13))</f>
        <v>2.8199999999999999E-2</v>
      </c>
      <c r="D13">
        <f>IF(A13="","",SUM('Asset Allocation'!D13))</f>
        <v>0.13830000000000001</v>
      </c>
      <c r="F13">
        <f>IF(A13="","",SUM('Asset Allocation'!E13))</f>
        <v>0.24299999999999999</v>
      </c>
      <c r="G13">
        <f>IF(A13="","",SUM('Asset Allocation'!B13))</f>
        <v>0.2676</v>
      </c>
      <c r="H13">
        <f t="shared" si="0"/>
        <v>0.23520000000000008</v>
      </c>
    </row>
    <row r="14" spans="1:8" x14ac:dyDescent="0.25">
      <c r="A14" t="str">
        <f>IF(Input!A15="","",Input!A15)</f>
        <v>WealthSelect Managed Blend 6</v>
      </c>
      <c r="B14">
        <f>IF(A14="","",SUM('Asset Allocation'!F14,'Asset Allocation'!G14,'Asset Allocation'!H14,'Asset Allocation'!I14,'Asset Allocation'!J14,'Asset Allocation'!K14))</f>
        <v>3.44E-2</v>
      </c>
      <c r="C14">
        <f>IF(A14="","",SUM('Asset Allocation'!C14))</f>
        <v>3.5000000000000003E-2</v>
      </c>
      <c r="D14">
        <f>IF(A14="","",SUM('Asset Allocation'!D14))</f>
        <v>0.17059999999999997</v>
      </c>
      <c r="F14">
        <f>IF(A14="","",SUM('Asset Allocation'!E14))</f>
        <v>0.18739999999999998</v>
      </c>
      <c r="G14">
        <f>IF(A14="","",SUM('Asset Allocation'!B14))</f>
        <v>0.32979999999999998</v>
      </c>
      <c r="H14">
        <f t="shared" si="0"/>
        <v>0.24280000000000002</v>
      </c>
    </row>
    <row r="15" spans="1:8" x14ac:dyDescent="0.25">
      <c r="A15" t="str">
        <f>IF(Input!A16="","",Input!A16)</f>
        <v>WealthSelect Managed Blend 7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4.3099999999999999E-2</v>
      </c>
      <c r="D15">
        <f>IF(A15="","",SUM('Asset Allocation'!D15))</f>
        <v>0.20730000000000001</v>
      </c>
      <c r="F15">
        <f>IF(A15="","",SUM('Asset Allocation'!E15))</f>
        <v>0.1326</v>
      </c>
      <c r="G15">
        <f>IF(A15="","",SUM('Asset Allocation'!B15))</f>
        <v>0.40039999999999998</v>
      </c>
      <c r="H15">
        <f t="shared" si="0"/>
        <v>0.21660000000000001</v>
      </c>
    </row>
    <row r="16" spans="1:8" x14ac:dyDescent="0.25">
      <c r="A16" t="str">
        <f>IF(Input!A17="","",Input!A17)</f>
        <v>WealthSelect Managed Blend 8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5.1399999999999994E-2</v>
      </c>
      <c r="D16">
        <f>IF(A16="","",SUM('Asset Allocation'!D16))</f>
        <v>0.2482</v>
      </c>
      <c r="F16">
        <f>IF(A16="","",SUM('Asset Allocation'!E16))</f>
        <v>5.4199999999999998E-2</v>
      </c>
      <c r="G16">
        <f>IF(A16="","",SUM('Asset Allocation'!B16))</f>
        <v>0.47979999999999995</v>
      </c>
      <c r="H16">
        <f t="shared" si="0"/>
        <v>0.1664000000000001</v>
      </c>
    </row>
    <row r="17" spans="1:8" x14ac:dyDescent="0.25">
      <c r="A17" t="str">
        <f>IF(Input!A18="","",Input!A18)</f>
        <v>WealthSelect Managed Blend 9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5.9800000000000006E-2</v>
      </c>
      <c r="D17">
        <f>IF(A17="","",SUM('Asset Allocation'!D17))</f>
        <v>0.19940000000000002</v>
      </c>
      <c r="F17">
        <f>IF(A17="","",SUM('Asset Allocation'!E17))</f>
        <v>0</v>
      </c>
      <c r="G17">
        <f>IF(A17="","",SUM('Asset Allocation'!B17))</f>
        <v>0.63460000000000005</v>
      </c>
      <c r="H17">
        <f t="shared" si="0"/>
        <v>0.10619999999999985</v>
      </c>
    </row>
    <row r="18" spans="1:8" x14ac:dyDescent="0.25">
      <c r="A18" t="str">
        <f>IF(Input!A19="","",Input!A19)</f>
        <v>WealthSelect Managed Passive 10</v>
      </c>
      <c r="B18">
        <f>IF(A18="","",SUM('Asset Allocation'!F18,'Asset Allocation'!G18,'Asset Allocation'!H18,'Asset Allocation'!I18,'Asset Allocation'!J18,'Asset Allocation'!K18))</f>
        <v>0.01</v>
      </c>
      <c r="C18">
        <f>IF(A18="","",SUM('Asset Allocation'!C18))</f>
        <v>0.20069999999999999</v>
      </c>
      <c r="D18">
        <f>IF(A18="","",SUM('Asset Allocation'!D18))</f>
        <v>0.1023</v>
      </c>
      <c r="F18">
        <f>IF(A18="","",SUM('Asset Allocation'!E18))</f>
        <v>0</v>
      </c>
      <c r="G18">
        <f>IF(A18="","",SUM('Asset Allocation'!B18))</f>
        <v>0.68700000000000006</v>
      </c>
      <c r="H18">
        <f t="shared" si="0"/>
        <v>0</v>
      </c>
    </row>
    <row r="19" spans="1:8" x14ac:dyDescent="0.25">
      <c r="A19" t="str">
        <f>IF(Input!A20="","",Input!A20)</f>
        <v>WealthSelect Managed Passive 3</v>
      </c>
      <c r="B19">
        <f>IF(A19="","",SUM('Asset Allocation'!F19,'Asset Allocation'!G19,'Asset Allocation'!H19,'Asset Allocation'!I19,'Asset Allocation'!J19,'Asset Allocation'!K19))</f>
        <v>0.2515</v>
      </c>
      <c r="C19">
        <f>IF(A19="","",SUM('Asset Allocation'!C19))</f>
        <v>3.32E-2</v>
      </c>
      <c r="D19">
        <f>IF(A19="","",SUM('Asset Allocation'!D19))</f>
        <v>7.5399999999999995E-2</v>
      </c>
      <c r="F19">
        <f>IF(A19="","",SUM('Asset Allocation'!E19))</f>
        <v>0.49420000000000003</v>
      </c>
      <c r="G19">
        <f>IF(A19="","",SUM('Asset Allocation'!B19))</f>
        <v>0.14580000000000001</v>
      </c>
      <c r="H19">
        <f t="shared" si="0"/>
        <v>-9.9999999999988987E-5</v>
      </c>
    </row>
    <row r="20" spans="1:8" x14ac:dyDescent="0.25">
      <c r="A20" t="str">
        <f>IF(Input!A21="","",Input!A21)</f>
        <v>WealthSelect Managed Passive 4</v>
      </c>
      <c r="B20">
        <f>IF(A20="","",SUM('Asset Allocation'!F20,'Asset Allocation'!G20,'Asset Allocation'!H20,'Asset Allocation'!I20,'Asset Allocation'!J20,'Asset Allocation'!K20))</f>
        <v>0.25109999999999999</v>
      </c>
      <c r="C20">
        <f>IF(A20="","",SUM('Asset Allocation'!C20))</f>
        <v>4.9100000000000005E-2</v>
      </c>
      <c r="D20">
        <f>IF(A20="","",SUM('Asset Allocation'!D20))</f>
        <v>0.11070000000000001</v>
      </c>
      <c r="F20">
        <f>IF(A20="","",SUM('Asset Allocation'!E20))</f>
        <v>0.37530000000000002</v>
      </c>
      <c r="G20">
        <f>IF(A20="","",SUM('Asset Allocation'!B20))</f>
        <v>0.21390000000000001</v>
      </c>
      <c r="H20">
        <f t="shared" si="0"/>
        <v>-9.9999999999988987E-5</v>
      </c>
    </row>
    <row r="21" spans="1:8" x14ac:dyDescent="0.25">
      <c r="A21" t="str">
        <f>IF(Input!A22="","",Input!A22)</f>
        <v>WealthSelect Managed Passive 5</v>
      </c>
      <c r="B21">
        <f>IF(A21="","",SUM('Asset Allocation'!F21,'Asset Allocation'!G21,'Asset Allocation'!H21,'Asset Allocation'!I21,'Asset Allocation'!J21,'Asset Allocation'!K21))</f>
        <v>0.20780000000000001</v>
      </c>
      <c r="C21">
        <f>IF(A21="","",SUM('Asset Allocation'!C21))</f>
        <v>6.3700000000000007E-2</v>
      </c>
      <c r="D21">
        <f>IF(A21="","",SUM('Asset Allocation'!D21))</f>
        <v>0.14300000000000002</v>
      </c>
      <c r="F21">
        <f>IF(A21="","",SUM('Asset Allocation'!E21))</f>
        <v>0.3095</v>
      </c>
      <c r="G21">
        <f>IF(A21="","",SUM('Asset Allocation'!B21))</f>
        <v>0.27600000000000002</v>
      </c>
      <c r="H21">
        <f t="shared" si="0"/>
        <v>0</v>
      </c>
    </row>
    <row r="22" spans="1:8" x14ac:dyDescent="0.25">
      <c r="A22" t="str">
        <f>IF(Input!A23="","",Input!A23)</f>
        <v>WealthSelect Managed Passive 6</v>
      </c>
      <c r="B22">
        <f>IF(A22="","",SUM('Asset Allocation'!F22,'Asset Allocation'!G22,'Asset Allocation'!H22,'Asset Allocation'!I22,'Asset Allocation'!J22,'Asset Allocation'!K22))</f>
        <v>0.14279999999999998</v>
      </c>
      <c r="C22">
        <f>IF(A22="","",SUM('Asset Allocation'!C22))</f>
        <v>7.8E-2</v>
      </c>
      <c r="D22">
        <f>IF(A22="","",SUM('Asset Allocation'!D22))</f>
        <v>0.17550000000000002</v>
      </c>
      <c r="F22">
        <f>IF(A22="","",SUM('Asset Allocation'!E22))</f>
        <v>0.2651</v>
      </c>
      <c r="G22">
        <f>IF(A22="","",SUM('Asset Allocation'!B22))</f>
        <v>0.33860000000000001</v>
      </c>
      <c r="H22">
        <f t="shared" si="0"/>
        <v>0</v>
      </c>
    </row>
    <row r="23" spans="1:8" x14ac:dyDescent="0.25">
      <c r="A23" t="str">
        <f>IF(Input!A24="","",Input!A24)</f>
        <v>WealthSelect Managed Passive 7</v>
      </c>
      <c r="B23">
        <f>IF(A23="","",SUM('Asset Allocation'!F23,'Asset Allocation'!G23,'Asset Allocation'!H23,'Asset Allocation'!I23,'Asset Allocation'!J23,'Asset Allocation'!K23))</f>
        <v>7.6600000000000001E-2</v>
      </c>
      <c r="C23">
        <f>IF(A23="","",SUM('Asset Allocation'!C23))</f>
        <v>9.2499999999999999E-2</v>
      </c>
      <c r="D23">
        <f>IF(A23="","",SUM('Asset Allocation'!D23))</f>
        <v>0.20829999999999999</v>
      </c>
      <c r="F23">
        <f>IF(A23="","",SUM('Asset Allocation'!E23))</f>
        <v>0.22070000000000001</v>
      </c>
      <c r="G23">
        <f>IF(A23="","",SUM('Asset Allocation'!B23))</f>
        <v>0.40189999999999998</v>
      </c>
      <c r="H23">
        <f t="shared" si="0"/>
        <v>0</v>
      </c>
    </row>
    <row r="24" spans="1:8" x14ac:dyDescent="0.25">
      <c r="A24" t="str">
        <f>IF(Input!A25="","",Input!A25)</f>
        <v>WealthSelect Managed Passive 8</v>
      </c>
      <c r="B24">
        <f>IF(A24="","",SUM('Asset Allocation'!F24,'Asset Allocation'!G24,'Asset Allocation'!H24,'Asset Allocation'!I24,'Asset Allocation'!J24,'Asset Allocation'!K24))</f>
        <v>0.01</v>
      </c>
      <c r="C24">
        <f>IF(A24="","",SUM('Asset Allocation'!C24))</f>
        <v>0.10859999999999999</v>
      </c>
      <c r="D24">
        <f>IF(A24="","",SUM('Asset Allocation'!D24))</f>
        <v>0.24109999999999998</v>
      </c>
      <c r="F24">
        <f>IF(A24="","",SUM('Asset Allocation'!E24))</f>
        <v>0.17660000000000001</v>
      </c>
      <c r="G24">
        <f>IF(A24="","",SUM('Asset Allocation'!B24))</f>
        <v>0.4637</v>
      </c>
      <c r="H24">
        <f t="shared" si="0"/>
        <v>0</v>
      </c>
    </row>
    <row r="25" spans="1:8" x14ac:dyDescent="0.25">
      <c r="A25" t="str">
        <f>IF(Input!A26="","",Input!A26)</f>
        <v>WealthSelect Managed Passive 9</v>
      </c>
      <c r="B25">
        <f>IF(A25="","",SUM('Asset Allocation'!F25,'Asset Allocation'!G25,'Asset Allocation'!H25,'Asset Allocation'!I25,'Asset Allocation'!J25,'Asset Allocation'!K25))</f>
        <v>0.01</v>
      </c>
      <c r="C25">
        <f>IF(A25="","",SUM('Asset Allocation'!C25))</f>
        <v>0.1346</v>
      </c>
      <c r="D25">
        <f>IF(A25="","",SUM('Asset Allocation'!D25))</f>
        <v>0.2079</v>
      </c>
      <c r="F25">
        <f>IF(A25="","",SUM('Asset Allocation'!E25))</f>
        <v>7.0099999999999996E-2</v>
      </c>
      <c r="G25">
        <f>IF(A25="","",SUM('Asset Allocation'!B25))</f>
        <v>0.57729999999999992</v>
      </c>
      <c r="H25">
        <f t="shared" si="0"/>
        <v>9.9999999999988987E-5</v>
      </c>
    </row>
    <row r="26" spans="1:8" x14ac:dyDescent="0.25">
      <c r="A26" t="str">
        <f>IF(Input!A27="","",Input!A27)</f>
        <v>WealthSelect Sustainable Active 10</v>
      </c>
      <c r="B26">
        <f>IF(A26="","",SUM('Asset Allocation'!F26,'Asset Allocation'!G26,'Asset Allocation'!H26,'Asset Allocation'!I26,'Asset Allocation'!J26,'Asset Allocation'!K26))</f>
        <v>0.99999999999999989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1.1102230246251565E-16</v>
      </c>
    </row>
    <row r="27" spans="1:8" x14ac:dyDescent="0.25">
      <c r="A27" t="str">
        <f>IF(Input!A28="","",Input!A28)</f>
        <v>WealthSelect Sustainable Active 3</v>
      </c>
      <c r="B27">
        <f>IF(A27="","",SUM('Asset Allocation'!F27,'Asset Allocation'!G27,'Asset Allocation'!H27,'Asset Allocation'!I27,'Asset Allocation'!J27,'Asset Allocation'!K27))</f>
        <v>0.48599999999999999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0.51400000000000001</v>
      </c>
      <c r="G27">
        <f>IF(A27="","",SUM('Asset Allocation'!B27))</f>
        <v>0</v>
      </c>
      <c r="H27">
        <f t="shared" si="0"/>
        <v>0</v>
      </c>
    </row>
    <row r="28" spans="1:8" x14ac:dyDescent="0.25">
      <c r="A28" t="str">
        <f>IF(Input!A29="","",Input!A29)</f>
        <v>WealthSelect Sustainable Active 4</v>
      </c>
      <c r="B28">
        <f>IF(A28="","",SUM('Asset Allocation'!F28,'Asset Allocation'!G28,'Asset Allocation'!H28,'Asset Allocation'!I28,'Asset Allocation'!J28,'Asset Allocation'!K28))</f>
        <v>0.58899999999999997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0.41100000000000003</v>
      </c>
      <c r="G28">
        <f>IF(A28="","",SUM('Asset Allocation'!B28))</f>
        <v>0</v>
      </c>
      <c r="H28">
        <f t="shared" si="0"/>
        <v>0</v>
      </c>
    </row>
    <row r="29" spans="1:8" x14ac:dyDescent="0.25">
      <c r="A29" t="str">
        <f>IF(Input!A30="","",Input!A30)</f>
        <v>WealthSelect Sustainable Active 5</v>
      </c>
      <c r="B29">
        <f>IF(A29="","",SUM('Asset Allocation'!F29,'Asset Allocation'!G29,'Asset Allocation'!H29,'Asset Allocation'!I29,'Asset Allocation'!J29,'Asset Allocation'!K29))</f>
        <v>0.67199999999999993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0.32899999999999996</v>
      </c>
      <c r="G29">
        <f>IF(A29="","",SUM('Asset Allocation'!B29))</f>
        <v>0</v>
      </c>
      <c r="H29">
        <f t="shared" si="0"/>
        <v>-9.9999999999988987E-4</v>
      </c>
    </row>
    <row r="30" spans="1:8" x14ac:dyDescent="0.25">
      <c r="A30" t="str">
        <f>IF(Input!A31="","",Input!A31)</f>
        <v>WealthSelect Sustainable Active 6</v>
      </c>
      <c r="B30">
        <f>IF(A30="","",SUM('Asset Allocation'!F30,'Asset Allocation'!G30,'Asset Allocation'!H30,'Asset Allocation'!I30,'Asset Allocation'!J30,'Asset Allocation'!K30))</f>
        <v>0.71399999999999997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0.28699999999999998</v>
      </c>
      <c r="G30">
        <f>IF(A30="","",SUM('Asset Allocation'!B30))</f>
        <v>0</v>
      </c>
      <c r="H30">
        <f t="shared" si="0"/>
        <v>-9.9999999999988987E-4</v>
      </c>
    </row>
    <row r="31" spans="1:8" x14ac:dyDescent="0.25">
      <c r="A31" t="str">
        <f>IF(Input!A32="","",Input!A32)</f>
        <v>WealthSelect Sustainable Active 7</v>
      </c>
      <c r="B31">
        <f>IF(A31="","",SUM('Asset Allocation'!F31,'Asset Allocation'!G31,'Asset Allocation'!H31,'Asset Allocation'!I31,'Asset Allocation'!J31,'Asset Allocation'!K31))</f>
        <v>0.749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0.251</v>
      </c>
      <c r="G31">
        <f>IF(A31="","",SUM('Asset Allocation'!B31))</f>
        <v>0</v>
      </c>
      <c r="H31">
        <f t="shared" si="0"/>
        <v>0</v>
      </c>
    </row>
    <row r="32" spans="1:8" x14ac:dyDescent="0.25">
      <c r="A32" t="str">
        <f>IF(Input!A33="","",Input!A33)</f>
        <v>WealthSelect Sustainable Active 8</v>
      </c>
      <c r="B32">
        <f>IF(A32="","",SUM('Asset Allocation'!F32,'Asset Allocation'!G32,'Asset Allocation'!H32,'Asset Allocation'!I32,'Asset Allocation'!J32,'Asset Allocation'!K32))</f>
        <v>0.78500000000000003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0.21600000000000003</v>
      </c>
      <c r="G32">
        <f>IF(A32="","",SUM('Asset Allocation'!B32))</f>
        <v>0</v>
      </c>
      <c r="H32">
        <f t="shared" si="0"/>
        <v>-1.0000000000001119E-3</v>
      </c>
    </row>
    <row r="33" spans="1:8" x14ac:dyDescent="0.25">
      <c r="A33" t="str">
        <f>IF(Input!A34="","",Input!A34)</f>
        <v>WealthSelect Sustainable Active 9</v>
      </c>
      <c r="B33">
        <f>IF(A33="","",SUM('Asset Allocation'!F33,'Asset Allocation'!G33,'Asset Allocation'!H33,'Asset Allocation'!I33,'Asset Allocation'!J33,'Asset Allocation'!K33))</f>
        <v>0.89800000000000013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0.10199999999999999</v>
      </c>
      <c r="G33">
        <f>IF(A33="","",SUM('Asset Allocation'!B33))</f>
        <v>0</v>
      </c>
      <c r="H33">
        <f t="shared" si="0"/>
        <v>-2.2204460492503131E-16</v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WealthSelect Managed Active 10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WealthSelect Managed Active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1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WealthSelect Managed Active 4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1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WealthSelect Managed Active 5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1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WealthSelect Managed Active 6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1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WealthSelect Managed Active 7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WealthSelect Managed Active 8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WealthSelect Managed Active 9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WealthSelect Managed Blend 10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WealthSelect Managed Blend 3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1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WealthSelect Managed Blend 4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1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WealthSelect Managed Blend 5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1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WealthSelect Managed Blend 6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1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WealthSelect Managed Blend 7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WealthSelect Managed Blend 8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WealthSelect Managed Blend 9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WealthSelect Managed Passive 10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1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WealthSelect Managed Passive 3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1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>WealthSelect Managed Passive 4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1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25">
      <c r="A21" t="str">
        <f>IF(Input!A22="","",Input!A22)</f>
        <v>WealthSelect Managed Passive 5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1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25">
      <c r="A22" t="str">
        <f>IF(Input!A23="","",Input!A23)</f>
        <v>WealthSelect Managed Passive 6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1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WealthSelect Managed Passive 7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1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25">
      <c r="A24" t="str">
        <f>IF(Input!A25="","",Input!A25)</f>
        <v>WealthSelect Managed Passive 8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1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25">
      <c r="A25" t="str">
        <f>IF(Input!A26="","",Input!A26)</f>
        <v>WealthSelect Managed Passive 9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1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25">
      <c r="A26" t="str">
        <f>IF(Input!A27="","",Input!A27)</f>
        <v>WealthSelect Sustainable Active 10</v>
      </c>
      <c r="B26" s="6">
        <f>IFERROR(IF(A26="","",SUM('Asset Allocation'!G26)/'Broad Asset Allocation'!B26),0)</f>
        <v>5.000000000000001E-2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5.1000000000000004E-2</v>
      </c>
      <c r="E26" s="6">
        <f>IFERROR(IF(A26="","",SUM('Asset Allocation'!I26)/'Broad Asset Allocation'!B26),0)</f>
        <v>0.50200000000000011</v>
      </c>
      <c r="F26" s="6"/>
      <c r="G26" s="6">
        <f>IFERROR(IF(A26="","",SUM('Asset Allocation'!J26)/'Broad Asset Allocation'!B26),0)</f>
        <v>0.17400000000000002</v>
      </c>
      <c r="H26" s="6">
        <f>IFERROR(IF(A26="","",SUM('Asset Allocation'!K26)/'Broad Asset Allocation'!B26),0)</f>
        <v>0.22300000000000003</v>
      </c>
    </row>
    <row r="27" spans="1:8" x14ac:dyDescent="0.25">
      <c r="A27" t="str">
        <f>IF(Input!A28="","",Input!A28)</f>
        <v>WealthSelect Sustainable Active 3</v>
      </c>
      <c r="B27" s="6">
        <f>IFERROR(IF(A27="","",SUM('Asset Allocation'!G27)/'Broad Asset Allocation'!B27),0)</f>
        <v>2.469135802469136E-2</v>
      </c>
      <c r="C27" s="6">
        <f>IFERROR(IF(A27="","",SUM('Asset Allocation'!F27)/'Broad Asset Allocation'!B27),0)</f>
        <v>0.51851851851851849</v>
      </c>
      <c r="D27" s="6">
        <f>IFERROR(IF(A27="","",SUM('Asset Allocation'!H27)/'Broad Asset Allocation'!B27),0)</f>
        <v>2.469135802469136E-2</v>
      </c>
      <c r="E27" s="6">
        <f>IFERROR(IF(A27="","",SUM('Asset Allocation'!I27)/'Broad Asset Allocation'!B27),0)</f>
        <v>0.24074074074074073</v>
      </c>
      <c r="F27" s="6"/>
      <c r="G27" s="6">
        <f>IFERROR(IF(A27="","",SUM('Asset Allocation'!J27)/'Broad Asset Allocation'!B27),0)</f>
        <v>8.4362139917695464E-2</v>
      </c>
      <c r="H27" s="6">
        <f>IFERROR(IF(A27="","",SUM('Asset Allocation'!K27)/'Broad Asset Allocation'!B27),0)</f>
        <v>0.10699588477366256</v>
      </c>
    </row>
    <row r="28" spans="1:8" x14ac:dyDescent="0.25">
      <c r="A28" t="str">
        <f>IF(Input!A29="","",Input!A29)</f>
        <v>WealthSelect Sustainable Active 4</v>
      </c>
      <c r="B28" s="6">
        <f>IFERROR(IF(A28="","",SUM('Asset Allocation'!G28)/'Broad Asset Allocation'!B28),0)</f>
        <v>2.8862478777589139E-2</v>
      </c>
      <c r="C28" s="6">
        <f>IFERROR(IF(A28="","",SUM('Asset Allocation'!F28)/'Broad Asset Allocation'!B28),0)</f>
        <v>0.41595925297113756</v>
      </c>
      <c r="D28" s="6">
        <f>IFERROR(IF(A28="","",SUM('Asset Allocation'!H28)/'Broad Asset Allocation'!B28),0)</f>
        <v>2.8862478777589139E-2</v>
      </c>
      <c r="E28" s="6">
        <f>IFERROR(IF(A28="","",SUM('Asset Allocation'!I28)/'Broad Asset Allocation'!B28),0)</f>
        <v>0.29371816638370124</v>
      </c>
      <c r="F28" s="6"/>
      <c r="G28" s="6">
        <f>IFERROR(IF(A28="","",SUM('Asset Allocation'!J28)/'Broad Asset Allocation'!B28),0)</f>
        <v>0.10186757215619695</v>
      </c>
      <c r="H28" s="6">
        <f>IFERROR(IF(A28="","",SUM('Asset Allocation'!K28)/'Broad Asset Allocation'!B28),0)</f>
        <v>0.13073005093378609</v>
      </c>
    </row>
    <row r="29" spans="1:8" x14ac:dyDescent="0.25">
      <c r="A29" t="str">
        <f>IF(Input!A30="","",Input!A30)</f>
        <v>WealthSelect Sustainable Active 5</v>
      </c>
      <c r="B29" s="6">
        <f>IFERROR(IF(A29="","",SUM('Asset Allocation'!G29)/'Broad Asset Allocation'!B29),0)</f>
        <v>3.2738095238095247E-2</v>
      </c>
      <c r="C29" s="6">
        <f>IFERROR(IF(A29="","",SUM('Asset Allocation'!F29)/'Broad Asset Allocation'!B29),0)</f>
        <v>0.3348214285714286</v>
      </c>
      <c r="D29" s="6">
        <f>IFERROR(IF(A29="","",SUM('Asset Allocation'!H29)/'Broad Asset Allocation'!B29),0)</f>
        <v>3.4226190476190479E-2</v>
      </c>
      <c r="E29" s="6">
        <f>IFERROR(IF(A29="","",SUM('Asset Allocation'!I29)/'Broad Asset Allocation'!B29),0)</f>
        <v>0.33333333333333331</v>
      </c>
      <c r="F29" s="6"/>
      <c r="G29" s="6">
        <f>IFERROR(IF(A29="","",SUM('Asset Allocation'!J29)/'Broad Asset Allocation'!B29),0)</f>
        <v>0.11607142857142859</v>
      </c>
      <c r="H29" s="6">
        <f>IFERROR(IF(A29="","",SUM('Asset Allocation'!K29)/'Broad Asset Allocation'!B29),0)</f>
        <v>0.14880952380952384</v>
      </c>
    </row>
    <row r="30" spans="1:8" x14ac:dyDescent="0.25">
      <c r="A30" t="str">
        <f>IF(Input!A31="","",Input!A31)</f>
        <v>WealthSelect Sustainable Active 6</v>
      </c>
      <c r="B30" s="6">
        <f>IFERROR(IF(A30="","",SUM('Asset Allocation'!G30)/'Broad Asset Allocation'!B30),0)</f>
        <v>3.7815126050420172E-2</v>
      </c>
      <c r="C30" s="6">
        <f>IFERROR(IF(A30="","",SUM('Asset Allocation'!F30)/'Broad Asset Allocation'!B30),0)</f>
        <v>0.23669467787114845</v>
      </c>
      <c r="D30" s="6">
        <f>IFERROR(IF(A30="","",SUM('Asset Allocation'!H30)/'Broad Asset Allocation'!B30),0)</f>
        <v>3.9215686274509803E-2</v>
      </c>
      <c r="E30" s="6">
        <f>IFERROR(IF(A30="","",SUM('Asset Allocation'!I30)/'Broad Asset Allocation'!B30),0)</f>
        <v>0.38235294117647062</v>
      </c>
      <c r="F30" s="6"/>
      <c r="G30" s="6">
        <f>IFERROR(IF(A30="","",SUM('Asset Allocation'!J30)/'Broad Asset Allocation'!B30),0)</f>
        <v>0.13305322128851541</v>
      </c>
      <c r="H30" s="6">
        <f>IFERROR(IF(A30="","",SUM('Asset Allocation'!K30)/'Broad Asset Allocation'!B30),0)</f>
        <v>0.17086834733893558</v>
      </c>
    </row>
    <row r="31" spans="1:8" x14ac:dyDescent="0.25">
      <c r="A31" t="str">
        <f>IF(Input!A32="","",Input!A32)</f>
        <v>WealthSelect Sustainable Active 7</v>
      </c>
      <c r="B31" s="6">
        <f>IFERROR(IF(A31="","",SUM('Asset Allocation'!G31)/'Broad Asset Allocation'!B31),0)</f>
        <v>4.2723631508678236E-2</v>
      </c>
      <c r="C31" s="6">
        <f>IFERROR(IF(A31="","",SUM('Asset Allocation'!F31)/'Broad Asset Allocation'!B31),0)</f>
        <v>0.13484646194926567</v>
      </c>
      <c r="D31" s="6">
        <f>IFERROR(IF(A31="","",SUM('Asset Allocation'!H31)/'Broad Asset Allocation'!B31),0)</f>
        <v>4.4058744993324434E-2</v>
      </c>
      <c r="E31" s="6">
        <f>IFERROR(IF(A31="","",SUM('Asset Allocation'!I31)/'Broad Asset Allocation'!B31),0)</f>
        <v>0.43391188251001339</v>
      </c>
      <c r="F31" s="6"/>
      <c r="G31" s="6">
        <f>IFERROR(IF(A31="","",SUM('Asset Allocation'!J31)/'Broad Asset Allocation'!B31),0)</f>
        <v>0.15086782376502003</v>
      </c>
      <c r="H31" s="6">
        <f>IFERROR(IF(A31="","",SUM('Asset Allocation'!K31)/'Broad Asset Allocation'!B31),0)</f>
        <v>0.19359145527369825</v>
      </c>
    </row>
    <row r="32" spans="1:8" x14ac:dyDescent="0.25">
      <c r="A32" t="str">
        <f>IF(Input!A33="","",Input!A33)</f>
        <v>WealthSelect Sustainable Active 8</v>
      </c>
      <c r="B32" s="6">
        <f>IFERROR(IF(A32="","",SUM('Asset Allocation'!G32)/'Broad Asset Allocation'!B32),0)</f>
        <v>4.7133757961783443E-2</v>
      </c>
      <c r="C32" s="6">
        <f>IFERROR(IF(A32="","",SUM('Asset Allocation'!F32)/'Broad Asset Allocation'!B32),0)</f>
        <v>4.331210191082803E-2</v>
      </c>
      <c r="D32" s="6">
        <f>IFERROR(IF(A32="","",SUM('Asset Allocation'!H32)/'Broad Asset Allocation'!B32),0)</f>
        <v>4.8407643312101907E-2</v>
      </c>
      <c r="E32" s="6">
        <f>IFERROR(IF(A32="","",SUM('Asset Allocation'!I32)/'Broad Asset Allocation'!B32),0)</f>
        <v>0.4802547770700637</v>
      </c>
      <c r="F32" s="6"/>
      <c r="G32" s="6">
        <f>IFERROR(IF(A32="","",SUM('Asset Allocation'!J32)/'Broad Asset Allocation'!B32),0)</f>
        <v>0.16687898089171974</v>
      </c>
      <c r="H32" s="6">
        <f>IFERROR(IF(A32="","",SUM('Asset Allocation'!K32)/'Broad Asset Allocation'!B32),0)</f>
        <v>0.21401273885350319</v>
      </c>
    </row>
    <row r="33" spans="1:8" x14ac:dyDescent="0.25">
      <c r="A33" t="str">
        <f>IF(Input!A34="","",Input!A34)</f>
        <v>WealthSelect Sustainable Active 9</v>
      </c>
      <c r="B33" s="6">
        <f>IFERROR(IF(A33="","",SUM('Asset Allocation'!G33)/'Broad Asset Allocation'!B33),0)</f>
        <v>4.8997772828507792E-2</v>
      </c>
      <c r="C33" s="6">
        <f>IFERROR(IF(A33="","",SUM('Asset Allocation'!F33)/'Broad Asset Allocation'!B33),0)</f>
        <v>1.1135857461024497E-2</v>
      </c>
      <c r="D33" s="6">
        <f>IFERROR(IF(A33="","",SUM('Asset Allocation'!H33)/'Broad Asset Allocation'!B33),0)</f>
        <v>5.0111358574610236E-2</v>
      </c>
      <c r="E33" s="6">
        <f>IFERROR(IF(A33="","",SUM('Asset Allocation'!I33)/'Broad Asset Allocation'!B33),0)</f>
        <v>0.4966592427616926</v>
      </c>
      <c r="F33" s="6"/>
      <c r="G33" s="6">
        <f>IFERROR(IF(A33="","",SUM('Asset Allocation'!J33)/'Broad Asset Allocation'!B33),0)</f>
        <v>0.17260579064587972</v>
      </c>
      <c r="H33" s="6">
        <f>IFERROR(IF(A33="","",SUM('Asset Allocation'!K33)/'Broad Asset Allocation'!B33),0)</f>
        <v>0.22048997772828505</v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WealthSelect Managed Active 10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WealthSelect Managed Active 3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WealthSelect Managed Active 4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WealthSelect Managed Active 5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WealthSelect Managed Active 6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WealthSelect Managed Active 7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WealthSelect Managed Active 8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WealthSelect Managed Active 9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WealthSelect Managed Blend 10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WealthSelect Managed Blend 3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WealthSelect Managed Blend 4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WealthSelect Managed Blend 5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WealthSelect Managed Blend 6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WealthSelect Managed Blend 7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WealthSelect Managed Blend 8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WealthSelect Managed Blend 9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WealthSelect Managed Passive 10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WealthSelect Managed Passive 3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WealthSelect Managed Passive 4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WealthSelect Managed Passive 5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WealthSelect Managed Passive 6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WealthSelect Managed Passive 7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WealthSelect Managed Passive 8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WealthSelect Managed Passive 9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WealthSelect Sustainable Active 10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WealthSelect Sustainable Active 3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WealthSelect Sustainable Active 4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WealthSelect Sustainable Active 5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WealthSelect Sustainable Active 6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WealthSelect Sustainable Active 7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WealthSelect Sustainable Active 8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WealthSelect Sustainable Active 9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2023-10-21T22:14:31Z</dcterms:modified>
</cp:coreProperties>
</file>