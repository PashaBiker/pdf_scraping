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8_milestone\Quilter\"/>
    </mc:Choice>
  </mc:AlternateContent>
  <bookViews>
    <workbookView xWindow="-105" yWindow="-105" windowWidth="19425" windowHeight="1030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37" i="7"/>
  <c r="C37" i="7"/>
  <c r="D37" i="7"/>
  <c r="E37" i="7"/>
  <c r="G37" i="7"/>
  <c r="H37" i="7"/>
  <c r="B45" i="7"/>
  <c r="C45" i="7"/>
  <c r="D45" i="7"/>
  <c r="H45" i="7"/>
  <c r="E45" i="7"/>
  <c r="G45" i="7"/>
  <c r="B30" i="7"/>
  <c r="C38" i="7"/>
  <c r="D38" i="7"/>
  <c r="E38" i="7"/>
  <c r="G38" i="7"/>
  <c r="B38" i="7"/>
  <c r="H38" i="7"/>
  <c r="C46" i="7"/>
  <c r="D46" i="7"/>
  <c r="E46" i="7"/>
  <c r="G46" i="7"/>
  <c r="H46" i="7"/>
  <c r="B46" i="7"/>
  <c r="E39" i="7"/>
  <c r="G39" i="7"/>
  <c r="H39" i="7"/>
  <c r="C39" i="7"/>
  <c r="B39" i="7"/>
  <c r="D39" i="7"/>
  <c r="E47" i="7"/>
  <c r="G47" i="7"/>
  <c r="H47" i="7"/>
  <c r="D47" i="7"/>
  <c r="B47" i="7"/>
  <c r="C47" i="7"/>
  <c r="H48" i="7"/>
  <c r="B48" i="7"/>
  <c r="E48" i="7"/>
  <c r="C48" i="7"/>
  <c r="D48" i="7"/>
  <c r="G48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E35" i="7"/>
  <c r="G35" i="7"/>
  <c r="H35" i="7"/>
  <c r="D35" i="7"/>
  <c r="B35" i="7"/>
  <c r="C35" i="7"/>
  <c r="E43" i="7"/>
  <c r="G43" i="7"/>
  <c r="D43" i="7"/>
  <c r="H43" i="7"/>
  <c r="C43" i="7"/>
  <c r="B43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B26" i="7" s="1"/>
  <c r="C26" i="4"/>
  <c r="H26" i="8" s="1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H27" i="7" s="1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E28" i="7" s="1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D31" i="7" s="1"/>
  <c r="C31" i="4"/>
  <c r="H31" i="8" s="1"/>
  <c r="G31" i="4"/>
  <c r="D31" i="4"/>
  <c r="B32" i="4"/>
  <c r="C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7" s="1"/>
  <c r="C29" i="4"/>
  <c r="H29" i="8" s="1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G26" i="7" l="1"/>
  <c r="B31" i="7"/>
  <c r="H26" i="7"/>
  <c r="B29" i="7"/>
  <c r="H33" i="4"/>
  <c r="C33" i="7"/>
  <c r="D26" i="7"/>
  <c r="H32" i="7"/>
  <c r="G32" i="7"/>
  <c r="E26" i="7"/>
  <c r="B32" i="7"/>
  <c r="D27" i="7"/>
  <c r="D33" i="7"/>
  <c r="B27" i="7"/>
  <c r="H30" i="7"/>
  <c r="G29" i="7"/>
  <c r="H33" i="7"/>
  <c r="G33" i="7"/>
  <c r="G30" i="7"/>
  <c r="E33" i="7"/>
  <c r="E30" i="7"/>
  <c r="D28" i="7"/>
  <c r="H33" i="8"/>
  <c r="G27" i="7"/>
  <c r="E29" i="7"/>
  <c r="E27" i="7"/>
  <c r="C26" i="7"/>
  <c r="E32" i="7"/>
  <c r="D30" i="7"/>
  <c r="H29" i="7"/>
  <c r="B28" i="7"/>
  <c r="H31" i="7"/>
  <c r="G28" i="7"/>
  <c r="G31" i="7"/>
  <c r="H28" i="7"/>
  <c r="C27" i="7"/>
  <c r="D32" i="7"/>
  <c r="D29" i="7"/>
  <c r="C28" i="7"/>
  <c r="C31" i="7"/>
  <c r="E31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<sst xmlns="http://schemas.openxmlformats.org/spreadsheetml/2006/main" count="169" uniqueCount="136">
  <si>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</si>
  <si>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</si>
  <si>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</si>
  <si>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</si>
  <si>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</si>
  <si>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</si>
  <si>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</si>
  <si>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</si>
  <si>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</si>
  <si>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</si>
  <si>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</si>
  <si>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</si>
  <si>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</si>
  <si>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</si>
  <si>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</si>
  <si>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</si>
  <si>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</si>
  <si>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</si>
  <si>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</si>
  <si>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</si>
  <si>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</si>
  <si>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</si>
  <si>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</si>
  <si>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</si>
  <si>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</si>
  <si>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</si>
  <si>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</si>
  <si>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</si>
  <si>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</si>
  <si>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</si>
  <si>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</si>
  <si>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</si>
  <si>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</si>
  <si>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</si>
  <si>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</si>
  <si>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1 year</t>
  </si>
  <si>
    <t>WealthSelect Managed Active 10 factsheet</t>
  </si>
  <si>
    <t>WealthSelect Managed Active 3 factsheet</t>
  </si>
  <si>
    <t>WealthSelect Managed Active 4 factsheet</t>
  </si>
  <si>
    <t>WealthSelect Managed Active 5 factsheet</t>
  </si>
  <si>
    <t>WealthSelect Managed Active 6 factsheet</t>
  </si>
  <si>
    <t>WealthSelect Managed Active 7 factsheet</t>
  </si>
  <si>
    <t>WealthSelect Managed Active 8 factsheet</t>
  </si>
  <si>
    <t>WealthSelect Managed Active 9 factsheet</t>
  </si>
  <si>
    <t>WealthSelect Managed Blend 10 factsheet</t>
  </si>
  <si>
    <t>WealthSelect Managed Blend 3 factsheet</t>
  </si>
  <si>
    <t>WealthSelect Managed Blend 4 factsheet</t>
  </si>
  <si>
    <t>WealthSelect Managed Blend 5 factsheet</t>
  </si>
  <si>
    <t>WealthSelect Managed Blend 6 factsheet</t>
  </si>
  <si>
    <t>WealthSelect Managed Blend 7 factsheet</t>
  </si>
  <si>
    <t>WealthSelect Managed Blend 8 factsheet</t>
  </si>
  <si>
    <t>WealthSelect Managed Blend 9 factsheet</t>
  </si>
  <si>
    <t>WealthSelect Managed Passive 10 factsheet</t>
  </si>
  <si>
    <t>WealthSelect Managed Passive 3 factsheet</t>
  </si>
  <si>
    <t>WealthSelect Managed Passive 4 factsheetP</t>
  </si>
  <si>
    <t>WealthSelect Managed Passive 5 factsheet</t>
  </si>
  <si>
    <t>WealthSelect Managed Passive 6 factsheet</t>
  </si>
  <si>
    <t>WealthSelect Managed Passive 7 factsheet</t>
  </si>
  <si>
    <t>WealthSelect Managed Passive 8 factsheet</t>
  </si>
  <si>
    <t>WealthSelect Managed Passive 9 factsheet</t>
  </si>
  <si>
    <t>WealthSelect Sustainable Active 10 factsheet</t>
  </si>
  <si>
    <t>WealthSelect Sustainable Active 3 factsheet</t>
  </si>
  <si>
    <t>WealthSelect Sustainable Active 4 factsheet</t>
  </si>
  <si>
    <t>WealthSelect Sustainable Active 5 factsheet</t>
  </si>
  <si>
    <t>WealthSelect Sustainable Active 6 factsheet</t>
  </si>
  <si>
    <t>WealthSelect Sustainable Active 7 factsheet</t>
  </si>
  <si>
    <t>WealthSelect Sustainable Active 8 factsheet</t>
  </si>
  <si>
    <t>WealthSelect Sustainable Active 9 factsheet</t>
  </si>
  <si>
    <t>https://www.quilter.com/documents/?filters=116472%2c116442%2c137171&amp;page=1&amp;Region=uk&amp;Role=adv</t>
  </si>
  <si>
    <t>WealthSelect Managed Active 10</t>
  </si>
  <si>
    <t>WealthSelect Managed Active 3</t>
  </si>
  <si>
    <t>WealthSelect Managed Active 4</t>
  </si>
  <si>
    <t>WealthSelect Managed Active 5</t>
  </si>
  <si>
    <t>WealthSelect Managed Active 6</t>
  </si>
  <si>
    <t>WealthSelect Managed Active 7</t>
  </si>
  <si>
    <t>WealthSelect Managed Active 8</t>
  </si>
  <si>
    <t>WealthSelect Managed Active 9</t>
  </si>
  <si>
    <t>WealthSelect Managed Blend 10</t>
  </si>
  <si>
    <t>WealthSelect Managed Blend 3</t>
  </si>
  <si>
    <t>WealthSelect Managed Blend 4</t>
  </si>
  <si>
    <t>WealthSelect Managed Blend 5</t>
  </si>
  <si>
    <t>WealthSelect Managed Blend 6</t>
  </si>
  <si>
    <t>WealthSelect Managed Blend 7</t>
  </si>
  <si>
    <t>WealthSelect Managed Blend 8</t>
  </si>
  <si>
    <t>WealthSelect Managed Blend 9</t>
  </si>
  <si>
    <t>WealthSelect Managed Passive 10</t>
  </si>
  <si>
    <t>WealthSelect Managed Passive 3</t>
  </si>
  <si>
    <t>WealthSelect Managed Passive 4P</t>
  </si>
  <si>
    <t>WealthSelect Managed Passive 5</t>
  </si>
  <si>
    <t>WealthSelect Managed Passive 6</t>
  </si>
  <si>
    <t>WealthSelect Managed Passive 7</t>
  </si>
  <si>
    <t>WealthSelect Managed Passive 8</t>
  </si>
  <si>
    <t>WealthSelect Managed Passive 9</t>
  </si>
  <si>
    <t>WealthSelect Sustainable Active 10</t>
  </si>
  <si>
    <t>WealthSelect Sustainable Active 3</t>
  </si>
  <si>
    <t>WealthSelect Sustainable Active 4</t>
  </si>
  <si>
    <t>WealthSelect Sustainable Active 5</t>
  </si>
  <si>
    <t>WealthSelect Sustainable Active 6</t>
  </si>
  <si>
    <t>WealthSelect Sustainable Active 7</t>
  </si>
  <si>
    <t>WealthSelect Sustainable Active 8</t>
  </si>
  <si>
    <t>WealthSelect Sustainable Active 9</t>
  </si>
  <si>
    <t>Weighted fund charge</t>
  </si>
  <si>
    <t>MPS charge</t>
  </si>
  <si>
    <t>3 years</t>
  </si>
  <si>
    <t>5 years</t>
  </si>
  <si>
    <t>https://www.quilter.com/siteassets/documents/platform/wealthselect/factsheets/MM00964_WealthSelectManagedActive10.pdf</t>
  </si>
  <si>
    <t>https://www.quilter.com/siteassets/documents/platform/wealthselect/factsheets/MM00957_WealthSelectManagedActive3.pdf</t>
  </si>
  <si>
    <t>https://www.quilter.com/siteassets/documents/platform/wealthselect/factsheets/MM00958_WealthSelectManagedActive4.pdf</t>
  </si>
  <si>
    <t>https://www.quilter.com/siteassets/documents/platform/wealthselect/factsheets/MM00959_WealthSelectManagedActive5.pdf</t>
  </si>
  <si>
    <t>https://www.quilter.com/siteassets/documents/platform/wealthselect/factsheets/MM00960_WealthSelectManagedActive6.pdf</t>
  </si>
  <si>
    <t>https://www.quilter.com/siteassets/documents/platform/wealthselect/factsheets/MM00961_WealthSelectManagedActive7.pdf</t>
  </si>
  <si>
    <t>https://www.quilter.com/siteassets/documents/platform/wealthselect/factsheets/MM00962_WealthSelectManagedActive8.pdf</t>
  </si>
  <si>
    <t>https://www.quilter.com/siteassets/documents/platform/wealthselect/factsheets/MM00963_WealthSelectManagedActive9.pdf</t>
  </si>
  <si>
    <t>https://www.quilter.com/siteassets/documents/platform/wealthselect/factsheets/MM00972_WealthSelectManagedBlend10.pdf</t>
  </si>
  <si>
    <t>https://www.quilter.com/siteassets/documents/platform/wealthselect/factsheets/MM00965_WealthSelectManagedBlend3.pdf</t>
  </si>
  <si>
    <t>https://www.quilter.com/siteassets/documents/platform/wealthselect/factsheets/MM00966_WealthSelectManagedBlend4.pdf</t>
  </si>
  <si>
    <t>https://www.quilter.com/siteassets/documents/platform/wealthselect/factsheets/MM00967_WealthSelectManagedBlend5.pdf</t>
  </si>
  <si>
    <t>https://www.quilter.com/siteassets/documents/platform/wealthselect/factsheets/MM00968_WealthSelectManagedBlend6.pdf</t>
  </si>
  <si>
    <t>https://www.quilter.com/siteassets/documents/platform/wealthselect/factsheets/MM00969_WealthSelectManagedBlend7.pdf</t>
  </si>
  <si>
    <t>https://www.quilter.com/siteassets/documents/platform/wealthselect/factsheets/MM00970_WealthSelectManagedBlend8.pdf</t>
  </si>
  <si>
    <t>https://www.quilter.com/siteassets/documents/platform/wealthselect/factsheets/MM00971_WealthSelectManagedBlend9.pdf</t>
  </si>
  <si>
    <t>https://www.quilter.com/siteassets/documents/platform/wealthselect/factsheets/mm01621_wealthselectmanagedpassive10.pdf</t>
  </si>
  <si>
    <t>https://www.quilter.com/siteassets/documents/platform/wealthselect/factsheets/mm01614_wealthselectmanagedpassive3.pdf</t>
  </si>
  <si>
    <t>https://www.quilter.com/siteassets/documents/platform/wealthselect/factsheets/mm01616_wealthselectmanagedpassive5.pdf</t>
  </si>
  <si>
    <t>https://www.quilter.com/siteassets/documents/platform/wealthselect/factsheets/mm01617_wealthselectmanagedpassive6.pdf</t>
  </si>
  <si>
    <t>https://www.quilter.com/siteassets/documents/platform/wealthselect/factsheets/mm01618_wealthselectmanagedpassive7.pdf</t>
  </si>
  <si>
    <t>https://www.quilter.com/siteassets/documents/platform/wealthselect/factsheets/mm01619_wealthselectmanagedpassive8.pdf</t>
  </si>
  <si>
    <t>https://www.quilter.com/siteassets/documents/platform/wealthselect/factsheets/mm01620_wealthselectmanagedpassive9.pdf</t>
  </si>
  <si>
    <t>https://www.quilter.com/siteassets/documents/platform/wealthselect/factsheets/mm01653_WealthSelectSustainableActive10.pdf</t>
  </si>
  <si>
    <t>https://www.quilter.com/siteassets/documents/platform/wealthselect/factsheets/mm01646_WealthSelectSustainableActive3.pdf</t>
  </si>
  <si>
    <t>https://www.quilter.com/siteassets/documents/platform/wealthselect/factsheets/mm01647_WealthSelectSustainableActive4.pdf</t>
  </si>
  <si>
    <t>https://www.quilter.com/siteassets/documents/platform/wealthselect/factsheets/mm01648_WealthSelectSustainableActive5.pdf</t>
  </si>
  <si>
    <t>https://www.quilter.com/siteassets/documents/platform/wealthselect/factsheets/mm01649_WealthSelectSustainableActive6.pdf</t>
  </si>
  <si>
    <t>https://www.quilter.com/siteassets/documents/platform/wealthselect/factsheets/mm01650_WealthSelectSustainableActive7.pdf</t>
  </si>
  <si>
    <t>https://www.quilter.com/siteassets/documents/platform/wealthselect/factsheets/mm01651_WealthSelectSustainableActive8.pdf</t>
  </si>
  <si>
    <t>https://www.quilter.com/siteassets/documents/platform/wealthselect/factsheets/mm01652_WealthSelectSustainableActive9.pdf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</si>
</sst>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158750</xdr:rowOff>
    </xdr:from>
    <xdr:to>
      <xdr:col>5</xdr:col>
      <xdr:colOff>401272</xdr:colOff>
      <xdr:row>10</xdr:row>
      <xdr:rowOff>165234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888F051-742B-7F94-F007-DACCDA21B6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8750"/>
          <a:ext cx="3449272" cy="1847984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11</xdr:row>
      <xdr:rowOff>127000</xdr:rowOff>
    </xdr:from>
    <xdr:to>
      <xdr:col>5</xdr:col>
      <xdr:colOff>562554</xdr:colOff>
      <xdr:row>16</xdr:row>
      <xdr:rowOff>171546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4265A64-BD6D-FAFA-C629-79CA3D1473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500" y="2152650"/>
          <a:ext cx="3547054" cy="9652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76200</xdr:rowOff>
    </xdr:from>
    <xdr:to>
      <xdr:col>6</xdr:col>
      <xdr:colOff>330112</xdr:colOff>
      <xdr:row>23</xdr:row>
      <xdr:rowOff>108052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3FEA5D0-968D-98E5-B195-B81EBF160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206750"/>
          <a:ext cx="3987712" cy="1136752"/>
        </a:xfrm>
        <a:prstGeom prst="rect">
          <a:avLst/>
        </a:prstGeom>
      </xdr:spPr>
    </xdr:pic>
    <xdr:clientData/>
  </xdr:twoCellAnchor>
  <xdr:twoCellAnchor editAs="oneCell">
    <xdr:from>
      <xdr:col>6</xdr:col>
      <xdr:colOff>590550</xdr:colOff>
      <xdr:row>1</xdr:row>
      <xdr:rowOff>76200</xdr:rowOff>
    </xdr:from>
    <xdr:to>
      <xdr:col>13</xdr:col>
      <xdr:colOff>241501</xdr:colOff>
      <xdr:row>24</xdr:row>
      <xdr:rowOff>101819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28E8A91-1C39-ADB0-49BC-F0699CF6E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48150" y="260350"/>
          <a:ext cx="3918151" cy="42610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O6" sqref="O6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4"/>
  <sheetViews>
    <sheetView workbookViewId="0">
      <selection activeCell="B3" sqref="B3:B34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69</v>
      </c>
      <c r="B3" t="str">
        <f>'PDF Scraping'!D2</f>
        <v>https://www.quilter.com/siteassets/documents/platform/wealthselect/factsheets/MM00964_WealthSelectManagedActive10.pdf</v>
      </c>
      <c r="J3" s="4"/>
    </row>
    <row r="4" spans="1:10" x14ac:dyDescent="0.25">
      <c r="A4" t="s">
        <v>70</v>
      </c>
      <c r="B4" t="str">
        <f>'PDF Scraping'!D3</f>
        <v>https://www.quilter.com/siteassets/documents/platform/wealthselect/factsheets/MM00957_WealthSelectManagedActive3.pdf</v>
      </c>
      <c r="J4" s="4"/>
    </row>
    <row r="5" spans="1:10" x14ac:dyDescent="0.25">
      <c r="A5" t="s">
        <v>71</v>
      </c>
      <c r="B5" t="str">
        <f>'PDF Scraping'!D4</f>
        <v>https://www.quilter.com/siteassets/documents/platform/wealthselect/factsheets/MM00958_WealthSelectManagedActive4.pdf</v>
      </c>
    </row>
    <row r="6" spans="1:10" x14ac:dyDescent="0.25">
      <c r="A6" t="s">
        <v>72</v>
      </c>
      <c r="B6" t="str">
        <f>'PDF Scraping'!D5</f>
        <v>https://www.quilter.com/siteassets/documents/platform/wealthselect/factsheets/MM00959_WealthSelectManagedActive5.pdf</v>
      </c>
    </row>
    <row r="7" spans="1:10" x14ac:dyDescent="0.25">
      <c r="A7" t="s">
        <v>73</v>
      </c>
      <c r="B7" t="str">
        <f>'PDF Scraping'!D6</f>
        <v>https://www.quilter.com/siteassets/documents/platform/wealthselect/factsheets/MM00960_WealthSelectManagedActive6.pdf</v>
      </c>
    </row>
    <row r="8" spans="1:10" x14ac:dyDescent="0.25">
      <c r="A8" t="s">
        <v>74</v>
      </c>
      <c r="B8" t="str">
        <f>'PDF Scraping'!D7</f>
        <v>https://www.quilter.com/siteassets/documents/platform/wealthselect/factsheets/MM00961_WealthSelectManagedActive7.pdf</v>
      </c>
    </row>
    <row r="9" spans="1:10" x14ac:dyDescent="0.25">
      <c r="A9" t="s">
        <v>75</v>
      </c>
      <c r="B9" t="str">
        <f>'PDF Scraping'!D8</f>
        <v>https://www.quilter.com/siteassets/documents/platform/wealthselect/factsheets/MM00962_WealthSelectManagedActive8.pdf</v>
      </c>
    </row>
    <row r="10" spans="1:10" x14ac:dyDescent="0.25">
      <c r="A10" t="s">
        <v>76</v>
      </c>
      <c r="B10" t="str">
        <f>'PDF Scraping'!D9</f>
        <v>https://www.quilter.com/siteassets/documents/platform/wealthselect/factsheets/MM00963_WealthSelectManagedActive9.pdf</v>
      </c>
    </row>
    <row r="11" spans="1:10" x14ac:dyDescent="0.25">
      <c r="A11" t="s">
        <v>77</v>
      </c>
      <c r="B11" t="str">
        <f>'PDF Scraping'!D10</f>
        <v>https://www.quilter.com/siteassets/documents/platform/wealthselect/factsheets/MM00972_WealthSelectManagedBlend10.pdf</v>
      </c>
    </row>
    <row r="12" spans="1:10" x14ac:dyDescent="0.25">
      <c r="A12" t="s">
        <v>78</v>
      </c>
      <c r="B12" t="str">
        <f>'PDF Scraping'!D11</f>
        <v>https://www.quilter.com/siteassets/documents/platform/wealthselect/factsheets/MM00965_WealthSelectManagedBlend3.pdf</v>
      </c>
    </row>
    <row r="13" spans="1:10" x14ac:dyDescent="0.25">
      <c r="A13" t="s">
        <v>79</v>
      </c>
      <c r="B13" t="str">
        <f>'PDF Scraping'!D12</f>
        <v>https://www.quilter.com/siteassets/documents/platform/wealthselect/factsheets/MM00966_WealthSelectManagedBlend4.pdf</v>
      </c>
    </row>
    <row r="14" spans="1:10" x14ac:dyDescent="0.25">
      <c r="A14" t="s">
        <v>80</v>
      </c>
      <c r="B14" t="str">
        <f>'PDF Scraping'!D13</f>
        <v>https://www.quilter.com/siteassets/documents/platform/wealthselect/factsheets/MM00967_WealthSelectManagedBlend5.pdf</v>
      </c>
    </row>
    <row r="15" spans="1:10" x14ac:dyDescent="0.25">
      <c r="A15" t="s">
        <v>81</v>
      </c>
      <c r="B15" t="str">
        <f>'PDF Scraping'!D14</f>
        <v>https://www.quilter.com/siteassets/documents/platform/wealthselect/factsheets/MM00968_WealthSelectManagedBlend6.pdf</v>
      </c>
    </row>
    <row r="16" spans="1:10" x14ac:dyDescent="0.25">
      <c r="A16" t="s">
        <v>82</v>
      </c>
      <c r="B16" t="str">
        <f>'PDF Scraping'!D15</f>
        <v>https://www.quilter.com/siteassets/documents/platform/wealthselect/factsheets/MM00969_WealthSelectManagedBlend7.pdf</v>
      </c>
    </row>
    <row r="17" spans="1:2" x14ac:dyDescent="0.25">
      <c r="A17" t="s">
        <v>83</v>
      </c>
      <c r="B17" t="str">
        <f>'PDF Scraping'!D16</f>
        <v>https://www.quilter.com/siteassets/documents/platform/wealthselect/factsheets/MM00970_WealthSelectManagedBlend8.pdf</v>
      </c>
    </row>
    <row r="18" spans="1:2" x14ac:dyDescent="0.25">
      <c r="A18" t="s">
        <v>84</v>
      </c>
      <c r="B18" t="str">
        <f>'PDF Scraping'!D17</f>
        <v>https://www.quilter.com/siteassets/documents/platform/wealthselect/factsheets/MM00971_WealthSelectManagedBlend9.pdf</v>
      </c>
    </row>
    <row r="19" spans="1:2" x14ac:dyDescent="0.25">
      <c r="A19" t="s">
        <v>85</v>
      </c>
      <c r="B19" t="str">
        <f>'PDF Scraping'!D18</f>
        <v>https://www.quilter.com/siteassets/documents/platform/wealthselect/factsheets/mm01621_wealthselectmanagedpassive10.pdf</v>
      </c>
    </row>
    <row r="20" spans="1:2" x14ac:dyDescent="0.25">
      <c r="A20" t="s">
        <v>86</v>
      </c>
      <c r="B20" t="str">
        <f>'PDF Scraping'!D19</f>
        <v>https://www.quilter.com/siteassets/documents/platform/wealthselect/factsheets/mm01614_wealthselectmanagedpassive3.pdf</v>
      </c>
    </row>
    <row r="21" spans="1:2" x14ac:dyDescent="0.25">
      <c r="A21" t="s">
        <v>87</v>
      </c>
      <c r="B21">
        <f>'PDF Scraping'!D20</f>
        <v>0</v>
      </c>
    </row>
    <row r="22" spans="1:2" x14ac:dyDescent="0.25">
      <c r="A22" t="s">
        <v>88</v>
      </c>
      <c r="B22" t="str">
        <f>'PDF Scraping'!D21</f>
        <v>https://www.quilter.com/siteassets/documents/platform/wealthselect/factsheets/mm01616_wealthselectmanagedpassive5.pdf</v>
      </c>
    </row>
    <row r="23" spans="1:2" x14ac:dyDescent="0.25">
      <c r="A23" t="s">
        <v>89</v>
      </c>
      <c r="B23" t="str">
        <f>'PDF Scraping'!D22</f>
        <v>https://www.quilter.com/siteassets/documents/platform/wealthselect/factsheets/mm01617_wealthselectmanagedpassive6.pdf</v>
      </c>
    </row>
    <row r="24" spans="1:2" x14ac:dyDescent="0.25">
      <c r="A24" t="s">
        <v>90</v>
      </c>
      <c r="B24" t="str">
        <f>'PDF Scraping'!D23</f>
        <v>https://www.quilter.com/siteassets/documents/platform/wealthselect/factsheets/mm01618_wealthselectmanagedpassive7.pdf</v>
      </c>
    </row>
    <row r="25" spans="1:2" x14ac:dyDescent="0.25">
      <c r="A25" t="s">
        <v>91</v>
      </c>
      <c r="B25" t="str">
        <f>'PDF Scraping'!D24</f>
        <v>https://www.quilter.com/siteassets/documents/platform/wealthselect/factsheets/mm01619_wealthselectmanagedpassive8.pdf</v>
      </c>
    </row>
    <row r="26" spans="1:2" x14ac:dyDescent="0.25">
      <c r="A26" t="s">
        <v>92</v>
      </c>
      <c r="B26" t="str">
        <f>'PDF Scraping'!D25</f>
        <v>https://www.quilter.com/siteassets/documents/platform/wealthselect/factsheets/mm01620_wealthselectmanagedpassive9.pdf</v>
      </c>
    </row>
    <row r="27" spans="1:2" x14ac:dyDescent="0.25">
      <c r="A27" t="s">
        <v>93</v>
      </c>
      <c r="B27" t="str">
        <f>'PDF Scraping'!D26</f>
        <v>https://www.quilter.com/siteassets/documents/platform/wealthselect/factsheets/mm01653_WealthSelectSustainableActive10.pdf</v>
      </c>
    </row>
    <row r="28" spans="1:2" x14ac:dyDescent="0.25">
      <c r="A28" t="s">
        <v>94</v>
      </c>
      <c r="B28" t="str">
        <f>'PDF Scraping'!D27</f>
        <v>https://www.quilter.com/siteassets/documents/platform/wealthselect/factsheets/mm01646_WealthSelectSustainableActive3.pdf</v>
      </c>
    </row>
    <row r="29" spans="1:2" x14ac:dyDescent="0.25">
      <c r="A29" t="s">
        <v>95</v>
      </c>
      <c r="B29" t="str">
        <f>'PDF Scraping'!D28</f>
        <v>https://www.quilter.com/siteassets/documents/platform/wealthselect/factsheets/mm01647_WealthSelectSustainableActive4.pdf</v>
      </c>
    </row>
    <row r="30" spans="1:2" x14ac:dyDescent="0.25">
      <c r="A30" t="s">
        <v>96</v>
      </c>
      <c r="B30" t="str">
        <f>'PDF Scraping'!D29</f>
        <v>https://www.quilter.com/siteassets/documents/platform/wealthselect/factsheets/mm01648_WealthSelectSustainableActive5.pdf</v>
      </c>
    </row>
    <row r="31" spans="1:2" x14ac:dyDescent="0.25">
      <c r="A31" t="s">
        <v>97</v>
      </c>
      <c r="B31" t="str">
        <f>'PDF Scraping'!D30</f>
        <v>https://www.quilter.com/siteassets/documents/platform/wealthselect/factsheets/mm01649_WealthSelectSustainableActive6.pdf</v>
      </c>
    </row>
    <row r="32" spans="1:2" x14ac:dyDescent="0.25">
      <c r="A32" t="s">
        <v>98</v>
      </c>
      <c r="B32" t="str">
        <f>'PDF Scraping'!D31</f>
        <v>https://www.quilter.com/siteassets/documents/platform/wealthselect/factsheets/mm01650_WealthSelectSustainableActive7.pdf</v>
      </c>
    </row>
    <row r="33" spans="1:2" x14ac:dyDescent="0.25">
      <c r="A33" t="s">
        <v>99</v>
      </c>
      <c r="B33" t="str">
        <f>'PDF Scraping'!D32</f>
        <v>https://www.quilter.com/siteassets/documents/platform/wealthselect/factsheets/mm01651_WealthSelectSustainableActive8.pdf</v>
      </c>
    </row>
    <row r="34" spans="1:2" x14ac:dyDescent="0.25">
      <c r="A34" t="s">
        <v>100</v>
      </c>
      <c r="B34" t="str">
        <f>'PDF Scraping'!D33</f>
        <v>https://www.quilter.com/siteassets/documents/platform/wealthselect/factsheets/mm01652_WealthSelectSustainableActive9.pdf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workbookViewId="0">
      <selection activeCell="G2" sqref="G2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style="10" bestFit="1" customWidth="1"/>
    <col min="5" max="5" width="21.5703125" style="10" bestFit="1" customWidth="1"/>
    <col min="6" max="6" width="13.7109375" bestFit="1" customWidth="1"/>
  </cols>
  <sheetData>
    <row r="1" spans="1:9" x14ac:dyDescent="0.25">
      <c r="B1" t="s">
        <v>22</v>
      </c>
      <c r="C1" s="10" t="s">
        <v>101</v>
      </c>
      <c r="D1" s="10" t="s">
        <v>102</v>
      </c>
      <c r="E1" s="10" t="s">
        <v>35</v>
      </c>
      <c r="F1" t="s">
        <v>103</v>
      </c>
      <c r="G1" t="s">
        <v>104</v>
      </c>
    </row>
    <row r="2" spans="1:9" x14ac:dyDescent="0.25">
      <c r="A2" t="str">
        <f>IF(Input!A3="","",Input!A3)</f>
        <v>WealthSelect Managed Active 10</v>
      </c>
      <c r="B2" s="1"/>
      <c r="F2" s="5"/>
      <c r="G2" s="5"/>
      <c r="H2" s="5"/>
      <c r="I2" s="5"/>
    </row>
    <row r="3" spans="1:9" x14ac:dyDescent="0.25">
      <c r="A3" t="str">
        <f>IF(Input!A4="","",Input!A4)</f>
        <v>WealthSelect Managed Active 3</v>
      </c>
      <c r="B3" s="1"/>
      <c r="F3" s="5"/>
      <c r="G3" s="5"/>
      <c r="H3" s="5"/>
      <c r="I3" s="5"/>
    </row>
    <row r="4" spans="1:9" x14ac:dyDescent="0.25">
      <c r="A4" t="str">
        <f>IF(Input!A5="","",Input!A5)</f>
        <v>WealthSelect Managed Active 4</v>
      </c>
      <c r="B4" s="1"/>
      <c r="F4" s="5"/>
      <c r="G4" s="5"/>
      <c r="H4" s="5"/>
      <c r="I4" s="5"/>
    </row>
    <row r="5" spans="1:9" x14ac:dyDescent="0.25">
      <c r="A5" t="str">
        <f>IF(Input!A6="","",Input!A6)</f>
        <v>WealthSelect Managed Active 5</v>
      </c>
      <c r="B5" s="1"/>
      <c r="F5" s="5"/>
      <c r="G5" s="5"/>
      <c r="H5" s="5"/>
      <c r="I5" s="5"/>
    </row>
    <row r="6" spans="1:9" x14ac:dyDescent="0.25">
      <c r="A6" t="str">
        <f>IF(Input!A7="","",Input!A7)</f>
        <v>WealthSelect Managed Active 6</v>
      </c>
      <c r="B6" s="1"/>
      <c r="F6" s="5"/>
      <c r="G6" s="5"/>
      <c r="H6" s="5"/>
      <c r="I6" s="5"/>
    </row>
    <row r="7" spans="1:9" x14ac:dyDescent="0.25">
      <c r="A7" t="str">
        <f>IF(Input!A8="","",Input!A8)</f>
        <v>WealthSelect Managed Active 7</v>
      </c>
      <c r="B7" s="1"/>
      <c r="F7" s="5"/>
      <c r="G7" s="5"/>
      <c r="H7" s="5"/>
      <c r="I7" s="5"/>
    </row>
    <row r="8" spans="1:9" x14ac:dyDescent="0.25">
      <c r="A8" t="str">
        <f>IF(Input!A9="","",Input!A9)</f>
        <v>WealthSelect Managed Active 8</v>
      </c>
      <c r="B8" s="1"/>
      <c r="F8" s="5"/>
      <c r="G8" s="5"/>
      <c r="H8" s="5"/>
      <c r="I8" s="5"/>
    </row>
    <row r="9" spans="1:9" x14ac:dyDescent="0.25">
      <c r="A9" t="str">
        <f>IF(Input!A10="","",Input!A10)</f>
        <v>WealthSelect Managed Active 9</v>
      </c>
      <c r="B9" s="1"/>
      <c r="F9" s="5"/>
      <c r="G9" s="5"/>
      <c r="H9" s="5"/>
      <c r="I9" s="5"/>
    </row>
    <row r="10" spans="1:9" x14ac:dyDescent="0.25">
      <c r="A10" t="str">
        <f>IF(Input!A11="","",Input!A11)</f>
        <v>WealthSelect Managed Blend 10</v>
      </c>
      <c r="B10" s="1"/>
      <c r="F10" s="5"/>
      <c r="G10" s="5"/>
      <c r="H10" s="5"/>
      <c r="I10" s="5"/>
    </row>
    <row r="11" spans="1:9" x14ac:dyDescent="0.25">
      <c r="A11" t="str">
        <f>IF(Input!A12="","",Input!A12)</f>
        <v>WealthSelect Managed Blend 3</v>
      </c>
      <c r="B11" s="1"/>
      <c r="F11" s="5"/>
      <c r="G11" s="5"/>
      <c r="H11" s="5"/>
      <c r="I11" s="5"/>
    </row>
    <row r="12" spans="1:9" x14ac:dyDescent="0.25">
      <c r="A12" t="str">
        <f>IF(Input!A13="","",Input!A13)</f>
        <v>WealthSelect Managed Blend 4</v>
      </c>
      <c r="B12" s="1"/>
      <c r="F12" s="5"/>
      <c r="G12" s="5"/>
      <c r="H12" s="5"/>
      <c r="I12" s="5"/>
    </row>
    <row r="13" spans="1:9" x14ac:dyDescent="0.25">
      <c r="A13" t="str">
        <f>IF(Input!A14="","",Input!A14)</f>
        <v>WealthSelect Managed Blend 5</v>
      </c>
      <c r="B13" s="1"/>
      <c r="F13" s="5"/>
      <c r="G13" s="5"/>
      <c r="H13" s="5"/>
      <c r="I13" s="5"/>
    </row>
    <row r="14" spans="1:9" x14ac:dyDescent="0.25">
      <c r="A14" t="str">
        <f>IF(Input!A15="","",Input!A15)</f>
        <v>WealthSelect Managed Blend 6</v>
      </c>
      <c r="B14" s="1"/>
      <c r="F14" s="5"/>
      <c r="G14" s="5"/>
      <c r="H14" s="5"/>
      <c r="I14" s="5"/>
    </row>
    <row r="15" spans="1:9" x14ac:dyDescent="0.25">
      <c r="A15" t="str">
        <f>IF(Input!A16="","",Input!A16)</f>
        <v>WealthSelect Managed Blend 7</v>
      </c>
      <c r="B15" s="1"/>
      <c r="F15" s="5"/>
      <c r="G15" s="5"/>
      <c r="H15" s="5"/>
      <c r="I15" s="5"/>
    </row>
    <row r="16" spans="1:9" x14ac:dyDescent="0.25">
      <c r="A16" t="str">
        <f>IF(Input!A17="","",Input!A17)</f>
        <v>WealthSelect Managed Blend 8</v>
      </c>
      <c r="B16" s="1"/>
      <c r="F16" s="5"/>
      <c r="G16" s="5"/>
      <c r="H16" s="5"/>
      <c r="I16" s="5"/>
    </row>
    <row r="17" spans="1:9" x14ac:dyDescent="0.25">
      <c r="A17" t="str">
        <f>IF(Input!A18="","",Input!A18)</f>
        <v>WealthSelect Managed Blend 9</v>
      </c>
      <c r="B17" s="1"/>
      <c r="F17" s="5"/>
      <c r="G17" s="5"/>
      <c r="H17" s="5"/>
      <c r="I17" s="5"/>
    </row>
    <row r="18" spans="1:9" x14ac:dyDescent="0.25">
      <c r="A18" t="str">
        <f>IF(Input!A19="","",Input!A19)</f>
        <v>WealthSelect Managed Passive 10</v>
      </c>
      <c r="B18" s="1"/>
      <c r="F18" s="5"/>
      <c r="G18" s="5"/>
      <c r="H18" s="5"/>
      <c r="I18" s="5"/>
    </row>
    <row r="19" spans="1:9" x14ac:dyDescent="0.25">
      <c r="A19" t="str">
        <f>IF(Input!A20="","",Input!A20)</f>
        <v>WealthSelect Managed Passive 3</v>
      </c>
      <c r="B19" s="1"/>
      <c r="F19" s="5"/>
      <c r="G19" s="5"/>
      <c r="H19" s="5"/>
      <c r="I19" s="5"/>
    </row>
    <row r="20" spans="1:9" x14ac:dyDescent="0.25">
      <c r="A20" t="str">
        <f>IF(Input!A21="","",Input!A21)</f>
        <v>WealthSelect Managed Passive 4P</v>
      </c>
      <c r="B20" s="1"/>
      <c r="F20" s="5"/>
      <c r="G20" s="5"/>
      <c r="H20" s="5"/>
      <c r="I20" s="5"/>
    </row>
    <row r="21" spans="1:9" x14ac:dyDescent="0.25">
      <c r="A21" t="str">
        <f>IF(Input!A22="","",Input!A22)</f>
        <v>WealthSelect Managed Passive 5</v>
      </c>
      <c r="B21" s="1"/>
      <c r="F21" s="5"/>
      <c r="G21" s="5"/>
      <c r="H21" s="5"/>
      <c r="I21" s="5"/>
    </row>
    <row r="22" spans="1:9" x14ac:dyDescent="0.25">
      <c r="A22" t="str">
        <f>IF(Input!A23="","",Input!A23)</f>
        <v>WealthSelect Managed Passive 6</v>
      </c>
      <c r="B22" s="1"/>
      <c r="F22" s="5"/>
      <c r="G22" s="5"/>
      <c r="H22" s="5"/>
      <c r="I22" s="5"/>
    </row>
    <row r="23" spans="1:9" x14ac:dyDescent="0.25">
      <c r="A23" t="str">
        <f>IF(Input!A24="","",Input!A24)</f>
        <v>WealthSelect Managed Passive 7</v>
      </c>
      <c r="B23" s="1"/>
      <c r="F23" s="5"/>
      <c r="G23" s="5"/>
      <c r="H23" s="5"/>
      <c r="I23" s="5"/>
    </row>
    <row r="24" spans="1:9" x14ac:dyDescent="0.25">
      <c r="A24" t="str">
        <f>IF(Input!A25="","",Input!A25)</f>
        <v>WealthSelect Managed Passive 8</v>
      </c>
      <c r="B24" s="1"/>
      <c r="F24" s="5"/>
      <c r="G24" s="5"/>
      <c r="H24" s="5"/>
      <c r="I24" s="5"/>
    </row>
    <row r="25" spans="1:9" x14ac:dyDescent="0.25">
      <c r="A25" t="str">
        <f>IF(Input!A26="","",Input!A26)</f>
        <v>WealthSelect Managed Passive 9</v>
      </c>
      <c r="B25" s="7"/>
      <c r="F25" s="5"/>
      <c r="G25" s="5"/>
      <c r="H25" s="5"/>
      <c r="I25" s="5"/>
    </row>
    <row r="26" spans="1:9" x14ac:dyDescent="0.25">
      <c r="A26" t="str">
        <f>IF(Input!A27="","",Input!A27)</f>
        <v>WealthSelect Sustainable Active 10</v>
      </c>
      <c r="B26" s="7"/>
    </row>
    <row r="27" spans="1:9" x14ac:dyDescent="0.25">
      <c r="A27" t="str">
        <f>IF(Input!A28="","",Input!A28)</f>
        <v>WealthSelect Sustainable Active 3</v>
      </c>
      <c r="B27" s="7"/>
    </row>
    <row r="28" spans="1:9" x14ac:dyDescent="0.25">
      <c r="A28" t="str">
        <f>IF(Input!A29="","",Input!A29)</f>
        <v>WealthSelect Sustainable Active 4</v>
      </c>
      <c r="B28" s="7"/>
    </row>
    <row r="29" spans="1:9" x14ac:dyDescent="0.25">
      <c r="A29" t="str">
        <f>IF(Input!A30="","",Input!A30)</f>
        <v>WealthSelect Sustainable Active 5</v>
      </c>
      <c r="B29" s="7"/>
    </row>
    <row r="30" spans="1:9" x14ac:dyDescent="0.25">
      <c r="A30" t="str">
        <f>IF(Input!A31="","",Input!A31)</f>
        <v>WealthSelect Sustainable Active 6</v>
      </c>
      <c r="B30" s="7"/>
    </row>
    <row r="31" spans="1:9" x14ac:dyDescent="0.25">
      <c r="A31" t="str">
        <f>IF(Input!A32="","",Input!A32)</f>
        <v>WealthSelect Sustainable Active 7</v>
      </c>
      <c r="B31" s="7"/>
    </row>
    <row r="32" spans="1:9" x14ac:dyDescent="0.25">
      <c r="A32" t="str">
        <f>IF(Input!A33="","",Input!A33)</f>
        <v>WealthSelect Sustainable Active 8</v>
      </c>
      <c r="B32" s="7"/>
    </row>
    <row r="33" spans="1:2" x14ac:dyDescent="0.25">
      <c r="A33" t="str">
        <f>IF(Input!A34="","",Input!A34)</f>
        <v>WealthSelect Sustainable Active 9</v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2:AD50"/>
  <sheetViews>
    <sheetView workbookViewId="0"/>
  </sheetViews>
  <sheetFormatPr defaultRowHeight="15" x14ac:dyDescent="0.25"/>
  <cols>
    <col min="1" max="1" width="48" bestFit="1" customWidth="1"/>
    <col min="2" max="2" width="20.5703125" style="10" bestFit="1" customWidth="1"/>
    <col min="3" max="3" width="28.85546875" style="10" bestFit="1" customWidth="1"/>
    <col min="4" max="4" width="7.85546875" style="10" bestFit="1" customWidth="1"/>
    <col min="5" max="5" width="8.7109375" style="10" bestFit="1" customWidth="1"/>
    <col min="6" max="6" width="11.28515625" style="10" bestFit="1" customWidth="1"/>
    <col min="7" max="7" width="8" style="10" bestFit="1" customWidth="1"/>
    <col min="8" max="8" width="13.28515625" style="10" bestFit="1" customWidth="1"/>
    <col min="9" max="9" width="17.7109375" style="10" bestFit="1" customWidth="1"/>
    <col min="10" max="10" width="14.28515625" style="10" bestFit="1" customWidth="1"/>
    <col min="11" max="11" width="38" style="10" bestFit="1" customWidth="1"/>
    <col min="12" max="12" width="23" bestFit="1" customWidth="1"/>
    <col min="13" max="13" width="8.5703125" bestFit="1" customWidth="1"/>
    <col min="14" max="14" width="10.4257812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2" spans="1:30" x14ac:dyDescent="0.25">
      <c r="A2" t="str">
        <f>IF(Input!A3="","",Input!A3)</f>
        <v>WealthSelect Managed Active 10</v>
      </c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WealthSelect Managed Active 3</v>
      </c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WealthSelect Managed Active 4</v>
      </c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WealthSelect Managed Active 5</v>
      </c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WealthSelect Managed Active 6</v>
      </c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WealthSelect Managed Active 7</v>
      </c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WealthSelect Managed Active 8</v>
      </c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WealthSelect Managed Active 9</v>
      </c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WealthSelect Managed Blend 10</v>
      </c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WealthSelect Managed Blend 3</v>
      </c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>WealthSelect Managed Blend 4</v>
      </c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WealthSelect Managed Blend 5</v>
      </c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WealthSelect Managed Blend 6</v>
      </c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WealthSelect Managed Blend 7</v>
      </c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WealthSelect Managed Blend 8</v>
      </c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>WealthSelect Managed Blend 9</v>
      </c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WealthSelect Managed Passive 10</v>
      </c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WealthSelect Managed Passive 3</v>
      </c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WealthSelect Managed Passive 4P</v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>WealthSelect Managed Passive 5</v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>WealthSelect Managed Passive 6</v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WealthSelect Managed Passive 7</v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>WealthSelect Managed Passive 8</v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>WealthSelect Managed Passive 9</v>
      </c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>WealthSelect Sustainable Active 10</v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>WealthSelect Sustainable Active 3</v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>WealthSelect Sustainable Active 4</v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>WealthSelect Sustainable Active 5</v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>WealthSelect Sustainable Active 6</v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>WealthSelect Sustainable Active 7</v>
      </c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>WealthSelect Sustainable Active 8</v>
      </c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>WealthSelect Sustainable Active 9</v>
      </c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workbookViewId="0">
      <selection activeCell="E16" sqref="E16"/>
    </sheetView>
  </sheetViews>
  <sheetFormatPr defaultRowHeight="15" x14ac:dyDescent="0.25"/>
  <cols>
    <col min="1" max="1" width="32.7109375" bestFit="1" customWidth="1"/>
    <col min="2" max="2" width="98.140625" bestFit="1" customWidth="1"/>
    <col min="3" max="3" width="41.7109375" bestFit="1" customWidth="1"/>
    <col min="4" max="4" width="8.7109375" style="8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WealthSelect Managed Active 10</v>
      </c>
      <c r="B2" t="s">
        <v>68</v>
      </c>
      <c r="C2" t="s">
        <v>36</v>
      </c>
      <c r="D2" s="8" t="s">
        <v>105</v>
      </c>
    </row>
    <row r="3" spans="1:5" x14ac:dyDescent="0.25">
      <c r="A3" t="str">
        <f>IF(Input!A4="","",Input!A4)</f>
        <v>WealthSelect Managed Active 3</v>
      </c>
      <c r="B3" t="s">
        <v>68</v>
      </c>
      <c r="C3" t="s">
        <v>37</v>
      </c>
      <c r="D3" s="8" t="s">
        <v>106</v>
      </c>
    </row>
    <row r="4" spans="1:5" x14ac:dyDescent="0.25">
      <c r="A4" t="str">
        <f>IF(Input!A5="","",Input!A5)</f>
        <v>WealthSelect Managed Active 4</v>
      </c>
      <c r="B4" t="s">
        <v>68</v>
      </c>
      <c r="C4" t="s">
        <v>38</v>
      </c>
      <c r="D4" s="8" t="s">
        <v>107</v>
      </c>
    </row>
    <row r="5" spans="1:5" x14ac:dyDescent="0.25">
      <c r="A5" t="str">
        <f>IF(Input!A6="","",Input!A6)</f>
        <v>WealthSelect Managed Active 5</v>
      </c>
      <c r="B5" t="s">
        <v>68</v>
      </c>
      <c r="C5" t="s">
        <v>39</v>
      </c>
      <c r="D5" s="8" t="s">
        <v>108</v>
      </c>
    </row>
    <row r="6" spans="1:5" x14ac:dyDescent="0.25">
      <c r="A6" t="str">
        <f>IF(Input!A7="","",Input!A7)</f>
        <v>WealthSelect Managed Active 6</v>
      </c>
      <c r="B6" t="s">
        <v>68</v>
      </c>
      <c r="C6" t="s">
        <v>40</v>
      </c>
      <c r="D6" s="8" t="s">
        <v>109</v>
      </c>
    </row>
    <row r="7" spans="1:5" x14ac:dyDescent="0.25">
      <c r="A7" t="str">
        <f>IF(Input!A8="","",Input!A8)</f>
        <v>WealthSelect Managed Active 7</v>
      </c>
      <c r="B7" t="s">
        <v>68</v>
      </c>
      <c r="C7" t="s">
        <v>41</v>
      </c>
      <c r="D7" s="8" t="s">
        <v>110</v>
      </c>
    </row>
    <row r="8" spans="1:5" x14ac:dyDescent="0.25">
      <c r="A8" t="str">
        <f>IF(Input!A9="","",Input!A9)</f>
        <v>WealthSelect Managed Active 8</v>
      </c>
      <c r="B8" t="s">
        <v>68</v>
      </c>
      <c r="C8" t="s">
        <v>42</v>
      </c>
      <c r="D8" s="8" t="s">
        <v>111</v>
      </c>
    </row>
    <row r="9" spans="1:5" x14ac:dyDescent="0.25">
      <c r="A9" t="str">
        <f>IF(Input!A10="","",Input!A10)</f>
        <v>WealthSelect Managed Active 9</v>
      </c>
      <c r="B9" t="s">
        <v>68</v>
      </c>
      <c r="C9" t="s">
        <v>43</v>
      </c>
      <c r="D9" s="8" t="s">
        <v>112</v>
      </c>
    </row>
    <row r="10" spans="1:5" x14ac:dyDescent="0.25">
      <c r="A10" t="str">
        <f>IF(Input!A11="","",Input!A11)</f>
        <v>WealthSelect Managed Blend 10</v>
      </c>
      <c r="B10" t="s">
        <v>68</v>
      </c>
      <c r="C10" t="s">
        <v>44</v>
      </c>
      <c r="D10" s="8" t="s">
        <v>113</v>
      </c>
    </row>
    <row r="11" spans="1:5" x14ac:dyDescent="0.25">
      <c r="A11" t="str">
        <f>IF(Input!A12="","",Input!A12)</f>
        <v>WealthSelect Managed Blend 3</v>
      </c>
      <c r="B11" t="s">
        <v>68</v>
      </c>
      <c r="C11" t="s">
        <v>45</v>
      </c>
      <c r="D11" s="8" t="s">
        <v>114</v>
      </c>
    </row>
    <row r="12" spans="1:5" x14ac:dyDescent="0.25">
      <c r="A12" t="str">
        <f>IF(Input!A13="","",Input!A13)</f>
        <v>WealthSelect Managed Blend 4</v>
      </c>
      <c r="B12" t="s">
        <v>68</v>
      </c>
      <c r="C12" t="s">
        <v>46</v>
      </c>
      <c r="D12" s="8" t="s">
        <v>115</v>
      </c>
    </row>
    <row r="13" spans="1:5" x14ac:dyDescent="0.25">
      <c r="A13" t="str">
        <f>IF(Input!A14="","",Input!A14)</f>
        <v>WealthSelect Managed Blend 5</v>
      </c>
      <c r="B13" t="s">
        <v>68</v>
      </c>
      <c r="C13" t="s">
        <v>47</v>
      </c>
      <c r="D13" s="8" t="s">
        <v>116</v>
      </c>
    </row>
    <row r="14" spans="1:5" x14ac:dyDescent="0.25">
      <c r="A14" t="str">
        <f>IF(Input!A15="","",Input!A15)</f>
        <v>WealthSelect Managed Blend 6</v>
      </c>
      <c r="B14" t="s">
        <v>68</v>
      </c>
      <c r="C14" t="s">
        <v>48</v>
      </c>
      <c r="D14" s="8" t="s">
        <v>117</v>
      </c>
    </row>
    <row r="15" spans="1:5" x14ac:dyDescent="0.25">
      <c r="A15" t="str">
        <f>IF(Input!A16="","",Input!A16)</f>
        <v>WealthSelect Managed Blend 7</v>
      </c>
      <c r="B15" t="s">
        <v>68</v>
      </c>
      <c r="C15" t="s">
        <v>49</v>
      </c>
      <c r="D15" s="8" t="s">
        <v>118</v>
      </c>
    </row>
    <row r="16" spans="1:5" x14ac:dyDescent="0.25">
      <c r="A16" t="str">
        <f>IF(Input!A17="","",Input!A17)</f>
        <v>WealthSelect Managed Blend 8</v>
      </c>
      <c r="B16" t="s">
        <v>68</v>
      </c>
      <c r="C16" t="s">
        <v>50</v>
      </c>
      <c r="D16" s="8" t="s">
        <v>119</v>
      </c>
    </row>
    <row r="17" spans="1:4" x14ac:dyDescent="0.25">
      <c r="A17" t="str">
        <f>IF(Input!A18="","",Input!A18)</f>
        <v>WealthSelect Managed Blend 9</v>
      </c>
      <c r="B17" t="s">
        <v>68</v>
      </c>
      <c r="C17" t="s">
        <v>51</v>
      </c>
      <c r="D17" s="8" t="s">
        <v>120</v>
      </c>
    </row>
    <row r="18" spans="1:4" x14ac:dyDescent="0.25">
      <c r="A18" t="str">
        <f>IF(Input!A19="","",Input!A19)</f>
        <v>WealthSelect Managed Passive 10</v>
      </c>
      <c r="B18" t="s">
        <v>68</v>
      </c>
      <c r="C18" t="s">
        <v>52</v>
      </c>
      <c r="D18" s="8" t="s">
        <v>121</v>
      </c>
    </row>
    <row r="19" spans="1:4" x14ac:dyDescent="0.25">
      <c r="A19" t="str">
        <f>IF(Input!A20="","",Input!A20)</f>
        <v>WealthSelect Managed Passive 3</v>
      </c>
      <c r="B19" t="s">
        <v>68</v>
      </c>
      <c r="C19" t="s">
        <v>53</v>
      </c>
      <c r="D19" s="8" t="s">
        <v>122</v>
      </c>
    </row>
    <row r="20" spans="1:4" x14ac:dyDescent="0.25">
      <c r="A20" t="str">
        <f>IF(Input!A21="","",Input!A21)</f>
        <v>WealthSelect Managed Passive 4P</v>
      </c>
      <c r="B20" t="s">
        <v>68</v>
      </c>
      <c r="C20" t="s">
        <v>54</v>
      </c>
    </row>
    <row r="21" spans="1:4" x14ac:dyDescent="0.25">
      <c r="A21" t="str">
        <f>IF(Input!A22="","",Input!A22)</f>
        <v>WealthSelect Managed Passive 5</v>
      </c>
      <c r="B21" t="s">
        <v>68</v>
      </c>
      <c r="C21" t="s">
        <v>55</v>
      </c>
      <c r="D21" s="8" t="s">
        <v>123</v>
      </c>
    </row>
    <row r="22" spans="1:4" x14ac:dyDescent="0.25">
      <c r="A22" t="str">
        <f>IF(Input!A23="","",Input!A23)</f>
        <v>WealthSelect Managed Passive 6</v>
      </c>
      <c r="B22" t="s">
        <v>68</v>
      </c>
      <c r="C22" t="s">
        <v>56</v>
      </c>
      <c r="D22" s="8" t="s">
        <v>124</v>
      </c>
    </row>
    <row r="23" spans="1:4" x14ac:dyDescent="0.25">
      <c r="A23" t="str">
        <f>IF(Input!A24="","",Input!A24)</f>
        <v>WealthSelect Managed Passive 7</v>
      </c>
      <c r="B23" t="s">
        <v>68</v>
      </c>
      <c r="C23" t="s">
        <v>57</v>
      </c>
      <c r="D23" s="8" t="s">
        <v>125</v>
      </c>
    </row>
    <row r="24" spans="1:4" x14ac:dyDescent="0.25">
      <c r="A24" t="str">
        <f>IF(Input!A25="","",Input!A25)</f>
        <v>WealthSelect Managed Passive 8</v>
      </c>
      <c r="B24" t="s">
        <v>68</v>
      </c>
      <c r="C24" t="s">
        <v>58</v>
      </c>
      <c r="D24" s="8" t="s">
        <v>126</v>
      </c>
    </row>
    <row r="25" spans="1:4" x14ac:dyDescent="0.25">
      <c r="A25" t="str">
        <f>IF(Input!A26="","",Input!A26)</f>
        <v>WealthSelect Managed Passive 9</v>
      </c>
      <c r="B25" t="s">
        <v>68</v>
      </c>
      <c r="C25" t="s">
        <v>59</v>
      </c>
      <c r="D25" s="8" t="s">
        <v>127</v>
      </c>
    </row>
    <row r="26" spans="1:4" x14ac:dyDescent="0.25">
      <c r="A26" t="str">
        <f>IF(Input!A27="","",Input!A27)</f>
        <v>WealthSelect Sustainable Active 10</v>
      </c>
      <c r="B26" t="s">
        <v>68</v>
      </c>
      <c r="C26" t="s">
        <v>60</v>
      </c>
      <c r="D26" s="8" t="s">
        <v>128</v>
      </c>
    </row>
    <row r="27" spans="1:4" x14ac:dyDescent="0.25">
      <c r="A27" t="str">
        <f>IF(Input!A28="","",Input!A28)</f>
        <v>WealthSelect Sustainable Active 3</v>
      </c>
      <c r="B27" t="s">
        <v>68</v>
      </c>
      <c r="C27" t="s">
        <v>61</v>
      </c>
      <c r="D27" s="8" t="s">
        <v>129</v>
      </c>
    </row>
    <row r="28" spans="1:4" x14ac:dyDescent="0.25">
      <c r="A28" t="str">
        <f>IF(Input!A29="","",Input!A29)</f>
        <v>WealthSelect Sustainable Active 4</v>
      </c>
      <c r="B28" t="s">
        <v>68</v>
      </c>
      <c r="C28" t="s">
        <v>62</v>
      </c>
      <c r="D28" s="8" t="s">
        <v>130</v>
      </c>
    </row>
    <row r="29" spans="1:4" x14ac:dyDescent="0.25">
      <c r="A29" t="str">
        <f>IF(Input!A30="","",Input!A30)</f>
        <v>WealthSelect Sustainable Active 5</v>
      </c>
      <c r="B29" t="s">
        <v>68</v>
      </c>
      <c r="C29" t="s">
        <v>63</v>
      </c>
      <c r="D29" s="8" t="s">
        <v>131</v>
      </c>
    </row>
    <row r="30" spans="1:4" x14ac:dyDescent="0.25">
      <c r="A30" t="str">
        <f>IF(Input!A31="","",Input!A31)</f>
        <v>WealthSelect Sustainable Active 6</v>
      </c>
      <c r="B30" t="s">
        <v>68</v>
      </c>
      <c r="C30" t="s">
        <v>64</v>
      </c>
      <c r="D30" s="8" t="s">
        <v>132</v>
      </c>
    </row>
    <row r="31" spans="1:4" x14ac:dyDescent="0.25">
      <c r="A31" t="str">
        <f>IF(Input!A32="","",Input!A32)</f>
        <v>WealthSelect Sustainable Active 7</v>
      </c>
      <c r="B31" t="s">
        <v>68</v>
      </c>
      <c r="C31" t="s">
        <v>65</v>
      </c>
      <c r="D31" s="8" t="s">
        <v>133</v>
      </c>
    </row>
    <row r="32" spans="1:4" x14ac:dyDescent="0.25">
      <c r="A32" t="str">
        <f>IF(Input!A33="","",Input!A33)</f>
        <v>WealthSelect Sustainable Active 8</v>
      </c>
      <c r="B32" t="s">
        <v>68</v>
      </c>
      <c r="C32" t="s">
        <v>66</v>
      </c>
      <c r="D32" s="8" t="s">
        <v>134</v>
      </c>
    </row>
    <row r="33" spans="1:4" x14ac:dyDescent="0.25">
      <c r="A33" t="str">
        <f>IF(Input!A34="","",Input!A34)</f>
        <v>WealthSelect Sustainable Active 9</v>
      </c>
      <c r="B33" t="s">
        <v>68</v>
      </c>
      <c r="C33" t="s">
        <v>67</v>
      </c>
      <c r="D33" s="8" t="s">
        <v>135</v>
      </c>
    </row>
    <row r="34" spans="1:4" x14ac:dyDescent="0.25">
      <c r="A34" t="str">
        <f>IF(Input!A35="","",Input!A35)</f>
        <v/>
      </c>
    </row>
    <row r="35" spans="1:4" x14ac:dyDescent="0.25">
      <c r="A35" t="str">
        <f>IF(Input!A36="","",Input!A36)</f>
        <v/>
      </c>
    </row>
    <row r="36" spans="1:4" x14ac:dyDescent="0.25">
      <c r="A36" t="str">
        <f>IF(Input!A37="","",Input!A37)</f>
        <v/>
      </c>
    </row>
    <row r="37" spans="1:4" x14ac:dyDescent="0.25">
      <c r="A37" t="str">
        <f>IF(Input!A38="","",Input!A38)</f>
        <v/>
      </c>
    </row>
    <row r="38" spans="1:4" x14ac:dyDescent="0.25">
      <c r="A38" t="str">
        <f>IF(Input!A39="","",Input!A39)</f>
        <v/>
      </c>
    </row>
    <row r="39" spans="1:4" x14ac:dyDescent="0.25">
      <c r="A39" t="str">
        <f>IF(Input!A40="","",Input!A40)</f>
        <v/>
      </c>
    </row>
    <row r="40" spans="1:4" x14ac:dyDescent="0.25">
      <c r="A40" t="str">
        <f>IF(Input!A41="","",Input!A41)</f>
        <v/>
      </c>
    </row>
    <row r="41" spans="1:4" x14ac:dyDescent="0.25">
      <c r="A41" t="str">
        <f>IF(Input!A42="","",Input!A42)</f>
        <v/>
      </c>
    </row>
    <row r="42" spans="1:4" x14ac:dyDescent="0.25">
      <c r="A42" t="str">
        <f>IF(Input!A43="","",Input!A43)</f>
        <v/>
      </c>
    </row>
    <row r="43" spans="1:4" x14ac:dyDescent="0.25">
      <c r="A43" t="str">
        <f>IF(Input!A44="","",Input!A44)</f>
        <v/>
      </c>
    </row>
    <row r="44" spans="1:4" x14ac:dyDescent="0.25">
      <c r="A44" t="str">
        <f>IF(Input!A45="","",Input!A45)</f>
        <v/>
      </c>
    </row>
    <row r="45" spans="1:4" x14ac:dyDescent="0.25">
      <c r="A45" t="str">
        <f>IF(Input!A46="","",Input!A46)</f>
        <v/>
      </c>
    </row>
    <row r="46" spans="1:4" x14ac:dyDescent="0.25">
      <c r="A46" t="str">
        <f>IF(Input!A47="","",Input!A47)</f>
        <v/>
      </c>
    </row>
    <row r="47" spans="1:4" x14ac:dyDescent="0.25">
      <c r="A47" t="str">
        <f>IF(Input!A48="","",Input!A48)</f>
        <v/>
      </c>
    </row>
    <row r="48" spans="1:4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WealthSelect Managed Active 10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WealthSelect Managed Active 3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WealthSelect Managed Active 4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WealthSelect Managed Active 5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WealthSelect Managed Active 6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WealthSelect Managed Active 7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>WealthSelect Managed Active 8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25">
      <c r="A9" t="str">
        <f>IF(Input!A10="","",Input!A10)</f>
        <v>WealthSelect Managed Active 9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25">
      <c r="A10" t="str">
        <f>IF(Input!A11="","",Input!A11)</f>
        <v>WealthSelect Managed Blend 10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25">
      <c r="A11" t="str">
        <f>IF(Input!A12="","",Input!A12)</f>
        <v>WealthSelect Managed Blend 3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25">
      <c r="A12" t="str">
        <f>IF(Input!A13="","",Input!A13)</f>
        <v>WealthSelect Managed Blend 4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25">
      <c r="A13" t="str">
        <f>IF(Input!A14="","",Input!A14)</f>
        <v>WealthSelect Managed Blend 5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25">
      <c r="A14" t="str">
        <f>IF(Input!A15="","",Input!A15)</f>
        <v>WealthSelect Managed Blend 6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25">
      <c r="A15" t="str">
        <f>IF(Input!A16="","",Input!A16)</f>
        <v>WealthSelect Managed Blend 7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25">
      <c r="A16" t="str">
        <f>IF(Input!A17="","",Input!A17)</f>
        <v>WealthSelect Managed Blend 8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25">
      <c r="A17" t="str">
        <f>IF(Input!A18="","",Input!A18)</f>
        <v>WealthSelect Managed Blend 9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25">
      <c r="A18" t="str">
        <f>IF(Input!A19="","",Input!A19)</f>
        <v>WealthSelect Managed Passive 10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25">
      <c r="A19" t="str">
        <f>IF(Input!A20="","",Input!A20)</f>
        <v>WealthSelect Managed Passive 3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25">
      <c r="A20" t="str">
        <f>IF(Input!A21="","",Input!A21)</f>
        <v>WealthSelect Managed Passive 4P</v>
      </c>
      <c r="B20" s="1">
        <f>IF(A20="","",EOMONTH(DATE(YEAR(IF(A20="","",'Additional Information'!B20)),MONTH(IF(A20="","",'Additional Information'!B20)),DAY(IF(A20="","",'Additional Information'!B20))),0))</f>
        <v>31</v>
      </c>
    </row>
    <row r="21" spans="1:2" x14ac:dyDescent="0.25">
      <c r="A21" t="str">
        <f>IF(Input!A22="","",Input!A22)</f>
        <v>WealthSelect Managed Passive 5</v>
      </c>
      <c r="B21" s="1">
        <f>IF(A21="","",EOMONTH(DATE(YEAR(IF(A21="","",'Additional Information'!B21)),MONTH(IF(A21="","",'Additional Information'!B21)),DAY(IF(A21="","",'Additional Information'!B21))),0))</f>
        <v>31</v>
      </c>
    </row>
    <row r="22" spans="1:2" x14ac:dyDescent="0.25">
      <c r="A22" t="str">
        <f>IF(Input!A23="","",Input!A23)</f>
        <v>WealthSelect Managed Passive 6</v>
      </c>
      <c r="B22" s="1">
        <f>IF(A22="","",EOMONTH(DATE(YEAR(IF(A22="","",'Additional Information'!B22)),MONTH(IF(A22="","",'Additional Information'!B22)),DAY(IF(A22="","",'Additional Information'!B22))),0))</f>
        <v>31</v>
      </c>
    </row>
    <row r="23" spans="1:2" x14ac:dyDescent="0.25">
      <c r="A23" t="str">
        <f>IF(Input!A24="","",Input!A24)</f>
        <v>WealthSelect Managed Passive 7</v>
      </c>
      <c r="B23" s="1">
        <f>IF(A23="","",EOMONTH(DATE(YEAR(IF(A23="","",'Additional Information'!B23)),MONTH(IF(A23="","",'Additional Information'!B23)),DAY(IF(A23="","",'Additional Information'!B23))),0))</f>
        <v>31</v>
      </c>
    </row>
    <row r="24" spans="1:2" x14ac:dyDescent="0.25">
      <c r="A24" t="str">
        <f>IF(Input!A25="","",Input!A25)</f>
        <v>WealthSelect Managed Passive 8</v>
      </c>
      <c r="B24" s="1">
        <f>IF(A24="","",EOMONTH(DATE(YEAR(IF(A24="","",'Additional Information'!B24)),MONTH(IF(A24="","",'Additional Information'!B24)),DAY(IF(A24="","",'Additional Information'!B24))),0))</f>
        <v>31</v>
      </c>
    </row>
    <row r="25" spans="1:2" x14ac:dyDescent="0.25">
      <c r="A25" t="str">
        <f>IF(Input!A26="","",Input!A26)</f>
        <v>WealthSelect Managed Passive 9</v>
      </c>
      <c r="B25" s="1">
        <f>IF(A25="","",EOMONTH(DATE(YEAR(IF(A25="","",'Additional Information'!B25)),MONTH(IF(A25="","",'Additional Information'!B25)),DAY(IF(A25="","",'Additional Information'!B25))),0))</f>
        <v>31</v>
      </c>
    </row>
    <row r="26" spans="1:2" x14ac:dyDescent="0.25">
      <c r="A26" t="str">
        <f>IF(Input!A27="","",Input!A27)</f>
        <v>WealthSelect Sustainable Active 10</v>
      </c>
      <c r="B26" s="1">
        <f>IF(A26="","",EOMONTH(DATE(YEAR(IF(A26="","",'Additional Information'!B26)),MONTH(IF(A26="","",'Additional Information'!B26)),DAY(IF(A26="","",'Additional Information'!B26))),0))</f>
        <v>31</v>
      </c>
    </row>
    <row r="27" spans="1:2" x14ac:dyDescent="0.25">
      <c r="A27" t="str">
        <f>IF(Input!A28="","",Input!A28)</f>
        <v>WealthSelect Sustainable Active 3</v>
      </c>
      <c r="B27" s="1">
        <f>IF(A27="","",EOMONTH(DATE(YEAR(IF(A27="","",'Additional Information'!B27)),MONTH(IF(A27="","",'Additional Information'!B27)),DAY(IF(A27="","",'Additional Information'!B27))),0))</f>
        <v>31</v>
      </c>
    </row>
    <row r="28" spans="1:2" x14ac:dyDescent="0.25">
      <c r="A28" t="str">
        <f>IF(Input!A29="","",Input!A29)</f>
        <v>WealthSelect Sustainable Active 4</v>
      </c>
      <c r="B28" s="1">
        <f>IF(A28="","",EOMONTH(DATE(YEAR(IF(A28="","",'Additional Information'!B28)),MONTH(IF(A28="","",'Additional Information'!B28)),DAY(IF(A28="","",'Additional Information'!B28))),0))</f>
        <v>31</v>
      </c>
    </row>
    <row r="29" spans="1:2" x14ac:dyDescent="0.25">
      <c r="A29" t="str">
        <f>IF(Input!A30="","",Input!A30)</f>
        <v>WealthSelect Sustainable Active 5</v>
      </c>
      <c r="B29" s="1">
        <f>IF(A29="","",EOMONTH(DATE(YEAR(IF(A29="","",'Additional Information'!B29)),MONTH(IF(A29="","",'Additional Information'!B29)),DAY(IF(A29="","",'Additional Information'!B29))),0))</f>
        <v>31</v>
      </c>
    </row>
    <row r="30" spans="1:2" x14ac:dyDescent="0.25">
      <c r="A30" t="str">
        <f>IF(Input!A31="","",Input!A31)</f>
        <v>WealthSelect Sustainable Active 6</v>
      </c>
      <c r="B30" s="1">
        <f>IF(A30="","",EOMONTH(DATE(YEAR(IF(A30="","",'Additional Information'!B30)),MONTH(IF(A30="","",'Additional Information'!B30)),DAY(IF(A30="","",'Additional Information'!B30))),0))</f>
        <v>31</v>
      </c>
    </row>
    <row r="31" spans="1:2" x14ac:dyDescent="0.25">
      <c r="A31" t="str">
        <f>IF(Input!A32="","",Input!A32)</f>
        <v>WealthSelect Sustainable Active 7</v>
      </c>
      <c r="B31" s="1">
        <f>IF(A31="","",EOMONTH(DATE(YEAR(IF(A31="","",'Additional Information'!B31)),MONTH(IF(A31="","",'Additional Information'!B31)),DAY(IF(A31="","",'Additional Information'!B31))),0))</f>
        <v>31</v>
      </c>
    </row>
    <row r="32" spans="1:2" x14ac:dyDescent="0.25">
      <c r="A32" t="str">
        <f>IF(Input!A33="","",Input!A33)</f>
        <v>WealthSelect Sustainable Active 8</v>
      </c>
      <c r="B32" s="1">
        <f>IF(A32="","",EOMONTH(DATE(YEAR(IF(A32="","",'Additional Information'!B32)),MONTH(IF(A32="","",'Additional Information'!B32)),DAY(IF(A32="","",'Additional Information'!B32))),0))</f>
        <v>31</v>
      </c>
    </row>
    <row r="33" spans="1:2" x14ac:dyDescent="0.25">
      <c r="A33" t="str">
        <f>IF(Input!A34="","",Input!A34)</f>
        <v>WealthSelect Sustainable Active 9</v>
      </c>
      <c r="B33" s="1">
        <f>IF(A33="","",EOMONTH(DATE(YEAR(IF(A33="","",'Additional Information'!B33)),MONTH(IF(A33="","",'Additional Information'!B33)),DAY(IF(A33="","",'Additional Information'!B33))),0))</f>
        <v>31</v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WealthSelect Managed Active 10</v>
      </c>
      <c r="C2" t="str">
        <f>IF(A2="","",IF(OR('Additional Information'!G2="",'Additional Information'!G2="-"),"",'Additional Information'!G2))</f>
        <v/>
      </c>
      <c r="D2" s="5">
        <f>IF(A2="","",SUM('Additional Information'!C2,'Additional Information'!D2))</f>
        <v>0</v>
      </c>
      <c r="E2">
        <f>IF(A2="","",SUM('Additional Information'!C2))</f>
        <v>0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WealthSelect Managed Active 3</v>
      </c>
      <c r="C3" t="str">
        <f>IF(A3="","",IF(OR('Additional Information'!G3="",'Additional Information'!G3="-"),"",'Additional Information'!G3))</f>
        <v/>
      </c>
      <c r="D3" s="5">
        <f>IF(A3="","",SUM('Additional Information'!C3,'Additional Information'!D3))</f>
        <v>0</v>
      </c>
      <c r="E3">
        <f>IF(A3="","",SUM('Additional Information'!C3))</f>
        <v>0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WealthSelect Managed Active 4</v>
      </c>
      <c r="C4" t="str">
        <f>IF(A4="","",IF(OR('Additional Information'!G4="",'Additional Information'!G4="-"),"",'Additional Information'!G4))</f>
        <v/>
      </c>
      <c r="D4" s="5">
        <f>IF(A4="","",SUM('Additional Information'!C4,'Additional Information'!D4))</f>
        <v>0</v>
      </c>
      <c r="E4">
        <f>IF(A4="","",SUM('Additional Information'!C4))</f>
        <v>0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WealthSelect Managed Active 5</v>
      </c>
      <c r="C5" t="str">
        <f>IF(A5="","",IF(OR('Additional Information'!G5="",'Additional Information'!G5="-"),"",'Additional Information'!G5))</f>
        <v/>
      </c>
      <c r="D5" s="5">
        <f>IF(A5="","",SUM('Additional Information'!C5,'Additional Information'!D5))</f>
        <v>0</v>
      </c>
      <c r="E5">
        <f>IF(A5="","",SUM('Additional Information'!C5))</f>
        <v>0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WealthSelect Managed Active 6</v>
      </c>
      <c r="C6" t="str">
        <f>IF(A6="","",IF(OR('Additional Information'!G6="",'Additional Information'!G6="-"),"",'Additional Information'!G6))</f>
        <v/>
      </c>
      <c r="D6" s="5">
        <f>IF(A6="","",SUM('Additional Information'!C6,'Additional Information'!D6))</f>
        <v>0</v>
      </c>
      <c r="E6">
        <f>IF(A6="","",SUM('Additional Information'!C6))</f>
        <v>0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>WealthSelect Managed Active 7</v>
      </c>
      <c r="C7" t="str">
        <f>IF(A7="","",IF(OR('Additional Information'!G7="",'Additional Information'!G7="-"),"",'Additional Information'!G7))</f>
        <v/>
      </c>
      <c r="D7" s="5">
        <f>IF(A7="","",SUM('Additional Information'!C7,'Additional Information'!D7))</f>
        <v>0</v>
      </c>
      <c r="E7">
        <f>IF(A7="","",SUM('Additional Information'!C7))</f>
        <v>0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>WealthSelect Managed Active 8</v>
      </c>
      <c r="C8" t="str">
        <f>IF(A8="","",IF(OR('Additional Information'!G8="",'Additional Information'!G8="-"),"",'Additional Information'!G8))</f>
        <v/>
      </c>
      <c r="D8" s="5">
        <f>IF(A8="","",SUM('Additional Information'!C8,'Additional Information'!D8))</f>
        <v>0</v>
      </c>
      <c r="E8">
        <f>IF(A8="","",SUM('Additional Information'!C8))</f>
        <v>0</v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>WealthSelect Managed Active 9</v>
      </c>
      <c r="C9" t="str">
        <f>IF(A9="","",IF(OR('Additional Information'!G9="",'Additional Information'!G9="-"),"",'Additional Information'!G9))</f>
        <v/>
      </c>
      <c r="D9" s="5">
        <f>IF(A9="","",SUM('Additional Information'!C9,'Additional Information'!D9))</f>
        <v>0</v>
      </c>
      <c r="E9">
        <f>IF(A9="","",SUM('Additional Information'!C9))</f>
        <v>0</v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>WealthSelect Managed Blend 10</v>
      </c>
      <c r="C10" t="str">
        <f>IF(A10="","",IF(OR('Additional Information'!G10="",'Additional Information'!G10="-"),"",'Additional Information'!G10))</f>
        <v/>
      </c>
      <c r="D10" s="5">
        <f>IF(A10="","",SUM('Additional Information'!C10,'Additional Information'!D10))</f>
        <v>0</v>
      </c>
      <c r="E10">
        <f>IF(A10="","",SUM('Additional Information'!C10))</f>
        <v>0</v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>WealthSelect Managed Blend 3</v>
      </c>
      <c r="C11" t="str">
        <f>IF(A11="","",IF(OR('Additional Information'!G11="",'Additional Information'!G11="-"),"",'Additional Information'!G11))</f>
        <v/>
      </c>
      <c r="D11" s="5">
        <f>IF(A11="","",SUM('Additional Information'!C11,'Additional Information'!D11))</f>
        <v>0</v>
      </c>
      <c r="E11">
        <f>IF(A11="","",SUM('Additional Information'!C11))</f>
        <v>0</v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>WealthSelect Managed Blend 4</v>
      </c>
      <c r="C12" t="str">
        <f>IF(A12="","",IF(OR('Additional Information'!G12="",'Additional Information'!G12="-"),"",'Additional Information'!G12))</f>
        <v/>
      </c>
      <c r="D12" s="5">
        <f>IF(A12="","",SUM('Additional Information'!C12,'Additional Information'!D12))</f>
        <v>0</v>
      </c>
      <c r="E12">
        <f>IF(A12="","",SUM('Additional Information'!C12))</f>
        <v>0</v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>WealthSelect Managed Blend 5</v>
      </c>
      <c r="C13" t="str">
        <f>IF(A13="","",IF(OR('Additional Information'!G13="",'Additional Information'!G13="-"),"",'Additional Information'!G13))</f>
        <v/>
      </c>
      <c r="D13" s="5">
        <f>IF(A13="","",SUM('Additional Information'!C13,'Additional Information'!D13))</f>
        <v>0</v>
      </c>
      <c r="E13">
        <f>IF(A13="","",SUM('Additional Information'!C13))</f>
        <v>0</v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>WealthSelect Managed Blend 6</v>
      </c>
      <c r="C14" t="str">
        <f>IF(A14="","",IF(OR('Additional Information'!G14="",'Additional Information'!G14="-"),"",'Additional Information'!G14))</f>
        <v/>
      </c>
      <c r="D14" s="5">
        <f>IF(A14="","",SUM('Additional Information'!C14,'Additional Information'!D14))</f>
        <v>0</v>
      </c>
      <c r="E14">
        <f>IF(A14="","",SUM('Additional Information'!C14))</f>
        <v>0</v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>WealthSelect Managed Blend 7</v>
      </c>
      <c r="C15" t="str">
        <f>IF(A15="","",IF(OR('Additional Information'!G15="",'Additional Information'!G15="-"),"",'Additional Information'!G15))</f>
        <v/>
      </c>
      <c r="D15" s="5">
        <f>IF(A15="","",SUM('Additional Information'!C15,'Additional Information'!D15))</f>
        <v>0</v>
      </c>
      <c r="E15">
        <f>IF(A15="","",SUM('Additional Information'!C15))</f>
        <v>0</v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>WealthSelect Managed Blend 8</v>
      </c>
      <c r="C16" t="str">
        <f>IF(A16="","",IF(OR('Additional Information'!G16="",'Additional Information'!G16="-"),"",'Additional Information'!G16))</f>
        <v/>
      </c>
      <c r="D16" s="5">
        <f>IF(A16="","",SUM('Additional Information'!C16,'Additional Information'!D16))</f>
        <v>0</v>
      </c>
      <c r="E16">
        <f>IF(A16="","",SUM('Additional Information'!C16))</f>
        <v>0</v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>WealthSelect Managed Blend 9</v>
      </c>
      <c r="C17" t="str">
        <f>IF(A17="","",IF(OR('Additional Information'!G17="",'Additional Information'!G17="-"),"",'Additional Information'!G17))</f>
        <v/>
      </c>
      <c r="D17" s="5">
        <f>IF(A17="","",SUM('Additional Information'!C17,'Additional Information'!D17))</f>
        <v>0</v>
      </c>
      <c r="E17">
        <f>IF(A17="","",SUM('Additional Information'!C17))</f>
        <v>0</v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>WealthSelect Managed Passive 10</v>
      </c>
      <c r="C18" t="str">
        <f>IF(A18="","",IF(OR('Additional Information'!G18="",'Additional Information'!G18="-"),"",'Additional Information'!G18))</f>
        <v/>
      </c>
      <c r="D18" s="5">
        <f>IF(A18="","",SUM('Additional Information'!C18,'Additional Information'!D18))</f>
        <v>0</v>
      </c>
      <c r="E18">
        <f>IF(A18="","",SUM('Additional Information'!C18))</f>
        <v>0</v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>WealthSelect Managed Passive 3</v>
      </c>
      <c r="C19" t="str">
        <f>IF(A19="","",IF(OR('Additional Information'!G19="",'Additional Information'!G19="-"),"",'Additional Information'!G19))</f>
        <v/>
      </c>
      <c r="D19" s="5">
        <f>IF(A19="","",SUM('Additional Information'!C19,'Additional Information'!D19))</f>
        <v>0</v>
      </c>
      <c r="E19">
        <f>IF(A19="","",SUM('Additional Information'!C19))</f>
        <v>0</v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>WealthSelect Managed Passive 4P</v>
      </c>
      <c r="C20" t="str">
        <f>IF(A20="","",IF(OR('Additional Information'!G20="",'Additional Information'!G20="-"),"",'Additional Information'!G20))</f>
        <v/>
      </c>
      <c r="D20" s="5">
        <f>IF(A20="","",SUM('Additional Information'!C20,'Additional Information'!D20))</f>
        <v>0</v>
      </c>
      <c r="E20">
        <f>IF(A20="","",SUM('Additional Information'!C20))</f>
        <v>0</v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>WealthSelect Managed Passive 5</v>
      </c>
      <c r="C21" t="str">
        <f>IF(A21="","",IF(OR('Additional Information'!G21="",'Additional Information'!G21="-"),"",'Additional Information'!G21))</f>
        <v/>
      </c>
      <c r="D21" s="5">
        <f>IF(A21="","",SUM('Additional Information'!C21,'Additional Information'!D21))</f>
        <v>0</v>
      </c>
      <c r="E21">
        <f>IF(A21="","",SUM('Additional Information'!C21))</f>
        <v>0</v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>WealthSelect Managed Passive 6</v>
      </c>
      <c r="C22" t="str">
        <f>IF(A22="","",IF(OR('Additional Information'!G22="",'Additional Information'!G22="-"),"",'Additional Information'!G22))</f>
        <v/>
      </c>
      <c r="D22" s="5">
        <f>IF(A22="","",SUM('Additional Information'!C22,'Additional Information'!D22))</f>
        <v>0</v>
      </c>
      <c r="E22">
        <f>IF(A22="","",SUM('Additional Information'!C22))</f>
        <v>0</v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>WealthSelect Managed Passive 7</v>
      </c>
      <c r="C23" t="str">
        <f>IF(A23="","",IF(OR('Additional Information'!G23="",'Additional Information'!G23="-"),"",'Additional Information'!G23))</f>
        <v/>
      </c>
      <c r="D23" s="5">
        <f>IF(A23="","",SUM('Additional Information'!C23,'Additional Information'!D23))</f>
        <v>0</v>
      </c>
      <c r="E23">
        <f>IF(A23="","",SUM('Additional Information'!C23))</f>
        <v>0</v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>WealthSelect Managed Passive 8</v>
      </c>
      <c r="C24" t="str">
        <f>IF(A24="","",IF(OR('Additional Information'!G24="",'Additional Information'!G24="-"),"",'Additional Information'!G24))</f>
        <v/>
      </c>
      <c r="D24" s="5">
        <f>IF(A24="","",SUM('Additional Information'!C24,'Additional Information'!D24))</f>
        <v>0</v>
      </c>
      <c r="E24">
        <f>IF(A24="","",SUM('Additional Information'!C24))</f>
        <v>0</v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>WealthSelect Managed Passive 9</v>
      </c>
      <c r="C25" t="str">
        <f>IF(A25="","",IF(OR('Additional Information'!G25="",'Additional Information'!G25="-"),"",'Additional Information'!G25))</f>
        <v/>
      </c>
      <c r="D25" s="5">
        <f>IF(A25="","",SUM('Additional Information'!C25,'Additional Information'!D25))</f>
        <v>0</v>
      </c>
      <c r="E25">
        <f>IF(A25="","",SUM('Additional Information'!C25))</f>
        <v>0</v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>WealthSelect Sustainable Active 10</v>
      </c>
      <c r="C26" t="str">
        <f>IF(A26="","",IF(OR('Additional Information'!G26="",'Additional Information'!G26="-"),"",'Additional Information'!G26))</f>
        <v/>
      </c>
      <c r="D26" s="5">
        <f>IF(A26="","",SUM('Additional Information'!C26,'Additional Information'!D26))</f>
        <v>0</v>
      </c>
      <c r="E26">
        <f>IF(A26="","",SUM('Additional Information'!C26))</f>
        <v>0</v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>WealthSelect Sustainable Active 3</v>
      </c>
      <c r="C27" t="str">
        <f>IF(A27="","",IF(OR('Additional Information'!G27="",'Additional Information'!G27="-"),"",'Additional Information'!G27))</f>
        <v/>
      </c>
      <c r="D27" s="5">
        <f>IF(A27="","",SUM('Additional Information'!C27,'Additional Information'!D27))</f>
        <v>0</v>
      </c>
      <c r="E27">
        <f>IF(A27="","",SUM('Additional Information'!C27))</f>
        <v>0</v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>WealthSelect Sustainable Active 4</v>
      </c>
      <c r="C28" t="str">
        <f>IF(A28="","",IF(OR('Additional Information'!G28="",'Additional Information'!G28="-"),"",'Additional Information'!G28))</f>
        <v/>
      </c>
      <c r="D28" s="5">
        <f>IF(A28="","",SUM('Additional Information'!C28,'Additional Information'!D28))</f>
        <v>0</v>
      </c>
      <c r="E28">
        <f>IF(A28="","",SUM('Additional Information'!C28))</f>
        <v>0</v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>WealthSelect Sustainable Active 5</v>
      </c>
      <c r="C29" t="str">
        <f>IF(A29="","",IF(OR('Additional Information'!G29="",'Additional Information'!G29="-"),"",'Additional Information'!G29))</f>
        <v/>
      </c>
      <c r="D29" s="5">
        <f>IF(A29="","",SUM('Additional Information'!C29,'Additional Information'!D29))</f>
        <v>0</v>
      </c>
      <c r="E29">
        <f>IF(A29="","",SUM('Additional Information'!C29))</f>
        <v>0</v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>WealthSelect Sustainable Active 6</v>
      </c>
      <c r="C30" t="str">
        <f>IF(A30="","",IF(OR('Additional Information'!G30="",'Additional Information'!G30="-"),"",'Additional Information'!G30))</f>
        <v/>
      </c>
      <c r="D30" s="5">
        <f>IF(A30="","",SUM('Additional Information'!C30,'Additional Information'!D30))</f>
        <v>0</v>
      </c>
      <c r="E30">
        <f>IF(A30="","",SUM('Additional Information'!C30))</f>
        <v>0</v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>WealthSelect Sustainable Active 7</v>
      </c>
      <c r="C31" t="str">
        <f>IF(A31="","",IF(OR('Additional Information'!G31="",'Additional Information'!G31="-"),"",'Additional Information'!G31))</f>
        <v/>
      </c>
      <c r="D31" s="5">
        <f>IF(A31="","",SUM('Additional Information'!C31,'Additional Information'!D31))</f>
        <v>0</v>
      </c>
      <c r="E31">
        <f>IF(A31="","",SUM('Additional Information'!C31))</f>
        <v>0</v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>WealthSelect Sustainable Active 8</v>
      </c>
      <c r="C32" t="str">
        <f>IF(A32="","",IF(OR('Additional Information'!G32="",'Additional Information'!G32="-"),"",'Additional Information'!G32))</f>
        <v/>
      </c>
      <c r="D32" s="5">
        <f>IF(A32="","",SUM('Additional Information'!C32,'Additional Information'!D32))</f>
        <v>0</v>
      </c>
      <c r="E32">
        <f>IF(A32="","",SUM('Additional Information'!C32))</f>
        <v>0</v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>WealthSelect Sustainable Active 9</v>
      </c>
      <c r="C33" t="str">
        <f>IF(A33="","",IF(OR('Additional Information'!G33="",'Additional Information'!G33="-"),"",'Additional Information'!G33))</f>
        <v/>
      </c>
      <c r="D33" s="5">
        <f>IF(A33="","",SUM('Additional Information'!C33,'Additional Information'!D33))</f>
        <v>0</v>
      </c>
      <c r="E33">
        <f>IF(A33="","",SUM('Additional Information'!C33))</f>
        <v>0</v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WealthSelect Managed Active 10</v>
      </c>
      <c r="B2">
        <f>IF(A2="","",SUM('Asset Allocation'!F2,'Asset Allocation'!G2,'Asset Allocation'!H2,'Asset Allocation'!I2,'Asset Allocation'!J2,'Asset Allocation'!K2))</f>
        <v>0</v>
      </c>
      <c r="C2">
        <f>IF(A2="","",SUM('Asset Allocation'!C2))</f>
        <v>0</v>
      </c>
      <c r="D2">
        <f>IF(A2="","",SUM('Asset Allocation'!D2))</f>
        <v>0</v>
      </c>
      <c r="F2">
        <f>IF(A2="","",SUM('Asset Allocation'!E2))</f>
        <v>0</v>
      </c>
      <c r="G2">
        <f>IF(A2="","",SUM('Asset Allocation'!B2))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WealthSelect Managed Active 3</v>
      </c>
      <c r="B3">
        <f>IF(A3="","",SUM('Asset Allocation'!F3,'Asset Allocation'!G3,'Asset Allocation'!H3,'Asset Allocation'!I3,'Asset Allocation'!J3,'Asset Allocation'!K3))</f>
        <v>0</v>
      </c>
      <c r="C3">
        <f>IF(A3="","",SUM('Asset Allocation'!C3))</f>
        <v>0</v>
      </c>
      <c r="D3">
        <f>IF(A3="","",SUM('Asset Allocation'!D3))</f>
        <v>0</v>
      </c>
      <c r="F3">
        <f>IF(A3="","",SUM('Asset Allocation'!E3))</f>
        <v>0</v>
      </c>
      <c r="G3">
        <f>IF(A3="","",SUM('Asset Allocation'!B3))</f>
        <v>0</v>
      </c>
      <c r="H3">
        <f t="shared" si="0"/>
        <v>1</v>
      </c>
    </row>
    <row r="4" spans="1:8" x14ac:dyDescent="0.25">
      <c r="A4" t="str">
        <f>IF(Input!A5="","",Input!A5)</f>
        <v>WealthSelect Managed Active 4</v>
      </c>
      <c r="B4">
        <f>IF(A4="","",SUM('Asset Allocation'!F4,'Asset Allocation'!G4,'Asset Allocation'!H4,'Asset Allocation'!I4,'Asset Allocation'!J4,'Asset Allocation'!K4))</f>
        <v>0</v>
      </c>
      <c r="C4">
        <f>IF(A4="","",SUM('Asset Allocation'!C4))</f>
        <v>0</v>
      </c>
      <c r="D4">
        <f>IF(A4="","",SUM('Asset Allocation'!D4))</f>
        <v>0</v>
      </c>
      <c r="F4">
        <f>IF(A4="","",SUM('Asset Allocation'!E4))</f>
        <v>0</v>
      </c>
      <c r="G4">
        <f>IF(A4="","",SUM('Asset Allocation'!B4))</f>
        <v>0</v>
      </c>
      <c r="H4">
        <f t="shared" si="0"/>
        <v>1</v>
      </c>
    </row>
    <row r="5" spans="1:8" x14ac:dyDescent="0.25">
      <c r="A5" t="str">
        <f>IF(Input!A6="","",Input!A6)</f>
        <v>WealthSelect Managed Active 5</v>
      </c>
      <c r="B5">
        <f>IF(A5="","",SUM('Asset Allocation'!F5,'Asset Allocation'!G5,'Asset Allocation'!H5,'Asset Allocation'!I5,'Asset Allocation'!J5,'Asset Allocation'!K5))</f>
        <v>0</v>
      </c>
      <c r="C5">
        <f>IF(A5="","",SUM('Asset Allocation'!C5))</f>
        <v>0</v>
      </c>
      <c r="D5">
        <f>IF(A5="","",SUM('Asset Allocation'!D5))</f>
        <v>0</v>
      </c>
      <c r="F5">
        <f>IF(A5="","",SUM('Asset Allocation'!E5))</f>
        <v>0</v>
      </c>
      <c r="G5">
        <f>IF(A5="","",SUM('Asset Allocation'!B5))</f>
        <v>0</v>
      </c>
      <c r="H5">
        <f t="shared" si="0"/>
        <v>1</v>
      </c>
    </row>
    <row r="6" spans="1:8" x14ac:dyDescent="0.25">
      <c r="A6" t="str">
        <f>IF(Input!A7="","",Input!A7)</f>
        <v>WealthSelect Managed Active 6</v>
      </c>
      <c r="B6">
        <f>IF(A6="","",SUM('Asset Allocation'!F6,'Asset Allocation'!G6,'Asset Allocation'!H6,'Asset Allocation'!I6,'Asset Allocation'!J6,'Asset Allocation'!K6))</f>
        <v>0</v>
      </c>
      <c r="C6">
        <f>IF(A6="","",SUM('Asset Allocation'!C6))</f>
        <v>0</v>
      </c>
      <c r="D6">
        <f>IF(A6="","",SUM('Asset Allocation'!D6))</f>
        <v>0</v>
      </c>
      <c r="F6">
        <f>IF(A6="","",SUM('Asset Allocation'!E6))</f>
        <v>0</v>
      </c>
      <c r="G6">
        <f>IF(A6="","",SUM('Asset Allocation'!B6))</f>
        <v>0</v>
      </c>
      <c r="H6">
        <f t="shared" si="0"/>
        <v>1</v>
      </c>
    </row>
    <row r="7" spans="1:8" x14ac:dyDescent="0.25">
      <c r="A7" t="str">
        <f>IF(Input!A8="","",Input!A8)</f>
        <v>WealthSelect Managed Active 7</v>
      </c>
      <c r="B7">
        <f>IF(A7="","",SUM('Asset Allocation'!F7,'Asset Allocation'!G7,'Asset Allocation'!H7,'Asset Allocation'!I7,'Asset Allocation'!J7,'Asset Allocation'!K7))</f>
        <v>0</v>
      </c>
      <c r="C7">
        <f>IF(A7="","",SUM('Asset Allocation'!C7))</f>
        <v>0</v>
      </c>
      <c r="D7">
        <f>IF(A7="","",SUM('Asset Allocation'!D7))</f>
        <v>0</v>
      </c>
      <c r="F7">
        <f>IF(A7="","",SUM('Asset Allocation'!E7))</f>
        <v>0</v>
      </c>
      <c r="G7">
        <f>IF(A7="","",SUM('Asset Allocation'!B7))</f>
        <v>0</v>
      </c>
      <c r="H7">
        <f t="shared" si="0"/>
        <v>1</v>
      </c>
    </row>
    <row r="8" spans="1:8" x14ac:dyDescent="0.25">
      <c r="A8" t="str">
        <f>IF(Input!A9="","",Input!A9)</f>
        <v>WealthSelect Managed Active 8</v>
      </c>
      <c r="B8">
        <f>IF(A8="","",SUM('Asset Allocation'!F8,'Asset Allocation'!G8,'Asset Allocation'!H8,'Asset Allocation'!I8,'Asset Allocation'!J8,'Asset Allocation'!K8))</f>
        <v>0</v>
      </c>
      <c r="C8">
        <f>IF(A8="","",SUM('Asset Allocation'!C8))</f>
        <v>0</v>
      </c>
      <c r="D8">
        <f>IF(A8="","",SUM('Asset Allocation'!D8))</f>
        <v>0</v>
      </c>
      <c r="F8">
        <f>IF(A8="","",SUM('Asset Allocation'!E8))</f>
        <v>0</v>
      </c>
      <c r="G8">
        <f>IF(A8="","",SUM('Asset Allocation'!B8))</f>
        <v>0</v>
      </c>
      <c r="H8">
        <f t="shared" si="0"/>
        <v>1</v>
      </c>
    </row>
    <row r="9" spans="1:8" x14ac:dyDescent="0.25">
      <c r="A9" t="str">
        <f>IF(Input!A10="","",Input!A10)</f>
        <v>WealthSelect Managed Active 9</v>
      </c>
      <c r="B9">
        <f>IF(A9="","",SUM('Asset Allocation'!F9,'Asset Allocation'!G9,'Asset Allocation'!H9,'Asset Allocation'!I9,'Asset Allocation'!J9,'Asset Allocation'!K9))</f>
        <v>0</v>
      </c>
      <c r="C9">
        <f>IF(A9="","",SUM('Asset Allocation'!C9))</f>
        <v>0</v>
      </c>
      <c r="D9">
        <f>IF(A9="","",SUM('Asset Allocation'!D9))</f>
        <v>0</v>
      </c>
      <c r="F9">
        <f>IF(A9="","",SUM('Asset Allocation'!E9))</f>
        <v>0</v>
      </c>
      <c r="G9">
        <f>IF(A9="","",SUM('Asset Allocation'!B9))</f>
        <v>0</v>
      </c>
      <c r="H9">
        <f t="shared" si="0"/>
        <v>1</v>
      </c>
    </row>
    <row r="10" spans="1:8" x14ac:dyDescent="0.25">
      <c r="A10" t="str">
        <f>IF(Input!A11="","",Input!A11)</f>
        <v>WealthSelect Managed Blend 10</v>
      </c>
      <c r="B10">
        <f>IF(A10="","",SUM('Asset Allocation'!F10,'Asset Allocation'!G10,'Asset Allocation'!H10,'Asset Allocation'!I10,'Asset Allocation'!J10,'Asset Allocation'!K10))</f>
        <v>0</v>
      </c>
      <c r="C10">
        <f>IF(A10="","",SUM('Asset Allocation'!C10))</f>
        <v>0</v>
      </c>
      <c r="D10">
        <f>IF(A10="","",SUM('Asset Allocation'!D10))</f>
        <v>0</v>
      </c>
      <c r="F10">
        <f>IF(A10="","",SUM('Asset Allocation'!E10))</f>
        <v>0</v>
      </c>
      <c r="G10">
        <f>IF(A10="","",SUM('Asset Allocation'!B10))</f>
        <v>0</v>
      </c>
      <c r="H10">
        <f t="shared" si="0"/>
        <v>1</v>
      </c>
    </row>
    <row r="11" spans="1:8" x14ac:dyDescent="0.25">
      <c r="A11" t="str">
        <f>IF(Input!A12="","",Input!A12)</f>
        <v>WealthSelect Managed Blend 3</v>
      </c>
      <c r="B11">
        <f>IF(A11="","",SUM('Asset Allocation'!F11,'Asset Allocation'!G11,'Asset Allocation'!H11,'Asset Allocation'!I11,'Asset Allocation'!J11,'Asset Allocation'!K11))</f>
        <v>0</v>
      </c>
      <c r="C11">
        <f>IF(A11="","",SUM('Asset Allocation'!C11))</f>
        <v>0</v>
      </c>
      <c r="D11">
        <f>IF(A11="","",SUM('Asset Allocation'!D11))</f>
        <v>0</v>
      </c>
      <c r="F11">
        <f>IF(A11="","",SUM('Asset Allocation'!E11))</f>
        <v>0</v>
      </c>
      <c r="G11">
        <f>IF(A11="","",SUM('Asset Allocation'!B11))</f>
        <v>0</v>
      </c>
      <c r="H11">
        <f t="shared" si="0"/>
        <v>1</v>
      </c>
    </row>
    <row r="12" spans="1:8" x14ac:dyDescent="0.25">
      <c r="A12" t="str">
        <f>IF(Input!A13="","",Input!A13)</f>
        <v>WealthSelect Managed Blend 4</v>
      </c>
      <c r="B12">
        <f>IF(A12="","",SUM('Asset Allocation'!F12,'Asset Allocation'!G12,'Asset Allocation'!H12,'Asset Allocation'!I12,'Asset Allocation'!J12,'Asset Allocation'!K12))</f>
        <v>0</v>
      </c>
      <c r="C12">
        <f>IF(A12="","",SUM('Asset Allocation'!C12))</f>
        <v>0</v>
      </c>
      <c r="D12">
        <f>IF(A12="","",SUM('Asset Allocation'!D12))</f>
        <v>0</v>
      </c>
      <c r="F12">
        <f>IF(A12="","",SUM('Asset Allocation'!E12))</f>
        <v>0</v>
      </c>
      <c r="G12">
        <f>IF(A12="","",SUM('Asset Allocation'!B12))</f>
        <v>0</v>
      </c>
      <c r="H12">
        <f t="shared" si="0"/>
        <v>1</v>
      </c>
    </row>
    <row r="13" spans="1:8" x14ac:dyDescent="0.25">
      <c r="A13" t="str">
        <f>IF(Input!A14="","",Input!A14)</f>
        <v>WealthSelect Managed Blend 5</v>
      </c>
      <c r="B13">
        <f>IF(A13="","",SUM('Asset Allocation'!F13,'Asset Allocation'!G13,'Asset Allocation'!H13,'Asset Allocation'!I13,'Asset Allocation'!J13,'Asset Allocation'!K13))</f>
        <v>0</v>
      </c>
      <c r="C13">
        <f>IF(A13="","",SUM('Asset Allocation'!C13))</f>
        <v>0</v>
      </c>
      <c r="D13">
        <f>IF(A13="","",SUM('Asset Allocation'!D13))</f>
        <v>0</v>
      </c>
      <c r="F13">
        <f>IF(A13="","",SUM('Asset Allocation'!E13))</f>
        <v>0</v>
      </c>
      <c r="G13">
        <f>IF(A13="","",SUM('Asset Allocation'!B13))</f>
        <v>0</v>
      </c>
      <c r="H13">
        <f t="shared" si="0"/>
        <v>1</v>
      </c>
    </row>
    <row r="14" spans="1:8" x14ac:dyDescent="0.25">
      <c r="A14" t="str">
        <f>IF(Input!A15="","",Input!A15)</f>
        <v>WealthSelect Managed Blend 6</v>
      </c>
      <c r="B14">
        <f>IF(A14="","",SUM('Asset Allocation'!F14,'Asset Allocation'!G14,'Asset Allocation'!H14,'Asset Allocation'!I14,'Asset Allocation'!J14,'Asset Allocation'!K14))</f>
        <v>0</v>
      </c>
      <c r="C14">
        <f>IF(A14="","",SUM('Asset Allocation'!C14))</f>
        <v>0</v>
      </c>
      <c r="D14">
        <f>IF(A14="","",SUM('Asset Allocation'!D14))</f>
        <v>0</v>
      </c>
      <c r="F14">
        <f>IF(A14="","",SUM('Asset Allocation'!E14))</f>
        <v>0</v>
      </c>
      <c r="G14">
        <f>IF(A14="","",SUM('Asset Allocation'!B14))</f>
        <v>0</v>
      </c>
      <c r="H14">
        <f t="shared" si="0"/>
        <v>1</v>
      </c>
    </row>
    <row r="15" spans="1:8" x14ac:dyDescent="0.25">
      <c r="A15" t="str">
        <f>IF(Input!A16="","",Input!A16)</f>
        <v>WealthSelect Managed Blend 7</v>
      </c>
      <c r="B15">
        <f>IF(A15="","",SUM('Asset Allocation'!F15,'Asset Allocation'!G15,'Asset Allocation'!H15,'Asset Allocation'!I15,'Asset Allocation'!J15,'Asset Allocation'!K15))</f>
        <v>0</v>
      </c>
      <c r="C15">
        <f>IF(A15="","",SUM('Asset Allocation'!C15))</f>
        <v>0</v>
      </c>
      <c r="D15">
        <f>IF(A15="","",SUM('Asset Allocation'!D15))</f>
        <v>0</v>
      </c>
      <c r="F15">
        <f>IF(A15="","",SUM('Asset Allocation'!E15))</f>
        <v>0</v>
      </c>
      <c r="G15">
        <f>IF(A15="","",SUM('Asset Allocation'!B15))</f>
        <v>0</v>
      </c>
      <c r="H15">
        <f t="shared" si="0"/>
        <v>1</v>
      </c>
    </row>
    <row r="16" spans="1:8" x14ac:dyDescent="0.25">
      <c r="A16" t="str">
        <f>IF(Input!A17="","",Input!A17)</f>
        <v>WealthSelect Managed Blend 8</v>
      </c>
      <c r="B16">
        <f>IF(A16="","",SUM('Asset Allocation'!F16,'Asset Allocation'!G16,'Asset Allocation'!H16,'Asset Allocation'!I16,'Asset Allocation'!J16,'Asset Allocation'!K16))</f>
        <v>0</v>
      </c>
      <c r="C16">
        <f>IF(A16="","",SUM('Asset Allocation'!C16))</f>
        <v>0</v>
      </c>
      <c r="D16">
        <f>IF(A16="","",SUM('Asset Allocation'!D16))</f>
        <v>0</v>
      </c>
      <c r="F16">
        <f>IF(A16="","",SUM('Asset Allocation'!E16))</f>
        <v>0</v>
      </c>
      <c r="G16">
        <f>IF(A16="","",SUM('Asset Allocation'!B16))</f>
        <v>0</v>
      </c>
      <c r="H16">
        <f t="shared" si="0"/>
        <v>1</v>
      </c>
    </row>
    <row r="17" spans="1:8" x14ac:dyDescent="0.25">
      <c r="A17" t="str">
        <f>IF(Input!A18="","",Input!A18)</f>
        <v>WealthSelect Managed Blend 9</v>
      </c>
      <c r="B17">
        <f>IF(A17="","",SUM('Asset Allocation'!F17,'Asset Allocation'!G17,'Asset Allocation'!H17,'Asset Allocation'!I17,'Asset Allocation'!J17,'Asset Allocation'!K17))</f>
        <v>0</v>
      </c>
      <c r="C17">
        <f>IF(A17="","",SUM('Asset Allocation'!C17))</f>
        <v>0</v>
      </c>
      <c r="D17">
        <f>IF(A17="","",SUM('Asset Allocation'!D17))</f>
        <v>0</v>
      </c>
      <c r="F17">
        <f>IF(A17="","",SUM('Asset Allocation'!E17))</f>
        <v>0</v>
      </c>
      <c r="G17">
        <f>IF(A17="","",SUM('Asset Allocation'!B17))</f>
        <v>0</v>
      </c>
      <c r="H17">
        <f t="shared" si="0"/>
        <v>1</v>
      </c>
    </row>
    <row r="18" spans="1:8" x14ac:dyDescent="0.25">
      <c r="A18" t="str">
        <f>IF(Input!A19="","",Input!A19)</f>
        <v>WealthSelect Managed Passive 10</v>
      </c>
      <c r="B18">
        <f>IF(A18="","",SUM('Asset Allocation'!F18,'Asset Allocation'!G18,'Asset Allocation'!H18,'Asset Allocation'!I18,'Asset Allocation'!J18,'Asset Allocation'!K18))</f>
        <v>0</v>
      </c>
      <c r="C18">
        <f>IF(A18="","",SUM('Asset Allocation'!C18))</f>
        <v>0</v>
      </c>
      <c r="D18">
        <f>IF(A18="","",SUM('Asset Allocation'!D18))</f>
        <v>0</v>
      </c>
      <c r="F18">
        <f>IF(A18="","",SUM('Asset Allocation'!E18))</f>
        <v>0</v>
      </c>
      <c r="G18">
        <f>IF(A18="","",SUM('Asset Allocation'!B18))</f>
        <v>0</v>
      </c>
      <c r="H18">
        <f t="shared" si="0"/>
        <v>1</v>
      </c>
    </row>
    <row r="19" spans="1:8" x14ac:dyDescent="0.25">
      <c r="A19" t="str">
        <f>IF(Input!A20="","",Input!A20)</f>
        <v>WealthSelect Managed Passive 3</v>
      </c>
      <c r="B19">
        <f>IF(A19="","",SUM('Asset Allocation'!F19,'Asset Allocation'!G19,'Asset Allocation'!H19,'Asset Allocation'!I19,'Asset Allocation'!J19,'Asset Allocation'!K19))</f>
        <v>0</v>
      </c>
      <c r="C19">
        <f>IF(A19="","",SUM('Asset Allocation'!C19))</f>
        <v>0</v>
      </c>
      <c r="D19">
        <f>IF(A19="","",SUM('Asset Allocation'!D19))</f>
        <v>0</v>
      </c>
      <c r="F19">
        <f>IF(A19="","",SUM('Asset Allocation'!E19))</f>
        <v>0</v>
      </c>
      <c r="G19">
        <f>IF(A19="","",SUM('Asset Allocation'!B19))</f>
        <v>0</v>
      </c>
      <c r="H19">
        <f t="shared" si="0"/>
        <v>1</v>
      </c>
    </row>
    <row r="20" spans="1:8" x14ac:dyDescent="0.25">
      <c r="A20" t="str">
        <f>IF(Input!A21="","",Input!A21)</f>
        <v>WealthSelect Managed Passive 4P</v>
      </c>
      <c r="B20">
        <f>IF(A20="","",SUM('Asset Allocation'!F20,'Asset Allocation'!G20,'Asset Allocation'!H20,'Asset Allocation'!I20,'Asset Allocation'!J20,'Asset Allocation'!K20))</f>
        <v>0</v>
      </c>
      <c r="C20">
        <f>IF(A20="","",SUM('Asset Allocation'!C20))</f>
        <v>0</v>
      </c>
      <c r="D20">
        <f>IF(A20="","",SUM('Asset Allocation'!D20))</f>
        <v>0</v>
      </c>
      <c r="F20">
        <f>IF(A20="","",SUM('Asset Allocation'!E20))</f>
        <v>0</v>
      </c>
      <c r="G20">
        <f>IF(A20="","",SUM('Asset Allocation'!B20))</f>
        <v>0</v>
      </c>
      <c r="H20">
        <f t="shared" si="0"/>
        <v>1</v>
      </c>
    </row>
    <row r="21" spans="1:8" x14ac:dyDescent="0.25">
      <c r="A21" t="str">
        <f>IF(Input!A22="","",Input!A22)</f>
        <v>WealthSelect Managed Passive 5</v>
      </c>
      <c r="B21">
        <f>IF(A21="","",SUM('Asset Allocation'!F21,'Asset Allocation'!G21,'Asset Allocation'!H21,'Asset Allocation'!I21,'Asset Allocation'!J21,'Asset Allocation'!K21))</f>
        <v>0</v>
      </c>
      <c r="C21">
        <f>IF(A21="","",SUM('Asset Allocation'!C21))</f>
        <v>0</v>
      </c>
      <c r="D21">
        <f>IF(A21="","",SUM('Asset Allocation'!D21))</f>
        <v>0</v>
      </c>
      <c r="F21">
        <f>IF(A21="","",SUM('Asset Allocation'!E21))</f>
        <v>0</v>
      </c>
      <c r="G21">
        <f>IF(A21="","",SUM('Asset Allocation'!B21))</f>
        <v>0</v>
      </c>
      <c r="H21">
        <f t="shared" si="0"/>
        <v>1</v>
      </c>
    </row>
    <row r="22" spans="1:8" x14ac:dyDescent="0.25">
      <c r="A22" t="str">
        <f>IF(Input!A23="","",Input!A23)</f>
        <v>WealthSelect Managed Passive 6</v>
      </c>
      <c r="B22">
        <f>IF(A22="","",SUM('Asset Allocation'!F22,'Asset Allocation'!G22,'Asset Allocation'!H22,'Asset Allocation'!I22,'Asset Allocation'!J22,'Asset Allocation'!K22))</f>
        <v>0</v>
      </c>
      <c r="C22">
        <f>IF(A22="","",SUM('Asset Allocation'!C22))</f>
        <v>0</v>
      </c>
      <c r="D22">
        <f>IF(A22="","",SUM('Asset Allocation'!D22))</f>
        <v>0</v>
      </c>
      <c r="F22">
        <f>IF(A22="","",SUM('Asset Allocation'!E22))</f>
        <v>0</v>
      </c>
      <c r="G22">
        <f>IF(A22="","",SUM('Asset Allocation'!B22))</f>
        <v>0</v>
      </c>
      <c r="H22">
        <f t="shared" si="0"/>
        <v>1</v>
      </c>
    </row>
    <row r="23" spans="1:8" x14ac:dyDescent="0.25">
      <c r="A23" t="str">
        <f>IF(Input!A24="","",Input!A24)</f>
        <v>WealthSelect Managed Passive 7</v>
      </c>
      <c r="B23">
        <f>IF(A23="","",SUM('Asset Allocation'!F23,'Asset Allocation'!G23,'Asset Allocation'!H23,'Asset Allocation'!I23,'Asset Allocation'!J23,'Asset Allocation'!K23))</f>
        <v>0</v>
      </c>
      <c r="C23">
        <f>IF(A23="","",SUM('Asset Allocation'!C23))</f>
        <v>0</v>
      </c>
      <c r="D23">
        <f>IF(A23="","",SUM('Asset Allocation'!D23))</f>
        <v>0</v>
      </c>
      <c r="F23">
        <f>IF(A23="","",SUM('Asset Allocation'!E23))</f>
        <v>0</v>
      </c>
      <c r="G23">
        <f>IF(A23="","",SUM('Asset Allocation'!B23))</f>
        <v>0</v>
      </c>
      <c r="H23">
        <f t="shared" si="0"/>
        <v>1</v>
      </c>
    </row>
    <row r="24" spans="1:8" x14ac:dyDescent="0.25">
      <c r="A24" t="str">
        <f>IF(Input!A25="","",Input!A25)</f>
        <v>WealthSelect Managed Passive 8</v>
      </c>
      <c r="B24">
        <f>IF(A24="","",SUM('Asset Allocation'!F24,'Asset Allocation'!G24,'Asset Allocation'!H24,'Asset Allocation'!I24,'Asset Allocation'!J24,'Asset Allocation'!K24))</f>
        <v>0</v>
      </c>
      <c r="C24">
        <f>IF(A24="","",SUM('Asset Allocation'!C24))</f>
        <v>0</v>
      </c>
      <c r="D24">
        <f>IF(A24="","",SUM('Asset Allocation'!D24))</f>
        <v>0</v>
      </c>
      <c r="F24">
        <f>IF(A24="","",SUM('Asset Allocation'!E24))</f>
        <v>0</v>
      </c>
      <c r="G24">
        <f>IF(A24="","",SUM('Asset Allocation'!B24))</f>
        <v>0</v>
      </c>
      <c r="H24">
        <f t="shared" si="0"/>
        <v>1</v>
      </c>
    </row>
    <row r="25" spans="1:8" x14ac:dyDescent="0.25">
      <c r="A25" t="str">
        <f>IF(Input!A26="","",Input!A26)</f>
        <v>WealthSelect Managed Passive 9</v>
      </c>
      <c r="B25">
        <f>IF(A25="","",SUM('Asset Allocation'!F25,'Asset Allocation'!G25,'Asset Allocation'!H25,'Asset Allocation'!I25,'Asset Allocation'!J25,'Asset Allocation'!K25))</f>
        <v>0</v>
      </c>
      <c r="C25">
        <f>IF(A25="","",SUM('Asset Allocation'!C25))</f>
        <v>0</v>
      </c>
      <c r="D25">
        <f>IF(A25="","",SUM('Asset Allocation'!D25))</f>
        <v>0</v>
      </c>
      <c r="F25">
        <f>IF(A25="","",SUM('Asset Allocation'!E25))</f>
        <v>0</v>
      </c>
      <c r="G25">
        <f>IF(A25="","",SUM('Asset Allocation'!B25))</f>
        <v>0</v>
      </c>
      <c r="H25">
        <f t="shared" si="0"/>
        <v>1</v>
      </c>
    </row>
    <row r="26" spans="1:8" x14ac:dyDescent="0.25">
      <c r="A26" t="str">
        <f>IF(Input!A27="","",Input!A27)</f>
        <v>WealthSelect Sustainable Active 10</v>
      </c>
      <c r="B26">
        <f>IF(A26="","",SUM('Asset Allocation'!F26,'Asset Allocation'!G26,'Asset Allocation'!H26,'Asset Allocation'!I26,'Asset Allocation'!J26,'Asset Allocation'!K26))</f>
        <v>0</v>
      </c>
      <c r="C26">
        <f>IF(A26="","",SUM('Asset Allocation'!C26))</f>
        <v>0</v>
      </c>
      <c r="D26">
        <f>IF(A26="","",SUM('Asset Allocation'!D26))</f>
        <v>0</v>
      </c>
      <c r="F26">
        <f>IF(A26="","",SUM('Asset Allocation'!E26))</f>
        <v>0</v>
      </c>
      <c r="G26">
        <f>IF(A26="","",SUM('Asset Allocation'!B26))</f>
        <v>0</v>
      </c>
      <c r="H26">
        <f t="shared" si="0"/>
        <v>1</v>
      </c>
    </row>
    <row r="27" spans="1:8" x14ac:dyDescent="0.25">
      <c r="A27" t="str">
        <f>IF(Input!A28="","",Input!A28)</f>
        <v>WealthSelect Sustainable Active 3</v>
      </c>
      <c r="B27">
        <f>IF(A27="","",SUM('Asset Allocation'!F27,'Asset Allocation'!G27,'Asset Allocation'!H27,'Asset Allocation'!I27,'Asset Allocation'!J27,'Asset Allocation'!K27))</f>
        <v>0</v>
      </c>
      <c r="C27">
        <f>IF(A27="","",SUM('Asset Allocation'!C27))</f>
        <v>0</v>
      </c>
      <c r="D27">
        <f>IF(A27="","",SUM('Asset Allocation'!D27))</f>
        <v>0</v>
      </c>
      <c r="F27">
        <f>IF(A27="","",SUM('Asset Allocation'!E27))</f>
        <v>0</v>
      </c>
      <c r="G27">
        <f>IF(A27="","",SUM('Asset Allocation'!B27))</f>
        <v>0</v>
      </c>
      <c r="H27">
        <f t="shared" si="0"/>
        <v>1</v>
      </c>
    </row>
    <row r="28" spans="1:8" x14ac:dyDescent="0.25">
      <c r="A28" t="str">
        <f>IF(Input!A29="","",Input!A29)</f>
        <v>WealthSelect Sustainable Active 4</v>
      </c>
      <c r="B28">
        <f>IF(A28="","",SUM('Asset Allocation'!F28,'Asset Allocation'!G28,'Asset Allocation'!H28,'Asset Allocation'!I28,'Asset Allocation'!J28,'Asset Allocation'!K28))</f>
        <v>0</v>
      </c>
      <c r="C28">
        <f>IF(A28="","",SUM('Asset Allocation'!C28))</f>
        <v>0</v>
      </c>
      <c r="D28">
        <f>IF(A28="","",SUM('Asset Allocation'!D28))</f>
        <v>0</v>
      </c>
      <c r="F28">
        <f>IF(A28="","",SUM('Asset Allocation'!E28))</f>
        <v>0</v>
      </c>
      <c r="G28">
        <f>IF(A28="","",SUM('Asset Allocation'!B28))</f>
        <v>0</v>
      </c>
      <c r="H28">
        <f t="shared" si="0"/>
        <v>1</v>
      </c>
    </row>
    <row r="29" spans="1:8" x14ac:dyDescent="0.25">
      <c r="A29" t="str">
        <f>IF(Input!A30="","",Input!A30)</f>
        <v>WealthSelect Sustainable Active 5</v>
      </c>
      <c r="B29">
        <f>IF(A29="","",SUM('Asset Allocation'!F29,'Asset Allocation'!G29,'Asset Allocation'!H29,'Asset Allocation'!I29,'Asset Allocation'!J29,'Asset Allocation'!K29))</f>
        <v>0</v>
      </c>
      <c r="C29">
        <f>IF(A29="","",SUM('Asset Allocation'!C29))</f>
        <v>0</v>
      </c>
      <c r="D29">
        <f>IF(A29="","",SUM('Asset Allocation'!D29))</f>
        <v>0</v>
      </c>
      <c r="F29">
        <f>IF(A29="","",SUM('Asset Allocation'!E29))</f>
        <v>0</v>
      </c>
      <c r="G29">
        <f>IF(A29="","",SUM('Asset Allocation'!B29))</f>
        <v>0</v>
      </c>
      <c r="H29">
        <f t="shared" si="0"/>
        <v>1</v>
      </c>
    </row>
    <row r="30" spans="1:8" x14ac:dyDescent="0.25">
      <c r="A30" t="str">
        <f>IF(Input!A31="","",Input!A31)</f>
        <v>WealthSelect Sustainable Active 6</v>
      </c>
      <c r="B30">
        <f>IF(A30="","",SUM('Asset Allocation'!F30,'Asset Allocation'!G30,'Asset Allocation'!H30,'Asset Allocation'!I30,'Asset Allocation'!J30,'Asset Allocation'!K30))</f>
        <v>0</v>
      </c>
      <c r="C30">
        <f>IF(A30="","",SUM('Asset Allocation'!C30))</f>
        <v>0</v>
      </c>
      <c r="D30">
        <f>IF(A30="","",SUM('Asset Allocation'!D30))</f>
        <v>0</v>
      </c>
      <c r="F30">
        <f>IF(A30="","",SUM('Asset Allocation'!E30))</f>
        <v>0</v>
      </c>
      <c r="G30">
        <f>IF(A30="","",SUM('Asset Allocation'!B30))</f>
        <v>0</v>
      </c>
      <c r="H30">
        <f t="shared" si="0"/>
        <v>1</v>
      </c>
    </row>
    <row r="31" spans="1:8" x14ac:dyDescent="0.25">
      <c r="A31" t="str">
        <f>IF(Input!A32="","",Input!A32)</f>
        <v>WealthSelect Sustainable Active 7</v>
      </c>
      <c r="B31">
        <f>IF(A31="","",SUM('Asset Allocation'!F31,'Asset Allocation'!G31,'Asset Allocation'!H31,'Asset Allocation'!I31,'Asset Allocation'!J31,'Asset Allocation'!K31))</f>
        <v>0</v>
      </c>
      <c r="C31">
        <f>IF(A31="","",SUM('Asset Allocation'!C31))</f>
        <v>0</v>
      </c>
      <c r="D31">
        <f>IF(A31="","",SUM('Asset Allocation'!D31))</f>
        <v>0</v>
      </c>
      <c r="F31">
        <f>IF(A31="","",SUM('Asset Allocation'!E31))</f>
        <v>0</v>
      </c>
      <c r="G31">
        <f>IF(A31="","",SUM('Asset Allocation'!B31))</f>
        <v>0</v>
      </c>
      <c r="H31">
        <f t="shared" si="0"/>
        <v>1</v>
      </c>
    </row>
    <row r="32" spans="1:8" x14ac:dyDescent="0.25">
      <c r="A32" t="str">
        <f>IF(Input!A33="","",Input!A33)</f>
        <v>WealthSelect Sustainable Active 8</v>
      </c>
      <c r="B32">
        <f>IF(A32="","",SUM('Asset Allocation'!F32,'Asset Allocation'!G32,'Asset Allocation'!H32,'Asset Allocation'!I32,'Asset Allocation'!J32,'Asset Allocation'!K32))</f>
        <v>0</v>
      </c>
      <c r="C32">
        <f>IF(A32="","",SUM('Asset Allocation'!C32))</f>
        <v>0</v>
      </c>
      <c r="D32">
        <f>IF(A32="","",SUM('Asset Allocation'!D32))</f>
        <v>0</v>
      </c>
      <c r="F32">
        <f>IF(A32="","",SUM('Asset Allocation'!E32))</f>
        <v>0</v>
      </c>
      <c r="G32">
        <f>IF(A32="","",SUM('Asset Allocation'!B32))</f>
        <v>0</v>
      </c>
      <c r="H32">
        <f t="shared" si="0"/>
        <v>1</v>
      </c>
    </row>
    <row r="33" spans="1:8" x14ac:dyDescent="0.25">
      <c r="A33" t="str">
        <f>IF(Input!A34="","",Input!A34)</f>
        <v>WealthSelect Sustainable Active 9</v>
      </c>
      <c r="B33">
        <f>IF(A33="","",SUM('Asset Allocation'!F33,'Asset Allocation'!G33,'Asset Allocation'!H33,'Asset Allocation'!I33,'Asset Allocation'!J33,'Asset Allocation'!K33))</f>
        <v>0</v>
      </c>
      <c r="C33">
        <f>IF(A33="","",SUM('Asset Allocation'!C33))</f>
        <v>0</v>
      </c>
      <c r="D33">
        <f>IF(A33="","",SUM('Asset Allocation'!D33))</f>
        <v>0</v>
      </c>
      <c r="F33">
        <f>IF(A33="","",SUM('Asset Allocation'!E33))</f>
        <v>0</v>
      </c>
      <c r="G33">
        <f>IF(A33="","",SUM('Asset Allocation'!B33))</f>
        <v>0</v>
      </c>
      <c r="H33">
        <f t="shared" si="0"/>
        <v>1</v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WealthSelect Managed Active 10</v>
      </c>
      <c r="B2" s="6">
        <f>IFERROR(IF(A2="","",SUM('Asset Allocation'!G2)/'Broad Asset Allocation'!B2),0)</f>
        <v>0</v>
      </c>
      <c r="C2" s="6">
        <f>IFERROR(IF(A2="","",SUM('Asset Allocation'!F2)/'Broad Asset Allocation'!B2),0)</f>
        <v>0</v>
      </c>
      <c r="D2" s="6">
        <f>IFERROR(IF(A2="","",SUM('Asset Allocation'!H2)/'Broad Asset Allocation'!B2),0)</f>
        <v>0</v>
      </c>
      <c r="E2" s="6">
        <f>IFERROR(IF(A2="","",SUM('Asset Allocation'!I2)/'Broad Asset Allocation'!B2),0)</f>
        <v>0</v>
      </c>
      <c r="F2" s="6"/>
      <c r="G2" s="6">
        <f>IFERROR(IF(A2="","",SUM('Asset Allocation'!J2)/'Broad Asset Allocation'!B2),0)</f>
        <v>0</v>
      </c>
      <c r="H2" s="6">
        <f>IFERROR(IF(A2="","",SUM('Asset Allocation'!K2)/'Broad Asset Allocation'!B2),0)</f>
        <v>0</v>
      </c>
    </row>
    <row r="3" spans="1:8" x14ac:dyDescent="0.25">
      <c r="A3" t="str">
        <f>IF(Input!A4="","",Input!A4)</f>
        <v>WealthSelect Managed Active 3</v>
      </c>
      <c r="B3" s="6">
        <f>IFERROR(IF(A3="","",SUM('Asset Allocation'!G3)/'Broad Asset Allocation'!B3),0)</f>
        <v>0</v>
      </c>
      <c r="C3" s="6">
        <f>IFERROR(IF(A3="","",SUM('Asset Allocation'!F3)/'Broad Asset Allocation'!B3),0)</f>
        <v>0</v>
      </c>
      <c r="D3" s="6">
        <f>IFERROR(IF(A3="","",SUM('Asset Allocation'!H3)/'Broad Asset Allocation'!B3),0)</f>
        <v>0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0</v>
      </c>
    </row>
    <row r="4" spans="1:8" x14ac:dyDescent="0.25">
      <c r="A4" t="str">
        <f>IF(Input!A5="","",Input!A5)</f>
        <v>WealthSelect Managed Active 4</v>
      </c>
      <c r="B4" s="6">
        <f>IFERROR(IF(A4="","",SUM('Asset Allocation'!G4)/'Broad Asset Allocation'!B4),0)</f>
        <v>0</v>
      </c>
      <c r="C4" s="6">
        <f>IFERROR(IF(A4="","",SUM('Asset Allocation'!F4)/'Broad Asset Allocation'!B4),0)</f>
        <v>0</v>
      </c>
      <c r="D4" s="6">
        <f>IFERROR(IF(A4="","",SUM('Asset Allocation'!H4)/'Broad Asset Allocation'!B4),0)</f>
        <v>0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</v>
      </c>
      <c r="H4" s="6">
        <f>IFERROR(IF(A4="","",SUM('Asset Allocation'!K4)/'Broad Asset Allocation'!B4),0)</f>
        <v>0</v>
      </c>
    </row>
    <row r="5" spans="1:8" x14ac:dyDescent="0.25">
      <c r="A5" t="str">
        <f>IF(Input!A6="","",Input!A6)</f>
        <v>WealthSelect Managed Active 5</v>
      </c>
      <c r="B5" s="6">
        <f>IFERROR(IF(A5="","",SUM('Asset Allocation'!G5)/'Broad Asset Allocation'!B5),0)</f>
        <v>0</v>
      </c>
      <c r="C5" s="6">
        <f>IFERROR(IF(A5="","",SUM('Asset Allocation'!F5)/'Broad Asset Allocation'!B5),0)</f>
        <v>0</v>
      </c>
      <c r="D5" s="6">
        <f>IFERROR(IF(A5="","",SUM('Asset Allocation'!H5)/'Broad Asset Allocation'!B5),0)</f>
        <v>0</v>
      </c>
      <c r="E5" s="6">
        <f>IFERROR(IF(A5="","",SUM('Asset Allocation'!I5)/'Broad Asset Allocation'!B5),0)</f>
        <v>0</v>
      </c>
      <c r="F5" s="6"/>
      <c r="G5" s="6">
        <f>IFERROR(IF(A5="","",SUM('Asset Allocation'!J5)/'Broad Asset Allocation'!B5),0)</f>
        <v>0</v>
      </c>
      <c r="H5" s="6">
        <f>IFERROR(IF(A5="","",SUM('Asset Allocation'!K5)/'Broad Asset Allocation'!B5),0)</f>
        <v>0</v>
      </c>
    </row>
    <row r="6" spans="1:8" x14ac:dyDescent="0.25">
      <c r="A6" t="str">
        <f>IF(Input!A7="","",Input!A7)</f>
        <v>WealthSelect Managed Active 6</v>
      </c>
      <c r="B6" s="6">
        <f>IFERROR(IF(A6="","",SUM('Asset Allocation'!G6)/'Broad Asset Allocation'!B6),0)</f>
        <v>0</v>
      </c>
      <c r="C6" s="6">
        <f>IFERROR(IF(A6="","",SUM('Asset Allocation'!F6)/'Broad Asset Allocation'!B6),0)</f>
        <v>0</v>
      </c>
      <c r="D6" s="6">
        <f>IFERROR(IF(A6="","",SUM('Asset Allocation'!H6)/'Broad Asset Allocation'!B6),0)</f>
        <v>0</v>
      </c>
      <c r="E6" s="6">
        <f>IFERROR(IF(A6="","",SUM('Asset Allocation'!I6)/'Broad Asset Allocation'!B6),0)</f>
        <v>0</v>
      </c>
      <c r="F6" s="6"/>
      <c r="G6" s="6">
        <f>IFERROR(IF(A6="","",SUM('Asset Allocation'!J6)/'Broad Asset Allocation'!B6),0)</f>
        <v>0</v>
      </c>
      <c r="H6" s="6">
        <f>IFERROR(IF(A6="","",SUM('Asset Allocation'!K6)/'Broad Asset Allocation'!B6),0)</f>
        <v>0</v>
      </c>
    </row>
    <row r="7" spans="1:8" x14ac:dyDescent="0.25">
      <c r="A7" t="str">
        <f>IF(Input!A8="","",Input!A8)</f>
        <v>WealthSelect Managed Active 7</v>
      </c>
      <c r="B7" s="6">
        <f>IFERROR(IF(A7="","",SUM('Asset Allocation'!G7)/'Broad Asset Allocation'!B7),0)</f>
        <v>0</v>
      </c>
      <c r="C7" s="6">
        <f>IFERROR(IF(A7="","",SUM('Asset Allocation'!F7)/'Broad Asset Allocation'!B7),0)</f>
        <v>0</v>
      </c>
      <c r="D7" s="6">
        <f>IFERROR(IF(A7="","",SUM('Asset Allocation'!H7)/'Broad Asset Allocation'!B7),0)</f>
        <v>0</v>
      </c>
      <c r="E7" s="6">
        <f>IFERROR(IF(A7="","",SUM('Asset Allocation'!I7)/'Broad Asset Allocation'!B7),0)</f>
        <v>0</v>
      </c>
      <c r="F7" s="6"/>
      <c r="G7" s="6">
        <f>IFERROR(IF(A7="","",SUM('Asset Allocation'!J7)/'Broad Asset Allocation'!B7),0)</f>
        <v>0</v>
      </c>
      <c r="H7" s="6">
        <f>IFERROR(IF(A7="","",SUM('Asset Allocation'!K7)/'Broad Asset Allocation'!B7),0)</f>
        <v>0</v>
      </c>
    </row>
    <row r="8" spans="1:8" x14ac:dyDescent="0.25">
      <c r="A8" t="str">
        <f>IF(Input!A9="","",Input!A9)</f>
        <v>WealthSelect Managed Active 8</v>
      </c>
      <c r="B8" s="6">
        <f>IFERROR(IF(A8="","",SUM('Asset Allocation'!G8)/'Broad Asset Allocation'!B8),0)</f>
        <v>0</v>
      </c>
      <c r="C8" s="6">
        <f>IFERROR(IF(A8="","",SUM('Asset Allocation'!F8)/'Broad Asset Allocation'!B8),0)</f>
        <v>0</v>
      </c>
      <c r="D8" s="6">
        <f>IFERROR(IF(A8="","",SUM('Asset Allocation'!H8)/'Broad Asset Allocation'!B8),0)</f>
        <v>0</v>
      </c>
      <c r="E8" s="6">
        <f>IFERROR(IF(A8="","",SUM('Asset Allocation'!I8)/'Broad Asset Allocation'!B8),0)</f>
        <v>0</v>
      </c>
      <c r="F8" s="6"/>
      <c r="G8" s="6">
        <f>IFERROR(IF(A8="","",SUM('Asset Allocation'!J8)/'Broad Asset Allocation'!B8),0)</f>
        <v>0</v>
      </c>
      <c r="H8" s="6">
        <f>IFERROR(IF(A8="","",SUM('Asset Allocation'!K8)/'Broad Asset Allocation'!B8),0)</f>
        <v>0</v>
      </c>
    </row>
    <row r="9" spans="1:8" x14ac:dyDescent="0.25">
      <c r="A9" t="str">
        <f>IF(Input!A10="","",Input!A10)</f>
        <v>WealthSelect Managed Active 9</v>
      </c>
      <c r="B9" s="6">
        <f>IFERROR(IF(A9="","",SUM('Asset Allocation'!G9)/'Broad Asset Allocation'!B9),0)</f>
        <v>0</v>
      </c>
      <c r="C9" s="6">
        <f>IFERROR(IF(A9="","",SUM('Asset Allocation'!F9)/'Broad Asset Allocation'!B9),0)</f>
        <v>0</v>
      </c>
      <c r="D9" s="6">
        <f>IFERROR(IF(A9="","",SUM('Asset Allocation'!H9)/'Broad Asset Allocation'!B9),0)</f>
        <v>0</v>
      </c>
      <c r="E9" s="6">
        <f>IFERROR(IF(A9="","",SUM('Asset Allocation'!I9)/'Broad Asset Allocation'!B9),0)</f>
        <v>0</v>
      </c>
      <c r="F9" s="6"/>
      <c r="G9" s="6">
        <f>IFERROR(IF(A9="","",SUM('Asset Allocation'!J9)/'Broad Asset Allocation'!B9),0)</f>
        <v>0</v>
      </c>
      <c r="H9" s="6">
        <f>IFERROR(IF(A9="","",SUM('Asset Allocation'!K9)/'Broad Asset Allocation'!B9),0)</f>
        <v>0</v>
      </c>
    </row>
    <row r="10" spans="1:8" x14ac:dyDescent="0.25">
      <c r="A10" t="str">
        <f>IF(Input!A11="","",Input!A11)</f>
        <v>WealthSelect Managed Blend 10</v>
      </c>
      <c r="B10" s="6">
        <f>IFERROR(IF(A10="","",SUM('Asset Allocation'!G10)/'Broad Asset Allocation'!B10),0)</f>
        <v>0</v>
      </c>
      <c r="C10" s="6">
        <f>IFERROR(IF(A10="","",SUM('Asset Allocation'!F10)/'Broad Asset Allocation'!B10),0)</f>
        <v>0</v>
      </c>
      <c r="D10" s="6">
        <f>IFERROR(IF(A10="","",SUM('Asset Allocation'!H10)/'Broad Asset Allocation'!B10),0)</f>
        <v>0</v>
      </c>
      <c r="E10" s="6">
        <f>IFERROR(IF(A10="","",SUM('Asset Allocation'!I10)/'Broad Asset Allocation'!B10),0)</f>
        <v>0</v>
      </c>
      <c r="F10" s="6"/>
      <c r="G10" s="6">
        <f>IFERROR(IF(A10="","",SUM('Asset Allocation'!J10)/'Broad Asset Allocation'!B10),0)</f>
        <v>0</v>
      </c>
      <c r="H10" s="6">
        <f>IFERROR(IF(A10="","",SUM('Asset Allocation'!K10)/'Broad Asset Allocation'!B10),0)</f>
        <v>0</v>
      </c>
    </row>
    <row r="11" spans="1:8" x14ac:dyDescent="0.25">
      <c r="A11" t="str">
        <f>IF(Input!A12="","",Input!A12)</f>
        <v>WealthSelect Managed Blend 3</v>
      </c>
      <c r="B11" s="6">
        <f>IFERROR(IF(A11="","",SUM('Asset Allocation'!G11)/'Broad Asset Allocation'!B11),0)</f>
        <v>0</v>
      </c>
      <c r="C11" s="6">
        <f>IFERROR(IF(A11="","",SUM('Asset Allocation'!F11)/'Broad Asset Allocation'!B11),0)</f>
        <v>0</v>
      </c>
      <c r="D11" s="6">
        <f>IFERROR(IF(A11="","",SUM('Asset Allocation'!H11)/'Broad Asset Allocation'!B11),0)</f>
        <v>0</v>
      </c>
      <c r="E11" s="6">
        <f>IFERROR(IF(A11="","",SUM('Asset Allocation'!I11)/'Broad Asset Allocation'!B11),0)</f>
        <v>0</v>
      </c>
      <c r="F11" s="6"/>
      <c r="G11" s="6">
        <f>IFERROR(IF(A11="","",SUM('Asset Allocation'!J11)/'Broad Asset Allocation'!B11),0)</f>
        <v>0</v>
      </c>
      <c r="H11" s="6">
        <f>IFERROR(IF(A11="","",SUM('Asset Allocation'!K11)/'Broad Asset Allocation'!B11),0)</f>
        <v>0</v>
      </c>
    </row>
    <row r="12" spans="1:8" x14ac:dyDescent="0.25">
      <c r="A12" t="str">
        <f>IF(Input!A13="","",Input!A13)</f>
        <v>WealthSelect Managed Blend 4</v>
      </c>
      <c r="B12" s="6">
        <f>IFERROR(IF(A12="","",SUM('Asset Allocation'!G12)/'Broad Asset Allocation'!B12),0)</f>
        <v>0</v>
      </c>
      <c r="C12" s="6">
        <f>IFERROR(IF(A12="","",SUM('Asset Allocation'!F12)/'Broad Asset Allocation'!B12),0)</f>
        <v>0</v>
      </c>
      <c r="D12" s="6">
        <f>IFERROR(IF(A12="","",SUM('Asset Allocation'!H12)/'Broad Asset Allocation'!B12),0)</f>
        <v>0</v>
      </c>
      <c r="E12" s="6">
        <f>IFERROR(IF(A12="","",SUM('Asset Allocation'!I12)/'Broad Asset Allocation'!B12),0)</f>
        <v>0</v>
      </c>
      <c r="F12" s="6"/>
      <c r="G12" s="6">
        <f>IFERROR(IF(A12="","",SUM('Asset Allocation'!J12)/'Broad Asset Allocation'!B12),0)</f>
        <v>0</v>
      </c>
      <c r="H12" s="6">
        <f>IFERROR(IF(A12="","",SUM('Asset Allocation'!K12)/'Broad Asset Allocation'!B12),0)</f>
        <v>0</v>
      </c>
    </row>
    <row r="13" spans="1:8" x14ac:dyDescent="0.25">
      <c r="A13" t="str">
        <f>IF(Input!A14="","",Input!A14)</f>
        <v>WealthSelect Managed Blend 5</v>
      </c>
      <c r="B13" s="6">
        <f>IFERROR(IF(A13="","",SUM('Asset Allocation'!G13)/'Broad Asset Allocation'!B13),0)</f>
        <v>0</v>
      </c>
      <c r="C13" s="6">
        <f>IFERROR(IF(A13="","",SUM('Asset Allocation'!F13)/'Broad Asset Allocation'!B13),0)</f>
        <v>0</v>
      </c>
      <c r="D13" s="6">
        <f>IFERROR(IF(A13="","",SUM('Asset Allocation'!H13)/'Broad Asset Allocation'!B13),0)</f>
        <v>0</v>
      </c>
      <c r="E13" s="6">
        <f>IFERROR(IF(A13="","",SUM('Asset Allocation'!I13)/'Broad Asset Allocation'!B13),0)</f>
        <v>0</v>
      </c>
      <c r="F13" s="6"/>
      <c r="G13" s="6">
        <f>IFERROR(IF(A13="","",SUM('Asset Allocation'!J13)/'Broad Asset Allocation'!B13),0)</f>
        <v>0</v>
      </c>
      <c r="H13" s="6">
        <f>IFERROR(IF(A13="","",SUM('Asset Allocation'!K13)/'Broad Asset Allocation'!B13),0)</f>
        <v>0</v>
      </c>
    </row>
    <row r="14" spans="1:8" x14ac:dyDescent="0.25">
      <c r="A14" t="str">
        <f>IF(Input!A15="","",Input!A15)</f>
        <v>WealthSelect Managed Blend 6</v>
      </c>
      <c r="B14" s="6">
        <f>IFERROR(IF(A14="","",SUM('Asset Allocation'!G14)/'Broad Asset Allocation'!B14),0)</f>
        <v>0</v>
      </c>
      <c r="C14" s="6">
        <f>IFERROR(IF(A14="","",SUM('Asset Allocation'!F14)/'Broad Asset Allocation'!B14),0)</f>
        <v>0</v>
      </c>
      <c r="D14" s="6">
        <f>IFERROR(IF(A14="","",SUM('Asset Allocation'!H14)/'Broad Asset Allocation'!B14),0)</f>
        <v>0</v>
      </c>
      <c r="E14" s="6">
        <f>IFERROR(IF(A14="","",SUM('Asset Allocation'!I14)/'Broad Asset Allocation'!B14),0)</f>
        <v>0</v>
      </c>
      <c r="F14" s="6"/>
      <c r="G14" s="6">
        <f>IFERROR(IF(A14="","",SUM('Asset Allocation'!J14)/'Broad Asset Allocation'!B14),0)</f>
        <v>0</v>
      </c>
      <c r="H14" s="6">
        <f>IFERROR(IF(A14="","",SUM('Asset Allocation'!K14)/'Broad Asset Allocation'!B14),0)</f>
        <v>0</v>
      </c>
    </row>
    <row r="15" spans="1:8" x14ac:dyDescent="0.25">
      <c r="A15" t="str">
        <f>IF(Input!A16="","",Input!A16)</f>
        <v>WealthSelect Managed Blend 7</v>
      </c>
      <c r="B15" s="6">
        <f>IFERROR(IF(A15="","",SUM('Asset Allocation'!G15)/'Broad Asset Allocation'!B15),0)</f>
        <v>0</v>
      </c>
      <c r="C15" s="6">
        <f>IFERROR(IF(A15="","",SUM('Asset Allocation'!F15)/'Broad Asset Allocation'!B15),0)</f>
        <v>0</v>
      </c>
      <c r="D15" s="6">
        <f>IFERROR(IF(A15="","",SUM('Asset Allocation'!H15)/'Broad Asset Allocation'!B15),0)</f>
        <v>0</v>
      </c>
      <c r="E15" s="6">
        <f>IFERROR(IF(A15="","",SUM('Asset Allocation'!I15)/'Broad Asset Allocation'!B15),0)</f>
        <v>0</v>
      </c>
      <c r="F15" s="6"/>
      <c r="G15" s="6">
        <f>IFERROR(IF(A15="","",SUM('Asset Allocation'!J15)/'Broad Asset Allocation'!B15),0)</f>
        <v>0</v>
      </c>
      <c r="H15" s="6">
        <f>IFERROR(IF(A15="","",SUM('Asset Allocation'!K15)/'Broad Asset Allocation'!B15),0)</f>
        <v>0</v>
      </c>
    </row>
    <row r="16" spans="1:8" x14ac:dyDescent="0.25">
      <c r="A16" t="str">
        <f>IF(Input!A17="","",Input!A17)</f>
        <v>WealthSelect Managed Blend 8</v>
      </c>
      <c r="B16" s="6">
        <f>IFERROR(IF(A16="","",SUM('Asset Allocation'!G16)/'Broad Asset Allocation'!B16),0)</f>
        <v>0</v>
      </c>
      <c r="C16" s="6">
        <f>IFERROR(IF(A16="","",SUM('Asset Allocation'!F16)/'Broad Asset Allocation'!B16),0)</f>
        <v>0</v>
      </c>
      <c r="D16" s="6">
        <f>IFERROR(IF(A16="","",SUM('Asset Allocation'!H16)/'Broad Asset Allocation'!B16),0)</f>
        <v>0</v>
      </c>
      <c r="E16" s="6">
        <f>IFERROR(IF(A16="","",SUM('Asset Allocation'!I16)/'Broad Asset Allocation'!B16),0)</f>
        <v>0</v>
      </c>
      <c r="F16" s="6"/>
      <c r="G16" s="6">
        <f>IFERROR(IF(A16="","",SUM('Asset Allocation'!J16)/'Broad Asset Allocation'!B16),0)</f>
        <v>0</v>
      </c>
      <c r="H16" s="6">
        <f>IFERROR(IF(A16="","",SUM('Asset Allocation'!K16)/'Broad Asset Allocation'!B16),0)</f>
        <v>0</v>
      </c>
    </row>
    <row r="17" spans="1:8" x14ac:dyDescent="0.25">
      <c r="A17" t="str">
        <f>IF(Input!A18="","",Input!A18)</f>
        <v>WealthSelect Managed Blend 9</v>
      </c>
      <c r="B17" s="6">
        <f>IFERROR(IF(A17="","",SUM('Asset Allocation'!G17)/'Broad Asset Allocation'!B17),0)</f>
        <v>0</v>
      </c>
      <c r="C17" s="6">
        <f>IFERROR(IF(A17="","",SUM('Asset Allocation'!F17)/'Broad Asset Allocation'!B17),0)</f>
        <v>0</v>
      </c>
      <c r="D17" s="6">
        <f>IFERROR(IF(A17="","",SUM('Asset Allocation'!H17)/'Broad Asset Allocation'!B17),0)</f>
        <v>0</v>
      </c>
      <c r="E17" s="6">
        <f>IFERROR(IF(A17="","",SUM('Asset Allocation'!I17)/'Broad Asset Allocation'!B17),0)</f>
        <v>0</v>
      </c>
      <c r="F17" s="6"/>
      <c r="G17" s="6">
        <f>IFERROR(IF(A17="","",SUM('Asset Allocation'!J17)/'Broad Asset Allocation'!B17),0)</f>
        <v>0</v>
      </c>
      <c r="H17" s="6">
        <f>IFERROR(IF(A17="","",SUM('Asset Allocation'!K17)/'Broad Asset Allocation'!B17),0)</f>
        <v>0</v>
      </c>
    </row>
    <row r="18" spans="1:8" x14ac:dyDescent="0.25">
      <c r="A18" t="str">
        <f>IF(Input!A19="","",Input!A19)</f>
        <v>WealthSelect Managed Passive 10</v>
      </c>
      <c r="B18" s="6">
        <f>IFERROR(IF(A18="","",SUM('Asset Allocation'!G18)/'Broad Asset Allocation'!B18),0)</f>
        <v>0</v>
      </c>
      <c r="C18" s="6">
        <f>IFERROR(IF(A18="","",SUM('Asset Allocation'!F18)/'Broad Asset Allocation'!B18),0)</f>
        <v>0</v>
      </c>
      <c r="D18" s="6">
        <f>IFERROR(IF(A18="","",SUM('Asset Allocation'!H18)/'Broad Asset Allocation'!B18),0)</f>
        <v>0</v>
      </c>
      <c r="E18" s="6">
        <f>IFERROR(IF(A18="","",SUM('Asset Allocation'!I18)/'Broad Asset Allocation'!B18),0)</f>
        <v>0</v>
      </c>
      <c r="F18" s="6"/>
      <c r="G18" s="6">
        <f>IFERROR(IF(A18="","",SUM('Asset Allocation'!J18)/'Broad Asset Allocation'!B18),0)</f>
        <v>0</v>
      </c>
      <c r="H18" s="6">
        <f>IFERROR(IF(A18="","",SUM('Asset Allocation'!K18)/'Broad Asset Allocation'!B18),0)</f>
        <v>0</v>
      </c>
    </row>
    <row r="19" spans="1:8" x14ac:dyDescent="0.25">
      <c r="A19" t="str">
        <f>IF(Input!A20="","",Input!A20)</f>
        <v>WealthSelect Managed Passive 3</v>
      </c>
      <c r="B19" s="6">
        <f>IFERROR(IF(A19="","",SUM('Asset Allocation'!G19)/'Broad Asset Allocation'!B19),0)</f>
        <v>0</v>
      </c>
      <c r="C19" s="6">
        <f>IFERROR(IF(A19="","",SUM('Asset Allocation'!F19)/'Broad Asset Allocation'!B19),0)</f>
        <v>0</v>
      </c>
      <c r="D19" s="6">
        <f>IFERROR(IF(A19="","",SUM('Asset Allocation'!H19)/'Broad Asset Allocation'!B19),0)</f>
        <v>0</v>
      </c>
      <c r="E19" s="6">
        <f>IFERROR(IF(A19="","",SUM('Asset Allocation'!I19)/'Broad Asset Allocation'!B19),0)</f>
        <v>0</v>
      </c>
      <c r="F19" s="6"/>
      <c r="G19" s="6">
        <f>IFERROR(IF(A19="","",SUM('Asset Allocation'!J19)/'Broad Asset Allocation'!B19),0)</f>
        <v>0</v>
      </c>
      <c r="H19" s="6">
        <f>IFERROR(IF(A19="","",SUM('Asset Allocation'!K19)/'Broad Asset Allocation'!B19),0)</f>
        <v>0</v>
      </c>
    </row>
    <row r="20" spans="1:8" x14ac:dyDescent="0.25">
      <c r="A20" t="str">
        <f>IF(Input!A21="","",Input!A21)</f>
        <v>WealthSelect Managed Passive 4P</v>
      </c>
      <c r="B20" s="6">
        <f>IFERROR(IF(A20="","",SUM('Asset Allocation'!G20)/'Broad Asset Allocation'!B20),0)</f>
        <v>0</v>
      </c>
      <c r="C20" s="6">
        <f>IFERROR(IF(A20="","",SUM('Asset Allocation'!F20)/'Broad Asset Allocation'!B20),0)</f>
        <v>0</v>
      </c>
      <c r="D20" s="6">
        <f>IFERROR(IF(A20="","",SUM('Asset Allocation'!H20)/'Broad Asset Allocation'!B20),0)</f>
        <v>0</v>
      </c>
      <c r="E20" s="6">
        <f>IFERROR(IF(A20="","",SUM('Asset Allocation'!I20)/'Broad Asset Allocation'!B20),0)</f>
        <v>0</v>
      </c>
      <c r="F20" s="6"/>
      <c r="G20" s="6">
        <f>IFERROR(IF(A20="","",SUM('Asset Allocation'!J20)/'Broad Asset Allocation'!B20),0)</f>
        <v>0</v>
      </c>
      <c r="H20" s="6">
        <f>IFERROR(IF(A20="","",SUM('Asset Allocation'!K20)/'Broad Asset Allocation'!B20),0)</f>
        <v>0</v>
      </c>
    </row>
    <row r="21" spans="1:8" x14ac:dyDescent="0.25">
      <c r="A21" t="str">
        <f>IF(Input!A22="","",Input!A22)</f>
        <v>WealthSelect Managed Passive 5</v>
      </c>
      <c r="B21" s="6">
        <f>IFERROR(IF(A21="","",SUM('Asset Allocation'!G21)/'Broad Asset Allocation'!B21),0)</f>
        <v>0</v>
      </c>
      <c r="C21" s="6">
        <f>IFERROR(IF(A21="","",SUM('Asset Allocation'!F21)/'Broad Asset Allocation'!B21),0)</f>
        <v>0</v>
      </c>
      <c r="D21" s="6">
        <f>IFERROR(IF(A21="","",SUM('Asset Allocation'!H21)/'Broad Asset Allocation'!B21),0)</f>
        <v>0</v>
      </c>
      <c r="E21" s="6">
        <f>IFERROR(IF(A21="","",SUM('Asset Allocation'!I21)/'Broad Asset Allocation'!B21),0)</f>
        <v>0</v>
      </c>
      <c r="F21" s="6"/>
      <c r="G21" s="6">
        <f>IFERROR(IF(A21="","",SUM('Asset Allocation'!J21)/'Broad Asset Allocation'!B21),0)</f>
        <v>0</v>
      </c>
      <c r="H21" s="6">
        <f>IFERROR(IF(A21="","",SUM('Asset Allocation'!K21)/'Broad Asset Allocation'!B21),0)</f>
        <v>0</v>
      </c>
    </row>
    <row r="22" spans="1:8" x14ac:dyDescent="0.25">
      <c r="A22" t="str">
        <f>IF(Input!A23="","",Input!A23)</f>
        <v>WealthSelect Managed Passive 6</v>
      </c>
      <c r="B22" s="6">
        <f>IFERROR(IF(A22="","",SUM('Asset Allocation'!G22)/'Broad Asset Allocation'!B22),0)</f>
        <v>0</v>
      </c>
      <c r="C22" s="6">
        <f>IFERROR(IF(A22="","",SUM('Asset Allocation'!F22)/'Broad Asset Allocation'!B22),0)</f>
        <v>0</v>
      </c>
      <c r="D22" s="6">
        <f>IFERROR(IF(A22="","",SUM('Asset Allocation'!H22)/'Broad Asset Allocation'!B22),0)</f>
        <v>0</v>
      </c>
      <c r="E22" s="6">
        <f>IFERROR(IF(A22="","",SUM('Asset Allocation'!I22)/'Broad Asset Allocation'!B22),0)</f>
        <v>0</v>
      </c>
      <c r="F22" s="6"/>
      <c r="G22" s="6">
        <f>IFERROR(IF(A22="","",SUM('Asset Allocation'!J22)/'Broad Asset Allocation'!B22),0)</f>
        <v>0</v>
      </c>
      <c r="H22" s="6">
        <f>IFERROR(IF(A22="","",SUM('Asset Allocation'!K22)/'Broad Asset Allocation'!B22),0)</f>
        <v>0</v>
      </c>
    </row>
    <row r="23" spans="1:8" x14ac:dyDescent="0.25">
      <c r="A23" t="str">
        <f>IF(Input!A24="","",Input!A24)</f>
        <v>WealthSelect Managed Passive 7</v>
      </c>
      <c r="B23" s="6">
        <f>IFERROR(IF(A23="","",SUM('Asset Allocation'!G23)/'Broad Asset Allocation'!B23),0)</f>
        <v>0</v>
      </c>
      <c r="C23" s="6">
        <f>IFERROR(IF(A23="","",SUM('Asset Allocation'!F23)/'Broad Asset Allocation'!B23),0)</f>
        <v>0</v>
      </c>
      <c r="D23" s="6">
        <f>IFERROR(IF(A23="","",SUM('Asset Allocation'!H23)/'Broad Asset Allocation'!B23),0)</f>
        <v>0</v>
      </c>
      <c r="E23" s="6">
        <f>IFERROR(IF(A23="","",SUM('Asset Allocation'!I23)/'Broad Asset Allocation'!B23),0)</f>
        <v>0</v>
      </c>
      <c r="F23" s="6"/>
      <c r="G23" s="6">
        <f>IFERROR(IF(A23="","",SUM('Asset Allocation'!J23)/'Broad Asset Allocation'!B23),0)</f>
        <v>0</v>
      </c>
      <c r="H23" s="6">
        <f>IFERROR(IF(A23="","",SUM('Asset Allocation'!K23)/'Broad Asset Allocation'!B23),0)</f>
        <v>0</v>
      </c>
    </row>
    <row r="24" spans="1:8" x14ac:dyDescent="0.25">
      <c r="A24" t="str">
        <f>IF(Input!A25="","",Input!A25)</f>
        <v>WealthSelect Managed Passive 8</v>
      </c>
      <c r="B24" s="6">
        <f>IFERROR(IF(A24="","",SUM('Asset Allocation'!G24)/'Broad Asset Allocation'!B24),0)</f>
        <v>0</v>
      </c>
      <c r="C24" s="6">
        <f>IFERROR(IF(A24="","",SUM('Asset Allocation'!F24)/'Broad Asset Allocation'!B24),0)</f>
        <v>0</v>
      </c>
      <c r="D24" s="6">
        <f>IFERROR(IF(A24="","",SUM('Asset Allocation'!H24)/'Broad Asset Allocation'!B24),0)</f>
        <v>0</v>
      </c>
      <c r="E24" s="6">
        <f>IFERROR(IF(A24="","",SUM('Asset Allocation'!I24)/'Broad Asset Allocation'!B24),0)</f>
        <v>0</v>
      </c>
      <c r="F24" s="6"/>
      <c r="G24" s="6">
        <f>IFERROR(IF(A24="","",SUM('Asset Allocation'!J24)/'Broad Asset Allocation'!B24),0)</f>
        <v>0</v>
      </c>
      <c r="H24" s="6">
        <f>IFERROR(IF(A24="","",SUM('Asset Allocation'!K24)/'Broad Asset Allocation'!B24),0)</f>
        <v>0</v>
      </c>
    </row>
    <row r="25" spans="1:8" x14ac:dyDescent="0.25">
      <c r="A25" t="str">
        <f>IF(Input!A26="","",Input!A26)</f>
        <v>WealthSelect Managed Passive 9</v>
      </c>
      <c r="B25" s="6">
        <f>IFERROR(IF(A25="","",SUM('Asset Allocation'!G25)/'Broad Asset Allocation'!B25),0)</f>
        <v>0</v>
      </c>
      <c r="C25" s="6">
        <f>IFERROR(IF(A25="","",SUM('Asset Allocation'!F25)/'Broad Asset Allocation'!B25),0)</f>
        <v>0</v>
      </c>
      <c r="D25" s="6">
        <f>IFERROR(IF(A25="","",SUM('Asset Allocation'!H25)/'Broad Asset Allocation'!B25),0)</f>
        <v>0</v>
      </c>
      <c r="E25" s="6">
        <f>IFERROR(IF(A25="","",SUM('Asset Allocation'!I25)/'Broad Asset Allocation'!B25),0)</f>
        <v>0</v>
      </c>
      <c r="F25" s="6"/>
      <c r="G25" s="6">
        <f>IFERROR(IF(A25="","",SUM('Asset Allocation'!J25)/'Broad Asset Allocation'!B25),0)</f>
        <v>0</v>
      </c>
      <c r="H25" s="6">
        <f>IFERROR(IF(A25="","",SUM('Asset Allocation'!K25)/'Broad Asset Allocation'!B25),0)</f>
        <v>0</v>
      </c>
    </row>
    <row r="26" spans="1:8" x14ac:dyDescent="0.25">
      <c r="A26" t="str">
        <f>IF(Input!A27="","",Input!A27)</f>
        <v>WealthSelect Sustainable Active 10</v>
      </c>
      <c r="B26" s="6">
        <f>IFERROR(IF(A26="","",SUM('Asset Allocation'!G26)/'Broad Asset Allocation'!B26),0)</f>
        <v>0</v>
      </c>
      <c r="C26" s="6">
        <f>IFERROR(IF(A26="","",SUM('Asset Allocation'!F26)/'Broad Asset Allocation'!B26),0)</f>
        <v>0</v>
      </c>
      <c r="D26" s="6">
        <f>IFERROR(IF(A26="","",SUM('Asset Allocation'!H26)/'Broad Asset Allocation'!B26),0)</f>
        <v>0</v>
      </c>
      <c r="E26" s="6">
        <f>IFERROR(IF(A26="","",SUM('Asset Allocation'!I26)/'Broad Asset Allocation'!B26),0)</f>
        <v>0</v>
      </c>
      <c r="F26" s="6"/>
      <c r="G26" s="6">
        <f>IFERROR(IF(A26="","",SUM('Asset Allocation'!J26)/'Broad Asset Allocation'!B26),0)</f>
        <v>0</v>
      </c>
      <c r="H26" s="6">
        <f>IFERROR(IF(A26="","",SUM('Asset Allocation'!K26)/'Broad Asset Allocation'!B26),0)</f>
        <v>0</v>
      </c>
    </row>
    <row r="27" spans="1:8" x14ac:dyDescent="0.25">
      <c r="A27" t="str">
        <f>IF(Input!A28="","",Input!A28)</f>
        <v>WealthSelect Sustainable Active 3</v>
      </c>
      <c r="B27" s="6">
        <f>IFERROR(IF(A27="","",SUM('Asset Allocation'!G27)/'Broad Asset Allocation'!B27),0)</f>
        <v>0</v>
      </c>
      <c r="C27" s="6">
        <f>IFERROR(IF(A27="","",SUM('Asset Allocation'!F27)/'Broad Asset Allocation'!B27),0)</f>
        <v>0</v>
      </c>
      <c r="D27" s="6">
        <f>IFERROR(IF(A27="","",SUM('Asset Allocation'!H27)/'Broad Asset Allocation'!B27),0)</f>
        <v>0</v>
      </c>
      <c r="E27" s="6">
        <f>IFERROR(IF(A27="","",SUM('Asset Allocation'!I27)/'Broad Asset Allocation'!B27),0)</f>
        <v>0</v>
      </c>
      <c r="F27" s="6"/>
      <c r="G27" s="6">
        <f>IFERROR(IF(A27="","",SUM('Asset Allocation'!J27)/'Broad Asset Allocation'!B27),0)</f>
        <v>0</v>
      </c>
      <c r="H27" s="6">
        <f>IFERROR(IF(A27="","",SUM('Asset Allocation'!K27)/'Broad Asset Allocation'!B27),0)</f>
        <v>0</v>
      </c>
    </row>
    <row r="28" spans="1:8" x14ac:dyDescent="0.25">
      <c r="A28" t="str">
        <f>IF(Input!A29="","",Input!A29)</f>
        <v>WealthSelect Sustainable Active 4</v>
      </c>
      <c r="B28" s="6">
        <f>IFERROR(IF(A28="","",SUM('Asset Allocation'!G28)/'Broad Asset Allocation'!B28),0)</f>
        <v>0</v>
      </c>
      <c r="C28" s="6">
        <f>IFERROR(IF(A28="","",SUM('Asset Allocation'!F28)/'Broad Asset Allocation'!B28),0)</f>
        <v>0</v>
      </c>
      <c r="D28" s="6">
        <f>IFERROR(IF(A28="","",SUM('Asset Allocation'!H28)/'Broad Asset Allocation'!B28),0)</f>
        <v>0</v>
      </c>
      <c r="E28" s="6">
        <f>IFERROR(IF(A28="","",SUM('Asset Allocation'!I28)/'Broad Asset Allocation'!B28),0)</f>
        <v>0</v>
      </c>
      <c r="F28" s="6"/>
      <c r="G28" s="6">
        <f>IFERROR(IF(A28="","",SUM('Asset Allocation'!J28)/'Broad Asset Allocation'!B28),0)</f>
        <v>0</v>
      </c>
      <c r="H28" s="6">
        <f>IFERROR(IF(A28="","",SUM('Asset Allocation'!K28)/'Broad Asset Allocation'!B28),0)</f>
        <v>0</v>
      </c>
    </row>
    <row r="29" spans="1:8" x14ac:dyDescent="0.25">
      <c r="A29" t="str">
        <f>IF(Input!A30="","",Input!A30)</f>
        <v>WealthSelect Sustainable Active 5</v>
      </c>
      <c r="B29" s="6">
        <f>IFERROR(IF(A29="","",SUM('Asset Allocation'!G29)/'Broad Asset Allocation'!B29),0)</f>
        <v>0</v>
      </c>
      <c r="C29" s="6">
        <f>IFERROR(IF(A29="","",SUM('Asset Allocation'!F29)/'Broad Asset Allocation'!B29),0)</f>
        <v>0</v>
      </c>
      <c r="D29" s="6">
        <f>IFERROR(IF(A29="","",SUM('Asset Allocation'!H29)/'Broad Asset Allocation'!B29),0)</f>
        <v>0</v>
      </c>
      <c r="E29" s="6">
        <f>IFERROR(IF(A29="","",SUM('Asset Allocation'!I29)/'Broad Asset Allocation'!B29),0)</f>
        <v>0</v>
      </c>
      <c r="F29" s="6"/>
      <c r="G29" s="6">
        <f>IFERROR(IF(A29="","",SUM('Asset Allocation'!J29)/'Broad Asset Allocation'!B29),0)</f>
        <v>0</v>
      </c>
      <c r="H29" s="6">
        <f>IFERROR(IF(A29="","",SUM('Asset Allocation'!K29)/'Broad Asset Allocation'!B29),0)</f>
        <v>0</v>
      </c>
    </row>
    <row r="30" spans="1:8" x14ac:dyDescent="0.25">
      <c r="A30" t="str">
        <f>IF(Input!A31="","",Input!A31)</f>
        <v>WealthSelect Sustainable Active 6</v>
      </c>
      <c r="B30" s="6">
        <f>IFERROR(IF(A30="","",SUM('Asset Allocation'!G30)/'Broad Asset Allocation'!B30),0)</f>
        <v>0</v>
      </c>
      <c r="C30" s="6">
        <f>IFERROR(IF(A30="","",SUM('Asset Allocation'!F30)/'Broad Asset Allocation'!B30),0)</f>
        <v>0</v>
      </c>
      <c r="D30" s="6">
        <f>IFERROR(IF(A30="","",SUM('Asset Allocation'!H30)/'Broad Asset Allocation'!B30),0)</f>
        <v>0</v>
      </c>
      <c r="E30" s="6">
        <f>IFERROR(IF(A30="","",SUM('Asset Allocation'!I30)/'Broad Asset Allocation'!B30),0)</f>
        <v>0</v>
      </c>
      <c r="F30" s="6"/>
      <c r="G30" s="6">
        <f>IFERROR(IF(A30="","",SUM('Asset Allocation'!J30)/'Broad Asset Allocation'!B30),0)</f>
        <v>0</v>
      </c>
      <c r="H30" s="6">
        <f>IFERROR(IF(A30="","",SUM('Asset Allocation'!K30)/'Broad Asset Allocation'!B30),0)</f>
        <v>0</v>
      </c>
    </row>
    <row r="31" spans="1:8" x14ac:dyDescent="0.25">
      <c r="A31" t="str">
        <f>IF(Input!A32="","",Input!A32)</f>
        <v>WealthSelect Sustainable Active 7</v>
      </c>
      <c r="B31" s="6">
        <f>IFERROR(IF(A31="","",SUM('Asset Allocation'!G31)/'Broad Asset Allocation'!B31),0)</f>
        <v>0</v>
      </c>
      <c r="C31" s="6">
        <f>IFERROR(IF(A31="","",SUM('Asset Allocation'!F31)/'Broad Asset Allocation'!B31),0)</f>
        <v>0</v>
      </c>
      <c r="D31" s="6">
        <f>IFERROR(IF(A31="","",SUM('Asset Allocation'!H31)/'Broad Asset Allocation'!B31),0)</f>
        <v>0</v>
      </c>
      <c r="E31" s="6">
        <f>IFERROR(IF(A31="","",SUM('Asset Allocation'!I31)/'Broad Asset Allocation'!B31),0)</f>
        <v>0</v>
      </c>
      <c r="F31" s="6"/>
      <c r="G31" s="6">
        <f>IFERROR(IF(A31="","",SUM('Asset Allocation'!J31)/'Broad Asset Allocation'!B31),0)</f>
        <v>0</v>
      </c>
      <c r="H31" s="6">
        <f>IFERROR(IF(A31="","",SUM('Asset Allocation'!K31)/'Broad Asset Allocation'!B31),0)</f>
        <v>0</v>
      </c>
    </row>
    <row r="32" spans="1:8" x14ac:dyDescent="0.25">
      <c r="A32" t="str">
        <f>IF(Input!A33="","",Input!A33)</f>
        <v>WealthSelect Sustainable Active 8</v>
      </c>
      <c r="B32" s="6">
        <f>IFERROR(IF(A32="","",SUM('Asset Allocation'!G32)/'Broad Asset Allocation'!B32),0)</f>
        <v>0</v>
      </c>
      <c r="C32" s="6">
        <f>IFERROR(IF(A32="","",SUM('Asset Allocation'!F32)/'Broad Asset Allocation'!B32),0)</f>
        <v>0</v>
      </c>
      <c r="D32" s="6">
        <f>IFERROR(IF(A32="","",SUM('Asset Allocation'!H32)/'Broad Asset Allocation'!B32),0)</f>
        <v>0</v>
      </c>
      <c r="E32" s="6">
        <f>IFERROR(IF(A32="","",SUM('Asset Allocation'!I32)/'Broad Asset Allocation'!B32),0)</f>
        <v>0</v>
      </c>
      <c r="F32" s="6"/>
      <c r="G32" s="6">
        <f>IFERROR(IF(A32="","",SUM('Asset Allocation'!J32)/'Broad Asset Allocation'!B32),0)</f>
        <v>0</v>
      </c>
      <c r="H32" s="6">
        <f>IFERROR(IF(A32="","",SUM('Asset Allocation'!K32)/'Broad Asset Allocation'!B32),0)</f>
        <v>0</v>
      </c>
    </row>
    <row r="33" spans="1:8" x14ac:dyDescent="0.25">
      <c r="A33" t="str">
        <f>IF(Input!A34="","",Input!A34)</f>
        <v>WealthSelect Sustainable Active 9</v>
      </c>
      <c r="B33" s="6">
        <f>IFERROR(IF(A33="","",SUM('Asset Allocation'!G33)/'Broad Asset Allocation'!B33),0)</f>
        <v>0</v>
      </c>
      <c r="C33" s="6">
        <f>IFERROR(IF(A33="","",SUM('Asset Allocation'!F33)/'Broad Asset Allocation'!B33),0)</f>
        <v>0</v>
      </c>
      <c r="D33" s="6">
        <f>IFERROR(IF(A33="","",SUM('Asset Allocation'!H33)/'Broad Asset Allocation'!B33),0)</f>
        <v>0</v>
      </c>
      <c r="E33" s="6">
        <f>IFERROR(IF(A33="","",SUM('Asset Allocation'!I33)/'Broad Asset Allocation'!B33),0)</f>
        <v>0</v>
      </c>
      <c r="F33" s="6"/>
      <c r="G33" s="6">
        <f>IFERROR(IF(A33="","",SUM('Asset Allocation'!J33)/'Broad Asset Allocation'!B33),0)</f>
        <v>0</v>
      </c>
      <c r="H33" s="6">
        <f>IFERROR(IF(A33="","",SUM('Asset Allocation'!K33)/'Broad Asset Allocation'!B33),0)</f>
        <v>0</v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WealthSelect Managed Active 10</v>
      </c>
      <c r="H2">
        <f>IFERROR(IF(A2="","",SUM('Asset Allocation'!C2)/'Broad Asset Allocation'!C2),0)</f>
        <v>0</v>
      </c>
    </row>
    <row r="3" spans="1:8" x14ac:dyDescent="0.25">
      <c r="A3" t="str">
        <f>IF(Input!A4="","",Input!A4)</f>
        <v>WealthSelect Managed Active 3</v>
      </c>
      <c r="H3">
        <f>IFERROR(IF(A3="","",SUM('Asset Allocation'!C3)/'Broad Asset Allocation'!C3),0)</f>
        <v>0</v>
      </c>
    </row>
    <row r="4" spans="1:8" x14ac:dyDescent="0.25">
      <c r="A4" t="str">
        <f>IF(Input!A5="","",Input!A5)</f>
        <v>WealthSelect Managed Active 4</v>
      </c>
      <c r="H4">
        <f>IFERROR(IF(A4="","",SUM('Asset Allocation'!C4)/'Broad Asset Allocation'!C4),0)</f>
        <v>0</v>
      </c>
    </row>
    <row r="5" spans="1:8" x14ac:dyDescent="0.25">
      <c r="A5" t="str">
        <f>IF(Input!A6="","",Input!A6)</f>
        <v>WealthSelect Managed Active 5</v>
      </c>
      <c r="H5">
        <f>IFERROR(IF(A5="","",SUM('Asset Allocation'!C5)/'Broad Asset Allocation'!C5),0)</f>
        <v>0</v>
      </c>
    </row>
    <row r="6" spans="1:8" x14ac:dyDescent="0.25">
      <c r="A6" t="str">
        <f>IF(Input!A7="","",Input!A7)</f>
        <v>WealthSelect Managed Active 6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WealthSelect Managed Active 7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>WealthSelect Managed Active 8</v>
      </c>
      <c r="H8">
        <f>IFERROR(IF(A8="","",SUM('Asset Allocation'!C8)/'Broad Asset Allocation'!C8),0)</f>
        <v>0</v>
      </c>
    </row>
    <row r="9" spans="1:8" x14ac:dyDescent="0.25">
      <c r="A9" t="str">
        <f>IF(Input!A10="","",Input!A10)</f>
        <v>WealthSelect Managed Active 9</v>
      </c>
      <c r="H9">
        <f>IFERROR(IF(A9="","",SUM('Asset Allocation'!C9)/'Broad Asset Allocation'!C9),0)</f>
        <v>0</v>
      </c>
    </row>
    <row r="10" spans="1:8" x14ac:dyDescent="0.25">
      <c r="A10" t="str">
        <f>IF(Input!A11="","",Input!A11)</f>
        <v>WealthSelect Managed Blend 10</v>
      </c>
      <c r="H10">
        <f>IFERROR(IF(A10="","",SUM('Asset Allocation'!C10)/'Broad Asset Allocation'!C10),0)</f>
        <v>0</v>
      </c>
    </row>
    <row r="11" spans="1:8" x14ac:dyDescent="0.25">
      <c r="A11" t="str">
        <f>IF(Input!A12="","",Input!A12)</f>
        <v>WealthSelect Managed Blend 3</v>
      </c>
      <c r="H11">
        <f>IFERROR(IF(A11="","",SUM('Asset Allocation'!C11)/'Broad Asset Allocation'!C11),0)</f>
        <v>0</v>
      </c>
    </row>
    <row r="12" spans="1:8" x14ac:dyDescent="0.25">
      <c r="A12" t="str">
        <f>IF(Input!A13="","",Input!A13)</f>
        <v>WealthSelect Managed Blend 4</v>
      </c>
      <c r="H12">
        <f>IFERROR(IF(A12="","",SUM('Asset Allocation'!C12)/'Broad Asset Allocation'!C12),0)</f>
        <v>0</v>
      </c>
    </row>
    <row r="13" spans="1:8" x14ac:dyDescent="0.25">
      <c r="A13" t="str">
        <f>IF(Input!A14="","",Input!A14)</f>
        <v>WealthSelect Managed Blend 5</v>
      </c>
      <c r="H13">
        <f>IFERROR(IF(A13="","",SUM('Asset Allocation'!C13)/'Broad Asset Allocation'!C13),0)</f>
        <v>0</v>
      </c>
    </row>
    <row r="14" spans="1:8" x14ac:dyDescent="0.25">
      <c r="A14" t="str">
        <f>IF(Input!A15="","",Input!A15)</f>
        <v>WealthSelect Managed Blend 6</v>
      </c>
      <c r="H14">
        <f>IFERROR(IF(A14="","",SUM('Asset Allocation'!C14)/'Broad Asset Allocation'!C14),0)</f>
        <v>0</v>
      </c>
    </row>
    <row r="15" spans="1:8" x14ac:dyDescent="0.25">
      <c r="A15" t="str">
        <f>IF(Input!A16="","",Input!A16)</f>
        <v>WealthSelect Managed Blend 7</v>
      </c>
      <c r="H15">
        <f>IFERROR(IF(A15="","",SUM('Asset Allocation'!C15)/'Broad Asset Allocation'!C15),0)</f>
        <v>0</v>
      </c>
    </row>
    <row r="16" spans="1:8" x14ac:dyDescent="0.25">
      <c r="A16" t="str">
        <f>IF(Input!A17="","",Input!A17)</f>
        <v>WealthSelect Managed Blend 8</v>
      </c>
      <c r="H16">
        <f>IFERROR(IF(A16="","",SUM('Asset Allocation'!C16)/'Broad Asset Allocation'!C16),0)</f>
        <v>0</v>
      </c>
    </row>
    <row r="17" spans="1:8" x14ac:dyDescent="0.25">
      <c r="A17" t="str">
        <f>IF(Input!A18="","",Input!A18)</f>
        <v>WealthSelect Managed Blend 9</v>
      </c>
      <c r="H17">
        <f>IFERROR(IF(A17="","",SUM('Asset Allocation'!C17)/'Broad Asset Allocation'!C17),0)</f>
        <v>0</v>
      </c>
    </row>
    <row r="18" spans="1:8" x14ac:dyDescent="0.25">
      <c r="A18" t="str">
        <f>IF(Input!A19="","",Input!A19)</f>
        <v>WealthSelect Managed Passive 10</v>
      </c>
      <c r="H18">
        <f>IFERROR(IF(A18="","",SUM('Asset Allocation'!C18)/'Broad Asset Allocation'!C18),0)</f>
        <v>0</v>
      </c>
    </row>
    <row r="19" spans="1:8" x14ac:dyDescent="0.25">
      <c r="A19" t="str">
        <f>IF(Input!A20="","",Input!A20)</f>
        <v>WealthSelect Managed Passive 3</v>
      </c>
      <c r="H19">
        <f>IFERROR(IF(A19="","",SUM('Asset Allocation'!C19)/'Broad Asset Allocation'!C19),0)</f>
        <v>0</v>
      </c>
    </row>
    <row r="20" spans="1:8" x14ac:dyDescent="0.25">
      <c r="A20" t="str">
        <f>IF(Input!A21="","",Input!A21)</f>
        <v>WealthSelect Managed Passive 4P</v>
      </c>
      <c r="H20">
        <f>IFERROR(IF(A20="","",SUM('Asset Allocation'!C20)/'Broad Asset Allocation'!C20),0)</f>
        <v>0</v>
      </c>
    </row>
    <row r="21" spans="1:8" x14ac:dyDescent="0.25">
      <c r="A21" t="str">
        <f>IF(Input!A22="","",Input!A22)</f>
        <v>WealthSelect Managed Passive 5</v>
      </c>
      <c r="H21">
        <f>IFERROR(IF(A21="","",SUM('Asset Allocation'!C21)/'Broad Asset Allocation'!C21),0)</f>
        <v>0</v>
      </c>
    </row>
    <row r="22" spans="1:8" x14ac:dyDescent="0.25">
      <c r="A22" t="str">
        <f>IF(Input!A23="","",Input!A23)</f>
        <v>WealthSelect Managed Passive 6</v>
      </c>
      <c r="H22">
        <f>IFERROR(IF(A22="","",SUM('Asset Allocation'!C22)/'Broad Asset Allocation'!C22),0)</f>
        <v>0</v>
      </c>
    </row>
    <row r="23" spans="1:8" x14ac:dyDescent="0.25">
      <c r="A23" t="str">
        <f>IF(Input!A24="","",Input!A24)</f>
        <v>WealthSelect Managed Passive 7</v>
      </c>
      <c r="H23">
        <f>IFERROR(IF(A23="","",SUM('Asset Allocation'!C23)/'Broad Asset Allocation'!C23),0)</f>
        <v>0</v>
      </c>
    </row>
    <row r="24" spans="1:8" x14ac:dyDescent="0.25">
      <c r="A24" t="str">
        <f>IF(Input!A25="","",Input!A25)</f>
        <v>WealthSelect Managed Passive 8</v>
      </c>
      <c r="H24">
        <f>IFERROR(IF(A24="","",SUM('Asset Allocation'!C24)/'Broad Asset Allocation'!C24),0)</f>
        <v>0</v>
      </c>
    </row>
    <row r="25" spans="1:8" x14ac:dyDescent="0.25">
      <c r="A25" t="str">
        <f>IF(Input!A26="","",Input!A26)</f>
        <v>WealthSelect Managed Passive 9</v>
      </c>
      <c r="H25">
        <f>IFERROR(IF(A25="","",SUM('Asset Allocation'!C25)/'Broad Asset Allocation'!C25),0)</f>
        <v>0</v>
      </c>
    </row>
    <row r="26" spans="1:8" x14ac:dyDescent="0.25">
      <c r="A26" t="str">
        <f>IF(Input!A27="","",Input!A27)</f>
        <v>WealthSelect Sustainable Active 10</v>
      </c>
      <c r="H26">
        <f>IFERROR(IF(A26="","",SUM('Asset Allocation'!C26)/'Broad Asset Allocation'!C26),0)</f>
        <v>0</v>
      </c>
    </row>
    <row r="27" spans="1:8" x14ac:dyDescent="0.25">
      <c r="A27" t="str">
        <f>IF(Input!A28="","",Input!A28)</f>
        <v>WealthSelect Sustainable Active 3</v>
      </c>
      <c r="H27">
        <f>IFERROR(IF(A27="","",SUM('Asset Allocation'!C27)/'Broad Asset Allocation'!C27),0)</f>
        <v>0</v>
      </c>
    </row>
    <row r="28" spans="1:8" x14ac:dyDescent="0.25">
      <c r="A28" t="str">
        <f>IF(Input!A29="","",Input!A29)</f>
        <v>WealthSelect Sustainable Active 4</v>
      </c>
      <c r="H28">
        <f>IFERROR(IF(A28="","",SUM('Asset Allocation'!C28)/'Broad Asset Allocation'!C28),0)</f>
        <v>0</v>
      </c>
    </row>
    <row r="29" spans="1:8" x14ac:dyDescent="0.25">
      <c r="A29" t="str">
        <f>IF(Input!A30="","",Input!A30)</f>
        <v>WealthSelect Sustainable Active 5</v>
      </c>
      <c r="H29">
        <f>IFERROR(IF(A29="","",SUM('Asset Allocation'!C29)/'Broad Asset Allocation'!C29),0)</f>
        <v>0</v>
      </c>
    </row>
    <row r="30" spans="1:8" x14ac:dyDescent="0.25">
      <c r="A30" t="str">
        <f>IF(Input!A31="","",Input!A31)</f>
        <v>WealthSelect Sustainable Active 6</v>
      </c>
      <c r="H30">
        <f>IFERROR(IF(A30="","",SUM('Asset Allocation'!C30)/'Broad Asset Allocation'!C30),0)</f>
        <v>0</v>
      </c>
    </row>
    <row r="31" spans="1:8" x14ac:dyDescent="0.25">
      <c r="A31" t="str">
        <f>IF(Input!A32="","",Input!A32)</f>
        <v>WealthSelect Sustainable Active 7</v>
      </c>
      <c r="H31">
        <f>IFERROR(IF(A31="","",SUM('Asset Allocation'!C31)/'Broad Asset Allocation'!C31),0)</f>
        <v>0</v>
      </c>
    </row>
    <row r="32" spans="1:8" x14ac:dyDescent="0.25">
      <c r="A32" t="str">
        <f>IF(Input!A33="","",Input!A33)</f>
        <v>WealthSelect Sustainable Active 8</v>
      </c>
      <c r="H32">
        <f>IFERROR(IF(A32="","",SUM('Asset Allocation'!C32)/'Broad Asset Allocation'!C32),0)</f>
        <v>0</v>
      </c>
    </row>
    <row r="33" spans="1:8" x14ac:dyDescent="0.25">
      <c r="A33" t="str">
        <f>IF(Input!A34="","",Input!A34)</f>
        <v>WealthSelect Sustainable Active 9</v>
      </c>
      <c r="H33">
        <f>IFERROR(IF(A33="","",SUM('Asset Allocation'!C33)/'Broad Asset Allocation'!C33),0)</f>
        <v>0</v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4P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4P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4P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4P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4P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4P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4P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4P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4P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4P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4P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4P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4P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4P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4P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4P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4P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4P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4P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4P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4P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4P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4P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4P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4P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4P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4P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2023-10-20T18:07:31Z</dcterms:modified>
</cp:coreProperties>
</file>