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8_milestone\Rathbones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<sst xmlns="http://schemas.openxmlformats.org/spreadsheetml/2006/main" count="81" uniqueCount="61">
  <si>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</si>
  <si>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</si>
  <si>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</si>
  <si>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</si>
  <si>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</si>
  <si>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</si>
  <si>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</si>
  <si>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</si>
  <si>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</si>
  <si>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</si>
  <si>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</si>
  <si>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</si>
  <si>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</si>
  <si>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</si>
  <si>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</si>
  <si>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</si>
  <si>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</si>
  <si>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</si>
  <si>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</si>
  <si>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</si>
  <si>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</si>
  <si>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</si>
  <si>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</si>
  <si>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</si>
  <si>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</si>
  <si>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</si>
  <si>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</si>
  <si>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</si>
  <si>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</si>
  <si>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</si>
  <si>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</si>
  <si>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</si>
  <si>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</si>
  <si>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</si>
  <si>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</si>
  <si>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1 year</t>
  </si>
  <si>
    <t>3 years</t>
  </si>
  <si>
    <t>5 years</t>
  </si>
  <si>
    <t>https://www.rathbones.com/advisers/financial-advisers/managed-portfolio-service</t>
  </si>
  <si>
    <t>Select Strategy Document</t>
  </si>
  <si>
    <t>Core Strategy 2</t>
  </si>
  <si>
    <t>Core Strategy 3</t>
  </si>
  <si>
    <t>Core Strategy 4 - Income</t>
  </si>
  <si>
    <t>Core Strategy 4</t>
  </si>
  <si>
    <t>Core Strategy 5</t>
  </si>
  <si>
    <t>Core Strategy 6</t>
  </si>
  <si>
    <t>Equities</t>
  </si>
  <si>
    <t>Conventional government bonds</t>
  </si>
  <si>
    <t>Alternative investment strategies</t>
  </si>
  <si>
    <t>Corporate bonds</t>
  </si>
  <si>
    <t>Cash and equivalents</t>
  </si>
  <si>
    <t>Commodities</t>
  </si>
  <si>
    <t>Emerging market debt</t>
  </si>
  <si>
    <t>Private equity</t>
  </si>
  <si>
    <t>Equities (Overseas developed)</t>
  </si>
  <si>
    <t>Equities (UK)</t>
  </si>
  <si>
    <t>Equities (Asia/emerging markets)</t>
  </si>
  <si>
    <t>Corporate bonds (high yield)</t>
  </si>
  <si>
    <t>RIM administration fee</t>
  </si>
  <si>
    <t>OCF</t>
  </si>
  <si>
    <t>https://www.rathbones.com/sites/rathbones.com/files/rathbones_select_as_at_31_august_2023.pdf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</si>
</sst>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0" fontId="0" fillId="0" borderId="0" xfId="0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114300</xdr:rowOff>
    </xdr:from>
    <xdr:to>
      <xdr:col>5</xdr:col>
      <xdr:colOff>586239</xdr:colOff>
      <xdr:row>11</xdr:row>
      <xdr:rowOff>38279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B317768-0DE1-770A-6E76-563992B9E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98450"/>
          <a:ext cx="3634239" cy="1765479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11</xdr:row>
      <xdr:rowOff>152400</xdr:rowOff>
    </xdr:from>
    <xdr:to>
      <xdr:col>6</xdr:col>
      <xdr:colOff>311624</xdr:colOff>
      <xdr:row>22</xdr:row>
      <xdr:rowOff>89040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38150D8-4905-AE4F-5C0E-D679B1A27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00" y="2178050"/>
          <a:ext cx="3956524" cy="19622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4</xdr:col>
      <xdr:colOff>25527</xdr:colOff>
      <xdr:row>35</xdr:row>
      <xdr:rowOff>114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EF7EF37-DF83-F7EE-C238-06B49E509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235450"/>
          <a:ext cx="2463927" cy="220991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13</xdr:col>
      <xdr:colOff>101793</xdr:colOff>
      <xdr:row>16</xdr:row>
      <xdr:rowOff>19193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D2B58BB-913C-7E30-651A-7B3D9D8CB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3759393" cy="278144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12</xdr:col>
      <xdr:colOff>463730</xdr:colOff>
      <xdr:row>31</xdr:row>
      <xdr:rowOff>133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932ECB-3E25-D199-06B3-08B869CF2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67200" y="3130550"/>
          <a:ext cx="3511730" cy="25782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H18" sqref="H18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8"/>
  <sheetViews>
    <sheetView workbookViewId="0">
      <selection activeCell="L18" sqref="L18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40</v>
      </c>
      <c r="B3" t="str">
        <f>'PDF Scraping'!D2</f>
        <v>https://www.rathbones.com/sites/rathbones.com/files/rathbones_select_as_at_31_august_2023.pdf</v>
      </c>
      <c r="J3" s="4"/>
    </row>
    <row r="4" spans="1:10" x14ac:dyDescent="0.25">
      <c r="A4" t="s">
        <v>41</v>
      </c>
      <c r="B4" t="str">
        <f>'PDF Scraping'!D3</f>
        <v>https://www.rathbones.com/sites/rathbones.com/files/rathbones_select_as_at_31_august_2023.pdf</v>
      </c>
      <c r="J4" s="4"/>
    </row>
    <row r="5" spans="1:10" x14ac:dyDescent="0.25">
      <c r="A5" t="s">
        <v>42</v>
      </c>
      <c r="B5" t="str">
        <f>'PDF Scraping'!D4</f>
        <v>https://www.rathbones.com/sites/rathbones.com/files/rathbones_select_as_at_31_august_2023.pdf</v>
      </c>
    </row>
    <row r="6" spans="1:10" x14ac:dyDescent="0.25">
      <c r="A6" t="s">
        <v>43</v>
      </c>
      <c r="B6" t="str">
        <f>'PDF Scraping'!D5</f>
        <v>https://www.rathbones.com/sites/rathbones.com/files/rathbones_select_as_at_31_august_2023.pdf</v>
      </c>
    </row>
    <row r="7" spans="1:10" x14ac:dyDescent="0.25">
      <c r="A7" t="s">
        <v>44</v>
      </c>
      <c r="B7" t="str">
        <f>'PDF Scraping'!D6</f>
        <v>https://www.rathbones.com/sites/rathbones.com/files/rathbones_select_as_at_31_august_2023.pdf</v>
      </c>
    </row>
    <row r="8" spans="1:10" x14ac:dyDescent="0.25">
      <c r="A8" t="s">
        <v>45</v>
      </c>
      <c r="B8" t="str">
        <f>'PDF Scraping'!D7</f>
        <v>https://www.rathbones.com/sites/rathbones.com/files/rathbones_select_as_at_31_august_2023.pdf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D1" sqref="D1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58</v>
      </c>
      <c r="D1" s="10" t="s">
        <v>59</v>
      </c>
      <c r="E1" s="10" t="s">
        <v>35</v>
      </c>
      <c r="F1" t="s">
        <v>36</v>
      </c>
      <c r="G1" t="s">
        <v>37</v>
      </c>
    </row>
    <row r="2" spans="1:9" x14ac:dyDescent="0.25">
      <c r="A2" t="str">
        <f>IF(Input!A3="","",Input!A3)</f>
        <v>Core Strategy 2</v>
      </c>
      <c r="B2" s="1"/>
      <c r="F2" s="5"/>
      <c r="G2" s="5"/>
      <c r="H2" s="5"/>
      <c r="I2" s="5"/>
    </row>
    <row r="3" spans="1:9" x14ac:dyDescent="0.25">
      <c r="A3" t="str">
        <f>IF(Input!A4="","",Input!A4)</f>
        <v>Core Strategy 3</v>
      </c>
      <c r="B3" s="1"/>
      <c r="F3" s="5"/>
      <c r="G3" s="5"/>
      <c r="H3" s="5"/>
      <c r="I3" s="5"/>
    </row>
    <row r="4" spans="1:9" x14ac:dyDescent="0.25">
      <c r="A4" t="str">
        <f>IF(Input!A5="","",Input!A5)</f>
        <v>Core Strategy 4 - Income</v>
      </c>
      <c r="B4" s="1"/>
      <c r="F4" s="5"/>
      <c r="G4" s="5"/>
      <c r="H4" s="5"/>
      <c r="I4" s="5"/>
    </row>
    <row r="5" spans="1:9" x14ac:dyDescent="0.25">
      <c r="A5" t="str">
        <f>IF(Input!A6="","",Input!A6)</f>
        <v>Core Strategy 4</v>
      </c>
      <c r="B5" s="1"/>
      <c r="F5" s="5"/>
      <c r="G5" s="5"/>
      <c r="H5" s="5"/>
      <c r="I5" s="5"/>
    </row>
    <row r="6" spans="1:9" x14ac:dyDescent="0.25">
      <c r="A6" t="str">
        <f>IF(Input!A7="","",Input!A7)</f>
        <v>Core Strategy 5</v>
      </c>
      <c r="B6" s="1"/>
      <c r="F6" s="5"/>
      <c r="G6" s="5"/>
      <c r="H6" s="5"/>
      <c r="I6" s="5"/>
    </row>
    <row r="7" spans="1:9" x14ac:dyDescent="0.25">
      <c r="A7" t="str">
        <f>IF(Input!A8="","",Input!A8)</f>
        <v>Core Strategy 6</v>
      </c>
      <c r="B7" s="1"/>
      <c r="F7" s="5"/>
      <c r="G7" s="5"/>
      <c r="H7" s="5"/>
      <c r="I7" s="5"/>
    </row>
    <row r="8" spans="1:9" x14ac:dyDescent="0.25">
      <c r="A8" t="str">
        <f>IF(Input!A9="","",Input!A9)</f>
        <v/>
      </c>
      <c r="B8" s="1"/>
      <c r="F8" s="5"/>
      <c r="G8" s="5"/>
      <c r="H8" s="5"/>
      <c r="I8" s="5"/>
    </row>
    <row r="9" spans="1:9" x14ac:dyDescent="0.25">
      <c r="A9" t="str">
        <f>IF(Input!A10="","",Input!A10)</f>
        <v/>
      </c>
      <c r="B9" s="1"/>
      <c r="F9" s="5"/>
      <c r="G9" s="5"/>
      <c r="H9" s="5"/>
      <c r="I9" s="5"/>
    </row>
    <row r="10" spans="1:9" x14ac:dyDescent="0.25">
      <c r="A10" t="str">
        <f>IF(Input!A11="","",Input!A11)</f>
        <v/>
      </c>
      <c r="B10" s="1"/>
      <c r="F10" s="5"/>
      <c r="G10" s="5"/>
      <c r="H10" s="5"/>
      <c r="I10" s="5"/>
    </row>
    <row r="11" spans="1:9" x14ac:dyDescent="0.25">
      <c r="A11" t="str">
        <f>IF(Input!A12="","",Input!A12)</f>
        <v/>
      </c>
      <c r="B11" s="1"/>
      <c r="F11" s="5"/>
      <c r="G11" s="5"/>
      <c r="H11" s="5"/>
      <c r="I11" s="5"/>
    </row>
    <row r="12" spans="1:9" x14ac:dyDescent="0.25">
      <c r="A12" t="str">
        <f>IF(Input!A13="","",Input!A13)</f>
        <v/>
      </c>
      <c r="B12" s="1"/>
      <c r="F12" s="5"/>
      <c r="G12" s="5"/>
      <c r="H12" s="5"/>
      <c r="I12" s="5"/>
    </row>
    <row r="13" spans="1:9" x14ac:dyDescent="0.25">
      <c r="A13" t="str">
        <f>IF(Input!A14="","",Input!A14)</f>
        <v/>
      </c>
      <c r="B13" s="1"/>
      <c r="F13" s="5"/>
      <c r="G13" s="5"/>
      <c r="H13" s="5"/>
      <c r="I13" s="5"/>
    </row>
    <row r="14" spans="1:9" x14ac:dyDescent="0.25">
      <c r="A14" t="str">
        <f>IF(Input!A15="","",Input!A15)</f>
        <v/>
      </c>
      <c r="B14" s="1"/>
      <c r="F14" s="5"/>
      <c r="G14" s="5"/>
      <c r="H14" s="5"/>
      <c r="I14" s="5"/>
    </row>
    <row r="15" spans="1:9" x14ac:dyDescent="0.25">
      <c r="A15" t="str">
        <f>IF(Input!A16="","",Input!A16)</f>
        <v/>
      </c>
      <c r="B15" s="1"/>
      <c r="F15" s="5"/>
      <c r="G15" s="5"/>
      <c r="H15" s="5"/>
      <c r="I15" s="5"/>
    </row>
    <row r="16" spans="1:9" x14ac:dyDescent="0.25">
      <c r="A16" t="str">
        <f>IF(Input!A17="","",Input!A17)</f>
        <v/>
      </c>
      <c r="B16" s="1"/>
      <c r="F16" s="5"/>
      <c r="G16" s="5"/>
      <c r="H16" s="5"/>
      <c r="I16" s="5"/>
    </row>
    <row r="17" spans="1:9" x14ac:dyDescent="0.25">
      <c r="A17" t="str">
        <f>IF(Input!A18="","",Input!A18)</f>
        <v/>
      </c>
      <c r="B17" s="1"/>
      <c r="F17" s="5"/>
      <c r="G17" s="5"/>
      <c r="H17" s="5"/>
      <c r="I17" s="5"/>
    </row>
    <row r="18" spans="1:9" x14ac:dyDescent="0.25">
      <c r="A18" t="str">
        <f>IF(Input!A19="","",Input!A19)</f>
        <v/>
      </c>
      <c r="B18" s="1"/>
      <c r="F18" s="5"/>
      <c r="G18" s="5"/>
      <c r="H18" s="5"/>
      <c r="I18" s="5"/>
    </row>
    <row r="19" spans="1:9" x14ac:dyDescent="0.25">
      <c r="A19" t="str">
        <f>IF(Input!A20="","",Input!A20)</f>
        <v/>
      </c>
      <c r="B19" s="1"/>
      <c r="F19" s="5"/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workbookViewId="0">
      <selection activeCell="F11" sqref="F11"/>
    </sheetView>
  </sheetViews>
  <sheetFormatPr defaultRowHeight="15" x14ac:dyDescent="0.25"/>
  <cols>
    <col min="1" max="1" width="22.85546875" bestFit="1" customWidth="1"/>
    <col min="2" max="2" width="8.140625" style="10" bestFit="1" customWidth="1"/>
    <col min="3" max="3" width="30.7109375" style="10" bestFit="1" customWidth="1"/>
    <col min="4" max="4" width="31.42578125" style="10" bestFit="1" customWidth="1"/>
    <col min="5" max="5" width="15.85546875" style="10" bestFit="1" customWidth="1"/>
    <col min="6" max="6" width="20" style="10" bestFit="1" customWidth="1"/>
    <col min="7" max="7" width="12.85546875" style="10" bestFit="1" customWidth="1"/>
    <col min="8" max="8" width="20.85546875" style="10" bestFit="1" customWidth="1"/>
    <col min="9" max="9" width="13.5703125" style="10" bestFit="1" customWidth="1"/>
    <col min="10" max="10" width="28.7109375" style="10" bestFit="1" customWidth="1"/>
    <col min="11" max="11" width="12.42578125" style="10" bestFit="1" customWidth="1"/>
    <col min="12" max="12" width="31.28515625" bestFit="1" customWidth="1"/>
    <col min="13" max="13" width="26.85546875" bestFit="1" customWidth="1"/>
    <col min="14" max="14" width="20.85546875" bestFit="1" customWidth="1"/>
    <col min="15" max="15" width="15.85546875" bestFit="1" customWidth="1"/>
    <col min="16" max="16" width="13.57031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46</v>
      </c>
      <c r="C1" s="10" t="s">
        <v>47</v>
      </c>
      <c r="D1" s="10" t="s">
        <v>48</v>
      </c>
      <c r="E1" s="10" t="s">
        <v>49</v>
      </c>
      <c r="F1" s="10" t="s">
        <v>50</v>
      </c>
      <c r="G1" s="10" t="s">
        <v>51</v>
      </c>
      <c r="H1" s="10" t="s">
        <v>52</v>
      </c>
      <c r="I1" s="10" t="s">
        <v>53</v>
      </c>
      <c r="J1" s="10" t="s">
        <v>54</v>
      </c>
      <c r="K1" s="10" t="s">
        <v>55</v>
      </c>
      <c r="L1" t="s">
        <v>56</v>
      </c>
      <c r="M1" t="s">
        <v>57</v>
      </c>
      <c r="N1" t="s">
        <v>52</v>
      </c>
      <c r="O1" t="s">
        <v>49</v>
      </c>
      <c r="P1" t="s">
        <v>53</v>
      </c>
    </row>
    <row r="2" spans="1:30" x14ac:dyDescent="0.25">
      <c r="A2" t="str">
        <f>IF(Input!A3="","",Input!A3)</f>
        <v>Core Strategy 2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Core Strategy 3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Core Strategy 4 - Income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Core Strategy 4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Core Strategy 5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Core Strategy 6</v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/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/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C12" sqref="C12"/>
    </sheetView>
  </sheetViews>
  <sheetFormatPr defaultRowHeight="15" x14ac:dyDescent="0.25"/>
  <cols>
    <col min="1" max="1" width="22.85546875" bestFit="1" customWidth="1"/>
    <col min="2" max="2" width="77.85546875" bestFit="1" customWidth="1"/>
    <col min="3" max="3" width="24.140625" bestFit="1" customWidth="1"/>
    <col min="4" max="4" width="93.28515625" style="8" bestFit="1" customWidth="1"/>
    <col min="5" max="5" width="10.2851562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Core Strategy 2</v>
      </c>
      <c r="B2" s="11" t="s">
        <v>38</v>
      </c>
      <c r="C2" t="s">
        <v>39</v>
      </c>
      <c r="D2" s="8" t="s">
        <v>60</v>
      </c>
    </row>
    <row r="3" spans="1:5" x14ac:dyDescent="0.25">
      <c r="A3" t="str">
        <f>IF(Input!A4="","",Input!A4)</f>
        <v>Core Strategy 3</v>
      </c>
      <c r="B3" s="11" t="s">
        <v>38</v>
      </c>
      <c r="C3" t="s">
        <v>39</v>
      </c>
      <c r="D3" s="8" t="s">
        <v>60</v>
      </c>
    </row>
    <row r="4" spans="1:5" x14ac:dyDescent="0.25">
      <c r="A4" t="str">
        <f>IF(Input!A5="","",Input!A5)</f>
        <v>Core Strategy 4 - Income</v>
      </c>
      <c r="B4" s="11" t="s">
        <v>38</v>
      </c>
      <c r="C4" t="s">
        <v>39</v>
      </c>
      <c r="D4" s="8" t="s">
        <v>60</v>
      </c>
    </row>
    <row r="5" spans="1:5" x14ac:dyDescent="0.25">
      <c r="A5" t="str">
        <f>IF(Input!A6="","",Input!A6)</f>
        <v>Core Strategy 4</v>
      </c>
      <c r="B5" s="11" t="s">
        <v>38</v>
      </c>
      <c r="C5" t="s">
        <v>39</v>
      </c>
      <c r="D5" s="8" t="s">
        <v>60</v>
      </c>
    </row>
    <row r="6" spans="1:5" x14ac:dyDescent="0.25">
      <c r="A6" t="str">
        <f>IF(Input!A7="","",Input!A7)</f>
        <v>Core Strategy 5</v>
      </c>
      <c r="B6" s="11" t="s">
        <v>38</v>
      </c>
      <c r="C6" t="s">
        <v>39</v>
      </c>
      <c r="D6" s="8" t="s">
        <v>60</v>
      </c>
    </row>
    <row r="7" spans="1:5" x14ac:dyDescent="0.25">
      <c r="A7" t="str">
        <f>IF(Input!A8="","",Input!A8)</f>
        <v>Core Strategy 6</v>
      </c>
      <c r="B7" s="11" t="s">
        <v>38</v>
      </c>
      <c r="C7" t="s">
        <v>39</v>
      </c>
      <c r="D7" s="8" t="s">
        <v>60</v>
      </c>
    </row>
    <row r="8" spans="1:5" x14ac:dyDescent="0.25">
      <c r="A8" t="str">
        <f>IF(Input!A9="","",Input!A9)</f>
        <v/>
      </c>
      <c r="B8" s="11"/>
    </row>
    <row r="9" spans="1:5" x14ac:dyDescent="0.25">
      <c r="A9" t="str">
        <f>IF(Input!A10="","",Input!A10)</f>
        <v/>
      </c>
      <c r="B9" s="11"/>
    </row>
    <row r="10" spans="1:5" x14ac:dyDescent="0.25">
      <c r="A10" t="str">
        <f>IF(Input!A11="","",Input!A11)</f>
        <v/>
      </c>
      <c r="B10" s="11"/>
    </row>
    <row r="11" spans="1:5" x14ac:dyDescent="0.25">
      <c r="A11" t="str">
        <f>IF(Input!A12="","",Input!A12)</f>
        <v/>
      </c>
      <c r="B11" s="11"/>
    </row>
    <row r="12" spans="1:5" x14ac:dyDescent="0.25">
      <c r="A12" t="str">
        <f>IF(Input!A13="","",Input!A13)</f>
        <v/>
      </c>
      <c r="B12" s="11"/>
    </row>
    <row r="13" spans="1:5" x14ac:dyDescent="0.25">
      <c r="A13" t="str">
        <f>IF(Input!A14="","",Input!A14)</f>
        <v/>
      </c>
      <c r="B13" s="11"/>
    </row>
    <row r="14" spans="1:5" x14ac:dyDescent="0.25">
      <c r="A14" t="str">
        <f>IF(Input!A15="","",Input!A15)</f>
        <v/>
      </c>
      <c r="B14" s="11"/>
    </row>
    <row r="15" spans="1:5" x14ac:dyDescent="0.25">
      <c r="A15" t="str">
        <f>IF(Input!A16="","",Input!A16)</f>
        <v/>
      </c>
      <c r="B15" s="11"/>
    </row>
    <row r="16" spans="1:5" x14ac:dyDescent="0.25">
      <c r="A16" t="str">
        <f>IF(Input!A17="","",Input!A17)</f>
        <v/>
      </c>
      <c r="B16" s="11"/>
    </row>
    <row r="17" spans="1:2" x14ac:dyDescent="0.25">
      <c r="A17" t="str">
        <f>IF(Input!A18="","",Input!A18)</f>
        <v/>
      </c>
      <c r="B17" s="11"/>
    </row>
    <row r="18" spans="1:2" x14ac:dyDescent="0.25">
      <c r="A18" t="str">
        <f>IF(Input!A19="","",Input!A19)</f>
        <v/>
      </c>
      <c r="B18" s="11"/>
    </row>
    <row r="19" spans="1:2" x14ac:dyDescent="0.25">
      <c r="A19" t="str">
        <f>IF(Input!A20="","",Input!A20)</f>
        <v/>
      </c>
      <c r="B19" s="11"/>
    </row>
    <row r="20" spans="1:2" x14ac:dyDescent="0.25">
      <c r="A20" t="str">
        <f>IF(Input!A21="","",Input!A21)</f>
        <v/>
      </c>
      <c r="B20" s="11"/>
    </row>
    <row r="21" spans="1:2" x14ac:dyDescent="0.25">
      <c r="A21" t="str">
        <f>IF(Input!A22="","",Input!A22)</f>
        <v/>
      </c>
      <c r="B21" s="11"/>
    </row>
    <row r="22" spans="1:2" x14ac:dyDescent="0.25">
      <c r="A22" t="str">
        <f>IF(Input!A23="","",Input!A23)</f>
        <v/>
      </c>
      <c r="B22" s="11"/>
    </row>
    <row r="23" spans="1:2" x14ac:dyDescent="0.25">
      <c r="A23" t="str">
        <f>IF(Input!A24="","",Input!A24)</f>
        <v/>
      </c>
      <c r="B23" s="11"/>
    </row>
    <row r="24" spans="1:2" x14ac:dyDescent="0.25">
      <c r="A24" t="str">
        <f>IF(Input!A25="","",Input!A25)</f>
        <v/>
      </c>
      <c r="B24" s="11"/>
    </row>
    <row r="25" spans="1:2" x14ac:dyDescent="0.25">
      <c r="A25" t="str">
        <f>IF(Input!A26="","",Input!A26)</f>
        <v/>
      </c>
      <c r="B25" s="11"/>
    </row>
    <row r="26" spans="1:2" x14ac:dyDescent="0.25">
      <c r="A26" t="str">
        <f>IF(Input!A27="","",Input!A27)</f>
        <v/>
      </c>
      <c r="B26" s="11"/>
    </row>
    <row r="27" spans="1:2" x14ac:dyDescent="0.25">
      <c r="A27" t="str">
        <f>IF(Input!A28="","",Input!A28)</f>
        <v/>
      </c>
      <c r="B27" s="11"/>
    </row>
    <row r="28" spans="1:2" x14ac:dyDescent="0.25">
      <c r="A28" t="str">
        <f>IF(Input!A29="","",Input!A29)</f>
        <v/>
      </c>
      <c r="B28" s="11"/>
    </row>
    <row r="29" spans="1:2" x14ac:dyDescent="0.25">
      <c r="A29" t="str">
        <f>IF(Input!A30="","",Input!A30)</f>
        <v/>
      </c>
      <c r="B29" s="11"/>
    </row>
    <row r="30" spans="1:2" x14ac:dyDescent="0.25">
      <c r="A30" t="str">
        <f>IF(Input!A31="","",Input!A31)</f>
        <v/>
      </c>
      <c r="B30" s="11"/>
    </row>
    <row r="31" spans="1:2" x14ac:dyDescent="0.25">
      <c r="A31" t="str">
        <f>IF(Input!A32="","",Input!A32)</f>
        <v/>
      </c>
      <c r="B31" s="11"/>
    </row>
    <row r="32" spans="1:2" x14ac:dyDescent="0.25">
      <c r="A32" t="str">
        <f>IF(Input!A33="","",Input!A33)</f>
        <v/>
      </c>
      <c r="B32" s="11"/>
    </row>
    <row r="33" spans="1:2" x14ac:dyDescent="0.25">
      <c r="A33" t="str">
        <f>IF(Input!A34="","",Input!A34)</f>
        <v/>
      </c>
      <c r="B33" s="11"/>
    </row>
    <row r="34" spans="1:2" x14ac:dyDescent="0.25">
      <c r="A34" t="str">
        <f>IF(Input!A35="","",Input!A35)</f>
        <v/>
      </c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Core Strategy 2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Core Strategy 3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Core Strategy 4 - Income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Core Strategy 4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Core Strategy 5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Core Strategy 6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Core Strategy 2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0</v>
      </c>
      <c r="E2">
        <f>IF(A2="","",SUM('Additional Information'!C2))</f>
        <v>0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Core Strategy 3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0</v>
      </c>
      <c r="E3">
        <f>IF(A3="","",SUM('Additional Information'!C3))</f>
        <v>0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Core Strategy 4 - Income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0</v>
      </c>
      <c r="E4">
        <f>IF(A4="","",SUM('Additional Information'!C4))</f>
        <v>0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Core Strategy 4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0</v>
      </c>
      <c r="E5">
        <f>IF(A5="","",SUM('Additional Information'!C5))</f>
        <v>0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Core Strategy 5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0</v>
      </c>
      <c r="E6">
        <f>IF(A6="","",SUM('Additional Information'!C6))</f>
        <v>0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Core Strategy 6</v>
      </c>
      <c r="C7" t="str">
        <f>IF(A7="","",IF(OR('Additional Information'!G7="",'Additional Information'!G7="-"),"",'Additional Information'!G7))</f>
        <v/>
      </c>
      <c r="D7" s="5">
        <f>IF(A7="","",SUM('Additional Information'!C7,'Additional Information'!D7))</f>
        <v>0</v>
      </c>
      <c r="E7">
        <f>IF(A7="","",SUM('Additional Information'!C7))</f>
        <v>0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/>
      </c>
      <c r="C8" t="str">
        <f>IF(A8="","",IF(OR('Additional Information'!G8="",'Additional Information'!G8="-"),"",'Additional Information'!G8))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/>
      </c>
      <c r="C9" t="str">
        <f>IF(A9="","",IF(OR('Additional Information'!G9="",'Additional Information'!G9="-"),"",'Additional Information'!G9))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/>
      </c>
      <c r="C10" t="str">
        <f>IF(A10="","",IF(OR('Additional Information'!G10="",'Additional Information'!G10="-"),"",'Additional Information'!G10))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/>
      </c>
      <c r="C11" t="str">
        <f>IF(A11="","",IF(OR('Additional Information'!G11="",'Additional Information'!G11="-"),"",'Additional Information'!G11))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/>
      </c>
      <c r="C12" t="str">
        <f>IF(A12="","",IF(OR('Additional Information'!G12="",'Additional Information'!G12="-"),"",'Additional Information'!G12))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/>
      </c>
      <c r="C13" t="str">
        <f>IF(A13="","",IF(OR('Additional Information'!G13="",'Additional Information'!G13="-"),"",'Additional Information'!G13))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/>
      </c>
      <c r="C14" t="str">
        <f>IF(A14="","",IF(OR('Additional Information'!G14="",'Additional Information'!G14="-"),"",'Additional Information'!G14))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/>
      </c>
      <c r="C15" t="str">
        <f>IF(A15="","",IF(OR('Additional Information'!G15="",'Additional Information'!G15="-"),"",'Additional Information'!G15))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/>
      </c>
      <c r="C16" t="str">
        <f>IF(A16="","",IF(OR('Additional Information'!G16="",'Additional Information'!G16="-"),"",'Additional Information'!G16))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/>
      </c>
      <c r="C17" t="str">
        <f>IF(A17="","",IF(OR('Additional Information'!G17="",'Additional Information'!G17="-"),"",'Additional Information'!G17))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/>
      </c>
      <c r="C18" t="str">
        <f>IF(A18="","",IF(OR('Additional Information'!G18="",'Additional Information'!G18="-"),"",'Additional Information'!G18))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/>
      </c>
      <c r="C19" t="str">
        <f>IF(A19="","",IF(OR('Additional Information'!G19="",'Additional Information'!G19="-"),"",'Additional Information'!G19))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Core Strategy 2</v>
      </c>
      <c r="B2">
        <f>IF(A2="","",SUM('Asset Allocation'!F2,'Asset Allocation'!G2,'Asset Allocation'!H2,'Asset Allocation'!I2,'Asset Allocation'!J2,'Asset Allocation'!K2))</f>
        <v>0</v>
      </c>
      <c r="C2">
        <f>IF(A2="","",SUM('Asset Allocation'!C2))</f>
        <v>0</v>
      </c>
      <c r="D2">
        <f>IF(A2="","",SUM('Asset Allocation'!D2))</f>
        <v>0</v>
      </c>
      <c r="F2">
        <f>IF(A2="","",SUM('Asset Allocation'!E2))</f>
        <v>0</v>
      </c>
      <c r="G2">
        <f>IF(A2="","",SUM('Asset Allocation'!B2))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Core Strategy 3</v>
      </c>
      <c r="B3">
        <f>IF(A3="","",SUM('Asset Allocation'!F3,'Asset Allocation'!G3,'Asset Allocation'!H3,'Asset Allocation'!I3,'Asset Allocation'!J3,'Asset Allocation'!K3))</f>
        <v>0</v>
      </c>
      <c r="C3">
        <f>IF(A3="","",SUM('Asset Allocation'!C3))</f>
        <v>0</v>
      </c>
      <c r="D3">
        <f>IF(A3="","",SUM('Asset Allocation'!D3))</f>
        <v>0</v>
      </c>
      <c r="F3">
        <f>IF(A3="","",SUM('Asset Allocation'!E3))</f>
        <v>0</v>
      </c>
      <c r="G3">
        <f>IF(A3="","",SUM('Asset Allocation'!B3))</f>
        <v>0</v>
      </c>
      <c r="H3">
        <f t="shared" si="0"/>
        <v>1</v>
      </c>
    </row>
    <row r="4" spans="1:8" x14ac:dyDescent="0.25">
      <c r="A4" t="str">
        <f>IF(Input!A5="","",Input!A5)</f>
        <v>Core Strategy 4 - Income</v>
      </c>
      <c r="B4">
        <f>IF(A4="","",SUM('Asset Allocation'!F4,'Asset Allocation'!G4,'Asset Allocation'!H4,'Asset Allocation'!I4,'Asset Allocation'!J4,'Asset Allocation'!K4))</f>
        <v>0</v>
      </c>
      <c r="C4">
        <f>IF(A4="","",SUM('Asset Allocation'!C4))</f>
        <v>0</v>
      </c>
      <c r="D4">
        <f>IF(A4="","",SUM('Asset Allocation'!D4))</f>
        <v>0</v>
      </c>
      <c r="F4">
        <f>IF(A4="","",SUM('Asset Allocation'!E4))</f>
        <v>0</v>
      </c>
      <c r="G4">
        <f>IF(A4="","",SUM('Asset Allocation'!B4))</f>
        <v>0</v>
      </c>
      <c r="H4">
        <f t="shared" si="0"/>
        <v>1</v>
      </c>
    </row>
    <row r="5" spans="1:8" x14ac:dyDescent="0.25">
      <c r="A5" t="str">
        <f>IF(Input!A6="","",Input!A6)</f>
        <v>Core Strategy 4</v>
      </c>
      <c r="B5">
        <f>IF(A5="","",SUM('Asset Allocation'!F5,'Asset Allocation'!G5,'Asset Allocation'!H5,'Asset Allocation'!I5,'Asset Allocation'!J5,'Asset Allocation'!K5))</f>
        <v>0</v>
      </c>
      <c r="C5">
        <f>IF(A5="","",SUM('Asset Allocation'!C5))</f>
        <v>0</v>
      </c>
      <c r="D5">
        <f>IF(A5="","",SUM('Asset Allocation'!D5))</f>
        <v>0</v>
      </c>
      <c r="F5">
        <f>IF(A5="","",SUM('Asset Allocation'!E5))</f>
        <v>0</v>
      </c>
      <c r="G5">
        <f>IF(A5="","",SUM('Asset Allocation'!B5))</f>
        <v>0</v>
      </c>
      <c r="H5">
        <f t="shared" si="0"/>
        <v>1</v>
      </c>
    </row>
    <row r="6" spans="1:8" x14ac:dyDescent="0.25">
      <c r="A6" t="str">
        <f>IF(Input!A7="","",Input!A7)</f>
        <v>Core Strategy 5</v>
      </c>
      <c r="B6">
        <f>IF(A6="","",SUM('Asset Allocation'!F6,'Asset Allocation'!G6,'Asset Allocation'!H6,'Asset Allocation'!I6,'Asset Allocation'!J6,'Asset Allocation'!K6))</f>
        <v>0</v>
      </c>
      <c r="C6">
        <f>IF(A6="","",SUM('Asset Allocation'!C6))</f>
        <v>0</v>
      </c>
      <c r="D6">
        <f>IF(A6="","",SUM('Asset Allocation'!D6))</f>
        <v>0</v>
      </c>
      <c r="F6">
        <f>IF(A6="","",SUM('Asset Allocation'!E6))</f>
        <v>0</v>
      </c>
      <c r="G6">
        <f>IF(A6="","",SUM('Asset Allocation'!B6))</f>
        <v>0</v>
      </c>
      <c r="H6">
        <f t="shared" si="0"/>
        <v>1</v>
      </c>
    </row>
    <row r="7" spans="1:8" x14ac:dyDescent="0.25">
      <c r="A7" t="str">
        <f>IF(Input!A8="","",Input!A8)</f>
        <v>Core Strategy 6</v>
      </c>
      <c r="B7">
        <f>IF(A7="","",SUM('Asset Allocation'!F7,'Asset Allocation'!G7,'Asset Allocation'!H7,'Asset Allocation'!I7,'Asset Allocation'!J7,'Asset Allocation'!K7))</f>
        <v>0</v>
      </c>
      <c r="C7">
        <f>IF(A7="","",SUM('Asset Allocation'!C7))</f>
        <v>0</v>
      </c>
      <c r="D7">
        <f>IF(A7="","",SUM('Asset Allocation'!D7))</f>
        <v>0</v>
      </c>
      <c r="F7">
        <f>IF(A7="","",SUM('Asset Allocation'!E7))</f>
        <v>0</v>
      </c>
      <c r="G7">
        <f>IF(A7="","",SUM('Asset Allocation'!B7))</f>
        <v>0</v>
      </c>
      <c r="H7">
        <f t="shared" si="0"/>
        <v>1</v>
      </c>
    </row>
    <row r="8" spans="1:8" x14ac:dyDescent="0.25">
      <c r="A8" t="str">
        <f>IF(Input!A9="","",Input!A9)</f>
        <v/>
      </c>
      <c r="B8" t="str">
        <f>IF(A8="","",SUM('Asset Allocation'!F8,'Asset Allocation'!G8,'Asset Allocation'!H8,'Asset Allocation'!I8,'Asset Allocation'!J8,'Asset Allocation'!K8))</f>
        <v/>
      </c>
      <c r="C8" t="str">
        <f>IF(A8="","",SUM('Asset Allocation'!C8))</f>
        <v/>
      </c>
      <c r="D8" t="str">
        <f>IF(A8="","",SUM('Asset Allocation'!D8))</f>
        <v/>
      </c>
      <c r="F8" t="str">
        <f>IF(A8="","",SUM('Asset Allocation'!E8))</f>
        <v/>
      </c>
      <c r="G8" t="str">
        <f>IF(A8="","",SUM('Asset Allocation'!B8))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Allocation'!F9,'Asset Allocation'!G9,'Asset Allocation'!H9,'Asset Allocation'!I9,'Asset Allocation'!J9,'Asset Allocation'!K9))</f>
        <v/>
      </c>
      <c r="C9" t="str">
        <f>IF(A9="","",SUM('Asset Allocation'!C9))</f>
        <v/>
      </c>
      <c r="D9" t="str">
        <f>IF(A9="","",SUM('Asset Allocation'!D9))</f>
        <v/>
      </c>
      <c r="F9" t="str">
        <f>IF(A9="","",SUM('Asset Allocation'!E9))</f>
        <v/>
      </c>
      <c r="G9" t="str">
        <f>IF(A9="","",SUM('Asset Allocation'!B9))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Allocation'!F10,'Asset Allocation'!G10,'Asset Allocation'!H10,'Asset Allocation'!I10,'Asset Allocation'!J10,'Asset Allocation'!K10))</f>
        <v/>
      </c>
      <c r="C10" t="str">
        <f>IF(A10="","",SUM('Asset Allocation'!C10))</f>
        <v/>
      </c>
      <c r="D10" t="str">
        <f>IF(A10="","",SUM('Asset Allocation'!D10))</f>
        <v/>
      </c>
      <c r="F10" t="str">
        <f>IF(A10="","",SUM('Asset Allocation'!E10))</f>
        <v/>
      </c>
      <c r="G10" t="str">
        <f>IF(A10="","",SUM('Asset Allocation'!B10))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Allocation'!F11,'Asset Allocation'!G11,'Asset Allocation'!H11,'Asset Allocation'!I11,'Asset Allocation'!J11,'Asset Allocation'!K11))</f>
        <v/>
      </c>
      <c r="C11" t="str">
        <f>IF(A11="","",SUM('Asset Allocation'!C11))</f>
        <v/>
      </c>
      <c r="D11" t="str">
        <f>IF(A11="","",SUM('Asset Allocation'!D11))</f>
        <v/>
      </c>
      <c r="F11" t="str">
        <f>IF(A11="","",SUM('Asset Allocation'!E11))</f>
        <v/>
      </c>
      <c r="G11" t="str">
        <f>IF(A11="","",SUM('Asset Allocation'!B11))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Allocation'!F12,'Asset Allocation'!G12,'Asset Allocation'!H12,'Asset Allocation'!I12,'Asset Allocation'!J12,'Asset Allocation'!K12))</f>
        <v/>
      </c>
      <c r="C12" t="str">
        <f>IF(A12="","",SUM('Asset Allocation'!C12))</f>
        <v/>
      </c>
      <c r="D12" t="str">
        <f>IF(A12="","",SUM('Asset Allocation'!D12))</f>
        <v/>
      </c>
      <c r="F12" t="str">
        <f>IF(A12="","",SUM('Asset Allocation'!E12))</f>
        <v/>
      </c>
      <c r="G12" t="str">
        <f>IF(A12="","",SUM('Asset Allocation'!B12))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Allocation'!F13,'Asset Allocation'!G13,'Asset Allocation'!H13,'Asset Allocation'!I13,'Asset Allocation'!J13,'Asset Allocation'!K13))</f>
        <v/>
      </c>
      <c r="C13" t="str">
        <f>IF(A13="","",SUM('Asset Allocation'!C13))</f>
        <v/>
      </c>
      <c r="D13" t="str">
        <f>IF(A13="","",SUM('Asset Allocation'!D13))</f>
        <v/>
      </c>
      <c r="F13" t="str">
        <f>IF(A13="","",SUM('Asset Allocation'!E13))</f>
        <v/>
      </c>
      <c r="G13" t="str">
        <f>IF(A13="","",SUM('Asset Allocation'!B13))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Core Strategy 2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25">
      <c r="A3" t="str">
        <f>IF(Input!A4="","",Input!A4)</f>
        <v>Core Strategy 3</v>
      </c>
      <c r="B3" s="6">
        <f>IFERROR(IF(A3="","",SUM('Asset Allocation'!G3)/'Broad Asset Allocation'!B3),0)</f>
        <v>0</v>
      </c>
      <c r="C3" s="6">
        <f>IFERROR(IF(A3="","",SUM('Asset Allocation'!F3)/'Broad Asset Allocation'!B3),0)</f>
        <v>0</v>
      </c>
      <c r="D3" s="6">
        <f>IFERROR(IF(A3="","",SUM('Asset Allocation'!H3)/'Broad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25">
      <c r="A4" t="str">
        <f>IF(Input!A5="","",Input!A5)</f>
        <v>Core Strategy 4 - Income</v>
      </c>
      <c r="B4" s="6">
        <f>IFERROR(IF(A4="","",SUM('Asset Allocation'!G4)/'Broad Asset Allocation'!B4),0)</f>
        <v>0</v>
      </c>
      <c r="C4" s="6">
        <f>IFERROR(IF(A4="","",SUM('Asset Allocation'!F4)/'Broad Asset Allocation'!B4),0)</f>
        <v>0</v>
      </c>
      <c r="D4" s="6">
        <f>IFERROR(IF(A4="","",SUM('Asset Allocation'!H4)/'Broad Asset Allocation'!B4),0)</f>
        <v>0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25">
      <c r="A5" t="str">
        <f>IF(Input!A6="","",Input!A6)</f>
        <v>Core Strategy 4</v>
      </c>
      <c r="B5" s="6">
        <f>IFERROR(IF(A5="","",SUM('Asset Allocation'!G5)/'Broad Asset Allocation'!B5),0)</f>
        <v>0</v>
      </c>
      <c r="C5" s="6">
        <f>IFERROR(IF(A5="","",SUM('Asset Allocation'!F5)/'Broad Asset Allocation'!B5),0)</f>
        <v>0</v>
      </c>
      <c r="D5" s="6">
        <f>IFERROR(IF(A5="","",SUM('Asset Allocation'!H5)/'Broad Asset Allocation'!B5),0)</f>
        <v>0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</v>
      </c>
      <c r="H5" s="6">
        <f>IFERROR(IF(A5="","",SUM('Asset Allocation'!K5)/'Broad Asset Allocation'!B5),0)</f>
        <v>0</v>
      </c>
    </row>
    <row r="6" spans="1:8" x14ac:dyDescent="0.25">
      <c r="A6" t="str">
        <f>IF(Input!A7="","",Input!A7)</f>
        <v>Core Strategy 5</v>
      </c>
      <c r="B6" s="6">
        <f>IFERROR(IF(A6="","",SUM('Asset Allocation'!G6)/'Broad Asset Allocation'!B6),0)</f>
        <v>0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25">
      <c r="A7" t="str">
        <f>IF(Input!A8="","",Input!A8)</f>
        <v>Core Strategy 6</v>
      </c>
      <c r="B7" s="6">
        <f>IFERROR(IF(A7="","",SUM('Asset Allocation'!G7)/'Broad Asset Allocation'!B7),0)</f>
        <v>0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</v>
      </c>
      <c r="E7" s="6">
        <f>IFERROR(IF(A7="","",SUM('Asset Allocation'!I7)/'Broad Asset Allocation'!B7),0)</f>
        <v>0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/>
      </c>
      <c r="B8" s="6" t="str">
        <f>IFERROR(IF(A8="","",SUM('Asset Allocation'!G8)/'Broad Asset Allocation'!B8),0)</f>
        <v/>
      </c>
      <c r="C8" s="6" t="str">
        <f>IFERROR(IF(A8="","",SUM('Asset Allocation'!F8)/'Broad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Allocation'!I8)/'Broad Asset Allocation'!B8),0)</f>
        <v/>
      </c>
      <c r="F8" s="6"/>
      <c r="G8" s="6" t="str">
        <f>IFERROR(IF(A8="","",SUM('Asset Allocation'!J8)/'Broad Asset Allocation'!B8),0)</f>
        <v/>
      </c>
      <c r="H8" s="6" t="str">
        <f>IFERROR(IF(A8="","",SUM('Asset Allocation'!K8)/'Broad Asset Allocation'!B8),0)</f>
        <v/>
      </c>
    </row>
    <row r="9" spans="1:8" x14ac:dyDescent="0.25">
      <c r="A9" t="str">
        <f>IF(Input!A10="","",Input!A10)</f>
        <v/>
      </c>
      <c r="B9" s="6" t="str">
        <f>IFERROR(IF(A9="","",SUM('Asset Allocation'!G9)/'Broad Asset Allocation'!B9),0)</f>
        <v/>
      </c>
      <c r="C9" s="6" t="str">
        <f>IFERROR(IF(A9="","",SUM('Asset Allocation'!F9)/'Broad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Allocation'!I9)/'Broad Asset Allocation'!B9),0)</f>
        <v/>
      </c>
      <c r="F9" s="6"/>
      <c r="G9" s="6" t="str">
        <f>IFERROR(IF(A9="","",SUM('Asset Allocation'!J9)/'Broad Asset Allocation'!B9),0)</f>
        <v/>
      </c>
      <c r="H9" s="6" t="str">
        <f>IFERROR(IF(A9="","",SUM('Asset Allocation'!K9)/'Broad Asset Allocation'!B9),0)</f>
        <v/>
      </c>
    </row>
    <row r="10" spans="1:8" x14ac:dyDescent="0.25">
      <c r="A10" t="str">
        <f>IF(Input!A11="","",Input!A11)</f>
        <v/>
      </c>
      <c r="B10" s="6" t="str">
        <f>IFERROR(IF(A10="","",SUM('Asset Allocation'!G10)/'Broad Asset Allocation'!B10),0)</f>
        <v/>
      </c>
      <c r="C10" s="6" t="str">
        <f>IFERROR(IF(A10="","",SUM('Asset Allocation'!F10)/'Broad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Allocation'!I10)/'Broad Asset Allocation'!B10),0)</f>
        <v/>
      </c>
      <c r="F10" s="6"/>
      <c r="G10" s="6" t="str">
        <f>IFERROR(IF(A10="","",SUM('Asset Allocation'!J10)/'Broad Asset Allocation'!B10),0)</f>
        <v/>
      </c>
      <c r="H10" s="6" t="str">
        <f>IFERROR(IF(A10="","",SUM('Asset Allocation'!K10)/'Broad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Allocation'!G11)/'Broad Asset Allocation'!B11),0)</f>
        <v/>
      </c>
      <c r="C11" s="6" t="str">
        <f>IFERROR(IF(A11="","",SUM('Asset Allocation'!F11)/'Broad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Allocation'!I11)/'Broad Asset Allocation'!B11),0)</f>
        <v/>
      </c>
      <c r="F11" s="6"/>
      <c r="G11" s="6" t="str">
        <f>IFERROR(IF(A11="","",SUM('Asset Allocation'!J11)/'Broad Asset Allocation'!B11),0)</f>
        <v/>
      </c>
      <c r="H11" s="6" t="str">
        <f>IFERROR(IF(A11="","",SUM('Asset Allocation'!K11)/'Broad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Allocation'!G12)/'Broad Asset Allocation'!B12),0)</f>
        <v/>
      </c>
      <c r="C12" s="6" t="str">
        <f>IFERROR(IF(A12="","",SUM('Asset Allocation'!F12)/'Broad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Allocation'!I12)/'Broad Asset Allocation'!B12),0)</f>
        <v/>
      </c>
      <c r="F12" s="6"/>
      <c r="G12" s="6" t="str">
        <f>IFERROR(IF(A12="","",SUM('Asset Allocation'!J12)/'Broad Asset Allocation'!B12),0)</f>
        <v/>
      </c>
      <c r="H12" s="6" t="str">
        <f>IFERROR(IF(A12="","",SUM('Asset Allocation'!K12)/'Broad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Allocation'!G13)/'Broad Asset Allocation'!B13),0)</f>
        <v/>
      </c>
      <c r="C13" s="6" t="str">
        <f>IFERROR(IF(A13="","",SUM('Asset Allocation'!F13)/'Broad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Allocation'!I13)/'Broad Asset Allocation'!B13),0)</f>
        <v/>
      </c>
      <c r="F13" s="6"/>
      <c r="G13" s="6" t="str">
        <f>IFERROR(IF(A13="","",SUM('Asset Allocation'!J13)/'Broad Asset Allocation'!B13),0)</f>
        <v/>
      </c>
      <c r="H13" s="6" t="str">
        <f>IFERROR(IF(A13="","",SUM('Asset Allocation'!K13)/'Broad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Core Strategy 2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Core Strategy 3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Core Strategy 4 - Income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Core Strategy 4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Core Strategy 5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Core Strategy 6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/>
      </c>
      <c r="H8" t="str">
        <f>IFERROR(IF(A8="","",SUM('Asset Allocation'!C8)/'Broad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Allocation'!C9)/'Broad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2023-10-24T19:14:59Z</dcterms:modified>
</cp:coreProperties>
</file>