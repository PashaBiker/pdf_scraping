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pdf_scraping\18_milestone\Rathbones\"/>
    </mc:Choice>
  </mc:AlternateContent>
  <bookViews>
    <workbookView xWindow="-105" yWindow="-105" windowWidth="19425" windowHeight="10305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3 Year Performance" sheetId="39" r:id="rId14"/>
    <sheet name="5 Year Performance" sheetId="38" r:id="rId15"/>
    <sheet name="Annual Management Charge" sheetId="37" r:id="rId16"/>
    <sheet name="Equity" sheetId="9" r:id="rId17"/>
    <sheet name="Bonds" sheetId="10" r:id="rId18"/>
    <sheet name="Direct Property" sheetId="11" r:id="rId19"/>
    <sheet name="Direct Commodities" sheetId="12" r:id="rId20"/>
    <sheet name="Absolute Return" sheetId="13" r:id="rId21"/>
    <sheet name="Cash" sheetId="14" r:id="rId22"/>
    <sheet name="No Data" sheetId="36" r:id="rId23"/>
    <sheet name="United States" sheetId="16" r:id="rId24"/>
    <sheet name="United Kingdom" sheetId="17" r:id="rId25"/>
    <sheet name="Europe ex UK" sheetId="18" r:id="rId26"/>
    <sheet name="Japan" sheetId="19" r:id="rId27"/>
    <sheet name="Pacific ex Japan" sheetId="20" r:id="rId28"/>
    <sheet name="Emerging Markets" sheetId="21" r:id="rId29"/>
    <sheet name="Global Equity" sheetId="32" r:id="rId30"/>
    <sheet name="Government Bonds" sheetId="22" r:id="rId31"/>
    <sheet name="Inflation Linked" sheetId="23" r:id="rId32"/>
    <sheet name="Investment Grade" sheetId="24" r:id="rId33"/>
    <sheet name="High Yield" sheetId="25" r:id="rId34"/>
    <sheet name="Emerging Market Debt" sheetId="26" r:id="rId35"/>
    <sheet name="Strategic Bond Fund" sheetId="27" r:id="rId36"/>
    <sheet name="Unclassified" sheetId="28" r:id="rId37"/>
  </sheets>
  <calcPr calcId="162913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1" l="1"/>
  <c r="B5" i="1"/>
  <c r="B6" i="1"/>
  <c r="B7" i="1"/>
  <c r="B8" i="1"/>
  <c r="A2" i="35"/>
  <c r="A3" i="35"/>
  <c r="A4" i="35"/>
  <c r="A5" i="35"/>
  <c r="A6" i="35"/>
  <c r="A7" i="35"/>
  <c r="A8" i="35"/>
  <c r="A9" i="35"/>
  <c r="A10" i="35"/>
  <c r="A11" i="35"/>
  <c r="A12" i="35"/>
  <c r="A13" i="35"/>
  <c r="A14" i="35"/>
  <c r="A15" i="35"/>
  <c r="A16" i="35"/>
  <c r="A17" i="35"/>
  <c r="B3" i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H38" i="8" s="1"/>
  <c r="A37" i="8"/>
  <c r="H37" i="8" s="1"/>
  <c r="A36" i="8"/>
  <c r="H36" i="8" s="1"/>
  <c r="A35" i="8"/>
  <c r="H35" i="8" s="1"/>
  <c r="A34" i="8"/>
  <c r="H34" i="8" s="1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G7" i="31" l="1"/>
  <c r="C7" i="31"/>
  <c r="D7" i="31"/>
  <c r="E7" i="31"/>
  <c r="F7" i="31"/>
  <c r="G23" i="31"/>
  <c r="C23" i="31"/>
  <c r="D23" i="31"/>
  <c r="E23" i="31"/>
  <c r="F23" i="31"/>
  <c r="G47" i="31"/>
  <c r="C47" i="31"/>
  <c r="D47" i="31"/>
  <c r="E47" i="31"/>
  <c r="F47" i="31"/>
  <c r="C24" i="31"/>
  <c r="D24" i="31"/>
  <c r="E24" i="31"/>
  <c r="F24" i="31"/>
  <c r="G24" i="31"/>
  <c r="C40" i="31"/>
  <c r="D40" i="31"/>
  <c r="E40" i="31"/>
  <c r="F40" i="31"/>
  <c r="G40" i="31"/>
  <c r="E9" i="31"/>
  <c r="F9" i="31"/>
  <c r="G9" i="31"/>
  <c r="C9" i="31"/>
  <c r="D9" i="31"/>
  <c r="E33" i="31"/>
  <c r="F33" i="31"/>
  <c r="G33" i="31"/>
  <c r="D33" i="31"/>
  <c r="C33" i="31"/>
  <c r="E49" i="31"/>
  <c r="F49" i="31"/>
  <c r="G49" i="31"/>
  <c r="D49" i="31"/>
  <c r="C49" i="31"/>
  <c r="E2" i="31"/>
  <c r="G2" i="31"/>
  <c r="F2" i="31"/>
  <c r="C2" i="31"/>
  <c r="C18" i="31"/>
  <c r="D18" i="31"/>
  <c r="E18" i="31"/>
  <c r="G18" i="31"/>
  <c r="F18" i="31"/>
  <c r="C50" i="31"/>
  <c r="D50" i="31"/>
  <c r="G50" i="31"/>
  <c r="F50" i="31"/>
  <c r="E50" i="31"/>
  <c r="C19" i="31"/>
  <c r="D19" i="31"/>
  <c r="G19" i="31"/>
  <c r="E19" i="31"/>
  <c r="F19" i="31"/>
  <c r="C27" i="31"/>
  <c r="D27" i="31"/>
  <c r="E27" i="31"/>
  <c r="F27" i="31"/>
  <c r="G27" i="31"/>
  <c r="F4" i="31"/>
  <c r="G4" i="31"/>
  <c r="C4" i="31"/>
  <c r="D4" i="31"/>
  <c r="E4" i="31"/>
  <c r="F12" i="31"/>
  <c r="G12" i="31"/>
  <c r="C12" i="31"/>
  <c r="E12" i="31"/>
  <c r="D12" i="31"/>
  <c r="F20" i="31"/>
  <c r="G20" i="31"/>
  <c r="C20" i="31"/>
  <c r="D20" i="31"/>
  <c r="E20" i="31"/>
  <c r="F28" i="31"/>
  <c r="G28" i="31"/>
  <c r="C28" i="31"/>
  <c r="D28" i="31"/>
  <c r="E28" i="31"/>
  <c r="F36" i="31"/>
  <c r="G36" i="31"/>
  <c r="C36" i="31"/>
  <c r="D36" i="31"/>
  <c r="E36" i="31"/>
  <c r="F44" i="31"/>
  <c r="G44" i="31"/>
  <c r="E44" i="31"/>
  <c r="C44" i="31"/>
  <c r="D44" i="31"/>
  <c r="G15" i="31"/>
  <c r="C15" i="31"/>
  <c r="D15" i="31"/>
  <c r="E15" i="31"/>
  <c r="F15" i="31"/>
  <c r="G39" i="31"/>
  <c r="C39" i="31"/>
  <c r="D39" i="31"/>
  <c r="F39" i="31"/>
  <c r="E39" i="31"/>
  <c r="C16" i="31"/>
  <c r="F16" i="31"/>
  <c r="G16" i="31"/>
  <c r="D16" i="31"/>
  <c r="E16" i="31"/>
  <c r="C48" i="31"/>
  <c r="F48" i="31"/>
  <c r="D48" i="31"/>
  <c r="E48" i="31"/>
  <c r="G48" i="31"/>
  <c r="E25" i="31"/>
  <c r="F25" i="31"/>
  <c r="G25" i="31"/>
  <c r="D25" i="31"/>
  <c r="C25" i="31"/>
  <c r="E41" i="31"/>
  <c r="F41" i="31"/>
  <c r="G41" i="31"/>
  <c r="D41" i="31"/>
  <c r="C41" i="31"/>
  <c r="D10" i="31"/>
  <c r="E10" i="31"/>
  <c r="C10" i="31"/>
  <c r="F10" i="31"/>
  <c r="G10" i="31"/>
  <c r="D26" i="31"/>
  <c r="E26" i="31"/>
  <c r="C26" i="31"/>
  <c r="G26" i="31"/>
  <c r="F26" i="31"/>
  <c r="D42" i="31"/>
  <c r="C42" i="31"/>
  <c r="F42" i="31"/>
  <c r="G42" i="31"/>
  <c r="E42" i="31"/>
  <c r="C11" i="31"/>
  <c r="D11" i="31"/>
  <c r="E11" i="31"/>
  <c r="F11" i="31"/>
  <c r="G11" i="31"/>
  <c r="C43" i="31"/>
  <c r="D43" i="31"/>
  <c r="E43" i="31"/>
  <c r="F43" i="31"/>
  <c r="G43" i="31"/>
  <c r="E5" i="31"/>
  <c r="F5" i="31"/>
  <c r="C5" i="31"/>
  <c r="D5" i="31"/>
  <c r="G5" i="31"/>
  <c r="E13" i="31"/>
  <c r="F13" i="31"/>
  <c r="C13" i="31"/>
  <c r="D13" i="31"/>
  <c r="G13" i="31"/>
  <c r="C21" i="31"/>
  <c r="D21" i="31"/>
  <c r="E21" i="31"/>
  <c r="F21" i="31"/>
  <c r="G21" i="31"/>
  <c r="E29" i="31"/>
  <c r="F29" i="31"/>
  <c r="C29" i="31"/>
  <c r="D29" i="31"/>
  <c r="G29" i="31"/>
  <c r="E37" i="31"/>
  <c r="C37" i="31"/>
  <c r="D37" i="31"/>
  <c r="G37" i="31"/>
  <c r="F37" i="31"/>
  <c r="E45" i="31"/>
  <c r="C45" i="31"/>
  <c r="D45" i="31"/>
  <c r="F45" i="31"/>
  <c r="G45" i="31"/>
  <c r="G31" i="31"/>
  <c r="C31" i="31"/>
  <c r="E31" i="31"/>
  <c r="F31" i="31"/>
  <c r="D31" i="31"/>
  <c r="C8" i="31"/>
  <c r="D8" i="31"/>
  <c r="E8" i="31"/>
  <c r="F8" i="31"/>
  <c r="G8" i="31"/>
  <c r="C32" i="31"/>
  <c r="D32" i="31"/>
  <c r="E32" i="31"/>
  <c r="F32" i="31"/>
  <c r="G32" i="31"/>
  <c r="E17" i="31"/>
  <c r="F17" i="31"/>
  <c r="G17" i="31"/>
  <c r="C17" i="31"/>
  <c r="D17" i="31"/>
  <c r="C34" i="31"/>
  <c r="D34" i="31"/>
  <c r="E34" i="31"/>
  <c r="F34" i="31"/>
  <c r="G34" i="31"/>
  <c r="C3" i="31"/>
  <c r="D3" i="31"/>
  <c r="E3" i="31"/>
  <c r="F3" i="31"/>
  <c r="G3" i="31"/>
  <c r="C35" i="31"/>
  <c r="D35" i="31"/>
  <c r="G35" i="31"/>
  <c r="E35" i="31"/>
  <c r="F35" i="31"/>
  <c r="D6" i="31"/>
  <c r="E6" i="31"/>
  <c r="F6" i="31"/>
  <c r="G6" i="31"/>
  <c r="C6" i="31"/>
  <c r="D14" i="31"/>
  <c r="E14" i="31"/>
  <c r="F14" i="31"/>
  <c r="G14" i="31"/>
  <c r="C14" i="31"/>
  <c r="D22" i="31"/>
  <c r="E22" i="31"/>
  <c r="F22" i="31"/>
  <c r="G22" i="31"/>
  <c r="C22" i="31"/>
  <c r="D30" i="31"/>
  <c r="E30" i="31"/>
  <c r="F30" i="31"/>
  <c r="G30" i="31"/>
  <c r="C30" i="31"/>
  <c r="D38" i="31"/>
  <c r="E38" i="31"/>
  <c r="F38" i="31"/>
  <c r="G38" i="31"/>
  <c r="C38" i="31"/>
  <c r="D46" i="31"/>
  <c r="E46" i="31"/>
  <c r="F46" i="31"/>
  <c r="G46" i="31"/>
  <c r="C46" i="31"/>
  <c r="B1" i="39" a="1"/>
  <c r="B1" i="39" s="1"/>
  <c r="B1" i="38" a="1"/>
  <c r="B1" i="38" s="1"/>
  <c r="B1" i="37" a="1"/>
  <c r="B1" i="37" s="1"/>
  <c r="B37" i="7"/>
  <c r="C37" i="7"/>
  <c r="D37" i="7"/>
  <c r="E37" i="7"/>
  <c r="G37" i="7"/>
  <c r="H37" i="7"/>
  <c r="B45" i="7"/>
  <c r="C45" i="7"/>
  <c r="D45" i="7"/>
  <c r="H45" i="7"/>
  <c r="E45" i="7"/>
  <c r="G45" i="7"/>
  <c r="C38" i="7"/>
  <c r="D38" i="7"/>
  <c r="E38" i="7"/>
  <c r="G38" i="7"/>
  <c r="B38" i="7"/>
  <c r="H38" i="7"/>
  <c r="C46" i="7"/>
  <c r="D46" i="7"/>
  <c r="E46" i="7"/>
  <c r="G46" i="7"/>
  <c r="H46" i="7"/>
  <c r="B46" i="7"/>
  <c r="E39" i="7"/>
  <c r="G39" i="7"/>
  <c r="H39" i="7"/>
  <c r="C39" i="7"/>
  <c r="B39" i="7"/>
  <c r="D39" i="7"/>
  <c r="E47" i="7"/>
  <c r="G47" i="7"/>
  <c r="H47" i="7"/>
  <c r="D47" i="7"/>
  <c r="B47" i="7"/>
  <c r="C47" i="7"/>
  <c r="H48" i="7"/>
  <c r="B48" i="7"/>
  <c r="E48" i="7"/>
  <c r="C48" i="7"/>
  <c r="D48" i="7"/>
  <c r="G48" i="7"/>
  <c r="B41" i="7"/>
  <c r="H41" i="7"/>
  <c r="C41" i="7"/>
  <c r="D41" i="7"/>
  <c r="E41" i="7"/>
  <c r="G41" i="7"/>
  <c r="B49" i="7"/>
  <c r="H49" i="7"/>
  <c r="C49" i="7"/>
  <c r="D49" i="7"/>
  <c r="E49" i="7"/>
  <c r="G49" i="7"/>
  <c r="H40" i="7"/>
  <c r="B40" i="7"/>
  <c r="G40" i="7"/>
  <c r="C40" i="7"/>
  <c r="D40" i="7"/>
  <c r="E40" i="7"/>
  <c r="C34" i="7"/>
  <c r="D34" i="7"/>
  <c r="E34" i="7"/>
  <c r="G34" i="7"/>
  <c r="H34" i="7"/>
  <c r="B34" i="7"/>
  <c r="C42" i="7"/>
  <c r="D42" i="7"/>
  <c r="E42" i="7"/>
  <c r="G42" i="7"/>
  <c r="H42" i="7"/>
  <c r="B42" i="7"/>
  <c r="C50" i="7"/>
  <c r="D50" i="7"/>
  <c r="B50" i="7"/>
  <c r="E50" i="7"/>
  <c r="G50" i="7"/>
  <c r="H50" i="7"/>
  <c r="E35" i="7"/>
  <c r="G35" i="7"/>
  <c r="H35" i="7"/>
  <c r="D35" i="7"/>
  <c r="B35" i="7"/>
  <c r="C35" i="7"/>
  <c r="E43" i="7"/>
  <c r="G43" i="7"/>
  <c r="D43" i="7"/>
  <c r="H43" i="7"/>
  <c r="C43" i="7"/>
  <c r="B43" i="7"/>
  <c r="H36" i="7"/>
  <c r="G36" i="7"/>
  <c r="B36" i="7"/>
  <c r="E36" i="7"/>
  <c r="C36" i="7"/>
  <c r="D36" i="7"/>
  <c r="H44" i="7"/>
  <c r="B44" i="7"/>
  <c r="G44" i="7"/>
  <c r="C44" i="7"/>
  <c r="D44" i="7"/>
  <c r="E44" i="7"/>
  <c r="D14" i="4"/>
  <c r="F14" i="4"/>
  <c r="G14" i="4"/>
  <c r="B14" i="4"/>
  <c r="C14" i="4"/>
  <c r="H14" i="8" s="1"/>
  <c r="B48" i="4"/>
  <c r="C48" i="4"/>
  <c r="D48" i="4"/>
  <c r="F48" i="4"/>
  <c r="G48" i="4"/>
  <c r="D6" i="4"/>
  <c r="F6" i="4"/>
  <c r="G6" i="4"/>
  <c r="B6" i="4"/>
  <c r="C6" i="4"/>
  <c r="H6" i="8" s="1"/>
  <c r="F15" i="4"/>
  <c r="D15" i="4"/>
  <c r="B15" i="4"/>
  <c r="C15" i="4"/>
  <c r="H15" i="8" s="1"/>
  <c r="G15" i="4"/>
  <c r="D46" i="4"/>
  <c r="F46" i="4"/>
  <c r="B46" i="4"/>
  <c r="G46" i="4"/>
  <c r="C46" i="4"/>
  <c r="F39" i="4"/>
  <c r="B39" i="4"/>
  <c r="D39" i="4"/>
  <c r="C39" i="4"/>
  <c r="G39" i="4"/>
  <c r="B24" i="4"/>
  <c r="C24" i="4"/>
  <c r="H24" i="8" s="1"/>
  <c r="D24" i="4"/>
  <c r="F24" i="4"/>
  <c r="G24" i="4"/>
  <c r="F9" i="4"/>
  <c r="G9" i="4"/>
  <c r="B9" i="4"/>
  <c r="C9" i="4"/>
  <c r="H9" i="8" s="1"/>
  <c r="D9" i="4"/>
  <c r="F33" i="4"/>
  <c r="C33" i="4"/>
  <c r="G33" i="4"/>
  <c r="B33" i="4"/>
  <c r="B33" i="7" s="1"/>
  <c r="D33" i="4"/>
  <c r="F2" i="4"/>
  <c r="D2" i="4"/>
  <c r="C2" i="4"/>
  <c r="H2" i="8" s="1"/>
  <c r="B2" i="4"/>
  <c r="G2" i="4"/>
  <c r="G10" i="4"/>
  <c r="B10" i="4"/>
  <c r="C10" i="4"/>
  <c r="H10" i="8" s="1"/>
  <c r="D10" i="4"/>
  <c r="F10" i="4"/>
  <c r="F18" i="4"/>
  <c r="B18" i="4"/>
  <c r="G18" i="4"/>
  <c r="C18" i="4"/>
  <c r="H18" i="8" s="1"/>
  <c r="D18" i="4"/>
  <c r="G26" i="4"/>
  <c r="B26" i="4"/>
  <c r="B26" i="7" s="1"/>
  <c r="C26" i="4"/>
  <c r="H26" i="8" s="1"/>
  <c r="D26" i="4"/>
  <c r="F26" i="4"/>
  <c r="B34" i="4"/>
  <c r="F34" i="4"/>
  <c r="C34" i="4"/>
  <c r="G34" i="4"/>
  <c r="D34" i="4"/>
  <c r="F42" i="4"/>
  <c r="B42" i="4"/>
  <c r="C42" i="4"/>
  <c r="G42" i="4"/>
  <c r="D42" i="4"/>
  <c r="B50" i="4"/>
  <c r="C50" i="4"/>
  <c r="F50" i="4"/>
  <c r="G50" i="4"/>
  <c r="D50" i="4"/>
  <c r="B7" i="4"/>
  <c r="C7" i="4"/>
  <c r="H7" i="8" s="1"/>
  <c r="D7" i="4"/>
  <c r="F7" i="4"/>
  <c r="G7" i="4"/>
  <c r="F47" i="4"/>
  <c r="D47" i="4"/>
  <c r="B47" i="4"/>
  <c r="C47" i="4"/>
  <c r="G47" i="4"/>
  <c r="B16" i="4"/>
  <c r="C16" i="4"/>
  <c r="H16" i="8" s="1"/>
  <c r="D16" i="4"/>
  <c r="F16" i="4"/>
  <c r="G16" i="4"/>
  <c r="F17" i="4"/>
  <c r="G17" i="4"/>
  <c r="B17" i="4"/>
  <c r="C17" i="4"/>
  <c r="H17" i="8" s="1"/>
  <c r="D17" i="4"/>
  <c r="F49" i="4"/>
  <c r="G49" i="4"/>
  <c r="B49" i="4"/>
  <c r="C49" i="4"/>
  <c r="D49" i="4"/>
  <c r="C11" i="4"/>
  <c r="H11" i="8" s="1"/>
  <c r="D11" i="4"/>
  <c r="F11" i="4"/>
  <c r="G11" i="4"/>
  <c r="B11" i="4"/>
  <c r="C19" i="4"/>
  <c r="H19" i="8" s="1"/>
  <c r="D19" i="4"/>
  <c r="F19" i="4"/>
  <c r="G19" i="4"/>
  <c r="B19" i="4"/>
  <c r="C27" i="4"/>
  <c r="H27" i="8" s="1"/>
  <c r="D27" i="4"/>
  <c r="F27" i="4"/>
  <c r="G27" i="4"/>
  <c r="B27" i="4"/>
  <c r="H27" i="7" s="1"/>
  <c r="C35" i="4"/>
  <c r="D35" i="4"/>
  <c r="F35" i="4"/>
  <c r="G35" i="4"/>
  <c r="B35" i="4"/>
  <c r="C43" i="4"/>
  <c r="D43" i="4"/>
  <c r="F43" i="4"/>
  <c r="G43" i="4"/>
  <c r="B43" i="4"/>
  <c r="D30" i="4"/>
  <c r="F30" i="4"/>
  <c r="G30" i="4"/>
  <c r="B30" i="4"/>
  <c r="C30" i="7" s="1"/>
  <c r="C30" i="4"/>
  <c r="H30" i="8" s="1"/>
  <c r="B23" i="4"/>
  <c r="C23" i="4"/>
  <c r="H23" i="8" s="1"/>
  <c r="D23" i="4"/>
  <c r="F23" i="4"/>
  <c r="G23" i="4"/>
  <c r="B8" i="4"/>
  <c r="C8" i="4"/>
  <c r="H8" i="8" s="1"/>
  <c r="D8" i="4"/>
  <c r="F8" i="4"/>
  <c r="G8" i="4"/>
  <c r="B40" i="4"/>
  <c r="D40" i="4"/>
  <c r="C40" i="4"/>
  <c r="F40" i="4"/>
  <c r="G40" i="4"/>
  <c r="F41" i="4"/>
  <c r="C41" i="4"/>
  <c r="G41" i="4"/>
  <c r="B41" i="4"/>
  <c r="D41" i="4"/>
  <c r="C3" i="4"/>
  <c r="H3" i="8" s="1"/>
  <c r="D3" i="4"/>
  <c r="F3" i="4"/>
  <c r="G3" i="4"/>
  <c r="B3" i="4"/>
  <c r="G4" i="4"/>
  <c r="B4" i="4"/>
  <c r="C4" i="4"/>
  <c r="H4" i="8" s="1"/>
  <c r="D4" i="4"/>
  <c r="F4" i="4"/>
  <c r="G12" i="4"/>
  <c r="D12" i="4"/>
  <c r="B12" i="4"/>
  <c r="C12" i="4"/>
  <c r="H12" i="8" s="1"/>
  <c r="F12" i="4"/>
  <c r="G20" i="4"/>
  <c r="D20" i="4"/>
  <c r="C20" i="4"/>
  <c r="H20" i="8" s="1"/>
  <c r="B20" i="4"/>
  <c r="F20" i="4"/>
  <c r="G28" i="4"/>
  <c r="C28" i="4"/>
  <c r="H28" i="8" s="1"/>
  <c r="D28" i="4"/>
  <c r="B28" i="4"/>
  <c r="E28" i="7" s="1"/>
  <c r="F28" i="4"/>
  <c r="G36" i="4"/>
  <c r="C36" i="4"/>
  <c r="D36" i="4"/>
  <c r="B36" i="4"/>
  <c r="F36" i="4"/>
  <c r="G44" i="4"/>
  <c r="D44" i="4"/>
  <c r="C44" i="4"/>
  <c r="B44" i="4"/>
  <c r="F44" i="4"/>
  <c r="D22" i="4"/>
  <c r="F22" i="4"/>
  <c r="G22" i="4"/>
  <c r="B22" i="4"/>
  <c r="C22" i="4"/>
  <c r="H22" i="8" s="1"/>
  <c r="D38" i="4"/>
  <c r="F38" i="4"/>
  <c r="G38" i="4"/>
  <c r="B38" i="4"/>
  <c r="C38" i="4"/>
  <c r="F31" i="4"/>
  <c r="B31" i="4"/>
  <c r="D31" i="7" s="1"/>
  <c r="C31" i="4"/>
  <c r="H31" i="8" s="1"/>
  <c r="G31" i="4"/>
  <c r="D31" i="4"/>
  <c r="B32" i="4"/>
  <c r="C32" i="7" s="1"/>
  <c r="C32" i="4"/>
  <c r="H32" i="8" s="1"/>
  <c r="D32" i="4"/>
  <c r="F32" i="4"/>
  <c r="G32" i="4"/>
  <c r="F25" i="4"/>
  <c r="G25" i="4"/>
  <c r="C25" i="4"/>
  <c r="H25" i="8" s="1"/>
  <c r="B25" i="4"/>
  <c r="D25" i="4"/>
  <c r="B5" i="4"/>
  <c r="C5" i="4"/>
  <c r="H5" i="8" s="1"/>
  <c r="D5" i="4"/>
  <c r="G5" i="4"/>
  <c r="F5" i="4"/>
  <c r="G13" i="4"/>
  <c r="B13" i="4"/>
  <c r="C13" i="4"/>
  <c r="H13" i="8" s="1"/>
  <c r="D13" i="4"/>
  <c r="F13" i="4"/>
  <c r="B21" i="4"/>
  <c r="C21" i="4"/>
  <c r="H21" i="8" s="1"/>
  <c r="D21" i="4"/>
  <c r="F21" i="4"/>
  <c r="G21" i="4"/>
  <c r="B29" i="4"/>
  <c r="C29" i="7" s="1"/>
  <c r="C29" i="4"/>
  <c r="H29" i="8" s="1"/>
  <c r="D29" i="4"/>
  <c r="G29" i="4"/>
  <c r="F29" i="4"/>
  <c r="B37" i="4"/>
  <c r="G37" i="4"/>
  <c r="C37" i="4"/>
  <c r="D37" i="4"/>
  <c r="F37" i="4"/>
  <c r="C45" i="4"/>
  <c r="G45" i="4"/>
  <c r="B45" i="4"/>
  <c r="D45" i="4"/>
  <c r="F45" i="4"/>
  <c r="D2" i="31"/>
  <c r="H38" i="4"/>
  <c r="B1" i="36" a="1"/>
  <c r="B1" i="36" s="1"/>
  <c r="H37" i="4"/>
  <c r="H46" i="4"/>
  <c r="H45" i="4"/>
  <c r="H40" i="4"/>
  <c r="H48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B30" i="7" l="1"/>
  <c r="G26" i="7"/>
  <c r="B31" i="7"/>
  <c r="H26" i="7"/>
  <c r="B29" i="7"/>
  <c r="H33" i="4"/>
  <c r="C33" i="7"/>
  <c r="D26" i="7"/>
  <c r="H32" i="7"/>
  <c r="G32" i="7"/>
  <c r="E26" i="7"/>
  <c r="B32" i="7"/>
  <c r="D27" i="7"/>
  <c r="D33" i="7"/>
  <c r="B27" i="7"/>
  <c r="H30" i="7"/>
  <c r="G29" i="7"/>
  <c r="H33" i="7"/>
  <c r="G33" i="7"/>
  <c r="G30" i="7"/>
  <c r="E33" i="7"/>
  <c r="E30" i="7"/>
  <c r="D28" i="7"/>
  <c r="H33" i="8"/>
  <c r="G27" i="7"/>
  <c r="E29" i="7"/>
  <c r="E27" i="7"/>
  <c r="C26" i="7"/>
  <c r="E32" i="7"/>
  <c r="D30" i="7"/>
  <c r="H29" i="7"/>
  <c r="B28" i="7"/>
  <c r="H31" i="7"/>
  <c r="G28" i="7"/>
  <c r="G31" i="7"/>
  <c r="H28" i="7"/>
  <c r="C27" i="7"/>
  <c r="D32" i="7"/>
  <c r="D29" i="7"/>
  <c r="C28" i="7"/>
  <c r="C31" i="7"/>
  <c r="E31" i="7"/>
  <c r="B3" i="7"/>
  <c r="D3" i="7"/>
  <c r="H3" i="7"/>
  <c r="C3" i="7"/>
  <c r="E3" i="7"/>
  <c r="G3" i="7"/>
  <c r="C24" i="7"/>
  <c r="G24" i="7"/>
  <c r="B24" i="7"/>
  <c r="H24" i="7"/>
  <c r="E24" i="7"/>
  <c r="D24" i="7"/>
  <c r="E13" i="7"/>
  <c r="D13" i="7"/>
  <c r="G13" i="7"/>
  <c r="C13" i="7"/>
  <c r="H13" i="7"/>
  <c r="B13" i="7"/>
  <c r="E25" i="7"/>
  <c r="D25" i="7"/>
  <c r="C25" i="7"/>
  <c r="H25" i="7"/>
  <c r="B25" i="7"/>
  <c r="G25" i="7"/>
  <c r="C20" i="7"/>
  <c r="D20" i="7"/>
  <c r="H20" i="7"/>
  <c r="G20" i="7"/>
  <c r="E20" i="7"/>
  <c r="B20" i="7"/>
  <c r="B11" i="7"/>
  <c r="E11" i="7"/>
  <c r="D11" i="7"/>
  <c r="G11" i="7"/>
  <c r="H11" i="7"/>
  <c r="C11" i="7"/>
  <c r="E9" i="7"/>
  <c r="B9" i="7"/>
  <c r="H9" i="7"/>
  <c r="C9" i="7"/>
  <c r="D9" i="7"/>
  <c r="G9" i="7"/>
  <c r="H6" i="7"/>
  <c r="E6" i="7"/>
  <c r="B6" i="7"/>
  <c r="D6" i="7"/>
  <c r="G6" i="7"/>
  <c r="C6" i="7"/>
  <c r="B23" i="7"/>
  <c r="D23" i="7"/>
  <c r="H23" i="7"/>
  <c r="E23" i="7"/>
  <c r="C23" i="7"/>
  <c r="G23" i="7"/>
  <c r="C8" i="7"/>
  <c r="H8" i="7"/>
  <c r="E8" i="7"/>
  <c r="G8" i="7"/>
  <c r="B8" i="7"/>
  <c r="D8" i="7"/>
  <c r="H10" i="7"/>
  <c r="D10" i="7"/>
  <c r="C10" i="7"/>
  <c r="G10" i="7"/>
  <c r="B10" i="7"/>
  <c r="E10" i="7"/>
  <c r="H14" i="7"/>
  <c r="G14" i="7"/>
  <c r="B14" i="7"/>
  <c r="C14" i="7"/>
  <c r="E14" i="7"/>
  <c r="D14" i="7"/>
  <c r="E5" i="7"/>
  <c r="C5" i="7"/>
  <c r="H5" i="7"/>
  <c r="D5" i="7"/>
  <c r="B5" i="7"/>
  <c r="G5" i="7"/>
  <c r="C12" i="7"/>
  <c r="H12" i="7"/>
  <c r="G12" i="7"/>
  <c r="B12" i="7"/>
  <c r="D12" i="7"/>
  <c r="E12" i="7"/>
  <c r="B19" i="7"/>
  <c r="G19" i="7"/>
  <c r="H19" i="7"/>
  <c r="C19" i="7"/>
  <c r="E19" i="7"/>
  <c r="D19" i="7"/>
  <c r="C16" i="7"/>
  <c r="E16" i="7"/>
  <c r="D16" i="7"/>
  <c r="G16" i="7"/>
  <c r="B16" i="7"/>
  <c r="H16" i="7"/>
  <c r="E21" i="7"/>
  <c r="G21" i="7"/>
  <c r="D21" i="7"/>
  <c r="C21" i="7"/>
  <c r="H21" i="7"/>
  <c r="B21" i="7"/>
  <c r="H22" i="7"/>
  <c r="C22" i="7"/>
  <c r="G22" i="7"/>
  <c r="B22" i="7"/>
  <c r="E22" i="7"/>
  <c r="D22" i="7"/>
  <c r="C4" i="7"/>
  <c r="B4" i="7"/>
  <c r="G4" i="7"/>
  <c r="E4" i="7"/>
  <c r="D4" i="7"/>
  <c r="H4" i="7"/>
  <c r="E17" i="7"/>
  <c r="C17" i="7"/>
  <c r="H17" i="7"/>
  <c r="G17" i="7"/>
  <c r="D17" i="7"/>
  <c r="B17" i="7"/>
  <c r="B15" i="7"/>
  <c r="H15" i="7"/>
  <c r="C15" i="7"/>
  <c r="G15" i="7"/>
  <c r="D15" i="7"/>
  <c r="E15" i="7"/>
  <c r="B7" i="7"/>
  <c r="C7" i="7"/>
  <c r="G7" i="7"/>
  <c r="H7" i="7"/>
  <c r="E7" i="7"/>
  <c r="D7" i="7"/>
  <c r="H18" i="7"/>
  <c r="E18" i="7"/>
  <c r="D18" i="7"/>
  <c r="C18" i="7"/>
  <c r="G18" i="7"/>
  <c r="B18" i="7"/>
  <c r="H2" i="7"/>
  <c r="B2" i="7"/>
  <c r="G2" i="7"/>
  <c r="E2" i="7"/>
  <c r="C2" i="7"/>
  <c r="D2" i="7"/>
  <c r="H22" i="4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37"/>
  <c r="AW1" i="37"/>
  <c r="AV1" i="37"/>
  <c r="AU1" i="37"/>
  <c r="AT1" i="37"/>
  <c r="AS1" i="37"/>
  <c r="AR1" i="37"/>
  <c r="AQ1" i="37"/>
  <c r="AP1" i="37"/>
  <c r="AO1" i="37"/>
  <c r="AN1" i="37"/>
  <c r="AM1" i="37"/>
  <c r="AL1" i="37"/>
  <c r="AK1" i="37"/>
  <c r="AJ1" i="37"/>
  <c r="AI1" i="37"/>
  <c r="AH1" i="37"/>
  <c r="AG1" i="37"/>
  <c r="AF1" i="37"/>
  <c r="AE1" i="37"/>
  <c r="AD1" i="37"/>
  <c r="AC1" i="37"/>
  <c r="AB1" i="37"/>
  <c r="AA1" i="37"/>
  <c r="Z1" i="37"/>
  <c r="Y1" i="37"/>
  <c r="X1" i="37"/>
  <c r="W1" i="37"/>
  <c r="V1" i="37"/>
  <c r="U1" i="37"/>
  <c r="T1" i="37"/>
  <c r="S1" i="37"/>
  <c r="R1" i="37"/>
  <c r="Q1" i="37"/>
  <c r="P1" i="37"/>
  <c r="O1" i="37"/>
  <c r="N1" i="37"/>
  <c r="M1" i="37"/>
  <c r="L1" i="37"/>
  <c r="K1" i="37"/>
  <c r="J1" i="37"/>
  <c r="I1" i="37"/>
  <c r="H1" i="37"/>
  <c r="G1" i="37"/>
  <c r="F1" i="37"/>
  <c r="E1" i="37"/>
  <c r="D1" i="37"/>
  <c r="C1" i="37"/>
  <c r="AX1" i="38"/>
  <c r="AW1" i="38"/>
  <c r="AV1" i="38"/>
  <c r="AU1" i="38"/>
  <c r="AT1" i="38"/>
  <c r="AS1" i="38"/>
  <c r="AR1" i="38"/>
  <c r="AQ1" i="38"/>
  <c r="AP1" i="38"/>
  <c r="AO1" i="38"/>
  <c r="AN1" i="38"/>
  <c r="AM1" i="38"/>
  <c r="AL1" i="38"/>
  <c r="AK1" i="38"/>
  <c r="AJ1" i="38"/>
  <c r="AI1" i="38"/>
  <c r="AH1" i="38"/>
  <c r="AG1" i="38"/>
  <c r="AF1" i="38"/>
  <c r="AE1" i="38"/>
  <c r="AD1" i="38"/>
  <c r="AC1" i="38"/>
  <c r="AB1" i="38"/>
  <c r="AA1" i="38"/>
  <c r="Z1" i="38"/>
  <c r="Y1" i="38"/>
  <c r="X1" i="38"/>
  <c r="W1" i="38"/>
  <c r="V1" i="38"/>
  <c r="U1" i="38"/>
  <c r="T1" i="38"/>
  <c r="S1" i="38"/>
  <c r="R1" i="38"/>
  <c r="Q1" i="38"/>
  <c r="P1" i="38"/>
  <c r="O1" i="38"/>
  <c r="N1" i="38"/>
  <c r="M1" i="38"/>
  <c r="L1" i="38"/>
  <c r="K1" i="38"/>
  <c r="J1" i="38"/>
  <c r="I1" i="38"/>
  <c r="H1" i="38"/>
  <c r="G1" i="38"/>
  <c r="F1" i="38"/>
  <c r="E1" i="38"/>
  <c r="D1" i="38"/>
  <c r="C1" i="38"/>
  <c r="AX1" i="39"/>
  <c r="AW1" i="39"/>
  <c r="AV1" i="39"/>
  <c r="AU1" i="39"/>
  <c r="AT1" i="39"/>
  <c r="AS1" i="39"/>
  <c r="AR1" i="39"/>
  <c r="AQ1" i="39"/>
  <c r="AP1" i="39"/>
  <c r="AO1" i="39"/>
  <c r="AN1" i="39"/>
  <c r="AM1" i="39"/>
  <c r="AL1" i="39"/>
  <c r="AK1" i="39"/>
  <c r="AJ1" i="39"/>
  <c r="AI1" i="39"/>
  <c r="AH1" i="39"/>
  <c r="AG1" i="39"/>
  <c r="AF1" i="39"/>
  <c r="AE1" i="39"/>
  <c r="AD1" i="39"/>
  <c r="AC1" i="39"/>
  <c r="AB1" i="39"/>
  <c r="AA1" i="39"/>
  <c r="Z1" i="39"/>
  <c r="Y1" i="39"/>
  <c r="X1" i="39"/>
  <c r="W1" i="39"/>
  <c r="V1" i="39"/>
  <c r="U1" i="39"/>
  <c r="T1" i="39"/>
  <c r="S1" i="39"/>
  <c r="R1" i="39"/>
  <c r="Q1" i="39"/>
  <c r="P1" i="39"/>
  <c r="O1" i="39"/>
  <c r="N1" i="39"/>
  <c r="M1" i="39"/>
  <c r="L1" i="39"/>
  <c r="K1" i="39"/>
  <c r="J1" i="39"/>
  <c r="I1" i="39"/>
  <c r="H1" i="39"/>
  <c r="G1" i="39"/>
  <c r="F1" i="39"/>
  <c r="E1" i="39"/>
  <c r="D1" i="39"/>
  <c r="C1" i="39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<sst xmlns="http://schemas.openxmlformats.org/spreadsheetml/2006/main" count="81" uniqueCount="61">
  <si>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</si>
  <si>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</si>
  <si>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</si>
  <si>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</si>
  <si>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</si>
  <si>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</si>
  <si>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</si>
  <si>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</si>
  <si>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</si>
  <si>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</si>
  <si>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</si>
  <si>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</si>
  <si>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</si>
  <si>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</si>
  <si>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</si>
  <si>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</si>
  <si>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</si>
  <si>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</si>
  <si>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</si>
  <si>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</si>
  <si>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</si>
  <si>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</si>
  <si>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</si>
  <si>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</si>
  <si>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</si>
  <si>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</si>
  <si>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</si>
  <si>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</si>
  <si>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Annual Management Charge</t>
  </si>
  <si>
    <t>Emerging Market Debt</t>
  </si>
  <si>
    <t>Unclassified</t>
  </si>
  <si>
    <t>1 Year Performance</t>
  </si>
  <si>
    <t>3 Year Performance</t>
  </si>
  <si>
    <t>5 Year Performance</t>
  </si>
  <si>
    <t>High Yield</t>
  </si>
  <si>
    <t>1 year</t>
  </si>
  <si>
    <t>3 years</t>
  </si>
  <si>
    <t>5 years</t>
  </si>
  <si>
    <t>https://www.rathbones.com/advisers/financial-advisers/managed-portfolio-service</t>
  </si>
  <si>
    <t>Select Strategy Document</t>
  </si>
  <si>
    <t>Core Strategy 2</t>
  </si>
  <si>
    <t>Core Strategy 3</t>
  </si>
  <si>
    <t>Core Strategy 4 - Income</t>
  </si>
  <si>
    <t>Core Strategy 4</t>
  </si>
  <si>
    <t>Core Strategy 5</t>
  </si>
  <si>
    <t>Core Strategy 6</t>
  </si>
  <si>
    <t>Equities</t>
  </si>
  <si>
    <t>Conventional government bonds</t>
  </si>
  <si>
    <t>Alternative investment strategies</t>
  </si>
  <si>
    <t>Corporate bonds</t>
  </si>
  <si>
    <t>Cash and equivalents</t>
  </si>
  <si>
    <t>Commodities</t>
  </si>
  <si>
    <t>Emerging market debt</t>
  </si>
  <si>
    <t>Private equity</t>
  </si>
  <si>
    <t>Equities (Overseas developed)</t>
  </si>
  <si>
    <t>Equities (UK)</t>
  </si>
  <si>
    <t>Equities (Asia/emerging markets)</t>
  </si>
  <si>
    <t>Corporate bonds (high yield)</t>
  </si>
  <si>
    <t>RIM administration fee</t>
  </si>
  <si>
    <t>OCF</t>
  </si>
  <si>
    <t>https://www.rathbones.com/sites/rathbones.com/files/rathbones_select_as_at_31_august_2023.pdf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</si>
</sst>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2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  <xf numFmtId="10" fontId="0" fillId="0" borderId="0" xfId="2" applyNumberFormat="1" applyFont="1"/>
    <xf numFmtId="0" fontId="0" fillId="0" borderId="0" xfId="0" applyFill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114300</xdr:rowOff>
    </xdr:from>
    <xdr:to>
      <xdr:col>5</xdr:col>
      <xdr:colOff>586239</xdr:colOff>
      <xdr:row>11</xdr:row>
      <xdr:rowOff>38279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B317768-0DE1-770A-6E76-563992B9E5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98450"/>
          <a:ext cx="3634239" cy="1765479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11</xdr:row>
      <xdr:rowOff>152400</xdr:rowOff>
    </xdr:from>
    <xdr:to>
      <xdr:col>6</xdr:col>
      <xdr:colOff>311624</xdr:colOff>
      <xdr:row>22</xdr:row>
      <xdr:rowOff>89040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38150D8-4905-AE4F-5C0E-D679B1A278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700" y="2178050"/>
          <a:ext cx="3956524" cy="196229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</xdr:row>
      <xdr:rowOff>0</xdr:rowOff>
    </xdr:from>
    <xdr:to>
      <xdr:col>4</xdr:col>
      <xdr:colOff>25527</xdr:colOff>
      <xdr:row>35</xdr:row>
      <xdr:rowOff>114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9EF7EF37-DF83-F7EE-C238-06B49E509D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4235450"/>
          <a:ext cx="2463927" cy="2209914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</xdr:row>
      <xdr:rowOff>0</xdr:rowOff>
    </xdr:from>
    <xdr:to>
      <xdr:col>13</xdr:col>
      <xdr:colOff>101793</xdr:colOff>
      <xdr:row>16</xdr:row>
      <xdr:rowOff>19193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3D2B58BB-913C-7E30-651A-7B3D9D8CB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267200" y="184150"/>
          <a:ext cx="3759393" cy="2781443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</xdr:row>
      <xdr:rowOff>0</xdr:rowOff>
    </xdr:from>
    <xdr:to>
      <xdr:col>12</xdr:col>
      <xdr:colOff>463730</xdr:colOff>
      <xdr:row>31</xdr:row>
      <xdr:rowOff>133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8E932ECB-3E25-D199-06B3-08B869CF22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267200" y="3130550"/>
          <a:ext cx="3511730" cy="257823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tabSelected="1" workbookViewId="0">
      <selection activeCell="Q12" sqref="Q12"/>
    </sheetView>
  </sheetViews>
  <sheetFormatPr defaultRowHeight="15" x14ac:dyDescent="0.25"/>
  <sheetData>
    <row r="1" spans="1:17" x14ac:dyDescent="0.25">
      <c r="A1" s="3" t="s">
        <v>21</v>
      </c>
      <c r="H1" s="3" t="s">
        <v>19</v>
      </c>
    </row>
    <row r="3" spans="1:17" x14ac:dyDescent="0.25"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8"/>
  <sheetViews>
    <sheetView workbookViewId="0">
      <selection activeCell="L18" sqref="L18"/>
    </sheetView>
  </sheetViews>
  <sheetFormatPr defaultRowHeight="15" x14ac:dyDescent="0.25"/>
  <cols>
    <col min="1" max="1" width="19.14062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45230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40</v>
      </c>
      <c r="B3" t="str">
        <f>'PDF Scraping'!D2</f>
        <v>https://www.rathbones.com/sites/rathbones.com/files/rathbones_select_as_at_31_august_2023.pdf</v>
      </c>
      <c r="J3" s="4"/>
    </row>
    <row r="4" spans="1:10" x14ac:dyDescent="0.25">
      <c r="A4" t="s">
        <v>41</v>
      </c>
      <c r="B4" t="str">
        <f>'PDF Scraping'!D3</f>
        <v>https://www.rathbones.com/sites/rathbones.com/files/rathbones_select_as_at_31_august_2023.pdf</v>
      </c>
      <c r="J4" s="4"/>
    </row>
    <row r="5" spans="1:10" x14ac:dyDescent="0.25">
      <c r="A5" t="s">
        <v>42</v>
      </c>
      <c r="B5" t="str">
        <f>'PDF Scraping'!D4</f>
        <v>https://www.rathbones.com/sites/rathbones.com/files/rathbones_select_as_at_31_august_2023.pdf</v>
      </c>
    </row>
    <row r="6" spans="1:10" x14ac:dyDescent="0.25">
      <c r="A6" t="s">
        <v>43</v>
      </c>
      <c r="B6" t="str">
        <f>'PDF Scraping'!D5</f>
        <v>https://www.rathbones.com/sites/rathbones.com/files/rathbones_select_as_at_31_august_2023.pdf</v>
      </c>
    </row>
    <row r="7" spans="1:10" x14ac:dyDescent="0.25">
      <c r="A7" t="s">
        <v>44</v>
      </c>
      <c r="B7" t="str">
        <f>'PDF Scraping'!D6</f>
        <v>https://www.rathbones.com/sites/rathbones.com/files/rathbones_select_as_at_31_august_2023.pdf</v>
      </c>
    </row>
    <row r="8" spans="1:10" x14ac:dyDescent="0.25">
      <c r="A8" t="s">
        <v>45</v>
      </c>
      <c r="B8" t="str">
        <f>'PDF Scraping'!D7</f>
        <v>https://www.rathbones.com/sites/rathbones.com/files/rathbones_select_as_at_31_august_2023.pdf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50"/>
  <sheetViews>
    <sheetView workbookViewId="0">
      <selection activeCell="D1" sqref="D1"/>
    </sheetView>
  </sheetViews>
  <sheetFormatPr defaultRowHeight="15" x14ac:dyDescent="0.25"/>
  <cols>
    <col min="1" max="1" width="26.140625" bestFit="1" customWidth="1"/>
    <col min="2" max="2" width="19.140625" customWidth="1"/>
    <col min="3" max="4" width="33.140625" style="10" bestFit="1" customWidth="1"/>
    <col min="5" max="5" width="21.5703125" style="10" bestFit="1" customWidth="1"/>
    <col min="6" max="6" width="13.7109375" bestFit="1" customWidth="1"/>
  </cols>
  <sheetData>
    <row r="1" spans="1:9" x14ac:dyDescent="0.25">
      <c r="B1" t="s">
        <v>22</v>
      </c>
      <c r="C1" s="10" t="s">
        <v>58</v>
      </c>
      <c r="D1" s="10" t="s">
        <v>59</v>
      </c>
      <c r="E1" s="10" t="s">
        <v>35</v>
      </c>
      <c r="F1" t="s">
        <v>36</v>
      </c>
      <c r="G1" t="s">
        <v>37</v>
      </c>
    </row>
    <row r="2" spans="1:9" x14ac:dyDescent="0.25">
      <c r="A2" t="str">
        <f>IF(Input!A3="","",Input!A3)</f>
        <v>Core Strategy 2</v>
      </c>
      <c r="B2" s="1"/>
      <c r="F2" s="5"/>
      <c r="G2" s="5"/>
      <c r="H2" s="5"/>
      <c r="I2" s="5"/>
    </row>
    <row r="3" spans="1:9" x14ac:dyDescent="0.25">
      <c r="A3" t="str">
        <f>IF(Input!A4="","",Input!A4)</f>
        <v>Core Strategy 3</v>
      </c>
      <c r="B3" s="1"/>
      <c r="F3" s="5"/>
      <c r="G3" s="5"/>
      <c r="H3" s="5"/>
      <c r="I3" s="5"/>
    </row>
    <row r="4" spans="1:9" x14ac:dyDescent="0.25">
      <c r="A4" t="str">
        <f>IF(Input!A5="","",Input!A5)</f>
        <v>Core Strategy 4 - Income</v>
      </c>
      <c r="B4" s="1"/>
      <c r="F4" s="5"/>
      <c r="G4" s="5"/>
      <c r="H4" s="5"/>
      <c r="I4" s="5"/>
    </row>
    <row r="5" spans="1:9" x14ac:dyDescent="0.25">
      <c r="A5" t="str">
        <f>IF(Input!A6="","",Input!A6)</f>
        <v>Core Strategy 4</v>
      </c>
      <c r="B5" s="1"/>
      <c r="F5" s="5"/>
      <c r="G5" s="5"/>
      <c r="H5" s="5"/>
      <c r="I5" s="5"/>
    </row>
    <row r="6" spans="1:9" x14ac:dyDescent="0.25">
      <c r="A6" t="str">
        <f>IF(Input!A7="","",Input!A7)</f>
        <v>Core Strategy 5</v>
      </c>
      <c r="B6" s="1"/>
      <c r="F6" s="5"/>
      <c r="G6" s="5"/>
      <c r="H6" s="5"/>
      <c r="I6" s="5"/>
    </row>
    <row r="7" spans="1:9" x14ac:dyDescent="0.25">
      <c r="A7" t="str">
        <f>IF(Input!A8="","",Input!A8)</f>
        <v>Core Strategy 6</v>
      </c>
      <c r="B7" s="1"/>
      <c r="F7" s="5"/>
      <c r="G7" s="5"/>
      <c r="H7" s="5"/>
      <c r="I7" s="5"/>
    </row>
    <row r="8" spans="1:9" x14ac:dyDescent="0.25">
      <c r="A8" t="str">
        <f>IF(Input!A9="","",Input!A9)</f>
        <v/>
      </c>
      <c r="B8" s="1"/>
      <c r="F8" s="5"/>
      <c r="G8" s="5"/>
      <c r="H8" s="5"/>
      <c r="I8" s="5"/>
    </row>
    <row r="9" spans="1:9" x14ac:dyDescent="0.25">
      <c r="A9" t="str">
        <f>IF(Input!A10="","",Input!A10)</f>
        <v/>
      </c>
      <c r="B9" s="1"/>
      <c r="F9" s="5"/>
      <c r="G9" s="5"/>
      <c r="H9" s="5"/>
      <c r="I9" s="5"/>
    </row>
    <row r="10" spans="1:9" x14ac:dyDescent="0.25">
      <c r="A10" t="str">
        <f>IF(Input!A11="","",Input!A11)</f>
        <v/>
      </c>
      <c r="B10" s="1"/>
      <c r="F10" s="5"/>
      <c r="G10" s="5"/>
      <c r="H10" s="5"/>
      <c r="I10" s="5"/>
    </row>
    <row r="11" spans="1:9" x14ac:dyDescent="0.25">
      <c r="A11" t="str">
        <f>IF(Input!A12="","",Input!A12)</f>
        <v/>
      </c>
      <c r="B11" s="1"/>
      <c r="F11" s="5"/>
      <c r="G11" s="5"/>
      <c r="H11" s="5"/>
      <c r="I11" s="5"/>
    </row>
    <row r="12" spans="1:9" x14ac:dyDescent="0.25">
      <c r="A12" t="str">
        <f>IF(Input!A13="","",Input!A13)</f>
        <v/>
      </c>
      <c r="B12" s="1"/>
      <c r="F12" s="5"/>
      <c r="G12" s="5"/>
      <c r="H12" s="5"/>
      <c r="I12" s="5"/>
    </row>
    <row r="13" spans="1:9" x14ac:dyDescent="0.25">
      <c r="A13" t="str">
        <f>IF(Input!A14="","",Input!A14)</f>
        <v/>
      </c>
      <c r="B13" s="1"/>
      <c r="F13" s="5"/>
      <c r="G13" s="5"/>
      <c r="H13" s="5"/>
      <c r="I13" s="5"/>
    </row>
    <row r="14" spans="1:9" x14ac:dyDescent="0.25">
      <c r="A14" t="str">
        <f>IF(Input!A15="","",Input!A15)</f>
        <v/>
      </c>
      <c r="B14" s="1"/>
      <c r="F14" s="5"/>
      <c r="G14" s="5"/>
      <c r="H14" s="5"/>
      <c r="I14" s="5"/>
    </row>
    <row r="15" spans="1:9" x14ac:dyDescent="0.25">
      <c r="A15" t="str">
        <f>IF(Input!A16="","",Input!A16)</f>
        <v/>
      </c>
      <c r="B15" s="1"/>
      <c r="F15" s="5"/>
      <c r="G15" s="5"/>
      <c r="H15" s="5"/>
      <c r="I15" s="5"/>
    </row>
    <row r="16" spans="1:9" x14ac:dyDescent="0.25">
      <c r="A16" t="str">
        <f>IF(Input!A17="","",Input!A17)</f>
        <v/>
      </c>
      <c r="B16" s="1"/>
      <c r="F16" s="5"/>
      <c r="G16" s="5"/>
      <c r="H16" s="5"/>
      <c r="I16" s="5"/>
    </row>
    <row r="17" spans="1:9" x14ac:dyDescent="0.25">
      <c r="A17" t="str">
        <f>IF(Input!A18="","",Input!A18)</f>
        <v/>
      </c>
      <c r="B17" s="1"/>
      <c r="F17" s="5"/>
      <c r="G17" s="5"/>
      <c r="H17" s="5"/>
      <c r="I17" s="5"/>
    </row>
    <row r="18" spans="1:9" x14ac:dyDescent="0.25">
      <c r="A18" t="str">
        <f>IF(Input!A19="","",Input!A19)</f>
        <v/>
      </c>
      <c r="B18" s="1"/>
      <c r="F18" s="5"/>
      <c r="G18" s="5"/>
      <c r="H18" s="5"/>
      <c r="I18" s="5"/>
    </row>
    <row r="19" spans="1:9" x14ac:dyDescent="0.25">
      <c r="A19" t="str">
        <f>IF(Input!A20="","",Input!A20)</f>
        <v/>
      </c>
      <c r="B19" s="1"/>
      <c r="F19" s="5"/>
      <c r="G19" s="5"/>
      <c r="H19" s="5"/>
      <c r="I19" s="5"/>
    </row>
    <row r="20" spans="1:9" x14ac:dyDescent="0.25">
      <c r="A20" t="str">
        <f>IF(Input!A21="","",Input!A21)</f>
        <v/>
      </c>
      <c r="B20" s="1"/>
      <c r="F20" s="5"/>
      <c r="G20" s="5"/>
      <c r="H20" s="5"/>
      <c r="I20" s="5"/>
    </row>
    <row r="21" spans="1:9" x14ac:dyDescent="0.25">
      <c r="A21" t="str">
        <f>IF(Input!A22="","",Input!A22)</f>
        <v/>
      </c>
      <c r="B21" s="1"/>
      <c r="F21" s="5"/>
      <c r="G21" s="5"/>
      <c r="H21" s="5"/>
      <c r="I21" s="5"/>
    </row>
    <row r="22" spans="1:9" x14ac:dyDescent="0.25">
      <c r="A22" t="str">
        <f>IF(Input!A23="","",Input!A23)</f>
        <v/>
      </c>
      <c r="B22" s="1"/>
      <c r="F22" s="5"/>
      <c r="G22" s="5"/>
      <c r="H22" s="5"/>
      <c r="I22" s="5"/>
    </row>
    <row r="23" spans="1:9" x14ac:dyDescent="0.25">
      <c r="A23" t="str">
        <f>IF(Input!A24="","",Input!A24)</f>
        <v/>
      </c>
      <c r="B23" s="1"/>
      <c r="F23" s="5"/>
      <c r="G23" s="5"/>
      <c r="H23" s="5"/>
      <c r="I23" s="5"/>
    </row>
    <row r="24" spans="1:9" x14ac:dyDescent="0.25">
      <c r="A24" t="str">
        <f>IF(Input!A25="","",Input!A25)</f>
        <v/>
      </c>
      <c r="B24" s="1"/>
      <c r="F24" s="5"/>
      <c r="G24" s="5"/>
      <c r="H24" s="5"/>
      <c r="I24" s="5"/>
    </row>
    <row r="25" spans="1:9" x14ac:dyDescent="0.25">
      <c r="A25" t="str">
        <f>IF(Input!A26="","",Input!A26)</f>
        <v/>
      </c>
      <c r="B25" s="7"/>
      <c r="F25" s="5"/>
      <c r="G25" s="5"/>
      <c r="H25" s="5"/>
      <c r="I25" s="5"/>
    </row>
    <row r="26" spans="1:9" x14ac:dyDescent="0.25">
      <c r="A26" t="str">
        <f>IF(Input!A27="","",Input!A27)</f>
        <v/>
      </c>
      <c r="B26" s="7"/>
    </row>
    <row r="27" spans="1:9" x14ac:dyDescent="0.25">
      <c r="A27" t="str">
        <f>IF(Input!A28="","",Input!A28)</f>
        <v/>
      </c>
      <c r="B27" s="7"/>
    </row>
    <row r="28" spans="1:9" x14ac:dyDescent="0.25">
      <c r="A28" t="str">
        <f>IF(Input!A29="","",Input!A29)</f>
        <v/>
      </c>
      <c r="B28" s="7"/>
    </row>
    <row r="29" spans="1:9" x14ac:dyDescent="0.25">
      <c r="A29" t="str">
        <f>IF(Input!A30="","",Input!A30)</f>
        <v/>
      </c>
      <c r="B29" s="7"/>
    </row>
    <row r="30" spans="1:9" x14ac:dyDescent="0.25">
      <c r="A30" t="str">
        <f>IF(Input!A31="","",Input!A31)</f>
        <v/>
      </c>
      <c r="B30" s="7"/>
    </row>
    <row r="31" spans="1:9" x14ac:dyDescent="0.25">
      <c r="A31" t="str">
        <f>IF(Input!A32="","",Input!A32)</f>
        <v/>
      </c>
      <c r="B31" s="7"/>
    </row>
    <row r="32" spans="1:9" x14ac:dyDescent="0.25">
      <c r="A32" t="str">
        <f>IF(Input!A33="","",Input!A33)</f>
        <v/>
      </c>
      <c r="B32" s="7"/>
    </row>
    <row r="33" spans="1:2" x14ac:dyDescent="0.25">
      <c r="A33" t="str">
        <f>IF(Input!A34="","",Input!A34)</f>
        <v/>
      </c>
      <c r="B33" s="7"/>
    </row>
    <row r="34" spans="1:2" x14ac:dyDescent="0.25">
      <c r="A34" t="str">
        <f>IF(Input!A35="","",Input!A35)</f>
        <v/>
      </c>
      <c r="B34" s="7"/>
    </row>
    <row r="35" spans="1:2" x14ac:dyDescent="0.25">
      <c r="A35" t="str">
        <f>IF(Input!A36="","",Input!A36)</f>
        <v/>
      </c>
    </row>
    <row r="36" spans="1:2" x14ac:dyDescent="0.25">
      <c r="A36" t="str">
        <f>IF(Input!A37="","",Input!A37)</f>
        <v/>
      </c>
    </row>
    <row r="37" spans="1:2" x14ac:dyDescent="0.25">
      <c r="A37" t="str">
        <f>IF(Input!A38="","",Input!A38)</f>
        <v/>
      </c>
    </row>
    <row r="38" spans="1:2" x14ac:dyDescent="0.25">
      <c r="A38" t="str">
        <f>IF(Input!A39="","",Input!A39)</f>
        <v/>
      </c>
    </row>
    <row r="39" spans="1:2" x14ac:dyDescent="0.25">
      <c r="A39" t="str">
        <f>IF(Input!A40="","",Input!A40)</f>
        <v/>
      </c>
    </row>
    <row r="40" spans="1:2" x14ac:dyDescent="0.25">
      <c r="A40" t="str">
        <f>IF(Input!A41="","",Input!A41)</f>
        <v/>
      </c>
    </row>
    <row r="41" spans="1:2" x14ac:dyDescent="0.25">
      <c r="A41" t="str">
        <f>IF(Input!A42="","",Input!A42)</f>
        <v/>
      </c>
    </row>
    <row r="42" spans="1:2" x14ac:dyDescent="0.25">
      <c r="A42" t="str">
        <f>IF(Input!A43="","",Input!A43)</f>
        <v/>
      </c>
    </row>
    <row r="43" spans="1:2" x14ac:dyDescent="0.25">
      <c r="A43" t="str">
        <f>IF(Input!A44="","",Input!A44)</f>
        <v/>
      </c>
    </row>
    <row r="44" spans="1:2" x14ac:dyDescent="0.25">
      <c r="A44" t="str">
        <f>IF(Input!A45="","",Input!A45)</f>
        <v/>
      </c>
    </row>
    <row r="45" spans="1:2" x14ac:dyDescent="0.25">
      <c r="A45" t="str">
        <f>IF(Input!A46="","",Input!A46)</f>
        <v/>
      </c>
    </row>
    <row r="46" spans="1:2" x14ac:dyDescent="0.25">
      <c r="A46" t="str">
        <f>IF(Input!A47="","",Input!A47)</f>
        <v/>
      </c>
    </row>
    <row r="47" spans="1:2" x14ac:dyDescent="0.25">
      <c r="A47" t="str">
        <f>IF(Input!A48="","",Input!A48)</f>
        <v/>
      </c>
    </row>
    <row r="48" spans="1:2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D50"/>
  <sheetViews>
    <sheetView workbookViewId="0">
      <selection activeCell="F11" sqref="F11"/>
    </sheetView>
  </sheetViews>
  <sheetFormatPr defaultRowHeight="15" x14ac:dyDescent="0.25"/>
  <cols>
    <col min="1" max="1" width="22.85546875" bestFit="1" customWidth="1"/>
    <col min="2" max="2" width="8.140625" style="10" bestFit="1" customWidth="1"/>
    <col min="3" max="3" width="30.7109375" style="10" bestFit="1" customWidth="1"/>
    <col min="4" max="4" width="31.42578125" style="10" bestFit="1" customWidth="1"/>
    <col min="5" max="5" width="15.85546875" style="10" bestFit="1" customWidth="1"/>
    <col min="6" max="6" width="20" style="10" bestFit="1" customWidth="1"/>
    <col min="7" max="7" width="12.85546875" style="10" bestFit="1" customWidth="1"/>
    <col min="8" max="8" width="20.85546875" style="10" bestFit="1" customWidth="1"/>
    <col min="9" max="9" width="13.5703125" style="10" bestFit="1" customWidth="1"/>
    <col min="10" max="10" width="28.7109375" style="10" bestFit="1" customWidth="1"/>
    <col min="11" max="11" width="12.42578125" style="10" bestFit="1" customWidth="1"/>
    <col min="12" max="12" width="31.28515625" bestFit="1" customWidth="1"/>
    <col min="13" max="13" width="26.85546875" bestFit="1" customWidth="1"/>
    <col min="14" max="14" width="20.85546875" bestFit="1" customWidth="1"/>
    <col min="15" max="15" width="15.85546875" bestFit="1" customWidth="1"/>
    <col min="16" max="16" width="13.5703125" bestFit="1" customWidth="1"/>
    <col min="17" max="17" width="11.85546875" bestFit="1" customWidth="1"/>
    <col min="18" max="18" width="6.140625" bestFit="1" customWidth="1"/>
    <col min="19" max="19" width="18.140625" bestFit="1" customWidth="1"/>
    <col min="20" max="20" width="15.85546875" bestFit="1" customWidth="1"/>
    <col min="21" max="21" width="20.5703125" bestFit="1" customWidth="1"/>
    <col min="22" max="22" width="27.5703125" bestFit="1" customWidth="1"/>
    <col min="23" max="23" width="24.140625" bestFit="1" customWidth="1"/>
    <col min="24" max="24" width="24.7109375" bestFit="1" customWidth="1"/>
    <col min="25" max="25" width="9.85546875" bestFit="1" customWidth="1"/>
    <col min="26" max="26" width="18.42578125" bestFit="1" customWidth="1"/>
    <col min="27" max="27" width="18.140625" bestFit="1" customWidth="1"/>
    <col min="28" max="28" width="21.42578125" bestFit="1" customWidth="1"/>
    <col min="29" max="29" width="18.42578125" bestFit="1" customWidth="1"/>
    <col min="30" max="30" width="21.5703125" bestFit="1" customWidth="1"/>
  </cols>
  <sheetData>
    <row r="1" spans="1:30" x14ac:dyDescent="0.25">
      <c r="B1" s="10" t="s">
        <v>46</v>
      </c>
      <c r="C1" s="10" t="s">
        <v>47</v>
      </c>
      <c r="D1" s="10" t="s">
        <v>48</v>
      </c>
      <c r="E1" s="10" t="s">
        <v>49</v>
      </c>
      <c r="F1" s="10" t="s">
        <v>50</v>
      </c>
      <c r="G1" s="10" t="s">
        <v>51</v>
      </c>
      <c r="H1" s="10" t="s">
        <v>52</v>
      </c>
      <c r="I1" s="10" t="s">
        <v>53</v>
      </c>
      <c r="J1" s="10" t="s">
        <v>54</v>
      </c>
      <c r="K1" s="10" t="s">
        <v>55</v>
      </c>
      <c r="L1" t="s">
        <v>56</v>
      </c>
      <c r="M1" t="s">
        <v>57</v>
      </c>
      <c r="N1" t="s">
        <v>52</v>
      </c>
      <c r="O1" t="s">
        <v>49</v>
      </c>
      <c r="P1" t="s">
        <v>53</v>
      </c>
    </row>
    <row r="2" spans="1:30" x14ac:dyDescent="0.25">
      <c r="A2" t="str">
        <f>IF(Input!A3="","",Input!A3)</f>
        <v>Core Strategy 2</v>
      </c>
      <c r="L2" s="5"/>
      <c r="M2" s="5"/>
      <c r="N2" s="5"/>
      <c r="O2" s="5"/>
      <c r="P2" s="5"/>
      <c r="Q2" s="5"/>
      <c r="R2" s="5"/>
      <c r="T2" s="5"/>
      <c r="U2" s="5"/>
      <c r="V2" s="5"/>
    </row>
    <row r="3" spans="1:30" x14ac:dyDescent="0.25">
      <c r="A3" t="str">
        <f>IF(Input!A4="","",Input!A4)</f>
        <v>Core Strategy 3</v>
      </c>
      <c r="L3" s="5"/>
      <c r="M3" s="5"/>
      <c r="N3" s="5"/>
      <c r="O3" s="5"/>
      <c r="P3" s="5"/>
      <c r="Q3" s="5"/>
      <c r="R3" s="5"/>
      <c r="S3" s="5"/>
      <c r="T3" s="5"/>
    </row>
    <row r="4" spans="1:30" x14ac:dyDescent="0.25">
      <c r="A4" t="str">
        <f>IF(Input!A5="","",Input!A5)</f>
        <v>Core Strategy 4 - Income</v>
      </c>
      <c r="L4" s="5"/>
      <c r="M4" s="5"/>
      <c r="N4" s="5"/>
      <c r="O4" s="5"/>
      <c r="P4" s="5"/>
      <c r="Q4" s="5"/>
      <c r="R4" s="5"/>
      <c r="S4" s="5"/>
      <c r="T4" s="5"/>
    </row>
    <row r="5" spans="1:30" x14ac:dyDescent="0.25">
      <c r="A5" t="str">
        <f>IF(Input!A6="","",Input!A6)</f>
        <v>Core Strategy 4</v>
      </c>
      <c r="L5" s="5"/>
      <c r="M5" s="5"/>
      <c r="N5" s="5"/>
      <c r="O5" s="5"/>
      <c r="P5" s="5"/>
      <c r="Q5" s="5"/>
      <c r="R5" s="5"/>
      <c r="S5" s="5"/>
      <c r="T5" s="5"/>
    </row>
    <row r="6" spans="1:30" x14ac:dyDescent="0.25">
      <c r="A6" t="str">
        <f>IF(Input!A7="","",Input!A7)</f>
        <v>Core Strategy 5</v>
      </c>
      <c r="L6" s="5"/>
      <c r="M6" s="5"/>
      <c r="N6" s="5"/>
      <c r="O6" s="5"/>
      <c r="P6" s="5"/>
      <c r="Q6" s="5"/>
      <c r="R6" s="5"/>
      <c r="S6" s="5"/>
      <c r="T6" s="5"/>
    </row>
    <row r="7" spans="1:30" x14ac:dyDescent="0.25">
      <c r="A7" t="str">
        <f>IF(Input!A8="","",Input!A8)</f>
        <v>Core Strategy 6</v>
      </c>
      <c r="L7" s="5"/>
      <c r="M7" s="5"/>
      <c r="N7" s="5"/>
      <c r="O7" s="5"/>
      <c r="P7" s="5"/>
      <c r="Q7" s="5"/>
      <c r="R7" s="5"/>
      <c r="S7" s="5"/>
      <c r="T7" s="5"/>
      <c r="AD7" s="5"/>
    </row>
    <row r="8" spans="1:30" x14ac:dyDescent="0.25">
      <c r="A8" t="str">
        <f>IF(Input!A9="","",Input!A9)</f>
        <v/>
      </c>
      <c r="L8" s="5"/>
      <c r="M8" s="5"/>
      <c r="N8" s="5"/>
      <c r="O8" s="5"/>
      <c r="P8" s="5"/>
      <c r="Q8" s="5"/>
      <c r="R8" s="5"/>
      <c r="S8" s="5"/>
      <c r="T8" s="5"/>
    </row>
    <row r="9" spans="1:30" x14ac:dyDescent="0.25">
      <c r="A9" t="str">
        <f>IF(Input!A10="","",Input!A10)</f>
        <v/>
      </c>
      <c r="L9" s="5"/>
      <c r="M9" s="5"/>
      <c r="N9" s="5"/>
      <c r="O9" s="5"/>
      <c r="P9" s="5"/>
      <c r="Q9" s="5"/>
      <c r="R9" s="5"/>
      <c r="S9" s="5"/>
      <c r="T9" s="5"/>
    </row>
    <row r="10" spans="1:30" x14ac:dyDescent="0.25">
      <c r="A10" t="str">
        <f>IF(Input!A11="","",Input!A11)</f>
        <v/>
      </c>
      <c r="L10" s="5"/>
      <c r="M10" s="5"/>
      <c r="N10" s="5"/>
      <c r="O10" s="5"/>
      <c r="P10" s="5"/>
      <c r="Q10" s="5"/>
      <c r="R10" s="5"/>
      <c r="S10" s="5"/>
      <c r="T10" s="5"/>
    </row>
    <row r="11" spans="1:30" x14ac:dyDescent="0.25">
      <c r="A11" t="str">
        <f>IF(Input!A12="","",Input!A12)</f>
        <v/>
      </c>
      <c r="L11" s="5"/>
      <c r="M11" s="5"/>
      <c r="N11" s="5"/>
      <c r="O11" s="5"/>
      <c r="P11" s="5"/>
      <c r="Q11" s="5"/>
      <c r="R11" s="5"/>
      <c r="S11" s="5"/>
      <c r="T11" s="5"/>
    </row>
    <row r="12" spans="1:30" x14ac:dyDescent="0.25">
      <c r="A12" t="str">
        <f>IF(Input!A13="","",Input!A13)</f>
        <v/>
      </c>
      <c r="L12" s="5"/>
      <c r="M12" s="5"/>
      <c r="N12" s="5"/>
      <c r="O12" s="5"/>
      <c r="P12" s="5"/>
      <c r="Q12" s="5"/>
      <c r="R12" s="5"/>
      <c r="S12" s="5"/>
      <c r="T12" s="5"/>
    </row>
    <row r="13" spans="1:30" x14ac:dyDescent="0.25">
      <c r="A13" t="str">
        <f>IF(Input!A14="","",Input!A14)</f>
        <v/>
      </c>
      <c r="L13" s="5"/>
      <c r="M13" s="5"/>
      <c r="N13" s="5"/>
      <c r="O13" s="5"/>
      <c r="P13" s="5"/>
      <c r="Q13" s="5"/>
      <c r="R13" s="5"/>
      <c r="S13" s="5"/>
      <c r="T13" s="5"/>
    </row>
    <row r="14" spans="1:30" x14ac:dyDescent="0.25">
      <c r="A14" t="str">
        <f>IF(Input!A15="","",Input!A15)</f>
        <v/>
      </c>
      <c r="L14" s="5"/>
      <c r="M14" s="5"/>
      <c r="N14" s="5"/>
      <c r="O14" s="5"/>
      <c r="P14" s="5"/>
      <c r="Q14" s="5"/>
      <c r="R14" s="5"/>
      <c r="S14" s="5"/>
      <c r="T14" s="5"/>
    </row>
    <row r="15" spans="1:30" x14ac:dyDescent="0.25">
      <c r="A15" t="str">
        <f>IF(Input!A16="","",Input!A16)</f>
        <v/>
      </c>
      <c r="L15" s="5"/>
      <c r="M15" s="5"/>
      <c r="N15" s="5"/>
      <c r="O15" s="5"/>
      <c r="P15" s="5"/>
      <c r="Q15" s="5"/>
      <c r="R15" s="5"/>
      <c r="S15" s="5"/>
      <c r="T15" s="5"/>
    </row>
    <row r="16" spans="1:30" x14ac:dyDescent="0.25">
      <c r="A16" t="str">
        <f>IF(Input!A17="","",Input!A17)</f>
        <v/>
      </c>
      <c r="L16" s="5"/>
      <c r="M16" s="5"/>
      <c r="N16" s="5"/>
      <c r="O16" s="5"/>
      <c r="Q16" s="5"/>
      <c r="R16" s="5"/>
      <c r="S16" s="5"/>
      <c r="T16" s="5"/>
    </row>
    <row r="17" spans="1:29" x14ac:dyDescent="0.25">
      <c r="A17" t="str">
        <f>IF(Input!A18="","",Input!A18)</f>
        <v/>
      </c>
      <c r="L17" s="5"/>
      <c r="M17" s="5"/>
      <c r="N17" s="5"/>
      <c r="O17" s="5"/>
      <c r="P17" s="5"/>
      <c r="Q17" s="5"/>
      <c r="R17" s="5"/>
      <c r="T17" s="5"/>
      <c r="W17" s="5"/>
      <c r="Y17" s="5"/>
      <c r="Z17" s="5"/>
      <c r="AB17" s="5"/>
    </row>
    <row r="18" spans="1:29" x14ac:dyDescent="0.25">
      <c r="A18" t="str">
        <f>IF(Input!A19="","",Input!A19)</f>
        <v/>
      </c>
      <c r="L18" s="5"/>
      <c r="M18" s="5"/>
      <c r="N18" s="5"/>
      <c r="O18" s="5"/>
      <c r="Q18" s="5"/>
      <c r="R18" s="5"/>
      <c r="T18" s="5"/>
      <c r="U18" s="5"/>
      <c r="Z18" s="5"/>
    </row>
    <row r="19" spans="1:29" x14ac:dyDescent="0.25">
      <c r="A19" t="str">
        <f>IF(Input!A20="","",Input!A20)</f>
        <v/>
      </c>
      <c r="L19" s="5"/>
      <c r="M19" s="5"/>
      <c r="N19" s="5"/>
      <c r="O19" s="5"/>
      <c r="P19" s="5"/>
      <c r="Q19" s="5"/>
      <c r="R19" s="5"/>
      <c r="T19" s="5"/>
      <c r="U19" s="5"/>
      <c r="W19" s="5"/>
      <c r="X19" s="5"/>
      <c r="Y19" s="5"/>
    </row>
    <row r="20" spans="1:29" x14ac:dyDescent="0.25">
      <c r="A20" t="str">
        <f>IF(Input!A21="","",Input!A21)</f>
        <v/>
      </c>
      <c r="L20" s="5"/>
      <c r="M20" s="5"/>
      <c r="N20" s="5"/>
      <c r="O20" s="5"/>
      <c r="P20" s="5"/>
      <c r="Q20" s="5"/>
      <c r="R20" s="5"/>
      <c r="T20" s="5"/>
      <c r="W20" s="5"/>
      <c r="X20" s="5"/>
      <c r="Y20" s="5"/>
      <c r="AB20" s="5"/>
    </row>
    <row r="21" spans="1:29" x14ac:dyDescent="0.25">
      <c r="A21" t="str">
        <f>IF(Input!A22="","",Input!A22)</f>
        <v/>
      </c>
      <c r="L21" s="5"/>
      <c r="M21" s="5"/>
      <c r="N21" s="5"/>
      <c r="O21" s="5"/>
      <c r="P21" s="5"/>
      <c r="Q21" s="5"/>
      <c r="R21" s="5"/>
      <c r="T21" s="5"/>
      <c r="U21" s="5"/>
      <c r="W21" s="5"/>
      <c r="X21" s="5"/>
      <c r="Y21" s="5"/>
    </row>
    <row r="22" spans="1:29" x14ac:dyDescent="0.25">
      <c r="A22" t="str">
        <f>IF(Input!A23="","",Input!A23)</f>
        <v/>
      </c>
      <c r="L22" s="5"/>
      <c r="M22" s="5"/>
      <c r="N22" s="5"/>
      <c r="O22" s="5"/>
      <c r="Q22" s="5"/>
      <c r="R22" s="5"/>
      <c r="T22" s="5"/>
      <c r="U22" s="5"/>
      <c r="Z22" s="5"/>
    </row>
    <row r="23" spans="1:29" x14ac:dyDescent="0.25">
      <c r="A23" t="str">
        <f>IF(Input!A24="","",Input!A24)</f>
        <v/>
      </c>
      <c r="L23" s="5"/>
      <c r="M23" s="5"/>
      <c r="N23" s="5"/>
      <c r="O23" s="5"/>
      <c r="P23" s="5"/>
      <c r="Q23" s="5"/>
      <c r="R23" s="5"/>
      <c r="T23" s="5"/>
      <c r="U23" s="5"/>
      <c r="Y23" s="5"/>
      <c r="AB23" s="5"/>
    </row>
    <row r="24" spans="1:29" x14ac:dyDescent="0.25">
      <c r="A24" t="str">
        <f>IF(Input!A25="","",Input!A25)</f>
        <v/>
      </c>
      <c r="L24" s="5"/>
      <c r="M24" s="5"/>
      <c r="N24" s="5"/>
      <c r="O24" s="5"/>
      <c r="P24" s="5"/>
      <c r="Q24" s="5"/>
      <c r="R24" s="5"/>
      <c r="T24" s="5"/>
      <c r="U24" s="5"/>
      <c r="Y24" s="5"/>
    </row>
    <row r="25" spans="1:29" x14ac:dyDescent="0.25">
      <c r="A25" t="str">
        <f>IF(Input!A26="","",Input!A26)</f>
        <v/>
      </c>
      <c r="L25" s="5"/>
      <c r="N25" s="5"/>
      <c r="O25" s="5"/>
      <c r="P25" s="5"/>
      <c r="R25" s="5"/>
      <c r="U25" s="5"/>
      <c r="W25" s="5"/>
      <c r="AB25" s="5"/>
    </row>
    <row r="26" spans="1:29" x14ac:dyDescent="0.25">
      <c r="A26" t="str">
        <f>IF(Input!A27="","",Input!A27)</f>
        <v/>
      </c>
      <c r="L26" s="5"/>
      <c r="N26" s="5"/>
      <c r="O26" s="5"/>
      <c r="P26" s="5"/>
      <c r="R26" s="5"/>
      <c r="U26" s="5"/>
      <c r="W26" s="5"/>
      <c r="AB26" s="5"/>
    </row>
    <row r="27" spans="1:29" x14ac:dyDescent="0.25">
      <c r="A27" t="str">
        <f>IF(Input!A28="","",Input!A28)</f>
        <v/>
      </c>
      <c r="L27" s="5"/>
      <c r="N27" s="5"/>
      <c r="P27" s="5"/>
      <c r="R27" s="5"/>
      <c r="U27" s="5"/>
      <c r="W27" s="5"/>
      <c r="AB27" s="5"/>
    </row>
    <row r="28" spans="1:29" x14ac:dyDescent="0.25">
      <c r="A28" t="str">
        <f>IF(Input!A29="","",Input!A29)</f>
        <v/>
      </c>
      <c r="L28" s="5"/>
      <c r="N28" s="5"/>
      <c r="P28" s="5"/>
      <c r="R28" s="5"/>
      <c r="U28" s="5"/>
      <c r="W28" s="5"/>
      <c r="AB28" s="5"/>
      <c r="AC28" s="5"/>
    </row>
    <row r="29" spans="1:29" x14ac:dyDescent="0.25">
      <c r="A29" t="str">
        <f>IF(Input!A30="","",Input!A30)</f>
        <v/>
      </c>
      <c r="L29" s="5"/>
      <c r="N29" s="5"/>
      <c r="O29" s="5"/>
      <c r="P29" s="5"/>
      <c r="S29" s="5"/>
      <c r="T29" s="5"/>
    </row>
    <row r="30" spans="1:29" x14ac:dyDescent="0.25">
      <c r="A30" t="str">
        <f>IF(Input!A31="","",Input!A31)</f>
        <v/>
      </c>
      <c r="L30" s="5"/>
      <c r="N30" s="5"/>
      <c r="O30" s="5"/>
      <c r="P30" s="5"/>
      <c r="R30" s="5"/>
      <c r="S30" s="5"/>
      <c r="T30" s="5"/>
    </row>
    <row r="31" spans="1:29" x14ac:dyDescent="0.25">
      <c r="A31" t="str">
        <f>IF(Input!A32="","",Input!A32)</f>
        <v/>
      </c>
      <c r="L31" s="5"/>
      <c r="N31" s="5"/>
      <c r="O31" s="5"/>
      <c r="P31" s="5"/>
      <c r="Q31" s="5"/>
      <c r="S31" s="5"/>
      <c r="T31" s="5"/>
    </row>
    <row r="32" spans="1:29" x14ac:dyDescent="0.25">
      <c r="A32" t="str">
        <f>IF(Input!A33="","",Input!A33)</f>
        <v/>
      </c>
      <c r="L32" s="5"/>
      <c r="N32" s="5"/>
      <c r="O32" s="5"/>
      <c r="P32" s="5"/>
      <c r="Q32" s="5"/>
      <c r="R32" s="5"/>
      <c r="S32" s="5"/>
      <c r="T32" s="5"/>
    </row>
    <row r="33" spans="1:27" x14ac:dyDescent="0.25">
      <c r="A33" t="str">
        <f>IF(Input!A34="","",Input!A34)</f>
        <v/>
      </c>
      <c r="L33" s="5"/>
      <c r="N33" s="5"/>
      <c r="O33" s="5"/>
      <c r="P33" s="5"/>
      <c r="Q33" s="5"/>
      <c r="R33" s="5"/>
      <c r="S33" s="5"/>
      <c r="T33" s="5"/>
    </row>
    <row r="34" spans="1:27" x14ac:dyDescent="0.25">
      <c r="A34" t="str">
        <f>IF(Input!A35="","",Input!A35)</f>
        <v/>
      </c>
      <c r="N34" s="5"/>
      <c r="P34" s="5"/>
      <c r="Q34" s="5"/>
      <c r="R34" s="5"/>
      <c r="S34" s="5"/>
      <c r="AA34" s="5"/>
    </row>
    <row r="35" spans="1:27" x14ac:dyDescent="0.25">
      <c r="A35" t="str">
        <f>IF(Input!A36="","",Input!A36)</f>
        <v/>
      </c>
    </row>
    <row r="36" spans="1:27" x14ac:dyDescent="0.25">
      <c r="A36" t="str">
        <f>IF(Input!A37="","",Input!A37)</f>
        <v/>
      </c>
    </row>
    <row r="37" spans="1:27" x14ac:dyDescent="0.25">
      <c r="A37" t="str">
        <f>IF(Input!A38="","",Input!A38)</f>
        <v/>
      </c>
    </row>
    <row r="38" spans="1:27" x14ac:dyDescent="0.25">
      <c r="A38" t="str">
        <f>IF(Input!A39="","",Input!A39)</f>
        <v/>
      </c>
    </row>
    <row r="39" spans="1:27" x14ac:dyDescent="0.25">
      <c r="A39" t="str">
        <f>IF(Input!A40="","",Input!A40)</f>
        <v/>
      </c>
    </row>
    <row r="40" spans="1:27" x14ac:dyDescent="0.25">
      <c r="A40" t="str">
        <f>IF(Input!A41="","",Input!A41)</f>
        <v/>
      </c>
    </row>
    <row r="41" spans="1:27" x14ac:dyDescent="0.25">
      <c r="A41" t="str">
        <f>IF(Input!A42="","",Input!A42)</f>
        <v/>
      </c>
    </row>
    <row r="42" spans="1:27" x14ac:dyDescent="0.25">
      <c r="A42" t="str">
        <f>IF(Input!A43="","",Input!A43)</f>
        <v/>
      </c>
    </row>
    <row r="43" spans="1:27" x14ac:dyDescent="0.25">
      <c r="A43" t="str">
        <f>IF(Input!A44="","",Input!A44)</f>
        <v/>
      </c>
    </row>
    <row r="44" spans="1:27" x14ac:dyDescent="0.25">
      <c r="A44" t="str">
        <f>IF(Input!A45="","",Input!A45)</f>
        <v/>
      </c>
    </row>
    <row r="45" spans="1:27" x14ac:dyDescent="0.25">
      <c r="A45" t="str">
        <f>IF(Input!A46="","",Input!A46)</f>
        <v/>
      </c>
    </row>
    <row r="46" spans="1:27" x14ac:dyDescent="0.25">
      <c r="A46" t="str">
        <f>IF(Input!A47="","",Input!A47)</f>
        <v/>
      </c>
    </row>
    <row r="47" spans="1:27" x14ac:dyDescent="0.25">
      <c r="A47" t="str">
        <f>IF(Input!A48="","",Input!A48)</f>
        <v/>
      </c>
    </row>
    <row r="48" spans="1:27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workbookViewId="0">
      <selection activeCell="C12" sqref="C12"/>
    </sheetView>
  </sheetViews>
  <sheetFormatPr defaultRowHeight="15" x14ac:dyDescent="0.25"/>
  <cols>
    <col min="1" max="1" width="22.85546875" bestFit="1" customWidth="1"/>
    <col min="2" max="2" width="77.85546875" bestFit="1" customWidth="1"/>
    <col min="3" max="3" width="24.140625" bestFit="1" customWidth="1"/>
    <col min="4" max="4" width="93.28515625" style="8" bestFit="1" customWidth="1"/>
    <col min="5" max="5" width="10.28515625" bestFit="1" customWidth="1"/>
  </cols>
  <sheetData>
    <row r="1" spans="1:5" x14ac:dyDescent="0.25">
      <c r="A1" t="s">
        <v>0</v>
      </c>
      <c r="B1" t="s">
        <v>23</v>
      </c>
      <c r="C1" t="s">
        <v>24</v>
      </c>
      <c r="D1" s="8" t="s">
        <v>25</v>
      </c>
      <c r="E1" s="3" t="s">
        <v>27</v>
      </c>
    </row>
    <row r="2" spans="1:5" x14ac:dyDescent="0.25">
      <c r="A2" t="str">
        <f>IF(Input!A3="","",Input!A3)</f>
        <v>Core Strategy 2</v>
      </c>
      <c r="B2" s="11" t="s">
        <v>38</v>
      </c>
      <c r="C2" t="s">
        <v>39</v>
      </c>
      <c r="D2" s="8" t="s">
        <v>60</v>
      </c>
    </row>
    <row r="3" spans="1:5" x14ac:dyDescent="0.25">
      <c r="A3" t="str">
        <f>IF(Input!A4="","",Input!A4)</f>
        <v>Core Strategy 3</v>
      </c>
      <c r="B3" s="11" t="s">
        <v>38</v>
      </c>
      <c r="C3" t="s">
        <v>39</v>
      </c>
      <c r="D3" s="8" t="s">
        <v>60</v>
      </c>
    </row>
    <row r="4" spans="1:5" x14ac:dyDescent="0.25">
      <c r="A4" t="str">
        <f>IF(Input!A5="","",Input!A5)</f>
        <v>Core Strategy 4 - Income</v>
      </c>
      <c r="B4" s="11" t="s">
        <v>38</v>
      </c>
      <c r="C4" t="s">
        <v>39</v>
      </c>
      <c r="D4" s="8" t="s">
        <v>60</v>
      </c>
    </row>
    <row r="5" spans="1:5" x14ac:dyDescent="0.25">
      <c r="A5" t="str">
        <f>IF(Input!A6="","",Input!A6)</f>
        <v>Core Strategy 4</v>
      </c>
      <c r="B5" s="11" t="s">
        <v>38</v>
      </c>
      <c r="C5" t="s">
        <v>39</v>
      </c>
      <c r="D5" s="8" t="s">
        <v>60</v>
      </c>
    </row>
    <row r="6" spans="1:5" x14ac:dyDescent="0.25">
      <c r="A6" t="str">
        <f>IF(Input!A7="","",Input!A7)</f>
        <v>Core Strategy 5</v>
      </c>
      <c r="B6" s="11" t="s">
        <v>38</v>
      </c>
      <c r="C6" t="s">
        <v>39</v>
      </c>
      <c r="D6" s="8" t="s">
        <v>60</v>
      </c>
    </row>
    <row r="7" spans="1:5" x14ac:dyDescent="0.25">
      <c r="A7" t="str">
        <f>IF(Input!A8="","",Input!A8)</f>
        <v>Core Strategy 6</v>
      </c>
      <c r="B7" s="11" t="s">
        <v>38</v>
      </c>
      <c r="C7" t="s">
        <v>39</v>
      </c>
      <c r="D7" s="8" t="s">
        <v>60</v>
      </c>
    </row>
    <row r="8" spans="1:5" x14ac:dyDescent="0.25">
      <c r="A8" t="str">
        <f>IF(Input!A9="","",Input!A9)</f>
        <v/>
      </c>
      <c r="B8" s="11"/>
    </row>
    <row r="9" spans="1:5" x14ac:dyDescent="0.25">
      <c r="A9" t="str">
        <f>IF(Input!A10="","",Input!A10)</f>
        <v/>
      </c>
      <c r="B9" s="11"/>
    </row>
    <row r="10" spans="1:5" x14ac:dyDescent="0.25">
      <c r="A10" t="str">
        <f>IF(Input!A11="","",Input!A11)</f>
        <v/>
      </c>
      <c r="B10" s="11"/>
    </row>
    <row r="11" spans="1:5" x14ac:dyDescent="0.25">
      <c r="A11" t="str">
        <f>IF(Input!A12="","",Input!A12)</f>
        <v/>
      </c>
      <c r="B11" s="11"/>
    </row>
    <row r="12" spans="1:5" x14ac:dyDescent="0.25">
      <c r="A12" t="str">
        <f>IF(Input!A13="","",Input!A13)</f>
        <v/>
      </c>
      <c r="B12" s="11"/>
    </row>
    <row r="13" spans="1:5" x14ac:dyDescent="0.25">
      <c r="A13" t="str">
        <f>IF(Input!A14="","",Input!A14)</f>
        <v/>
      </c>
      <c r="B13" s="11"/>
    </row>
    <row r="14" spans="1:5" x14ac:dyDescent="0.25">
      <c r="A14" t="str">
        <f>IF(Input!A15="","",Input!A15)</f>
        <v/>
      </c>
      <c r="B14" s="11"/>
    </row>
    <row r="15" spans="1:5" x14ac:dyDescent="0.25">
      <c r="A15" t="str">
        <f>IF(Input!A16="","",Input!A16)</f>
        <v/>
      </c>
      <c r="B15" s="11"/>
    </row>
    <row r="16" spans="1:5" x14ac:dyDescent="0.25">
      <c r="A16" t="str">
        <f>IF(Input!A17="","",Input!A17)</f>
        <v/>
      </c>
      <c r="B16" s="11"/>
    </row>
    <row r="17" spans="1:2" x14ac:dyDescent="0.25">
      <c r="A17" t="str">
        <f>IF(Input!A18="","",Input!A18)</f>
        <v/>
      </c>
      <c r="B17" s="11"/>
    </row>
    <row r="18" spans="1:2" x14ac:dyDescent="0.25">
      <c r="A18" t="str">
        <f>IF(Input!A19="","",Input!A19)</f>
        <v/>
      </c>
      <c r="B18" s="11"/>
    </row>
    <row r="19" spans="1:2" x14ac:dyDescent="0.25">
      <c r="A19" t="str">
        <f>IF(Input!A20="","",Input!A20)</f>
        <v/>
      </c>
      <c r="B19" s="11"/>
    </row>
    <row r="20" spans="1:2" x14ac:dyDescent="0.25">
      <c r="A20" t="str">
        <f>IF(Input!A21="","",Input!A21)</f>
        <v/>
      </c>
      <c r="B20" s="11"/>
    </row>
    <row r="21" spans="1:2" x14ac:dyDescent="0.25">
      <c r="A21" t="str">
        <f>IF(Input!A22="","",Input!A22)</f>
        <v/>
      </c>
      <c r="B21" s="11"/>
    </row>
    <row r="22" spans="1:2" x14ac:dyDescent="0.25">
      <c r="A22" t="str">
        <f>IF(Input!A23="","",Input!A23)</f>
        <v/>
      </c>
      <c r="B22" s="11"/>
    </row>
    <row r="23" spans="1:2" x14ac:dyDescent="0.25">
      <c r="A23" t="str">
        <f>IF(Input!A24="","",Input!A24)</f>
        <v/>
      </c>
      <c r="B23" s="11"/>
    </row>
    <row r="24" spans="1:2" x14ac:dyDescent="0.25">
      <c r="A24" t="str">
        <f>IF(Input!A25="","",Input!A25)</f>
        <v/>
      </c>
      <c r="B24" s="11"/>
    </row>
    <row r="25" spans="1:2" x14ac:dyDescent="0.25">
      <c r="A25" t="str">
        <f>IF(Input!A26="","",Input!A26)</f>
        <v/>
      </c>
      <c r="B25" s="11"/>
    </row>
    <row r="26" spans="1:2" x14ac:dyDescent="0.25">
      <c r="A26" t="str">
        <f>IF(Input!A27="","",Input!A27)</f>
        <v/>
      </c>
      <c r="B26" s="11"/>
    </row>
    <row r="27" spans="1:2" x14ac:dyDescent="0.25">
      <c r="A27" t="str">
        <f>IF(Input!A28="","",Input!A28)</f>
        <v/>
      </c>
      <c r="B27" s="11"/>
    </row>
    <row r="28" spans="1:2" x14ac:dyDescent="0.25">
      <c r="A28" t="str">
        <f>IF(Input!A29="","",Input!A29)</f>
        <v/>
      </c>
      <c r="B28" s="11"/>
    </row>
    <row r="29" spans="1:2" x14ac:dyDescent="0.25">
      <c r="A29" t="str">
        <f>IF(Input!A30="","",Input!A30)</f>
        <v/>
      </c>
      <c r="B29" s="11"/>
    </row>
    <row r="30" spans="1:2" x14ac:dyDescent="0.25">
      <c r="A30" t="str">
        <f>IF(Input!A31="","",Input!A31)</f>
        <v/>
      </c>
      <c r="B30" s="11"/>
    </row>
    <row r="31" spans="1:2" x14ac:dyDescent="0.25">
      <c r="A31" t="str">
        <f>IF(Input!A32="","",Input!A32)</f>
        <v/>
      </c>
      <c r="B31" s="11"/>
    </row>
    <row r="32" spans="1:2" x14ac:dyDescent="0.25">
      <c r="A32" t="str">
        <f>IF(Input!A33="","",Input!A33)</f>
        <v/>
      </c>
      <c r="B32" s="11"/>
    </row>
    <row r="33" spans="1:2" x14ac:dyDescent="0.25">
      <c r="A33" t="str">
        <f>IF(Input!A34="","",Input!A34)</f>
        <v/>
      </c>
      <c r="B33" s="11"/>
    </row>
    <row r="34" spans="1:2" x14ac:dyDescent="0.25">
      <c r="A34" t="str">
        <f>IF(Input!A35="","",Input!A35)</f>
        <v/>
      </c>
    </row>
    <row r="35" spans="1:2" x14ac:dyDescent="0.25">
      <c r="A35" t="str">
        <f>IF(Input!A36="","",Input!A36)</f>
        <v/>
      </c>
    </row>
    <row r="36" spans="1:2" x14ac:dyDescent="0.25">
      <c r="A36" t="str">
        <f>IF(Input!A37="","",Input!A37)</f>
        <v/>
      </c>
    </row>
    <row r="37" spans="1:2" x14ac:dyDescent="0.25">
      <c r="A37" t="str">
        <f>IF(Input!A38="","",Input!A38)</f>
        <v/>
      </c>
    </row>
    <row r="38" spans="1:2" x14ac:dyDescent="0.25">
      <c r="A38" t="str">
        <f>IF(Input!A39="","",Input!A39)</f>
        <v/>
      </c>
    </row>
    <row r="39" spans="1:2" x14ac:dyDescent="0.25">
      <c r="A39" t="str">
        <f>IF(Input!A40="","",Input!A40)</f>
        <v/>
      </c>
    </row>
    <row r="40" spans="1:2" x14ac:dyDescent="0.25">
      <c r="A40" t="str">
        <f>IF(Input!A41="","",Input!A41)</f>
        <v/>
      </c>
    </row>
    <row r="41" spans="1:2" x14ac:dyDescent="0.25">
      <c r="A41" t="str">
        <f>IF(Input!A42="","",Input!A42)</f>
        <v/>
      </c>
    </row>
    <row r="42" spans="1:2" x14ac:dyDescent="0.25">
      <c r="A42" t="str">
        <f>IF(Input!A43="","",Input!A43)</f>
        <v/>
      </c>
    </row>
    <row r="43" spans="1:2" x14ac:dyDescent="0.25">
      <c r="A43" t="str">
        <f>IF(Input!A44="","",Input!A44)</f>
        <v/>
      </c>
    </row>
    <row r="44" spans="1:2" x14ac:dyDescent="0.25">
      <c r="A44" t="str">
        <f>IF(Input!A45="","",Input!A45)</f>
        <v/>
      </c>
    </row>
    <row r="45" spans="1:2" x14ac:dyDescent="0.25">
      <c r="A45" t="str">
        <f>IF(Input!A46="","",Input!A46)</f>
        <v/>
      </c>
    </row>
    <row r="46" spans="1:2" x14ac:dyDescent="0.25">
      <c r="A46" t="str">
        <f>IF(Input!A47="","",Input!A47)</f>
        <v/>
      </c>
    </row>
    <row r="47" spans="1:2" x14ac:dyDescent="0.25">
      <c r="A47" t="str">
        <f>IF(Input!A48="","",Input!A48)</f>
        <v/>
      </c>
    </row>
    <row r="48" spans="1:2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22</v>
      </c>
    </row>
    <row r="2" spans="1:2" x14ac:dyDescent="0.25">
      <c r="A2" t="str">
        <f>IF(Input!A3="","",Input!A3)</f>
        <v>Core Strategy 2</v>
      </c>
      <c r="B2" s="1">
        <f>IF(A2="","",EOMONTH(DATE(YEAR(IF(A2="","",'Additional Information'!B2)),MONTH(IF(A2="","",'Additional Information'!B2)),DAY(IF(A2="","",'Additional Information'!B2))),0))</f>
        <v>31</v>
      </c>
    </row>
    <row r="3" spans="1:2" x14ac:dyDescent="0.25">
      <c r="A3" t="str">
        <f>IF(Input!A4="","",Input!A4)</f>
        <v>Core Strategy 3</v>
      </c>
      <c r="B3" s="1">
        <f>IF(A3="","",EOMONTH(DATE(YEAR(IF(A3="","",'Additional Information'!B3)),MONTH(IF(A3="","",'Additional Information'!B3)),DAY(IF(A3="","",'Additional Information'!B3))),0))</f>
        <v>31</v>
      </c>
    </row>
    <row r="4" spans="1:2" x14ac:dyDescent="0.25">
      <c r="A4" t="str">
        <f>IF(Input!A5="","",Input!A5)</f>
        <v>Core Strategy 4 - Income</v>
      </c>
      <c r="B4" s="1">
        <f>IF(A4="","",EOMONTH(DATE(YEAR(IF(A4="","",'Additional Information'!B4)),MONTH(IF(A4="","",'Additional Information'!B4)),DAY(IF(A4="","",'Additional Information'!B4))),0))</f>
        <v>31</v>
      </c>
    </row>
    <row r="5" spans="1:2" x14ac:dyDescent="0.25">
      <c r="A5" t="str">
        <f>IF(Input!A6="","",Input!A6)</f>
        <v>Core Strategy 4</v>
      </c>
      <c r="B5" s="1">
        <f>IF(A5="","",EOMONTH(DATE(YEAR(IF(A5="","",'Additional Information'!B5)),MONTH(IF(A5="","",'Additional Information'!B5)),DAY(IF(A5="","",'Additional Information'!B5))),0))</f>
        <v>31</v>
      </c>
    </row>
    <row r="6" spans="1:2" x14ac:dyDescent="0.25">
      <c r="A6" t="str">
        <f>IF(Input!A7="","",Input!A7)</f>
        <v>Core Strategy 5</v>
      </c>
      <c r="B6" s="1">
        <f>IF(A6="","",EOMONTH(DATE(YEAR(IF(A6="","",'Additional Information'!B6)),MONTH(IF(A6="","",'Additional Information'!B6)),DAY(IF(A6="","",'Additional Information'!B6))),0))</f>
        <v>31</v>
      </c>
    </row>
    <row r="7" spans="1:2" x14ac:dyDescent="0.25">
      <c r="A7" t="str">
        <f>IF(Input!A8="","",Input!A8)</f>
        <v>Core Strategy 6</v>
      </c>
      <c r="B7" s="1">
        <f>IF(A7="","",EOMONTH(DATE(YEAR(IF(A7="","",'Additional Information'!B7)),MONTH(IF(A7="","",'Additional Information'!B7)),DAY(IF(A7="","",'Additional Information'!B7))),0))</f>
        <v>31</v>
      </c>
    </row>
    <row r="8" spans="1:2" x14ac:dyDescent="0.25">
      <c r="A8" t="str">
        <f>IF(Input!A9="","",Input!A9)</f>
        <v/>
      </c>
      <c r="B8" s="1" t="str">
        <f>IF(A8="","",EOMONTH(DATE(YEAR(IF(A8="","",'Additional Information'!B8)),MONTH(IF(A8="","",'Additional Information'!B8)),DAY(IF(A8="","",'Additional Information'!B8))),0))</f>
        <v/>
      </c>
    </row>
    <row r="9" spans="1:2" x14ac:dyDescent="0.25">
      <c r="A9" t="str">
        <f>IF(Input!A10="","",Input!A10)</f>
        <v/>
      </c>
      <c r="B9" s="1" t="str">
        <f>IF(A9="","",EOMONTH(DATE(YEAR(IF(A9="","",'Additional Information'!B9)),MONTH(IF(A9="","",'Additional Information'!B9)),DAY(IF(A9="","",'Additional Information'!B9))),0))</f>
        <v/>
      </c>
    </row>
    <row r="10" spans="1:2" x14ac:dyDescent="0.25">
      <c r="A10" t="str">
        <f>IF(Input!A11="","",Input!A11)</f>
        <v/>
      </c>
      <c r="B10" s="1" t="str">
        <f>IF(A10="","",EOMONTH(DATE(YEAR(IF(A10="","",'Additional Information'!B10)),MONTH(IF(A10="","",'Additional Information'!B10)),DAY(IF(A10="","",'Additional Information'!B10))),0))</f>
        <v/>
      </c>
    </row>
    <row r="11" spans="1:2" x14ac:dyDescent="0.25">
      <c r="A11" t="str">
        <f>IF(Input!A12="","",Input!A12)</f>
        <v/>
      </c>
      <c r="B11" s="1" t="str">
        <f>IF(A11="","",EOMONTH(DATE(YEAR(IF(A11="","",'Additional Information'!B11)),MONTH(IF(A11="","",'Additional Information'!B11)),DAY(IF(A11="","",'Additional Information'!B11))),0))</f>
        <v/>
      </c>
    </row>
    <row r="12" spans="1:2" x14ac:dyDescent="0.25">
      <c r="A12" t="str">
        <f>IF(Input!A13="","",Input!A13)</f>
        <v/>
      </c>
      <c r="B12" s="1" t="str">
        <f>IF(A12="","",EOMONTH(DATE(YEAR(IF(A12="","",'Additional Information'!B12)),MONTH(IF(A12="","",'Additional Information'!B12)),DAY(IF(A12="","",'Additional Information'!B12))),0))</f>
        <v/>
      </c>
    </row>
    <row r="13" spans="1:2" x14ac:dyDescent="0.25">
      <c r="A13" t="str">
        <f>IF(Input!A14="","",Input!A14)</f>
        <v/>
      </c>
      <c r="B13" s="1" t="str">
        <f>IF(A13="","",EOMONTH(DATE(YEAR(IF(A13="","",'Additional Information'!B13)),MONTH(IF(A13="","",'Additional Information'!B13)),DAY(IF(A13="","",'Additional Information'!B13))),0))</f>
        <v/>
      </c>
    </row>
    <row r="14" spans="1:2" x14ac:dyDescent="0.25">
      <c r="A14" t="str">
        <f>IF(Input!A15="","",Input!A15)</f>
        <v/>
      </c>
      <c r="B14" s="1" t="str">
        <f>IF(A14="","",EOMONTH(DATE(YEAR(IF(A14="","",'Additional Information'!B14)),MONTH(IF(A14="","",'Additional Information'!B14)),DAY(IF(A14="","",'Additional Information'!B14))),0))</f>
        <v/>
      </c>
    </row>
    <row r="15" spans="1:2" x14ac:dyDescent="0.25">
      <c r="A15" t="str">
        <f>IF(Input!A16="","",Input!A16)</f>
        <v/>
      </c>
      <c r="B15" s="1" t="str">
        <f>IF(A15="","",EOMONTH(DATE(YEAR(IF(A15="","",'Additional Information'!B15)),MONTH(IF(A15="","",'Additional Information'!B15)),DAY(IF(A15="","",'Additional Information'!B15))),0))</f>
        <v/>
      </c>
    </row>
    <row r="16" spans="1:2" x14ac:dyDescent="0.25">
      <c r="A16" t="str">
        <f>IF(Input!A17="","",Input!A17)</f>
        <v/>
      </c>
      <c r="B16" s="1" t="str">
        <f>IF(A16="","",EOMONTH(DATE(YEAR(IF(A16="","",'Additional Information'!B16)),MONTH(IF(A16="","",'Additional Information'!B16)),DAY(IF(A16="","",'Additional Information'!B16))),0))</f>
        <v/>
      </c>
    </row>
    <row r="17" spans="1:2" x14ac:dyDescent="0.25">
      <c r="A17" t="str">
        <f>IF(Input!A18="","",Input!A18)</f>
        <v/>
      </c>
      <c r="B17" s="1" t="str">
        <f>IF(A17="","",EOMONTH(DATE(YEAR(IF(A17="","",'Additional Information'!B17)),MONTH(IF(A17="","",'Additional Information'!B17)),DAY(IF(A17="","",'Additional Information'!B17))),0))</f>
        <v/>
      </c>
    </row>
    <row r="18" spans="1:2" x14ac:dyDescent="0.25">
      <c r="A18" t="str">
        <f>IF(Input!A19="","",Input!A19)</f>
        <v/>
      </c>
      <c r="B18" s="1" t="str">
        <f>IF(A18="","",EOMONTH(DATE(YEAR(IF(A18="","",'Additional Information'!B18)),MONTH(IF(A18="","",'Additional Information'!B18)),DAY(IF(A18="","",'Additional Information'!B18))),0))</f>
        <v/>
      </c>
    </row>
    <row r="19" spans="1:2" x14ac:dyDescent="0.25">
      <c r="A19" t="str">
        <f>IF(Input!A20="","",Input!A20)</f>
        <v/>
      </c>
      <c r="B19" s="1" t="str">
        <f>IF(A19="","",EOMONTH(DATE(YEAR(IF(A19="","",'Additional Information'!B19)),MONTH(IF(A19="","",'Additional Information'!B19)),DAY(IF(A19="","",'Additional Information'!B19))),0))</f>
        <v/>
      </c>
    </row>
    <row r="20" spans="1:2" x14ac:dyDescent="0.25">
      <c r="A20" t="str">
        <f>IF(Input!A21="","",Input!A21)</f>
        <v/>
      </c>
      <c r="B20" s="1" t="str">
        <f>IF(A20="","",EOMONTH(DATE(YEAR(IF(A20="","",'Additional Information'!B20)),MONTH(IF(A20="","",'Additional Information'!B20)),DAY(IF(A20="","",'Additional Information'!B20))),0))</f>
        <v/>
      </c>
    </row>
    <row r="21" spans="1:2" x14ac:dyDescent="0.25">
      <c r="A21" t="str">
        <f>IF(Input!A22="","",Input!A22)</f>
        <v/>
      </c>
      <c r="B21" s="1" t="str">
        <f>IF(A21="","",EOMONTH(DATE(YEAR(IF(A21="","",'Additional Information'!B21)),MONTH(IF(A21="","",'Additional Information'!B21)),DAY(IF(A21="","",'Additional Information'!B21))),0))</f>
        <v/>
      </c>
    </row>
    <row r="22" spans="1:2" x14ac:dyDescent="0.25">
      <c r="A22" t="str">
        <f>IF(Input!A23="","",Input!A23)</f>
        <v/>
      </c>
      <c r="B22" s="1" t="str">
        <f>IF(A22="","",EOMONTH(DATE(YEAR(IF(A22="","",'Additional Information'!B22)),MONTH(IF(A22="","",'Additional Information'!B22)),DAY(IF(A22="","",'Additional Information'!B22))),0))</f>
        <v/>
      </c>
    </row>
    <row r="23" spans="1:2" x14ac:dyDescent="0.25">
      <c r="A23" t="str">
        <f>IF(Input!A24="","",Input!A24)</f>
        <v/>
      </c>
      <c r="B23" s="1" t="str">
        <f>IF(A23="","",EOMONTH(DATE(YEAR(IF(A23="","",'Additional Information'!B23)),MONTH(IF(A23="","",'Additional Information'!B23)),DAY(IF(A23="","",'Additional Information'!B23))),0))</f>
        <v/>
      </c>
    </row>
    <row r="24" spans="1:2" x14ac:dyDescent="0.25">
      <c r="A24" t="str">
        <f>IF(Input!A25="","",Input!A25)</f>
        <v/>
      </c>
      <c r="B24" s="1" t="str">
        <f>IF(A24="","",EOMONTH(DATE(YEAR(IF(A24="","",'Additional Information'!B24)),MONTH(IF(A24="","",'Additional Information'!B24)),DAY(IF(A24="","",'Additional Information'!B24))),0))</f>
        <v/>
      </c>
    </row>
    <row r="25" spans="1:2" x14ac:dyDescent="0.25">
      <c r="A25" t="str">
        <f>IF(Input!A26="","",Input!A26)</f>
        <v/>
      </c>
      <c r="B25" s="1" t="str">
        <f>IF(A25="","",EOMONTH(DATE(YEAR(IF(A25="","",'Additional Information'!B25)),MONTH(IF(A25="","",'Additional Information'!B25)),DAY(IF(A25="","",'Additional Information'!B25))),0))</f>
        <v/>
      </c>
    </row>
    <row r="26" spans="1:2" x14ac:dyDescent="0.25">
      <c r="A26" t="str">
        <f>IF(Input!A27="","",Input!A27)</f>
        <v/>
      </c>
      <c r="B26" s="1" t="str">
        <f>IF(A26="","",EOMONTH(DATE(YEAR(IF(A26="","",'Additional Information'!B26)),MONTH(IF(A26="","",'Additional Information'!B26)),DAY(IF(A26="","",'Additional Information'!B26))),0))</f>
        <v/>
      </c>
    </row>
    <row r="27" spans="1:2" x14ac:dyDescent="0.25">
      <c r="A27" t="str">
        <f>IF(Input!A28="","",Input!A28)</f>
        <v/>
      </c>
      <c r="B27" s="1" t="str">
        <f>IF(A27="","",EOMONTH(DATE(YEAR(IF(A27="","",'Additional Information'!B27)),MONTH(IF(A27="","",'Additional Information'!B27)),DAY(IF(A27="","",'Additional Information'!B27))),0))</f>
        <v/>
      </c>
    </row>
    <row r="28" spans="1:2" x14ac:dyDescent="0.25">
      <c r="A28" t="str">
        <f>IF(Input!A29="","",Input!A29)</f>
        <v/>
      </c>
      <c r="B28" s="1" t="str">
        <f>IF(A28="","",EOMONTH(DATE(YEAR(IF(A28="","",'Additional Information'!B28)),MONTH(IF(A28="","",'Additional Information'!B28)),DAY(IF(A28="","",'Additional Information'!B28))),0))</f>
        <v/>
      </c>
    </row>
    <row r="29" spans="1:2" x14ac:dyDescent="0.25">
      <c r="A29" t="str">
        <f>IF(Input!A30="","",Input!A30)</f>
        <v/>
      </c>
      <c r="B29" s="1" t="str">
        <f>IF(A29="","",EOMONTH(DATE(YEAR(IF(A29="","",'Additional Information'!B29)),MONTH(IF(A29="","",'Additional Information'!B29)),DAY(IF(A29="","",'Additional Information'!B29))),0))</f>
        <v/>
      </c>
    </row>
    <row r="30" spans="1:2" x14ac:dyDescent="0.25">
      <c r="A30" t="str">
        <f>IF(Input!A31="","",Input!A31)</f>
        <v/>
      </c>
      <c r="B30" s="1" t="str">
        <f>IF(A30="","",EOMONTH(DATE(YEAR(IF(A30="","",'Additional Information'!B30)),MONTH(IF(A30="","",'Additional Information'!B30)),DAY(IF(A30="","",'Additional Information'!B30))),0))</f>
        <v/>
      </c>
    </row>
    <row r="31" spans="1:2" x14ac:dyDescent="0.25">
      <c r="A31" t="str">
        <f>IF(Input!A32="","",Input!A32)</f>
        <v/>
      </c>
      <c r="B31" s="1" t="str">
        <f>IF(A31="","",EOMONTH(DATE(YEAR(IF(A31="","",'Additional Information'!B31)),MONTH(IF(A31="","",'Additional Information'!B31)),DAY(IF(A31="","",'Additional Information'!B31))),0))</f>
        <v/>
      </c>
    </row>
    <row r="32" spans="1:2" x14ac:dyDescent="0.25">
      <c r="A32" t="str">
        <f>IF(Input!A33="","",Input!A33)</f>
        <v/>
      </c>
      <c r="B32" s="1" t="str">
        <f>IF(A32="","",EOMONTH(DATE(YEAR(IF(A32="","",'Additional Information'!B32)),MONTH(IF(A32="","",'Additional Information'!B32)),DAY(IF(A32="","",'Additional Information'!B32))),0))</f>
        <v/>
      </c>
    </row>
    <row r="33" spans="1:2" x14ac:dyDescent="0.25">
      <c r="A33" t="str">
        <f>IF(Input!A34="","",Input!A34)</f>
        <v/>
      </c>
      <c r="B33" s="1" t="str">
        <f>IF(A33="","",EOMONTH(DATE(YEAR(IF(A33="","",'Additional Information'!B33)),MONTH(IF(A33="","",'Additional Information'!B33)),DAY(IF(A33="","",'Additional Information'!B33))),0))</f>
        <v/>
      </c>
    </row>
    <row r="34" spans="1:2" x14ac:dyDescent="0.25">
      <c r="A34" t="str">
        <f>IF(Input!A35="","",Input!A35)</f>
        <v/>
      </c>
      <c r="B34" s="1" t="str">
        <f>IF(A34="","",EOMONTH(DATE(YEAR(IF(A34="","",'Additional Information'!B34)),MONTH(IF(A34="","",'Additional Information'!B34)),DAY(IF(A34="","",'Additional Information'!B34))),0))</f>
        <v/>
      </c>
    </row>
    <row r="35" spans="1:2" x14ac:dyDescent="0.25">
      <c r="A35" t="str">
        <f>IF(Input!A36="","",Input!A36)</f>
        <v/>
      </c>
      <c r="B35" s="1" t="str">
        <f>IF(A35="","",EOMONTH(DATE(YEAR(IF(A35="","",'Additional Information'!B35)),MONTH(IF(A35="","",'Additional Information'!B35)),DAY(IF(A35="","",'Additional Information'!B35))),0))</f>
        <v/>
      </c>
    </row>
    <row r="36" spans="1:2" x14ac:dyDescent="0.25">
      <c r="A36" t="str">
        <f>IF(Input!A37="","",Input!A37)</f>
        <v/>
      </c>
      <c r="B36" s="1" t="str">
        <f>IF(A36="","",EOMONTH(DATE(YEAR(IF(A36="","",'Additional Information'!B36)),MONTH(IF(A36="","",'Additional Information'!B36)),DAY(IF(A36="","",'Additional Information'!B36))),0))</f>
        <v/>
      </c>
    </row>
    <row r="37" spans="1:2" x14ac:dyDescent="0.25">
      <c r="A37" t="str">
        <f>IF(Input!A38="","",Input!A38)</f>
        <v/>
      </c>
      <c r="B37" s="1" t="str">
        <f>IF(A37="","",EOMONTH(DATE(YEAR(IF(A37="","",'Additional Information'!B37)),MONTH(IF(A37="","",'Additional Information'!B37)),DAY(IF(A37="","",'Additional Information'!B37))),0))</f>
        <v/>
      </c>
    </row>
    <row r="38" spans="1:2" x14ac:dyDescent="0.25">
      <c r="A38" t="str">
        <f>IF(Input!A39="","",Input!A39)</f>
        <v/>
      </c>
      <c r="B38" s="1" t="str">
        <f>IF(A38="","",EOMONTH(DATE(YEAR(IF(A38="","",'Additional Information'!B38)),MONTH(IF(A38="","",'Additional Information'!B38)),DAY(IF(A38="","",'Additional Information'!B38))),0))</f>
        <v/>
      </c>
    </row>
    <row r="39" spans="1:2" x14ac:dyDescent="0.2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Information'!B39))),0))</f>
        <v/>
      </c>
    </row>
    <row r="40" spans="1:2" x14ac:dyDescent="0.2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Information'!B40))),0))</f>
        <v/>
      </c>
    </row>
    <row r="41" spans="1:2" x14ac:dyDescent="0.2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Information'!B41))),0))</f>
        <v/>
      </c>
    </row>
    <row r="42" spans="1:2" x14ac:dyDescent="0.2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2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2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2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2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2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2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2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2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G50"/>
  <sheetViews>
    <sheetView workbookViewId="0">
      <selection activeCell="I1" sqref="I1:I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7" x14ac:dyDescent="0.25">
      <c r="B1" t="s">
        <v>20</v>
      </c>
      <c r="C1" t="s">
        <v>31</v>
      </c>
      <c r="D1" t="s">
        <v>18</v>
      </c>
      <c r="E1" t="s">
        <v>28</v>
      </c>
      <c r="F1" t="s">
        <v>32</v>
      </c>
      <c r="G1" t="s">
        <v>33</v>
      </c>
    </row>
    <row r="2" spans="1:7" x14ac:dyDescent="0.25">
      <c r="A2" t="str">
        <f>IF(Input!A3="","",Input!A3)</f>
        <v>Core Strategy 2</v>
      </c>
      <c r="C2" t="str">
        <f>IF(A2="","",IF(OR('Additional Information'!G2="",'Additional Information'!G2="-"),"",'Additional Information'!G2))</f>
        <v/>
      </c>
      <c r="D2" s="5">
        <f>IF(A2="","",SUM('Additional Information'!C2,'Additional Information'!D2))</f>
        <v>0</v>
      </c>
      <c r="E2">
        <f>IF(A2="","",SUM('Additional Information'!C2))</f>
        <v>0</v>
      </c>
      <c r="F2" t="str">
        <f>IF(A2="","",IF(OR('Additional Information'!H2="",'Additional Information'!H2="-"),"",'Additional Information'!H2))</f>
        <v/>
      </c>
      <c r="G2" t="str">
        <f>IF(A2="","",IF(OR('Additional Information'!I2="",'Additional Information'!I2="-"),"",'Additional Information'!I2))</f>
        <v/>
      </c>
    </row>
    <row r="3" spans="1:7" x14ac:dyDescent="0.25">
      <c r="A3" t="str">
        <f>IF(Input!A4="","",Input!A4)</f>
        <v>Core Strategy 3</v>
      </c>
      <c r="C3" t="str">
        <f>IF(A3="","",IF(OR('Additional Information'!G3="",'Additional Information'!G3="-"),"",'Additional Information'!G3))</f>
        <v/>
      </c>
      <c r="D3" s="5">
        <f>IF(A3="","",SUM('Additional Information'!C3,'Additional Information'!D3))</f>
        <v>0</v>
      </c>
      <c r="E3">
        <f>IF(A3="","",SUM('Additional Information'!C3))</f>
        <v>0</v>
      </c>
      <c r="F3" t="str">
        <f>IF(A3="","",IF(OR('Additional Information'!H3="",'Additional Information'!H3="-"),"",'Additional Information'!H3))</f>
        <v/>
      </c>
      <c r="G3" t="str">
        <f>IF(A3="","",IF(OR('Additional Information'!I3="",'Additional Information'!I3="-"),"",'Additional Information'!I3))</f>
        <v/>
      </c>
    </row>
    <row r="4" spans="1:7" x14ac:dyDescent="0.25">
      <c r="A4" t="str">
        <f>IF(Input!A5="","",Input!A5)</f>
        <v>Core Strategy 4 - Income</v>
      </c>
      <c r="C4" t="str">
        <f>IF(A4="","",IF(OR('Additional Information'!G4="",'Additional Information'!G4="-"),"",'Additional Information'!G4))</f>
        <v/>
      </c>
      <c r="D4" s="5">
        <f>IF(A4="","",SUM('Additional Information'!C4,'Additional Information'!D4))</f>
        <v>0</v>
      </c>
      <c r="E4">
        <f>IF(A4="","",SUM('Additional Information'!C4))</f>
        <v>0</v>
      </c>
      <c r="F4" t="str">
        <f>IF(A4="","",IF(OR('Additional Information'!H4="",'Additional Information'!H4="-"),"",'Additional Information'!H4))</f>
        <v/>
      </c>
      <c r="G4" t="str">
        <f>IF(A4="","",IF(OR('Additional Information'!I4="",'Additional Information'!I4="-"),"",'Additional Information'!I4))</f>
        <v/>
      </c>
    </row>
    <row r="5" spans="1:7" x14ac:dyDescent="0.25">
      <c r="A5" t="str">
        <f>IF(Input!A6="","",Input!A6)</f>
        <v>Core Strategy 4</v>
      </c>
      <c r="C5" t="str">
        <f>IF(A5="","",IF(OR('Additional Information'!G5="",'Additional Information'!G5="-"),"",'Additional Information'!G5))</f>
        <v/>
      </c>
      <c r="D5" s="5">
        <f>IF(A5="","",SUM('Additional Information'!C5,'Additional Information'!D5))</f>
        <v>0</v>
      </c>
      <c r="E5">
        <f>IF(A5="","",SUM('Additional Information'!C5))</f>
        <v>0</v>
      </c>
      <c r="F5" t="str">
        <f>IF(A5="","",IF(OR('Additional Information'!H5="",'Additional Information'!H5="-"),"",'Additional Information'!H5))</f>
        <v/>
      </c>
      <c r="G5" t="str">
        <f>IF(A5="","",IF(OR('Additional Information'!I5="",'Additional Information'!I5="-"),"",'Additional Information'!I5))</f>
        <v/>
      </c>
    </row>
    <row r="6" spans="1:7" x14ac:dyDescent="0.25">
      <c r="A6" t="str">
        <f>IF(Input!A7="","",Input!A7)</f>
        <v>Core Strategy 5</v>
      </c>
      <c r="C6" t="str">
        <f>IF(A6="","",IF(OR('Additional Information'!G6="",'Additional Information'!G6="-"),"",'Additional Information'!G6))</f>
        <v/>
      </c>
      <c r="D6" s="5">
        <f>IF(A6="","",SUM('Additional Information'!C6,'Additional Information'!D6))</f>
        <v>0</v>
      </c>
      <c r="E6">
        <f>IF(A6="","",SUM('Additional Information'!C6))</f>
        <v>0</v>
      </c>
      <c r="F6" t="str">
        <f>IF(A6="","",IF(OR('Additional Information'!H6="",'Additional Information'!H6="-"),"",'Additional Information'!H6))</f>
        <v/>
      </c>
      <c r="G6" t="str">
        <f>IF(A6="","",IF(OR('Additional Information'!I6="",'Additional Information'!I6="-"),"",'Additional Information'!I6))</f>
        <v/>
      </c>
    </row>
    <row r="7" spans="1:7" x14ac:dyDescent="0.25">
      <c r="A7" t="str">
        <f>IF(Input!A8="","",Input!A8)</f>
        <v>Core Strategy 6</v>
      </c>
      <c r="C7" t="str">
        <f>IF(A7="","",IF(OR('Additional Information'!G7="",'Additional Information'!G7="-"),"",'Additional Information'!G7))</f>
        <v/>
      </c>
      <c r="D7" s="5">
        <f>IF(A7="","",SUM('Additional Information'!C7,'Additional Information'!D7))</f>
        <v>0</v>
      </c>
      <c r="E7">
        <f>IF(A7="","",SUM('Additional Information'!C7))</f>
        <v>0</v>
      </c>
      <c r="F7" t="str">
        <f>IF(A7="","",IF(OR('Additional Information'!H7="",'Additional Information'!H7="-"),"",'Additional Information'!H7))</f>
        <v/>
      </c>
      <c r="G7" t="str">
        <f>IF(A7="","",IF(OR('Additional Information'!I7="",'Additional Information'!I7="-"),"",'Additional Information'!I7))</f>
        <v/>
      </c>
    </row>
    <row r="8" spans="1:7" x14ac:dyDescent="0.25">
      <c r="A8" t="str">
        <f>IF(Input!A9="","",Input!A9)</f>
        <v/>
      </c>
      <c r="C8" t="str">
        <f>IF(A8="","",IF(OR('Additional Information'!G8="",'Additional Information'!G8="-"),"",'Additional Information'!G8))</f>
        <v/>
      </c>
      <c r="D8" s="5" t="str">
        <f>IF(A8="","",SUM('Additional Information'!C8,'Additional Information'!D8))</f>
        <v/>
      </c>
      <c r="E8" t="str">
        <f>IF(A8="","",SUM('Additional Information'!C8))</f>
        <v/>
      </c>
      <c r="F8" t="str">
        <f>IF(A8="","",IF(OR('Additional Information'!H8="",'Additional Information'!H8="-"),"",'Additional Information'!H8))</f>
        <v/>
      </c>
      <c r="G8" t="str">
        <f>IF(A8="","",IF(OR('Additional Information'!I8="",'Additional Information'!I8="-"),"",'Additional Information'!I8))</f>
        <v/>
      </c>
    </row>
    <row r="9" spans="1:7" x14ac:dyDescent="0.25">
      <c r="A9" t="str">
        <f>IF(Input!A10="","",Input!A10)</f>
        <v/>
      </c>
      <c r="C9" t="str">
        <f>IF(A9="","",IF(OR('Additional Information'!G9="",'Additional Information'!G9="-"),"",'Additional Information'!G9))</f>
        <v/>
      </c>
      <c r="D9" s="5" t="str">
        <f>IF(A9="","",SUM('Additional Information'!C9,'Additional Information'!D9))</f>
        <v/>
      </c>
      <c r="E9" t="str">
        <f>IF(A9="","",SUM('Additional Information'!C9))</f>
        <v/>
      </c>
      <c r="F9" t="str">
        <f>IF(A9="","",IF(OR('Additional Information'!H9="",'Additional Information'!H9="-"),"",'Additional Information'!H9))</f>
        <v/>
      </c>
      <c r="G9" t="str">
        <f>IF(A9="","",IF(OR('Additional Information'!I9="",'Additional Information'!I9="-"),"",'Additional Information'!I9))</f>
        <v/>
      </c>
    </row>
    <row r="10" spans="1:7" x14ac:dyDescent="0.25">
      <c r="A10" t="str">
        <f>IF(Input!A11="","",Input!A11)</f>
        <v/>
      </c>
      <c r="C10" t="str">
        <f>IF(A10="","",IF(OR('Additional Information'!G10="",'Additional Information'!G10="-"),"",'Additional Information'!G10))</f>
        <v/>
      </c>
      <c r="D10" s="5" t="str">
        <f>IF(A10="","",SUM('Additional Information'!C10,'Additional Information'!D10))</f>
        <v/>
      </c>
      <c r="E10" t="str">
        <f>IF(A10="","",SUM('Additional Information'!C10))</f>
        <v/>
      </c>
      <c r="F10" t="str">
        <f>IF(A10="","",IF(OR('Additional Information'!H10="",'Additional Information'!H10="-"),"",'Additional Information'!H10))</f>
        <v/>
      </c>
      <c r="G10" t="str">
        <f>IF(A10="","",IF(OR('Additional Information'!I10="",'Additional Information'!I10="-"),"",'Additional Information'!I10))</f>
        <v/>
      </c>
    </row>
    <row r="11" spans="1:7" x14ac:dyDescent="0.25">
      <c r="A11" t="str">
        <f>IF(Input!A12="","",Input!A12)</f>
        <v/>
      </c>
      <c r="C11" t="str">
        <f>IF(A11="","",IF(OR('Additional Information'!G11="",'Additional Information'!G11="-"),"",'Additional Information'!G11))</f>
        <v/>
      </c>
      <c r="D11" s="5" t="str">
        <f>IF(A11="","",SUM('Additional Information'!C11,'Additional Information'!D11))</f>
        <v/>
      </c>
      <c r="E11" t="str">
        <f>IF(A11="","",SUM('Additional Information'!C11))</f>
        <v/>
      </c>
      <c r="F11" t="str">
        <f>IF(A11="","",IF(OR('Additional Information'!H11="",'Additional Information'!H11="-"),"",'Additional Information'!H11))</f>
        <v/>
      </c>
      <c r="G11" t="str">
        <f>IF(A11="","",IF(OR('Additional Information'!I11="",'Additional Information'!I11="-"),"",'Additional Information'!I11))</f>
        <v/>
      </c>
    </row>
    <row r="12" spans="1:7" x14ac:dyDescent="0.25">
      <c r="A12" t="str">
        <f>IF(Input!A13="","",Input!A13)</f>
        <v/>
      </c>
      <c r="C12" t="str">
        <f>IF(A12="","",IF(OR('Additional Information'!G12="",'Additional Information'!G12="-"),"",'Additional Information'!G12))</f>
        <v/>
      </c>
      <c r="D12" s="5" t="str">
        <f>IF(A12="","",SUM('Additional Information'!C12,'Additional Information'!D12))</f>
        <v/>
      </c>
      <c r="E12" t="str">
        <f>IF(A12="","",SUM('Additional Information'!C12))</f>
        <v/>
      </c>
      <c r="F12" t="str">
        <f>IF(A12="","",IF(OR('Additional Information'!H12="",'Additional Information'!H12="-"),"",'Additional Information'!H12))</f>
        <v/>
      </c>
      <c r="G12" t="str">
        <f>IF(A12="","",IF(OR('Additional Information'!I12="",'Additional Information'!I12="-"),"",'Additional Information'!I12))</f>
        <v/>
      </c>
    </row>
    <row r="13" spans="1:7" x14ac:dyDescent="0.25">
      <c r="A13" t="str">
        <f>IF(Input!A14="","",Input!A14)</f>
        <v/>
      </c>
      <c r="C13" t="str">
        <f>IF(A13="","",IF(OR('Additional Information'!G13="",'Additional Information'!G13="-"),"",'Additional Information'!G13))</f>
        <v/>
      </c>
      <c r="D13" s="5" t="str">
        <f>IF(A13="","",SUM('Additional Information'!C13,'Additional Information'!D13))</f>
        <v/>
      </c>
      <c r="E13" t="str">
        <f>IF(A13="","",SUM('Additional Information'!C13))</f>
        <v/>
      </c>
      <c r="F13" t="str">
        <f>IF(A13="","",IF(OR('Additional Information'!H13="",'Additional Information'!H13="-"),"",'Additional Information'!H13))</f>
        <v/>
      </c>
      <c r="G13" t="str">
        <f>IF(A13="","",IF(OR('Additional Information'!I13="",'Additional Information'!I13="-"),"",'Additional Information'!I13))</f>
        <v/>
      </c>
    </row>
    <row r="14" spans="1:7" x14ac:dyDescent="0.25">
      <c r="A14" t="str">
        <f>IF(Input!A15="","",Input!A15)</f>
        <v/>
      </c>
      <c r="C14" t="str">
        <f>IF(A14="","",IF(OR('Additional Information'!G14="",'Additional Information'!G14="-"),"",'Additional Information'!G14))</f>
        <v/>
      </c>
      <c r="D14" s="5" t="str">
        <f>IF(A14="","",SUM('Additional Information'!C14,'Additional Information'!D14))</f>
        <v/>
      </c>
      <c r="E14" t="str">
        <f>IF(A14="","",SUM('Additional Information'!C14))</f>
        <v/>
      </c>
      <c r="F14" t="str">
        <f>IF(A14="","",IF(OR('Additional Information'!H14="",'Additional Information'!H14="-"),"",'Additional Information'!H14))</f>
        <v/>
      </c>
      <c r="G14" t="str">
        <f>IF(A14="","",IF(OR('Additional Information'!I14="",'Additional Information'!I14="-"),"",'Additional Information'!I14))</f>
        <v/>
      </c>
    </row>
    <row r="15" spans="1:7" x14ac:dyDescent="0.25">
      <c r="A15" t="str">
        <f>IF(Input!A16="","",Input!A16)</f>
        <v/>
      </c>
      <c r="C15" t="str">
        <f>IF(A15="","",IF(OR('Additional Information'!G15="",'Additional Information'!G15="-"),"",'Additional Information'!G15))</f>
        <v/>
      </c>
      <c r="D15" s="5" t="str">
        <f>IF(A15="","",SUM('Additional Information'!C15,'Additional Information'!D15))</f>
        <v/>
      </c>
      <c r="E15" t="str">
        <f>IF(A15="","",SUM('Additional Information'!C15))</f>
        <v/>
      </c>
      <c r="F15" t="str">
        <f>IF(A15="","",IF(OR('Additional Information'!H15="",'Additional Information'!H15="-"),"",'Additional Information'!H15))</f>
        <v/>
      </c>
      <c r="G15" t="str">
        <f>IF(A15="","",IF(OR('Additional Information'!I15="",'Additional Information'!I15="-"),"",'Additional Information'!I15))</f>
        <v/>
      </c>
    </row>
    <row r="16" spans="1:7" x14ac:dyDescent="0.25">
      <c r="A16" t="str">
        <f>IF(Input!A17="","",Input!A17)</f>
        <v/>
      </c>
      <c r="C16" t="str">
        <f>IF(A16="","",IF(OR('Additional Information'!G16="",'Additional Information'!G16="-"),"",'Additional Information'!G16))</f>
        <v/>
      </c>
      <c r="D16" s="5" t="str">
        <f>IF(A16="","",SUM('Additional Information'!C16,'Additional Information'!D16))</f>
        <v/>
      </c>
      <c r="E16" t="str">
        <f>IF(A16="","",SUM('Additional Information'!C16))</f>
        <v/>
      </c>
      <c r="F16" t="str">
        <f>IF(A16="","",IF(OR('Additional Information'!H16="",'Additional Information'!H16="-"),"",'Additional Information'!H16))</f>
        <v/>
      </c>
      <c r="G16" t="str">
        <f>IF(A16="","",IF(OR('Additional Information'!I16="",'Additional Information'!I16="-"),"",'Additional Information'!I16))</f>
        <v/>
      </c>
    </row>
    <row r="17" spans="1:7" x14ac:dyDescent="0.25">
      <c r="A17" t="str">
        <f>IF(Input!A18="","",Input!A18)</f>
        <v/>
      </c>
      <c r="C17" t="str">
        <f>IF(A17="","",IF(OR('Additional Information'!G17="",'Additional Information'!G17="-"),"",'Additional Information'!G17))</f>
        <v/>
      </c>
      <c r="D17" s="5" t="str">
        <f>IF(A17="","",SUM('Additional Information'!C17,'Additional Information'!D17))</f>
        <v/>
      </c>
      <c r="E17" t="str">
        <f>IF(A17="","",SUM('Additional Information'!C17))</f>
        <v/>
      </c>
      <c r="F17" t="str">
        <f>IF(A17="","",IF(OR('Additional Information'!H17="",'Additional Information'!H17="-"),"",'Additional Information'!H17))</f>
        <v/>
      </c>
      <c r="G17" t="str">
        <f>IF(A17="","",IF(OR('Additional Information'!I17="",'Additional Information'!I17="-"),"",'Additional Information'!I17))</f>
        <v/>
      </c>
    </row>
    <row r="18" spans="1:7" x14ac:dyDescent="0.25">
      <c r="A18" t="str">
        <f>IF(Input!A19="","",Input!A19)</f>
        <v/>
      </c>
      <c r="C18" t="str">
        <f>IF(A18="","",IF(OR('Additional Information'!G18="",'Additional Information'!G18="-"),"",'Additional Information'!G18))</f>
        <v/>
      </c>
      <c r="D18" s="5" t="str">
        <f>IF(A18="","",SUM('Additional Information'!C18,'Additional Information'!D18))</f>
        <v/>
      </c>
      <c r="E18" t="str">
        <f>IF(A18="","",SUM('Additional Information'!C18))</f>
        <v/>
      </c>
      <c r="F18" t="str">
        <f>IF(A18="","",IF(OR('Additional Information'!H18="",'Additional Information'!H18="-"),"",'Additional Information'!H18))</f>
        <v/>
      </c>
      <c r="G18" t="str">
        <f>IF(A18="","",IF(OR('Additional Information'!I18="",'Additional Information'!I18="-"),"",'Additional Information'!I18))</f>
        <v/>
      </c>
    </row>
    <row r="19" spans="1:7" x14ac:dyDescent="0.25">
      <c r="A19" t="str">
        <f>IF(Input!A20="","",Input!A20)</f>
        <v/>
      </c>
      <c r="C19" t="str">
        <f>IF(A19="","",IF(OR('Additional Information'!G19="",'Additional Information'!G19="-"),"",'Additional Information'!G19))</f>
        <v/>
      </c>
      <c r="D19" s="5" t="str">
        <f>IF(A19="","",SUM('Additional Information'!C19,'Additional Information'!D19))</f>
        <v/>
      </c>
      <c r="E19" t="str">
        <f>IF(A19="","",SUM('Additional Information'!C19))</f>
        <v/>
      </c>
      <c r="F19" t="str">
        <f>IF(A19="","",IF(OR('Additional Information'!H19="",'Additional Information'!H19="-"),"",'Additional Information'!H19))</f>
        <v/>
      </c>
      <c r="G19" t="str">
        <f>IF(A19="","",IF(OR('Additional Information'!I19="",'Additional Information'!I19="-"),"",'Additional Information'!I19))</f>
        <v/>
      </c>
    </row>
    <row r="20" spans="1:7" x14ac:dyDescent="0.25">
      <c r="A20" t="str">
        <f>IF(Input!A21="","",Input!A21)</f>
        <v/>
      </c>
      <c r="C20" t="str">
        <f>IF(A20="","",IF(OR('Additional Information'!G20="",'Additional Information'!G20="-"),"",'Additional Information'!G20))</f>
        <v/>
      </c>
      <c r="D20" s="5" t="str">
        <f>IF(A20="","",SUM('Additional Information'!C20,'Additional Information'!D20))</f>
        <v/>
      </c>
      <c r="E20" t="str">
        <f>IF(A20="","",SUM('Additional Information'!C20))</f>
        <v/>
      </c>
      <c r="F20" t="str">
        <f>IF(A20="","",IF(OR('Additional Information'!H20="",'Additional Information'!H20="-"),"",'Additional Information'!H20))</f>
        <v/>
      </c>
      <c r="G20" t="str">
        <f>IF(A20="","",IF(OR('Additional Information'!I20="",'Additional Information'!I20="-"),"",'Additional Information'!I20))</f>
        <v/>
      </c>
    </row>
    <row r="21" spans="1:7" x14ac:dyDescent="0.25">
      <c r="A21" t="str">
        <f>IF(Input!A22="","",Input!A22)</f>
        <v/>
      </c>
      <c r="C21" t="str">
        <f>IF(A21="","",IF(OR('Additional Information'!G21="",'Additional Information'!G21="-"),"",'Additional Information'!G21))</f>
        <v/>
      </c>
      <c r="D21" s="5" t="str">
        <f>IF(A21="","",SUM('Additional Information'!C21,'Additional Information'!D21))</f>
        <v/>
      </c>
      <c r="E21" t="str">
        <f>IF(A21="","",SUM('Additional Information'!C21))</f>
        <v/>
      </c>
      <c r="F21" t="str">
        <f>IF(A21="","",IF(OR('Additional Information'!H21="",'Additional Information'!H21="-"),"",'Additional Information'!H21))</f>
        <v/>
      </c>
      <c r="G21" t="str">
        <f>IF(A21="","",IF(OR('Additional Information'!I21="",'Additional Information'!I21="-"),"",'Additional Information'!I21))</f>
        <v/>
      </c>
    </row>
    <row r="22" spans="1:7" x14ac:dyDescent="0.25">
      <c r="A22" t="str">
        <f>IF(Input!A23="","",Input!A23)</f>
        <v/>
      </c>
      <c r="C22" t="str">
        <f>IF(A22="","",IF(OR('Additional Information'!G22="",'Additional Information'!G22="-"),"",'Additional Information'!G22))</f>
        <v/>
      </c>
      <c r="D22" s="5" t="str">
        <f>IF(A22="","",SUM('Additional Information'!C22,'Additional Information'!D22))</f>
        <v/>
      </c>
      <c r="E22" t="str">
        <f>IF(A22="","",SUM('Additional Information'!C22))</f>
        <v/>
      </c>
      <c r="F22" t="str">
        <f>IF(A22="","",IF(OR('Additional Information'!H22="",'Additional Information'!H22="-"),"",'Additional Information'!H22))</f>
        <v/>
      </c>
      <c r="G22" t="str">
        <f>IF(A22="","",IF(OR('Additional Information'!I22="",'Additional Information'!I22="-"),"",'Additional Information'!I22))</f>
        <v/>
      </c>
    </row>
    <row r="23" spans="1:7" x14ac:dyDescent="0.25">
      <c r="A23" t="str">
        <f>IF(Input!A24="","",Input!A24)</f>
        <v/>
      </c>
      <c r="C23" t="str">
        <f>IF(A23="","",IF(OR('Additional Information'!G23="",'Additional Information'!G23="-"),"",'Additional Information'!G23))</f>
        <v/>
      </c>
      <c r="D23" s="5" t="str">
        <f>IF(A23="","",SUM('Additional Information'!C23,'Additional Information'!D23))</f>
        <v/>
      </c>
      <c r="E23" t="str">
        <f>IF(A23="","",SUM('Additional Information'!C23))</f>
        <v/>
      </c>
      <c r="F23" t="str">
        <f>IF(A23="","",IF(OR('Additional Information'!H23="",'Additional Information'!H23="-"),"",'Additional Information'!H23))</f>
        <v/>
      </c>
      <c r="G23" t="str">
        <f>IF(A23="","",IF(OR('Additional Information'!I23="",'Additional Information'!I23="-"),"",'Additional Information'!I23))</f>
        <v/>
      </c>
    </row>
    <row r="24" spans="1:7" x14ac:dyDescent="0.25">
      <c r="A24" t="str">
        <f>IF(Input!A25="","",Input!A25)</f>
        <v/>
      </c>
      <c r="C24" t="str">
        <f>IF(A24="","",IF(OR('Additional Information'!G24="",'Additional Information'!G24="-"),"",'Additional Information'!G24))</f>
        <v/>
      </c>
      <c r="D24" s="5" t="str">
        <f>IF(A24="","",SUM('Additional Information'!C24,'Additional Information'!D24))</f>
        <v/>
      </c>
      <c r="E24" t="str">
        <f>IF(A24="","",SUM('Additional Information'!C24))</f>
        <v/>
      </c>
      <c r="F24" t="str">
        <f>IF(A24="","",IF(OR('Additional Information'!H24="",'Additional Information'!H24="-"),"",'Additional Information'!H24))</f>
        <v/>
      </c>
      <c r="G24" t="str">
        <f>IF(A24="","",IF(OR('Additional Information'!I24="",'Additional Information'!I24="-"),"",'Additional Information'!I24))</f>
        <v/>
      </c>
    </row>
    <row r="25" spans="1:7" x14ac:dyDescent="0.25">
      <c r="A25" t="str">
        <f>IF(Input!A26="","",Input!A26)</f>
        <v/>
      </c>
      <c r="C25" t="str">
        <f>IF(A25="","",IF(OR('Additional Information'!G25="",'Additional Information'!G25="-"),"",'Additional Information'!G25))</f>
        <v/>
      </c>
      <c r="D25" s="5" t="str">
        <f>IF(A25="","",SUM('Additional Information'!C25,'Additional Information'!D25))</f>
        <v/>
      </c>
      <c r="E25" t="str">
        <f>IF(A25="","",SUM('Additional Information'!C25))</f>
        <v/>
      </c>
      <c r="F25" t="str">
        <f>IF(A25="","",IF(OR('Additional Information'!H25="",'Additional Information'!H25="-"),"",'Additional Information'!H25))</f>
        <v/>
      </c>
      <c r="G25" t="str">
        <f>IF(A25="","",IF(OR('Additional Information'!I25="",'Additional Information'!I25="-"),"",'Additional Information'!I25))</f>
        <v/>
      </c>
    </row>
    <row r="26" spans="1:7" x14ac:dyDescent="0.25">
      <c r="A26" t="str">
        <f>IF(Input!A27="","",Input!A27)</f>
        <v/>
      </c>
      <c r="C26" t="str">
        <f>IF(A26="","",IF(OR('Additional Information'!G26="",'Additional Information'!G26="-"),"",'Additional Information'!G26))</f>
        <v/>
      </c>
      <c r="D26" s="5" t="str">
        <f>IF(A26="","",SUM('Additional Information'!C26,'Additional Information'!D26))</f>
        <v/>
      </c>
      <c r="E26" t="str">
        <f>IF(A26="","",SUM('Additional Information'!C26))</f>
        <v/>
      </c>
      <c r="F26" t="str">
        <f>IF(A26="","",IF(OR('Additional Information'!H26="",'Additional Information'!H26="-"),"",'Additional Information'!H26))</f>
        <v/>
      </c>
      <c r="G26" t="str">
        <f>IF(A26="","",IF(OR('Additional Information'!I26="",'Additional Information'!I26="-"),"",'Additional Information'!I26))</f>
        <v/>
      </c>
    </row>
    <row r="27" spans="1:7" x14ac:dyDescent="0.25">
      <c r="A27" t="str">
        <f>IF(Input!A28="","",Input!A28)</f>
        <v/>
      </c>
      <c r="C27" t="str">
        <f>IF(A27="","",IF(OR('Additional Information'!G27="",'Additional Information'!G27="-"),"",'Additional Information'!G27))</f>
        <v/>
      </c>
      <c r="D27" s="5" t="str">
        <f>IF(A27="","",SUM('Additional Information'!C27,'Additional Information'!D27))</f>
        <v/>
      </c>
      <c r="E27" t="str">
        <f>IF(A27="","",SUM('Additional Information'!C27))</f>
        <v/>
      </c>
      <c r="F27" t="str">
        <f>IF(A27="","",IF(OR('Additional Information'!H27="",'Additional Information'!H27="-"),"",'Additional Information'!H27))</f>
        <v/>
      </c>
      <c r="G27" t="str">
        <f>IF(A27="","",IF(OR('Additional Information'!I27="",'Additional Information'!I27="-"),"",'Additional Information'!I27))</f>
        <v/>
      </c>
    </row>
    <row r="28" spans="1:7" x14ac:dyDescent="0.25">
      <c r="A28" t="str">
        <f>IF(Input!A29="","",Input!A29)</f>
        <v/>
      </c>
      <c r="C28" t="str">
        <f>IF(A28="","",IF(OR('Additional Information'!G28="",'Additional Information'!G28="-"),"",'Additional Information'!G28))</f>
        <v/>
      </c>
      <c r="D28" s="5" t="str">
        <f>IF(A28="","",SUM('Additional Information'!C28,'Additional Information'!D28))</f>
        <v/>
      </c>
      <c r="E28" t="str">
        <f>IF(A28="","",SUM('Additional Information'!C28))</f>
        <v/>
      </c>
      <c r="F28" t="str">
        <f>IF(A28="","",IF(OR('Additional Information'!H28="",'Additional Information'!H28="-"),"",'Additional Information'!H28))</f>
        <v/>
      </c>
      <c r="G28" t="str">
        <f>IF(A28="","",IF(OR('Additional Information'!I28="",'Additional Information'!I28="-"),"",'Additional Information'!I28))</f>
        <v/>
      </c>
    </row>
    <row r="29" spans="1:7" x14ac:dyDescent="0.25">
      <c r="A29" t="str">
        <f>IF(Input!A30="","",Input!A30)</f>
        <v/>
      </c>
      <c r="C29" t="str">
        <f>IF(A29="","",IF(OR('Additional Information'!G29="",'Additional Information'!G29="-"),"",'Additional Information'!G29))</f>
        <v/>
      </c>
      <c r="D29" s="5" t="str">
        <f>IF(A29="","",SUM('Additional Information'!C29,'Additional Information'!D29))</f>
        <v/>
      </c>
      <c r="E29" t="str">
        <f>IF(A29="","",SUM('Additional Information'!C29))</f>
        <v/>
      </c>
      <c r="F29" t="str">
        <f>IF(A29="","",IF(OR('Additional Information'!H29="",'Additional Information'!H29="-"),"",'Additional Information'!H29))</f>
        <v/>
      </c>
      <c r="G29" t="str">
        <f>IF(A29="","",IF(OR('Additional Information'!I29="",'Additional Information'!I29="-"),"",'Additional Information'!I29))</f>
        <v/>
      </c>
    </row>
    <row r="30" spans="1:7" x14ac:dyDescent="0.25">
      <c r="A30" t="str">
        <f>IF(Input!A31="","",Input!A31)</f>
        <v/>
      </c>
      <c r="C30" t="str">
        <f>IF(A30="","",IF(OR('Additional Information'!G30="",'Additional Information'!G30="-"),"",'Additional Information'!G30))</f>
        <v/>
      </c>
      <c r="D30" s="5" t="str">
        <f>IF(A30="","",SUM('Additional Information'!C30,'Additional Information'!D30))</f>
        <v/>
      </c>
      <c r="E30" t="str">
        <f>IF(A30="","",SUM('Additional Information'!C30))</f>
        <v/>
      </c>
      <c r="F30" t="str">
        <f>IF(A30="","",IF(OR('Additional Information'!H30="",'Additional Information'!H30="-"),"",'Additional Information'!H30))</f>
        <v/>
      </c>
      <c r="G30" t="str">
        <f>IF(A30="","",IF(OR('Additional Information'!I30="",'Additional Information'!I30="-"),"",'Additional Information'!I30))</f>
        <v/>
      </c>
    </row>
    <row r="31" spans="1:7" x14ac:dyDescent="0.25">
      <c r="A31" t="str">
        <f>IF(Input!A32="","",Input!A32)</f>
        <v/>
      </c>
      <c r="C31" t="str">
        <f>IF(A31="","",IF(OR('Additional Information'!G31="",'Additional Information'!G31="-"),"",'Additional Information'!G31))</f>
        <v/>
      </c>
      <c r="D31" s="5" t="str">
        <f>IF(A31="","",SUM('Additional Information'!C31,'Additional Information'!D31))</f>
        <v/>
      </c>
      <c r="E31" t="str">
        <f>IF(A31="","",SUM('Additional Information'!C31))</f>
        <v/>
      </c>
      <c r="F31" t="str">
        <f>IF(A31="","",IF(OR('Additional Information'!H31="",'Additional Information'!H31="-"),"",'Additional Information'!H31))</f>
        <v/>
      </c>
      <c r="G31" t="str">
        <f>IF(A31="","",IF(OR('Additional Information'!I31="",'Additional Information'!I31="-"),"",'Additional Information'!I31))</f>
        <v/>
      </c>
    </row>
    <row r="32" spans="1:7" x14ac:dyDescent="0.25">
      <c r="A32" t="str">
        <f>IF(Input!A33="","",Input!A33)</f>
        <v/>
      </c>
      <c r="C32" t="str">
        <f>IF(A32="","",IF(OR('Additional Information'!G32="",'Additional Information'!G32="-"),"",'Additional Information'!G32))</f>
        <v/>
      </c>
      <c r="D32" s="5" t="str">
        <f>IF(A32="","",SUM('Additional Information'!C32,'Additional Information'!D32))</f>
        <v/>
      </c>
      <c r="E32" t="str">
        <f>IF(A32="","",SUM('Additional Information'!C32))</f>
        <v/>
      </c>
      <c r="F32" t="str">
        <f>IF(A32="","",IF(OR('Additional Information'!H32="",'Additional Information'!H32="-"),"",'Additional Information'!H32))</f>
        <v/>
      </c>
      <c r="G32" t="str">
        <f>IF(A32="","",IF(OR('Additional Information'!I32="",'Additional Information'!I32="-"),"",'Additional Information'!I32))</f>
        <v/>
      </c>
    </row>
    <row r="33" spans="1:7" x14ac:dyDescent="0.25">
      <c r="A33" t="str">
        <f>IF(Input!A34="","",Input!A34)</f>
        <v/>
      </c>
      <c r="C33" t="str">
        <f>IF(A33="","",IF(OR('Additional Information'!G33="",'Additional Information'!G33="-"),"",'Additional Information'!G33))</f>
        <v/>
      </c>
      <c r="D33" s="5" t="str">
        <f>IF(A33="","",SUM('Additional Information'!C33,'Additional Information'!D33))</f>
        <v/>
      </c>
      <c r="E33" t="str">
        <f>IF(A33="","",SUM('Additional Information'!C33))</f>
        <v/>
      </c>
      <c r="F33" t="str">
        <f>IF(A33="","",IF(OR('Additional Information'!H33="",'Additional Information'!H33="-"),"",'Additional Information'!H33))</f>
        <v/>
      </c>
      <c r="G33" t="str">
        <f>IF(A33="","",IF(OR('Additional Information'!I33="",'Additional Information'!I33="-"),"",'Additional Information'!I33))</f>
        <v/>
      </c>
    </row>
    <row r="34" spans="1:7" x14ac:dyDescent="0.25">
      <c r="A34" t="str">
        <f>IF(Input!A35="","",Input!A35)</f>
        <v/>
      </c>
      <c r="C34" t="str">
        <f>IF(A34="","",IF(OR('Additional Information'!G34="",'Additional Information'!G34="-"),"",'Additional Information'!G34))</f>
        <v/>
      </c>
      <c r="D34" s="5" t="str">
        <f>IF(A34="","",SUM('Additional Information'!C34,'Additional Information'!D34))</f>
        <v/>
      </c>
      <c r="E34" t="str">
        <f>IF(A34="","",SUM('Additional Information'!C34))</f>
        <v/>
      </c>
      <c r="F34" t="str">
        <f>IF(A34="","",IF(OR('Additional Information'!H34="",'Additional Information'!H34="-"),"",'Additional Information'!H34))</f>
        <v/>
      </c>
      <c r="G34" t="str">
        <f>IF(A34="","",IF(OR('Additional Information'!I34="",'Additional Information'!I34="-"),"",'Additional Information'!I34))</f>
        <v/>
      </c>
    </row>
    <row r="35" spans="1:7" x14ac:dyDescent="0.25">
      <c r="A35" t="str">
        <f>IF(Input!A36="","",Input!A36)</f>
        <v/>
      </c>
      <c r="C35" t="str">
        <f>IF(A35="","",IF(OR('Additional Information'!G35="",'Additional Information'!G35="-"),"",'Additional Information'!G35))</f>
        <v/>
      </c>
      <c r="D35" s="5" t="str">
        <f>IF(A35="","",SUM('Additional Information'!C35,'Additional Information'!D35))</f>
        <v/>
      </c>
      <c r="E35" t="str">
        <f>IF(A35="","",SUM('Additional Information'!C35))</f>
        <v/>
      </c>
      <c r="F35" t="str">
        <f>IF(A35="","",IF(OR('Additional Information'!H35="",'Additional Information'!H35="-"),"",'Additional Information'!H35))</f>
        <v/>
      </c>
      <c r="G35" t="str">
        <f>IF(A35="","",IF(OR('Additional Information'!I35="",'Additional Information'!I35="-"),"",'Additional Information'!I35))</f>
        <v/>
      </c>
    </row>
    <row r="36" spans="1:7" x14ac:dyDescent="0.25">
      <c r="A36" t="str">
        <f>IF(Input!A37="","",Input!A37)</f>
        <v/>
      </c>
      <c r="C36" t="str">
        <f>IF(A36="","",IF(OR('Additional Information'!G36="",'Additional Information'!G36="-"),"",'Additional Information'!G36))</f>
        <v/>
      </c>
      <c r="D36" s="5" t="str">
        <f>IF(A36="","",SUM('Additional Information'!C36,'Additional Information'!D36))</f>
        <v/>
      </c>
      <c r="E36" t="str">
        <f>IF(A36="","",SUM('Additional Information'!C36))</f>
        <v/>
      </c>
      <c r="F36" t="str">
        <f>IF(A36="","",IF(OR('Additional Information'!H36="",'Additional Information'!H36="-"),"",'Additional Information'!H36))</f>
        <v/>
      </c>
      <c r="G36" t="str">
        <f>IF(A36="","",IF(OR('Additional Information'!I36="",'Additional Information'!I36="-"),"",'Additional Information'!I36))</f>
        <v/>
      </c>
    </row>
    <row r="37" spans="1:7" x14ac:dyDescent="0.25">
      <c r="A37" t="str">
        <f>IF(Input!A38="","",Input!A38)</f>
        <v/>
      </c>
      <c r="C37" t="str">
        <f>IF(A37="","",IF(OR('Additional Information'!G37="",'Additional Information'!G37="-"),"",'Additional Information'!G37))</f>
        <v/>
      </c>
      <c r="D37" s="5" t="str">
        <f>IF(A37="","",SUM('Additional Information'!C37,'Additional Information'!D37))</f>
        <v/>
      </c>
      <c r="E37" t="str">
        <f>IF(A37="","",SUM('Additional Information'!C37))</f>
        <v/>
      </c>
      <c r="F37" t="str">
        <f>IF(A37="","",IF(OR('Additional Information'!H37="",'Additional Information'!H37="-"),"",'Additional Information'!H37))</f>
        <v/>
      </c>
      <c r="G37" t="str">
        <f>IF(A37="","",IF(OR('Additional Information'!I37="",'Additional Information'!I37="-"),"",'Additional Information'!I37))</f>
        <v/>
      </c>
    </row>
    <row r="38" spans="1:7" x14ac:dyDescent="0.25">
      <c r="A38" t="str">
        <f>IF(Input!A39="","",Input!A39)</f>
        <v/>
      </c>
      <c r="C38" t="str">
        <f>IF(A38="","",IF(OR('Additional Information'!G38="",'Additional Information'!G38="-"),"",'Additional Information'!G38))</f>
        <v/>
      </c>
      <c r="D38" s="5" t="str">
        <f>IF(A38="","",SUM('Additional Information'!C38,'Additional Information'!D38))</f>
        <v/>
      </c>
      <c r="E38" t="str">
        <f>IF(A38="","",SUM('Additional Information'!C38))</f>
        <v/>
      </c>
      <c r="F38" t="str">
        <f>IF(A38="","",IF(OR('Additional Information'!H38="",'Additional Information'!H38="-"),"",'Additional Information'!H38))</f>
        <v/>
      </c>
      <c r="G38" t="str">
        <f>IF(A38="","",IF(OR('Additional Information'!I38="",'Additional Information'!I38="-"),"",'Additional Information'!I38))</f>
        <v/>
      </c>
    </row>
    <row r="39" spans="1:7" x14ac:dyDescent="0.25">
      <c r="A39" t="str">
        <f>IF(Input!A40="","",Input!A40)</f>
        <v/>
      </c>
      <c r="C39" t="str">
        <f>IF(A39="","",IF(OR('Additional Information'!G39="",'Additional Information'!G39="-"),"",'Additional Information'!G39))</f>
        <v/>
      </c>
      <c r="D39" s="5" t="str">
        <f>IF(A39="","",SUM('Additional Information'!C39,'Additional Information'!D39))</f>
        <v/>
      </c>
      <c r="E39" t="str">
        <f>IF(A39="","",SUM('Additional Information'!C39))</f>
        <v/>
      </c>
      <c r="F39" t="str">
        <f>IF(A39="","",IF(OR('Additional Information'!H39="",'Additional Information'!H39="-"),"",'Additional Information'!H39))</f>
        <v/>
      </c>
      <c r="G39" t="str">
        <f>IF(A39="","",IF(OR('Additional Information'!I39="",'Additional Information'!I39="-"),"",'Additional Information'!I39))</f>
        <v/>
      </c>
    </row>
    <row r="40" spans="1:7" x14ac:dyDescent="0.25">
      <c r="A40" t="str">
        <f>IF(Input!A41="","",Input!A41)</f>
        <v/>
      </c>
      <c r="C40" t="str">
        <f>IF(A40="","",IF(OR('Additional Information'!G40="",'Additional Information'!G40="-"),"",'Additional Information'!G40))</f>
        <v/>
      </c>
      <c r="D40" s="5" t="str">
        <f>IF(A40="","",SUM('Additional Information'!C40,'Additional Information'!D40))</f>
        <v/>
      </c>
      <c r="E40" t="str">
        <f>IF(A40="","",SUM('Additional Information'!C40))</f>
        <v/>
      </c>
      <c r="F40" t="str">
        <f>IF(A40="","",IF(OR('Additional Information'!H40="",'Additional Information'!H40="-"),"",'Additional Information'!H40))</f>
        <v/>
      </c>
      <c r="G40" t="str">
        <f>IF(A40="","",IF(OR('Additional Information'!I40="",'Additional Information'!I40="-"),"",'Additional Information'!I40))</f>
        <v/>
      </c>
    </row>
    <row r="41" spans="1:7" x14ac:dyDescent="0.25">
      <c r="A41" t="str">
        <f>IF(Input!A42="","",Input!A42)</f>
        <v/>
      </c>
      <c r="C41" t="str">
        <f>IF(A41="","",IF(OR('Additional Information'!G41="",'Additional Information'!G41="-"),"",'Additional Information'!G41))</f>
        <v/>
      </c>
      <c r="D41" s="5" t="str">
        <f>IF(A41="","",SUM('Additional Information'!C41,'Additional Information'!D41))</f>
        <v/>
      </c>
      <c r="E41" t="str">
        <f>IF(A41="","",SUM('Additional Information'!C41))</f>
        <v/>
      </c>
      <c r="F41" t="str">
        <f>IF(A41="","",IF(OR('Additional Information'!H41="",'Additional Information'!H41="-"),"",'Additional Information'!H41))</f>
        <v/>
      </c>
      <c r="G41" t="str">
        <f>IF(A41="","",IF(OR('Additional Information'!I41="",'Additional Information'!I41="-"),"",'Additional Information'!I41))</f>
        <v/>
      </c>
    </row>
    <row r="42" spans="1:7" x14ac:dyDescent="0.25">
      <c r="A42" t="str">
        <f>IF(Input!A43="","",Input!A43)</f>
        <v/>
      </c>
      <c r="C42" t="str">
        <f>IF(A42="","",IF(OR('Additional Information'!G42="",'Additional Information'!G42="-"),"",'Additional Information'!G42))</f>
        <v/>
      </c>
      <c r="D42" s="5" t="str">
        <f>IF(A42="","",SUM('Additional Information'!C42,'Additional Information'!D42))</f>
        <v/>
      </c>
      <c r="E42" t="str">
        <f>IF(A42="","",SUM('Additional Information'!C42))</f>
        <v/>
      </c>
      <c r="F42" t="str">
        <f>IF(A42="","",IF(OR('Additional Information'!H42="",'Additional Information'!H42="-"),"",'Additional Information'!H42))</f>
        <v/>
      </c>
      <c r="G42" t="str">
        <f>IF(A42="","",IF(OR('Additional Information'!I42="",'Additional Information'!I42="-"),"",'Additional Information'!I42))</f>
        <v/>
      </c>
    </row>
    <row r="43" spans="1:7" x14ac:dyDescent="0.25">
      <c r="A43" t="str">
        <f>IF(Input!A44="","",Input!A44)</f>
        <v/>
      </c>
      <c r="C43" t="str">
        <f>IF(A43="","",IF(OR('Additional Information'!G43="",'Additional Information'!G43="-"),"",'Additional Information'!G43))</f>
        <v/>
      </c>
      <c r="D43" s="5" t="str">
        <f>IF(A43="","",SUM('Additional Information'!C43,'Additional Information'!D43))</f>
        <v/>
      </c>
      <c r="E43" t="str">
        <f>IF(A43="","",SUM('Additional Information'!C43))</f>
        <v/>
      </c>
      <c r="F43" t="str">
        <f>IF(A43="","",IF(OR('Additional Information'!H43="",'Additional Information'!H43="-"),"",'Additional Information'!H43))</f>
        <v/>
      </c>
      <c r="G43" t="str">
        <f>IF(A43="","",IF(OR('Additional Information'!I43="",'Additional Information'!I43="-"),"",'Additional Information'!I43))</f>
        <v/>
      </c>
    </row>
    <row r="44" spans="1:7" x14ac:dyDescent="0.25">
      <c r="A44" t="str">
        <f>IF(Input!A45="","",Input!A45)</f>
        <v/>
      </c>
      <c r="C44" t="str">
        <f>IF(A44="","",IF(OR('Additional Information'!G44="",'Additional Information'!G44="-"),"",'Additional Information'!G44))</f>
        <v/>
      </c>
      <c r="D44" s="5" t="str">
        <f>IF(A44="","",SUM('Additional Information'!C44,'Additional Information'!D44))</f>
        <v/>
      </c>
      <c r="E44" t="str">
        <f>IF(A44="","",SUM('Additional Information'!C44))</f>
        <v/>
      </c>
      <c r="F44" t="str">
        <f>IF(A44="","",IF(OR('Additional Information'!H44="",'Additional Information'!H44="-"),"",'Additional Information'!H44))</f>
        <v/>
      </c>
      <c r="G44" t="str">
        <f>IF(A44="","",IF(OR('Additional Information'!I44="",'Additional Information'!I44="-"),"",'Additional Information'!I44))</f>
        <v/>
      </c>
    </row>
    <row r="45" spans="1:7" x14ac:dyDescent="0.25">
      <c r="A45" t="str">
        <f>IF(Input!A46="","",Input!A46)</f>
        <v/>
      </c>
      <c r="C45" t="str">
        <f>IF(A45="","",IF(OR('Additional Information'!G45="",'Additional Information'!G45="-"),"",'Additional Information'!G45))</f>
        <v/>
      </c>
      <c r="D45" s="5" t="str">
        <f>IF(A45="","",SUM('Additional Information'!C45,'Additional Information'!D45))</f>
        <v/>
      </c>
      <c r="E45" t="str">
        <f>IF(A45="","",SUM('Additional Information'!C45))</f>
        <v/>
      </c>
      <c r="F45" t="str">
        <f>IF(A45="","",IF(OR('Additional Information'!H45="",'Additional Information'!H45="-"),"",'Additional Information'!H45))</f>
        <v/>
      </c>
      <c r="G45" t="str">
        <f>IF(A45="","",IF(OR('Additional Information'!I45="",'Additional Information'!I45="-"),"",'Additional Information'!I45))</f>
        <v/>
      </c>
    </row>
    <row r="46" spans="1:7" x14ac:dyDescent="0.25">
      <c r="A46" t="str">
        <f>IF(Input!A47="","",Input!A47)</f>
        <v/>
      </c>
      <c r="C46" t="str">
        <f>IF(A46="","",IF(OR('Additional Information'!G46="",'Additional Information'!G46="-"),"",'Additional Information'!G46))</f>
        <v/>
      </c>
      <c r="D46" s="5" t="str">
        <f>IF(A46="","",SUM('Additional Information'!C46,'Additional Information'!D46))</f>
        <v/>
      </c>
      <c r="E46" t="str">
        <f>IF(A46="","",SUM('Additional Information'!C46))</f>
        <v/>
      </c>
      <c r="F46" t="str">
        <f>IF(A46="","",IF(OR('Additional Information'!H46="",'Additional Information'!H46="-"),"",'Additional Information'!H46))</f>
        <v/>
      </c>
      <c r="G46" t="str">
        <f>IF(A46="","",IF(OR('Additional Information'!I46="",'Additional Information'!I46="-"),"",'Additional Information'!I46))</f>
        <v/>
      </c>
    </row>
    <row r="47" spans="1:7" x14ac:dyDescent="0.25">
      <c r="A47" t="str">
        <f>IF(Input!A48="","",Input!A48)</f>
        <v/>
      </c>
      <c r="C47" t="str">
        <f>IF(A47="","",IF(OR('Additional Information'!G47="",'Additional Information'!G47="-"),"",'Additional Information'!G47))</f>
        <v/>
      </c>
      <c r="D47" s="5" t="str">
        <f>IF(A47="","",SUM('Additional Information'!C47,'Additional Information'!D47))</f>
        <v/>
      </c>
      <c r="E47" t="str">
        <f>IF(A47="","",SUM('Additional Information'!C47))</f>
        <v/>
      </c>
      <c r="F47" t="str">
        <f>IF(A47="","",IF(OR('Additional Information'!H47="",'Additional Information'!H47="-"),"",'Additional Information'!H47))</f>
        <v/>
      </c>
      <c r="G47" t="str">
        <f>IF(A47="","",IF(OR('Additional Information'!I47="",'Additional Information'!I47="-"),"",'Additional Information'!I47))</f>
        <v/>
      </c>
    </row>
    <row r="48" spans="1:7" x14ac:dyDescent="0.25">
      <c r="A48" t="str">
        <f>IF(Input!A49="","",Input!A49)</f>
        <v/>
      </c>
      <c r="C48" t="str">
        <f>IF(A48="","",IF(OR('Additional Information'!G48="",'Additional Information'!G48="-"),"",'Additional Information'!G48))</f>
        <v/>
      </c>
      <c r="D48" s="5" t="str">
        <f>IF(A48="","",SUM('Additional Information'!C48,'Additional Information'!D48))</f>
        <v/>
      </c>
      <c r="E48" t="str">
        <f>IF(A48="","",SUM('Additional Information'!C48))</f>
        <v/>
      </c>
      <c r="F48" t="str">
        <f>IF(A48="","",IF(OR('Additional Information'!H48="",'Additional Information'!H48="-"),"",'Additional Information'!H48))</f>
        <v/>
      </c>
      <c r="G48" t="str">
        <f>IF(A48="","",IF(OR('Additional Information'!I48="",'Additional Information'!I48="-"),"",'Additional Information'!I48))</f>
        <v/>
      </c>
    </row>
    <row r="49" spans="1:7" x14ac:dyDescent="0.25">
      <c r="A49" t="str">
        <f>IF(Input!A50="","",Input!A50)</f>
        <v/>
      </c>
      <c r="C49" t="str">
        <f>IF(A49="","",IF(OR('Additional Information'!G49="",'Additional Information'!G49="-"),"",'Additional Information'!G49))</f>
        <v/>
      </c>
      <c r="D49" s="5" t="str">
        <f>IF(A49="","",SUM('Additional Information'!C49,'Additional Information'!D49))</f>
        <v/>
      </c>
      <c r="E49" t="str">
        <f>IF(A49="","",SUM('Additional Information'!C49))</f>
        <v/>
      </c>
      <c r="F49" t="str">
        <f>IF(A49="","",IF(OR('Additional Information'!H49="",'Additional Information'!H49="-"),"",'Additional Information'!H49))</f>
        <v/>
      </c>
      <c r="G49" t="str">
        <f>IF(A49="","",IF(OR('Additional Information'!I49="",'Additional Information'!I49="-"),"",'Additional Information'!I49))</f>
        <v/>
      </c>
    </row>
    <row r="50" spans="1:7" x14ac:dyDescent="0.25">
      <c r="A50" t="str">
        <f>IF(Input!A51="","",Input!A51)</f>
        <v/>
      </c>
      <c r="C50" t="str">
        <f>IF(A50="","",IF(OR('Additional Information'!G50="",'Additional Information'!G50="-"),"",'Additional Information'!G50))</f>
        <v/>
      </c>
      <c r="D50" s="5" t="str">
        <f>IF(A50="","",SUM('Additional Information'!C50,'Additional Information'!D50))</f>
        <v/>
      </c>
      <c r="E50" t="str">
        <f>IF(A50="","",SUM('Additional Information'!C50))</f>
        <v/>
      </c>
      <c r="F50" t="str">
        <f>IF(A50="","",IF(OR('Additional Information'!H50="",'Additional Information'!H50="-"),"",'Additional Information'!H50))</f>
        <v/>
      </c>
      <c r="G50" t="str">
        <f>IF(A50="","",IF(OR('Additional Information'!I50="",'Additional Information'!I50="-"),"",'Additional Information'!I50))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14</v>
      </c>
      <c r="E1" t="s">
        <v>15</v>
      </c>
      <c r="F1" t="s">
        <v>1</v>
      </c>
      <c r="G1" t="s">
        <v>4</v>
      </c>
      <c r="H1" t="s">
        <v>26</v>
      </c>
    </row>
    <row r="2" spans="1:8" x14ac:dyDescent="0.25">
      <c r="A2" t="str">
        <f>IF(Input!A3="","",Input!A3)</f>
        <v>Core Strategy 2</v>
      </c>
      <c r="B2">
        <f>IF(A2="","",SUM('Asset Allocation'!F2,'Asset Allocation'!G2,'Asset Allocation'!H2,'Asset Allocation'!I2,'Asset Allocation'!J2,'Asset Allocation'!K2))</f>
        <v>0</v>
      </c>
      <c r="C2">
        <f>IF(A2="","",SUM('Asset Allocation'!C2))</f>
        <v>0</v>
      </c>
      <c r="D2">
        <f>IF(A2="","",SUM('Asset Allocation'!D2))</f>
        <v>0</v>
      </c>
      <c r="F2">
        <f>IF(A2="","",SUM('Asset Allocation'!E2))</f>
        <v>0</v>
      </c>
      <c r="G2">
        <f>IF(A2="","",SUM('Asset Allocation'!B2))</f>
        <v>0</v>
      </c>
      <c r="H2">
        <f t="shared" ref="H2:H50" si="0">IF(A2="","",1-SUM(B2:G2))</f>
        <v>1</v>
      </c>
    </row>
    <row r="3" spans="1:8" x14ac:dyDescent="0.25">
      <c r="A3" t="str">
        <f>IF(Input!A4="","",Input!A4)</f>
        <v>Core Strategy 3</v>
      </c>
      <c r="B3">
        <f>IF(A3="","",SUM('Asset Allocation'!F3,'Asset Allocation'!G3,'Asset Allocation'!H3,'Asset Allocation'!I3,'Asset Allocation'!J3,'Asset Allocation'!K3))</f>
        <v>0</v>
      </c>
      <c r="C3">
        <f>IF(A3="","",SUM('Asset Allocation'!C3))</f>
        <v>0</v>
      </c>
      <c r="D3">
        <f>IF(A3="","",SUM('Asset Allocation'!D3))</f>
        <v>0</v>
      </c>
      <c r="F3">
        <f>IF(A3="","",SUM('Asset Allocation'!E3))</f>
        <v>0</v>
      </c>
      <c r="G3">
        <f>IF(A3="","",SUM('Asset Allocation'!B3))</f>
        <v>0</v>
      </c>
      <c r="H3">
        <f t="shared" si="0"/>
        <v>1</v>
      </c>
    </row>
    <row r="4" spans="1:8" x14ac:dyDescent="0.25">
      <c r="A4" t="str">
        <f>IF(Input!A5="","",Input!A5)</f>
        <v>Core Strategy 4 - Income</v>
      </c>
      <c r="B4">
        <f>IF(A4="","",SUM('Asset Allocation'!F4,'Asset Allocation'!G4,'Asset Allocation'!H4,'Asset Allocation'!I4,'Asset Allocation'!J4,'Asset Allocation'!K4))</f>
        <v>0</v>
      </c>
      <c r="C4">
        <f>IF(A4="","",SUM('Asset Allocation'!C4))</f>
        <v>0</v>
      </c>
      <c r="D4">
        <f>IF(A4="","",SUM('Asset Allocation'!D4))</f>
        <v>0</v>
      </c>
      <c r="F4">
        <f>IF(A4="","",SUM('Asset Allocation'!E4))</f>
        <v>0</v>
      </c>
      <c r="G4">
        <f>IF(A4="","",SUM('Asset Allocation'!B4))</f>
        <v>0</v>
      </c>
      <c r="H4">
        <f t="shared" si="0"/>
        <v>1</v>
      </c>
    </row>
    <row r="5" spans="1:8" x14ac:dyDescent="0.25">
      <c r="A5" t="str">
        <f>IF(Input!A6="","",Input!A6)</f>
        <v>Core Strategy 4</v>
      </c>
      <c r="B5">
        <f>IF(A5="","",SUM('Asset Allocation'!F5,'Asset Allocation'!G5,'Asset Allocation'!H5,'Asset Allocation'!I5,'Asset Allocation'!J5,'Asset Allocation'!K5))</f>
        <v>0</v>
      </c>
      <c r="C5">
        <f>IF(A5="","",SUM('Asset Allocation'!C5))</f>
        <v>0</v>
      </c>
      <c r="D5">
        <f>IF(A5="","",SUM('Asset Allocation'!D5))</f>
        <v>0</v>
      </c>
      <c r="F5">
        <f>IF(A5="","",SUM('Asset Allocation'!E5))</f>
        <v>0</v>
      </c>
      <c r="G5">
        <f>IF(A5="","",SUM('Asset Allocation'!B5))</f>
        <v>0</v>
      </c>
      <c r="H5">
        <f t="shared" si="0"/>
        <v>1</v>
      </c>
    </row>
    <row r="6" spans="1:8" x14ac:dyDescent="0.25">
      <c r="A6" t="str">
        <f>IF(Input!A7="","",Input!A7)</f>
        <v>Core Strategy 5</v>
      </c>
      <c r="B6">
        <f>IF(A6="","",SUM('Asset Allocation'!F6,'Asset Allocation'!G6,'Asset Allocation'!H6,'Asset Allocation'!I6,'Asset Allocation'!J6,'Asset Allocation'!K6))</f>
        <v>0</v>
      </c>
      <c r="C6">
        <f>IF(A6="","",SUM('Asset Allocation'!C6))</f>
        <v>0</v>
      </c>
      <c r="D6">
        <f>IF(A6="","",SUM('Asset Allocation'!D6))</f>
        <v>0</v>
      </c>
      <c r="F6">
        <f>IF(A6="","",SUM('Asset Allocation'!E6))</f>
        <v>0</v>
      </c>
      <c r="G6">
        <f>IF(A6="","",SUM('Asset Allocation'!B6))</f>
        <v>0</v>
      </c>
      <c r="H6">
        <f t="shared" si="0"/>
        <v>1</v>
      </c>
    </row>
    <row r="7" spans="1:8" x14ac:dyDescent="0.25">
      <c r="A7" t="str">
        <f>IF(Input!A8="","",Input!A8)</f>
        <v>Core Strategy 6</v>
      </c>
      <c r="B7">
        <f>IF(A7="","",SUM('Asset Allocation'!F7,'Asset Allocation'!G7,'Asset Allocation'!H7,'Asset Allocation'!I7,'Asset Allocation'!J7,'Asset Allocation'!K7))</f>
        <v>0</v>
      </c>
      <c r="C7">
        <f>IF(A7="","",SUM('Asset Allocation'!C7))</f>
        <v>0</v>
      </c>
      <c r="D7">
        <f>IF(A7="","",SUM('Asset Allocation'!D7))</f>
        <v>0</v>
      </c>
      <c r="F7">
        <f>IF(A7="","",SUM('Asset Allocation'!E7))</f>
        <v>0</v>
      </c>
      <c r="G7">
        <f>IF(A7="","",SUM('Asset Allocation'!B7))</f>
        <v>0</v>
      </c>
      <c r="H7">
        <f t="shared" si="0"/>
        <v>1</v>
      </c>
    </row>
    <row r="8" spans="1:8" x14ac:dyDescent="0.25">
      <c r="A8" t="str">
        <f>IF(Input!A9="","",Input!A9)</f>
        <v/>
      </c>
      <c r="B8" t="str">
        <f>IF(A8="","",SUM('Asset Allocation'!F8,'Asset Allocation'!G8,'Asset Allocation'!H8,'Asset Allocation'!I8,'Asset Allocation'!J8,'Asset Allocation'!K8))</f>
        <v/>
      </c>
      <c r="C8" t="str">
        <f>IF(A8="","",SUM('Asset Allocation'!C8))</f>
        <v/>
      </c>
      <c r="D8" t="str">
        <f>IF(A8="","",SUM('Asset Allocation'!D8))</f>
        <v/>
      </c>
      <c r="F8" t="str">
        <f>IF(A8="","",SUM('Asset Allocation'!E8))</f>
        <v/>
      </c>
      <c r="G8" t="str">
        <f>IF(A8="","",SUM('Asset Allocation'!B8))</f>
        <v/>
      </c>
      <c r="H8" t="str">
        <f t="shared" si="0"/>
        <v/>
      </c>
    </row>
    <row r="9" spans="1:8" x14ac:dyDescent="0.25">
      <c r="A9" t="str">
        <f>IF(Input!A10="","",Input!A10)</f>
        <v/>
      </c>
      <c r="B9" t="str">
        <f>IF(A9="","",SUM('Asset Allocation'!F9,'Asset Allocation'!G9,'Asset Allocation'!H9,'Asset Allocation'!I9,'Asset Allocation'!J9,'Asset Allocation'!K9))</f>
        <v/>
      </c>
      <c r="C9" t="str">
        <f>IF(A9="","",SUM('Asset Allocation'!C9))</f>
        <v/>
      </c>
      <c r="D9" t="str">
        <f>IF(A9="","",SUM('Asset Allocation'!D9))</f>
        <v/>
      </c>
      <c r="F9" t="str">
        <f>IF(A9="","",SUM('Asset Allocation'!E9))</f>
        <v/>
      </c>
      <c r="G9" t="str">
        <f>IF(A9="","",SUM('Asset Allocation'!B9))</f>
        <v/>
      </c>
      <c r="H9" t="str">
        <f t="shared" si="0"/>
        <v/>
      </c>
    </row>
    <row r="10" spans="1:8" x14ac:dyDescent="0.25">
      <c r="A10" t="str">
        <f>IF(Input!A11="","",Input!A11)</f>
        <v/>
      </c>
      <c r="B10" t="str">
        <f>IF(A10="","",SUM('Asset Allocation'!F10,'Asset Allocation'!G10,'Asset Allocation'!H10,'Asset Allocation'!I10,'Asset Allocation'!J10,'Asset Allocation'!K10))</f>
        <v/>
      </c>
      <c r="C10" t="str">
        <f>IF(A10="","",SUM('Asset Allocation'!C10))</f>
        <v/>
      </c>
      <c r="D10" t="str">
        <f>IF(A10="","",SUM('Asset Allocation'!D10))</f>
        <v/>
      </c>
      <c r="F10" t="str">
        <f>IF(A10="","",SUM('Asset Allocation'!E10))</f>
        <v/>
      </c>
      <c r="G10" t="str">
        <f>IF(A10="","",SUM('Asset Allocation'!B10))</f>
        <v/>
      </c>
      <c r="H10" t="str">
        <f t="shared" si="0"/>
        <v/>
      </c>
    </row>
    <row r="11" spans="1:8" x14ac:dyDescent="0.25">
      <c r="A11" t="str">
        <f>IF(Input!A12="","",Input!A12)</f>
        <v/>
      </c>
      <c r="B11" t="str">
        <f>IF(A11="","",SUM('Asset Allocation'!F11,'Asset Allocation'!G11,'Asset Allocation'!H11,'Asset Allocation'!I11,'Asset Allocation'!J11,'Asset Allocation'!K11))</f>
        <v/>
      </c>
      <c r="C11" t="str">
        <f>IF(A11="","",SUM('Asset Allocation'!C11))</f>
        <v/>
      </c>
      <c r="D11" t="str">
        <f>IF(A11="","",SUM('Asset Allocation'!D11))</f>
        <v/>
      </c>
      <c r="F11" t="str">
        <f>IF(A11="","",SUM('Asset Allocation'!E11))</f>
        <v/>
      </c>
      <c r="G11" t="str">
        <f>IF(A11="","",SUM('Asset Allocation'!B11))</f>
        <v/>
      </c>
      <c r="H11" t="str">
        <f t="shared" si="0"/>
        <v/>
      </c>
    </row>
    <row r="12" spans="1:8" x14ac:dyDescent="0.25">
      <c r="A12" t="str">
        <f>IF(Input!A13="","",Input!A13)</f>
        <v/>
      </c>
      <c r="B12" t="str">
        <f>IF(A12="","",SUM('Asset Allocation'!F12,'Asset Allocation'!G12,'Asset Allocation'!H12,'Asset Allocation'!I12,'Asset Allocation'!J12,'Asset Allocation'!K12))</f>
        <v/>
      </c>
      <c r="C12" t="str">
        <f>IF(A12="","",SUM('Asset Allocation'!C12))</f>
        <v/>
      </c>
      <c r="D12" t="str">
        <f>IF(A12="","",SUM('Asset Allocation'!D12))</f>
        <v/>
      </c>
      <c r="F12" t="str">
        <f>IF(A12="","",SUM('Asset Allocation'!E12))</f>
        <v/>
      </c>
      <c r="G12" t="str">
        <f>IF(A12="","",SUM('Asset Allocation'!B12))</f>
        <v/>
      </c>
      <c r="H12" t="str">
        <f t="shared" si="0"/>
        <v/>
      </c>
    </row>
    <row r="13" spans="1:8" x14ac:dyDescent="0.25">
      <c r="A13" t="str">
        <f>IF(Input!A14="","",Input!A14)</f>
        <v/>
      </c>
      <c r="B13" t="str">
        <f>IF(A13="","",SUM('Asset Allocation'!F13,'Asset Allocation'!G13,'Asset Allocation'!H13,'Asset Allocation'!I13,'Asset Allocation'!J13,'Asset Allocation'!K13))</f>
        <v/>
      </c>
      <c r="C13" t="str">
        <f>IF(A13="","",SUM('Asset Allocation'!C13))</f>
        <v/>
      </c>
      <c r="D13" t="str">
        <f>IF(A13="","",SUM('Asset Allocation'!D13))</f>
        <v/>
      </c>
      <c r="F13" t="str">
        <f>IF(A13="","",SUM('Asset Allocation'!E13))</f>
        <v/>
      </c>
      <c r="G13" t="str">
        <f>IF(A13="","",SUM('Asset Allocation'!B13))</f>
        <v/>
      </c>
      <c r="H13" t="str">
        <f t="shared" si="0"/>
        <v/>
      </c>
    </row>
    <row r="14" spans="1:8" x14ac:dyDescent="0.25">
      <c r="A14" t="str">
        <f>IF(Input!A15="","",Input!A15)</f>
        <v/>
      </c>
      <c r="B14" t="str">
        <f>IF(A14="","",SUM('Asset Allocation'!F14,'Asset Allocation'!G14,'Asset Allocation'!H14,'Asset Allocation'!I14,'Asset Allocation'!J14,'Asset Allocation'!K14))</f>
        <v/>
      </c>
      <c r="C14" t="str">
        <f>IF(A14="","",SUM('Asset Allocation'!C14))</f>
        <v/>
      </c>
      <c r="D14" t="str">
        <f>IF(A14="","",SUM('Asset Allocation'!D14))</f>
        <v/>
      </c>
      <c r="F14" t="str">
        <f>IF(A14="","",SUM('Asset Allocation'!E14))</f>
        <v/>
      </c>
      <c r="G14" t="str">
        <f>IF(A14="","",SUM('Asset Allocation'!B14))</f>
        <v/>
      </c>
      <c r="H14" t="str">
        <f t="shared" si="0"/>
        <v/>
      </c>
    </row>
    <row r="15" spans="1:8" x14ac:dyDescent="0.25">
      <c r="A15" t="str">
        <f>IF(Input!A16="","",Input!A16)</f>
        <v/>
      </c>
      <c r="B15" t="str">
        <f>IF(A15="","",SUM('Asset Allocation'!F15,'Asset Allocation'!G15,'Asset Allocation'!H15,'Asset Allocation'!I15,'Asset Allocation'!J15,'Asset Allocation'!K15))</f>
        <v/>
      </c>
      <c r="C15" t="str">
        <f>IF(A15="","",SUM('Asset Allocation'!C15))</f>
        <v/>
      </c>
      <c r="D15" t="str">
        <f>IF(A15="","",SUM('Asset Allocation'!D15))</f>
        <v/>
      </c>
      <c r="F15" t="str">
        <f>IF(A15="","",SUM('Asset Allocation'!E15))</f>
        <v/>
      </c>
      <c r="G15" t="str">
        <f>IF(A15="","",SUM('Asset Allocation'!B15))</f>
        <v/>
      </c>
      <c r="H15" t="str">
        <f t="shared" si="0"/>
        <v/>
      </c>
    </row>
    <row r="16" spans="1:8" x14ac:dyDescent="0.25">
      <c r="A16" t="str">
        <f>IF(Input!A17="","",Input!A17)</f>
        <v/>
      </c>
      <c r="B16" t="str">
        <f>IF(A16="","",SUM('Asset Allocation'!F16,'Asset Allocation'!G16,'Asset Allocation'!H16,'Asset Allocation'!I16,'Asset Allocation'!J16,'Asset Allocation'!K16))</f>
        <v/>
      </c>
      <c r="C16" t="str">
        <f>IF(A16="","",SUM('Asset Allocation'!C16))</f>
        <v/>
      </c>
      <c r="D16" t="str">
        <f>IF(A16="","",SUM('Asset Allocation'!D16))</f>
        <v/>
      </c>
      <c r="F16" t="str">
        <f>IF(A16="","",SUM('Asset Allocation'!E16))</f>
        <v/>
      </c>
      <c r="G16" t="str">
        <f>IF(A16="","",SUM('Asset Allocation'!B16))</f>
        <v/>
      </c>
      <c r="H16" t="str">
        <f t="shared" si="0"/>
        <v/>
      </c>
    </row>
    <row r="17" spans="1:8" x14ac:dyDescent="0.25">
      <c r="A17" t="str">
        <f>IF(Input!A18="","",Input!A18)</f>
        <v/>
      </c>
      <c r="B17" t="str">
        <f>IF(A17="","",SUM('Asset Allocation'!F17,'Asset Allocation'!G17,'Asset Allocation'!H17,'Asset Allocation'!I17,'Asset Allocation'!J17,'Asset Allocation'!K17))</f>
        <v/>
      </c>
      <c r="C17" t="str">
        <f>IF(A17="","",SUM('Asset Allocation'!C17))</f>
        <v/>
      </c>
      <c r="D17" t="str">
        <f>IF(A17="","",SUM('Asset Allocation'!D17))</f>
        <v/>
      </c>
      <c r="F17" t="str">
        <f>IF(A17="","",SUM('Asset Allocation'!E17))</f>
        <v/>
      </c>
      <c r="G17" t="str">
        <f>IF(A17="","",SUM('Asset Allocation'!B17))</f>
        <v/>
      </c>
      <c r="H17" t="str">
        <f t="shared" si="0"/>
        <v/>
      </c>
    </row>
    <row r="18" spans="1:8" x14ac:dyDescent="0.25">
      <c r="A18" t="str">
        <f>IF(Input!A19="","",Input!A19)</f>
        <v/>
      </c>
      <c r="B18" t="str">
        <f>IF(A18="","",SUM('Asset Allocation'!F18,'Asset Allocation'!G18,'Asset Allocation'!H18,'Asset Allocation'!I18,'Asset Allocation'!J18,'Asset Allocation'!K18))</f>
        <v/>
      </c>
      <c r="C18" t="str">
        <f>IF(A18="","",SUM('Asset Allocation'!C18))</f>
        <v/>
      </c>
      <c r="D18" t="str">
        <f>IF(A18="","",SUM('Asset Allocation'!D18))</f>
        <v/>
      </c>
      <c r="F18" t="str">
        <f>IF(A18="","",SUM('Asset Allocation'!E18))</f>
        <v/>
      </c>
      <c r="G18" t="str">
        <f>IF(A18="","",SUM('Asset Allocation'!B18))</f>
        <v/>
      </c>
      <c r="H18" t="str">
        <f t="shared" si="0"/>
        <v/>
      </c>
    </row>
    <row r="19" spans="1:8" x14ac:dyDescent="0.25">
      <c r="A19" t="str">
        <f>IF(Input!A20="","",Input!A20)</f>
        <v/>
      </c>
      <c r="B19" t="str">
        <f>IF(A19="","",SUM('Asset Allocation'!F19,'Asset Allocation'!G19,'Asset Allocation'!H19,'Asset Allocation'!I19,'Asset Allocation'!J19,'Asset Allocation'!K19))</f>
        <v/>
      </c>
      <c r="C19" t="str">
        <f>IF(A19="","",SUM('Asset Allocation'!C19))</f>
        <v/>
      </c>
      <c r="D19" t="str">
        <f>IF(A19="","",SUM('Asset Allocation'!D19))</f>
        <v/>
      </c>
      <c r="F19" t="str">
        <f>IF(A19="","",SUM('Asset Allocation'!E19))</f>
        <v/>
      </c>
      <c r="G19" t="str">
        <f>IF(A19="","",SUM('Asset Allocation'!B19))</f>
        <v/>
      </c>
      <c r="H19" t="str">
        <f t="shared" si="0"/>
        <v/>
      </c>
    </row>
    <row r="20" spans="1:8" x14ac:dyDescent="0.25">
      <c r="A20" t="str">
        <f>IF(Input!A21="","",Input!A21)</f>
        <v/>
      </c>
      <c r="B20" t="str">
        <f>IF(A20="","",SUM('Asset Allocation'!F20,'Asset Allocation'!G20,'Asset Allocation'!H20,'Asset Allocation'!I20,'Asset Allocation'!J20,'Asset Allocation'!K20))</f>
        <v/>
      </c>
      <c r="C20" t="str">
        <f>IF(A20="","",SUM('Asset Allocation'!C20))</f>
        <v/>
      </c>
      <c r="D20" t="str">
        <f>IF(A20="","",SUM('Asset Allocation'!D20))</f>
        <v/>
      </c>
      <c r="F20" t="str">
        <f>IF(A20="","",SUM('Asset Allocation'!E20))</f>
        <v/>
      </c>
      <c r="G20" t="str">
        <f>IF(A20="","",SUM('Asset Allocation'!B20))</f>
        <v/>
      </c>
      <c r="H20" t="str">
        <f t="shared" si="0"/>
        <v/>
      </c>
    </row>
    <row r="21" spans="1:8" x14ac:dyDescent="0.25">
      <c r="A21" t="str">
        <f>IF(Input!A22="","",Input!A22)</f>
        <v/>
      </c>
      <c r="B21" t="str">
        <f>IF(A21="","",SUM('Asset Allocation'!F21,'Asset Allocation'!G21,'Asset Allocation'!H21,'Asset Allocation'!I21,'Asset Allocation'!J21,'Asset Allocation'!K21))</f>
        <v/>
      </c>
      <c r="C21" t="str">
        <f>IF(A21="","",SUM('Asset Allocation'!C21))</f>
        <v/>
      </c>
      <c r="D21" t="str">
        <f>IF(A21="","",SUM('Asset Allocation'!D21))</f>
        <v/>
      </c>
      <c r="F21" t="str">
        <f>IF(A21="","",SUM('Asset Allocation'!E21))</f>
        <v/>
      </c>
      <c r="G21" t="str">
        <f>IF(A21="","",SUM('Asset Allocation'!B21))</f>
        <v/>
      </c>
      <c r="H21" t="str">
        <f t="shared" si="0"/>
        <v/>
      </c>
    </row>
    <row r="22" spans="1:8" x14ac:dyDescent="0.25">
      <c r="A22" t="str">
        <f>IF(Input!A23="","",Input!A23)</f>
        <v/>
      </c>
      <c r="B22" t="str">
        <f>IF(A22="","",SUM('Asset Allocation'!F22,'Asset Allocation'!G22,'Asset Allocation'!H22,'Asset Allocation'!I22,'Asset Allocation'!J22,'Asset Allocation'!K22))</f>
        <v/>
      </c>
      <c r="C22" t="str">
        <f>IF(A22="","",SUM('Asset Allocation'!C22))</f>
        <v/>
      </c>
      <c r="D22" t="str">
        <f>IF(A22="","",SUM('Asset Allocation'!D22))</f>
        <v/>
      </c>
      <c r="F22" t="str">
        <f>IF(A22="","",SUM('Asset Allocation'!E22))</f>
        <v/>
      </c>
      <c r="G22" t="str">
        <f>IF(A22="","",SUM('Asset Allocation'!B22))</f>
        <v/>
      </c>
      <c r="H22" t="str">
        <f t="shared" si="0"/>
        <v/>
      </c>
    </row>
    <row r="23" spans="1:8" x14ac:dyDescent="0.25">
      <c r="A23" t="str">
        <f>IF(Input!A24="","",Input!A24)</f>
        <v/>
      </c>
      <c r="B23" t="str">
        <f>IF(A23="","",SUM('Asset Allocation'!F23,'Asset Allocation'!G23,'Asset Allocation'!H23,'Asset Allocation'!I23,'Asset Allocation'!J23,'Asset Allocation'!K23))</f>
        <v/>
      </c>
      <c r="C23" t="str">
        <f>IF(A23="","",SUM('Asset Allocation'!C23))</f>
        <v/>
      </c>
      <c r="D23" t="str">
        <f>IF(A23="","",SUM('Asset Allocation'!D23))</f>
        <v/>
      </c>
      <c r="F23" t="str">
        <f>IF(A23="","",SUM('Asset Allocation'!E23))</f>
        <v/>
      </c>
      <c r="G23" t="str">
        <f>IF(A23="","",SUM('Asset Allocation'!B23))</f>
        <v/>
      </c>
      <c r="H23" t="str">
        <f t="shared" si="0"/>
        <v/>
      </c>
    </row>
    <row r="24" spans="1:8" x14ac:dyDescent="0.25">
      <c r="A24" t="str">
        <f>IF(Input!A25="","",Input!A25)</f>
        <v/>
      </c>
      <c r="B24" t="str">
        <f>IF(A24="","",SUM('Asset Allocation'!F24,'Asset Allocation'!G24,'Asset Allocation'!H24,'Asset Allocation'!I24,'Asset Allocation'!J24,'Asset Allocation'!K24))</f>
        <v/>
      </c>
      <c r="C24" t="str">
        <f>IF(A24="","",SUM('Asset Allocation'!C24))</f>
        <v/>
      </c>
      <c r="D24" t="str">
        <f>IF(A24="","",SUM('Asset Allocation'!D24))</f>
        <v/>
      </c>
      <c r="F24" t="str">
        <f>IF(A24="","",SUM('Asset Allocation'!E24))</f>
        <v/>
      </c>
      <c r="G24" t="str">
        <f>IF(A24="","",SUM('Asset Allocation'!B24))</f>
        <v/>
      </c>
      <c r="H24" t="str">
        <f t="shared" si="0"/>
        <v/>
      </c>
    </row>
    <row r="25" spans="1:8" x14ac:dyDescent="0.25">
      <c r="A25" t="str">
        <f>IF(Input!A26="","",Input!A26)</f>
        <v/>
      </c>
      <c r="B25" t="str">
        <f>IF(A25="","",SUM('Asset Allocation'!F25,'Asset Allocation'!G25,'Asset Allocation'!H25,'Asset Allocation'!I25,'Asset Allocation'!J25,'Asset Allocation'!K25))</f>
        <v/>
      </c>
      <c r="C25" t="str">
        <f>IF(A25="","",SUM('Asset Allocation'!C25))</f>
        <v/>
      </c>
      <c r="D25" t="str">
        <f>IF(A25="","",SUM('Asset Allocation'!D25))</f>
        <v/>
      </c>
      <c r="F25" t="str">
        <f>IF(A25="","",SUM('Asset Allocation'!E25))</f>
        <v/>
      </c>
      <c r="G25" t="str">
        <f>IF(A25="","",SUM('Asset Allocation'!B25))</f>
        <v/>
      </c>
      <c r="H25" t="str">
        <f t="shared" si="0"/>
        <v/>
      </c>
    </row>
    <row r="26" spans="1:8" x14ac:dyDescent="0.25">
      <c r="A26" t="str">
        <f>IF(Input!A27="","",Input!A27)</f>
        <v/>
      </c>
      <c r="B26" t="str">
        <f>IF(A26="","",SUM('Asset Allocation'!F26,'Asset Allocation'!G26,'Asset Allocation'!H26,'Asset Allocation'!I26,'Asset Allocation'!J26,'Asset Allocation'!K26))</f>
        <v/>
      </c>
      <c r="C26" t="str">
        <f>IF(A26="","",SUM('Asset Allocation'!C26))</f>
        <v/>
      </c>
      <c r="D26" t="str">
        <f>IF(A26="","",SUM('Asset Allocation'!D26))</f>
        <v/>
      </c>
      <c r="F26" t="str">
        <f>IF(A26="","",SUM('Asset Allocation'!E26))</f>
        <v/>
      </c>
      <c r="G26" t="str">
        <f>IF(A26="","",SUM('Asset Allocation'!B26))</f>
        <v/>
      </c>
      <c r="H26" t="str">
        <f t="shared" si="0"/>
        <v/>
      </c>
    </row>
    <row r="27" spans="1:8" x14ac:dyDescent="0.25">
      <c r="A27" t="str">
        <f>IF(Input!A28="","",Input!A28)</f>
        <v/>
      </c>
      <c r="B27" t="str">
        <f>IF(A27="","",SUM('Asset Allocation'!F27,'Asset Allocation'!G27,'Asset Allocation'!H27,'Asset Allocation'!I27,'Asset Allocation'!J27,'Asset Allocation'!K27))</f>
        <v/>
      </c>
      <c r="C27" t="str">
        <f>IF(A27="","",SUM('Asset Allocation'!C27))</f>
        <v/>
      </c>
      <c r="D27" t="str">
        <f>IF(A27="","",SUM('Asset Allocation'!D27))</f>
        <v/>
      </c>
      <c r="F27" t="str">
        <f>IF(A27="","",SUM('Asset Allocation'!E27))</f>
        <v/>
      </c>
      <c r="G27" t="str">
        <f>IF(A27="","",SUM('Asset Allocation'!B27))</f>
        <v/>
      </c>
      <c r="H27" t="str">
        <f t="shared" si="0"/>
        <v/>
      </c>
    </row>
    <row r="28" spans="1:8" x14ac:dyDescent="0.25">
      <c r="A28" t="str">
        <f>IF(Input!A29="","",Input!A29)</f>
        <v/>
      </c>
      <c r="B28" t="str">
        <f>IF(A28="","",SUM('Asset Allocation'!F28,'Asset Allocation'!G28,'Asset Allocation'!H28,'Asset Allocation'!I28,'Asset Allocation'!J28,'Asset Allocation'!K28))</f>
        <v/>
      </c>
      <c r="C28" t="str">
        <f>IF(A28="","",SUM('Asset Allocation'!C28))</f>
        <v/>
      </c>
      <c r="D28" t="str">
        <f>IF(A28="","",SUM('Asset Allocation'!D28))</f>
        <v/>
      </c>
      <c r="F28" t="str">
        <f>IF(A28="","",SUM('Asset Allocation'!E28))</f>
        <v/>
      </c>
      <c r="G28" t="str">
        <f>IF(A28="","",SUM('Asset Allocation'!B28))</f>
        <v/>
      </c>
      <c r="H28" t="str">
        <f t="shared" si="0"/>
        <v/>
      </c>
    </row>
    <row r="29" spans="1:8" x14ac:dyDescent="0.25">
      <c r="A29" t="str">
        <f>IF(Input!A30="","",Input!A30)</f>
        <v/>
      </c>
      <c r="B29" t="str">
        <f>IF(A29="","",SUM('Asset Allocation'!F29,'Asset Allocation'!G29,'Asset Allocation'!H29,'Asset Allocation'!I29,'Asset Allocation'!J29,'Asset Allocation'!K29))</f>
        <v/>
      </c>
      <c r="C29" t="str">
        <f>IF(A29="","",SUM('Asset Allocation'!C29))</f>
        <v/>
      </c>
      <c r="D29" t="str">
        <f>IF(A29="","",SUM('Asset Allocation'!D29))</f>
        <v/>
      </c>
      <c r="F29" t="str">
        <f>IF(A29="","",SUM('Asset Allocation'!E29))</f>
        <v/>
      </c>
      <c r="G29" t="str">
        <f>IF(A29="","",SUM('Asset Allocation'!B29))</f>
        <v/>
      </c>
      <c r="H29" t="str">
        <f t="shared" si="0"/>
        <v/>
      </c>
    </row>
    <row r="30" spans="1:8" x14ac:dyDescent="0.25">
      <c r="A30" t="str">
        <f>IF(Input!A31="","",Input!A31)</f>
        <v/>
      </c>
      <c r="B30" t="str">
        <f>IF(A30="","",SUM('Asset Allocation'!F30,'Asset Allocation'!G30,'Asset Allocation'!H30,'Asset Allocation'!I30,'Asset Allocation'!J30,'Asset Allocation'!K30))</f>
        <v/>
      </c>
      <c r="C30" t="str">
        <f>IF(A30="","",SUM('Asset Allocation'!C30))</f>
        <v/>
      </c>
      <c r="D30" t="str">
        <f>IF(A30="","",SUM('Asset Allocation'!D30))</f>
        <v/>
      </c>
      <c r="F30" t="str">
        <f>IF(A30="","",SUM('Asset Allocation'!E30))</f>
        <v/>
      </c>
      <c r="G30" t="str">
        <f>IF(A30="","",SUM('Asset Allocation'!B30))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Allocation'!F31,'Asset Allocation'!G31,'Asset Allocation'!H31,'Asset Allocation'!I31,'Asset Allocation'!J31,'Asset Allocation'!K31))</f>
        <v/>
      </c>
      <c r="C31" t="str">
        <f>IF(A31="","",SUM('Asset Allocation'!C31))</f>
        <v/>
      </c>
      <c r="D31" t="str">
        <f>IF(A31="","",SUM('Asset Allocation'!D31))</f>
        <v/>
      </c>
      <c r="F31" t="str">
        <f>IF(A31="","",SUM('Asset Allocation'!E31))</f>
        <v/>
      </c>
      <c r="G31" t="str">
        <f>IF(A31="","",SUM('Asset Allocation'!B31))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Allocation'!F32,'Asset Allocation'!G32,'Asset Allocation'!H32,'Asset Allocation'!I32,'Asset Allocation'!J32,'Asset Allocation'!K32))</f>
        <v/>
      </c>
      <c r="C32" t="str">
        <f>IF(A32="","",SUM('Asset Allocation'!C32))</f>
        <v/>
      </c>
      <c r="D32" t="str">
        <f>IF(A32="","",SUM('Asset Allocation'!D32))</f>
        <v/>
      </c>
      <c r="F32" t="str">
        <f>IF(A32="","",SUM('Asset Allocation'!E32))</f>
        <v/>
      </c>
      <c r="G32" t="str">
        <f>IF(A32="","",SUM('Asset Allocation'!B32))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Allocation'!F33,'Asset Allocation'!G33,'Asset Allocation'!H33,'Asset Allocation'!I33,'Asset Allocation'!J33,'Asset Allocation'!K33))</f>
        <v/>
      </c>
      <c r="C33" t="str">
        <f>IF(A33="","",SUM('Asset Allocation'!C33))</f>
        <v/>
      </c>
      <c r="D33" t="str">
        <f>IF(A33="","",SUM('Asset Allocation'!D33))</f>
        <v/>
      </c>
      <c r="F33" t="str">
        <f>IF(A33="","",SUM('Asset Allocation'!E33))</f>
        <v/>
      </c>
      <c r="G33" t="str">
        <f>IF(A33="","",SUM('Asset Allocation'!B33))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Allocation'!F34,'Asset Allocation'!G34,'Asset Allocation'!H34,'Asset Allocation'!I34,'Asset Allocation'!J34,'Asset Allocation'!K34))</f>
        <v/>
      </c>
      <c r="C34" t="str">
        <f>IF(A34="","",SUM('Asset Allocation'!C34))</f>
        <v/>
      </c>
      <c r="D34" t="str">
        <f>IF(A34="","",SUM('Asset Allocation'!D34))</f>
        <v/>
      </c>
      <c r="F34" t="str">
        <f>IF(A34="","",SUM('Asset Allocation'!E34))</f>
        <v/>
      </c>
      <c r="G34" t="str">
        <f>IF(A34="","",SUM('Asset Allocation'!B34))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Allocation'!F35,'Asset Allocation'!G35,'Asset Allocation'!H35,'Asset Allocation'!I35,'Asset Allocation'!J35,'Asset Allocation'!K35))</f>
        <v/>
      </c>
      <c r="C35" t="str">
        <f>IF(A35="","",SUM('Asset Allocation'!C35))</f>
        <v/>
      </c>
      <c r="D35" t="str">
        <f>IF(A35="","",SUM('Asset Allocation'!D35))</f>
        <v/>
      </c>
      <c r="F35" t="str">
        <f>IF(A35="","",SUM('Asset Allocation'!E35))</f>
        <v/>
      </c>
      <c r="G35" t="str">
        <f>IF(A35="","",SUM('Asset Allocation'!B35))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Allocation'!F36,'Asset Allocation'!G36,'Asset Allocation'!H36,'Asset Allocation'!I36,'Asset Allocation'!J36,'Asset Allocation'!K36))</f>
        <v/>
      </c>
      <c r="C36" t="str">
        <f>IF(A36="","",SUM('Asset Allocation'!C36))</f>
        <v/>
      </c>
      <c r="D36" t="str">
        <f>IF(A36="","",SUM('Asset Allocation'!D36))</f>
        <v/>
      </c>
      <c r="F36" t="str">
        <f>IF(A36="","",SUM('Asset Allocation'!E36))</f>
        <v/>
      </c>
      <c r="G36" t="str">
        <f>IF(A36="","",SUM('Asset Allocation'!B36))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Allocation'!F37,'Asset Allocation'!G37,'Asset Allocation'!H37,'Asset Allocation'!I37,'Asset Allocation'!J37,'Asset Allocation'!K37))</f>
        <v/>
      </c>
      <c r="C37" t="str">
        <f>IF(A37="","",SUM('Asset Allocation'!C37))</f>
        <v/>
      </c>
      <c r="D37" t="str">
        <f>IF(A37="","",SUM('Asset Allocation'!D37))</f>
        <v/>
      </c>
      <c r="F37" t="str">
        <f>IF(A37="","",SUM('Asset Allocation'!E37))</f>
        <v/>
      </c>
      <c r="G37" t="str">
        <f>IF(A37="","",SUM('Asset Allocation'!B37))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Allocation'!F38,'Asset Allocation'!G38,'Asset Allocation'!H38,'Asset Allocation'!I38,'Asset Allocation'!J38,'Asset Allocation'!K38))</f>
        <v/>
      </c>
      <c r="C38" t="str">
        <f>IF(A38="","",SUM('Asset Allocation'!C38))</f>
        <v/>
      </c>
      <c r="D38" t="str">
        <f>IF(A38="","",SUM('Asset Allocation'!D38))</f>
        <v/>
      </c>
      <c r="F38" t="str">
        <f>IF(A38="","",SUM('Asset Allocation'!E38))</f>
        <v/>
      </c>
      <c r="G38" t="str">
        <f>IF(A38="","",SUM('Asset Allocation'!B38))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Allocation'!F39,'Asset Allocation'!G39,'Asset Allocation'!H39,'Asset Allocation'!I39,'Asset Allocation'!J39,'Asset Allocation'!K39))</f>
        <v/>
      </c>
      <c r="C39" t="str">
        <f>IF(A39="","",SUM('Asset Allocation'!C39))</f>
        <v/>
      </c>
      <c r="D39" t="str">
        <f>IF(A39="","",SUM('Asset Allocation'!D39))</f>
        <v/>
      </c>
      <c r="F39" t="str">
        <f>IF(A39="","",SUM('Asset Allocation'!E39))</f>
        <v/>
      </c>
      <c r="G39" t="str">
        <f>IF(A39="","",SUM('Asset Allocation'!B39))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Allocation'!F40,'Asset Allocation'!G40,'Asset Allocation'!H40,'Asset Allocation'!I40,'Asset Allocation'!J40,'Asset Allocation'!K40))</f>
        <v/>
      </c>
      <c r="C40" t="str">
        <f>IF(A40="","",SUM('Asset Allocation'!C40))</f>
        <v/>
      </c>
      <c r="D40" t="str">
        <f>IF(A40="","",SUM('Asset Allocation'!D40))</f>
        <v/>
      </c>
      <c r="F40" t="str">
        <f>IF(A40="","",SUM('Asset Allocation'!E40))</f>
        <v/>
      </c>
      <c r="G40" t="str">
        <f>IF(A40="","",SUM('Asset Allocation'!B40))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Allocation'!F41,'Asset Allocation'!G41,'Asset Allocation'!H41,'Asset Allocation'!I41,'Asset Allocation'!J41,'Asset Allocation'!K41))</f>
        <v/>
      </c>
      <c r="C41" t="str">
        <f>IF(A41="","",SUM('Asset Allocation'!C41))</f>
        <v/>
      </c>
      <c r="D41" t="str">
        <f>IF(A41="","",SUM('Asset Allocation'!D41))</f>
        <v/>
      </c>
      <c r="F41" t="str">
        <f>IF(A41="","",SUM('Asset Allocation'!E41))</f>
        <v/>
      </c>
      <c r="G41" t="str">
        <f>IF(A41="","",SUM('Asset Allocation'!B41))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Allocation'!F42,'Asset Allocation'!G42,'Asset Allocation'!H42,'Asset Allocation'!I42,'Asset Allocation'!J42,'Asset Allocation'!K42))</f>
        <v/>
      </c>
      <c r="C42" t="str">
        <f>IF(A42="","",SUM('Asset Allocation'!C42))</f>
        <v/>
      </c>
      <c r="D42" t="str">
        <f>IF(A42="","",SUM('Asset Allocation'!D42))</f>
        <v/>
      </c>
      <c r="F42" t="str">
        <f>IF(A42="","",SUM('Asset Allocation'!E42))</f>
        <v/>
      </c>
      <c r="G42" t="str">
        <f>IF(A42="","",SUM('Asset Allocation'!B42))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Allocation'!F43,'Asset Allocation'!G43,'Asset Allocation'!H43,'Asset Allocation'!I43,'Asset Allocation'!J43,'Asset Allocation'!K43))</f>
        <v/>
      </c>
      <c r="C43" t="str">
        <f>IF(A43="","",SUM('Asset Allocation'!C43))</f>
        <v/>
      </c>
      <c r="D43" t="str">
        <f>IF(A43="","",SUM('Asset Allocation'!D43))</f>
        <v/>
      </c>
      <c r="F43" t="str">
        <f>IF(A43="","",SUM('Asset Allocation'!E43))</f>
        <v/>
      </c>
      <c r="G43" t="str">
        <f>IF(A43="","",SUM('Asset Allocation'!B43))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Allocation'!F44,'Asset Allocation'!G44,'Asset Allocation'!H44,'Asset Allocation'!I44,'Asset Allocation'!J44,'Asset Allocation'!K44))</f>
        <v/>
      </c>
      <c r="C44" t="str">
        <f>IF(A44="","",SUM('Asset Allocation'!C44))</f>
        <v/>
      </c>
      <c r="D44" t="str">
        <f>IF(A44="","",SUM('Asset Allocation'!D44))</f>
        <v/>
      </c>
      <c r="F44" t="str">
        <f>IF(A44="","",SUM('Asset Allocation'!E44))</f>
        <v/>
      </c>
      <c r="G44" t="str">
        <f>IF(A44="","",SUM('Asset Allocation'!B44))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Allocation'!F45,'Asset Allocation'!G45,'Asset Allocation'!H45,'Asset Allocation'!I45,'Asset Allocation'!J45,'Asset Allocation'!K45))</f>
        <v/>
      </c>
      <c r="C45" t="str">
        <f>IF(A45="","",SUM('Asset Allocation'!C45))</f>
        <v/>
      </c>
      <c r="D45" t="str">
        <f>IF(A45="","",SUM('Asset Allocation'!D45))</f>
        <v/>
      </c>
      <c r="F45" t="str">
        <f>IF(A45="","",SUM('Asset Allocation'!E45))</f>
        <v/>
      </c>
      <c r="G45" t="str">
        <f>IF(A45="","",SUM('Asset Allocation'!B45))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Allocation'!F46,'Asset Allocation'!G46,'Asset Allocation'!H46,'Asset Allocation'!I46,'Asset Allocation'!J46,'Asset Allocation'!K46))</f>
        <v/>
      </c>
      <c r="C46" t="str">
        <f>IF(A46="","",SUM('Asset Allocation'!C46))</f>
        <v/>
      </c>
      <c r="D46" t="str">
        <f>IF(A46="","",SUM('Asset Allocation'!D46))</f>
        <v/>
      </c>
      <c r="F46" t="str">
        <f>IF(A46="","",SUM('Asset Allocation'!E46))</f>
        <v/>
      </c>
      <c r="G46" t="str">
        <f>IF(A46="","",SUM('Asset Allocation'!B46))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Allocation'!F47,'Asset Allocation'!G47,'Asset Allocation'!H47,'Asset Allocation'!I47,'Asset Allocation'!J47,'Asset Allocation'!K47))</f>
        <v/>
      </c>
      <c r="C47" t="str">
        <f>IF(A47="","",SUM('Asset Allocation'!C47))</f>
        <v/>
      </c>
      <c r="D47" t="str">
        <f>IF(A47="","",SUM('Asset Allocation'!D47))</f>
        <v/>
      </c>
      <c r="F47" t="str">
        <f>IF(A47="","",SUM('Asset Allocation'!E47))</f>
        <v/>
      </c>
      <c r="G47" t="str">
        <f>IF(A47="","",SUM('Asset Allocation'!B47))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Allocation'!F48,'Asset Allocation'!G48,'Asset Allocation'!H48,'Asset Allocation'!I48,'Asset Allocation'!J48,'Asset Allocation'!K48))</f>
        <v/>
      </c>
      <c r="C48" t="str">
        <f>IF(A48="","",SUM('Asset Allocation'!C48))</f>
        <v/>
      </c>
      <c r="D48" t="str">
        <f>IF(A48="","",SUM('Asset Allocation'!D48))</f>
        <v/>
      </c>
      <c r="F48" t="str">
        <f>IF(A48="","",SUM('Asset Allocation'!E48))</f>
        <v/>
      </c>
      <c r="G48" t="str">
        <f>IF(A48="","",SUM('Asset Allocation'!B48))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Allocation'!F49,'Asset Allocation'!G49,'Asset Allocation'!H49,'Asset Allocation'!I49,'Asset Allocation'!J49,'Asset Allocation'!K49))</f>
        <v/>
      </c>
      <c r="C49" t="str">
        <f>IF(A49="","",SUM('Asset Allocation'!C49))</f>
        <v/>
      </c>
      <c r="D49" t="str">
        <f>IF(A49="","",SUM('Asset Allocation'!D49))</f>
        <v/>
      </c>
      <c r="F49" t="str">
        <f>IF(A49="","",SUM('Asset Allocation'!E49))</f>
        <v/>
      </c>
      <c r="G49" t="str">
        <f>IF(A49="","",SUM('Asset Allocation'!B49))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Allocation'!F50,'Asset Allocation'!G50,'Asset Allocation'!H50,'Asset Allocation'!I50,'Asset Allocation'!J50,'Asset Allocation'!K50))</f>
        <v/>
      </c>
      <c r="C50" t="str">
        <f>IF(A50="","",SUM('Asset Allocation'!C50))</f>
        <v/>
      </c>
      <c r="D50" t="str">
        <f>IF(A50="","",SUM('Asset Allocation'!D50))</f>
        <v/>
      </c>
      <c r="F50" t="str">
        <f>IF(A50="","",SUM('Asset Allocation'!E50))</f>
        <v/>
      </c>
      <c r="G50" t="str">
        <f>IF(A50="","",SUM('Asset Allocation'!B50))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17</v>
      </c>
    </row>
    <row r="2" spans="1:8" x14ac:dyDescent="0.25">
      <c r="A2" t="str">
        <f>IF(Input!A3="","",Input!A3)</f>
        <v>Core Strategy 2</v>
      </c>
      <c r="B2" s="6">
        <f>IFERROR(IF(A2="","",SUM('Asset Allocation'!G2)/'Broad Asset Allocation'!B2),0)</f>
        <v>0</v>
      </c>
      <c r="C2" s="6">
        <f>IFERROR(IF(A2="","",SUM('Asset Allocation'!F2)/'Broad Asset Allocation'!B2),0)</f>
        <v>0</v>
      </c>
      <c r="D2" s="6">
        <f>IFERROR(IF(A2="","",SUM('Asset Allocation'!H2)/'Broad Asset Allocation'!B2),0)</f>
        <v>0</v>
      </c>
      <c r="E2" s="6">
        <f>IFERROR(IF(A2="","",SUM('Asset Allocation'!I2)/'Broad Asset Allocation'!B2),0)</f>
        <v>0</v>
      </c>
      <c r="F2" s="6"/>
      <c r="G2" s="6">
        <f>IFERROR(IF(A2="","",SUM('Asset Allocation'!J2)/'Broad Asset Allocation'!B2),0)</f>
        <v>0</v>
      </c>
      <c r="H2" s="6">
        <f>IFERROR(IF(A2="","",SUM('Asset Allocation'!K2)/'Broad Asset Allocation'!B2),0)</f>
        <v>0</v>
      </c>
    </row>
    <row r="3" spans="1:8" x14ac:dyDescent="0.25">
      <c r="A3" t="str">
        <f>IF(Input!A4="","",Input!A4)</f>
        <v>Core Strategy 3</v>
      </c>
      <c r="B3" s="6">
        <f>IFERROR(IF(A3="","",SUM('Asset Allocation'!G3)/'Broad Asset Allocation'!B3),0)</f>
        <v>0</v>
      </c>
      <c r="C3" s="6">
        <f>IFERROR(IF(A3="","",SUM('Asset Allocation'!F3)/'Broad Asset Allocation'!B3),0)</f>
        <v>0</v>
      </c>
      <c r="D3" s="6">
        <f>IFERROR(IF(A3="","",SUM('Asset Allocation'!H3)/'Broad Asset Allocation'!B3),0)</f>
        <v>0</v>
      </c>
      <c r="E3" s="6">
        <f>IFERROR(IF(A3="","",SUM('Asset Allocation'!I3)/'Broad Asset Allocation'!B3),0)</f>
        <v>0</v>
      </c>
      <c r="F3" s="6"/>
      <c r="G3" s="6">
        <f>IFERROR(IF(A3="","",SUM('Asset Allocation'!J3)/'Broad Asset Allocation'!B3),0)</f>
        <v>0</v>
      </c>
      <c r="H3" s="6">
        <f>IFERROR(IF(A3="","",SUM('Asset Allocation'!K3)/'Broad Asset Allocation'!B3),0)</f>
        <v>0</v>
      </c>
    </row>
    <row r="4" spans="1:8" x14ac:dyDescent="0.25">
      <c r="A4" t="str">
        <f>IF(Input!A5="","",Input!A5)</f>
        <v>Core Strategy 4 - Income</v>
      </c>
      <c r="B4" s="6">
        <f>IFERROR(IF(A4="","",SUM('Asset Allocation'!G4)/'Broad Asset Allocation'!B4),0)</f>
        <v>0</v>
      </c>
      <c r="C4" s="6">
        <f>IFERROR(IF(A4="","",SUM('Asset Allocation'!F4)/'Broad Asset Allocation'!B4),0)</f>
        <v>0</v>
      </c>
      <c r="D4" s="6">
        <f>IFERROR(IF(A4="","",SUM('Asset Allocation'!H4)/'Broad Asset Allocation'!B4),0)</f>
        <v>0</v>
      </c>
      <c r="E4" s="6">
        <f>IFERROR(IF(A4="","",SUM('Asset Allocation'!I4)/'Broad Asset Allocation'!B4),0)</f>
        <v>0</v>
      </c>
      <c r="F4" s="6"/>
      <c r="G4" s="6">
        <f>IFERROR(IF(A4="","",SUM('Asset Allocation'!J4)/'Broad Asset Allocation'!B4),0)</f>
        <v>0</v>
      </c>
      <c r="H4" s="6">
        <f>IFERROR(IF(A4="","",SUM('Asset Allocation'!K4)/'Broad Asset Allocation'!B4),0)</f>
        <v>0</v>
      </c>
    </row>
    <row r="5" spans="1:8" x14ac:dyDescent="0.25">
      <c r="A5" t="str">
        <f>IF(Input!A6="","",Input!A6)</f>
        <v>Core Strategy 4</v>
      </c>
      <c r="B5" s="6">
        <f>IFERROR(IF(A5="","",SUM('Asset Allocation'!G5)/'Broad Asset Allocation'!B5),0)</f>
        <v>0</v>
      </c>
      <c r="C5" s="6">
        <f>IFERROR(IF(A5="","",SUM('Asset Allocation'!F5)/'Broad Asset Allocation'!B5),0)</f>
        <v>0</v>
      </c>
      <c r="D5" s="6">
        <f>IFERROR(IF(A5="","",SUM('Asset Allocation'!H5)/'Broad Asset Allocation'!B5),0)</f>
        <v>0</v>
      </c>
      <c r="E5" s="6">
        <f>IFERROR(IF(A5="","",SUM('Asset Allocation'!I5)/'Broad Asset Allocation'!B5),0)</f>
        <v>0</v>
      </c>
      <c r="F5" s="6"/>
      <c r="G5" s="6">
        <f>IFERROR(IF(A5="","",SUM('Asset Allocation'!J5)/'Broad Asset Allocation'!B5),0)</f>
        <v>0</v>
      </c>
      <c r="H5" s="6">
        <f>IFERROR(IF(A5="","",SUM('Asset Allocation'!K5)/'Broad Asset Allocation'!B5),0)</f>
        <v>0</v>
      </c>
    </row>
    <row r="6" spans="1:8" x14ac:dyDescent="0.25">
      <c r="A6" t="str">
        <f>IF(Input!A7="","",Input!A7)</f>
        <v>Core Strategy 5</v>
      </c>
      <c r="B6" s="6">
        <f>IFERROR(IF(A6="","",SUM('Asset Allocation'!G6)/'Broad Asset Allocation'!B6),0)</f>
        <v>0</v>
      </c>
      <c r="C6" s="6">
        <f>IFERROR(IF(A6="","",SUM('Asset Allocation'!F6)/'Broad Asset Allocation'!B6),0)</f>
        <v>0</v>
      </c>
      <c r="D6" s="6">
        <f>IFERROR(IF(A6="","",SUM('Asset Allocation'!H6)/'Broad Asset Allocation'!B6),0)</f>
        <v>0</v>
      </c>
      <c r="E6" s="6">
        <f>IFERROR(IF(A6="","",SUM('Asset Allocation'!I6)/'Broad Asset Allocation'!B6),0)</f>
        <v>0</v>
      </c>
      <c r="F6" s="6"/>
      <c r="G6" s="6">
        <f>IFERROR(IF(A6="","",SUM('Asset Allocation'!J6)/'Broad Asset Allocation'!B6),0)</f>
        <v>0</v>
      </c>
      <c r="H6" s="6">
        <f>IFERROR(IF(A6="","",SUM('Asset Allocation'!K6)/'Broad Asset Allocation'!B6),0)</f>
        <v>0</v>
      </c>
    </row>
    <row r="7" spans="1:8" x14ac:dyDescent="0.25">
      <c r="A7" t="str">
        <f>IF(Input!A8="","",Input!A8)</f>
        <v>Core Strategy 6</v>
      </c>
      <c r="B7" s="6">
        <f>IFERROR(IF(A7="","",SUM('Asset Allocation'!G7)/'Broad Asset Allocation'!B7),0)</f>
        <v>0</v>
      </c>
      <c r="C7" s="6">
        <f>IFERROR(IF(A7="","",SUM('Asset Allocation'!F7)/'Broad Asset Allocation'!B7),0)</f>
        <v>0</v>
      </c>
      <c r="D7" s="6">
        <f>IFERROR(IF(A7="","",SUM('Asset Allocation'!H7)/'Broad Asset Allocation'!B7),0)</f>
        <v>0</v>
      </c>
      <c r="E7" s="6">
        <f>IFERROR(IF(A7="","",SUM('Asset Allocation'!I7)/'Broad Asset Allocation'!B7),0)</f>
        <v>0</v>
      </c>
      <c r="F7" s="6"/>
      <c r="G7" s="6">
        <f>IFERROR(IF(A7="","",SUM('Asset Allocation'!J7)/'Broad Asset Allocation'!B7),0)</f>
        <v>0</v>
      </c>
      <c r="H7" s="6">
        <f>IFERROR(IF(A7="","",SUM('Asset Allocation'!K7)/'Broad Asset Allocation'!B7),0)</f>
        <v>0</v>
      </c>
    </row>
    <row r="8" spans="1:8" x14ac:dyDescent="0.25">
      <c r="A8" t="str">
        <f>IF(Input!A9="","",Input!A9)</f>
        <v/>
      </c>
      <c r="B8" s="6" t="str">
        <f>IFERROR(IF(A8="","",SUM('Asset Allocation'!G8)/'Broad Asset Allocation'!B8),0)</f>
        <v/>
      </c>
      <c r="C8" s="6" t="str">
        <f>IFERROR(IF(A8="","",SUM('Asset Allocation'!F8)/'Broad Asset Allocation'!B8),0)</f>
        <v/>
      </c>
      <c r="D8" s="6" t="str">
        <f>IFERROR(IF(A8="","",SUM('Asset Allocation'!H8)/'Broad Asset Allocation'!B8),0)</f>
        <v/>
      </c>
      <c r="E8" s="6" t="str">
        <f>IFERROR(IF(A8="","",SUM('Asset Allocation'!I8)/'Broad Asset Allocation'!B8),0)</f>
        <v/>
      </c>
      <c r="F8" s="6"/>
      <c r="G8" s="6" t="str">
        <f>IFERROR(IF(A8="","",SUM('Asset Allocation'!J8)/'Broad Asset Allocation'!B8),0)</f>
        <v/>
      </c>
      <c r="H8" s="6" t="str">
        <f>IFERROR(IF(A8="","",SUM('Asset Allocation'!K8)/'Broad Asset Allocation'!B8),0)</f>
        <v/>
      </c>
    </row>
    <row r="9" spans="1:8" x14ac:dyDescent="0.25">
      <c r="A9" t="str">
        <f>IF(Input!A10="","",Input!A10)</f>
        <v/>
      </c>
      <c r="B9" s="6" t="str">
        <f>IFERROR(IF(A9="","",SUM('Asset Allocation'!G9)/'Broad Asset Allocation'!B9),0)</f>
        <v/>
      </c>
      <c r="C9" s="6" t="str">
        <f>IFERROR(IF(A9="","",SUM('Asset Allocation'!F9)/'Broad Asset Allocation'!B9),0)</f>
        <v/>
      </c>
      <c r="D9" s="6" t="str">
        <f>IFERROR(IF(A9="","",SUM('Asset Allocation'!H9)/'Broad Asset Allocation'!B9),0)</f>
        <v/>
      </c>
      <c r="E9" s="6" t="str">
        <f>IFERROR(IF(A9="","",SUM('Asset Allocation'!I9)/'Broad Asset Allocation'!B9),0)</f>
        <v/>
      </c>
      <c r="F9" s="6"/>
      <c r="G9" s="6" t="str">
        <f>IFERROR(IF(A9="","",SUM('Asset Allocation'!J9)/'Broad Asset Allocation'!B9),0)</f>
        <v/>
      </c>
      <c r="H9" s="6" t="str">
        <f>IFERROR(IF(A9="","",SUM('Asset Allocation'!K9)/'Broad Asset Allocation'!B9),0)</f>
        <v/>
      </c>
    </row>
    <row r="10" spans="1:8" x14ac:dyDescent="0.25">
      <c r="A10" t="str">
        <f>IF(Input!A11="","",Input!A11)</f>
        <v/>
      </c>
      <c r="B10" s="6" t="str">
        <f>IFERROR(IF(A10="","",SUM('Asset Allocation'!G10)/'Broad Asset Allocation'!B10),0)</f>
        <v/>
      </c>
      <c r="C10" s="6" t="str">
        <f>IFERROR(IF(A10="","",SUM('Asset Allocation'!F10)/'Broad Asset Allocation'!B10),0)</f>
        <v/>
      </c>
      <c r="D10" s="6" t="str">
        <f>IFERROR(IF(A10="","",SUM('Asset Allocation'!H10)/'Broad Asset Allocation'!B10),0)</f>
        <v/>
      </c>
      <c r="E10" s="6" t="str">
        <f>IFERROR(IF(A10="","",SUM('Asset Allocation'!I10)/'Broad Asset Allocation'!B10),0)</f>
        <v/>
      </c>
      <c r="F10" s="6"/>
      <c r="G10" s="6" t="str">
        <f>IFERROR(IF(A10="","",SUM('Asset Allocation'!J10)/'Broad Asset Allocation'!B10),0)</f>
        <v/>
      </c>
      <c r="H10" s="6" t="str">
        <f>IFERROR(IF(A10="","",SUM('Asset Allocation'!K10)/'Broad Asset Allocation'!B10),0)</f>
        <v/>
      </c>
    </row>
    <row r="11" spans="1:8" x14ac:dyDescent="0.25">
      <c r="A11" t="str">
        <f>IF(Input!A12="","",Input!A12)</f>
        <v/>
      </c>
      <c r="B11" s="6" t="str">
        <f>IFERROR(IF(A11="","",SUM('Asset Allocation'!G11)/'Broad Asset Allocation'!B11),0)</f>
        <v/>
      </c>
      <c r="C11" s="6" t="str">
        <f>IFERROR(IF(A11="","",SUM('Asset Allocation'!F11)/'Broad Asset Allocation'!B11),0)</f>
        <v/>
      </c>
      <c r="D11" s="6" t="str">
        <f>IFERROR(IF(A11="","",SUM('Asset Allocation'!H11)/'Broad Asset Allocation'!B11),0)</f>
        <v/>
      </c>
      <c r="E11" s="6" t="str">
        <f>IFERROR(IF(A11="","",SUM('Asset Allocation'!I11)/'Broad Asset Allocation'!B11),0)</f>
        <v/>
      </c>
      <c r="F11" s="6"/>
      <c r="G11" s="6" t="str">
        <f>IFERROR(IF(A11="","",SUM('Asset Allocation'!J11)/'Broad Asset Allocation'!B11),0)</f>
        <v/>
      </c>
      <c r="H11" s="6" t="str">
        <f>IFERROR(IF(A11="","",SUM('Asset Allocation'!K11)/'Broad Asset Allocation'!B11),0)</f>
        <v/>
      </c>
    </row>
    <row r="12" spans="1:8" x14ac:dyDescent="0.25">
      <c r="A12" t="str">
        <f>IF(Input!A13="","",Input!A13)</f>
        <v/>
      </c>
      <c r="B12" s="6" t="str">
        <f>IFERROR(IF(A12="","",SUM('Asset Allocation'!G12)/'Broad Asset Allocation'!B12),0)</f>
        <v/>
      </c>
      <c r="C12" s="6" t="str">
        <f>IFERROR(IF(A12="","",SUM('Asset Allocation'!F12)/'Broad Asset Allocation'!B12),0)</f>
        <v/>
      </c>
      <c r="D12" s="6" t="str">
        <f>IFERROR(IF(A12="","",SUM('Asset Allocation'!H12)/'Broad Asset Allocation'!B12),0)</f>
        <v/>
      </c>
      <c r="E12" s="6" t="str">
        <f>IFERROR(IF(A12="","",SUM('Asset Allocation'!I12)/'Broad Asset Allocation'!B12),0)</f>
        <v/>
      </c>
      <c r="F12" s="6"/>
      <c r="G12" s="6" t="str">
        <f>IFERROR(IF(A12="","",SUM('Asset Allocation'!J12)/'Broad Asset Allocation'!B12),0)</f>
        <v/>
      </c>
      <c r="H12" s="6" t="str">
        <f>IFERROR(IF(A12="","",SUM('Asset Allocation'!K12)/'Broad Asset Allocation'!B12),0)</f>
        <v/>
      </c>
    </row>
    <row r="13" spans="1:8" x14ac:dyDescent="0.25">
      <c r="A13" t="str">
        <f>IF(Input!A14="","",Input!A14)</f>
        <v/>
      </c>
      <c r="B13" s="6" t="str">
        <f>IFERROR(IF(A13="","",SUM('Asset Allocation'!G13)/'Broad Asset Allocation'!B13),0)</f>
        <v/>
      </c>
      <c r="C13" s="6" t="str">
        <f>IFERROR(IF(A13="","",SUM('Asset Allocation'!F13)/'Broad Asset Allocation'!B13),0)</f>
        <v/>
      </c>
      <c r="D13" s="6" t="str">
        <f>IFERROR(IF(A13="","",SUM('Asset Allocation'!H13)/'Broad Asset Allocation'!B13),0)</f>
        <v/>
      </c>
      <c r="E13" s="6" t="str">
        <f>IFERROR(IF(A13="","",SUM('Asset Allocation'!I13)/'Broad Asset Allocation'!B13),0)</f>
        <v/>
      </c>
      <c r="F13" s="6"/>
      <c r="G13" s="6" t="str">
        <f>IFERROR(IF(A13="","",SUM('Asset Allocation'!J13)/'Broad Asset Allocation'!B13),0)</f>
        <v/>
      </c>
      <c r="H13" s="6" t="str">
        <f>IFERROR(IF(A13="","",SUM('Asset Allocation'!K13)/'Broad Asset Allocation'!B13),0)</f>
        <v/>
      </c>
    </row>
    <row r="14" spans="1:8" x14ac:dyDescent="0.25">
      <c r="A14" t="str">
        <f>IF(Input!A15="","",Input!A15)</f>
        <v/>
      </c>
      <c r="B14" s="6" t="str">
        <f>IFERROR(IF(A14="","",SUM('Asset Allocation'!G14)/'Broad Asset Allocation'!B14),0)</f>
        <v/>
      </c>
      <c r="C14" s="6" t="str">
        <f>IFERROR(IF(A14="","",SUM('Asset Allocation'!F14)/'Broad Asset Allocation'!B14),0)</f>
        <v/>
      </c>
      <c r="D14" s="6" t="str">
        <f>IFERROR(IF(A14="","",SUM('Asset Allocation'!H14)/'Broad Asset Allocation'!B14),0)</f>
        <v/>
      </c>
      <c r="E14" s="6" t="str">
        <f>IFERROR(IF(A14="","",SUM('Asset Allocation'!I14)/'Broad Asset Allocation'!B14),0)</f>
        <v/>
      </c>
      <c r="F14" s="6"/>
      <c r="G14" s="6" t="str">
        <f>IFERROR(IF(A14="","",SUM('Asset Allocation'!J14)/'Broad Asset Allocation'!B14),0)</f>
        <v/>
      </c>
      <c r="H14" s="6" t="str">
        <f>IFERROR(IF(A14="","",SUM('Asset Allocation'!K14)/'Broad Asset Allocation'!B14),0)</f>
        <v/>
      </c>
    </row>
    <row r="15" spans="1:8" x14ac:dyDescent="0.25">
      <c r="A15" t="str">
        <f>IF(Input!A16="","",Input!A16)</f>
        <v/>
      </c>
      <c r="B15" s="6" t="str">
        <f>IFERROR(IF(A15="","",SUM('Asset Allocation'!G15)/'Broad Asset Allocation'!B15),0)</f>
        <v/>
      </c>
      <c r="C15" s="6" t="str">
        <f>IFERROR(IF(A15="","",SUM('Asset Allocation'!F15)/'Broad Asset Allocation'!B15),0)</f>
        <v/>
      </c>
      <c r="D15" s="6" t="str">
        <f>IFERROR(IF(A15="","",SUM('Asset Allocation'!H15)/'Broad Asset Allocation'!B15),0)</f>
        <v/>
      </c>
      <c r="E15" s="6" t="str">
        <f>IFERROR(IF(A15="","",SUM('Asset Allocation'!I15)/'Broad Asset Allocation'!B15),0)</f>
        <v/>
      </c>
      <c r="F15" s="6"/>
      <c r="G15" s="6" t="str">
        <f>IFERROR(IF(A15="","",SUM('Asset Allocation'!J15)/'Broad Asset Allocation'!B15),0)</f>
        <v/>
      </c>
      <c r="H15" s="6" t="str">
        <f>IFERROR(IF(A15="","",SUM('Asset Allocation'!K15)/'Broad Asset Allocation'!B15),0)</f>
        <v/>
      </c>
    </row>
    <row r="16" spans="1:8" x14ac:dyDescent="0.25">
      <c r="A16" t="str">
        <f>IF(Input!A17="","",Input!A17)</f>
        <v/>
      </c>
      <c r="B16" s="6" t="str">
        <f>IFERROR(IF(A16="","",SUM('Asset Allocation'!G16)/'Broad Asset Allocation'!B16),0)</f>
        <v/>
      </c>
      <c r="C16" s="6" t="str">
        <f>IFERROR(IF(A16="","",SUM('Asset Allocation'!F16)/'Broad Asset Allocation'!B16),0)</f>
        <v/>
      </c>
      <c r="D16" s="6" t="str">
        <f>IFERROR(IF(A16="","",SUM('Asset Allocation'!H16)/'Broad Asset Allocation'!B16),0)</f>
        <v/>
      </c>
      <c r="E16" s="6" t="str">
        <f>IFERROR(IF(A16="","",SUM('Asset Allocation'!I16)/'Broad Asset Allocation'!B16),0)</f>
        <v/>
      </c>
      <c r="F16" s="6"/>
      <c r="G16" s="6" t="str">
        <f>IFERROR(IF(A16="","",SUM('Asset Allocation'!J16)/'Broad Asset Allocation'!B16),0)</f>
        <v/>
      </c>
      <c r="H16" s="6" t="str">
        <f>IFERROR(IF(A16="","",SUM('Asset Allocation'!K16)/'Broad Asset Allocation'!B16),0)</f>
        <v/>
      </c>
    </row>
    <row r="17" spans="1:8" x14ac:dyDescent="0.25">
      <c r="A17" t="str">
        <f>IF(Input!A18="","",Input!A18)</f>
        <v/>
      </c>
      <c r="B17" s="6" t="str">
        <f>IFERROR(IF(A17="","",SUM('Asset Allocation'!G17)/'Broad Asset Allocation'!B17),0)</f>
        <v/>
      </c>
      <c r="C17" s="6" t="str">
        <f>IFERROR(IF(A17="","",SUM('Asset Allocation'!F17)/'Broad Asset Allocation'!B17),0)</f>
        <v/>
      </c>
      <c r="D17" s="6" t="str">
        <f>IFERROR(IF(A17="","",SUM('Asset Allocation'!H17)/'Broad Asset Allocation'!B17),0)</f>
        <v/>
      </c>
      <c r="E17" s="6" t="str">
        <f>IFERROR(IF(A17="","",SUM('Asset Allocation'!I17)/'Broad Asset Allocation'!B17),0)</f>
        <v/>
      </c>
      <c r="F17" s="6"/>
      <c r="G17" s="6" t="str">
        <f>IFERROR(IF(A17="","",SUM('Asset Allocation'!J17)/'Broad Asset Allocation'!B17),0)</f>
        <v/>
      </c>
      <c r="H17" s="6" t="str">
        <f>IFERROR(IF(A17="","",SUM('Asset Allocation'!K17)/'Broad Asset Allocation'!B17),0)</f>
        <v/>
      </c>
    </row>
    <row r="18" spans="1:8" x14ac:dyDescent="0.25">
      <c r="A18" t="str">
        <f>IF(Input!A19="","",Input!A19)</f>
        <v/>
      </c>
      <c r="B18" s="6" t="str">
        <f>IFERROR(IF(A18="","",SUM('Asset Allocation'!G18)/'Broad Asset Allocation'!B18),0)</f>
        <v/>
      </c>
      <c r="C18" s="6" t="str">
        <f>IFERROR(IF(A18="","",SUM('Asset Allocation'!F18)/'Broad Asset Allocation'!B18),0)</f>
        <v/>
      </c>
      <c r="D18" s="6" t="str">
        <f>IFERROR(IF(A18="","",SUM('Asset Allocation'!H18)/'Broad Asset Allocation'!B18),0)</f>
        <v/>
      </c>
      <c r="E18" s="6" t="str">
        <f>IFERROR(IF(A18="","",SUM('Asset Allocation'!I18)/'Broad Asset Allocation'!B18),0)</f>
        <v/>
      </c>
      <c r="F18" s="6"/>
      <c r="G18" s="6" t="str">
        <f>IFERROR(IF(A18="","",SUM('Asset Allocation'!J18)/'Broad Asset Allocation'!B18),0)</f>
        <v/>
      </c>
      <c r="H18" s="6" t="str">
        <f>IFERROR(IF(A18="","",SUM('Asset Allocation'!K18)/'Broad Asset Allocation'!B18),0)</f>
        <v/>
      </c>
    </row>
    <row r="19" spans="1:8" x14ac:dyDescent="0.25">
      <c r="A19" t="str">
        <f>IF(Input!A20="","",Input!A20)</f>
        <v/>
      </c>
      <c r="B19" s="6" t="str">
        <f>IFERROR(IF(A19="","",SUM('Asset Allocation'!G19)/'Broad Asset Allocation'!B19),0)</f>
        <v/>
      </c>
      <c r="C19" s="6" t="str">
        <f>IFERROR(IF(A19="","",SUM('Asset Allocation'!F19)/'Broad Asset Allocation'!B19),0)</f>
        <v/>
      </c>
      <c r="D19" s="6" t="str">
        <f>IFERROR(IF(A19="","",SUM('Asset Allocation'!H19)/'Broad Asset Allocation'!B19),0)</f>
        <v/>
      </c>
      <c r="E19" s="6" t="str">
        <f>IFERROR(IF(A19="","",SUM('Asset Allocation'!I19)/'Broad Asset Allocation'!B19),0)</f>
        <v/>
      </c>
      <c r="F19" s="6"/>
      <c r="G19" s="6" t="str">
        <f>IFERROR(IF(A19="","",SUM('Asset Allocation'!J19)/'Broad Asset Allocation'!B19),0)</f>
        <v/>
      </c>
      <c r="H19" s="6" t="str">
        <f>IFERROR(IF(A19="","",SUM('Asset Allocation'!K19)/'Broad Asset Allocation'!B19),0)</f>
        <v/>
      </c>
    </row>
    <row r="20" spans="1:8" x14ac:dyDescent="0.25">
      <c r="A20" t="str">
        <f>IF(Input!A21="","",Input!A21)</f>
        <v/>
      </c>
      <c r="B20" s="6" t="str">
        <f>IFERROR(IF(A20="","",SUM('Asset Allocation'!G20)/'Broad Asset Allocation'!B20),0)</f>
        <v/>
      </c>
      <c r="C20" s="6" t="str">
        <f>IFERROR(IF(A20="","",SUM('Asset Allocation'!F20)/'Broad Asset Allocation'!B20),0)</f>
        <v/>
      </c>
      <c r="D20" s="6" t="str">
        <f>IFERROR(IF(A20="","",SUM('Asset Allocation'!H20)/'Broad Asset Allocation'!B20),0)</f>
        <v/>
      </c>
      <c r="E20" s="6" t="str">
        <f>IFERROR(IF(A20="","",SUM('Asset Allocation'!I20)/'Broad Asset Allocation'!B20),0)</f>
        <v/>
      </c>
      <c r="F20" s="6"/>
      <c r="G20" s="6" t="str">
        <f>IFERROR(IF(A20="","",SUM('Asset Allocation'!J20)/'Broad Asset Allocation'!B20),0)</f>
        <v/>
      </c>
      <c r="H20" s="6" t="str">
        <f>IFERROR(IF(A20="","",SUM('Asset Allocation'!K20)/'Broad Asset Allocation'!B20),0)</f>
        <v/>
      </c>
    </row>
    <row r="21" spans="1:8" x14ac:dyDescent="0.25">
      <c r="A21" t="str">
        <f>IF(Input!A22="","",Input!A22)</f>
        <v/>
      </c>
      <c r="B21" s="6" t="str">
        <f>IFERROR(IF(A21="","",SUM('Asset Allocation'!G21)/'Broad Asset Allocation'!B21),0)</f>
        <v/>
      </c>
      <c r="C21" s="6" t="str">
        <f>IFERROR(IF(A21="","",SUM('Asset Allocation'!F21)/'Broad Asset Allocation'!B21),0)</f>
        <v/>
      </c>
      <c r="D21" s="6" t="str">
        <f>IFERROR(IF(A21="","",SUM('Asset Allocation'!H21)/'Broad Asset Allocation'!B21),0)</f>
        <v/>
      </c>
      <c r="E21" s="6" t="str">
        <f>IFERROR(IF(A21="","",SUM('Asset Allocation'!I21)/'Broad Asset Allocation'!B21),0)</f>
        <v/>
      </c>
      <c r="F21" s="6"/>
      <c r="G21" s="6" t="str">
        <f>IFERROR(IF(A21="","",SUM('Asset Allocation'!J21)/'Broad Asset Allocation'!B21),0)</f>
        <v/>
      </c>
      <c r="H21" s="6" t="str">
        <f>IFERROR(IF(A21="","",SUM('Asset Allocation'!K21)/'Broad Asset Allocation'!B21),0)</f>
        <v/>
      </c>
    </row>
    <row r="22" spans="1:8" x14ac:dyDescent="0.25">
      <c r="A22" t="str">
        <f>IF(Input!A23="","",Input!A23)</f>
        <v/>
      </c>
      <c r="B22" s="6" t="str">
        <f>IFERROR(IF(A22="","",SUM('Asset Allocation'!G22)/'Broad Asset Allocation'!B22),0)</f>
        <v/>
      </c>
      <c r="C22" s="6" t="str">
        <f>IFERROR(IF(A22="","",SUM('Asset Allocation'!F22)/'Broad Asset Allocation'!B22),0)</f>
        <v/>
      </c>
      <c r="D22" s="6" t="str">
        <f>IFERROR(IF(A22="","",SUM('Asset Allocation'!H22)/'Broad Asset Allocation'!B22),0)</f>
        <v/>
      </c>
      <c r="E22" s="6" t="str">
        <f>IFERROR(IF(A22="","",SUM('Asset Allocation'!I22)/'Broad Asset Allocation'!B22),0)</f>
        <v/>
      </c>
      <c r="F22" s="6"/>
      <c r="G22" s="6" t="str">
        <f>IFERROR(IF(A22="","",SUM('Asset Allocation'!J22)/'Broad Asset Allocation'!B22),0)</f>
        <v/>
      </c>
      <c r="H22" s="6" t="str">
        <f>IFERROR(IF(A22="","",SUM('Asset Allocation'!K22)/'Broad Asset Allocation'!B22),0)</f>
        <v/>
      </c>
    </row>
    <row r="23" spans="1:8" x14ac:dyDescent="0.25">
      <c r="A23" t="str">
        <f>IF(Input!A24="","",Input!A24)</f>
        <v/>
      </c>
      <c r="B23" s="6" t="str">
        <f>IFERROR(IF(A23="","",SUM('Asset Allocation'!G23)/'Broad Asset Allocation'!B23),0)</f>
        <v/>
      </c>
      <c r="C23" s="6" t="str">
        <f>IFERROR(IF(A23="","",SUM('Asset Allocation'!F23)/'Broad Asset Allocation'!B23),0)</f>
        <v/>
      </c>
      <c r="D23" s="6" t="str">
        <f>IFERROR(IF(A23="","",SUM('Asset Allocation'!H23)/'Broad Asset Allocation'!B23),0)</f>
        <v/>
      </c>
      <c r="E23" s="6" t="str">
        <f>IFERROR(IF(A23="","",SUM('Asset Allocation'!I23)/'Broad Asset Allocation'!B23),0)</f>
        <v/>
      </c>
      <c r="F23" s="6"/>
      <c r="G23" s="6" t="str">
        <f>IFERROR(IF(A23="","",SUM('Asset Allocation'!J23)/'Broad Asset Allocation'!B23),0)</f>
        <v/>
      </c>
      <c r="H23" s="6" t="str">
        <f>IFERROR(IF(A23="","",SUM('Asset Allocation'!K23)/'Broad Asset Allocation'!B23),0)</f>
        <v/>
      </c>
    </row>
    <row r="24" spans="1:8" x14ac:dyDescent="0.25">
      <c r="A24" t="str">
        <f>IF(Input!A25="","",Input!A25)</f>
        <v/>
      </c>
      <c r="B24" s="6" t="str">
        <f>IFERROR(IF(A24="","",SUM('Asset Allocation'!G24)/'Broad Asset Allocation'!B24),0)</f>
        <v/>
      </c>
      <c r="C24" s="6" t="str">
        <f>IFERROR(IF(A24="","",SUM('Asset Allocation'!F24)/'Broad Asset Allocation'!B24),0)</f>
        <v/>
      </c>
      <c r="D24" s="6" t="str">
        <f>IFERROR(IF(A24="","",SUM('Asset Allocation'!H24)/'Broad Asset Allocation'!B24),0)</f>
        <v/>
      </c>
      <c r="E24" s="6" t="str">
        <f>IFERROR(IF(A24="","",SUM('Asset Allocation'!I24)/'Broad Asset Allocation'!B24),0)</f>
        <v/>
      </c>
      <c r="F24" s="6"/>
      <c r="G24" s="6" t="str">
        <f>IFERROR(IF(A24="","",SUM('Asset Allocation'!J24)/'Broad Asset Allocation'!B24),0)</f>
        <v/>
      </c>
      <c r="H24" s="6" t="str">
        <f>IFERROR(IF(A24="","",SUM('Asset Allocation'!K24)/'Broad Asset Allocation'!B24),0)</f>
        <v/>
      </c>
    </row>
    <row r="25" spans="1:8" x14ac:dyDescent="0.25">
      <c r="A25" t="str">
        <f>IF(Input!A26="","",Input!A26)</f>
        <v/>
      </c>
      <c r="B25" s="6" t="str">
        <f>IFERROR(IF(A25="","",SUM('Asset Allocation'!G25)/'Broad Asset Allocation'!B25),0)</f>
        <v/>
      </c>
      <c r="C25" s="6" t="str">
        <f>IFERROR(IF(A25="","",SUM('Asset Allocation'!F25)/'Broad Asset Allocation'!B25),0)</f>
        <v/>
      </c>
      <c r="D25" s="6" t="str">
        <f>IFERROR(IF(A25="","",SUM('Asset Allocation'!H25)/'Broad Asset Allocation'!B25),0)</f>
        <v/>
      </c>
      <c r="E25" s="6" t="str">
        <f>IFERROR(IF(A25="","",SUM('Asset Allocation'!I25)/'Broad Asset Allocation'!B25),0)</f>
        <v/>
      </c>
      <c r="F25" s="6"/>
      <c r="G25" s="6" t="str">
        <f>IFERROR(IF(A25="","",SUM('Asset Allocation'!J25)/'Broad Asset Allocation'!B25),0)</f>
        <v/>
      </c>
      <c r="H25" s="6" t="str">
        <f>IFERROR(IF(A25="","",SUM('Asset Allocation'!K25)/'Broad Asset Allocation'!B25),0)</f>
        <v/>
      </c>
    </row>
    <row r="26" spans="1:8" x14ac:dyDescent="0.25">
      <c r="A26" t="str">
        <f>IF(Input!A27="","",Input!A27)</f>
        <v/>
      </c>
      <c r="B26" s="6" t="str">
        <f>IFERROR(IF(A26="","",SUM('Asset Allocation'!G26)/'Broad Asset Allocation'!B26),0)</f>
        <v/>
      </c>
      <c r="C26" s="6" t="str">
        <f>IFERROR(IF(A26="","",SUM('Asset Allocation'!F26)/'Broad Asset Allocation'!B26),0)</f>
        <v/>
      </c>
      <c r="D26" s="6" t="str">
        <f>IFERROR(IF(A26="","",SUM('Asset Allocation'!H26)/'Broad Asset Allocation'!B26),0)</f>
        <v/>
      </c>
      <c r="E26" s="6" t="str">
        <f>IFERROR(IF(A26="","",SUM('Asset Allocation'!I26)/'Broad Asset Allocation'!B26),0)</f>
        <v/>
      </c>
      <c r="F26" s="6"/>
      <c r="G26" s="6" t="str">
        <f>IFERROR(IF(A26="","",SUM('Asset Allocation'!J26)/'Broad Asset Allocation'!B26),0)</f>
        <v/>
      </c>
      <c r="H26" s="6" t="str">
        <f>IFERROR(IF(A26="","",SUM('Asset Allocation'!K26)/'Broad Asset Allocation'!B26),0)</f>
        <v/>
      </c>
    </row>
    <row r="27" spans="1:8" x14ac:dyDescent="0.25">
      <c r="A27" t="str">
        <f>IF(Input!A28="","",Input!A28)</f>
        <v/>
      </c>
      <c r="B27" s="6" t="str">
        <f>IFERROR(IF(A27="","",SUM('Asset Allocation'!G27)/'Broad Asset Allocation'!B27),0)</f>
        <v/>
      </c>
      <c r="C27" s="6" t="str">
        <f>IFERROR(IF(A27="","",SUM('Asset Allocation'!F27)/'Broad Asset Allocation'!B27),0)</f>
        <v/>
      </c>
      <c r="D27" s="6" t="str">
        <f>IFERROR(IF(A27="","",SUM('Asset Allocation'!H27)/'Broad Asset Allocation'!B27),0)</f>
        <v/>
      </c>
      <c r="E27" s="6" t="str">
        <f>IFERROR(IF(A27="","",SUM('Asset Allocation'!I27)/'Broad Asset Allocation'!B27),0)</f>
        <v/>
      </c>
      <c r="F27" s="6"/>
      <c r="G27" s="6" t="str">
        <f>IFERROR(IF(A27="","",SUM('Asset Allocation'!J27)/'Broad Asset Allocation'!B27),0)</f>
        <v/>
      </c>
      <c r="H27" s="6" t="str">
        <f>IFERROR(IF(A27="","",SUM('Asset Allocation'!K27)/'Broad Asset Allocation'!B27),0)</f>
        <v/>
      </c>
    </row>
    <row r="28" spans="1:8" x14ac:dyDescent="0.25">
      <c r="A28" t="str">
        <f>IF(Input!A29="","",Input!A29)</f>
        <v/>
      </c>
      <c r="B28" s="6" t="str">
        <f>IFERROR(IF(A28="","",SUM('Asset Allocation'!G28)/'Broad Asset Allocation'!B28),0)</f>
        <v/>
      </c>
      <c r="C28" s="6" t="str">
        <f>IFERROR(IF(A28="","",SUM('Asset Allocation'!F28)/'Broad Asset Allocation'!B28),0)</f>
        <v/>
      </c>
      <c r="D28" s="6" t="str">
        <f>IFERROR(IF(A28="","",SUM('Asset Allocation'!H28)/'Broad Asset Allocation'!B28),0)</f>
        <v/>
      </c>
      <c r="E28" s="6" t="str">
        <f>IFERROR(IF(A28="","",SUM('Asset Allocation'!I28)/'Broad Asset Allocation'!B28),0)</f>
        <v/>
      </c>
      <c r="F28" s="6"/>
      <c r="G28" s="6" t="str">
        <f>IFERROR(IF(A28="","",SUM('Asset Allocation'!J28)/'Broad Asset Allocation'!B28),0)</f>
        <v/>
      </c>
      <c r="H28" s="6" t="str">
        <f>IFERROR(IF(A28="","",SUM('Asset Allocation'!K28)/'Broad Asset Allocation'!B28),0)</f>
        <v/>
      </c>
    </row>
    <row r="29" spans="1:8" x14ac:dyDescent="0.25">
      <c r="A29" t="str">
        <f>IF(Input!A30="","",Input!A30)</f>
        <v/>
      </c>
      <c r="B29" s="6" t="str">
        <f>IFERROR(IF(A29="","",SUM('Asset Allocation'!G29)/'Broad Asset Allocation'!B29),0)</f>
        <v/>
      </c>
      <c r="C29" s="6" t="str">
        <f>IFERROR(IF(A29="","",SUM('Asset Allocation'!F29)/'Broad Asset Allocation'!B29),0)</f>
        <v/>
      </c>
      <c r="D29" s="6" t="str">
        <f>IFERROR(IF(A29="","",SUM('Asset Allocation'!H29)/'Broad Asset Allocation'!B29),0)</f>
        <v/>
      </c>
      <c r="E29" s="6" t="str">
        <f>IFERROR(IF(A29="","",SUM('Asset Allocation'!I29)/'Broad Asset Allocation'!B29),0)</f>
        <v/>
      </c>
      <c r="F29" s="6"/>
      <c r="G29" s="6" t="str">
        <f>IFERROR(IF(A29="","",SUM('Asset Allocation'!J29)/'Broad Asset Allocation'!B29),0)</f>
        <v/>
      </c>
      <c r="H29" s="6" t="str">
        <f>IFERROR(IF(A29="","",SUM('Asset Allocation'!K29)/'Broad Asset Allocation'!B29),0)</f>
        <v/>
      </c>
    </row>
    <row r="30" spans="1:8" x14ac:dyDescent="0.25">
      <c r="A30" t="str">
        <f>IF(Input!A31="","",Input!A31)</f>
        <v/>
      </c>
      <c r="B30" s="6" t="str">
        <f>IFERROR(IF(A30="","",SUM('Asset Allocation'!G30)/'Broad Asset Allocation'!B30),0)</f>
        <v/>
      </c>
      <c r="C30" s="6" t="str">
        <f>IFERROR(IF(A30="","",SUM('Asset Allocation'!F30)/'Broad Asset Allocation'!B30),0)</f>
        <v/>
      </c>
      <c r="D30" s="6" t="str">
        <f>IFERROR(IF(A30="","",SUM('Asset Allocation'!H30)/'Broad Asset Allocation'!B30),0)</f>
        <v/>
      </c>
      <c r="E30" s="6" t="str">
        <f>IFERROR(IF(A30="","",SUM('Asset Allocation'!I30)/'Broad Asset Allocation'!B30),0)</f>
        <v/>
      </c>
      <c r="F30" s="6"/>
      <c r="G30" s="6" t="str">
        <f>IFERROR(IF(A30="","",SUM('Asset Allocation'!J30)/'Broad Asset Allocation'!B30),0)</f>
        <v/>
      </c>
      <c r="H30" s="6" t="str">
        <f>IFERROR(IF(A30="","",SUM('Asset Allocation'!K30)/'Broad Asset Allocation'!B30),0)</f>
        <v/>
      </c>
    </row>
    <row r="31" spans="1:8" x14ac:dyDescent="0.25">
      <c r="A31" t="str">
        <f>IF(Input!A32="","",Input!A32)</f>
        <v/>
      </c>
      <c r="B31" s="6" t="str">
        <f>IFERROR(IF(A31="","",SUM('Asset Allocation'!G31)/'Broad Asset Allocation'!B31),0)</f>
        <v/>
      </c>
      <c r="C31" s="6" t="str">
        <f>IFERROR(IF(A31="","",SUM('Asset Allocation'!F31)/'Broad Asset Allocation'!B31),0)</f>
        <v/>
      </c>
      <c r="D31" s="6" t="str">
        <f>IFERROR(IF(A31="","",SUM('Asset Allocation'!H31)/'Broad Asset Allocation'!B31),0)</f>
        <v/>
      </c>
      <c r="E31" s="6" t="str">
        <f>IFERROR(IF(A31="","",SUM('Asset Allocation'!I31)/'Broad Asset Allocation'!B31),0)</f>
        <v/>
      </c>
      <c r="F31" s="6"/>
      <c r="G31" s="6" t="str">
        <f>IFERROR(IF(A31="","",SUM('Asset Allocation'!J31)/'Broad Asset Allocation'!B31),0)</f>
        <v/>
      </c>
      <c r="H31" s="6" t="str">
        <f>IFERROR(IF(A31="","",SUM('Asset Allocation'!K31)/'Broad Asset Allocation'!B31),0)</f>
        <v/>
      </c>
    </row>
    <row r="32" spans="1:8" x14ac:dyDescent="0.25">
      <c r="A32" t="str">
        <f>IF(Input!A33="","",Input!A33)</f>
        <v/>
      </c>
      <c r="B32" s="6" t="str">
        <f>IFERROR(IF(A32="","",SUM('Asset Allocation'!G32)/'Broad Asset Allocation'!B32),0)</f>
        <v/>
      </c>
      <c r="C32" s="6" t="str">
        <f>IFERROR(IF(A32="","",SUM('Asset Allocation'!F32)/'Broad Asset Allocation'!B32),0)</f>
        <v/>
      </c>
      <c r="D32" s="6" t="str">
        <f>IFERROR(IF(A32="","",SUM('Asset Allocation'!H32)/'Broad Asset Allocation'!B32),0)</f>
        <v/>
      </c>
      <c r="E32" s="6" t="str">
        <f>IFERROR(IF(A32="","",SUM('Asset Allocation'!I32)/'Broad Asset Allocation'!B32),0)</f>
        <v/>
      </c>
      <c r="F32" s="6"/>
      <c r="G32" s="6" t="str">
        <f>IFERROR(IF(A32="","",SUM('Asset Allocation'!J32)/'Broad Asset Allocation'!B32),0)</f>
        <v/>
      </c>
      <c r="H32" s="6" t="str">
        <f>IFERROR(IF(A32="","",SUM('Asset Allocation'!K32)/'Broad Asset Allocation'!B32),0)</f>
        <v/>
      </c>
    </row>
    <row r="33" spans="1:8" x14ac:dyDescent="0.25">
      <c r="A33" t="str">
        <f>IF(Input!A34="","",Input!A34)</f>
        <v/>
      </c>
      <c r="B33" s="6" t="str">
        <f>IFERROR(IF(A33="","",SUM('Asset Allocation'!G33)/'Broad Asset Allocation'!B33),0)</f>
        <v/>
      </c>
      <c r="C33" s="6" t="str">
        <f>IFERROR(IF(A33="","",SUM('Asset Allocation'!F33)/'Broad Asset Allocation'!B33),0)</f>
        <v/>
      </c>
      <c r="D33" s="6" t="str">
        <f>IFERROR(IF(A33="","",SUM('Asset Allocation'!H33)/'Broad Asset Allocation'!B33),0)</f>
        <v/>
      </c>
      <c r="E33" s="6" t="str">
        <f>IFERROR(IF(A33="","",SUM('Asset Allocation'!I33)/'Broad Asset Allocation'!B33),0)</f>
        <v/>
      </c>
      <c r="F33" s="6"/>
      <c r="G33" s="6" t="str">
        <f>IFERROR(IF(A33="","",SUM('Asset Allocation'!J33)/'Broad Asset Allocation'!B33),0)</f>
        <v/>
      </c>
      <c r="H33" s="6" t="str">
        <f>IFERROR(IF(A33="","",SUM('Asset Allocation'!K33)/'Broad Asset Allocation'!B33),0)</f>
        <v/>
      </c>
    </row>
    <row r="34" spans="1:8" x14ac:dyDescent="0.25">
      <c r="A34" t="str">
        <f>IF(Input!A35="","",Input!A35)</f>
        <v/>
      </c>
      <c r="B34" s="6" t="str">
        <f>IFERROR(IF(A34="","",SUM('Asset Allocation'!G34)/'Broad Asset Allocation'!B34),0)</f>
        <v/>
      </c>
      <c r="C34" s="6" t="str">
        <f>IFERROR(IF(A34="","",SUM('Asset Allocation'!F34)/'Broad Asset Allocation'!B34),0)</f>
        <v/>
      </c>
      <c r="D34" s="6" t="str">
        <f>IFERROR(IF(A34="","",SUM('Asset Allocation'!H34)/'Broad Asset Allocation'!B34),0)</f>
        <v/>
      </c>
      <c r="E34" s="6" t="str">
        <f>IFERROR(IF(A34="","",SUM('Asset Allocation'!I34)/'Broad Asset Allocation'!B34),0)</f>
        <v/>
      </c>
      <c r="F34" s="6"/>
      <c r="G34" s="6" t="str">
        <f>IFERROR(IF(A34="","",SUM('Asset Allocation'!J34)/'Broad Asset Allocation'!B34),0)</f>
        <v/>
      </c>
      <c r="H34" s="6" t="str">
        <f>IFERROR(IF(A34="","",SUM('Asset Allocation'!K34)/'Broad Asset Allocation'!B34),0)</f>
        <v/>
      </c>
    </row>
    <row r="35" spans="1:8" x14ac:dyDescent="0.25">
      <c r="A35" t="str">
        <f>IF(Input!A36="","",Input!A36)</f>
        <v/>
      </c>
      <c r="B35" s="6" t="str">
        <f>IFERROR(IF(A35="","",SUM('Asset Allocation'!G35)/'Broad Asset Allocation'!B35),0)</f>
        <v/>
      </c>
      <c r="C35" s="6" t="str">
        <f>IFERROR(IF(A35="","",SUM('Asset Allocation'!F35)/'Broad Asset Allocation'!B35),0)</f>
        <v/>
      </c>
      <c r="D35" s="6" t="str">
        <f>IFERROR(IF(A35="","",SUM('Asset Allocation'!H35)/'Broad Asset Allocation'!B35),0)</f>
        <v/>
      </c>
      <c r="E35" s="6" t="str">
        <f>IFERROR(IF(A35="","",SUM('Asset Allocation'!I35)/'Broad Asset Allocation'!B35),0)</f>
        <v/>
      </c>
      <c r="F35" s="6"/>
      <c r="G35" s="6" t="str">
        <f>IFERROR(IF(A35="","",SUM('Asset Allocation'!J35)/'Broad Asset Allocation'!B35),0)</f>
        <v/>
      </c>
      <c r="H35" s="6" t="str">
        <f>IFERROR(IF(A35="","",SUM('Asset Allocation'!K35)/'Broad Asset Allocation'!B35),0)</f>
        <v/>
      </c>
    </row>
    <row r="36" spans="1:8" x14ac:dyDescent="0.25">
      <c r="A36" t="str">
        <f>IF(Input!A37="","",Input!A37)</f>
        <v/>
      </c>
      <c r="B36" s="6" t="str">
        <f>IFERROR(IF(A36="","",SUM('Asset Allocation'!G36)/'Broad Asset Allocation'!B36),0)</f>
        <v/>
      </c>
      <c r="C36" s="6" t="str">
        <f>IFERROR(IF(A36="","",SUM('Asset Allocation'!F36)/'Broad Asset Allocation'!B36),0)</f>
        <v/>
      </c>
      <c r="D36" s="6" t="str">
        <f>IFERROR(IF(A36="","",SUM('Asset Allocation'!H36)/'Broad Asset Allocation'!B36),0)</f>
        <v/>
      </c>
      <c r="E36" s="6" t="str">
        <f>IFERROR(IF(A36="","",SUM('Asset Allocation'!I36)/'Broad Asset Allocation'!B36),0)</f>
        <v/>
      </c>
      <c r="F36" s="6"/>
      <c r="G36" s="6" t="str">
        <f>IFERROR(IF(A36="","",SUM('Asset Allocation'!J36)/'Broad Asset Allocation'!B36),0)</f>
        <v/>
      </c>
      <c r="H36" s="6" t="str">
        <f>IFERROR(IF(A36="","",SUM('Asset Allocation'!K36)/'Broad Asset Allocation'!B36),0)</f>
        <v/>
      </c>
    </row>
    <row r="37" spans="1:8" x14ac:dyDescent="0.25">
      <c r="A37" t="str">
        <f>IF(Input!A38="","",Input!A38)</f>
        <v/>
      </c>
      <c r="B37" s="6" t="str">
        <f>IFERROR(IF(A37="","",SUM('Asset Allocation'!G37)/'Broad Asset Allocation'!B37),0)</f>
        <v/>
      </c>
      <c r="C37" s="6" t="str">
        <f>IFERROR(IF(A37="","",SUM('Asset Allocation'!F37)/'Broad Asset Allocation'!B37),0)</f>
        <v/>
      </c>
      <c r="D37" s="6" t="str">
        <f>IFERROR(IF(A37="","",SUM('Asset Allocation'!H37)/'Broad Asset Allocation'!B37),0)</f>
        <v/>
      </c>
      <c r="E37" s="6" t="str">
        <f>IFERROR(IF(A37="","",SUM('Asset Allocation'!I37)/'Broad Asset Allocation'!B37),0)</f>
        <v/>
      </c>
      <c r="F37" s="6"/>
      <c r="G37" s="6" t="str">
        <f>IFERROR(IF(A37="","",SUM('Asset Allocation'!J37)/'Broad Asset Allocation'!B37),0)</f>
        <v/>
      </c>
      <c r="H37" s="6" t="str">
        <f>IFERROR(IF(A37="","",SUM('Asset Allocation'!K37)/'Broad Asset Allocation'!B37),0)</f>
        <v/>
      </c>
    </row>
    <row r="38" spans="1:8" x14ac:dyDescent="0.25">
      <c r="A38" t="str">
        <f>IF(Input!A39="","",Input!A39)</f>
        <v/>
      </c>
      <c r="B38" s="6" t="str">
        <f>IFERROR(IF(A38="","",SUM('Asset Allocation'!G38)/'Broad Asset Allocation'!B38),0)</f>
        <v/>
      </c>
      <c r="C38" s="6" t="str">
        <f>IFERROR(IF(A38="","",SUM('Asset Allocation'!F38)/'Broad Asset Allocation'!B38),0)</f>
        <v/>
      </c>
      <c r="D38" s="6" t="str">
        <f>IFERROR(IF(A38="","",SUM('Asset Allocation'!H38)/'Broad Asset Allocation'!B38),0)</f>
        <v/>
      </c>
      <c r="E38" s="6" t="str">
        <f>IFERROR(IF(A38="","",SUM('Asset Allocation'!I38)/'Broad Asset Allocation'!B38),0)</f>
        <v/>
      </c>
      <c r="F38" s="6"/>
      <c r="G38" s="6" t="str">
        <f>IFERROR(IF(A38="","",SUM('Asset Allocation'!J38)/'Broad Asset Allocation'!B38),0)</f>
        <v/>
      </c>
      <c r="H38" s="6" t="str">
        <f>IFERROR(IF(A38="","",SUM('Asset Allocation'!K38)/'Broad Asset Allocation'!B38),0)</f>
        <v/>
      </c>
    </row>
    <row r="39" spans="1:8" x14ac:dyDescent="0.25">
      <c r="A39" t="str">
        <f>IF(Input!A40="","",Input!A40)</f>
        <v/>
      </c>
      <c r="B39" s="6" t="str">
        <f>IFERROR(IF(A39="","",SUM('Asset Allocation'!G39)/'Broad Asset Allocation'!B39),0)</f>
        <v/>
      </c>
      <c r="C39" s="6" t="str">
        <f>IFERROR(IF(A39="","",SUM('Asset Allocation'!F39)/'Broad Asset Allocation'!B39),0)</f>
        <v/>
      </c>
      <c r="D39" s="6" t="str">
        <f>IFERROR(IF(A39="","",SUM('Asset Allocation'!H39)/'Broad Asset Allocation'!B39),0)</f>
        <v/>
      </c>
      <c r="E39" s="6" t="str">
        <f>IFERROR(IF(A39="","",SUM('Asset Allocation'!I39)/'Broad Asset Allocation'!B39),0)</f>
        <v/>
      </c>
      <c r="F39" s="6"/>
      <c r="G39" s="6" t="str">
        <f>IFERROR(IF(A39="","",SUM('Asset Allocation'!J39)/'Broad Asset Allocation'!B39),0)</f>
        <v/>
      </c>
      <c r="H39" s="6" t="str">
        <f>IFERROR(IF(A39="","",SUM('Asset Allocation'!K39)/'Broad Asset Allocation'!B39),0)</f>
        <v/>
      </c>
    </row>
    <row r="40" spans="1:8" x14ac:dyDescent="0.25">
      <c r="A40" t="str">
        <f>IF(Input!A41="","",Input!A41)</f>
        <v/>
      </c>
      <c r="B40" s="6" t="str">
        <f>IFERROR(IF(A40="","",SUM('Asset Allocation'!G40)/'Broad Asset Allocation'!B40),0)</f>
        <v/>
      </c>
      <c r="C40" s="6" t="str">
        <f>IFERROR(IF(A40="","",SUM('Asset Allocation'!F40)/'Broad Asset Allocation'!B40),0)</f>
        <v/>
      </c>
      <c r="D40" s="6" t="str">
        <f>IFERROR(IF(A40="","",SUM('Asset Allocation'!H40)/'Broad Asset Allocation'!B40),0)</f>
        <v/>
      </c>
      <c r="E40" s="6" t="str">
        <f>IFERROR(IF(A40="","",SUM('Asset Allocation'!I40)/'Broad Asset Allocation'!B40),0)</f>
        <v/>
      </c>
      <c r="F40" s="6"/>
      <c r="G40" s="6" t="str">
        <f>IFERROR(IF(A40="","",SUM('Asset Allocation'!J40)/'Broad Asset Allocation'!B40),0)</f>
        <v/>
      </c>
      <c r="H40" s="6" t="str">
        <f>IFERROR(IF(A40="","",SUM('Asset Allocation'!K40)/'Broad Asset Allocation'!B40),0)</f>
        <v/>
      </c>
    </row>
    <row r="41" spans="1:8" x14ac:dyDescent="0.25">
      <c r="A41" t="str">
        <f>IF(Input!A42="","",Input!A42)</f>
        <v/>
      </c>
      <c r="B41" s="6" t="str">
        <f>IFERROR(IF(A41="","",SUM('Asset Allocation'!G41)/'Broad Asset Allocation'!B41),0)</f>
        <v/>
      </c>
      <c r="C41" s="6" t="str">
        <f>IFERROR(IF(A41="","",SUM('Asset Allocation'!F41)/'Broad Asset Allocation'!B41),0)</f>
        <v/>
      </c>
      <c r="D41" s="6" t="str">
        <f>IFERROR(IF(A41="","",SUM('Asset Allocation'!H41)/'Broad Asset Allocation'!B41),0)</f>
        <v/>
      </c>
      <c r="E41" s="6" t="str">
        <f>IFERROR(IF(A41="","",SUM('Asset Allocation'!I41)/'Broad Asset Allocation'!B41),0)</f>
        <v/>
      </c>
      <c r="F41" s="6"/>
      <c r="G41" s="6" t="str">
        <f>IFERROR(IF(A41="","",SUM('Asset Allocation'!J41)/'Broad Asset Allocation'!B41),0)</f>
        <v/>
      </c>
      <c r="H41" s="6" t="str">
        <f>IFERROR(IF(A41="","",SUM('Asset Allocation'!K41)/'Broad Asset Allocation'!B41),0)</f>
        <v/>
      </c>
    </row>
    <row r="42" spans="1:8" x14ac:dyDescent="0.25">
      <c r="A42" t="str">
        <f>IF(Input!A43="","",Input!A43)</f>
        <v/>
      </c>
      <c r="B42" s="6" t="str">
        <f>IFERROR(IF(A42="","",SUM('Asset Allocation'!G42)/'Broad Asset Allocation'!B42),0)</f>
        <v/>
      </c>
      <c r="C42" s="6" t="str">
        <f>IFERROR(IF(A42="","",SUM('Asset Allocation'!F42)/'Broad Asset Allocation'!B42),0)</f>
        <v/>
      </c>
      <c r="D42" s="6" t="str">
        <f>IFERROR(IF(A42="","",SUM('Asset Allocation'!H42)/'Broad Asset Allocation'!B42),0)</f>
        <v/>
      </c>
      <c r="E42" s="6" t="str">
        <f>IFERROR(IF(A42="","",SUM('Asset Allocation'!I42)/'Broad Asset Allocation'!B42),0)</f>
        <v/>
      </c>
      <c r="F42" s="6"/>
      <c r="G42" s="6" t="str">
        <f>IFERROR(IF(A42="","",SUM('Asset Allocation'!J42)/'Broad Asset Allocation'!B42),0)</f>
        <v/>
      </c>
      <c r="H42" s="6" t="str">
        <f>IFERROR(IF(A42="","",SUM('Asset Allocation'!K42)/'Broad Asset Allocation'!B42),0)</f>
        <v/>
      </c>
    </row>
    <row r="43" spans="1:8" x14ac:dyDescent="0.25">
      <c r="A43" t="str">
        <f>IF(Input!A44="","",Input!A44)</f>
        <v/>
      </c>
      <c r="B43" s="6" t="str">
        <f>IFERROR(IF(A43="","",SUM('Asset Allocation'!G43)/'Broad Asset Allocation'!B43),0)</f>
        <v/>
      </c>
      <c r="C43" s="6" t="str">
        <f>IFERROR(IF(A43="","",SUM('Asset Allocation'!F43)/'Broad Asset Allocation'!B43),0)</f>
        <v/>
      </c>
      <c r="D43" s="6" t="str">
        <f>IFERROR(IF(A43="","",SUM('Asset Allocation'!H43)/'Broad Asset Allocation'!B43),0)</f>
        <v/>
      </c>
      <c r="E43" s="6" t="str">
        <f>IFERROR(IF(A43="","",SUM('Asset Allocation'!I43)/'Broad Asset Allocation'!B43),0)</f>
        <v/>
      </c>
      <c r="F43" s="6"/>
      <c r="G43" s="6" t="str">
        <f>IFERROR(IF(A43="","",SUM('Asset Allocation'!J43)/'Broad Asset Allocation'!B43),0)</f>
        <v/>
      </c>
      <c r="H43" s="6" t="str">
        <f>IFERROR(IF(A43="","",SUM('Asset Allocation'!K43)/'Broad Asset Allocation'!B43),0)</f>
        <v/>
      </c>
    </row>
    <row r="44" spans="1:8" x14ac:dyDescent="0.25">
      <c r="A44" t="str">
        <f>IF(Input!A45="","",Input!A45)</f>
        <v/>
      </c>
      <c r="B44" s="6" t="str">
        <f>IFERROR(IF(A44="","",SUM('Asset Allocation'!G44)/'Broad Asset Allocation'!B44),0)</f>
        <v/>
      </c>
      <c r="C44" s="6" t="str">
        <f>IFERROR(IF(A44="","",SUM('Asset Allocation'!F44)/'Broad Asset Allocation'!B44),0)</f>
        <v/>
      </c>
      <c r="D44" s="6" t="str">
        <f>IFERROR(IF(A44="","",SUM('Asset Allocation'!H44)/'Broad Asset Allocation'!B44),0)</f>
        <v/>
      </c>
      <c r="E44" s="6" t="str">
        <f>IFERROR(IF(A44="","",SUM('Asset Allocation'!I44)/'Broad Asset Allocation'!B44),0)</f>
        <v/>
      </c>
      <c r="F44" s="6"/>
      <c r="G44" s="6" t="str">
        <f>IFERROR(IF(A44="","",SUM('Asset Allocation'!J44)/'Broad Asset Allocation'!B44),0)</f>
        <v/>
      </c>
      <c r="H44" s="6" t="str">
        <f>IFERROR(IF(A44="","",SUM('Asset Allocation'!K44)/'Broad Asset Allocation'!B44),0)</f>
        <v/>
      </c>
    </row>
    <row r="45" spans="1:8" x14ac:dyDescent="0.25">
      <c r="A45" t="str">
        <f>IF(Input!A46="","",Input!A46)</f>
        <v/>
      </c>
      <c r="B45" s="6" t="str">
        <f>IFERROR(IF(A45="","",SUM('Asset Allocation'!G45)/'Broad Asset Allocation'!B45),0)</f>
        <v/>
      </c>
      <c r="C45" s="6" t="str">
        <f>IFERROR(IF(A45="","",SUM('Asset Allocation'!F45)/'Broad Asset Allocation'!B45),0)</f>
        <v/>
      </c>
      <c r="D45" s="6" t="str">
        <f>IFERROR(IF(A45="","",SUM('Asset Allocation'!H45)/'Broad Asset Allocation'!B45),0)</f>
        <v/>
      </c>
      <c r="E45" s="6" t="str">
        <f>IFERROR(IF(A45="","",SUM('Asset Allocation'!I45)/'Broad Asset Allocation'!B45),0)</f>
        <v/>
      </c>
      <c r="F45" s="6"/>
      <c r="G45" s="6" t="str">
        <f>IFERROR(IF(A45="","",SUM('Asset Allocation'!J45)/'Broad Asset Allocation'!B45),0)</f>
        <v/>
      </c>
      <c r="H45" s="6" t="str">
        <f>IFERROR(IF(A45="","",SUM('Asset Allocation'!K45)/'Broad Asset Allocation'!B45),0)</f>
        <v/>
      </c>
    </row>
    <row r="46" spans="1:8" x14ac:dyDescent="0.25">
      <c r="A46" t="str">
        <f>IF(Input!A47="","",Input!A47)</f>
        <v/>
      </c>
      <c r="B46" s="6" t="str">
        <f>IFERROR(IF(A46="","",SUM('Asset Allocation'!G46)/'Broad Asset Allocation'!B46),0)</f>
        <v/>
      </c>
      <c r="C46" s="6" t="str">
        <f>IFERROR(IF(A46="","",SUM('Asset Allocation'!F46)/'Broad Asset Allocation'!B46),0)</f>
        <v/>
      </c>
      <c r="D46" s="6" t="str">
        <f>IFERROR(IF(A46="","",SUM('Asset Allocation'!H46)/'Broad Asset Allocation'!B46),0)</f>
        <v/>
      </c>
      <c r="E46" s="6" t="str">
        <f>IFERROR(IF(A46="","",SUM('Asset Allocation'!I46)/'Broad Asset Allocation'!B46),0)</f>
        <v/>
      </c>
      <c r="F46" s="6"/>
      <c r="G46" s="6" t="str">
        <f>IFERROR(IF(A46="","",SUM('Asset Allocation'!J46)/'Broad Asset Allocation'!B46),0)</f>
        <v/>
      </c>
      <c r="H46" s="6" t="str">
        <f>IFERROR(IF(A46="","",SUM('Asset Allocation'!K46)/'Broad Asset Allocation'!B46),0)</f>
        <v/>
      </c>
    </row>
    <row r="47" spans="1:8" x14ac:dyDescent="0.25">
      <c r="A47" t="str">
        <f>IF(Input!A48="","",Input!A48)</f>
        <v/>
      </c>
      <c r="B47" s="6" t="str">
        <f>IFERROR(IF(A47="","",SUM('Asset Allocation'!G47)/'Broad Asset Allocation'!B47),0)</f>
        <v/>
      </c>
      <c r="C47" s="6" t="str">
        <f>IFERROR(IF(A47="","",SUM('Asset Allocation'!F47)/'Broad Asset Allocation'!B47),0)</f>
        <v/>
      </c>
      <c r="D47" s="6" t="str">
        <f>IFERROR(IF(A47="","",SUM('Asset Allocation'!H47)/'Broad Asset Allocation'!B47),0)</f>
        <v/>
      </c>
      <c r="E47" s="6" t="str">
        <f>IFERROR(IF(A47="","",SUM('Asset Allocation'!I47)/'Broad Asset Allocation'!B47),0)</f>
        <v/>
      </c>
      <c r="F47" s="6"/>
      <c r="G47" s="6" t="str">
        <f>IFERROR(IF(A47="","",SUM('Asset Allocation'!J47)/'Broad Asset Allocation'!B47),0)</f>
        <v/>
      </c>
      <c r="H47" s="6" t="str">
        <f>IFERROR(IF(A47="","",SUM('Asset Allocation'!K47)/'Broad Asset Allocation'!B47),0)</f>
        <v/>
      </c>
    </row>
    <row r="48" spans="1:8" x14ac:dyDescent="0.25">
      <c r="A48" t="str">
        <f>IF(Input!A49="","",Input!A49)</f>
        <v/>
      </c>
      <c r="B48" s="6" t="str">
        <f>IFERROR(IF(A48="","",SUM('Asset Allocation'!G48)/'Broad Asset Allocation'!B48),0)</f>
        <v/>
      </c>
      <c r="C48" s="6" t="str">
        <f>IFERROR(IF(A48="","",SUM('Asset Allocation'!F48)/'Broad Asset Allocation'!B48),0)</f>
        <v/>
      </c>
      <c r="D48" s="6" t="str">
        <f>IFERROR(IF(A48="","",SUM('Asset Allocation'!H48)/'Broad Asset Allocation'!B48),0)</f>
        <v/>
      </c>
      <c r="E48" s="6" t="str">
        <f>IFERROR(IF(A48="","",SUM('Asset Allocation'!I48)/'Broad Asset Allocation'!B48),0)</f>
        <v/>
      </c>
      <c r="F48" s="6"/>
      <c r="G48" s="6" t="str">
        <f>IFERROR(IF(A48="","",SUM('Asset Allocation'!J48)/'Broad Asset Allocation'!B48),0)</f>
        <v/>
      </c>
      <c r="H48" s="6" t="str">
        <f>IFERROR(IF(A48="","",SUM('Asset Allocation'!K48)/'Broad Asset Allocation'!B48),0)</f>
        <v/>
      </c>
    </row>
    <row r="49" spans="1:8" x14ac:dyDescent="0.25">
      <c r="A49" t="str">
        <f>IF(Input!A50="","",Input!A50)</f>
        <v/>
      </c>
      <c r="B49" s="6" t="str">
        <f>IFERROR(IF(A49="","",SUM('Asset Allocation'!G49)/'Broad Asset Allocation'!B49),0)</f>
        <v/>
      </c>
      <c r="C49" s="6" t="str">
        <f>IFERROR(IF(A49="","",SUM('Asset Allocation'!F49)/'Broad Asset Allocation'!B49),0)</f>
        <v/>
      </c>
      <c r="D49" s="6" t="str">
        <f>IFERROR(IF(A49="","",SUM('Asset Allocation'!H49)/'Broad Asset Allocation'!B49),0)</f>
        <v/>
      </c>
      <c r="E49" s="6" t="str">
        <f>IFERROR(IF(A49="","",SUM('Asset Allocation'!I49)/'Broad Asset Allocation'!B49),0)</f>
        <v/>
      </c>
      <c r="F49" s="6"/>
      <c r="G49" s="6" t="str">
        <f>IFERROR(IF(A49="","",SUM('Asset Allocation'!J49)/'Broad Asset Allocation'!B49),0)</f>
        <v/>
      </c>
      <c r="H49" s="6" t="str">
        <f>IFERROR(IF(A49="","",SUM('Asset Allocation'!K49)/'Broad Asset Allocation'!B49),0)</f>
        <v/>
      </c>
    </row>
    <row r="50" spans="1:8" x14ac:dyDescent="0.25">
      <c r="A50" t="str">
        <f>IF(Input!A51="","",Input!A51)</f>
        <v/>
      </c>
      <c r="B50" s="6" t="str">
        <f>IFERROR(IF(A50="","",SUM('Asset Allocation'!G50)/'Broad Asset Allocation'!B50),0)</f>
        <v/>
      </c>
      <c r="C50" s="6" t="str">
        <f>IFERROR(IF(A50="","",SUM('Asset Allocation'!F50)/'Broad Asset Allocation'!B50),0)</f>
        <v/>
      </c>
      <c r="D50" s="6" t="str">
        <f>IFERROR(IF(A50="","",SUM('Asset Allocation'!H50)/'Broad Asset Allocation'!B50),0)</f>
        <v/>
      </c>
      <c r="E50" s="6" t="str">
        <f>IFERROR(IF(A50="","",SUM('Asset Allocation'!I50)/'Broad Asset Allocation'!B50),0)</f>
        <v/>
      </c>
      <c r="F50" s="6"/>
      <c r="G50" s="6" t="str">
        <f>IFERROR(IF(A50="","",SUM('Asset Allocation'!J50)/'Broad Asset Allocation'!B50),0)</f>
        <v/>
      </c>
      <c r="H50" s="6" t="str">
        <f>IFERROR(IF(A50="","",SUM('Asset Allocation'!K50)/'Broad Asset Allocation'!B50),0)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13</v>
      </c>
      <c r="D1" t="s">
        <v>12</v>
      </c>
      <c r="E1" t="s">
        <v>34</v>
      </c>
      <c r="F1" t="s">
        <v>29</v>
      </c>
      <c r="G1" t="s">
        <v>16</v>
      </c>
      <c r="H1" t="s">
        <v>30</v>
      </c>
    </row>
    <row r="2" spans="1:8" x14ac:dyDescent="0.25">
      <c r="A2" t="str">
        <f>IF(Input!A3="","",Input!A3)</f>
        <v>Core Strategy 2</v>
      </c>
      <c r="H2">
        <f>IFERROR(IF(A2="","",SUM('Asset Allocation'!C2)/'Broad Asset Allocation'!C2),0)</f>
        <v>0</v>
      </c>
    </row>
    <row r="3" spans="1:8" x14ac:dyDescent="0.25">
      <c r="A3" t="str">
        <f>IF(Input!A4="","",Input!A4)</f>
        <v>Core Strategy 3</v>
      </c>
      <c r="H3">
        <f>IFERROR(IF(A3="","",SUM('Asset Allocation'!C3)/'Broad Asset Allocation'!C3),0)</f>
        <v>0</v>
      </c>
    </row>
    <row r="4" spans="1:8" x14ac:dyDescent="0.25">
      <c r="A4" t="str">
        <f>IF(Input!A5="","",Input!A5)</f>
        <v>Core Strategy 4 - Income</v>
      </c>
      <c r="H4">
        <f>IFERROR(IF(A4="","",SUM('Asset Allocation'!C4)/'Broad Asset Allocation'!C4),0)</f>
        <v>0</v>
      </c>
    </row>
    <row r="5" spans="1:8" x14ac:dyDescent="0.25">
      <c r="A5" t="str">
        <f>IF(Input!A6="","",Input!A6)</f>
        <v>Core Strategy 4</v>
      </c>
      <c r="H5">
        <f>IFERROR(IF(A5="","",SUM('Asset Allocation'!C5)/'Broad Asset Allocation'!C5),0)</f>
        <v>0</v>
      </c>
    </row>
    <row r="6" spans="1:8" x14ac:dyDescent="0.25">
      <c r="A6" t="str">
        <f>IF(Input!A7="","",Input!A7)</f>
        <v>Core Strategy 5</v>
      </c>
      <c r="H6">
        <f>IFERROR(IF(A6="","",SUM('Asset Allocation'!C6)/'Broad Asset Allocation'!C6),0)</f>
        <v>0</v>
      </c>
    </row>
    <row r="7" spans="1:8" x14ac:dyDescent="0.25">
      <c r="A7" t="str">
        <f>IF(Input!A8="","",Input!A8)</f>
        <v>Core Strategy 6</v>
      </c>
      <c r="H7">
        <f>IFERROR(IF(A7="","",SUM('Asset Allocation'!C7)/'Broad Asset Allocation'!C7),0)</f>
        <v>0</v>
      </c>
    </row>
    <row r="8" spans="1:8" x14ac:dyDescent="0.25">
      <c r="A8" t="str">
        <f>IF(Input!A9="","",Input!A9)</f>
        <v/>
      </c>
      <c r="H8" t="str">
        <f>IFERROR(IF(A8="","",SUM('Asset Allocation'!C8)/'Broad Asset Allocation'!C8),0)</f>
        <v/>
      </c>
    </row>
    <row r="9" spans="1:8" x14ac:dyDescent="0.25">
      <c r="A9" t="str">
        <f>IF(Input!A10="","",Input!A10)</f>
        <v/>
      </c>
      <c r="H9" t="str">
        <f>IFERROR(IF(A9="","",SUM('Asset Allocation'!C9)/'Broad Asset Allocation'!C9),0)</f>
        <v/>
      </c>
    </row>
    <row r="10" spans="1:8" x14ac:dyDescent="0.25">
      <c r="A10" t="str">
        <f>IF(Input!A11="","",Input!A11)</f>
        <v/>
      </c>
      <c r="H10" t="str">
        <f>IFERROR(IF(A10="","",SUM('Asset Allocation'!C10)/'Broad Asset Allocation'!C10),0)</f>
        <v/>
      </c>
    </row>
    <row r="11" spans="1:8" x14ac:dyDescent="0.25">
      <c r="A11" t="str">
        <f>IF(Input!A12="","",Input!A12)</f>
        <v/>
      </c>
      <c r="H11" t="str">
        <f>IFERROR(IF(A11="","",SUM('Asset Allocation'!C11)/'Broad Asset Allocation'!C11),0)</f>
        <v/>
      </c>
    </row>
    <row r="12" spans="1:8" x14ac:dyDescent="0.25">
      <c r="A12" t="str">
        <f>IF(Input!A13="","",Input!A13)</f>
        <v/>
      </c>
      <c r="H12" t="str">
        <f>IFERROR(IF(A12="","",SUM('Asset Allocation'!C12)/'Broad Asset Allocation'!C12),0)</f>
        <v/>
      </c>
    </row>
    <row r="13" spans="1:8" x14ac:dyDescent="0.25">
      <c r="A13" t="str">
        <f>IF(Input!A14="","",Input!A14)</f>
        <v/>
      </c>
      <c r="H13" t="str">
        <f>IFERROR(IF(A13="","",SUM('Asset Allocation'!C13)/'Broad Asset Allocation'!C13),0)</f>
        <v/>
      </c>
    </row>
    <row r="14" spans="1:8" x14ac:dyDescent="0.25">
      <c r="A14" t="str">
        <f>IF(Input!A15="","",Input!A15)</f>
        <v/>
      </c>
      <c r="H14" t="str">
        <f>IFERROR(IF(A14="","",SUM('Asset Allocation'!C14)/'Broad Asset Allocation'!C14),0)</f>
        <v/>
      </c>
    </row>
    <row r="15" spans="1:8" x14ac:dyDescent="0.25">
      <c r="A15" t="str">
        <f>IF(Input!A16="","",Input!A16)</f>
        <v/>
      </c>
      <c r="H15" t="str">
        <f>IFERROR(IF(A15="","",SUM('Asset Allocation'!C15)/'Broad Asset Allocation'!C15),0)</f>
        <v/>
      </c>
    </row>
    <row r="16" spans="1:8" x14ac:dyDescent="0.25">
      <c r="A16" t="str">
        <f>IF(Input!A17="","",Input!A17)</f>
        <v/>
      </c>
      <c r="H16" t="str">
        <f>IFERROR(IF(A16="","",SUM('Asset Allocation'!C16)/'Broad Asset Allocation'!C16),0)</f>
        <v/>
      </c>
    </row>
    <row r="17" spans="1:8" x14ac:dyDescent="0.25">
      <c r="A17" t="str">
        <f>IF(Input!A18="","",Input!A18)</f>
        <v/>
      </c>
      <c r="H17" t="str">
        <f>IFERROR(IF(A17="","",SUM('Asset Allocation'!C17)/'Broad Asset Allocation'!C17),0)</f>
        <v/>
      </c>
    </row>
    <row r="18" spans="1:8" x14ac:dyDescent="0.25">
      <c r="A18" t="str">
        <f>IF(Input!A19="","",Input!A19)</f>
        <v/>
      </c>
      <c r="H18" t="str">
        <f>IFERROR(IF(A18="","",SUM('Asset Allocation'!C18)/'Broad Asset Allocation'!C18),0)</f>
        <v/>
      </c>
    </row>
    <row r="19" spans="1:8" x14ac:dyDescent="0.25">
      <c r="A19" t="str">
        <f>IF(Input!A20="","",Input!A20)</f>
        <v/>
      </c>
      <c r="H19" t="str">
        <f>IFERROR(IF(A19="","",SUM('Asset Allocation'!C19)/'Broad Asset Allocation'!C19),0)</f>
        <v/>
      </c>
    </row>
    <row r="20" spans="1:8" x14ac:dyDescent="0.25">
      <c r="A20" t="str">
        <f>IF(Input!A21="","",Input!A21)</f>
        <v/>
      </c>
      <c r="H20" t="str">
        <f>IFERROR(IF(A20="","",SUM('Asset Allocation'!C20)/'Broad Asset Allocation'!C20),0)</f>
        <v/>
      </c>
    </row>
    <row r="21" spans="1:8" x14ac:dyDescent="0.25">
      <c r="A21" t="str">
        <f>IF(Input!A22="","",Input!A22)</f>
        <v/>
      </c>
      <c r="H21" t="str">
        <f>IFERROR(IF(A21="","",SUM('Asset Allocation'!C21)/'Broad Asset Allocation'!C21),0)</f>
        <v/>
      </c>
    </row>
    <row r="22" spans="1:8" x14ac:dyDescent="0.25">
      <c r="A22" t="str">
        <f>IF(Input!A23="","",Input!A23)</f>
        <v/>
      </c>
      <c r="H22" t="str">
        <f>IFERROR(IF(A22="","",SUM('Asset Allocation'!C22)/'Broad Asset Allocation'!C22),0)</f>
        <v/>
      </c>
    </row>
    <row r="23" spans="1:8" x14ac:dyDescent="0.25">
      <c r="A23" t="str">
        <f>IF(Input!A24="","",Input!A24)</f>
        <v/>
      </c>
      <c r="H23" t="str">
        <f>IFERROR(IF(A23="","",SUM('Asset Allocation'!C23)/'Broad Asset Allocation'!C23),0)</f>
        <v/>
      </c>
    </row>
    <row r="24" spans="1:8" x14ac:dyDescent="0.25">
      <c r="A24" t="str">
        <f>IF(Input!A25="","",Input!A25)</f>
        <v/>
      </c>
      <c r="H24" t="str">
        <f>IFERROR(IF(A24="","",SUM('Asset Allocation'!C24)/'Broad Asset Allocation'!C24),0)</f>
        <v/>
      </c>
    </row>
    <row r="25" spans="1:8" x14ac:dyDescent="0.25">
      <c r="A25" t="str">
        <f>IF(Input!A26="","",Input!A26)</f>
        <v/>
      </c>
      <c r="H25" t="str">
        <f>IFERROR(IF(A25="","",SUM('Asset Allocation'!C25)/'Broad Asset Allocation'!C25),0)</f>
        <v/>
      </c>
    </row>
    <row r="26" spans="1:8" x14ac:dyDescent="0.25">
      <c r="A26" t="str">
        <f>IF(Input!A27="","",Input!A27)</f>
        <v/>
      </c>
      <c r="H26" t="str">
        <f>IFERROR(IF(A26="","",SUM('Asset Allocation'!C26)/'Broad Asset Allocation'!C26),0)</f>
        <v/>
      </c>
    </row>
    <row r="27" spans="1:8" x14ac:dyDescent="0.25">
      <c r="A27" t="str">
        <f>IF(Input!A28="","",Input!A28)</f>
        <v/>
      </c>
      <c r="H27" t="str">
        <f>IFERROR(IF(A27="","",SUM('Asset Allocation'!C27)/'Broad Asset Allocation'!C27),0)</f>
        <v/>
      </c>
    </row>
    <row r="28" spans="1:8" x14ac:dyDescent="0.25">
      <c r="A28" t="str">
        <f>IF(Input!A29="","",Input!A29)</f>
        <v/>
      </c>
      <c r="H28" t="str">
        <f>IFERROR(IF(A28="","",SUM('Asset Allocation'!C28)/'Broad Asset Allocation'!C28),0)</f>
        <v/>
      </c>
    </row>
    <row r="29" spans="1:8" x14ac:dyDescent="0.25">
      <c r="A29" t="str">
        <f>IF(Input!A30="","",Input!A30)</f>
        <v/>
      </c>
      <c r="H29" t="str">
        <f>IFERROR(IF(A29="","",SUM('Asset Allocation'!C29)/'Broad Asset Allocation'!C29),0)</f>
        <v/>
      </c>
    </row>
    <row r="30" spans="1:8" x14ac:dyDescent="0.25">
      <c r="A30" t="str">
        <f>IF(Input!A31="","",Input!A31)</f>
        <v/>
      </c>
      <c r="H30" t="str">
        <f>IFERROR(IF(A30="","",SUM('Asset Allocation'!C30)/'Broad Asset Allocation'!C30),0)</f>
        <v/>
      </c>
    </row>
    <row r="31" spans="1:8" x14ac:dyDescent="0.25">
      <c r="A31" t="str">
        <f>IF(Input!A32="","",Input!A32)</f>
        <v/>
      </c>
      <c r="H31" t="str">
        <f>IFERROR(IF(A31="","",SUM('Asset Allocation'!C31)/'Broad Asset Allocation'!C31),0)</f>
        <v/>
      </c>
    </row>
    <row r="32" spans="1:8" x14ac:dyDescent="0.25">
      <c r="A32" t="str">
        <f>IF(Input!A33="","",Input!A33)</f>
        <v/>
      </c>
      <c r="H32" t="str">
        <f>IFERROR(IF(A32="","",SUM('Asset Allocation'!C32)/'Broad Asset Allocation'!C32),0)</f>
        <v/>
      </c>
    </row>
    <row r="33" spans="1:8" x14ac:dyDescent="0.25">
      <c r="A33" t="str">
        <f>IF(Input!A34="","",Input!A34)</f>
        <v/>
      </c>
      <c r="H33" t="str">
        <f>IFERROR(IF(A33="","",SUM('Asset Allocation'!C33)/'Broad Asset Allocation'!C33),0)</f>
        <v/>
      </c>
    </row>
    <row r="34" spans="1:8" x14ac:dyDescent="0.25">
      <c r="A34" t="str">
        <f>IF(Input!A35="","",Input!A35)</f>
        <v/>
      </c>
      <c r="H34" t="str">
        <f>IFERROR(IF(A34="","",SUM('Asset Allocation'!C34)/'Broad Asset Allocation'!C34),0)</f>
        <v/>
      </c>
    </row>
    <row r="35" spans="1:8" x14ac:dyDescent="0.25">
      <c r="A35" t="str">
        <f>IF(Input!A36="","",Input!A36)</f>
        <v/>
      </c>
      <c r="H35" t="str">
        <f>IFERROR(IF(A35="","",SUM('Asset Allocation'!C35)/'Broad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IFERROR(IF(A36="","",SUM('Asset Allocation'!C36)/'Broad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IFERROR(IF(A37="","",SUM('Asset Allocation'!C37)/'Broad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IFERROR(IF(A38="","",SUM('Asset Allocation'!C38)/'Broad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IFERROR(IF(A39="","",SUM('Asset Allocation'!C39)/'Broad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Allocation'!C40)/'Broad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Allocation'!C41)/'Broad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Allocation'!C42)/'Broad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Allocation'!C43)/'Broad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Allocation'!C44)/'Broad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Allocation'!C45)/'Broad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Allocation'!C46)/'Broad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Allocation'!C47)/'Broad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Allocation'!C48)/'Broad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Allocation'!C49)/'Broad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Allocation'!C50)/'Broad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2.6000000000000002E-2</v>
      </c>
      <c r="C2">
        <v>3.9E-2</v>
      </c>
      <c r="D2">
        <v>5.2000000000000005E-2</v>
      </c>
      <c r="E2">
        <v>5.9000000000000004E-2</v>
      </c>
      <c r="F2">
        <v>7.2000000000000008E-2</v>
      </c>
      <c r="G2">
        <v>8.1000000000000003E-2</v>
      </c>
      <c r="H2">
        <v>9.0999999999999998E-2</v>
      </c>
      <c r="I2">
        <v>0.10300000000000001</v>
      </c>
      <c r="J2">
        <v>0.114</v>
      </c>
      <c r="K2">
        <v>0.11900000000000001</v>
      </c>
      <c r="L2">
        <v>7.0000000000000007E-2</v>
      </c>
      <c r="M2">
        <v>1.3999999999999999E-2</v>
      </c>
      <c r="N2">
        <v>2.4E-2</v>
      </c>
      <c r="O2">
        <v>3.5000000000000003E-2</v>
      </c>
      <c r="P2">
        <v>4.4000000000000004E-2</v>
      </c>
      <c r="Q2">
        <v>5.5E-2</v>
      </c>
      <c r="R2">
        <v>6.2E-2</v>
      </c>
      <c r="S2">
        <v>7.2000000000000008E-2</v>
      </c>
      <c r="T2">
        <v>8.5999999999999993E-2</v>
      </c>
      <c r="U2">
        <v>9.8000000000000004E-2</v>
      </c>
      <c r="V2">
        <v>0.10400000000000001</v>
      </c>
      <c r="W2">
        <v>3.7999999999999999E-2</v>
      </c>
      <c r="X2">
        <v>5.0999999999999997E-2</v>
      </c>
      <c r="Y2">
        <v>8.5000000000000006E-2</v>
      </c>
    </row>
  </sheetData>
  <sortState ref="A2:AX2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8.6E-3</v>
      </c>
      <c r="C2">
        <v>9.1000000000000004E-3</v>
      </c>
      <c r="D2">
        <v>9.6000000000000009E-3</v>
      </c>
      <c r="E2">
        <v>9.9000000000000008E-3</v>
      </c>
      <c r="F2">
        <v>1.0199999999999999E-2</v>
      </c>
      <c r="G2">
        <v>1.03E-2</v>
      </c>
      <c r="H2">
        <v>1.04E-2</v>
      </c>
      <c r="I2">
        <v>1.04E-2</v>
      </c>
      <c r="J2">
        <v>1.04E-2</v>
      </c>
      <c r="K2">
        <v>1.04E-2</v>
      </c>
      <c r="L2">
        <v>0.01</v>
      </c>
      <c r="M2">
        <v>4.5999999999999999E-3</v>
      </c>
      <c r="N2">
        <v>4.5999999999999999E-3</v>
      </c>
      <c r="O2">
        <v>4.6999999999999993E-3</v>
      </c>
      <c r="P2">
        <v>4.5999999999999999E-3</v>
      </c>
      <c r="Q2">
        <v>4.5999999999999999E-3</v>
      </c>
      <c r="R2">
        <v>4.5999999999999999E-3</v>
      </c>
      <c r="S2">
        <v>4.3999999999999994E-3</v>
      </c>
      <c r="T2">
        <v>4.1999999999999997E-3</v>
      </c>
      <c r="U2">
        <v>3.8999999999999998E-3</v>
      </c>
      <c r="V2">
        <v>3.5999999999999999E-3</v>
      </c>
      <c r="W2">
        <v>9.7000000000000003E-3</v>
      </c>
      <c r="X2">
        <v>1.03E-2</v>
      </c>
      <c r="Y2">
        <v>1.0599999999999998E-2</v>
      </c>
    </row>
  </sheetData>
  <sortState ref="A2:AX2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-1.6E-2</v>
      </c>
      <c r="C2">
        <v>-2E-3</v>
      </c>
      <c r="D2">
        <v>2.2000000000000002E-2</v>
      </c>
      <c r="E2">
        <v>4.5999999999999999E-2</v>
      </c>
      <c r="F2">
        <v>8.6999999999999994E-2</v>
      </c>
      <c r="G2">
        <v>0.115</v>
      </c>
      <c r="H2">
        <v>0.14099999999999999</v>
      </c>
      <c r="I2">
        <v>0.157</v>
      </c>
      <c r="J2">
        <v>0.17199999999999999</v>
      </c>
      <c r="K2">
        <v>0.192</v>
      </c>
      <c r="L2">
        <v>8.3000000000000004E-2</v>
      </c>
      <c r="M2">
        <v>-3.9E-2</v>
      </c>
      <c r="N2">
        <v>-1.3000000000000001E-2</v>
      </c>
      <c r="O2">
        <v>1.9E-2</v>
      </c>
      <c r="P2">
        <v>4.8000000000000001E-2</v>
      </c>
      <c r="Q2">
        <v>8.5000000000000006E-2</v>
      </c>
      <c r="R2">
        <v>0.125</v>
      </c>
      <c r="S2">
        <v>0.16600000000000001</v>
      </c>
      <c r="T2">
        <v>0.19</v>
      </c>
      <c r="U2">
        <v>0.22</v>
      </c>
      <c r="V2">
        <v>0.248</v>
      </c>
      <c r="W2">
        <v>-3.2000000000000001E-2</v>
      </c>
      <c r="X2">
        <v>5.0000000000000001E-3</v>
      </c>
      <c r="Y2">
        <v>5.7999999999999996E-2</v>
      </c>
    </row>
  </sheetData>
  <sortState ref="A2:AX2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2.6000000000000002E-2</v>
      </c>
      <c r="C2">
        <v>6.0999999999999999E-2</v>
      </c>
      <c r="D2">
        <v>9.6999999999999989E-2</v>
      </c>
      <c r="E2">
        <v>0.11900000000000001</v>
      </c>
      <c r="F2">
        <v>0.159</v>
      </c>
      <c r="G2">
        <v>0.19500000000000001</v>
      </c>
      <c r="H2">
        <v>0.247</v>
      </c>
      <c r="I2">
        <v>0.27100000000000002</v>
      </c>
      <c r="J2">
        <v>0.30099999999999999</v>
      </c>
      <c r="K2">
        <v>0.33100000000000002</v>
      </c>
      <c r="L2">
        <v>6.7000000000000004E-2</v>
      </c>
      <c r="M2">
        <v>5.0000000000000001E-3</v>
      </c>
      <c r="N2">
        <v>4.2999999999999997E-2</v>
      </c>
      <c r="O2">
        <v>8.4000000000000005E-2</v>
      </c>
      <c r="P2">
        <v>0.11699999999999999</v>
      </c>
      <c r="Q2">
        <v>0.14899999999999999</v>
      </c>
      <c r="R2">
        <v>0.192</v>
      </c>
      <c r="S2">
        <v>0.24600000000000002</v>
      </c>
      <c r="T2">
        <v>0.27100000000000002</v>
      </c>
      <c r="U2">
        <v>0.31</v>
      </c>
      <c r="V2">
        <v>0.34600000000000003</v>
      </c>
      <c r="W2">
        <v>7.2999999999999995E-2</v>
      </c>
      <c r="X2">
        <v>0.126</v>
      </c>
      <c r="Y2">
        <v>0.185</v>
      </c>
    </row>
  </sheetData>
  <sortState ref="A2:AX2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3.0999999999999999E-3</v>
      </c>
      <c r="C2">
        <v>3.0999999999999999E-3</v>
      </c>
      <c r="D2">
        <v>3.0999999999999999E-3</v>
      </c>
      <c r="E2">
        <v>3.0999999999999999E-3</v>
      </c>
      <c r="F2">
        <v>3.0999999999999999E-3</v>
      </c>
      <c r="G2">
        <v>3.0999999999999999E-3</v>
      </c>
      <c r="H2">
        <v>3.0999999999999999E-3</v>
      </c>
      <c r="I2">
        <v>3.0999999999999999E-3</v>
      </c>
      <c r="J2">
        <v>3.0999999999999999E-3</v>
      </c>
      <c r="K2">
        <v>3.0999999999999999E-3</v>
      </c>
      <c r="L2">
        <v>3.0999999999999999E-3</v>
      </c>
      <c r="M2">
        <v>2.5999999999999999E-3</v>
      </c>
      <c r="N2">
        <v>2.5999999999999999E-3</v>
      </c>
      <c r="O2">
        <v>2.5999999999999999E-3</v>
      </c>
      <c r="P2">
        <v>2.5999999999999999E-3</v>
      </c>
      <c r="Q2">
        <v>2.5999999999999999E-3</v>
      </c>
      <c r="R2">
        <v>2.5999999999999999E-3</v>
      </c>
      <c r="S2">
        <v>2.5999999999999999E-3</v>
      </c>
      <c r="T2">
        <v>2.5999999999999999E-3</v>
      </c>
      <c r="U2">
        <v>2.5999999999999999E-3</v>
      </c>
      <c r="V2">
        <v>2.5999999999999999E-3</v>
      </c>
      <c r="W2">
        <v>3.5999999999999999E-3</v>
      </c>
      <c r="X2">
        <v>3.5999999999999999E-3</v>
      </c>
      <c r="Y2">
        <v>3.5999999999999999E-3</v>
      </c>
    </row>
  </sheetData>
  <sortState ref="A2:AX2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</v>
      </c>
      <c r="C2">
        <v>0.2</v>
      </c>
      <c r="D2">
        <v>0.30000000000000004</v>
      </c>
      <c r="E2">
        <v>0.4</v>
      </c>
      <c r="F2">
        <v>0.5</v>
      </c>
      <c r="G2">
        <v>0.6</v>
      </c>
      <c r="H2">
        <v>0.7</v>
      </c>
      <c r="I2">
        <v>0.79999999999999993</v>
      </c>
      <c r="J2">
        <v>0.9</v>
      </c>
      <c r="K2">
        <v>0.98</v>
      </c>
      <c r="L2">
        <v>0.5</v>
      </c>
      <c r="M2">
        <v>0.1</v>
      </c>
      <c r="N2">
        <v>0.2</v>
      </c>
      <c r="O2">
        <v>0.30000000000000004</v>
      </c>
      <c r="P2">
        <v>0.4</v>
      </c>
      <c r="Q2">
        <v>0.5</v>
      </c>
      <c r="R2">
        <v>0.6</v>
      </c>
      <c r="S2">
        <v>0.7</v>
      </c>
      <c r="T2">
        <v>0.79999999999999993</v>
      </c>
      <c r="U2">
        <v>0.9</v>
      </c>
      <c r="V2">
        <v>0.98</v>
      </c>
      <c r="W2">
        <v>0.30000000000000004</v>
      </c>
      <c r="X2">
        <v>0.5</v>
      </c>
      <c r="Y2">
        <v>0.8</v>
      </c>
    </row>
  </sheetData>
  <sortState ref="A2:AX2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0.5</v>
      </c>
      <c r="C2">
        <v>0.45</v>
      </c>
      <c r="D2">
        <v>0.4</v>
      </c>
      <c r="E2">
        <v>0.34</v>
      </c>
      <c r="F2">
        <v>0.24</v>
      </c>
      <c r="G2">
        <v>0.15</v>
      </c>
      <c r="H2">
        <v>7.0000000000000007E-2</v>
      </c>
      <c r="I2">
        <v>0.06</v>
      </c>
      <c r="J2">
        <v>0.03</v>
      </c>
      <c r="K2">
        <v>0</v>
      </c>
      <c r="L2">
        <v>0.3</v>
      </c>
      <c r="M2">
        <v>0.5</v>
      </c>
      <c r="N2">
        <v>0.45</v>
      </c>
      <c r="O2">
        <v>0.4</v>
      </c>
      <c r="P2">
        <v>0.34</v>
      </c>
      <c r="Q2">
        <v>0.24</v>
      </c>
      <c r="R2">
        <v>0.15</v>
      </c>
      <c r="S2">
        <v>7.0000000000000007E-2</v>
      </c>
      <c r="T2">
        <v>0.06</v>
      </c>
      <c r="U2">
        <v>0.03</v>
      </c>
      <c r="V2">
        <v>0</v>
      </c>
      <c r="W2">
        <v>0.48</v>
      </c>
      <c r="X2">
        <v>0.31</v>
      </c>
      <c r="Y2">
        <v>0.1</v>
      </c>
    </row>
  </sheetData>
  <sortState ref="A2:AX2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</v>
      </c>
      <c r="C2">
        <v>0.1</v>
      </c>
      <c r="D2">
        <v>0.1</v>
      </c>
      <c r="E2">
        <v>0.1</v>
      </c>
      <c r="F2">
        <v>0.1</v>
      </c>
      <c r="G2">
        <v>0.1</v>
      </c>
      <c r="H2">
        <v>0.1</v>
      </c>
      <c r="I2">
        <v>0.04</v>
      </c>
      <c r="J2">
        <v>0</v>
      </c>
      <c r="K2">
        <v>0</v>
      </c>
      <c r="L2">
        <v>0.1</v>
      </c>
      <c r="M2">
        <v>0.1</v>
      </c>
      <c r="N2">
        <v>0.1</v>
      </c>
      <c r="O2">
        <v>0.1</v>
      </c>
      <c r="P2">
        <v>0.1</v>
      </c>
      <c r="Q2">
        <v>0.1</v>
      </c>
      <c r="R2">
        <v>0.1</v>
      </c>
      <c r="S2">
        <v>0.1</v>
      </c>
      <c r="T2">
        <v>0.04</v>
      </c>
      <c r="U2">
        <v>0</v>
      </c>
      <c r="V2">
        <v>0</v>
      </c>
      <c r="W2">
        <v>0.17</v>
      </c>
      <c r="X2">
        <v>0.17</v>
      </c>
      <c r="Y2">
        <v>0.08</v>
      </c>
    </row>
  </sheetData>
  <sortState ref="A2:AX2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0.15</v>
      </c>
      <c r="C2">
        <v>0.15</v>
      </c>
      <c r="D2">
        <v>0.15</v>
      </c>
      <c r="E2">
        <v>0.14000000000000001</v>
      </c>
      <c r="F2">
        <v>0.14000000000000001</v>
      </c>
      <c r="G2">
        <v>0.13</v>
      </c>
      <c r="H2">
        <v>0.11</v>
      </c>
      <c r="I2">
        <v>0.08</v>
      </c>
      <c r="J2">
        <v>0.05</v>
      </c>
      <c r="K2">
        <v>0</v>
      </c>
      <c r="L2">
        <v>0.08</v>
      </c>
      <c r="M2">
        <v>0.15</v>
      </c>
      <c r="N2">
        <v>0.15</v>
      </c>
      <c r="O2">
        <v>0.15</v>
      </c>
      <c r="P2">
        <v>0.14000000000000001</v>
      </c>
      <c r="Q2">
        <v>0.14000000000000001</v>
      </c>
      <c r="R2">
        <v>0.13</v>
      </c>
      <c r="S2">
        <v>0.11</v>
      </c>
      <c r="T2">
        <v>0.08</v>
      </c>
      <c r="U2">
        <v>0.05</v>
      </c>
      <c r="V2">
        <v>0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0.15</v>
      </c>
      <c r="C2">
        <v>0.1</v>
      </c>
      <c r="D2">
        <v>0.05</v>
      </c>
      <c r="E2">
        <v>0.02</v>
      </c>
      <c r="F2">
        <v>0.02</v>
      </c>
      <c r="G2">
        <v>0.02</v>
      </c>
      <c r="H2">
        <v>0.02</v>
      </c>
      <c r="I2">
        <v>0.02</v>
      </c>
      <c r="J2">
        <v>0.02</v>
      </c>
      <c r="K2">
        <v>0.02</v>
      </c>
      <c r="L2">
        <v>0.02</v>
      </c>
      <c r="M2">
        <v>0.15</v>
      </c>
      <c r="N2">
        <v>0.1</v>
      </c>
      <c r="O2">
        <v>0.05</v>
      </c>
      <c r="P2">
        <v>0.02</v>
      </c>
      <c r="Q2">
        <v>0.02</v>
      </c>
      <c r="R2">
        <v>0.02</v>
      </c>
      <c r="S2">
        <v>0.02</v>
      </c>
      <c r="T2">
        <v>0.02</v>
      </c>
      <c r="U2">
        <v>0.02</v>
      </c>
      <c r="V2">
        <v>0.02</v>
      </c>
      <c r="W2">
        <v>0.05</v>
      </c>
      <c r="X2">
        <v>0.02</v>
      </c>
      <c r="Y2">
        <v>0.02</v>
      </c>
    </row>
  </sheetData>
  <sortState ref="A2:AX2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1.1102230246251565E-16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1.1102230246251565E-16</v>
      </c>
      <c r="U2">
        <v>0</v>
      </c>
      <c r="V2">
        <v>0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0.19999999999999998</v>
      </c>
      <c r="C2">
        <v>0.19999999999999998</v>
      </c>
      <c r="D2">
        <v>0.20333333333333331</v>
      </c>
      <c r="E2">
        <v>0.20249999999999999</v>
      </c>
      <c r="F2">
        <v>0.20199999999999999</v>
      </c>
      <c r="G2">
        <v>0.20166666666666666</v>
      </c>
      <c r="H2">
        <v>0.20285714285714285</v>
      </c>
      <c r="I2">
        <v>0.20250000000000001</v>
      </c>
      <c r="J2">
        <v>0.20222222222222222</v>
      </c>
      <c r="K2">
        <v>0.20204081632653062</v>
      </c>
      <c r="L2">
        <v>0</v>
      </c>
      <c r="M2">
        <v>0.19999999999999998</v>
      </c>
      <c r="N2">
        <v>0.19999999999999998</v>
      </c>
      <c r="O2">
        <v>0.20333333333333331</v>
      </c>
      <c r="P2">
        <v>0.20249999999999999</v>
      </c>
      <c r="Q2">
        <v>0.20199999999999999</v>
      </c>
      <c r="R2">
        <v>0.20166666666666666</v>
      </c>
      <c r="S2">
        <v>0.20285714285714285</v>
      </c>
      <c r="T2">
        <v>0.20250000000000001</v>
      </c>
      <c r="U2">
        <v>0.20222222222222222</v>
      </c>
      <c r="V2">
        <v>0.20204081632653062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0.22</v>
      </c>
      <c r="C2">
        <v>0.22</v>
      </c>
      <c r="D2">
        <v>0.21999999999999997</v>
      </c>
      <c r="E2">
        <v>0.22</v>
      </c>
      <c r="F2">
        <v>0.222</v>
      </c>
      <c r="G2">
        <v>0.22166666666666668</v>
      </c>
      <c r="H2">
        <v>0.22142857142857145</v>
      </c>
      <c r="I2">
        <v>0.22125</v>
      </c>
      <c r="J2">
        <v>0.22111111111111109</v>
      </c>
      <c r="K2">
        <v>0.22142857142857142</v>
      </c>
      <c r="L2">
        <v>0.28800000000000003</v>
      </c>
      <c r="M2">
        <v>0.22</v>
      </c>
      <c r="N2">
        <v>0.22</v>
      </c>
      <c r="O2">
        <v>0.21999999999999997</v>
      </c>
      <c r="P2">
        <v>0.22</v>
      </c>
      <c r="Q2">
        <v>0.222</v>
      </c>
      <c r="R2">
        <v>0.22166666666666668</v>
      </c>
      <c r="S2">
        <v>0.22142857142857145</v>
      </c>
      <c r="T2">
        <v>0.22125</v>
      </c>
      <c r="U2">
        <v>0.22111111111111109</v>
      </c>
      <c r="V2">
        <v>0.22142857142857142</v>
      </c>
      <c r="W2">
        <v>0.43333333333333329</v>
      </c>
      <c r="X2">
        <v>0.43200000000000005</v>
      </c>
      <c r="Y2">
        <v>0.4325</v>
      </c>
    </row>
  </sheetData>
  <sortState ref="A2:AX2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0.11</v>
      </c>
      <c r="C2">
        <v>0.11</v>
      </c>
      <c r="D2">
        <v>0.10999999999999999</v>
      </c>
      <c r="E2">
        <v>0.11</v>
      </c>
      <c r="F2">
        <v>0.11</v>
      </c>
      <c r="G2">
        <v>0.11000000000000001</v>
      </c>
      <c r="H2">
        <v>0.11</v>
      </c>
      <c r="I2">
        <v>0.10875</v>
      </c>
      <c r="J2">
        <v>0.1088888888888889</v>
      </c>
      <c r="K2">
        <v>0.10918367346938776</v>
      </c>
      <c r="L2">
        <v>0.17199999999999999</v>
      </c>
      <c r="M2">
        <v>0.11</v>
      </c>
      <c r="N2">
        <v>0.11</v>
      </c>
      <c r="O2">
        <v>0.10999999999999999</v>
      </c>
      <c r="P2">
        <v>0.11</v>
      </c>
      <c r="Q2">
        <v>0.11</v>
      </c>
      <c r="R2">
        <v>0.11000000000000001</v>
      </c>
      <c r="S2">
        <v>0.11</v>
      </c>
      <c r="T2">
        <v>0.10875</v>
      </c>
      <c r="U2">
        <v>0.1088888888888889</v>
      </c>
      <c r="V2">
        <v>0.10918367346938776</v>
      </c>
      <c r="W2">
        <v>0.21999999999999997</v>
      </c>
      <c r="X2">
        <v>0.218</v>
      </c>
      <c r="Y2">
        <v>0.21874999999999997</v>
      </c>
    </row>
  </sheetData>
  <sortState ref="A2:AX2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0.13999999999999999</v>
      </c>
      <c r="C2">
        <v>0.14499999999999999</v>
      </c>
      <c r="D2">
        <v>0.14333333333333331</v>
      </c>
      <c r="E2">
        <v>0.14499999999999999</v>
      </c>
      <c r="F2">
        <v>0.14400000000000002</v>
      </c>
      <c r="G2">
        <v>0.14499999999999999</v>
      </c>
      <c r="H2">
        <v>0.14428571428571429</v>
      </c>
      <c r="I2">
        <v>0.14375000000000002</v>
      </c>
      <c r="J2">
        <v>0.14444444444444446</v>
      </c>
      <c r="K2">
        <v>0.14387755102040814</v>
      </c>
      <c r="L2">
        <v>0</v>
      </c>
      <c r="M2">
        <v>0.13999999999999999</v>
      </c>
      <c r="N2">
        <v>0.14499999999999999</v>
      </c>
      <c r="O2">
        <v>0.14333333333333331</v>
      </c>
      <c r="P2">
        <v>0.14499999999999999</v>
      </c>
      <c r="Q2">
        <v>0.14400000000000002</v>
      </c>
      <c r="R2">
        <v>0.14499999999999999</v>
      </c>
      <c r="S2">
        <v>0.14428571428571429</v>
      </c>
      <c r="T2">
        <v>0.14375000000000002</v>
      </c>
      <c r="U2">
        <v>0.14444444444444446</v>
      </c>
      <c r="V2">
        <v>0.14387755102040814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0.15</v>
      </c>
      <c r="C2">
        <v>0.14499999999999999</v>
      </c>
      <c r="D2">
        <v>0.14666666666666667</v>
      </c>
      <c r="E2">
        <v>0.14499999999999999</v>
      </c>
      <c r="F2">
        <v>0.14599999999999999</v>
      </c>
      <c r="G2">
        <v>0.14499999999999999</v>
      </c>
      <c r="H2">
        <v>0.14571428571428571</v>
      </c>
      <c r="I2">
        <v>0.14499999999999999</v>
      </c>
      <c r="J2">
        <v>0.14555555555555555</v>
      </c>
      <c r="K2">
        <v>0.14489795918367346</v>
      </c>
      <c r="L2">
        <v>0.26</v>
      </c>
      <c r="M2">
        <v>0.15</v>
      </c>
      <c r="N2">
        <v>0.14499999999999999</v>
      </c>
      <c r="O2">
        <v>0.14666666666666667</v>
      </c>
      <c r="P2">
        <v>0.14499999999999999</v>
      </c>
      <c r="Q2">
        <v>0.14599999999999999</v>
      </c>
      <c r="R2">
        <v>0.14499999999999999</v>
      </c>
      <c r="S2">
        <v>0.14571428571428571</v>
      </c>
      <c r="T2">
        <v>0.14499999999999999</v>
      </c>
      <c r="U2">
        <v>0.14555555555555555</v>
      </c>
      <c r="V2">
        <v>0.14489795918367346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0.18000000000000002</v>
      </c>
      <c r="C2">
        <v>0.18000000000000002</v>
      </c>
      <c r="D2">
        <v>0.17666666666666664</v>
      </c>
      <c r="E2">
        <v>0.17749999999999996</v>
      </c>
      <c r="F2">
        <v>0.17600000000000002</v>
      </c>
      <c r="G2">
        <v>0.17666666666666667</v>
      </c>
      <c r="H2">
        <v>0.17571428571428574</v>
      </c>
      <c r="I2">
        <v>0.17875000000000005</v>
      </c>
      <c r="J2">
        <v>0.17777777777777778</v>
      </c>
      <c r="K2">
        <v>0.17857142857142858</v>
      </c>
      <c r="L2">
        <v>0.28000000000000003</v>
      </c>
      <c r="M2">
        <v>0.18000000000000002</v>
      </c>
      <c r="N2">
        <v>0.18000000000000002</v>
      </c>
      <c r="O2">
        <v>0.17666666666666664</v>
      </c>
      <c r="P2">
        <v>0.17749999999999996</v>
      </c>
      <c r="Q2">
        <v>0.17600000000000002</v>
      </c>
      <c r="R2">
        <v>0.17666666666666667</v>
      </c>
      <c r="S2">
        <v>0.17571428571428574</v>
      </c>
      <c r="T2">
        <v>0.17875000000000005</v>
      </c>
      <c r="U2">
        <v>0.17777777777777778</v>
      </c>
      <c r="V2">
        <v>0.17857142857142858</v>
      </c>
      <c r="W2">
        <v>0.34666666666666662</v>
      </c>
      <c r="X2">
        <v>0.35</v>
      </c>
      <c r="Y2">
        <v>0.34874999999999995</v>
      </c>
    </row>
  </sheetData>
  <sortState ref="A2:AX2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0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1</v>
      </c>
      <c r="V2">
        <v>0</v>
      </c>
      <c r="W2">
        <v>1</v>
      </c>
      <c r="X2">
        <v>1</v>
      </c>
      <c r="Y2">
        <v>1</v>
      </c>
    </row>
  </sheetData>
  <sortState ref="A2:AX2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37</vt:i4>
      </vt:variant>
    </vt:vector>
  </HeadingPairs>
  <TitlesOfParts>
    <vt:vector size="37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3 Year Performance</vt:lpstr>
      <vt:lpstr>5 Year Performance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2023-11-10T23:06:09Z</dcterms:modified>
</cp:coreProperties>
</file>