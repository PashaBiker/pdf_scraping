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Rathbones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<sst xmlns="http://schemas.openxmlformats.org/spreadsheetml/2006/main" count="81" uniqueCount="61">
  <si>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</si>
  <si>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</si>
  <si>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</si>
  <si>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</si>
  <si>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</si>
  <si>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</si>
  <si>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</si>
  <si>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</si>
  <si>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</si>
  <si>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</si>
  <si>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</si>
  <si>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</si>
  <si>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</si>
  <si>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</si>
  <si>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</si>
  <si>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</si>
  <si>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</si>
  <si>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</si>
  <si>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</si>
  <si>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</si>
  <si>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</si>
  <si>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</si>
  <si>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</si>
  <si>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</si>
  <si>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</si>
  <si>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</si>
  <si>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</si>
  <si>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</si>
  <si>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</si>
  <si>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</si>
  <si>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</si>
  <si>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</si>
  <si>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</si>
  <si>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</si>
  <si>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</si>
  <si>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</si>
  <si>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3 years</t>
  </si>
  <si>
    <t>5 years</t>
  </si>
  <si>
    <t>https://www.rathbones.com/advisers/financial-advisers/managed-portfolio-service</t>
  </si>
  <si>
    <t>Select Strategy Document</t>
  </si>
  <si>
    <t>Core Strategy 2</t>
  </si>
  <si>
    <t>Core Strategy 3</t>
  </si>
  <si>
    <t>Core Strategy 4 - Income</t>
  </si>
  <si>
    <t>Core Strategy 4</t>
  </si>
  <si>
    <t>Core Strategy 5</t>
  </si>
  <si>
    <t>Core Strategy 6</t>
  </si>
  <si>
    <t>Equities</t>
  </si>
  <si>
    <t>Conventional government bonds</t>
  </si>
  <si>
    <t>Alternative investment strategies</t>
  </si>
  <si>
    <t>Corporate bonds</t>
  </si>
  <si>
    <t>Cash and equivalents</t>
  </si>
  <si>
    <t>Commodities</t>
  </si>
  <si>
    <t>Emerging market debt</t>
  </si>
  <si>
    <t>Private equity</t>
  </si>
  <si>
    <t>Equities (Overseas developed)</t>
  </si>
  <si>
    <t>Equities (UK)</t>
  </si>
  <si>
    <t>Equities (Asia/emerging markets)</t>
  </si>
  <si>
    <t>Corporate bonds (high yield)</t>
  </si>
  <si>
    <t>RIM administration fee</t>
  </si>
  <si>
    <t>OCF</t>
  </si>
  <si>
    <t>https://www.rathbones.com/sites/rathbones.com/files/rathbones_select_as_at_31_august_2023.pdf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</si>
</sst>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114300</xdr:rowOff>
    </xdr:from>
    <xdr:to>
      <xdr:col>5</xdr:col>
      <xdr:colOff>586239</xdr:colOff>
      <xdr:row>11</xdr:row>
      <xdr:rowOff>38279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B317768-0DE1-770A-6E76-563992B9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8450"/>
          <a:ext cx="3634239" cy="1765479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11</xdr:row>
      <xdr:rowOff>152400</xdr:rowOff>
    </xdr:from>
    <xdr:to>
      <xdr:col>6</xdr:col>
      <xdr:colOff>311624</xdr:colOff>
      <xdr:row>22</xdr:row>
      <xdr:rowOff>89040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8150D8-4905-AE4F-5C0E-D679B1A27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0" y="2178050"/>
          <a:ext cx="3956524" cy="19622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4</xdr:col>
      <xdr:colOff>25527</xdr:colOff>
      <xdr:row>35</xdr:row>
      <xdr:rowOff>114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EF7EF37-DF83-F7EE-C238-06B49E50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235450"/>
          <a:ext cx="2463927" cy="22099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101793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D2B58BB-913C-7E30-651A-7B3D9D8CB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759393" cy="278144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12</xdr:col>
      <xdr:colOff>463730</xdr:colOff>
      <xdr:row>31</xdr:row>
      <xdr:rowOff>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932ECB-3E25-D199-06B3-08B869CF2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200" y="3130550"/>
          <a:ext cx="3511730" cy="2578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18" sqref="H18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L18" sqref="L1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40</v>
      </c>
      <c r="B3" t="str">
        <f>'PDF Scraping'!D2</f>
        <v>https://www.rathbones.com/sites/rathbones.com/files/rathbones_select_as_at_31_august_2023.pdf</v>
      </c>
      <c r="J3" s="4"/>
    </row>
    <row r="4" spans="1:10" x14ac:dyDescent="0.25">
      <c r="A4" t="s">
        <v>41</v>
      </c>
      <c r="B4" t="str">
        <f>'PDF Scraping'!D3</f>
        <v>https://www.rathbones.com/sites/rathbones.com/files/rathbones_select_as_at_31_august_2023.pdf</v>
      </c>
      <c r="J4" s="4"/>
    </row>
    <row r="5" spans="1:10" x14ac:dyDescent="0.25">
      <c r="A5" t="s">
        <v>42</v>
      </c>
      <c r="B5" t="str">
        <f>'PDF Scraping'!D4</f>
        <v>https://www.rathbones.com/sites/rathbones.com/files/rathbones_select_as_at_31_august_2023.pdf</v>
      </c>
    </row>
    <row r="6" spans="1:10" x14ac:dyDescent="0.25">
      <c r="A6" t="s">
        <v>43</v>
      </c>
      <c r="B6" t="str">
        <f>'PDF Scraping'!D5</f>
        <v>https://www.rathbones.com/sites/rathbones.com/files/rathbones_select_as_at_31_august_2023.pdf</v>
      </c>
    </row>
    <row r="7" spans="1:10" x14ac:dyDescent="0.25">
      <c r="A7" t="s">
        <v>44</v>
      </c>
      <c r="B7" t="str">
        <f>'PDF Scraping'!D6</f>
        <v>https://www.rathbones.com/sites/rathbones.com/files/rathbones_select_as_at_31_august_2023.pdf</v>
      </c>
    </row>
    <row r="8" spans="1:10" x14ac:dyDescent="0.25">
      <c r="A8" t="s">
        <v>45</v>
      </c>
      <c r="B8" t="str">
        <f>'PDF Scraping'!D7</f>
        <v>https://www.rathbones.com/sites/rathbones.com/files/rathbones_select_as_at_31_august_2023.pdf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D1" sqref="D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35</v>
      </c>
      <c r="F1" t="s">
        <v>36</v>
      </c>
      <c r="G1" t="s">
        <v>37</v>
      </c>
    </row>
    <row r="2" spans="1:9" x14ac:dyDescent="0.25">
      <c r="A2" t="str">
        <f>IF(Input!A3="","",Input!A3)</f>
        <v>Core Strategy 2</v>
      </c>
      <c r="B2" s="1"/>
      <c r="F2" s="5"/>
      <c r="G2" s="5"/>
      <c r="H2" s="5"/>
      <c r="I2" s="5"/>
    </row>
    <row r="3" spans="1:9" x14ac:dyDescent="0.25">
      <c r="A3" t="str">
        <f>IF(Input!A4="","",Input!A4)</f>
        <v>Core Strategy 3</v>
      </c>
      <c r="B3" s="1"/>
      <c r="F3" s="5"/>
      <c r="G3" s="5"/>
      <c r="H3" s="5"/>
      <c r="I3" s="5"/>
    </row>
    <row r="4" spans="1:9" x14ac:dyDescent="0.25">
      <c r="A4" t="str">
        <f>IF(Input!A5="","",Input!A5)</f>
        <v>Core Strategy 4 - Income</v>
      </c>
      <c r="B4" s="1"/>
      <c r="F4" s="5"/>
      <c r="G4" s="5"/>
      <c r="H4" s="5"/>
      <c r="I4" s="5"/>
    </row>
    <row r="5" spans="1:9" x14ac:dyDescent="0.25">
      <c r="A5" t="str">
        <f>IF(Input!A6="","",Input!A6)</f>
        <v>Core Strategy 4</v>
      </c>
      <c r="B5" s="1"/>
      <c r="F5" s="5"/>
      <c r="G5" s="5"/>
      <c r="H5" s="5"/>
      <c r="I5" s="5"/>
    </row>
    <row r="6" spans="1:9" x14ac:dyDescent="0.25">
      <c r="A6" t="str">
        <f>IF(Input!A7="","",Input!A7)</f>
        <v>Core Strategy 5</v>
      </c>
      <c r="B6" s="1"/>
      <c r="F6" s="5"/>
      <c r="G6" s="5"/>
      <c r="H6" s="5"/>
      <c r="I6" s="5"/>
    </row>
    <row r="7" spans="1:9" x14ac:dyDescent="0.25">
      <c r="A7" t="str">
        <f>IF(Input!A8="","",Input!A8)</f>
        <v>Core Strategy 6</v>
      </c>
      <c r="B7" s="1"/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H14" sqref="H14"/>
    </sheetView>
  </sheetViews>
  <sheetFormatPr defaultRowHeight="15" x14ac:dyDescent="0.25"/>
  <cols>
    <col min="1" max="1" width="22.85546875" bestFit="1" customWidth="1"/>
    <col min="2" max="2" width="8.140625" style="10" bestFit="1" customWidth="1"/>
    <col min="3" max="3" width="30.7109375" style="10" bestFit="1" customWidth="1"/>
    <col min="4" max="4" width="31.42578125" style="10" bestFit="1" customWidth="1"/>
    <col min="5" max="5" width="15.85546875" style="10" bestFit="1" customWidth="1"/>
    <col min="6" max="6" width="20" style="10" bestFit="1" customWidth="1"/>
    <col min="7" max="7" width="12.85546875" style="10" bestFit="1" customWidth="1"/>
    <col min="8" max="8" width="20.85546875" style="10" bestFit="1" customWidth="1"/>
    <col min="9" max="9" width="13.5703125" style="10" bestFit="1" customWidth="1"/>
    <col min="10" max="10" width="28.7109375" style="10" bestFit="1" customWidth="1"/>
    <col min="11" max="11" width="12.42578125" style="10" bestFit="1" customWidth="1"/>
    <col min="12" max="12" width="31.28515625" bestFit="1" customWidth="1"/>
    <col min="13" max="13" width="26.85546875" bestFit="1" customWidth="1"/>
    <col min="14" max="14" width="20.85546875" bestFit="1" customWidth="1"/>
    <col min="15" max="15" width="15.85546875" bestFit="1" customWidth="1"/>
    <col min="16" max="16" width="13.57031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46</v>
      </c>
      <c r="C1" s="10" t="s">
        <v>47</v>
      </c>
      <c r="D1" s="10" t="s">
        <v>48</v>
      </c>
      <c r="E1" s="10" t="s">
        <v>49</v>
      </c>
      <c r="F1" s="10" t="s">
        <v>50</v>
      </c>
      <c r="G1" s="10" t="s">
        <v>51</v>
      </c>
      <c r="H1" s="10" t="s">
        <v>52</v>
      </c>
      <c r="I1" s="10" t="s">
        <v>53</v>
      </c>
      <c r="J1" s="10" t="s">
        <v>54</v>
      </c>
      <c r="K1" s="10" t="s">
        <v>55</v>
      </c>
      <c r="L1" t="s">
        <v>56</v>
      </c>
      <c r="M1" t="s">
        <v>57</v>
      </c>
      <c r="N1" t="s">
        <v>52</v>
      </c>
      <c r="O1" t="s">
        <v>49</v>
      </c>
      <c r="P1" t="s">
        <v>53</v>
      </c>
    </row>
    <row r="2" spans="1:30" x14ac:dyDescent="0.25">
      <c r="A2" t="str">
        <f>IF(Input!A3="","",Input!A3)</f>
        <v>Core Strategy 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Core Strategy 3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Core Strategy 4 - Income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Core Strategy 4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Core Strategy 5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Core Strategy 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12" sqref="C12"/>
    </sheetView>
  </sheetViews>
  <sheetFormatPr defaultRowHeight="15" x14ac:dyDescent="0.25"/>
  <cols>
    <col min="1" max="1" width="22.85546875" bestFit="1" customWidth="1"/>
    <col min="2" max="2" width="77.85546875" bestFit="1" customWidth="1"/>
    <col min="3" max="3" width="24.140625" bestFit="1" customWidth="1"/>
    <col min="4" max="4" width="93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Strategy 2</v>
      </c>
      <c r="B2" s="11" t="s">
        <v>38</v>
      </c>
      <c r="C2" t="s">
        <v>39</v>
      </c>
      <c r="D2" s="8" t="s">
        <v>60</v>
      </c>
    </row>
    <row r="3" spans="1:5" x14ac:dyDescent="0.25">
      <c r="A3" t="str">
        <f>IF(Input!A4="","",Input!A4)</f>
        <v>Core Strategy 3</v>
      </c>
      <c r="B3" s="11" t="s">
        <v>38</v>
      </c>
      <c r="C3" t="s">
        <v>39</v>
      </c>
      <c r="D3" s="8" t="s">
        <v>60</v>
      </c>
    </row>
    <row r="4" spans="1:5" x14ac:dyDescent="0.25">
      <c r="A4" t="str">
        <f>IF(Input!A5="","",Input!A5)</f>
        <v>Core Strategy 4 - Income</v>
      </c>
      <c r="B4" s="11" t="s">
        <v>38</v>
      </c>
      <c r="C4" t="s">
        <v>39</v>
      </c>
      <c r="D4" s="8" t="s">
        <v>60</v>
      </c>
    </row>
    <row r="5" spans="1:5" x14ac:dyDescent="0.25">
      <c r="A5" t="str">
        <f>IF(Input!A6="","",Input!A6)</f>
        <v>Core Strategy 4</v>
      </c>
      <c r="B5" s="11" t="s">
        <v>38</v>
      </c>
      <c r="C5" t="s">
        <v>39</v>
      </c>
      <c r="D5" s="8" t="s">
        <v>60</v>
      </c>
    </row>
    <row r="6" spans="1:5" x14ac:dyDescent="0.25">
      <c r="A6" t="str">
        <f>IF(Input!A7="","",Input!A7)</f>
        <v>Core Strategy 5</v>
      </c>
      <c r="B6" s="11" t="s">
        <v>38</v>
      </c>
      <c r="C6" t="s">
        <v>39</v>
      </c>
      <c r="D6" s="8" t="s">
        <v>60</v>
      </c>
    </row>
    <row r="7" spans="1:5" x14ac:dyDescent="0.25">
      <c r="A7" t="str">
        <f>IF(Input!A8="","",Input!A8)</f>
        <v>Core Strategy 6</v>
      </c>
      <c r="B7" s="11" t="s">
        <v>38</v>
      </c>
      <c r="C7" t="s">
        <v>39</v>
      </c>
      <c r="D7" s="8" t="s">
        <v>60</v>
      </c>
    </row>
    <row r="8" spans="1:5" x14ac:dyDescent="0.25">
      <c r="A8" t="str">
        <f>IF(Input!A9="","",Input!A9)</f>
        <v/>
      </c>
      <c r="B8" s="11"/>
    </row>
    <row r="9" spans="1:5" x14ac:dyDescent="0.25">
      <c r="A9" t="str">
        <f>IF(Input!A10="","",Input!A10)</f>
        <v/>
      </c>
      <c r="B9" s="11"/>
    </row>
    <row r="10" spans="1:5" x14ac:dyDescent="0.25">
      <c r="A10" t="str">
        <f>IF(Input!A11="","",Input!A11)</f>
        <v/>
      </c>
      <c r="B10" s="11"/>
    </row>
    <row r="11" spans="1:5" x14ac:dyDescent="0.25">
      <c r="A11" t="str">
        <f>IF(Input!A12="","",Input!A12)</f>
        <v/>
      </c>
      <c r="B11" s="11"/>
    </row>
    <row r="12" spans="1:5" x14ac:dyDescent="0.25">
      <c r="A12" t="str">
        <f>IF(Input!A13="","",Input!A13)</f>
        <v/>
      </c>
      <c r="B12" s="11"/>
    </row>
    <row r="13" spans="1:5" x14ac:dyDescent="0.25">
      <c r="A13" t="str">
        <f>IF(Input!A14="","",Input!A14)</f>
        <v/>
      </c>
      <c r="B13" s="11"/>
    </row>
    <row r="14" spans="1:5" x14ac:dyDescent="0.25">
      <c r="A14" t="str">
        <f>IF(Input!A15="","",Input!A15)</f>
        <v/>
      </c>
      <c r="B14" s="11"/>
    </row>
    <row r="15" spans="1:5" x14ac:dyDescent="0.25">
      <c r="A15" t="str">
        <f>IF(Input!A16="","",Input!A16)</f>
        <v/>
      </c>
      <c r="B15" s="11"/>
    </row>
    <row r="16" spans="1:5" x14ac:dyDescent="0.25">
      <c r="A16" t="str">
        <f>IF(Input!A17="","",Input!A17)</f>
        <v/>
      </c>
      <c r="B16" s="11"/>
    </row>
    <row r="17" spans="1:2" x14ac:dyDescent="0.25">
      <c r="A17" t="str">
        <f>IF(Input!A18="","",Input!A18)</f>
        <v/>
      </c>
      <c r="B17" s="11"/>
    </row>
    <row r="18" spans="1:2" x14ac:dyDescent="0.25">
      <c r="A18" t="str">
        <f>IF(Input!A19="","",Input!A19)</f>
        <v/>
      </c>
      <c r="B18" s="11"/>
    </row>
    <row r="19" spans="1:2" x14ac:dyDescent="0.25">
      <c r="A19" t="str">
        <f>IF(Input!A20="","",Input!A20)</f>
        <v/>
      </c>
      <c r="B19" s="11"/>
    </row>
    <row r="20" spans="1:2" x14ac:dyDescent="0.25">
      <c r="A20" t="str">
        <f>IF(Input!A21="","",Input!A21)</f>
        <v/>
      </c>
      <c r="B20" s="11"/>
    </row>
    <row r="21" spans="1:2" x14ac:dyDescent="0.25">
      <c r="A21" t="str">
        <f>IF(Input!A22="","",Input!A22)</f>
        <v/>
      </c>
      <c r="B21" s="11"/>
    </row>
    <row r="22" spans="1:2" x14ac:dyDescent="0.25">
      <c r="A22" t="str">
        <f>IF(Input!A23="","",Input!A23)</f>
        <v/>
      </c>
      <c r="B22" s="11"/>
    </row>
    <row r="23" spans="1:2" x14ac:dyDescent="0.25">
      <c r="A23" t="str">
        <f>IF(Input!A24="","",Input!A24)</f>
        <v/>
      </c>
      <c r="B23" s="11"/>
    </row>
    <row r="24" spans="1:2" x14ac:dyDescent="0.25">
      <c r="A24" t="str">
        <f>IF(Input!A25="","",Input!A25)</f>
        <v/>
      </c>
      <c r="B24" s="11"/>
    </row>
    <row r="25" spans="1:2" x14ac:dyDescent="0.25">
      <c r="A25" t="str">
        <f>IF(Input!A26="","",Input!A26)</f>
        <v/>
      </c>
      <c r="B25" s="11"/>
    </row>
    <row r="26" spans="1:2" x14ac:dyDescent="0.25">
      <c r="A26" t="str">
        <f>IF(Input!A27="","",Input!A27)</f>
        <v/>
      </c>
      <c r="B26" s="11"/>
    </row>
    <row r="27" spans="1:2" x14ac:dyDescent="0.25">
      <c r="A27" t="str">
        <f>IF(Input!A28="","",Input!A28)</f>
        <v/>
      </c>
      <c r="B27" s="11"/>
    </row>
    <row r="28" spans="1:2" x14ac:dyDescent="0.25">
      <c r="A28" t="str">
        <f>IF(Input!A29="","",Input!A29)</f>
        <v/>
      </c>
      <c r="B28" s="11"/>
    </row>
    <row r="29" spans="1:2" x14ac:dyDescent="0.25">
      <c r="A29" t="str">
        <f>IF(Input!A30="","",Input!A30)</f>
        <v/>
      </c>
      <c r="B29" s="11"/>
    </row>
    <row r="30" spans="1:2" x14ac:dyDescent="0.25">
      <c r="A30" t="str">
        <f>IF(Input!A31="","",Input!A31)</f>
        <v/>
      </c>
      <c r="B30" s="11"/>
    </row>
    <row r="31" spans="1:2" x14ac:dyDescent="0.25">
      <c r="A31" t="str">
        <f>IF(Input!A32="","",Input!A32)</f>
        <v/>
      </c>
      <c r="B31" s="11"/>
    </row>
    <row r="32" spans="1:2" x14ac:dyDescent="0.25">
      <c r="A32" t="str">
        <f>IF(Input!A33="","",Input!A33)</f>
        <v/>
      </c>
      <c r="B32" s="11"/>
    </row>
    <row r="33" spans="1:2" x14ac:dyDescent="0.25">
      <c r="A33" t="str">
        <f>IF(Input!A34="","",Input!A34)</f>
        <v/>
      </c>
      <c r="B33" s="11"/>
    </row>
    <row r="34" spans="1:2" x14ac:dyDescent="0.25">
      <c r="A34" t="str">
        <f>IF(Input!A35="","",Input!A35)</f>
        <v/>
      </c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Strategy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Core Strategy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Core Strategy 4 - Income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Core Strategy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Core Strategy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Core Strategy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Strategy 2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Strategy 3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Strategy 4 - Income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Strategy 4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Strategy 5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Core Strategy 6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Strategy 2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Core Strategy 3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Core Strategy 4 - Income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Core Strategy 4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Core Strategy 5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Core Strategy 6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Strategy 2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Core Strategy 3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Core Strategy 4 - Income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Core Strategy 4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Strategy 5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Core Strategy 6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Strategy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Core Strategy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Core Strategy 4 - Income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Core Strategy 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Core Strategy 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Core Strategy 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2023-10-23T13:29:15Z</dcterms:modified>
</cp:coreProperties>
</file>