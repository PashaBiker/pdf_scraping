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8_milestone\Tribe Impact Capital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<sst xmlns="http://schemas.openxmlformats.org/spreadsheetml/2006/main" count="65" uniqueCount="58">
  <si>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</si>
  <si>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</si>
  <si>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</si>
  <si>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</si>
  <si>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</si>
  <si>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</si>
  <si>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</si>
  <si>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</si>
  <si>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</si>
  <si>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</si>
  <si>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</si>
  <si>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</si>
  <si>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</si>
  <si>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</si>
  <si>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</si>
  <si>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</si>
  <si>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</si>
  <si>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</si>
  <si>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</si>
  <si>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</si>
  <si>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</si>
  <si>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</si>
  <si>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</si>
  <si>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</si>
  <si>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</si>
  <si>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</si>
  <si>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</si>
  <si>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</si>
  <si>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</si>
  <si>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</si>
  <si>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</si>
  <si>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</si>
  <si>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</si>
  <si>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</si>
  <si>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</si>
  <si>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</si>
  <si>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https://tribeimpactcapital.com/recommending-a-simps-portfolio/</t>
  </si>
  <si>
    <t>Low risk factsheet</t>
  </si>
  <si>
    <t>Medium-low risk factsheet</t>
  </si>
  <si>
    <t>Medium risk factsheet</t>
  </si>
  <si>
    <t>Medium-high risk factsheet</t>
  </si>
  <si>
    <t>High risk factsheet</t>
  </si>
  <si>
    <t>Equity risk factsheet</t>
  </si>
  <si>
    <t>Low risk</t>
  </si>
  <si>
    <t>Medium-low risk</t>
  </si>
  <si>
    <t>Medium risk</t>
  </si>
  <si>
    <t>Medium-high risk</t>
  </si>
  <si>
    <t>High risk</t>
  </si>
  <si>
    <t>Equity risk</t>
  </si>
  <si>
    <t>MANAGEMENT FEE</t>
  </si>
  <si>
    <t>OCF OF UNDERLYING FUNDS</t>
  </si>
  <si>
    <t>CASH</t>
  </si>
  <si>
    <t>GOVERNMENT BOND</t>
  </si>
  <si>
    <t>INVESTMENT GRADE</t>
  </si>
  <si>
    <t>UK EQUITY</t>
  </si>
  <si>
    <t>GLOBAL EQUITY</t>
  </si>
  <si>
    <t>ASIA PACIFIC EQUITY</t>
  </si>
  <si>
    <t>EMERGING MARKETS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</si>
</sst>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5</xdr:col>
      <xdr:colOff>578036</xdr:colOff>
      <xdr:row>17</xdr:row>
      <xdr:rowOff>12852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0E5A1E-DD6E-C2A2-06BF-A83310D43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3626036" cy="29592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88900</xdr:rowOff>
    </xdr:from>
    <xdr:to>
      <xdr:col>6</xdr:col>
      <xdr:colOff>22787</xdr:colOff>
      <xdr:row>24</xdr:row>
      <xdr:rowOff>127073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CFAB3BD-58B4-7AD2-E389-DCA3EDBF42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03600"/>
          <a:ext cx="3680387" cy="1143073"/>
        </a:xfrm>
        <a:prstGeom prst="rect">
          <a:avLst/>
        </a:prstGeom>
      </xdr:spPr>
    </xdr:pic>
    <xdr:clientData/>
  </xdr:twoCellAnchor>
  <xdr:twoCellAnchor editAs="oneCell">
    <xdr:from>
      <xdr:col>6</xdr:col>
      <xdr:colOff>565112</xdr:colOff>
      <xdr:row>1</xdr:row>
      <xdr:rowOff>120650</xdr:rowOff>
    </xdr:from>
    <xdr:to>
      <xdr:col>13</xdr:col>
      <xdr:colOff>355963</xdr:colOff>
      <xdr:row>12</xdr:row>
      <xdr:rowOff>171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D8E45C8-4125-5E14-C9F7-E155A1E81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22712" y="304800"/>
          <a:ext cx="4058051" cy="19051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3" sqref="H3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8"/>
  <sheetViews>
    <sheetView workbookViewId="0">
      <selection activeCell="A3" sqref="A3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43</v>
      </c>
      <c r="B3">
        <f>'PDF Scraping'!D2</f>
        <v>0</v>
      </c>
      <c r="J3" s="4"/>
    </row>
    <row r="4" spans="1:10" x14ac:dyDescent="0.25">
      <c r="A4" t="s">
        <v>44</v>
      </c>
      <c r="B4">
        <f>'PDF Scraping'!D3</f>
        <v>0</v>
      </c>
      <c r="J4" s="4"/>
    </row>
    <row r="5" spans="1:10" x14ac:dyDescent="0.25">
      <c r="A5" t="s">
        <v>45</v>
      </c>
      <c r="B5">
        <f>'PDF Scraping'!D4</f>
        <v>0</v>
      </c>
    </row>
    <row r="6" spans="1:10" x14ac:dyDescent="0.25">
      <c r="A6" t="s">
        <v>46</v>
      </c>
      <c r="B6">
        <f>'PDF Scraping'!D5</f>
        <v>0</v>
      </c>
    </row>
    <row r="7" spans="1:10" x14ac:dyDescent="0.25">
      <c r="A7" t="s">
        <v>47</v>
      </c>
      <c r="B7">
        <f>'PDF Scraping'!D6</f>
        <v>0</v>
      </c>
    </row>
    <row r="8" spans="1:10" x14ac:dyDescent="0.25">
      <c r="A8" t="s">
        <v>48</v>
      </c>
      <c r="B8">
        <f>'PDF Scraping'!D7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E4" sqref="E4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49</v>
      </c>
      <c r="D1" s="10" t="s">
        <v>50</v>
      </c>
      <c r="E1" s="10" t="s">
        <v>35</v>
      </c>
    </row>
    <row r="2" spans="1:9" x14ac:dyDescent="0.25">
      <c r="A2" t="str">
        <f>IF(Input!A3="","",Input!A3)</f>
        <v>Low risk</v>
      </c>
      <c r="B2" s="1"/>
      <c r="F2" s="5"/>
      <c r="G2" s="5"/>
      <c r="H2" s="5"/>
      <c r="I2" s="5"/>
    </row>
    <row r="3" spans="1:9" x14ac:dyDescent="0.25">
      <c r="A3" t="str">
        <f>IF(Input!A4="","",Input!A4)</f>
        <v>Medium-low risk</v>
      </c>
      <c r="B3" s="1"/>
      <c r="F3" s="5"/>
      <c r="G3" s="5"/>
      <c r="H3" s="5"/>
      <c r="I3" s="5"/>
    </row>
    <row r="4" spans="1:9" x14ac:dyDescent="0.25">
      <c r="A4" t="str">
        <f>IF(Input!A5="","",Input!A5)</f>
        <v>Medium risk</v>
      </c>
      <c r="B4" s="1"/>
      <c r="F4" s="5"/>
      <c r="G4" s="5"/>
      <c r="H4" s="5"/>
      <c r="I4" s="5"/>
    </row>
    <row r="5" spans="1:9" x14ac:dyDescent="0.25">
      <c r="A5" t="str">
        <f>IF(Input!A6="","",Input!A6)</f>
        <v>Medium-high risk</v>
      </c>
      <c r="B5" s="1"/>
      <c r="F5" s="5"/>
      <c r="G5" s="5"/>
      <c r="H5" s="5"/>
      <c r="I5" s="5"/>
    </row>
    <row r="6" spans="1:9" x14ac:dyDescent="0.25">
      <c r="A6" t="str">
        <f>IF(Input!A7="","",Input!A7)</f>
        <v>High risk</v>
      </c>
      <c r="B6" s="1"/>
      <c r="F6" s="5"/>
      <c r="G6" s="5"/>
      <c r="H6" s="5"/>
      <c r="I6" s="5"/>
    </row>
    <row r="7" spans="1:9" x14ac:dyDescent="0.25">
      <c r="A7" t="str">
        <f>IF(Input!A8="","",Input!A8)</f>
        <v>Equity risk</v>
      </c>
      <c r="B7" s="1"/>
      <c r="F7" s="5"/>
      <c r="G7" s="5"/>
      <c r="H7" s="5"/>
      <c r="I7" s="5"/>
    </row>
    <row r="8" spans="1:9" x14ac:dyDescent="0.25">
      <c r="A8" t="str">
        <f>IF(Input!A9="","",Input!A9)</f>
        <v/>
      </c>
      <c r="B8" s="1"/>
      <c r="F8" s="5"/>
      <c r="G8" s="5"/>
      <c r="H8" s="5"/>
      <c r="I8" s="5"/>
    </row>
    <row r="9" spans="1:9" x14ac:dyDescent="0.25">
      <c r="A9" t="str">
        <f>IF(Input!A10="","",Input!A10)</f>
        <v/>
      </c>
      <c r="B9" s="1"/>
      <c r="F9" s="5"/>
      <c r="G9" s="5"/>
      <c r="H9" s="5"/>
      <c r="I9" s="5"/>
    </row>
    <row r="10" spans="1:9" x14ac:dyDescent="0.25">
      <c r="A10" t="str">
        <f>IF(Input!A11="","",Input!A11)</f>
        <v/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/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/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/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C34" sqref="C34"/>
    </sheetView>
  </sheetViews>
  <sheetFormatPr defaultRowHeight="15" x14ac:dyDescent="0.25"/>
  <cols>
    <col min="1" max="1" width="48" bestFit="1" customWidth="1"/>
    <col min="2" max="2" width="20.5703125" style="10" bestFit="1" customWidth="1"/>
    <col min="3" max="3" width="28.85546875" style="10" bestFit="1" customWidth="1"/>
    <col min="4" max="4" width="7.85546875" style="10" bestFit="1" customWidth="1"/>
    <col min="5" max="5" width="8.7109375" style="10" bestFit="1" customWidth="1"/>
    <col min="6" max="6" width="11.28515625" style="10" bestFit="1" customWidth="1"/>
    <col min="7" max="7" width="8" style="10" bestFit="1" customWidth="1"/>
    <col min="8" max="8" width="13.28515625" style="10" bestFit="1" customWidth="1"/>
    <col min="9" max="9" width="17.7109375" style="10" bestFit="1" customWidth="1"/>
    <col min="10" max="10" width="14.28515625" style="10" bestFit="1" customWidth="1"/>
    <col min="11" max="11" width="38" style="10" bestFit="1" customWidth="1"/>
    <col min="12" max="12" width="23" bestFit="1" customWidth="1"/>
    <col min="13" max="13" width="8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51</v>
      </c>
      <c r="C1" s="10" t="s">
        <v>52</v>
      </c>
      <c r="D1" s="10" t="s">
        <v>53</v>
      </c>
      <c r="E1" s="10" t="s">
        <v>54</v>
      </c>
      <c r="F1" s="10" t="s">
        <v>55</v>
      </c>
      <c r="G1" s="10" t="s">
        <v>56</v>
      </c>
      <c r="H1" s="10" t="s">
        <v>57</v>
      </c>
    </row>
    <row r="2" spans="1:30" x14ac:dyDescent="0.25">
      <c r="A2" t="str">
        <f>IF(Input!A3="","",Input!A3)</f>
        <v>Low risk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Medium-low risk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Medium risk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Medium-high risk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High risk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Equity risk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B40" sqref="B40"/>
    </sheetView>
  </sheetViews>
  <sheetFormatPr defaultRowHeight="15" x14ac:dyDescent="0.25"/>
  <cols>
    <col min="1" max="1" width="19.5703125" bestFit="1" customWidth="1"/>
    <col min="2" max="2" width="61.28515625" bestFit="1" customWidth="1"/>
    <col min="3" max="3" width="25.85546875" bestFit="1" customWidth="1"/>
    <col min="4" max="4" width="8.7109375" style="8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Low risk</v>
      </c>
      <c r="B2" t="s">
        <v>36</v>
      </c>
      <c r="C2" t="s">
        <v>37</v>
      </c>
    </row>
    <row r="3" spans="1:5" x14ac:dyDescent="0.25">
      <c r="A3" t="str">
        <f>IF(Input!A4="","",Input!A4)</f>
        <v>Medium-low risk</v>
      </c>
      <c r="B3" t="s">
        <v>36</v>
      </c>
      <c r="C3" t="s">
        <v>38</v>
      </c>
    </row>
    <row r="4" spans="1:5" x14ac:dyDescent="0.25">
      <c r="A4" t="str">
        <f>IF(Input!A5="","",Input!A5)</f>
        <v>Medium risk</v>
      </c>
      <c r="B4" t="s">
        <v>36</v>
      </c>
      <c r="C4" t="s">
        <v>39</v>
      </c>
    </row>
    <row r="5" spans="1:5" x14ac:dyDescent="0.25">
      <c r="A5" t="str">
        <f>IF(Input!A6="","",Input!A6)</f>
        <v>Medium-high risk</v>
      </c>
      <c r="B5" t="s">
        <v>36</v>
      </c>
      <c r="C5" t="s">
        <v>40</v>
      </c>
    </row>
    <row r="6" spans="1:5" x14ac:dyDescent="0.25">
      <c r="A6" t="str">
        <f>IF(Input!A7="","",Input!A7)</f>
        <v>High risk</v>
      </c>
      <c r="B6" t="s">
        <v>36</v>
      </c>
      <c r="C6" t="s">
        <v>41</v>
      </c>
    </row>
    <row r="7" spans="1:5" x14ac:dyDescent="0.25">
      <c r="A7" t="str">
        <f>IF(Input!A8="","",Input!A8)</f>
        <v>Equity risk</v>
      </c>
      <c r="B7" t="s">
        <v>36</v>
      </c>
      <c r="C7" t="s">
        <v>42</v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Low risk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Medium-low risk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Medium risk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Medium-high risk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High risk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Equity risk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Low risk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Medium-low risk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Medium risk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Medium-high risk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High risk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Equity risk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/>
      </c>
      <c r="C8" t="str">
        <f>IF(A8="","",IF(OR('Additional Information'!G8="",'Additional Information'!G8="-"),"",'Additional Information'!G8))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/>
      </c>
      <c r="C9" t="str">
        <f>IF(A9="","",IF(OR('Additional Information'!G9="",'Additional Information'!G9="-"),"",'Additional Information'!G9))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/>
      </c>
      <c r="C10" t="str">
        <f>IF(A10="","",IF(OR('Additional Information'!G10="",'Additional Information'!G10="-"),"",'Additional Information'!G10))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/>
      </c>
      <c r="C11" t="str">
        <f>IF(A11="","",IF(OR('Additional Information'!G11="",'Additional Information'!G11="-"),"",'Additional Information'!G11))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/>
      </c>
      <c r="C12" t="str">
        <f>IF(A12="","",IF(OR('Additional Information'!G12="",'Additional Information'!G12="-"),"",'Additional Information'!G12))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/>
      </c>
      <c r="C13" t="str">
        <f>IF(A13="","",IF(OR('Additional Information'!G13="",'Additional Information'!G13="-"),"",'Additional Information'!G13))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Low risk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Medium-low risk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25">
      <c r="A4" t="str">
        <f>IF(Input!A5="","",Input!A5)</f>
        <v>Medium risk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25">
      <c r="A5" t="str">
        <f>IF(Input!A6="","",Input!A6)</f>
        <v>Medium-high risk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25">
      <c r="A6" t="str">
        <f>IF(Input!A7="","",Input!A7)</f>
        <v>High risk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25">
      <c r="A7" t="str">
        <f>IF(Input!A8="","",Input!A8)</f>
        <v>Equity risk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Low risk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Medium-low risk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Medium risk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>Medium-high risk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High risk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Equity risk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Low risk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Medium-low risk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Medium risk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Medium-high risk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High risk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Equity risk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 risk</v>
      </c>
      <c r="C1" s="1" t="str">
        <v>Medium-low risk</v>
      </c>
      <c r="D1" t="str">
        <v>Medium risk</v>
      </c>
      <c r="E1" t="str">
        <v>Medium-high risk</v>
      </c>
      <c r="F1" t="str">
        <v>High risk</v>
      </c>
      <c r="G1" t="str">
        <v>Equity risk</v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2023-10-20T18:05:53Z</dcterms:modified>
</cp:coreProperties>
</file>