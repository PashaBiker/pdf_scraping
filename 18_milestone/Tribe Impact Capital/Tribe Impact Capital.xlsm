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8_milestone\Tribe Impact Capital\"/>
    </mc:Choice>
  </mc:AlternateContent>
  <bookViews>
    <workbookView xWindow="-105" yWindow="-105" windowWidth="19425" windowHeight="1030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<sst xmlns="http://schemas.openxmlformats.org/spreadsheetml/2006/main" count="77" uniqueCount="65">
  <si>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</si>
  <si>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</si>
  <si>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</si>
  <si>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</si>
  <si>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</si>
  <si>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</si>
  <si>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</si>
  <si>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</si>
  <si>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</si>
  <si>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</si>
  <si>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</si>
  <si>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</si>
  <si>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</si>
  <si>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</si>
  <si>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</si>
  <si>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</si>
  <si>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</si>
  <si>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</si>
  <si>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</si>
  <si>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</si>
  <si>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</si>
  <si>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</si>
  <si>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</si>
  <si>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</si>
  <si>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</si>
  <si>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</si>
  <si>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</si>
  <si>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</si>
  <si>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</si>
  <si>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</si>
  <si>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</si>
  <si>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</si>
  <si>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</si>
  <si>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</si>
  <si>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</si>
  <si>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</si>
  <si>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https://tribeimpactcapital.com/recommending-a-simps-portfolio/</t>
  </si>
  <si>
    <t>Low risk factsheet</t>
  </si>
  <si>
    <t>Medium-low risk factsheet</t>
  </si>
  <si>
    <t>Medium risk factsheet</t>
  </si>
  <si>
    <t>Medium-high risk factsheet</t>
  </si>
  <si>
    <t>High risk factsheet</t>
  </si>
  <si>
    <t>Equity risk factsheet</t>
  </si>
  <si>
    <t>Low risk</t>
  </si>
  <si>
    <t>Medium-low risk</t>
  </si>
  <si>
    <t>Medium risk</t>
  </si>
  <si>
    <t>Medium-high risk</t>
  </si>
  <si>
    <t>High risk</t>
  </si>
  <si>
    <t>Equity risk</t>
  </si>
  <si>
    <t>MANAGEMENT FEE</t>
  </si>
  <si>
    <t>OCF OF UNDERLYING FUNDS</t>
  </si>
  <si>
    <t>CASH</t>
  </si>
  <si>
    <t>GOVERNMENT BOND</t>
  </si>
  <si>
    <t>INVESTMENT GRADE</t>
  </si>
  <si>
    <t>UK EQUITY</t>
  </si>
  <si>
    <t>GLOBAL EQUITY</t>
  </si>
  <si>
    <t>ASIA PACIFIC EQUITY</t>
  </si>
  <si>
    <t>EMERGING MARKETS</t>
  </si>
  <si>
    <t>https://tribeimpactcapital.com/wp-content/uploads/2023/10/SIMPS-low-risk-factsheet-Sep23.pdf</t>
  </si>
  <si>
    <t>https://tribeimpactcapital.com/wp-content/uploads/2023/10/SIMPS-medium-low-risk-factsheet-Sep23.pdf</t>
  </si>
  <si>
    <t>https://tribeimpactcapital.com/wp-content/uploads/2023/10/SIMPS-medium-risk-factsheet-Sep23.pdf</t>
  </si>
  <si>
    <t>https://tribeimpactcapital.com/wp-content/uploads/2023/10/SIMPS-medium-high-risk-Sep23.pdf</t>
  </si>
  <si>
    <t>https://tribeimpactcapital.com/wp-content/uploads/2023/10/SIMPS-high-risk-factsheet-Sep23.pdf</t>
  </si>
  <si>
    <t>https://tribeimpactcapital.com/wp-content/uploads/2023/10/SIMPS-equity-risk-factsheet-Sep23.pdf</t>
  </si>
  <si>
    <t>30.09.2023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</si>
</sst>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5</xdr:col>
      <xdr:colOff>578036</xdr:colOff>
      <xdr:row>17</xdr:row>
      <xdr:rowOff>12852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0E5A1E-DD6E-C2A2-06BF-A83310D43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3626036" cy="29592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88900</xdr:rowOff>
    </xdr:from>
    <xdr:to>
      <xdr:col>6</xdr:col>
      <xdr:colOff>22787</xdr:colOff>
      <xdr:row>24</xdr:row>
      <xdr:rowOff>127073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CFAB3BD-58B4-7AD2-E389-DCA3EDBF4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03600"/>
          <a:ext cx="3680387" cy="1143073"/>
        </a:xfrm>
        <a:prstGeom prst="rect">
          <a:avLst/>
        </a:prstGeom>
      </xdr:spPr>
    </xdr:pic>
    <xdr:clientData/>
  </xdr:twoCellAnchor>
  <xdr:twoCellAnchor editAs="oneCell">
    <xdr:from>
      <xdr:col>6</xdr:col>
      <xdr:colOff>565112</xdr:colOff>
      <xdr:row>1</xdr:row>
      <xdr:rowOff>120650</xdr:rowOff>
    </xdr:from>
    <xdr:to>
      <xdr:col>13</xdr:col>
      <xdr:colOff>355963</xdr:colOff>
      <xdr:row>12</xdr:row>
      <xdr:rowOff>171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D8E45C8-4125-5E14-C9F7-E155A1E81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22712" y="304800"/>
          <a:ext cx="4058051" cy="19051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zoomScale="130" zoomScaleNormal="130" workbookViewId="0">
      <selection activeCell="H3" sqref="H3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8"/>
  <sheetViews>
    <sheetView workbookViewId="0">
      <selection activeCell="C36" sqref="C36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43</v>
      </c>
      <c r="B3" t="str">
        <f>'PDF Scraping'!D2</f>
        <v>https://tribeimpactcapital.com/wp-content/uploads/2023/10/SIMPS-low-risk-factsheet-Sep23.pdf</v>
      </c>
      <c r="J3" s="4"/>
    </row>
    <row r="4" spans="1:10" x14ac:dyDescent="0.25">
      <c r="A4" t="s">
        <v>44</v>
      </c>
      <c r="B4" t="str">
        <f>'PDF Scraping'!D3</f>
        <v>https://tribeimpactcapital.com/wp-content/uploads/2023/10/SIMPS-medium-low-risk-factsheet-Sep23.pdf</v>
      </c>
      <c r="J4" s="4"/>
    </row>
    <row r="5" spans="1:10" x14ac:dyDescent="0.25">
      <c r="A5" t="s">
        <v>45</v>
      </c>
      <c r="B5" t="str">
        <f>'PDF Scraping'!D4</f>
        <v>https://tribeimpactcapital.com/wp-content/uploads/2023/10/SIMPS-medium-risk-factsheet-Sep23.pdf</v>
      </c>
    </row>
    <row r="6" spans="1:10" x14ac:dyDescent="0.25">
      <c r="A6" t="s">
        <v>46</v>
      </c>
      <c r="B6" t="str">
        <f>'PDF Scraping'!D5</f>
        <v>https://tribeimpactcapital.com/wp-content/uploads/2023/10/SIMPS-medium-high-risk-Sep23.pdf</v>
      </c>
    </row>
    <row r="7" spans="1:10" x14ac:dyDescent="0.25">
      <c r="A7" t="s">
        <v>47</v>
      </c>
      <c r="B7" t="str">
        <f>'PDF Scraping'!D6</f>
        <v>https://tribeimpactcapital.com/wp-content/uploads/2023/10/SIMPS-high-risk-factsheet-Sep23.pdf</v>
      </c>
    </row>
    <row r="8" spans="1:10" x14ac:dyDescent="0.25">
      <c r="A8" t="s">
        <v>48</v>
      </c>
      <c r="B8" t="str">
        <f>'PDF Scraping'!D7</f>
        <v>https://tribeimpactcapital.com/wp-content/uploads/2023/10/SIMPS-equity-risk-factsheet-Sep23.pdf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tabSelected="1" workbookViewId="0">
      <selection activeCell="C15" sqref="C15"/>
    </sheetView>
  </sheetViews>
  <sheetFormatPr defaultRowHeight="15" x14ac:dyDescent="0.25"/>
  <cols>
    <col min="1" max="1" width="26.140625" bestFit="1" customWidth="1"/>
    <col min="2" max="2" width="54" bestFit="1" customWidth="1"/>
    <col min="3" max="3" width="17.85546875" style="10" bestFit="1" customWidth="1"/>
    <col min="4" max="4" width="26.140625" style="10" bestFit="1" customWidth="1"/>
    <col min="5" max="5" width="6.8554687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49</v>
      </c>
      <c r="D1" s="10" t="s">
        <v>50</v>
      </c>
      <c r="E1" s="10" t="s">
        <v>35</v>
      </c>
    </row>
    <row r="2" spans="1:9" x14ac:dyDescent="0.25">
      <c r="A2" t="str">
        <f>IF(Input!A3="","",Input!A3)</f>
        <v>Low risk</v>
      </c>
      <c r="B2" s="1" t="s">
        <v>64</v>
      </c>
      <c r="C2" s="10">
        <v>2.5000000000000001E-3</v>
      </c>
      <c r="D2" s="10">
        <v>4.8999999999999998E-3</v>
      </c>
      <c r="E2" s="10">
        <v>8.0000000000000002E-3</v>
      </c>
      <c r="F2" s="5"/>
      <c r="G2" s="5"/>
      <c r="H2" s="5"/>
      <c r="I2" s="5"/>
    </row>
    <row r="3" spans="1:9" x14ac:dyDescent="0.25">
      <c r="A3" t="str">
        <f>IF(Input!A4="","",Input!A4)</f>
        <v>Medium-low risk</v>
      </c>
      <c r="B3" s="1" t="s">
        <v>64</v>
      </c>
      <c r="C3" s="10">
        <v>2.5000000000000001E-3</v>
      </c>
      <c r="D3" s="10">
        <v>5.3E-3</v>
      </c>
      <c r="E3" s="10">
        <v>0.01</v>
      </c>
      <c r="F3" s="5"/>
      <c r="G3" s="5"/>
      <c r="H3" s="5"/>
      <c r="I3" s="5"/>
    </row>
    <row r="4" spans="1:9" x14ac:dyDescent="0.25">
      <c r="A4" t="str">
        <f>IF(Input!A5="","",Input!A5)</f>
        <v>Medium risk</v>
      </c>
      <c r="B4" s="1" t="s">
        <v>64</v>
      </c>
      <c r="C4" s="10">
        <v>2.5000000000000001E-3</v>
      </c>
      <c r="D4" s="10">
        <v>6.6E-3</v>
      </c>
      <c r="E4" s="10">
        <v>0</v>
      </c>
      <c r="F4" s="5"/>
      <c r="G4" s="5"/>
      <c r="H4" s="5"/>
      <c r="I4" s="5"/>
    </row>
    <row r="5" spans="1:9" x14ac:dyDescent="0.25">
      <c r="A5" t="str">
        <f>IF(Input!A6="","",Input!A6)</f>
        <v>Medium-high risk</v>
      </c>
      <c r="B5" s="1" t="s">
        <v>64</v>
      </c>
      <c r="C5" s="10">
        <v>2.5000000000000001E-3</v>
      </c>
      <c r="D5" s="10">
        <v>7.1999999999999998E-3</v>
      </c>
      <c r="E5" s="10">
        <v>-2E-3</v>
      </c>
      <c r="F5" s="5"/>
      <c r="G5" s="5"/>
      <c r="H5" s="5"/>
      <c r="I5" s="5"/>
    </row>
    <row r="6" spans="1:9" x14ac:dyDescent="0.25">
      <c r="A6" t="str">
        <f>IF(Input!A7="","",Input!A7)</f>
        <v>High risk</v>
      </c>
      <c r="B6" s="1" t="s">
        <v>64</v>
      </c>
      <c r="C6" s="10">
        <v>2.5000000000000001E-3</v>
      </c>
      <c r="D6" s="10">
        <v>7.6E-3</v>
      </c>
      <c r="E6" s="10">
        <v>-1.4999999999999999E-2</v>
      </c>
      <c r="F6" s="5"/>
      <c r="G6" s="5"/>
      <c r="H6" s="5"/>
      <c r="I6" s="5"/>
    </row>
    <row r="7" spans="1:9" x14ac:dyDescent="0.25">
      <c r="A7" t="str">
        <f>IF(Input!A8="","",Input!A8)</f>
        <v>Equity risk</v>
      </c>
      <c r="B7" s="1" t="s">
        <v>64</v>
      </c>
      <c r="C7" s="10">
        <v>2.5000000000000001E-3</v>
      </c>
      <c r="D7" s="10">
        <v>9.0000000000000011E-3</v>
      </c>
      <c r="E7" s="10">
        <v>-1.1000000000000001E-2</v>
      </c>
      <c r="F7" s="5"/>
      <c r="G7" s="5"/>
      <c r="H7" s="5"/>
      <c r="I7" s="5"/>
    </row>
    <row r="8" spans="1:9" x14ac:dyDescent="0.25">
      <c r="A8" t="str">
        <f>IF(Input!A9="","",Input!A9)</f>
        <v/>
      </c>
      <c r="B8" s="1"/>
      <c r="F8" s="5"/>
      <c r="G8" s="5"/>
      <c r="H8" s="5"/>
      <c r="I8" s="5"/>
    </row>
    <row r="9" spans="1:9" x14ac:dyDescent="0.25">
      <c r="A9" t="str">
        <f>IF(Input!A10="","",Input!A10)</f>
        <v/>
      </c>
      <c r="B9" s="1"/>
      <c r="F9" s="5"/>
      <c r="G9" s="5"/>
      <c r="H9" s="5"/>
      <c r="I9" s="5"/>
    </row>
    <row r="10" spans="1:9" x14ac:dyDescent="0.25">
      <c r="A10" t="str">
        <f>IF(Input!A11="","",Input!A11)</f>
        <v/>
      </c>
      <c r="B10" s="1"/>
      <c r="F10" s="5"/>
      <c r="G10" s="5"/>
      <c r="H10" s="5"/>
      <c r="I10" s="5"/>
    </row>
    <row r="11" spans="1:9" x14ac:dyDescent="0.25">
      <c r="A11" t="str">
        <f>IF(Input!A12="","",Input!A12)</f>
        <v/>
      </c>
      <c r="B11" s="1"/>
      <c r="F11" s="5"/>
      <c r="G11" s="5"/>
      <c r="H11" s="5"/>
      <c r="I11" s="5"/>
    </row>
    <row r="12" spans="1:9" x14ac:dyDescent="0.25">
      <c r="A12" t="str">
        <f>IF(Input!A13="","",Input!A13)</f>
        <v/>
      </c>
      <c r="B12" s="1"/>
      <c r="F12" s="5"/>
      <c r="G12" s="5"/>
      <c r="H12" s="5"/>
      <c r="I12" s="5"/>
    </row>
    <row r="13" spans="1:9" x14ac:dyDescent="0.25">
      <c r="A13" t="str">
        <f>IF(Input!A14="","",Input!A14)</f>
        <v/>
      </c>
      <c r="B13" s="1"/>
      <c r="F13" s="5"/>
      <c r="G13" s="5"/>
      <c r="H13" s="5"/>
      <c r="I13" s="5"/>
    </row>
    <row r="14" spans="1:9" x14ac:dyDescent="0.25">
      <c r="A14" t="str">
        <f>IF(Input!A15="","",Input!A15)</f>
        <v/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H14" sqref="H14"/>
    </sheetView>
  </sheetViews>
  <sheetFormatPr defaultRowHeight="15" x14ac:dyDescent="0.25"/>
  <cols>
    <col min="1" max="1" width="16.7109375" bestFit="1" customWidth="1"/>
    <col min="2" max="2" width="7.140625" style="10" bestFit="1" customWidth="1"/>
    <col min="3" max="3" width="19.7109375" style="10" bestFit="1" customWidth="1"/>
    <col min="4" max="4" width="19.140625" style="10" bestFit="1" customWidth="1"/>
    <col min="5" max="5" width="10.140625" style="10" bestFit="1" customWidth="1"/>
    <col min="6" max="6" width="14.7109375" style="10" bestFit="1" customWidth="1"/>
    <col min="7" max="8" width="19.42578125" style="10" bestFit="1" customWidth="1"/>
    <col min="9" max="9" width="17.7109375" style="10" bestFit="1" customWidth="1"/>
    <col min="10" max="10" width="14.28515625" style="10" bestFit="1" customWidth="1"/>
    <col min="11" max="11" width="38" style="10" bestFit="1" customWidth="1"/>
    <col min="12" max="12" width="23" bestFit="1" customWidth="1"/>
    <col min="13" max="13" width="8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51</v>
      </c>
      <c r="C1" s="10" t="s">
        <v>52</v>
      </c>
      <c r="D1" s="10" t="s">
        <v>53</v>
      </c>
      <c r="E1" s="10" t="s">
        <v>54</v>
      </c>
      <c r="F1" s="10" t="s">
        <v>55</v>
      </c>
      <c r="G1" s="10" t="s">
        <v>56</v>
      </c>
      <c r="H1" s="10" t="s">
        <v>57</v>
      </c>
    </row>
    <row r="2" spans="1:30" x14ac:dyDescent="0.25">
      <c r="A2" t="str">
        <f>IF(Input!A3="","",Input!A3)</f>
        <v>Low risk</v>
      </c>
      <c r="B2" s="10">
        <v>0.15</v>
      </c>
      <c r="C2" s="10">
        <v>9.5000000000000001E-2</v>
      </c>
      <c r="D2" s="10">
        <v>0.51400000000000001</v>
      </c>
      <c r="E2" s="10">
        <v>2.4E-2</v>
      </c>
      <c r="F2" s="10">
        <v>0.217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Medium-low risk</v>
      </c>
      <c r="B3" s="10">
        <v>0.14099999999999999</v>
      </c>
      <c r="C3" s="10">
        <v>7.400000000000001E-2</v>
      </c>
      <c r="D3" s="10">
        <v>0.42399999999999999</v>
      </c>
      <c r="E3" s="10">
        <v>2.5000000000000001E-2</v>
      </c>
      <c r="F3" s="10">
        <v>0.32100000000000001</v>
      </c>
      <c r="G3" s="10">
        <v>1.4999999999999999E-2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Medium risk</v>
      </c>
      <c r="B4" s="10">
        <v>7.4999999999999997E-2</v>
      </c>
      <c r="C4" s="10">
        <v>5.2999999999999999E-2</v>
      </c>
      <c r="D4" s="10">
        <v>0.33500000000000002</v>
      </c>
      <c r="E4" s="10">
        <v>4.2000000000000003E-2</v>
      </c>
      <c r="F4" s="10">
        <v>0.44</v>
      </c>
      <c r="G4" s="10">
        <v>2.5000000000000001E-2</v>
      </c>
      <c r="H4" s="10">
        <v>0.03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Medium-high risk</v>
      </c>
      <c r="B5" s="10">
        <v>5.7999999999999996E-2</v>
      </c>
      <c r="C5" s="10">
        <v>2.4E-2</v>
      </c>
      <c r="D5" s="10">
        <v>0.27800000000000002</v>
      </c>
      <c r="E5" s="10">
        <v>4.9000000000000002E-2</v>
      </c>
      <c r="F5" s="10">
        <v>0.51600000000000001</v>
      </c>
      <c r="G5" s="10">
        <v>0.04</v>
      </c>
      <c r="H5" s="10">
        <v>3.5000000000000003E-2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High risk</v>
      </c>
      <c r="B6" s="10">
        <v>4.4999999999999998E-2</v>
      </c>
      <c r="C6" s="10">
        <v>1.4999999999999999E-2</v>
      </c>
      <c r="D6" s="10">
        <v>0.214</v>
      </c>
      <c r="E6" s="10">
        <v>5.2000000000000005E-2</v>
      </c>
      <c r="F6" s="10">
        <v>0.58899999999999997</v>
      </c>
      <c r="G6" s="10">
        <v>0.05</v>
      </c>
      <c r="H6" s="10">
        <v>3.5000000000000003E-2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Equity risk</v>
      </c>
      <c r="B7" s="10">
        <v>0.01</v>
      </c>
      <c r="E7" s="10">
        <v>7.0000000000000007E-2</v>
      </c>
      <c r="F7" s="10">
        <v>0.78500000000000003</v>
      </c>
      <c r="G7" s="10">
        <v>7.4999999999999997E-2</v>
      </c>
      <c r="H7" s="10">
        <v>0.06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D10" sqref="D10"/>
    </sheetView>
  </sheetViews>
  <sheetFormatPr defaultRowHeight="15" x14ac:dyDescent="0.25"/>
  <cols>
    <col min="1" max="1" width="19.5703125" bestFit="1" customWidth="1"/>
    <col min="2" max="2" width="61.28515625" bestFit="1" customWidth="1"/>
    <col min="3" max="3" width="25.85546875" bestFit="1" customWidth="1"/>
    <col min="4" max="4" width="98.85546875" style="8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Low risk</v>
      </c>
      <c r="B2" t="s">
        <v>36</v>
      </c>
      <c r="C2" t="s">
        <v>37</v>
      </c>
      <c r="D2" s="8" t="s">
        <v>58</v>
      </c>
    </row>
    <row r="3" spans="1:5" x14ac:dyDescent="0.25">
      <c r="A3" t="str">
        <f>IF(Input!A4="","",Input!A4)</f>
        <v>Medium-low risk</v>
      </c>
      <c r="B3" t="s">
        <v>36</v>
      </c>
      <c r="C3" t="s">
        <v>38</v>
      </c>
      <c r="D3" s="8" t="s">
        <v>59</v>
      </c>
    </row>
    <row r="4" spans="1:5" x14ac:dyDescent="0.25">
      <c r="A4" t="str">
        <f>IF(Input!A5="","",Input!A5)</f>
        <v>Medium risk</v>
      </c>
      <c r="B4" t="s">
        <v>36</v>
      </c>
      <c r="C4" t="s">
        <v>39</v>
      </c>
      <c r="D4" s="8" t="s">
        <v>60</v>
      </c>
    </row>
    <row r="5" spans="1:5" x14ac:dyDescent="0.25">
      <c r="A5" t="str">
        <f>IF(Input!A6="","",Input!A6)</f>
        <v>Medium-high risk</v>
      </c>
      <c r="B5" t="s">
        <v>36</v>
      </c>
      <c r="C5" t="s">
        <v>40</v>
      </c>
      <c r="D5" s="8" t="s">
        <v>61</v>
      </c>
    </row>
    <row r="6" spans="1:5" x14ac:dyDescent="0.25">
      <c r="A6" t="str">
        <f>IF(Input!A7="","",Input!A7)</f>
        <v>High risk</v>
      </c>
      <c r="B6" t="s">
        <v>36</v>
      </c>
      <c r="C6" t="s">
        <v>41</v>
      </c>
      <c r="D6" s="8" t="s">
        <v>62</v>
      </c>
    </row>
    <row r="7" spans="1:5" x14ac:dyDescent="0.25">
      <c r="A7" t="str">
        <f>IF(Input!A8="","",Input!A8)</f>
        <v>Equity risk</v>
      </c>
      <c r="B7" t="s">
        <v>36</v>
      </c>
      <c r="C7" t="s">
        <v>42</v>
      </c>
      <c r="D7" s="8" t="s">
        <v>63</v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Low risk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Medium-low risk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>Medium risk</v>
      </c>
      <c r="B4" s="1">
        <f>IF(A4="","",EOMONTH(DATE(YEAR(IF(A4="","",'Additional Information'!B4)),MONTH(IF(A4="","",'Additional Information'!B4)),DAY(IF(A4="","",'Additional Information'!B4))),0))</f>
        <v>45199</v>
      </c>
    </row>
    <row r="5" spans="1:2" x14ac:dyDescent="0.25">
      <c r="A5" t="str">
        <f>IF(Input!A6="","",Input!A6)</f>
        <v>Medium-high risk</v>
      </c>
      <c r="B5" s="1">
        <f>IF(A5="","",EOMONTH(DATE(YEAR(IF(A5="","",'Additional Information'!B5)),MONTH(IF(A5="","",'Additional Information'!B5)),DAY(IF(A5="","",'Additional Information'!B5))),0))</f>
        <v>45199</v>
      </c>
    </row>
    <row r="6" spans="1:2" x14ac:dyDescent="0.25">
      <c r="A6" t="str">
        <f>IF(Input!A7="","",Input!A7)</f>
        <v>High risk</v>
      </c>
      <c r="B6" s="1">
        <f>IF(A6="","",EOMONTH(DATE(YEAR(IF(A6="","",'Additional Information'!B6)),MONTH(IF(A6="","",'Additional Information'!B6)),DAY(IF(A6="","",'Additional Information'!B6))),0))</f>
        <v>45199</v>
      </c>
    </row>
    <row r="7" spans="1:2" x14ac:dyDescent="0.25">
      <c r="A7" t="str">
        <f>IF(Input!A8="","",Input!A8)</f>
        <v>Equity risk</v>
      </c>
      <c r="B7" s="1">
        <f>IF(A7="","",EOMONTH(DATE(YEAR(IF(A7="","",'Additional Information'!B7)),MONTH(IF(A7="","",'Additional Information'!B7)),DAY(IF(A7="","",'Additional Information'!B7))),0))</f>
        <v>45199</v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Low risk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7.4000000000000003E-3</v>
      </c>
      <c r="E2">
        <f>IF(A2="","",SUM('Additional Information'!C2))</f>
        <v>2.5000000000000001E-3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Medium-low risk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7.7999999999999996E-3</v>
      </c>
      <c r="E3">
        <f>IF(A3="","",SUM('Additional Information'!C3))</f>
        <v>2.5000000000000001E-3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Medium risk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9.1000000000000004E-3</v>
      </c>
      <c r="E4">
        <f>IF(A4="","",SUM('Additional Information'!C4))</f>
        <v>2.5000000000000001E-3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Medium-high risk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9.7000000000000003E-3</v>
      </c>
      <c r="E5">
        <f>IF(A5="","",SUM('Additional Information'!C5))</f>
        <v>2.5000000000000001E-3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High risk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1.01E-2</v>
      </c>
      <c r="E6">
        <f>IF(A6="","",SUM('Additional Information'!C6))</f>
        <v>2.5000000000000001E-3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Equity risk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1.1500000000000002E-2</v>
      </c>
      <c r="E7">
        <f>IF(A7="","",SUM('Additional Information'!C7))</f>
        <v>2.5000000000000001E-3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/>
      </c>
      <c r="C8" t="str">
        <f>IF(A8="","",IF(OR('Additional Information'!G8="",'Additional Information'!G8="-"),"",'Additional Information'!G8))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/>
      </c>
      <c r="C9" t="str">
        <f>IF(A9="","",IF(OR('Additional Information'!G9="",'Additional Information'!G9="-"),"",'Additional Information'!G9))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/>
      </c>
      <c r="C10" t="str">
        <f>IF(A10="","",IF(OR('Additional Information'!G10="",'Additional Information'!G10="-"),"",'Additional Information'!G10))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/>
      </c>
      <c r="C11" t="str">
        <f>IF(A11="","",IF(OR('Additional Information'!G11="",'Additional Information'!G11="-"),"",'Additional Information'!G11))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/>
      </c>
      <c r="C12" t="str">
        <f>IF(A12="","",IF(OR('Additional Information'!G12="",'Additional Information'!G12="-"),"",'Additional Information'!G12))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/>
      </c>
      <c r="C13" t="str">
        <f>IF(A13="","",IF(OR('Additional Information'!G13="",'Additional Information'!G13="-"),"",'Additional Information'!G13))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/>
      </c>
      <c r="C14" t="str">
        <f>IF(A14="","",IF(OR('Additional Information'!G14="",'Additional Information'!G14="-"),"",'Additional Information'!G14))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Low risk</v>
      </c>
      <c r="B2">
        <f>IF(A2="","",SUM('Asset Allocation'!F2,'Asset Allocation'!G2,'Asset Allocation'!H2,'Asset Allocation'!I2,'Asset Allocation'!J2,'Asset Allocation'!K2))</f>
        <v>0.217</v>
      </c>
      <c r="C2">
        <f>IF(A2="","",SUM('Asset Allocation'!C2))</f>
        <v>9.5000000000000001E-2</v>
      </c>
      <c r="D2">
        <f>IF(A2="","",SUM('Asset Allocation'!D2))</f>
        <v>0.51400000000000001</v>
      </c>
      <c r="F2">
        <f>IF(A2="","",SUM('Asset Allocation'!E2))</f>
        <v>2.4E-2</v>
      </c>
      <c r="G2">
        <f>IF(A2="","",SUM('Asset Allocation'!B2))</f>
        <v>0.15</v>
      </c>
      <c r="H2">
        <f t="shared" ref="H2:H50" si="0">IF(A2="","",1-SUM(B2:G2))</f>
        <v>0</v>
      </c>
    </row>
    <row r="3" spans="1:8" x14ac:dyDescent="0.25">
      <c r="A3" t="str">
        <f>IF(Input!A4="","",Input!A4)</f>
        <v>Medium-low risk</v>
      </c>
      <c r="B3">
        <f>IF(A3="","",SUM('Asset Allocation'!F3,'Asset Allocation'!G3,'Asset Allocation'!H3,'Asset Allocation'!I3,'Asset Allocation'!J3,'Asset Allocation'!K3))</f>
        <v>0.33600000000000002</v>
      </c>
      <c r="C3">
        <f>IF(A3="","",SUM('Asset Allocation'!C3))</f>
        <v>7.400000000000001E-2</v>
      </c>
      <c r="D3">
        <f>IF(A3="","",SUM('Asset Allocation'!D3))</f>
        <v>0.42399999999999999</v>
      </c>
      <c r="F3">
        <f>IF(A3="","",SUM('Asset Allocation'!E3))</f>
        <v>2.5000000000000001E-2</v>
      </c>
      <c r="G3">
        <f>IF(A3="","",SUM('Asset Allocation'!B3))</f>
        <v>0.14099999999999999</v>
      </c>
      <c r="H3">
        <f t="shared" si="0"/>
        <v>0</v>
      </c>
    </row>
    <row r="4" spans="1:8" x14ac:dyDescent="0.25">
      <c r="A4" t="str">
        <f>IF(Input!A5="","",Input!A5)</f>
        <v>Medium risk</v>
      </c>
      <c r="B4">
        <f>IF(A4="","",SUM('Asset Allocation'!F4,'Asset Allocation'!G4,'Asset Allocation'!H4,'Asset Allocation'!I4,'Asset Allocation'!J4,'Asset Allocation'!K4))</f>
        <v>0.495</v>
      </c>
      <c r="C4">
        <f>IF(A4="","",SUM('Asset Allocation'!C4))</f>
        <v>5.2999999999999999E-2</v>
      </c>
      <c r="D4">
        <f>IF(A4="","",SUM('Asset Allocation'!D4))</f>
        <v>0.33500000000000002</v>
      </c>
      <c r="F4">
        <f>IF(A4="","",SUM('Asset Allocation'!E4))</f>
        <v>4.2000000000000003E-2</v>
      </c>
      <c r="G4">
        <f>IF(A4="","",SUM('Asset Allocation'!B4))</f>
        <v>7.4999999999999997E-2</v>
      </c>
      <c r="H4">
        <f t="shared" si="0"/>
        <v>0</v>
      </c>
    </row>
    <row r="5" spans="1:8" x14ac:dyDescent="0.25">
      <c r="A5" t="str">
        <f>IF(Input!A6="","",Input!A6)</f>
        <v>Medium-high risk</v>
      </c>
      <c r="B5">
        <f>IF(A5="","",SUM('Asset Allocation'!F5,'Asset Allocation'!G5,'Asset Allocation'!H5,'Asset Allocation'!I5,'Asset Allocation'!J5,'Asset Allocation'!K5))</f>
        <v>0.59100000000000008</v>
      </c>
      <c r="C5">
        <f>IF(A5="","",SUM('Asset Allocation'!C5))</f>
        <v>2.4E-2</v>
      </c>
      <c r="D5">
        <f>IF(A5="","",SUM('Asset Allocation'!D5))</f>
        <v>0.27800000000000002</v>
      </c>
      <c r="F5">
        <f>IF(A5="","",SUM('Asset Allocation'!E5))</f>
        <v>4.9000000000000002E-2</v>
      </c>
      <c r="G5">
        <f>IF(A5="","",SUM('Asset Allocation'!B5))</f>
        <v>5.7999999999999996E-2</v>
      </c>
      <c r="H5">
        <f t="shared" si="0"/>
        <v>-2.2204460492503131E-16</v>
      </c>
    </row>
    <row r="6" spans="1:8" x14ac:dyDescent="0.25">
      <c r="A6" t="str">
        <f>IF(Input!A7="","",Input!A7)</f>
        <v>High risk</v>
      </c>
      <c r="B6">
        <f>IF(A6="","",SUM('Asset Allocation'!F6,'Asset Allocation'!G6,'Asset Allocation'!H6,'Asset Allocation'!I6,'Asset Allocation'!J6,'Asset Allocation'!K6))</f>
        <v>0.67400000000000004</v>
      </c>
      <c r="C6">
        <f>IF(A6="","",SUM('Asset Allocation'!C6))</f>
        <v>1.4999999999999999E-2</v>
      </c>
      <c r="D6">
        <f>IF(A6="","",SUM('Asset Allocation'!D6))</f>
        <v>0.214</v>
      </c>
      <c r="F6">
        <f>IF(A6="","",SUM('Asset Allocation'!E6))</f>
        <v>5.2000000000000005E-2</v>
      </c>
      <c r="G6">
        <f>IF(A6="","",SUM('Asset Allocation'!B6))</f>
        <v>4.4999999999999998E-2</v>
      </c>
      <c r="H6">
        <f t="shared" si="0"/>
        <v>0</v>
      </c>
    </row>
    <row r="7" spans="1:8" x14ac:dyDescent="0.25">
      <c r="A7" t="str">
        <f>IF(Input!A8="","",Input!A8)</f>
        <v>Equity risk</v>
      </c>
      <c r="B7">
        <f>IF(A7="","",SUM('Asset Allocation'!F7,'Asset Allocation'!G7,'Asset Allocation'!H7,'Asset Allocation'!I7,'Asset Allocation'!J7,'Asset Allocation'!K7))</f>
        <v>0.91999999999999993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7.0000000000000007E-2</v>
      </c>
      <c r="G7">
        <f>IF(A7="","",SUM('Asset Allocation'!B7))</f>
        <v>0.01</v>
      </c>
      <c r="H7">
        <f t="shared" si="0"/>
        <v>0</v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Low risk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1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Medium-low risk</v>
      </c>
      <c r="B3" s="6">
        <f>IFERROR(IF(A3="","",SUM('Asset Allocation'!G3)/'Broad Asset Allocation'!B3),0)</f>
        <v>4.4642857142857137E-2</v>
      </c>
      <c r="C3" s="6">
        <f>IFERROR(IF(A3="","",SUM('Asset Allocation'!F3)/'Broad Asset Allocation'!B3),0)</f>
        <v>0.95535714285714279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Medium risk</v>
      </c>
      <c r="B4" s="6">
        <f>IFERROR(IF(A4="","",SUM('Asset Allocation'!G4)/'Broad Asset Allocation'!B4),0)</f>
        <v>5.0505050505050511E-2</v>
      </c>
      <c r="C4" s="6">
        <f>IFERROR(IF(A4="","",SUM('Asset Allocation'!F4)/'Broad Asset Allocation'!B4),0)</f>
        <v>0.88888888888888895</v>
      </c>
      <c r="D4" s="6">
        <f>IFERROR(IF(A4="","",SUM('Asset Allocation'!H4)/'Broad Asset Allocation'!B4),0)</f>
        <v>6.0606060606060608E-2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Medium-high risk</v>
      </c>
      <c r="B5" s="6">
        <f>IFERROR(IF(A5="","",SUM('Asset Allocation'!G5)/'Broad Asset Allocation'!B5),0)</f>
        <v>6.7681895093062591E-2</v>
      </c>
      <c r="C5" s="6">
        <f>IFERROR(IF(A5="","",SUM('Asset Allocation'!F5)/'Broad Asset Allocation'!B5),0)</f>
        <v>0.87309644670050757</v>
      </c>
      <c r="D5" s="6">
        <f>IFERROR(IF(A5="","",SUM('Asset Allocation'!H5)/'Broad Asset Allocation'!B5),0)</f>
        <v>5.9221658206429779E-2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High risk</v>
      </c>
      <c r="B6" s="6">
        <f>IFERROR(IF(A6="","",SUM('Asset Allocation'!G6)/'Broad Asset Allocation'!B6),0)</f>
        <v>7.418397626112759E-2</v>
      </c>
      <c r="C6" s="6">
        <f>IFERROR(IF(A6="","",SUM('Asset Allocation'!F6)/'Broad Asset Allocation'!B6),0)</f>
        <v>0.87388724035608301</v>
      </c>
      <c r="D6" s="6">
        <f>IFERROR(IF(A6="","",SUM('Asset Allocation'!H6)/'Broad Asset Allocation'!B6),0)</f>
        <v>5.192878338278932E-2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Equity risk</v>
      </c>
      <c r="B7" s="6">
        <f>IFERROR(IF(A7="","",SUM('Asset Allocation'!G7)/'Broad Asset Allocation'!B7),0)</f>
        <v>8.1521739130434784E-2</v>
      </c>
      <c r="C7" s="6">
        <f>IFERROR(IF(A7="","",SUM('Asset Allocation'!F7)/'Broad Asset Allocation'!B7),0)</f>
        <v>0.85326086956521752</v>
      </c>
      <c r="D7" s="6">
        <f>IFERROR(IF(A7="","",SUM('Asset Allocation'!H7)/'Broad Asset Allocation'!B7),0)</f>
        <v>6.5217391304347824E-2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Low risk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Medium-low risk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Medium risk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Medium-high risk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High risk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Equity risk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2023-10-22T10:31:41Z</dcterms:modified>
</cp:coreProperties>
</file>