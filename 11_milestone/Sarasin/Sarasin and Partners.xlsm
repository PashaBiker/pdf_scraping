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Sarasin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5" l="1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D16" i="4"/>
  <c r="F16" i="4"/>
  <c r="E16" i="4"/>
  <c r="G16" i="4"/>
  <c r="B24" i="4"/>
  <c r="C24" i="4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D29" i="4"/>
  <c r="E29" i="4"/>
  <c r="G29" i="4"/>
  <c r="D38" i="4"/>
  <c r="F38" i="4"/>
  <c r="E38" i="4"/>
  <c r="G38" i="4"/>
  <c r="C38" i="4"/>
  <c r="B38" i="4"/>
  <c r="F15" i="4"/>
  <c r="B15" i="4"/>
  <c r="C15" i="4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D17" i="4"/>
  <c r="E25" i="4"/>
  <c r="G25" i="4"/>
  <c r="F25" i="4"/>
  <c r="B25" i="4"/>
  <c r="C25" i="4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D18" i="4"/>
  <c r="F18" i="4"/>
  <c r="E18" i="4"/>
  <c r="G18" i="4"/>
  <c r="B26" i="4"/>
  <c r="C26" i="4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D21" i="4"/>
  <c r="E21" i="4"/>
  <c r="G21" i="4"/>
  <c r="D22" i="4"/>
  <c r="F22" i="4"/>
  <c r="E22" i="4"/>
  <c r="G22" i="4"/>
  <c r="B22" i="4"/>
  <c r="C22" i="4"/>
  <c r="C11" i="4"/>
  <c r="H11" i="8" s="1"/>
  <c r="D11" i="4"/>
  <c r="F11" i="4"/>
  <c r="E11" i="4"/>
  <c r="G11" i="4"/>
  <c r="B11" i="4"/>
  <c r="C19" i="4"/>
  <c r="D19" i="4"/>
  <c r="E19" i="4"/>
  <c r="G19" i="4"/>
  <c r="F19" i="4"/>
  <c r="B19" i="4"/>
  <c r="C27" i="4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F20" i="4"/>
  <c r="E20" i="4"/>
  <c r="D20" i="4"/>
  <c r="G28" i="4"/>
  <c r="B28" i="4"/>
  <c r="C28" i="4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<sst xmlns="http://schemas.openxmlformats.org/spreadsheetml/2006/main" count="68" uniqueCount="54">
  <si>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</si>
  <si>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</si>
  <si>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</si>
  <si>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</si>
  <si>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</si>
  <si>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</si>
  <si>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</si>
  <si>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</si>
  <si>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</si>
  <si>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</si>
  <si>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</si>
  <si>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</si>
  <si>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</si>
  <si>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</si>
  <si>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</si>
  <si>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</si>
  <si>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</si>
  <si>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</si>
  <si>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</si>
  <si>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</si>
  <si>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</si>
  <si>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</si>
  <si>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</si>
  <si>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</si>
  <si>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</si>
  <si>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</si>
  <si>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</si>
  <si>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</si>
  <si>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</si>
  <si>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</si>
  <si>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</si>
  <si>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</si>
  <si>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North America</t>
  </si>
  <si>
    <t>1m</t>
  </si>
  <si>
    <t>Equities</t>
  </si>
  <si>
    <t>Sarasin Model Portfolio - Cautious</t>
  </si>
  <si>
    <t>Sarasin Model Portfolio - Defensive</t>
  </si>
  <si>
    <t>Sarasin Model Portfolio - Balanced</t>
  </si>
  <si>
    <t>Sarasin Model Portfolio - Growth</t>
  </si>
  <si>
    <t>Sarasin Model Portfolio - Equity</t>
  </si>
  <si>
    <t>https://sarasinandpartners.com/investment-professional/outsourced-solutions/model-portfolios/</t>
  </si>
  <si>
    <t>DFM Fee</t>
  </si>
  <si>
    <t>OCF (Inclusive of DFM Fee)</t>
  </si>
  <si>
    <t>1y</t>
  </si>
  <si>
    <t>Fixed Income</t>
  </si>
  <si>
    <t>Alternative Investments</t>
  </si>
  <si>
    <t>Liquid Assets</t>
  </si>
  <si>
    <t>Europe Ex-UK</t>
  </si>
  <si>
    <t>Pacific Basin Ex-Japan</t>
  </si>
  <si>
    <t>https://sarasinandpartners.com/wp-content/uploads/2021/03/Sarasin-Thematic-Model-Portfolio-Cautious.pdf</t>
  </si>
  <si>
    <t>https://sarasinandpartners.com/wp-content/uploads/2021/03/Sarasin-Thematic-Model-Portfolio-Defensive.pdf</t>
  </si>
  <si>
    <t>https://sarasinandpartners.com/wp-content/uploads/2021/03/Sarasin-Thematic-Model-Portfolio-Balanced.pdf</t>
  </si>
  <si>
    <t>https://sarasinandpartners.com/wp-content/uploads/2021/03/Sarasin-Thematic-Model-Portfolio-Growth.pdf</t>
  </si>
  <si>
    <t>https://sarasinandpartners.com/wp-content/uploads/2021/03/Sarasin-Thematic-Model-Portfolio-Equity.pdf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</si>
</sst>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0</xdr:row>
      <xdr:rowOff>165100</xdr:rowOff>
    </xdr:from>
    <xdr:to>
      <xdr:col>4</xdr:col>
      <xdr:colOff>349255</xdr:colOff>
      <xdr:row>16</xdr:row>
      <xdr:rowOff>139877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553A73C-437A-DD53-6426-6A43BF59D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" y="165100"/>
          <a:ext cx="2781305" cy="29211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6</xdr:col>
      <xdr:colOff>533615</xdr:colOff>
      <xdr:row>27</xdr:row>
      <xdr:rowOff>165203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0DEBE2-810A-025D-30AE-340C7EE13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30550"/>
          <a:ext cx="4191215" cy="200670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69850</xdr:rowOff>
    </xdr:from>
    <xdr:to>
      <xdr:col>12</xdr:col>
      <xdr:colOff>57310</xdr:colOff>
      <xdr:row>23</xdr:row>
      <xdr:rowOff>205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7C4E073-A2BB-215C-1A8C-F646936A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254000"/>
          <a:ext cx="3105310" cy="398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A4" sqref="A4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https://sarasinandpartners.com/wp-content/uploads/2021/03/Sarasin-Thematic-Model-Portfolio-Cautious.pdf</v>
      </c>
      <c r="J3" s="4"/>
    </row>
    <row r="4" spans="1:10" x14ac:dyDescent="0.25">
      <c r="A4" t="s">
        <v>36</v>
      </c>
      <c r="B4" t="str">
        <f>'PDF Scraping'!D3</f>
        <v>https://sarasinandpartners.com/wp-content/uploads/2021/03/Sarasin-Thematic-Model-Portfolio-Defensive.pdf</v>
      </c>
      <c r="J4" s="4"/>
    </row>
    <row r="5" spans="1:10" x14ac:dyDescent="0.25">
      <c r="A5" t="s">
        <v>37</v>
      </c>
      <c r="B5" t="str">
        <f>'PDF Scraping'!D4</f>
        <v>https://sarasinandpartners.com/wp-content/uploads/2021/03/Sarasin-Thematic-Model-Portfolio-Balanced.pdf</v>
      </c>
    </row>
    <row r="6" spans="1:10" x14ac:dyDescent="0.25">
      <c r="A6" t="s">
        <v>38</v>
      </c>
      <c r="B6" t="str">
        <f>'PDF Scraping'!D5</f>
        <v>https://sarasinandpartners.com/wp-content/uploads/2021/03/Sarasin-Thematic-Model-Portfolio-Growth.pdf</v>
      </c>
    </row>
    <row r="7" spans="1:10" x14ac:dyDescent="0.25">
      <c r="A7" t="s">
        <v>39</v>
      </c>
      <c r="B7" t="str">
        <f>'PDF Scraping'!D6</f>
        <v>https://sarasinandpartners.com/wp-content/uploads/2021/03/Sarasin-Thematic-Model-Portfolio-Equity.pdf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F7" sqref="B2:F7"/>
    </sheetView>
  </sheetViews>
  <sheetFormatPr defaultRowHeight="15" x14ac:dyDescent="0.25"/>
  <cols>
    <col min="1" max="1" width="33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41</v>
      </c>
      <c r="D1" t="s">
        <v>42</v>
      </c>
      <c r="E1" t="s">
        <v>43</v>
      </c>
      <c r="F1" t="s">
        <v>33</v>
      </c>
    </row>
    <row r="2" spans="1:6" x14ac:dyDescent="0.25">
      <c r="A2" t="str">
        <f>IF(Input!A3="","",Input!A3)</f>
        <v>Sarasin Model Portfolio - Cautious</v>
      </c>
      <c r="B2" s="1">
        <v>45138</v>
      </c>
      <c r="C2" s="5">
        <v>2.5000000000000001E-3</v>
      </c>
      <c r="D2" s="5">
        <v>6.4000000000000003E-3</v>
      </c>
      <c r="E2" s="5">
        <v>-2.6000000000000002E-2</v>
      </c>
      <c r="F2" s="5">
        <v>1.6E-2</v>
      </c>
    </row>
    <row r="3" spans="1:6" x14ac:dyDescent="0.25">
      <c r="A3" t="str">
        <f>IF(Input!A4="","",Input!A4)</f>
        <v>Sarasin Model Portfolio - Defensive</v>
      </c>
      <c r="B3" s="1">
        <v>45138</v>
      </c>
      <c r="C3" s="5">
        <v>2.5000000000000001E-3</v>
      </c>
      <c r="D3" s="5">
        <v>5.7999999999999996E-3</v>
      </c>
      <c r="E3" s="5">
        <v>-4.4000000000000004E-2</v>
      </c>
      <c r="F3" s="5">
        <v>1.3999999999999999E-2</v>
      </c>
    </row>
    <row r="4" spans="1:6" x14ac:dyDescent="0.25">
      <c r="A4" t="str">
        <f>IF(Input!A5="","",Input!A5)</f>
        <v>Sarasin Model Portfolio - Balanced</v>
      </c>
      <c r="B4" s="1">
        <v>45138</v>
      </c>
      <c r="C4" s="5">
        <v>2.5000000000000001E-3</v>
      </c>
      <c r="D4" s="5">
        <v>6.9999999999999993E-3</v>
      </c>
      <c r="E4" s="5">
        <v>-1E-3</v>
      </c>
      <c r="F4" s="5">
        <v>1.7000000000000001E-2</v>
      </c>
    </row>
    <row r="5" spans="1:6" x14ac:dyDescent="0.25">
      <c r="A5" t="str">
        <f>IF(Input!A6="","",Input!A6)</f>
        <v>Sarasin Model Portfolio - Growth</v>
      </c>
      <c r="B5" s="1">
        <v>45138</v>
      </c>
      <c r="C5" s="5">
        <v>2.5000000000000001E-3</v>
      </c>
      <c r="D5" s="5">
        <v>7.4000000000000003E-3</v>
      </c>
      <c r="E5" s="5">
        <v>3.4000000000000002E-2</v>
      </c>
      <c r="F5" s="5">
        <v>1.9E-2</v>
      </c>
    </row>
    <row r="6" spans="1:6" x14ac:dyDescent="0.25">
      <c r="A6" t="str">
        <f>IF(Input!A7="","",Input!A7)</f>
        <v>Sarasin Model Portfolio - Equity</v>
      </c>
      <c r="B6" s="1">
        <v>45138</v>
      </c>
      <c r="C6" s="5">
        <v>2.5000000000000001E-3</v>
      </c>
      <c r="D6" s="5">
        <v>7.6E-3</v>
      </c>
      <c r="E6" s="5">
        <v>5.4000000000000006E-2</v>
      </c>
      <c r="F6" s="5">
        <v>2.1000000000000001E-2</v>
      </c>
    </row>
    <row r="7" spans="1:6" x14ac:dyDescent="0.25">
      <c r="A7" t="str">
        <f>IF(Input!A8="","",Input!A8)</f>
        <v/>
      </c>
      <c r="B7" s="1"/>
      <c r="C7" s="5"/>
      <c r="D7" s="5"/>
      <c r="E7" s="5"/>
      <c r="F7" s="5"/>
    </row>
    <row r="8" spans="1:6" x14ac:dyDescent="0.25">
      <c r="A8" t="str">
        <f>IF(Input!A9="","",Input!A9)</f>
        <v/>
      </c>
      <c r="B8" s="1"/>
      <c r="C8" s="5"/>
      <c r="D8" s="5"/>
      <c r="E8" s="5"/>
      <c r="F8" s="5"/>
    </row>
    <row r="9" spans="1:6" x14ac:dyDescent="0.25">
      <c r="A9" t="str">
        <f>IF(Input!A10="","",Input!A10)</f>
        <v/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K6"/>
    </sheetView>
  </sheetViews>
  <sheetFormatPr defaultRowHeight="15" x14ac:dyDescent="0.25"/>
  <cols>
    <col min="1" max="1" width="33" bestFit="1" customWidth="1"/>
    <col min="2" max="2" width="8.140625" bestFit="1" customWidth="1"/>
    <col min="3" max="3" width="12.85546875" bestFit="1" customWidth="1"/>
    <col min="4" max="4" width="22.85546875" bestFit="1" customWidth="1"/>
    <col min="5" max="5" width="12.5703125" bestFit="1" customWidth="1"/>
    <col min="6" max="6" width="14" bestFit="1" customWidth="1"/>
    <col min="7" max="7" width="12.85546875" bestFit="1" customWidth="1"/>
    <col min="8" max="8" width="17" bestFit="1" customWidth="1"/>
    <col min="9" max="9" width="15.42578125" bestFit="1" customWidth="1"/>
    <col min="10" max="10" width="6.140625" bestFit="1" customWidth="1"/>
    <col min="11" max="11" width="20.28515625" bestFit="1" customWidth="1"/>
    <col min="12" max="12" width="13" bestFit="1" customWidth="1"/>
    <col min="13" max="13" width="14.140625" bestFit="1" customWidth="1"/>
    <col min="14" max="14" width="6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34</v>
      </c>
      <c r="C1" t="s">
        <v>44</v>
      </c>
      <c r="D1" t="s">
        <v>45</v>
      </c>
      <c r="E1" t="s">
        <v>46</v>
      </c>
      <c r="F1" t="s">
        <v>32</v>
      </c>
      <c r="G1" t="s">
        <v>47</v>
      </c>
      <c r="H1" t="s">
        <v>9</v>
      </c>
      <c r="I1" t="s">
        <v>8</v>
      </c>
      <c r="J1" t="s">
        <v>5</v>
      </c>
      <c r="K1" t="s">
        <v>48</v>
      </c>
    </row>
    <row r="2" spans="1:30" x14ac:dyDescent="0.25">
      <c r="A2" t="str">
        <f>IF(Input!A3="","",Input!A3)</f>
        <v>Sarasin Model Portfolio - Cautious</v>
      </c>
      <c r="B2" s="5">
        <v>0.38799999999999996</v>
      </c>
      <c r="C2" s="5">
        <v>0.53299999999999992</v>
      </c>
      <c r="D2" s="5">
        <v>5.5E-2</v>
      </c>
      <c r="E2" s="5">
        <v>2.4E-2</v>
      </c>
      <c r="F2" s="5">
        <v>0.52</v>
      </c>
      <c r="G2" s="5">
        <v>0.151</v>
      </c>
      <c r="H2" s="5">
        <v>0.13</v>
      </c>
      <c r="I2" s="5">
        <v>9.3000000000000013E-2</v>
      </c>
      <c r="J2" s="5">
        <v>0.06</v>
      </c>
      <c r="K2" s="5">
        <v>4.5999999999999999E-2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Sarasin Model Portfolio - Defensive</v>
      </c>
      <c r="B3" s="10">
        <v>0.193</v>
      </c>
      <c r="C3" s="10">
        <v>0.72900000000000009</v>
      </c>
      <c r="D3" s="10">
        <v>5.5E-2</v>
      </c>
      <c r="E3" s="10">
        <v>2.3E-2</v>
      </c>
      <c r="F3" s="10">
        <v>0.50800000000000001</v>
      </c>
      <c r="G3" s="10">
        <v>0.155</v>
      </c>
      <c r="H3" s="10">
        <v>0.13300000000000001</v>
      </c>
      <c r="I3" s="10">
        <v>9.6000000000000002E-2</v>
      </c>
      <c r="J3" s="10">
        <v>6.0999999999999999E-2</v>
      </c>
      <c r="K3" s="10">
        <v>4.7E-2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Sarasin Model Portfolio - Balanced</v>
      </c>
      <c r="B4" s="10">
        <v>0.57899999999999996</v>
      </c>
      <c r="C4" s="10">
        <v>0.34100000000000003</v>
      </c>
      <c r="D4" s="10">
        <v>5.5E-2</v>
      </c>
      <c r="E4" s="10">
        <v>2.5000000000000001E-2</v>
      </c>
      <c r="F4" s="10">
        <v>0.51</v>
      </c>
      <c r="G4" s="10">
        <v>0.16</v>
      </c>
      <c r="H4" s="10">
        <v>0.13100000000000001</v>
      </c>
      <c r="I4" s="10">
        <v>8.8000000000000009E-2</v>
      </c>
      <c r="J4" s="10">
        <v>6.0999999999999999E-2</v>
      </c>
      <c r="K4" s="10">
        <v>5.0999999999999997E-2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Sarasin Model Portfolio - Growth</v>
      </c>
      <c r="B5" s="5">
        <v>0.78799999999999992</v>
      </c>
      <c r="C5" s="5">
        <v>0.13100000000000001</v>
      </c>
      <c r="D5" s="5">
        <v>5.5E-2</v>
      </c>
      <c r="E5" s="5">
        <v>2.7000000000000003E-2</v>
      </c>
      <c r="F5" s="5">
        <v>0.50800000000000001</v>
      </c>
      <c r="G5" s="5">
        <v>0.157</v>
      </c>
      <c r="H5" s="5">
        <v>0.128</v>
      </c>
      <c r="I5" s="5">
        <v>9.0999999999999998E-2</v>
      </c>
      <c r="J5" s="5">
        <v>7.0000000000000007E-2</v>
      </c>
      <c r="K5" s="5">
        <v>4.4999999999999998E-2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Sarasin Model Portfolio - Equity</v>
      </c>
      <c r="B6" s="5">
        <v>0.95700000000000007</v>
      </c>
      <c r="C6" s="5">
        <v>0</v>
      </c>
      <c r="D6" s="5">
        <v>1.4999999999999999E-2</v>
      </c>
      <c r="E6" s="5">
        <v>2.7999999999999997E-2</v>
      </c>
      <c r="F6" s="5">
        <v>0.51600000000000001</v>
      </c>
      <c r="G6" s="5">
        <v>0.151</v>
      </c>
      <c r="H6" s="5">
        <v>0.13</v>
      </c>
      <c r="I6" s="5">
        <v>9.1999999999999998E-2</v>
      </c>
      <c r="J6" s="5">
        <v>6.4000000000000001E-2</v>
      </c>
      <c r="K6" s="5">
        <v>0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2" sqref="D2"/>
    </sheetView>
  </sheetViews>
  <sheetFormatPr defaultRowHeight="15" x14ac:dyDescent="0.25"/>
  <cols>
    <col min="1" max="1" width="19.5703125" bestFit="1" customWidth="1"/>
    <col min="3" max="3" width="33" bestFit="1" customWidth="1"/>
    <col min="4" max="4" width="103.140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Sarasin Model Portfolio - Cautious</v>
      </c>
      <c r="B2" t="s">
        <v>40</v>
      </c>
      <c r="C2" t="s">
        <v>35</v>
      </c>
      <c r="D2" s="8" t="s">
        <v>49</v>
      </c>
    </row>
    <row r="3" spans="1:5" x14ac:dyDescent="0.25">
      <c r="A3" t="str">
        <f>IF(Input!A4="","",Input!A4)</f>
        <v>Sarasin Model Portfolio - Defensive</v>
      </c>
      <c r="B3" t="s">
        <v>40</v>
      </c>
      <c r="C3" t="s">
        <v>36</v>
      </c>
      <c r="D3" s="8" t="s">
        <v>50</v>
      </c>
    </row>
    <row r="4" spans="1:5" x14ac:dyDescent="0.25">
      <c r="A4" t="str">
        <f>IF(Input!A5="","",Input!A5)</f>
        <v>Sarasin Model Portfolio - Balanced</v>
      </c>
      <c r="B4" t="s">
        <v>40</v>
      </c>
      <c r="C4" t="s">
        <v>37</v>
      </c>
      <c r="D4" s="8" t="s">
        <v>51</v>
      </c>
    </row>
    <row r="5" spans="1:5" x14ac:dyDescent="0.25">
      <c r="A5" t="str">
        <f>IF(Input!A6="","",Input!A6)</f>
        <v>Sarasin Model Portfolio - Growth</v>
      </c>
      <c r="B5" t="s">
        <v>40</v>
      </c>
      <c r="C5" t="s">
        <v>38</v>
      </c>
      <c r="D5" s="8" t="s">
        <v>52</v>
      </c>
    </row>
    <row r="6" spans="1:5" x14ac:dyDescent="0.25">
      <c r="A6" t="str">
        <f>IF(Input!A7="","",Input!A7)</f>
        <v>Sarasin Model Portfolio - Equity</v>
      </c>
      <c r="B6" t="s">
        <v>40</v>
      </c>
      <c r="C6" t="s">
        <v>39</v>
      </c>
      <c r="D6" s="8" t="s">
        <v>53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Sarasin Model Portfolio - Cautious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Sarasin Model Portfolio - Defensive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Sarasin Model Portfolio - Balanced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Sarasin Model Portfolio - Growth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Sarasin Model Portfolio - Equity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Sarasin Model Portfolio - Cautious</v>
      </c>
      <c r="B2">
        <f>IF(A2="","",'Additional Information'!F2)</f>
        <v>1.6E-2</v>
      </c>
      <c r="C2">
        <f>IF(A2="","",'Additional Information'!E2)</f>
        <v>-2.6000000000000002E-2</v>
      </c>
      <c r="D2" s="5">
        <f>IF(A2="","",SUM('Additional Information'!C2,'Additional Information'!D2))</f>
        <v>8.8999999999999999E-3</v>
      </c>
    </row>
    <row r="3" spans="1:4" x14ac:dyDescent="0.25">
      <c r="A3" t="str">
        <f>IF(Input!A4="","",Input!A4)</f>
        <v>Sarasin Model Portfolio - Defensive</v>
      </c>
      <c r="B3">
        <f>IF(A3="","",'Additional Information'!F3)</f>
        <v>1.3999999999999999E-2</v>
      </c>
      <c r="C3">
        <f>IF(A3="","",'Additional Information'!E3)</f>
        <v>-4.4000000000000004E-2</v>
      </c>
      <c r="D3" s="5">
        <f>IF(A3="","",SUM('Additional Information'!C3,'Additional Information'!D3))</f>
        <v>8.3000000000000001E-3</v>
      </c>
    </row>
    <row r="4" spans="1:4" x14ac:dyDescent="0.25">
      <c r="A4" t="str">
        <f>IF(Input!A5="","",Input!A5)</f>
        <v>Sarasin Model Portfolio - Balanced</v>
      </c>
      <c r="B4">
        <f>IF(A4="","",'Additional Information'!F4)</f>
        <v>1.7000000000000001E-2</v>
      </c>
      <c r="C4">
        <f>IF(A4="","",'Additional Information'!E4)</f>
        <v>-1E-3</v>
      </c>
      <c r="D4" s="5">
        <f>IF(A4="","",SUM('Additional Information'!C4,'Additional Information'!D4))</f>
        <v>9.4999999999999998E-3</v>
      </c>
    </row>
    <row r="5" spans="1:4" x14ac:dyDescent="0.25">
      <c r="A5" t="str">
        <f>IF(Input!A6="","",Input!A6)</f>
        <v>Sarasin Model Portfolio - Growth</v>
      </c>
      <c r="B5">
        <f>IF(A5="","",'Additional Information'!F5)</f>
        <v>1.9E-2</v>
      </c>
      <c r="C5">
        <f>IF(A5="","",'Additional Information'!E5)</f>
        <v>3.4000000000000002E-2</v>
      </c>
      <c r="D5" s="5">
        <f>IF(A5="","",SUM('Additional Information'!C5,'Additional Information'!D5))</f>
        <v>9.9000000000000008E-3</v>
      </c>
    </row>
    <row r="6" spans="1:4" x14ac:dyDescent="0.25">
      <c r="A6" t="str">
        <f>IF(Input!A7="","",Input!A7)</f>
        <v>Sarasin Model Portfolio - Equity</v>
      </c>
      <c r="B6">
        <f>IF(A6="","",'Additional Information'!F6)</f>
        <v>2.1000000000000001E-2</v>
      </c>
      <c r="C6">
        <f>IF(A6="","",'Additional Information'!E6)</f>
        <v>5.4000000000000006E-2</v>
      </c>
      <c r="D6" s="5">
        <f>IF(A6="","",SUM('Additional Information'!C6,'Additional Information'!D6))</f>
        <v>1.01E-2</v>
      </c>
    </row>
    <row r="7" spans="1:4" x14ac:dyDescent="0.25">
      <c r="A7" t="str">
        <f>IF(Input!A8="","",Input!A8)</f>
        <v/>
      </c>
      <c r="B7" t="str">
        <f>IF(A7="","",'Additional Information'!F7)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</row>
    <row r="8" spans="1:4" x14ac:dyDescent="0.25">
      <c r="A8" t="str">
        <f>IF(Input!A9="","",Input!A9)</f>
        <v/>
      </c>
      <c r="B8" t="str">
        <f>IF(A8="","",'Additional Information'!F8)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</row>
    <row r="9" spans="1:4" x14ac:dyDescent="0.25">
      <c r="A9" t="str">
        <f>IF(Input!A10="","",Input!A10)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IF(Input!A11="","",Input!A11)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IF(Input!A12="","",Input!A12)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Sarasin Model Portfolio - Cautious</v>
      </c>
      <c r="B2">
        <f>IF(A2="","",SUM('Asset Allocation'!B2))</f>
        <v>0.38799999999999996</v>
      </c>
      <c r="C2">
        <f>IF(A2="","",SUM('Asset Allocation'!C2))</f>
        <v>0.53299999999999992</v>
      </c>
      <c r="D2">
        <f>IF(A2="","",SUM('Asset Allocation'!G2))</f>
        <v>0.151</v>
      </c>
      <c r="E2">
        <f>IF(A2="","",SUM('Asset Allocation'!F2))</f>
        <v>0.52</v>
      </c>
      <c r="F2">
        <f>IF(A2="","",SUM('Asset Allocation'!E2,'Asset Allocation'!H2))</f>
        <v>0.154</v>
      </c>
      <c r="G2">
        <f>IF(A2="","",SUM('Asset Allocation'!D2))</f>
        <v>5.5E-2</v>
      </c>
      <c r="H2">
        <f t="shared" ref="H2:H50" si="0">IF(A2="","",1-SUM(B2:G2))</f>
        <v>-0.80099999999999971</v>
      </c>
    </row>
    <row r="3" spans="1:8" x14ac:dyDescent="0.25">
      <c r="A3" t="str">
        <f>IF(Input!A4="","",Input!A4)</f>
        <v>Sarasin Model Portfolio - Defensive</v>
      </c>
      <c r="B3">
        <f>IF(A3="","",SUM('Asset Allocation'!B3))</f>
        <v>0.193</v>
      </c>
      <c r="C3">
        <f>IF(A3="","",SUM('Asset Allocation'!C3))</f>
        <v>0.72900000000000009</v>
      </c>
      <c r="D3">
        <f>IF(A3="","",SUM('Asset Allocation'!G3))</f>
        <v>0.155</v>
      </c>
      <c r="E3">
        <f>IF(A3="","",SUM('Asset Allocation'!F3))</f>
        <v>0.50800000000000001</v>
      </c>
      <c r="F3">
        <f>IF(A3="","",SUM('Asset Allocation'!E3,'Asset Allocation'!H3))</f>
        <v>0.156</v>
      </c>
      <c r="G3">
        <f>IF(A3="","",SUM('Asset Allocation'!D3))</f>
        <v>5.5E-2</v>
      </c>
      <c r="H3">
        <f t="shared" si="0"/>
        <v>-0.79600000000000004</v>
      </c>
    </row>
    <row r="4" spans="1:8" x14ac:dyDescent="0.25">
      <c r="A4" t="str">
        <f>IF(Input!A5="","",Input!A5)</f>
        <v>Sarasin Model Portfolio - Balanced</v>
      </c>
      <c r="B4">
        <f>IF(A4="","",SUM('Asset Allocation'!B4))</f>
        <v>0.57899999999999996</v>
      </c>
      <c r="C4">
        <f>IF(A4="","",SUM('Asset Allocation'!C4))</f>
        <v>0.34100000000000003</v>
      </c>
      <c r="D4">
        <f>IF(A4="","",SUM('Asset Allocation'!G4))</f>
        <v>0.16</v>
      </c>
      <c r="E4">
        <f>IF(A4="","",SUM('Asset Allocation'!F4))</f>
        <v>0.51</v>
      </c>
      <c r="F4">
        <f>IF(A4="","",SUM('Asset Allocation'!E4,'Asset Allocation'!H4))</f>
        <v>0.156</v>
      </c>
      <c r="G4">
        <f>IF(A4="","",SUM('Asset Allocation'!D4))</f>
        <v>5.5E-2</v>
      </c>
      <c r="H4">
        <f t="shared" si="0"/>
        <v>-0.80099999999999971</v>
      </c>
    </row>
    <row r="5" spans="1:8" x14ac:dyDescent="0.25">
      <c r="A5" t="str">
        <f>IF(Input!A6="","",Input!A6)</f>
        <v>Sarasin Model Portfolio - Growth</v>
      </c>
      <c r="B5">
        <f>IF(A5="","",SUM('Asset Allocation'!B5))</f>
        <v>0.78799999999999992</v>
      </c>
      <c r="C5">
        <f>IF(A5="","",SUM('Asset Allocation'!C5))</f>
        <v>0.13100000000000001</v>
      </c>
      <c r="D5">
        <f>IF(A5="","",SUM('Asset Allocation'!G5))</f>
        <v>0.157</v>
      </c>
      <c r="E5">
        <f>IF(A5="","",SUM('Asset Allocation'!F5))</f>
        <v>0.50800000000000001</v>
      </c>
      <c r="F5">
        <f>IF(A5="","",SUM('Asset Allocation'!E5,'Asset Allocation'!H5))</f>
        <v>0.155</v>
      </c>
      <c r="G5">
        <f>IF(A5="","",SUM('Asset Allocation'!D5))</f>
        <v>5.5E-2</v>
      </c>
      <c r="H5">
        <f t="shared" si="0"/>
        <v>-0.79399999999999982</v>
      </c>
    </row>
    <row r="6" spans="1:8" x14ac:dyDescent="0.25">
      <c r="A6" t="str">
        <f>IF(Input!A7="","",Input!A7)</f>
        <v>Sarasin Model Portfolio - Equity</v>
      </c>
      <c r="B6">
        <f>IF(A6="","",SUM('Asset Allocation'!B6))</f>
        <v>0.95700000000000007</v>
      </c>
      <c r="C6">
        <f>IF(A6="","",SUM('Asset Allocation'!C6))</f>
        <v>0</v>
      </c>
      <c r="D6">
        <f>IF(A6="","",SUM('Asset Allocation'!G6))</f>
        <v>0.151</v>
      </c>
      <c r="E6">
        <f>IF(A6="","",SUM('Asset Allocation'!F6))</f>
        <v>0.51600000000000001</v>
      </c>
      <c r="F6">
        <f>IF(A6="","",SUM('Asset Allocation'!E6,'Asset Allocation'!H6))</f>
        <v>0.158</v>
      </c>
      <c r="G6">
        <f>IF(A6="","",SUM('Asset Allocation'!D6))</f>
        <v>1.4999999999999999E-2</v>
      </c>
      <c r="H6">
        <f t="shared" si="0"/>
        <v>-0.79699999999999993</v>
      </c>
    </row>
    <row r="7" spans="1:8" x14ac:dyDescent="0.25">
      <c r="A7" t="str">
        <f>IF(Input!A8="","",Input!A8)</f>
        <v/>
      </c>
      <c r="B7" t="str">
        <f>IF(A7="","",SUM('Asset Allocation'!B7))</f>
        <v/>
      </c>
      <c r="C7" t="str">
        <f>IF(A7="","",SUM('Asset Allocation'!C7))</f>
        <v/>
      </c>
      <c r="D7" t="str">
        <f>IF(A7="","",SUM('Asset Allocation'!G7))</f>
        <v/>
      </c>
      <c r="E7" t="str">
        <f>IF(A7="","",SUM('Asset Allocation'!F7))</f>
        <v/>
      </c>
      <c r="F7" t="str">
        <f>IF(A7="","",SUM('Asset Allocation'!E7,'Asset Allocation'!H7))</f>
        <v/>
      </c>
      <c r="G7" t="str">
        <f>IF(A7="","",SUM('Asset Allocation'!D7))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Allocation'!B8))</f>
        <v/>
      </c>
      <c r="C8" t="str">
        <f>IF(A8="","",SUM('Asset Allocation'!C8))</f>
        <v/>
      </c>
      <c r="D8" t="str">
        <f>IF(A8="","",SUM('Asset Allocation'!G8))</f>
        <v/>
      </c>
      <c r="E8" t="str">
        <f>IF(A8="","",SUM('Asset Allocation'!F8))</f>
        <v/>
      </c>
      <c r="F8" t="str">
        <f>IF(A8="","",SUM('Asset Allocation'!E8,'Asset Allocation'!H8))</f>
        <v/>
      </c>
      <c r="G8" t="str">
        <f>IF(A8="","",SUM('Asset Allocation'!D8))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Allocation'!B9))</f>
        <v/>
      </c>
      <c r="C9" t="str">
        <f>IF(A9="","",SUM('Asset Allocation'!C9))</f>
        <v/>
      </c>
      <c r="D9" t="str">
        <f>IF(A9="","",SUM('Asset Allocation'!G9))</f>
        <v/>
      </c>
      <c r="E9" t="str">
        <f>IF(A9="","",SUM('Asset Allocation'!F9))</f>
        <v/>
      </c>
      <c r="F9" t="str">
        <f>IF(A9="","",SUM('Asset Allocation'!E9,'Asset Allocation'!H9))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Allocation'!B10))</f>
        <v/>
      </c>
      <c r="C10" t="str">
        <f>IF(A10="","",SUM('Asset Allocation'!C10))</f>
        <v/>
      </c>
      <c r="D10" t="str">
        <f>IF(A10="","",SUM('Asset Allocation'!G10))</f>
        <v/>
      </c>
      <c r="E10" t="str">
        <f>IF(A10="","",SUM('Asset Allocation'!F10))</f>
        <v/>
      </c>
      <c r="F10" t="str">
        <f>IF(A10="","",SUM('Asset Allocation'!E10,'Asset Allocation'!H10))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Allocation'!B11))</f>
        <v/>
      </c>
      <c r="C11" t="str">
        <f>IF(A11="","",SUM('Asset Allocation'!C11))</f>
        <v/>
      </c>
      <c r="D11" t="str">
        <f>IF(A11="","",SUM('Asset Allocation'!G11))</f>
        <v/>
      </c>
      <c r="E11" t="str">
        <f>IF(A11="","",SUM('Asset Allocation'!F11))</f>
        <v/>
      </c>
      <c r="F11" t="str">
        <f>IF(A11="","",SUM('Asset Allocation'!E11,'Asset Allocation'!H11))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Allocation'!B12))</f>
        <v/>
      </c>
      <c r="C12" t="str">
        <f>IF(A12="","",SUM('Asset Allocation'!C12))</f>
        <v/>
      </c>
      <c r="D12" t="str">
        <f>IF(A12="","",SUM('Asset Allocation'!G12))</f>
        <v/>
      </c>
      <c r="E12" t="str">
        <f>IF(A12="","",SUM('Asset Allocation'!F12))</f>
        <v/>
      </c>
      <c r="F12" t="str">
        <f>IF(A12="","",SUM('Asset Allocation'!E12,'Asset Allocation'!H12))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Allocation'!B13))</f>
        <v/>
      </c>
      <c r="C13" t="str">
        <f>IF(A13="","",SUM('Asset Allocation'!C13))</f>
        <v/>
      </c>
      <c r="D13" t="str">
        <f>IF(A13="","",SUM('Asset Allocation'!G13))</f>
        <v/>
      </c>
      <c r="E13" t="str">
        <f>IF(A13="","",SUM('Asset Allocation'!F13))</f>
        <v/>
      </c>
      <c r="F13" t="str">
        <f>IF(A13="","",SUM('Asset Allocation'!E13,'Asset Allocation'!H13))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Allocation'!B14))</f>
        <v/>
      </c>
      <c r="C14" t="str">
        <f>IF(A14="","",SUM('Asset Allocation'!C14))</f>
        <v/>
      </c>
      <c r="D14" t="str">
        <f>IF(A14="","",SUM('Asset Allocation'!G14))</f>
        <v/>
      </c>
      <c r="E14" t="str">
        <f>IF(A14="","",SUM('Asset Allocation'!F14))</f>
        <v/>
      </c>
      <c r="F14" t="str">
        <f>IF(A14="","",SUM('Asset Allocation'!E14,'Asset Allocation'!H14))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Allocation'!B15))</f>
        <v/>
      </c>
      <c r="C15" t="str">
        <f>IF(A15="","",SUM('Asset Allocation'!C15))</f>
        <v/>
      </c>
      <c r="D15" t="str">
        <f>IF(A15="","",SUM('Asset Allocation'!G15))</f>
        <v/>
      </c>
      <c r="E15" t="str">
        <f>IF(A15="","",SUM('Asset Allocation'!F15))</f>
        <v/>
      </c>
      <c r="F15" t="str">
        <f>IF(A15="","",SUM('Asset Allocation'!E15,'Asset Allocation'!H15))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Allocation'!B16))</f>
        <v/>
      </c>
      <c r="C16" t="str">
        <f>IF(A16="","",SUM('Asset Allocation'!C16))</f>
        <v/>
      </c>
      <c r="D16" t="str">
        <f>IF(A16="","",SUM('Asset Allocation'!G16))</f>
        <v/>
      </c>
      <c r="E16" t="str">
        <f>IF(A16="","",SUM('Asset Allocation'!F16))</f>
        <v/>
      </c>
      <c r="F16" t="str">
        <f>IF(A16="","",SUM('Asset Allocation'!E16,'Asset Allocation'!H16))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D17" t="str">
        <f>IF(A17="","",SUM('Asset Allocation'!G17))</f>
        <v/>
      </c>
      <c r="E17" t="str">
        <f>IF(A17="","",SUM('Asset Allocation'!F17))</f>
        <v/>
      </c>
      <c r="F17" t="str">
        <f>IF(A17="","",SUM('Asset Allocation'!E17,'Asset Allocation'!H17))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D18" t="str">
        <f>IF(A18="","",SUM('Asset Allocation'!G18))</f>
        <v/>
      </c>
      <c r="E18" t="str">
        <f>IF(A18="","",SUM('Asset Allocation'!F18))</f>
        <v/>
      </c>
      <c r="F18" t="str">
        <f>IF(A18="","",SUM('Asset Allocation'!E18,'Asset Allocation'!H18))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D19" t="str">
        <f>IF(A19="","",SUM('Asset Allocation'!G19))</f>
        <v/>
      </c>
      <c r="E19" t="str">
        <f>IF(A19="","",SUM('Asset Allocation'!F19))</f>
        <v/>
      </c>
      <c r="F19" t="str">
        <f>IF(A19="","",SUM('Asset Allocation'!E19,'Asset Allocation'!H19))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D20" t="str">
        <f>IF(A20="","",SUM('Asset Allocation'!G20))</f>
        <v/>
      </c>
      <c r="E20" t="str">
        <f>IF(A20="","",SUM('Asset Allocation'!F20))</f>
        <v/>
      </c>
      <c r="F20" t="str">
        <f>IF(A20="","",SUM('Asset Allocation'!E20,'Asset Allocation'!H20))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D21" t="str">
        <f>IF(A21="","",SUM('Asset Allocation'!G21))</f>
        <v/>
      </c>
      <c r="E21" t="str">
        <f>IF(A21="","",SUM('Asset Allocation'!F21))</f>
        <v/>
      </c>
      <c r="F21" t="str">
        <f>IF(A21="","",SUM('Asset Allocation'!E21,'Asset Allocation'!H21))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D22" t="str">
        <f>IF(A22="","",SUM('Asset Allocation'!G22))</f>
        <v/>
      </c>
      <c r="E22" t="str">
        <f>IF(A22="","",SUM('Asset Allocation'!F22))</f>
        <v/>
      </c>
      <c r="F22" t="str">
        <f>IF(A22="","",SUM('Asset Allocation'!E22,'Asset Allocation'!H22))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D23" t="str">
        <f>IF(A23="","",SUM('Asset Allocation'!G23))</f>
        <v/>
      </c>
      <c r="E23" t="str">
        <f>IF(A23="","",SUM('Asset Allocation'!F23))</f>
        <v/>
      </c>
      <c r="F23" t="str">
        <f>IF(A23="","",SUM('Asset Allocation'!E23,'Asset Allocation'!H23))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D24" t="str">
        <f>IF(A24="","",SUM('Asset Allocation'!G24))</f>
        <v/>
      </c>
      <c r="E24" t="str">
        <f>IF(A24="","",SUM('Asset Allocation'!F24))</f>
        <v/>
      </c>
      <c r="F24" t="str">
        <f>IF(A24="","",SUM('Asset Allocation'!E24,'Asset Allocation'!H24))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D25" t="str">
        <f>IF(A25="","",SUM('Asset Allocation'!G25))</f>
        <v/>
      </c>
      <c r="E25" t="str">
        <f>IF(A25="","",SUM('Asset Allocation'!F25))</f>
        <v/>
      </c>
      <c r="F25" t="str">
        <f>IF(A25="","",SUM('Asset Allocation'!E25,'Asset Allocation'!H25))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D26" t="str">
        <f>IF(A26="","",SUM('Asset Allocation'!G26))</f>
        <v/>
      </c>
      <c r="E26" t="str">
        <f>IF(A26="","",SUM('Asset Allocation'!F26))</f>
        <v/>
      </c>
      <c r="F26" t="str">
        <f>IF(A26="","",SUM('Asset Allocation'!E26,'Asset Allocation'!H26))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D27" t="str">
        <f>IF(A27="","",SUM('Asset Allocation'!G27))</f>
        <v/>
      </c>
      <c r="E27" t="str">
        <f>IF(A27="","",SUM('Asset Allocation'!F27))</f>
        <v/>
      </c>
      <c r="F27" t="str">
        <f>IF(A27="","",SUM('Asset Allocation'!E27,'Asset Allocation'!H27))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D28" t="str">
        <f>IF(A28="","",SUM('Asset Allocation'!G28))</f>
        <v/>
      </c>
      <c r="E28" t="str">
        <f>IF(A28="","",SUM('Asset Allocation'!F28))</f>
        <v/>
      </c>
      <c r="F28" t="str">
        <f>IF(A28="","",SUM('Asset Allocation'!E28,'Asset Allocation'!H28))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D29" t="str">
        <f>IF(A29="","",SUM('Asset Allocation'!G29))</f>
        <v/>
      </c>
      <c r="E29" t="str">
        <f>IF(A29="","",SUM('Asset Allocation'!F29))</f>
        <v/>
      </c>
      <c r="F29" t="str">
        <f>IF(A29="","",SUM('Asset Allocation'!E29,'Asset Allocation'!H29))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Allocation'!G33))</f>
        <v/>
      </c>
      <c r="E33" t="str">
        <f>IF(A33="","",SUM('Asset Allocation'!F33))</f>
        <v/>
      </c>
      <c r="F33" t="str">
        <f>IF(A33="","",SUM('Asset Allocation'!E33,'Asset Allocation'!H33))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Allocation'!G34))</f>
        <v/>
      </c>
      <c r="E34" t="str">
        <f>IF(A34="","",SUM('Asset Allocation'!F34))</f>
        <v/>
      </c>
      <c r="F34" t="str">
        <f>IF(A34="","",SUM('Asset Allocation'!E34,'Asset Allocation'!H34))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Allocation'!G35))</f>
        <v/>
      </c>
      <c r="E35" t="str">
        <f>IF(A35="","",SUM('Asset Allocation'!F35))</f>
        <v/>
      </c>
      <c r="F35" t="str">
        <f>IF(A35="","",SUM('Asset Allocation'!E35,'Asset Allocation'!H35))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Allocation'!G36))</f>
        <v/>
      </c>
      <c r="E36" t="str">
        <f>IF(A36="","",SUM('Asset Allocation'!F36))</f>
        <v/>
      </c>
      <c r="F36" t="str">
        <f>IF(A36="","",SUM('Asset Allocation'!E36,'Asset Allocation'!H36))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Allocation'!G37))</f>
        <v/>
      </c>
      <c r="E37" t="str">
        <f>IF(A37="","",SUM('Asset Allocation'!F37))</f>
        <v/>
      </c>
      <c r="F37" t="str">
        <f>IF(A37="","",SUM('Asset Allocation'!E37,'Asset Allocation'!H37))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Allocation'!G38))</f>
        <v/>
      </c>
      <c r="E38" t="str">
        <f>IF(A38="","",SUM('Asset Allocation'!F38))</f>
        <v/>
      </c>
      <c r="F38" t="str">
        <f>IF(A38="","",SUM('Asset Allocation'!E38,'Asset Allocation'!H38))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Sarasin Model Portfolio - Cautious</v>
      </c>
      <c r="B2" s="6">
        <f>IFERROR(IF(A2="","",SUM('Asset Allocation'!I2)),0)</f>
        <v>9.3000000000000013E-2</v>
      </c>
      <c r="C2" s="6">
        <f>IFERROR(IF(A2="","",SUM('Asset Allocation'!L2)),0)</f>
        <v>0</v>
      </c>
      <c r="D2" s="6">
        <f>IFERROR(IF(A2="","",SUM('Asset Allocation'!R2,'Asset Allocation'!K2)),0)</f>
        <v>4.5999999999999999E-2</v>
      </c>
      <c r="E2" s="6">
        <f>IFERROR(IF(A2="","",SUM('Asset Allocation'!M2)),0)</f>
        <v>0</v>
      </c>
      <c r="F2" s="6">
        <f>IFERROR(IF(A2="","",SUM('Asset Allocation'!J2)),0)</f>
        <v>0.06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Sarasin Model Portfolio - Defensive</v>
      </c>
      <c r="B3" s="6">
        <f>IFERROR(IF(A3="","",SUM('Asset Allocation'!I3)),0)</f>
        <v>9.6000000000000002E-2</v>
      </c>
      <c r="C3" s="6">
        <f>IFERROR(IF(A3="","",SUM('Asset Allocation'!L3)),0)</f>
        <v>0</v>
      </c>
      <c r="D3" s="6">
        <f>IFERROR(IF(A3="","",SUM('Asset Allocation'!R3,'Asset Allocation'!K3)),0)</f>
        <v>4.7E-2</v>
      </c>
      <c r="E3" s="6">
        <f>IFERROR(IF(A3="","",SUM('Asset Allocation'!M3)),0)</f>
        <v>0</v>
      </c>
      <c r="F3" s="6">
        <f>IFERROR(IF(A3="","",SUM('Asset Allocation'!J3)),0)</f>
        <v>6.0999999999999999E-2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Sarasin Model Portfolio - Balanced</v>
      </c>
      <c r="B4" s="6">
        <f>IFERROR(IF(A4="","",SUM('Asset Allocation'!I4)),0)</f>
        <v>8.8000000000000009E-2</v>
      </c>
      <c r="C4" s="6">
        <f>IFERROR(IF(A4="","",SUM('Asset Allocation'!L4)),0)</f>
        <v>0</v>
      </c>
      <c r="D4" s="6">
        <f>IFERROR(IF(A4="","",SUM('Asset Allocation'!R4,'Asset Allocation'!K4)),0)</f>
        <v>5.0999999999999997E-2</v>
      </c>
      <c r="E4" s="6">
        <f>IFERROR(IF(A4="","",SUM('Asset Allocation'!M4)),0)</f>
        <v>0</v>
      </c>
      <c r="F4" s="6">
        <f>IFERROR(IF(A4="","",SUM('Asset Allocation'!J4)),0)</f>
        <v>6.0999999999999999E-2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Sarasin Model Portfolio - Growth</v>
      </c>
      <c r="B5" s="6">
        <f>IFERROR(IF(A5="","",SUM('Asset Allocation'!I5)),0)</f>
        <v>9.0999999999999998E-2</v>
      </c>
      <c r="C5" s="6">
        <f>IFERROR(IF(A5="","",SUM('Asset Allocation'!L5)),0)</f>
        <v>0</v>
      </c>
      <c r="D5" s="6">
        <f>IFERROR(IF(A5="","",SUM('Asset Allocation'!R5,'Asset Allocation'!K5)),0)</f>
        <v>4.4999999999999998E-2</v>
      </c>
      <c r="E5" s="6">
        <f>IFERROR(IF(A5="","",SUM('Asset Allocation'!M5)),0)</f>
        <v>0</v>
      </c>
      <c r="F5" s="6">
        <f>IFERROR(IF(A5="","",SUM('Asset Allocation'!J5)),0)</f>
        <v>7.0000000000000007E-2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Sarasin Model Portfolio - Equity</v>
      </c>
      <c r="B6" s="6">
        <f>IFERROR(IF(A6="","",SUM('Asset Allocation'!I6)),0)</f>
        <v>9.1999999999999998E-2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6.4000000000000001E-2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/>
      </c>
      <c r="B7" s="6" t="str">
        <f>IFERROR(IF(A7="","",SUM('Asset Allocation'!I7)),0)</f>
        <v/>
      </c>
      <c r="C7" s="6" t="str">
        <f>IFERROR(IF(A7="","",SUM('Asset Allocation'!L7)),0)</f>
        <v/>
      </c>
      <c r="D7" s="6" t="str">
        <f>IFERROR(IF(A7="","",SUM('Asset Allocation'!R7,'Asset Allocation'!K7)),0)</f>
        <v/>
      </c>
      <c r="E7" s="6" t="str">
        <f>IFERROR(IF(A7="","",SUM('Asset Allocation'!M7)),0)</f>
        <v/>
      </c>
      <c r="F7" s="6" t="str">
        <f>IFERROR(IF(A7="","",SUM('Asset Allocation'!J7)),0)</f>
        <v/>
      </c>
      <c r="G7" s="6" t="str">
        <f>IFERROR(IF(A7="","",SUM('Asset Allocation'!P7,'Asset Allocation'!Q7)),0)</f>
        <v/>
      </c>
      <c r="H7" s="6" t="str">
        <f>IFERROR(IF(A7="","",SUM('Asset Allocation'!N7)),0)</f>
        <v/>
      </c>
    </row>
    <row r="8" spans="1:8" x14ac:dyDescent="0.25">
      <c r="A8" t="str">
        <f>IF(Input!A9="","",Input!A9)</f>
        <v/>
      </c>
      <c r="B8" s="6" t="str">
        <f>IFERROR(IF(A8="","",SUM('Asset Allocation'!I8)),0)</f>
        <v/>
      </c>
      <c r="C8" s="6" t="str">
        <f>IFERROR(IF(A8="","",SUM('Asset Allocation'!L8)),0)</f>
        <v/>
      </c>
      <c r="D8" s="6" t="str">
        <f>IFERROR(IF(A8="","",SUM('Asset Allocation'!R8,'Asset Allocation'!K8)),0)</f>
        <v/>
      </c>
      <c r="E8" s="6" t="str">
        <f>IFERROR(IF(A8="","",SUM('Asset Allocation'!M8)),0)</f>
        <v/>
      </c>
      <c r="F8" s="6" t="str">
        <f>IFERROR(IF(A8="","",SUM('Asset Allocation'!J8)),0)</f>
        <v/>
      </c>
      <c r="G8" s="6" t="str">
        <f>IFERROR(IF(A8="","",SUM('Asset Allocation'!P8,'Asset Allocation'!Q8)),0)</f>
        <v/>
      </c>
      <c r="H8" s="6" t="str">
        <f>IFERROR(IF(A8="","",SUM('Asset Allocation'!N8)),0)</f>
        <v/>
      </c>
    </row>
    <row r="9" spans="1:8" x14ac:dyDescent="0.25">
      <c r="A9" t="str">
        <f>IF(Input!A10="","",Input!A10)</f>
        <v/>
      </c>
      <c r="B9" s="6" t="str">
        <f>IFERROR(IF(A9="","",SUM('Asset Allocation'!I9)),0)</f>
        <v/>
      </c>
      <c r="C9" s="6" t="str">
        <f>IFERROR(IF(A9="","",SUM('Asset Allocation'!L9)),0)</f>
        <v/>
      </c>
      <c r="D9" s="6" t="str">
        <f>IFERROR(IF(A9="","",SUM('Asset Allocation'!R9,'Asset Allocation'!K9)),0)</f>
        <v/>
      </c>
      <c r="E9" s="6" t="str">
        <f>IFERROR(IF(A9="","",SUM('Asset Allocation'!M9)),0)</f>
        <v/>
      </c>
      <c r="F9" s="6" t="str">
        <f>IFERROR(IF(A9="","",SUM('Asset Allocation'!J9)),0)</f>
        <v/>
      </c>
      <c r="G9" s="6" t="str">
        <f>IFERROR(IF(A9="","",SUM('Asset Allocation'!P9,'Asset Allocation'!Q9)),0)</f>
        <v/>
      </c>
      <c r="H9" s="6" t="str">
        <f>IFERROR(IF(A9="","",SUM('Asset Allocation'!N9)),0)</f>
        <v/>
      </c>
    </row>
    <row r="10" spans="1:8" x14ac:dyDescent="0.25">
      <c r="A10" t="str">
        <f>IF(Input!A11="","",Input!A11)</f>
        <v/>
      </c>
      <c r="B10" s="6" t="str">
        <f>IFERROR(IF(A10="","",SUM('Asset Allocation'!I10)),0)</f>
        <v/>
      </c>
      <c r="C10" s="6" t="str">
        <f>IFERROR(IF(A10="","",SUM('Asset Allocation'!L10)),0)</f>
        <v/>
      </c>
      <c r="D10" s="6" t="str">
        <f>IFERROR(IF(A10="","",SUM('Asset Allocation'!R10,'Asset Allocation'!K10)),0)</f>
        <v/>
      </c>
      <c r="E10" s="6" t="str">
        <f>IFERROR(IF(A10="","",SUM('Asset Allocation'!M10)),0)</f>
        <v/>
      </c>
      <c r="F10" s="6" t="str">
        <f>IFERROR(IF(A10="","",SUM('Asset Allocation'!J10)),0)</f>
        <v/>
      </c>
      <c r="G10" s="6" t="str">
        <f>IFERROR(IF(A10="","",SUM('Asset Allocation'!P10,'Asset Allocation'!Q10)),0)</f>
        <v/>
      </c>
      <c r="H10" s="6" t="str">
        <f>IFERROR(IF(A10="","",SUM('Asset Allocation'!N10)),0)</f>
        <v/>
      </c>
    </row>
    <row r="11" spans="1:8" x14ac:dyDescent="0.25">
      <c r="A11" t="str">
        <f>IF(Input!A12="","",Input!A12)</f>
        <v/>
      </c>
      <c r="B11" s="6" t="str">
        <f>IFERROR(IF(A11="","",SUM('Asset Allocation'!I11)),0)</f>
        <v/>
      </c>
      <c r="C11" s="6" t="str">
        <f>IFERROR(IF(A11="","",SUM('Asset Allocation'!L11)),0)</f>
        <v/>
      </c>
      <c r="D11" s="6" t="str">
        <f>IFERROR(IF(A11="","",SUM('Asset Allocation'!R11,'Asset Allocation'!K11)),0)</f>
        <v/>
      </c>
      <c r="E11" s="6" t="str">
        <f>IFERROR(IF(A11="","",SUM('Asset Allocation'!M11)),0)</f>
        <v/>
      </c>
      <c r="F11" s="6" t="str">
        <f>IFERROR(IF(A11="","",SUM('Asset Allocation'!J11)),0)</f>
        <v/>
      </c>
      <c r="G11" s="6" t="str">
        <f>IFERROR(IF(A11="","",SUM('Asset Allocation'!P11,'Asset Allocation'!Q11)),0)</f>
        <v/>
      </c>
      <c r="H11" s="6" t="str">
        <f>IFERROR(IF(A11="","",SUM('Asset Allocation'!N11)),0)</f>
        <v/>
      </c>
    </row>
    <row r="12" spans="1:8" x14ac:dyDescent="0.25">
      <c r="A12" t="str">
        <f>IF(Input!A13="","",Input!A13)</f>
        <v/>
      </c>
      <c r="B12" s="6" t="str">
        <f>IFERROR(IF(A12="","",SUM('Asset Allocation'!I12)),0)</f>
        <v/>
      </c>
      <c r="C12" s="6" t="str">
        <f>IFERROR(IF(A12="","",SUM('Asset Allocation'!L12)),0)</f>
        <v/>
      </c>
      <c r="D12" s="6" t="str">
        <f>IFERROR(IF(A12="","",SUM('Asset Allocation'!R12,'Asset Allocation'!K12)),0)</f>
        <v/>
      </c>
      <c r="E12" s="6" t="str">
        <f>IFERROR(IF(A12="","",SUM('Asset Allocation'!M12)),0)</f>
        <v/>
      </c>
      <c r="F12" s="6" t="str">
        <f>IFERROR(IF(A12="","",SUM('Asset Allocation'!J12)),0)</f>
        <v/>
      </c>
      <c r="G12" s="6" t="str">
        <f>IFERROR(IF(A12="","",SUM('Asset Allocation'!P12,'Asset Allocation'!Q12)),0)</f>
        <v/>
      </c>
      <c r="H12" s="6" t="str">
        <f>IFERROR(IF(A12="","",SUM('Asset Allocation'!N12)),0)</f>
        <v/>
      </c>
    </row>
    <row r="13" spans="1:8" x14ac:dyDescent="0.25">
      <c r="A13" t="str">
        <f>IF(Input!A14="","",Input!A14)</f>
        <v/>
      </c>
      <c r="B13" s="6" t="str">
        <f>IFERROR(IF(A13="","",SUM('Asset Allocation'!I13)),0)</f>
        <v/>
      </c>
      <c r="C13" s="6" t="str">
        <f>IFERROR(IF(A13="","",SUM('Asset Allocation'!L13)),0)</f>
        <v/>
      </c>
      <c r="D13" s="6" t="str">
        <f>IFERROR(IF(A13="","",SUM('Asset Allocation'!R13,'Asset Allocation'!K13)),0)</f>
        <v/>
      </c>
      <c r="E13" s="6" t="str">
        <f>IFERROR(IF(A13="","",SUM('Asset Allocation'!M13)),0)</f>
        <v/>
      </c>
      <c r="F13" s="6" t="str">
        <f>IFERROR(IF(A13="","",SUM('Asset Allocation'!J13)),0)</f>
        <v/>
      </c>
      <c r="G13" s="6" t="str">
        <f>IFERROR(IF(A13="","",SUM('Asset Allocation'!P13,'Asset Allocation'!Q13)),0)</f>
        <v/>
      </c>
      <c r="H13" s="6" t="str">
        <f>IFERROR(IF(A13="","",SUM('Asset Allocation'!N13)),0)</f>
        <v/>
      </c>
    </row>
    <row r="14" spans="1:8" x14ac:dyDescent="0.25">
      <c r="A14" t="str">
        <f>IF(Input!A15="","",Input!A15)</f>
        <v/>
      </c>
      <c r="B14" s="6" t="str">
        <f>IFERROR(IF(A14="","",SUM('Asset Allocation'!I14)),0)</f>
        <v/>
      </c>
      <c r="C14" s="6" t="str">
        <f>IFERROR(IF(A14="","",SUM('Asset Allocation'!L14)),0)</f>
        <v/>
      </c>
      <c r="D14" s="6" t="str">
        <f>IFERROR(IF(A14="","",SUM('Asset Allocation'!R14,'Asset Allocation'!K14)),0)</f>
        <v/>
      </c>
      <c r="E14" s="6" t="str">
        <f>IFERROR(IF(A14="","",SUM('Asset Allocation'!M14)),0)</f>
        <v/>
      </c>
      <c r="F14" s="6" t="str">
        <f>IFERROR(IF(A14="","",SUM('Asset Allocation'!J14)),0)</f>
        <v/>
      </c>
      <c r="G14" s="6" t="str">
        <f>IFERROR(IF(A14="","",SUM('Asset Allocation'!P14,'Asset Allocation'!Q14)),0)</f>
        <v/>
      </c>
      <c r="H14" s="6" t="str">
        <f>IFERROR(IF(A14="","",SUM('Asset Allocation'!N14)),0)</f>
        <v/>
      </c>
    </row>
    <row r="15" spans="1:8" x14ac:dyDescent="0.25">
      <c r="A15" t="str">
        <f>IF(Input!A16="","",Input!A16)</f>
        <v/>
      </c>
      <c r="B15" s="6" t="str">
        <f>IFERROR(IF(A15="","",SUM('Asset Allocation'!I15)),0)</f>
        <v/>
      </c>
      <c r="C15" s="6" t="str">
        <f>IFERROR(IF(A15="","",SUM('Asset Allocation'!L15)),0)</f>
        <v/>
      </c>
      <c r="D15" s="6" t="str">
        <f>IFERROR(IF(A15="","",SUM('Asset Allocation'!R15,'Asset Allocation'!K15)),0)</f>
        <v/>
      </c>
      <c r="E15" s="6" t="str">
        <f>IFERROR(IF(A15="","",SUM('Asset Allocation'!M15)),0)</f>
        <v/>
      </c>
      <c r="F15" s="6" t="str">
        <f>IFERROR(IF(A15="","",SUM('Asset Allocation'!J15)),0)</f>
        <v/>
      </c>
      <c r="G15" s="6" t="str">
        <f>IFERROR(IF(A15="","",SUM('Asset Allocation'!P15,'Asset Allocation'!Q15)),0)</f>
        <v/>
      </c>
      <c r="H15" s="6" t="str">
        <f>IFERROR(IF(A15="","",SUM('Asset Allocation'!N15)),0)</f>
        <v/>
      </c>
    </row>
    <row r="16" spans="1:8" x14ac:dyDescent="0.25">
      <c r="A16" t="str">
        <f>IF(Input!A17="","",Input!A17)</f>
        <v/>
      </c>
      <c r="B16" s="6" t="str">
        <f>IFERROR(IF(A16="","",SUM('Asset Allocation'!I16)),0)</f>
        <v/>
      </c>
      <c r="C16" s="6" t="str">
        <f>IFERROR(IF(A16="","",SUM('Asset Allocation'!L16)),0)</f>
        <v/>
      </c>
      <c r="D16" s="6" t="str">
        <f>IFERROR(IF(A16="","",SUM('Asset Allocation'!R16,'Asset Allocation'!K16)),0)</f>
        <v/>
      </c>
      <c r="E16" s="6" t="str">
        <f>IFERROR(IF(A16="","",SUM('Asset Allocation'!M16)),0)</f>
        <v/>
      </c>
      <c r="F16" s="6" t="str">
        <f>IFERROR(IF(A16="","",SUM('Asset Allocation'!J16)),0)</f>
        <v/>
      </c>
      <c r="G16" s="6" t="str">
        <f>IFERROR(IF(A16="","",SUM('Asset Allocation'!P16,'Asset Allocation'!Q16)),0)</f>
        <v/>
      </c>
      <c r="H16" s="6" t="str">
        <f>IFERROR(IF(A16="","",SUM('Asset Allocation'!N16)),0)</f>
        <v/>
      </c>
    </row>
    <row r="17" spans="1:8" x14ac:dyDescent="0.25">
      <c r="A17" t="str">
        <f>IF(Input!A18="","",Input!A18)</f>
        <v/>
      </c>
      <c r="B17" s="6" t="str">
        <f>IFERROR(IF(A17="","",SUM('Asset Allocation'!I17)),0)</f>
        <v/>
      </c>
      <c r="C17" s="6" t="str">
        <f>IFERROR(IF(A17="","",SUM('Asset Allocation'!L17)),0)</f>
        <v/>
      </c>
      <c r="D17" s="6" t="str">
        <f>IFERROR(IF(A17="","",SUM('Asset Allocation'!R17,'Asset Allocation'!K17)),0)</f>
        <v/>
      </c>
      <c r="E17" s="6" t="str">
        <f>IFERROR(IF(A17="","",SUM('Asset Allocation'!M17)),0)</f>
        <v/>
      </c>
      <c r="F17" s="6" t="str">
        <f>IFERROR(IF(A17="","",SUM('Asset Allocation'!J17)),0)</f>
        <v/>
      </c>
      <c r="G17" s="6" t="str">
        <f>IFERROR(IF(A17="","",SUM('Asset Allocation'!P17,'Asset Allocation'!Q17)),0)</f>
        <v/>
      </c>
      <c r="H17" s="6" t="str">
        <f>IFERROR(IF(A17="","",SUM('Asset Allocation'!N17)),0)</f>
        <v/>
      </c>
    </row>
    <row r="18" spans="1:8" x14ac:dyDescent="0.25">
      <c r="A18" t="str">
        <f>IF(Input!A19="","",Input!A19)</f>
        <v/>
      </c>
      <c r="B18" s="6" t="str">
        <f>IFERROR(IF(A18="","",SUM('Asset Allocation'!I18)),0)</f>
        <v/>
      </c>
      <c r="C18" s="6" t="str">
        <f>IFERROR(IF(A18="","",SUM('Asset Allocation'!L18)),0)</f>
        <v/>
      </c>
      <c r="D18" s="6" t="str">
        <f>IFERROR(IF(A18="","",SUM('Asset Allocation'!R18,'Asset Allocation'!K18)),0)</f>
        <v/>
      </c>
      <c r="E18" s="6" t="str">
        <f>IFERROR(IF(A18="","",SUM('Asset Allocation'!M18)),0)</f>
        <v/>
      </c>
      <c r="F18" s="6" t="str">
        <f>IFERROR(IF(A18="","",SUM('Asset Allocation'!J18)),0)</f>
        <v/>
      </c>
      <c r="G18" s="6" t="str">
        <f>IFERROR(IF(A18="","",SUM('Asset Allocation'!P18,'Asset Allocation'!Q18)),0)</f>
        <v/>
      </c>
      <c r="H18" s="6" t="str">
        <f>IFERROR(IF(A18="","",SUM('Asset Allocation'!N18)),0)</f>
        <v/>
      </c>
    </row>
    <row r="19" spans="1:8" x14ac:dyDescent="0.25">
      <c r="A19" t="str">
        <f>IF(Input!A20="","",Input!A20)</f>
        <v/>
      </c>
      <c r="B19" s="6" t="str">
        <f>IFERROR(IF(A19="","",SUM('Asset Allocation'!I19)),0)</f>
        <v/>
      </c>
      <c r="C19" s="6" t="str">
        <f>IFERROR(IF(A19="","",SUM('Asset Allocation'!L19)),0)</f>
        <v/>
      </c>
      <c r="D19" s="6" t="str">
        <f>IFERROR(IF(A19="","",SUM('Asset Allocation'!R19,'Asset Allocation'!K19)),0)</f>
        <v/>
      </c>
      <c r="E19" s="6" t="str">
        <f>IFERROR(IF(A19="","",SUM('Asset Allocation'!M19)),0)</f>
        <v/>
      </c>
      <c r="F19" s="6" t="str">
        <f>IFERROR(IF(A19="","",SUM('Asset Allocation'!J19)),0)</f>
        <v/>
      </c>
      <c r="G19" s="6" t="str">
        <f>IFERROR(IF(A19="","",SUM('Asset Allocation'!P19,'Asset Allocation'!Q19)),0)</f>
        <v/>
      </c>
      <c r="H19" s="6" t="str">
        <f>IFERROR(IF(A19="","",SUM('Asset Allocation'!N19)),0)</f>
        <v/>
      </c>
    </row>
    <row r="20" spans="1:8" x14ac:dyDescent="0.25">
      <c r="A20" t="str">
        <f>IF(Input!A21="","",Input!A21)</f>
        <v/>
      </c>
      <c r="B20" s="6" t="str">
        <f>IFERROR(IF(A20="","",SUM('Asset Allocation'!I20)),0)</f>
        <v/>
      </c>
      <c r="C20" s="6" t="str">
        <f>IFERROR(IF(A20="","",SUM('Asset Allocation'!L20)),0)</f>
        <v/>
      </c>
      <c r="D20" s="6" t="str">
        <f>IFERROR(IF(A20="","",SUM('Asset Allocation'!R20,'Asset Allocation'!K20)),0)</f>
        <v/>
      </c>
      <c r="E20" s="6" t="str">
        <f>IFERROR(IF(A20="","",SUM('Asset Allocation'!M20)),0)</f>
        <v/>
      </c>
      <c r="F20" s="6" t="str">
        <f>IFERROR(IF(A20="","",SUM('Asset Allocation'!J20)),0)</f>
        <v/>
      </c>
      <c r="G20" s="6" t="str">
        <f>IFERROR(IF(A20="","",SUM('Asset Allocation'!P20,'Asset Allocation'!Q20)),0)</f>
        <v/>
      </c>
      <c r="H20" s="6" t="str">
        <f>IFERROR(IF(A20="","",SUM('Asset Allocation'!N20)),0)</f>
        <v/>
      </c>
    </row>
    <row r="21" spans="1:8" x14ac:dyDescent="0.25">
      <c r="A21" t="str">
        <f>IF(Input!A22="","",Input!A22)</f>
        <v/>
      </c>
      <c r="B21" s="6" t="str">
        <f>IFERROR(IF(A21="","",SUM('Asset Allocation'!I21)),0)</f>
        <v/>
      </c>
      <c r="C21" s="6" t="str">
        <f>IFERROR(IF(A21="","",SUM('Asset Allocation'!L21)),0)</f>
        <v/>
      </c>
      <c r="D21" s="6" t="str">
        <f>IFERROR(IF(A21="","",SUM('Asset Allocation'!R21,'Asset Allocation'!K21)),0)</f>
        <v/>
      </c>
      <c r="E21" s="6" t="str">
        <f>IFERROR(IF(A21="","",SUM('Asset Allocation'!M21)),0)</f>
        <v/>
      </c>
      <c r="F21" s="6" t="str">
        <f>IFERROR(IF(A21="","",SUM('Asset Allocation'!J21)),0)</f>
        <v/>
      </c>
      <c r="G21" s="6" t="str">
        <f>IFERROR(IF(A21="","",SUM('Asset Allocation'!P21,'Asset Allocation'!Q21)),0)</f>
        <v/>
      </c>
      <c r="H21" s="6" t="str">
        <f>IFERROR(IF(A21="","",SUM('Asset Allocation'!N21)),0)</f>
        <v/>
      </c>
    </row>
    <row r="22" spans="1:8" x14ac:dyDescent="0.25">
      <c r="A22" t="str">
        <f>IF(Input!A23="","",Input!A23)</f>
        <v/>
      </c>
      <c r="B22" s="6" t="str">
        <f>IFERROR(IF(A22="","",SUM('Asset Allocation'!I22)),0)</f>
        <v/>
      </c>
      <c r="C22" s="6" t="str">
        <f>IFERROR(IF(A22="","",SUM('Asset Allocation'!L22)),0)</f>
        <v/>
      </c>
      <c r="D22" s="6" t="str">
        <f>IFERROR(IF(A22="","",SUM('Asset Allocation'!R22,'Asset Allocation'!K22)),0)</f>
        <v/>
      </c>
      <c r="E22" s="6" t="str">
        <f>IFERROR(IF(A22="","",SUM('Asset Allocation'!M22)),0)</f>
        <v/>
      </c>
      <c r="F22" s="6" t="str">
        <f>IFERROR(IF(A22="","",SUM('Asset Allocation'!J22)),0)</f>
        <v/>
      </c>
      <c r="G22" s="6" t="str">
        <f>IFERROR(IF(A22="","",SUM('Asset Allocation'!P22,'Asset Allocation'!Q22)),0)</f>
        <v/>
      </c>
      <c r="H22" s="6" t="str">
        <f>IFERROR(IF(A22="","",SUM('Asset Allocation'!N22)),0)</f>
        <v/>
      </c>
    </row>
    <row r="23" spans="1:8" x14ac:dyDescent="0.25">
      <c r="A23" t="str">
        <f>IF(Input!A24="","",Input!A24)</f>
        <v/>
      </c>
      <c r="B23" s="6" t="str">
        <f>IFERROR(IF(A23="","",SUM('Asset Allocation'!I23)),0)</f>
        <v/>
      </c>
      <c r="C23" s="6" t="str">
        <f>IFERROR(IF(A23="","",SUM('Asset Allocation'!L23)),0)</f>
        <v/>
      </c>
      <c r="D23" s="6" t="str">
        <f>IFERROR(IF(A23="","",SUM('Asset Allocation'!R23,'Asset Allocation'!K23)),0)</f>
        <v/>
      </c>
      <c r="E23" s="6" t="str">
        <f>IFERROR(IF(A23="","",SUM('Asset Allocation'!M23)),0)</f>
        <v/>
      </c>
      <c r="F23" s="6" t="str">
        <f>IFERROR(IF(A23="","",SUM('Asset Allocation'!J23)),0)</f>
        <v/>
      </c>
      <c r="G23" s="6" t="str">
        <f>IFERROR(IF(A23="","",SUM('Asset Allocation'!P23,'Asset Allocation'!Q23)),0)</f>
        <v/>
      </c>
      <c r="H23" s="6" t="str">
        <f>IFERROR(IF(A23="","",SUM('Asset Allocation'!N23)),0)</f>
        <v/>
      </c>
    </row>
    <row r="24" spans="1:8" x14ac:dyDescent="0.25">
      <c r="A24" t="str">
        <f>IF(Input!A25="","",Input!A25)</f>
        <v/>
      </c>
      <c r="B24" s="6" t="str">
        <f>IFERROR(IF(A24="","",SUM('Asset Allocation'!I24)),0)</f>
        <v/>
      </c>
      <c r="C24" s="6" t="str">
        <f>IFERROR(IF(A24="","",SUM('Asset Allocation'!L24)),0)</f>
        <v/>
      </c>
      <c r="D24" s="6" t="str">
        <f>IFERROR(IF(A24="","",SUM('Asset Allocation'!R24,'Asset Allocation'!K24)),0)</f>
        <v/>
      </c>
      <c r="E24" s="6" t="str">
        <f>IFERROR(IF(A24="","",SUM('Asset Allocation'!M24)),0)</f>
        <v/>
      </c>
      <c r="F24" s="6" t="str">
        <f>IFERROR(IF(A24="","",SUM('Asset Allocation'!J24)),0)</f>
        <v/>
      </c>
      <c r="G24" s="6" t="str">
        <f>IFERROR(IF(A24="","",SUM('Asset Allocation'!P24,'Asset Allocation'!Q24)),0)</f>
        <v/>
      </c>
      <c r="H24" s="6" t="str">
        <f>IFERROR(IF(A24="","",SUM('Asset Allocation'!N24)),0)</f>
        <v/>
      </c>
    </row>
    <row r="25" spans="1:8" x14ac:dyDescent="0.25">
      <c r="A25" t="str">
        <f>IF(Input!A26="","",Input!A26)</f>
        <v/>
      </c>
      <c r="B25" s="6" t="str">
        <f>IFERROR(IF(A25="","",SUM('Asset Allocation'!I25)),0)</f>
        <v/>
      </c>
      <c r="C25" s="6" t="str">
        <f>IFERROR(IF(A25="","",SUM('Asset Allocation'!L25)),0)</f>
        <v/>
      </c>
      <c r="D25" s="6" t="str">
        <f>IFERROR(IF(A25="","",SUM('Asset Allocation'!R25,'Asset Allocation'!K25)),0)</f>
        <v/>
      </c>
      <c r="E25" s="6" t="str">
        <f>IFERROR(IF(A25="","",SUM('Asset Allocation'!M25)),0)</f>
        <v/>
      </c>
      <c r="F25" s="6" t="str">
        <f>IFERROR(IF(A25="","",SUM('Asset Allocation'!J25)),0)</f>
        <v/>
      </c>
      <c r="G25" s="6" t="str">
        <f>IFERROR(IF(A25="","",SUM('Asset Allocation'!P25,'Asset Allocation'!Q25)),0)</f>
        <v/>
      </c>
      <c r="H25" s="6" t="str">
        <f>IFERROR(IF(A25="","",SUM('Asset Allocation'!N25)),0)</f>
        <v/>
      </c>
    </row>
    <row r="26" spans="1:8" x14ac:dyDescent="0.25">
      <c r="A26" t="str">
        <f>IF(Input!A27="","",Input!A27)</f>
        <v/>
      </c>
      <c r="B26" s="6" t="str">
        <f>IFERROR(IF(A26="","",SUM('Asset Allocation'!I26)),0)</f>
        <v/>
      </c>
      <c r="C26" s="6" t="str">
        <f>IFERROR(IF(A26="","",SUM('Asset Allocation'!L26)),0)</f>
        <v/>
      </c>
      <c r="D26" s="6" t="str">
        <f>IFERROR(IF(A26="","",SUM('Asset Allocation'!R26,'Asset Allocation'!K26)),0)</f>
        <v/>
      </c>
      <c r="E26" s="6" t="str">
        <f>IFERROR(IF(A26="","",SUM('Asset Allocation'!M26)),0)</f>
        <v/>
      </c>
      <c r="F26" s="6" t="str">
        <f>IFERROR(IF(A26="","",SUM('Asset Allocation'!J26)),0)</f>
        <v/>
      </c>
      <c r="G26" s="6" t="str">
        <f>IFERROR(IF(A26="","",SUM('Asset Allocation'!P26,'Asset Allocation'!Q26)),0)</f>
        <v/>
      </c>
      <c r="H26" s="6" t="str">
        <f>IFERROR(IF(A26="","",SUM('Asset Allocation'!N26)),0)</f>
        <v/>
      </c>
    </row>
    <row r="27" spans="1:8" x14ac:dyDescent="0.25">
      <c r="A27" t="str">
        <f>IF(Input!A28="","",Input!A28)</f>
        <v/>
      </c>
      <c r="B27" s="6" t="str">
        <f>IFERROR(IF(A27="","",SUM('Asset Allocation'!I27)),0)</f>
        <v/>
      </c>
      <c r="C27" s="6" t="str">
        <f>IFERROR(IF(A27="","",SUM('Asset Allocation'!L27)),0)</f>
        <v/>
      </c>
      <c r="D27" s="6" t="str">
        <f>IFERROR(IF(A27="","",SUM('Asset Allocation'!R27,'Asset Allocation'!K27)),0)</f>
        <v/>
      </c>
      <c r="E27" s="6" t="str">
        <f>IFERROR(IF(A27="","",SUM('Asset Allocation'!M27)),0)</f>
        <v/>
      </c>
      <c r="F27" s="6" t="str">
        <f>IFERROR(IF(A27="","",SUM('Asset Allocation'!J27)),0)</f>
        <v/>
      </c>
      <c r="G27" s="6" t="str">
        <f>IFERROR(IF(A27="","",SUM('Asset Allocation'!P27,'Asset Allocation'!Q27)),0)</f>
        <v/>
      </c>
      <c r="H27" s="6" t="str">
        <f>IFERROR(IF(A27="","",SUM('Asset Allocation'!N27)),0)</f>
        <v/>
      </c>
    </row>
    <row r="28" spans="1:8" x14ac:dyDescent="0.25">
      <c r="A28" t="str">
        <f>IF(Input!A29="","",Input!A29)</f>
        <v/>
      </c>
      <c r="B28" s="6" t="str">
        <f>IFERROR(IF(A28="","",SUM('Asset Allocation'!I28)),0)</f>
        <v/>
      </c>
      <c r="C28" s="6" t="str">
        <f>IFERROR(IF(A28="","",SUM('Asset Allocation'!L28)),0)</f>
        <v/>
      </c>
      <c r="D28" s="6" t="str">
        <f>IFERROR(IF(A28="","",SUM('Asset Allocation'!R28,'Asset Allocation'!K28)),0)</f>
        <v/>
      </c>
      <c r="E28" s="6" t="str">
        <f>IFERROR(IF(A28="","",SUM('Asset Allocation'!M28)),0)</f>
        <v/>
      </c>
      <c r="F28" s="6" t="str">
        <f>IFERROR(IF(A28="","",SUM('Asset Allocation'!J28)),0)</f>
        <v/>
      </c>
      <c r="G28" s="6" t="str">
        <f>IFERROR(IF(A28="","",SUM('Asset Allocation'!P28,'Asset Allocation'!Q28)),0)</f>
        <v/>
      </c>
      <c r="H28" s="6" t="str">
        <f>IFERROR(IF(A28="","",SUM('Asset Allocation'!N28)),0)</f>
        <v/>
      </c>
    </row>
    <row r="29" spans="1:8" x14ac:dyDescent="0.25">
      <c r="A29" t="str">
        <f>IF(Input!A30="","",Input!A30)</f>
        <v/>
      </c>
      <c r="B29" s="6" t="str">
        <f>IFERROR(IF(A29="","",SUM('Asset Allocation'!I29)),0)</f>
        <v/>
      </c>
      <c r="C29" s="6" t="str">
        <f>IFERROR(IF(A29="","",SUM('Asset Allocation'!L29)),0)</f>
        <v/>
      </c>
      <c r="D29" s="6" t="str">
        <f>IFERROR(IF(A29="","",SUM('Asset Allocation'!R29,'Asset Allocation'!K29)),0)</f>
        <v/>
      </c>
      <c r="E29" s="6" t="str">
        <f>IFERROR(IF(A29="","",SUM('Asset Allocation'!M29)),0)</f>
        <v/>
      </c>
      <c r="F29" s="6" t="str">
        <f>IFERROR(IF(A29="","",SUM('Asset Allocation'!J29)),0)</f>
        <v/>
      </c>
      <c r="G29" s="6" t="str">
        <f>IFERROR(IF(A29="","",SUM('Asset Allocation'!P29,'Asset Allocation'!Q29)),0)</f>
        <v/>
      </c>
      <c r="H29" s="6" t="str">
        <f>IFERROR(IF(A29="","",SUM('Asset Allocation'!N29)),0)</f>
        <v/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Allocation'!I33)),0)</f>
        <v/>
      </c>
      <c r="C33" s="6" t="str">
        <f>IFERROR(IF(A33="","",SUM('Asset Allocation'!L33)),0)</f>
        <v/>
      </c>
      <c r="D33" s="6" t="str">
        <f>IFERROR(IF(A33="","",SUM('Asset Allocation'!R33,'Asset Allocation'!K33)),0)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Allocation'!I34)),0)</f>
        <v/>
      </c>
      <c r="C34" s="6" t="str">
        <f>IFERROR(IF(A34="","",SUM('Asset Allocation'!L34)),0)</f>
        <v/>
      </c>
      <c r="D34" s="6" t="str">
        <f>IFERROR(IF(A34="","",SUM('Asset Allocation'!R34,'Asset Allocation'!K34)),0)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Allocation'!I35)),0)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Allocation'!I36)),0)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Sarasin Model Portfolio - Cautious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Sarasin Model Portfolio - Defensive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Sarasin Model Portfolio - Balanced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Sarasin Model Portfolio - Growth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Sarasin Model Portfolio - Equity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Sarasin Model Portfolio - Cautious</v>
      </c>
      <c r="C1" s="1" t="str">
        <v>Sarasin Model Portfolio - Defensive</v>
      </c>
      <c r="D1" t="str">
        <v>Sarasin Model Portfolio - Balanced</v>
      </c>
      <c r="E1" t="str">
        <v>Sarasin Model Portfolio - Growth</v>
      </c>
      <c r="F1" t="str">
        <v>Sarasin Model Portfolio - Equity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2023-08-25T07:10:19Z</dcterms:modified>
</cp:coreProperties>
</file>