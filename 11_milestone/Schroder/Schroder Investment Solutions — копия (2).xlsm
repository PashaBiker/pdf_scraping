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2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<sst xmlns="http://schemas.openxmlformats.org/spreadsheetml/2006/main" count="238" uniqueCount="195">
  <si>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</si>
  <si>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</si>
  <si>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</si>
  <si>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</si>
  <si>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</si>
  <si>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</si>
  <si>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</si>
  <si>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</si>
  <si>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</si>
  <si>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</si>
  <si>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</si>
  <si>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</si>
  <si>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</si>
  <si>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</si>
  <si>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</si>
  <si>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</si>
  <si>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</si>
  <si>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</si>
  <si>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</si>
  <si>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</si>
  <si>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</si>
  <si>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</si>
  <si>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</si>
  <si>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</si>
  <si>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</si>
  <si>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</si>
  <si>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</si>
  <si>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</si>
  <si>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</si>
  <si>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</si>
  <si>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</si>
  <si>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</si>
  <si>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</si>
  <si>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</si>
  <si>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</si>
  <si>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</si>
  <si>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</si>
  <si>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</si>
  <si>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</si>
  <si>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</si>
  <si>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</si>
  <si>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</si>
  <si>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</si>
  <si>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</si>
  <si>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</si>
  <si>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</si>
  <si>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</si>
  <si>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</si>
  <si>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</si>
  <si>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</si>
  <si>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</si>
  <si>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</si>
  <si>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</si>
  <si>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</si>
  <si>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</si>
  <si>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</si>
  <si>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</si>
  <si>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</si>
  <si>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</si>
  <si>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</si>
  <si>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</si>
  <si>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</si>
  <si>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</si>
  <si>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</si>
  <si>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</si>
  <si>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</si>
  <si>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</si>
  <si>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</si>
  <si>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</si>
  <si>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</si>
  <si>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</si>
  <si>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</si>
  <si>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</si>
  <si>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</si>
  <si>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</si>
  <si>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</si>
  <si>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</si>
  <si>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</si>
  <si>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</si>
  <si>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</si>
  <si>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</si>
  <si>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</si>
  <si>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</si>
  <si>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</si>
  <si>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</si>
  <si>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</si>
  <si>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</si>
  <si>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</si>
  <si>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</si>
  <si>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</si>
  <si>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</si>
  <si>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</si>
  <si>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</si>
  <si>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</si>
  <si>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</si>
  <si>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</si>
  <si>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</si>
  <si>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</si>
  <si>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</si>
  <si>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</si>
  <si>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</si>
  <si>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</si>
  <si>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</si>
  <si>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</si>
  <si>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</si>
  <si>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</si>
  <si>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</si>
  <si>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</si>
  <si>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</si>
  <si>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</si>
  <si>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</si>
  <si>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</si>
  <si>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</si>
  <si>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</si>
  <si>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</si>
  <si>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</si>
  <si>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</si>
  <si>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</si>
  <si>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</si>
  <si>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</si>
  <si>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</si>
  <si>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</si>
  <si>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</si>
  <si>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</si>
  <si>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</si>
  <si>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</si>
  <si>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</si>
  <si>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</si>
  <si>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</si>
  <si>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</si>
  <si>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</si>
  <si>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</si>
  <si>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</si>
  <si>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</si>
  <si>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</si>
  <si>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</si>
  <si>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</si>
  <si>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</si>
  <si>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</si>
  <si>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</si>
  <si>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</si>
  <si>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</si>
  <si>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</si>
  <si>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</si>
  <si>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</si>
  <si>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</si>
  <si>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</si>
  <si>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</si>
  <si>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</si>
  <si>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</si>
  <si>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</si>
  <si>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</si>
  <si>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</si>
  <si>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</si>
  <si>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</si>
  <si>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</si>
  <si>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</si>
  <si>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</si>
  <si>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</si>
  <si>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</si>
  <si>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</si>
  <si>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</si>
  <si>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</si>
  <si>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</si>
  <si>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</si>
  <si>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</si>
  <si>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</si>
  <si>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</si>
  <si>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</si>
  <si>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</si>
  <si>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</si>
  <si>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</si>
  <si>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</si>
  <si>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</si>
  <si>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</si>
  <si>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</si>
  <si>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</si>
  <si>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</si>
  <si>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</si>
  <si>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</si>
  <si>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</si>
  <si>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</si>
  <si>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</si>
  <si>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</si>
  <si>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</si>
  <si>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</si>
  <si>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</si>
  <si>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</si>
  <si>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https://api.schroders.com/document-store/id/a10c2154-e5f3-4ccf-aba1-e2822b02d893/</t>
  </si>
  <si>
    <t>https://api.schroders.com/document-store/id/F5AF7CA7-1F6C-4D89-A4AD-37BA7741843C/</t>
  </si>
  <si>
    <t>https://api.schroders.com/document-store/id/cdf6c64a-02b5-4b87-b02d-cba2387a3889</t>
  </si>
  <si>
    <t>https://api.schroders.com/document-store/id/93ebb188-d896-4be3-8640-518e046cfc87</t>
  </si>
  <si>
    <t>https://api.schroders.com/document-store/id/ad258552-2159-481d-a69f-c97f3f6f8015</t>
  </si>
  <si>
    <t>https://api.schroders.com/document-store/id/c4d7f349-e581-4bee-af6f-9938c81be72b</t>
  </si>
  <si>
    <t>https://api.schroders.com/document-store/id/3ab45624-6a05-4559-8eaa-0f3c877a91e7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</si>
</sst>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>
        <f>'PDF Scraping'!D3</f>
        <v>0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51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53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54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57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59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69</v>
      </c>
      <c r="B21">
        <f>'PDF Scraping'!D20</f>
        <v>0</v>
      </c>
    </row>
    <row r="22" spans="1:2" x14ac:dyDescent="0.25">
      <c r="A22" t="s">
        <v>70</v>
      </c>
      <c r="B22">
        <f>'PDF Scraping'!D21</f>
        <v>0</v>
      </c>
    </row>
    <row r="23" spans="1:2" x14ac:dyDescent="0.25">
      <c r="A23" t="s">
        <v>71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72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73</v>
      </c>
      <c r="B25">
        <f>'PDF Scraping'!D24</f>
        <v>0</v>
      </c>
    </row>
    <row r="26" spans="1:2" x14ac:dyDescent="0.25">
      <c r="A26" t="s">
        <v>74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80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81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82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83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84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85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92</v>
      </c>
      <c r="B33" t="str">
        <f>'PDF Scraping'!D32</f>
        <v>https://api.schroders.com/document-store/id/a10c2154-e5f3-4ccf-aba1-e2822b02d893/</v>
      </c>
    </row>
    <row r="34" spans="1:2" x14ac:dyDescent="0.25">
      <c r="A34" t="s">
        <v>94</v>
      </c>
      <c r="B34" t="str">
        <f>'PDF Scraping'!D33</f>
        <v>https://api.schroders.com/document-store/id/F5AF7CA7-1F6C-4D89-A4AD-37BA7741843C/</v>
      </c>
    </row>
    <row r="35" spans="1:2" x14ac:dyDescent="0.25">
      <c r="A35" t="s">
        <v>96</v>
      </c>
      <c r="B35" t="str">
        <f>'PDF Scraping'!D34</f>
        <v>https://api.schroders.com/document-store/id/cdf6c64a-02b5-4b87-b02d-cba2387a3889</v>
      </c>
    </row>
    <row r="36" spans="1:2" x14ac:dyDescent="0.25">
      <c r="A36" t="s">
        <v>98</v>
      </c>
      <c r="B36" t="str">
        <f>'PDF Scraping'!D35</f>
        <v>https://api.schroders.com/document-store/id/93ebb188-d896-4be3-8640-518e046cfc87</v>
      </c>
    </row>
    <row r="37" spans="1:2" x14ac:dyDescent="0.25">
      <c r="A37" t="s">
        <v>100</v>
      </c>
      <c r="B37" t="str">
        <f>'PDF Scraping'!D36</f>
        <v>https://api.schroders.com/document-store/id/ad258552-2159-481d-a69f-c97f3f6f8015</v>
      </c>
    </row>
    <row r="38" spans="1:2" x14ac:dyDescent="0.25">
      <c r="A38" t="s">
        <v>102</v>
      </c>
      <c r="B38" t="str">
        <f>'PDF Scraping'!D37</f>
        <v>https://api.schroders.com/document-store/id/c4d7f349-e581-4bee-af6f-9938c81be72b</v>
      </c>
    </row>
    <row r="39" spans="1:2" x14ac:dyDescent="0.25">
      <c r="A39" t="s">
        <v>104</v>
      </c>
      <c r="B39" t="str">
        <f>'PDF Scraping'!D38</f>
        <v>https://api.schroders.com/document-store/id/3ab45624-6a05-4559-8eaa-0f3c877a91e7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topLeftCell="B1" zoomScale="70" zoomScaleNormal="70" workbookViewId="0">
      <selection activeCell="C39" sqref="C39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  <c r="D2" s="8" t="s">
        <v>162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  <c r="D4" s="8" t="s">
        <v>163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  <c r="D5" s="8" t="s">
        <v>164</v>
      </c>
    </row>
    <row r="6" spans="1:5" x14ac:dyDescent="0.25">
      <c r="A6" t="str">
        <f>IF(Input!A7="","",Input!A7)</f>
        <v>Schroder Active Portfolio 6</v>
      </c>
      <c r="B6" t="s">
        <v>46</v>
      </c>
      <c r="C6" t="s">
        <v>37</v>
      </c>
      <c r="D6" s="8" t="s">
        <v>165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  <c r="D7" s="8" t="s">
        <v>166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  <c r="D8" s="8" t="s">
        <v>167</v>
      </c>
    </row>
    <row r="9" spans="1:5" x14ac:dyDescent="0.25">
      <c r="A9" t="str">
        <f>IF(Input!A10="","",Input!A10)</f>
        <v>Schroder Active Portfolio 9</v>
      </c>
      <c r="B9" t="s">
        <v>49</v>
      </c>
      <c r="C9" t="s">
        <v>40</v>
      </c>
      <c r="D9" s="8" t="s">
        <v>168</v>
      </c>
    </row>
    <row r="10" spans="1:5" x14ac:dyDescent="0.25">
      <c r="A10" t="str">
        <f>IF(Input!A11="","",Input!A11)</f>
        <v>Schroder Active Portfolio 10</v>
      </c>
      <c r="B10" t="s">
        <v>50</v>
      </c>
      <c r="C10" t="s">
        <v>41</v>
      </c>
      <c r="D10" s="8" t="s">
        <v>169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1" t="s">
        <v>51</v>
      </c>
      <c r="D11" s="8" t="s">
        <v>170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t="s">
        <v>52</v>
      </c>
      <c r="D12" s="8" t="s">
        <v>171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  <c r="D13" s="8" t="s">
        <v>172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  <c r="D14" s="8" t="s">
        <v>173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  <c r="D15" s="8" t="s">
        <v>174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  <c r="D16" s="8" t="s">
        <v>175</v>
      </c>
    </row>
    <row r="17" spans="1:4" x14ac:dyDescent="0.25">
      <c r="A17" t="str">
        <f>IF(Input!A18="","",Input!A18)</f>
        <v>Schroder Strategic Index Portfolio 8</v>
      </c>
      <c r="B17" t="s">
        <v>66</v>
      </c>
      <c r="C17" t="s">
        <v>57</v>
      </c>
      <c r="D17" s="8" t="s">
        <v>176</v>
      </c>
    </row>
    <row r="18" spans="1:4" x14ac:dyDescent="0.25">
      <c r="A18" t="str">
        <f>IF(Input!A19="","",Input!A19)</f>
        <v>Schroder Strategic Index Portfolio 9</v>
      </c>
      <c r="B18" t="s">
        <v>67</v>
      </c>
      <c r="C18" t="s">
        <v>58</v>
      </c>
      <c r="D18" s="8" t="s">
        <v>177</v>
      </c>
    </row>
    <row r="19" spans="1:4" x14ac:dyDescent="0.25">
      <c r="A19" t="str">
        <f>IF(Input!A20="","",Input!A20)</f>
        <v>Schroder Strategic Index Portfolio 10</v>
      </c>
      <c r="B19" t="s">
        <v>68</v>
      </c>
      <c r="C19" t="s">
        <v>59</v>
      </c>
      <c r="D19" s="8" t="s">
        <v>178</v>
      </c>
    </row>
    <row r="20" spans="1:4" x14ac:dyDescent="0.25">
      <c r="A20" t="str">
        <f>IF(Input!A21="","",Input!A21)</f>
        <v>Schroder Sustainable Portfolio 3</v>
      </c>
      <c r="B20" t="s">
        <v>75</v>
      </c>
      <c r="C20" t="s">
        <v>69</v>
      </c>
    </row>
    <row r="21" spans="1:4" x14ac:dyDescent="0.25">
      <c r="A21" t="str">
        <f>IF(Input!A22="","",Input!A22)</f>
        <v>Schroder Sustainable Portfolio 4</v>
      </c>
      <c r="B21" t="s">
        <v>76</v>
      </c>
      <c r="C21" t="s">
        <v>70</v>
      </c>
    </row>
    <row r="22" spans="1:4" x14ac:dyDescent="0.25">
      <c r="A22" t="str">
        <f>IF(Input!A23="","",Input!A23)</f>
        <v>Schroder Sustainable Portfolio 5</v>
      </c>
      <c r="B22" s="4" t="s">
        <v>159</v>
      </c>
      <c r="C22" t="s">
        <v>71</v>
      </c>
      <c r="D22" s="8" t="s">
        <v>179</v>
      </c>
    </row>
    <row r="23" spans="1:4" x14ac:dyDescent="0.25">
      <c r="A23" t="str">
        <f>IF(Input!A24="","",Input!A24)</f>
        <v>Schroder Sustainable Portfolio 6</v>
      </c>
      <c r="B23" t="s">
        <v>77</v>
      </c>
      <c r="C23" t="s">
        <v>72</v>
      </c>
      <c r="D23" s="8" t="s">
        <v>180</v>
      </c>
    </row>
    <row r="24" spans="1:4" x14ac:dyDescent="0.25">
      <c r="A24" t="str">
        <f>IF(Input!A25="","",Input!A25)</f>
        <v>Schroder Sustainable Portfolio 7</v>
      </c>
      <c r="B24" t="s">
        <v>78</v>
      </c>
      <c r="C24" t="s">
        <v>73</v>
      </c>
    </row>
    <row r="25" spans="1:4" x14ac:dyDescent="0.25">
      <c r="A25" t="str">
        <f>IF(Input!A26="","",Input!A26)</f>
        <v>Schroder Sustainable Portfolio 8</v>
      </c>
      <c r="B25" t="s">
        <v>79</v>
      </c>
      <c r="C25" t="s">
        <v>74</v>
      </c>
      <c r="D25" s="8" t="s">
        <v>181</v>
      </c>
    </row>
    <row r="26" spans="1:4" x14ac:dyDescent="0.25">
      <c r="A26" t="str">
        <f>IF(Input!A27="","",Input!A27)</f>
        <v>Schroder Blended Portfolio 3</v>
      </c>
      <c r="B26" t="s">
        <v>86</v>
      </c>
      <c r="C26" t="s">
        <v>80</v>
      </c>
      <c r="D26" s="8" t="s">
        <v>182</v>
      </c>
    </row>
    <row r="27" spans="1:4" x14ac:dyDescent="0.25">
      <c r="A27" t="str">
        <f>IF(Input!A28="","",Input!A28)</f>
        <v>Schroder Blended Portfolio 4</v>
      </c>
      <c r="B27" t="s">
        <v>87</v>
      </c>
      <c r="C27" t="s">
        <v>81</v>
      </c>
      <c r="D27" s="8" t="s">
        <v>183</v>
      </c>
    </row>
    <row r="28" spans="1:4" x14ac:dyDescent="0.25">
      <c r="A28" t="str">
        <f>IF(Input!A29="","",Input!A29)</f>
        <v>Schroder Blended Portfolio 5</v>
      </c>
      <c r="B28" t="s">
        <v>88</v>
      </c>
      <c r="C28" t="s">
        <v>82</v>
      </c>
      <c r="D28" s="8" t="s">
        <v>184</v>
      </c>
    </row>
    <row r="29" spans="1:4" x14ac:dyDescent="0.25">
      <c r="A29" t="str">
        <f>IF(Input!A30="","",Input!A30)</f>
        <v>Schroder Blended Portfolio 6</v>
      </c>
      <c r="B29" t="s">
        <v>89</v>
      </c>
      <c r="C29" t="s">
        <v>83</v>
      </c>
      <c r="D29" s="8" t="s">
        <v>185</v>
      </c>
    </row>
    <row r="30" spans="1:4" x14ac:dyDescent="0.25">
      <c r="A30" t="str">
        <f>IF(Input!A31="","",Input!A31)</f>
        <v>Schroder Blended Portfolio 7</v>
      </c>
      <c r="B30" t="s">
        <v>90</v>
      </c>
      <c r="C30" t="s">
        <v>84</v>
      </c>
      <c r="D30" s="8" t="s">
        <v>186</v>
      </c>
    </row>
    <row r="31" spans="1:4" x14ac:dyDescent="0.25">
      <c r="A31" t="str">
        <f>IF(Input!A32="","",Input!A32)</f>
        <v>Schroder Blended Portfolio 8</v>
      </c>
      <c r="B31" t="s">
        <v>91</v>
      </c>
      <c r="C31" t="s">
        <v>85</v>
      </c>
      <c r="D31" s="8" t="s">
        <v>187</v>
      </c>
    </row>
    <row r="32" spans="1:4" x14ac:dyDescent="0.25">
      <c r="A32" t="str">
        <f>IF(Input!A33="","",Input!A33)</f>
        <v>Schroder Income Portfolio</v>
      </c>
      <c r="B32" t="s">
        <v>93</v>
      </c>
      <c r="C32" t="s">
        <v>160</v>
      </c>
      <c r="D32" s="8" t="s">
        <v>188</v>
      </c>
    </row>
    <row r="33" spans="1:4" x14ac:dyDescent="0.25">
      <c r="A33" t="str">
        <f>IF(Input!A34="","",Input!A34)</f>
        <v>Schroder Managed Defensive Fund</v>
      </c>
      <c r="B33" t="s">
        <v>95</v>
      </c>
      <c r="C33" t="s">
        <v>161</v>
      </c>
      <c r="D33" s="8" t="s">
        <v>189</v>
      </c>
    </row>
    <row r="34" spans="1:4" x14ac:dyDescent="0.25">
      <c r="A34" t="str">
        <f>IF(Input!A35="","",Input!A35)</f>
        <v>Schroder Global Multi-Asset Cautious Portfolio</v>
      </c>
      <c r="B34" t="s">
        <v>97</v>
      </c>
      <c r="C34" t="s">
        <v>96</v>
      </c>
      <c r="D34" s="8" t="s">
        <v>190</v>
      </c>
    </row>
    <row r="35" spans="1:4" x14ac:dyDescent="0.25">
      <c r="A35" t="str">
        <f>IF(Input!A36="","",Input!A36)</f>
        <v>Schroder Global Multi-Asset Moderately Cautious Portfolio</v>
      </c>
      <c r="B35" t="s">
        <v>99</v>
      </c>
      <c r="C35" t="s">
        <v>98</v>
      </c>
      <c r="D35" s="8" t="s">
        <v>191</v>
      </c>
    </row>
    <row r="36" spans="1:4" x14ac:dyDescent="0.25">
      <c r="A36" t="str">
        <f>IF(Input!A37="","",Input!A37)</f>
        <v>Schroder Schroder Global Multi-Asset Balanced Portfolio</v>
      </c>
      <c r="B36" t="s">
        <v>101</v>
      </c>
      <c r="C36" t="s">
        <v>100</v>
      </c>
      <c r="D36" s="8" t="s">
        <v>192</v>
      </c>
    </row>
    <row r="37" spans="1:4" x14ac:dyDescent="0.25">
      <c r="A37" t="str">
        <f>IF(Input!A38="","",Input!A38)</f>
        <v>Schroder Global Multi-Asset Growth Portfolio</v>
      </c>
      <c r="B37" t="s">
        <v>103</v>
      </c>
      <c r="C37" t="s">
        <v>102</v>
      </c>
      <c r="D37" s="8" t="s">
        <v>193</v>
      </c>
    </row>
    <row r="38" spans="1:4" x14ac:dyDescent="0.25">
      <c r="A38" t="str">
        <f>IF(Input!A39="","",Input!A39)</f>
        <v>Schroder Global Multi-Asset Adventurous Portfolio</v>
      </c>
      <c r="B38" t="s">
        <v>105</v>
      </c>
      <c r="C38" t="s">
        <v>104</v>
      </c>
      <c r="D38" s="8" t="s">
        <v>194</v>
      </c>
    </row>
    <row r="39" spans="1:4" x14ac:dyDescent="0.25">
      <c r="A39" t="str">
        <f>IF(Input!A41="","",Input!A41)</f>
        <v/>
      </c>
    </row>
    <row r="40" spans="1:4" x14ac:dyDescent="0.25">
      <c r="A40" t="str">
        <f>IF(Input!A42="","",Input!A42)</f>
        <v/>
      </c>
    </row>
    <row r="41" spans="1:4" x14ac:dyDescent="0.25">
      <c r="A41" t="str">
        <f>IF(Input!A43="","",Input!A43)</f>
        <v/>
      </c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0" priority="2"/>
    <cfRule type="duplicateValues" dxfId="1" priority="1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2023-09-04T06:41:45Z</dcterms:modified>
</cp:coreProperties>
</file>