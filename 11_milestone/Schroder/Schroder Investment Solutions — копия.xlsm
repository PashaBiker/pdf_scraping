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1_milestone\Schroder\"/>
    </mc:Choice>
  </mc:AlternateContent>
  <bookViews>
    <workbookView xWindow="1905" yWindow="1905" windowWidth="14400" windowHeight="781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2" i="35" l="1"/>
  <c r="B35" i="1" l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49" i="35"/>
  <c r="A48" i="35"/>
  <c r="A47" i="35"/>
  <c r="A46" i="35"/>
  <c r="A45" i="35"/>
  <c r="A44" i="35"/>
  <c r="A43" i="35"/>
  <c r="A41" i="35"/>
  <c r="A40" i="35"/>
  <c r="A39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<sst xmlns="http://schemas.openxmlformats.org/spreadsheetml/2006/main" count="242" uniqueCount="199">
  <si>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</si>
  <si>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</si>
  <si>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</si>
  <si>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</si>
  <si>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</si>
  <si>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</si>
  <si>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</si>
  <si>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</si>
  <si>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</si>
  <si>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</si>
  <si>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</si>
  <si>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</si>
  <si>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</si>
  <si>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</si>
  <si>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</si>
  <si>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</si>
  <si>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</si>
  <si>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</si>
  <si>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</si>
  <si>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</si>
  <si>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</si>
  <si>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</si>
  <si>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</si>
  <si>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</si>
  <si>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</si>
  <si>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</si>
  <si>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</si>
  <si>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</si>
  <si>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</si>
  <si>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</si>
  <si>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</si>
  <si>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</si>
  <si>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Liquid Assets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</si>
  <si>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</si>
  <si>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</si>
  <si>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</si>
  <si>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</si>
  <si>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</si>
  <si>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</si>
  <si>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</si>
  <si>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</si>
  <si>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</si>
  <si>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</si>
  <si>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</si>
  <si>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</si>
  <si>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</si>
  <si>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</si>
  <si>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</si>
  <si>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</si>
  <si>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</si>
  <si>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</si>
  <si>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</si>
  <si>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</si>
  <si>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</si>
  <si>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</si>
  <si>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</si>
  <si>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</si>
  <si>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</si>
  <si>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</si>
  <si>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</si>
  <si>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</si>
  <si>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</si>
  <si>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</si>
  <si>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</si>
  <si>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</si>
  <si>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</si>
  <si>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</si>
  <si>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</si>
  <si>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</si>
  <si>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</si>
  <si>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</si>
  <si>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</si>
  <si>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</si>
  <si>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</si>
  <si>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</si>
  <si>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</si>
  <si>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</si>
  <si>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</si>
  <si>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</si>
  <si>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</si>
  <si>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</si>
  <si>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</si>
  <si>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</si>
  <si>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</si>
  <si>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</si>
  <si>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</si>
  <si>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</si>
  <si>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</si>
  <si>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</si>
  <si>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</si>
  <si>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</si>
  <si>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</si>
  <si>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</si>
  <si>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</si>
  <si>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</si>
  <si>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</si>
  <si>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</si>
  <si>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</si>
  <si>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</si>
  <si>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</si>
  <si>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</si>
  <si>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</si>
  <si>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</si>
  <si>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</si>
  <si>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</si>
  <si>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</si>
  <si>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Ongoing charge</t>
  </si>
  <si>
    <t>OCF (Incl MPS Fee)</t>
  </si>
  <si>
    <t>Model portfolio fee</t>
  </si>
  <si>
    <t>1 month</t>
  </si>
  <si>
    <t>1 year</t>
  </si>
  <si>
    <t>Bond</t>
  </si>
  <si>
    <t>Stock</t>
  </si>
  <si>
    <t>Other</t>
  </si>
  <si>
    <t>Convertible</t>
  </si>
  <si>
    <t>Preferred</t>
  </si>
  <si>
    <t>Government bonds</t>
  </si>
  <si>
    <t>Alternatives</t>
  </si>
  <si>
    <t>Aggregate Bonds</t>
  </si>
  <si>
    <t>UK Equity</t>
  </si>
  <si>
    <t>Investment Grade Bonds</t>
  </si>
  <si>
    <t>USA Equity</t>
  </si>
  <si>
    <t>Property</t>
  </si>
  <si>
    <t>Emerging Market Debt Bonds</t>
  </si>
  <si>
    <t>Europe Equity</t>
  </si>
  <si>
    <t>Japan Equity</t>
  </si>
  <si>
    <t>Emerging Market Equity</t>
  </si>
  <si>
    <t>Other Equity</t>
  </si>
  <si>
    <t>Global</t>
  </si>
  <si>
    <t>Europe ex-UK/Middle East</t>
  </si>
  <si>
    <t>Americas</t>
  </si>
  <si>
    <t>Pacific ex-Japan</t>
  </si>
  <si>
    <t>Developed country</t>
  </si>
  <si>
    <t>Eurozone</t>
  </si>
  <si>
    <t>Europe - ex euro</t>
  </si>
  <si>
    <t>Emerging Market</t>
  </si>
  <si>
    <t>Asia - Developed</t>
  </si>
  <si>
    <t>Asia - Emerging</t>
  </si>
  <si>
    <t>Canada</t>
  </si>
  <si>
    <t>Australasia</t>
  </si>
  <si>
    <t>Latin America</t>
  </si>
  <si>
    <t>Derivatives</t>
  </si>
  <si>
    <t>Corporate</t>
  </si>
  <si>
    <t>Government</t>
  </si>
  <si>
    <t>Technology</t>
  </si>
  <si>
    <t>Financial services</t>
  </si>
  <si>
    <t>Healthcare</t>
  </si>
  <si>
    <t>Industrials</t>
  </si>
  <si>
    <t>Consumer cyclical</t>
  </si>
  <si>
    <t>Consumer defensive</t>
  </si>
  <si>
    <t>Real estate</t>
  </si>
  <si>
    <t>Communication Services</t>
  </si>
  <si>
    <t>Cash &amp; equivalents</t>
  </si>
  <si>
    <t>Energy</t>
  </si>
  <si>
    <t>Basic materials</t>
  </si>
  <si>
    <t>Utilities</t>
  </si>
  <si>
    <t>Hedge Funds</t>
  </si>
  <si>
    <t>Asia Pacific ex Japan Equity</t>
  </si>
  <si>
    <t>Commodities</t>
  </si>
  <si>
    <t>https://www.schroders.com/en-gb/uk/intermediary/investment-solutions/fund-centre/#/fund/SCHDR_F000016P37/schroder-sustainable-portfolio-5/-/profile/</t>
  </si>
  <si>
    <t>Income Portfolio</t>
  </si>
  <si>
    <t>Managed Defensive Fund</t>
  </si>
  <si>
    <t>https://api.schroders.com/document-store/id/07058623-8f5e-45ce-9e4b-85c7ff2cd2ff</t>
  </si>
  <si>
    <t>https://api.schroders.com/document-store/id/d403fd67-a109-49eb-90b1-458db2e6166d</t>
  </si>
  <si>
    <t>https://api.schroders.com/document-store/id/29f336b5-c5e8-4019-91f6-8d42047a0e29</t>
  </si>
  <si>
    <t>https://api.schroders.com/document-store/id/a831b089-14de-49f0-bc92-0160809a2b5f</t>
  </si>
  <si>
    <t>https://api.schroders.com/document-store/id/a5fea81f-c377-4586-b67d-c83915c0873e</t>
  </si>
  <si>
    <t>https://api.schroders.com/document-store/id/e0f19e3e-8b62-4ee7-97cb-8999c1c21480</t>
  </si>
  <si>
    <t>https://api.schroders.com/document-store/id/f606bb94-f674-4a79-9627-9cdabad112a1</t>
  </si>
  <si>
    <t>https://api.schroders.com/document-store/id/c276cc1e-9524-43e2-82f0-147db6323d02</t>
  </si>
  <si>
    <t>https://api.schroders.com/document-store/id/39f1a653-b65a-47c6-97d1-f8a351078430</t>
  </si>
  <si>
    <t>https://api.schroders.com/document-store/id/1396fbce-a5b6-481a-8f89-f9d29f1d6038</t>
  </si>
  <si>
    <t>https://api.schroders.com/document-store/id/15071999-7f12-478d-92b8-9c9c0d5c7d96</t>
  </si>
  <si>
    <t>https://api.schroders.com/document-store/id/c4d9977b-481f-4b59-8eb7-09982e7eee67</t>
  </si>
  <si>
    <t>https://api.schroders.com/document-store/id/a6aff599-175d-40c4-8e53-54ec9cc815c1</t>
  </si>
  <si>
    <t>https://api.schroders.com/document-store/id/597ac067-587d-4b26-ac00-792e240bbfcf</t>
  </si>
  <si>
    <t>https://api.schroders.com/document-store/id/ba6bb2bc-2715-481c-b8bd-88fda4a47022</t>
  </si>
  <si>
    <t>https://api.schroders.com/document-store/id/43a8c565-1eea-456b-817b-84782a271d3a</t>
  </si>
  <si>
    <t>https://api.schroders.com/document-store/id/7f35a0da-d68d-4b24-9230-a90393e1a711</t>
  </si>
  <si>
    <t>https://api.schroders.com/document-store/id/a490b548-fcde-4f86-8a4c-e654282cd094</t>
  </si>
  <si>
    <t>https://api.schroders.com/document-store/id/5267cec0-0b8c-455c-a100-9c6183f7a955</t>
  </si>
  <si>
    <t>https://api.schroders.com/document-store/id/ecd7551d-f231-4359-87a6-26591fc9e3b6</t>
  </si>
  <si>
    <t>https://api.schroders.com/document-store/id/8fdd0d59-36a5-4849-9183-9aef0f154d01</t>
  </si>
  <si>
    <t>https://api.schroders.com/document-store/id/0e41868b-5ee2-4d30-8e83-f2c877d409e4</t>
  </si>
  <si>
    <t>https://api.schroders.com/document-store/id/fb2c5a5d-2d1f-4b53-8ddc-691ff49d0326</t>
  </si>
  <si>
    <t>https://api.schroders.com/document-store/id/8d57406e-6992-44b2-8736-a9fcbe50861b</t>
  </si>
  <si>
    <t>https://api.schroders.com/document-store/id/54508148-f03d-461d-9c89-88e734c8010a</t>
  </si>
  <si>
    <t>https://api.schroders.com/document-store/id/9c43dd3d-bb7e-4d3b-beaf-745bc9ab62e2</t>
  </si>
  <si>
    <t>https://api.schroders.com/document-store/id/77705355-d5c9-4ee9-9889-2c33be0dd63e</t>
  </si>
  <si>
    <t>https://api.schroders.com/document-store/id/988023da-51e2-47e1-979b-83870907a6ca</t>
  </si>
  <si>
    <t>https://api.schroders.com/document-store/id/855eed1e-56ce-4f73-b26f-f831f91a38a3</t>
  </si>
  <si>
    <t>https://api.schroders.com/document-store/id/166acb72-9ded-46b7-8110-1c8f8b625cfc</t>
  </si>
  <si>
    <t>https://api.schroders.com/document-store/SISCo-Schroder-Managed-Defensive-Fund-F-Acc-FMR-UKEN.pdf</t>
  </si>
  <si>
    <t>https://api.schroders.com/document-store/id/29a5c2e7-f3e9-4eec-a6da-fdd2f5a03764</t>
  </si>
  <si>
    <t>https://api.schroders.com/document-store/id/2fe0d208-7d7f-40cd-86c5-57b5da3fd8eb</t>
  </si>
  <si>
    <t>https://api.schroders.com/document-store/id/d4081afe-9aa0-4e2c-962a-8618e5af4b1f</t>
  </si>
  <si>
    <t>https://api.schroders.com/document-store/id/bf5b7394-15a9-4f0f-9007-61a4104737c9</t>
  </si>
  <si>
    <t>https://api.schroders.com/document-store/id/114ca7bc-261a-444f-b1d0-6fd6b90230b8</t>
  </si>
  <si>
    <t>https://api.schroders.com/document-store/id/19EA9860-3061-43EC-AA78-3F661DBD7CE8/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</si>
</sst>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chroders.com/en-gb/uk/intermediary/investment-solutions/fund-centre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G23" sqref="G23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9"/>
  <sheetViews>
    <sheetView workbookViewId="0">
      <selection activeCell="B3" sqref="B3"/>
    </sheetView>
  </sheetViews>
  <sheetFormatPr defaultRowHeight="15" x14ac:dyDescent="0.25"/>
  <cols>
    <col min="1" max="1" width="54.28515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https://api.schroders.com/document-store/id/07058623-8f5e-45ce-9e4b-85c7ff2cd2ff</v>
      </c>
      <c r="J3" s="4"/>
    </row>
    <row r="4" spans="1:10" x14ac:dyDescent="0.25">
      <c r="A4" t="s">
        <v>34</v>
      </c>
      <c r="B4" t="str">
        <f>'PDF Scraping'!D3</f>
        <v>https://api.schroders.com/document-store/id/d403fd67-a109-49eb-90b1-458db2e6166d</v>
      </c>
      <c r="J4" s="4"/>
    </row>
    <row r="5" spans="1:10" x14ac:dyDescent="0.25">
      <c r="A5" t="s">
        <v>35</v>
      </c>
      <c r="B5" t="str">
        <f>'PDF Scraping'!D4</f>
        <v>https://api.schroders.com/document-store/id/29f336b5-c5e8-4019-91f6-8d42047a0e29</v>
      </c>
    </row>
    <row r="6" spans="1:10" x14ac:dyDescent="0.25">
      <c r="A6" t="s">
        <v>36</v>
      </c>
      <c r="B6" t="str">
        <f>'PDF Scraping'!D5</f>
        <v>https://api.schroders.com/document-store/id/a831b089-14de-49f0-bc92-0160809a2b5f</v>
      </c>
    </row>
    <row r="7" spans="1:10" x14ac:dyDescent="0.25">
      <c r="A7" t="s">
        <v>37</v>
      </c>
      <c r="B7" t="str">
        <f>'PDF Scraping'!D6</f>
        <v>https://api.schroders.com/document-store/id/a5fea81f-c377-4586-b67d-c83915c0873e</v>
      </c>
    </row>
    <row r="8" spans="1:10" x14ac:dyDescent="0.25">
      <c r="A8" t="s">
        <v>38</v>
      </c>
      <c r="B8" t="str">
        <f>'PDF Scraping'!D7</f>
        <v>https://api.schroders.com/document-store/id/e0f19e3e-8b62-4ee7-97cb-8999c1c21480</v>
      </c>
    </row>
    <row r="9" spans="1:10" x14ac:dyDescent="0.25">
      <c r="A9" t="s">
        <v>39</v>
      </c>
      <c r="B9" t="str">
        <f>'PDF Scraping'!D8</f>
        <v>https://api.schroders.com/document-store/id/f606bb94-f674-4a79-9627-9cdabad112a1</v>
      </c>
    </row>
    <row r="10" spans="1:10" x14ac:dyDescent="0.25">
      <c r="A10" t="s">
        <v>40</v>
      </c>
      <c r="B10" t="str">
        <f>'PDF Scraping'!D9</f>
        <v>https://api.schroders.com/document-store/id/c276cc1e-9524-43e2-82f0-147db6323d02</v>
      </c>
    </row>
    <row r="11" spans="1:10" x14ac:dyDescent="0.25">
      <c r="A11" t="s">
        <v>41</v>
      </c>
      <c r="B11" t="str">
        <f>'PDF Scraping'!D10</f>
        <v>https://api.schroders.com/document-store/id/39f1a653-b65a-47c6-97d1-f8a351078430</v>
      </c>
    </row>
    <row r="12" spans="1:10" x14ac:dyDescent="0.25">
      <c r="A12" t="s">
        <v>51</v>
      </c>
      <c r="B12" t="str">
        <f>'PDF Scraping'!D11</f>
        <v>https://api.schroders.com/document-store/id/1396fbce-a5b6-481a-8f89-f9d29f1d6038</v>
      </c>
    </row>
    <row r="13" spans="1:10" x14ac:dyDescent="0.25">
      <c r="A13" t="s">
        <v>52</v>
      </c>
      <c r="B13" t="str">
        <f>'PDF Scraping'!D12</f>
        <v>https://api.schroders.com/document-store/id/15071999-7f12-478d-92b8-9c9c0d5c7d96</v>
      </c>
    </row>
    <row r="14" spans="1:10" x14ac:dyDescent="0.25">
      <c r="A14" t="s">
        <v>53</v>
      </c>
      <c r="B14" t="str">
        <f>'PDF Scraping'!D13</f>
        <v>https://api.schroders.com/document-store/id/c4d9977b-481f-4b59-8eb7-09982e7eee67</v>
      </c>
    </row>
    <row r="15" spans="1:10" x14ac:dyDescent="0.25">
      <c r="A15" t="s">
        <v>54</v>
      </c>
      <c r="B15" t="str">
        <f>'PDF Scraping'!D14</f>
        <v>https://api.schroders.com/document-store/id/a6aff599-175d-40c4-8e53-54ec9cc815c1</v>
      </c>
    </row>
    <row r="16" spans="1:10" x14ac:dyDescent="0.25">
      <c r="A16" t="s">
        <v>55</v>
      </c>
      <c r="B16" t="str">
        <f>'PDF Scraping'!D15</f>
        <v>https://api.schroders.com/document-store/id/597ac067-587d-4b26-ac00-792e240bbfcf</v>
      </c>
    </row>
    <row r="17" spans="1:2" x14ac:dyDescent="0.25">
      <c r="A17" t="s">
        <v>56</v>
      </c>
      <c r="B17" t="str">
        <f>'PDF Scraping'!D16</f>
        <v>https://api.schroders.com/document-store/id/ba6bb2bc-2715-481c-b8bd-88fda4a47022</v>
      </c>
    </row>
    <row r="18" spans="1:2" x14ac:dyDescent="0.25">
      <c r="A18" t="s">
        <v>57</v>
      </c>
      <c r="B18" t="str">
        <f>'PDF Scraping'!D17</f>
        <v>https://api.schroders.com/document-store/id/43a8c565-1eea-456b-817b-84782a271d3a</v>
      </c>
    </row>
    <row r="19" spans="1:2" x14ac:dyDescent="0.25">
      <c r="A19" t="s">
        <v>58</v>
      </c>
      <c r="B19" t="str">
        <f>'PDF Scraping'!D18</f>
        <v>https://api.schroders.com/document-store/id/7f35a0da-d68d-4b24-9230-a90393e1a711</v>
      </c>
    </row>
    <row r="20" spans="1:2" x14ac:dyDescent="0.25">
      <c r="A20" t="s">
        <v>59</v>
      </c>
      <c r="B20" t="str">
        <f>'PDF Scraping'!D19</f>
        <v>https://api.schroders.com/document-store/id/a490b548-fcde-4f86-8a4c-e654282cd094</v>
      </c>
    </row>
    <row r="21" spans="1:2" x14ac:dyDescent="0.25">
      <c r="A21" t="s">
        <v>69</v>
      </c>
      <c r="B21" t="str">
        <f>'PDF Scraping'!D20</f>
        <v>https://api.schroders.com/document-store/id/5267cec0-0b8c-455c-a100-9c6183f7a955</v>
      </c>
    </row>
    <row r="22" spans="1:2" x14ac:dyDescent="0.25">
      <c r="A22" t="s">
        <v>70</v>
      </c>
      <c r="B22" t="str">
        <f>'PDF Scraping'!D21</f>
        <v>https://api.schroders.com/document-store/id/ecd7551d-f231-4359-87a6-26591fc9e3b6</v>
      </c>
    </row>
    <row r="23" spans="1:2" x14ac:dyDescent="0.25">
      <c r="A23" t="s">
        <v>71</v>
      </c>
      <c r="B23" t="str">
        <f>'PDF Scraping'!D22</f>
        <v>https://api.schroders.com/document-store/id/8fdd0d59-36a5-4849-9183-9aef0f154d01</v>
      </c>
    </row>
    <row r="24" spans="1:2" x14ac:dyDescent="0.25">
      <c r="A24" t="s">
        <v>72</v>
      </c>
      <c r="B24" t="str">
        <f>'PDF Scraping'!D23</f>
        <v>https://api.schroders.com/document-store/id/0e41868b-5ee2-4d30-8e83-f2c877d409e4</v>
      </c>
    </row>
    <row r="25" spans="1:2" x14ac:dyDescent="0.25">
      <c r="A25" t="s">
        <v>73</v>
      </c>
      <c r="B25" t="str">
        <f>'PDF Scraping'!D24</f>
        <v>https://api.schroders.com/document-store/id/fb2c5a5d-2d1f-4b53-8ddc-691ff49d0326</v>
      </c>
    </row>
    <row r="26" spans="1:2" x14ac:dyDescent="0.25">
      <c r="A26" t="s">
        <v>74</v>
      </c>
      <c r="B26" t="str">
        <f>'PDF Scraping'!D25</f>
        <v>https://api.schroders.com/document-store/id/8d57406e-6992-44b2-8736-a9fcbe50861b</v>
      </c>
    </row>
    <row r="27" spans="1:2" x14ac:dyDescent="0.25">
      <c r="A27" t="s">
        <v>80</v>
      </c>
      <c r="B27" t="str">
        <f>'PDF Scraping'!D26</f>
        <v>https://api.schroders.com/document-store/id/54508148-f03d-461d-9c89-88e734c8010a</v>
      </c>
    </row>
    <row r="28" spans="1:2" x14ac:dyDescent="0.25">
      <c r="A28" t="s">
        <v>81</v>
      </c>
      <c r="B28" t="str">
        <f>'PDF Scraping'!D27</f>
        <v>https://api.schroders.com/document-store/id/9c43dd3d-bb7e-4d3b-beaf-745bc9ab62e2</v>
      </c>
    </row>
    <row r="29" spans="1:2" x14ac:dyDescent="0.25">
      <c r="A29" t="s">
        <v>82</v>
      </c>
      <c r="B29" t="str">
        <f>'PDF Scraping'!D28</f>
        <v>https://api.schroders.com/document-store/id/77705355-d5c9-4ee9-9889-2c33be0dd63e</v>
      </c>
    </row>
    <row r="30" spans="1:2" x14ac:dyDescent="0.25">
      <c r="A30" t="s">
        <v>83</v>
      </c>
      <c r="B30" t="str">
        <f>'PDF Scraping'!D29</f>
        <v>https://api.schroders.com/document-store/id/988023da-51e2-47e1-979b-83870907a6ca</v>
      </c>
    </row>
    <row r="31" spans="1:2" x14ac:dyDescent="0.25">
      <c r="A31" t="s">
        <v>84</v>
      </c>
      <c r="B31" t="str">
        <f>'PDF Scraping'!D30</f>
        <v>https://api.schroders.com/document-store/id/855eed1e-56ce-4f73-b26f-f831f91a38a3</v>
      </c>
    </row>
    <row r="32" spans="1:2" x14ac:dyDescent="0.25">
      <c r="A32" t="s">
        <v>85</v>
      </c>
      <c r="B32" t="str">
        <f>'PDF Scraping'!D31</f>
        <v>https://api.schroders.com/document-store/id/166acb72-9ded-46b7-8110-1c8f8b625cfc</v>
      </c>
    </row>
    <row r="33" spans="1:2" x14ac:dyDescent="0.25">
      <c r="A33" t="s">
        <v>92</v>
      </c>
      <c r="B33" t="str">
        <f>'PDF Scraping'!D32</f>
        <v>https://api.schroders.com/document-store/id/19EA9860-3061-43EC-AA78-3F661DBD7CE8/</v>
      </c>
    </row>
    <row r="34" spans="1:2" x14ac:dyDescent="0.25">
      <c r="A34" t="s">
        <v>94</v>
      </c>
      <c r="B34" t="str">
        <f>'PDF Scraping'!D33</f>
        <v>https://api.schroders.com/document-store/SISCo-Schroder-Managed-Defensive-Fund-F-Acc-FMR-UKEN.pdf</v>
      </c>
    </row>
    <row r="35" spans="1:2" x14ac:dyDescent="0.25">
      <c r="A35" t="s">
        <v>96</v>
      </c>
      <c r="B35" t="str">
        <f>'PDF Scraping'!D34</f>
        <v>https://api.schroders.com/document-store/id/29a5c2e7-f3e9-4eec-a6da-fdd2f5a03764</v>
      </c>
    </row>
    <row r="36" spans="1:2" x14ac:dyDescent="0.25">
      <c r="A36" t="s">
        <v>98</v>
      </c>
      <c r="B36" t="str">
        <f>'PDF Scraping'!D35</f>
        <v>https://api.schroders.com/document-store/id/2fe0d208-7d7f-40cd-86c5-57b5da3fd8eb</v>
      </c>
    </row>
    <row r="37" spans="1:2" x14ac:dyDescent="0.25">
      <c r="A37" t="s">
        <v>100</v>
      </c>
      <c r="B37" t="str">
        <f>'PDF Scraping'!D36</f>
        <v>https://api.schroders.com/document-store/id/d4081afe-9aa0-4e2c-962a-8618e5af4b1f</v>
      </c>
    </row>
    <row r="38" spans="1:2" x14ac:dyDescent="0.25">
      <c r="A38" t="s">
        <v>102</v>
      </c>
      <c r="B38" t="str">
        <f>'PDF Scraping'!D37</f>
        <v>https://api.schroders.com/document-store/id/bf5b7394-15a9-4f0f-9007-61a4104737c9</v>
      </c>
    </row>
    <row r="39" spans="1:2" x14ac:dyDescent="0.25">
      <c r="A39" t="s">
        <v>104</v>
      </c>
      <c r="B39" t="str">
        <f>'PDF Scraping'!D38</f>
        <v>https://api.schroders.com/document-store/id/114ca7bc-261a-444f-b1d0-6fd6b90230b8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G50"/>
  <sheetViews>
    <sheetView workbookViewId="0">
      <selection activeCell="F2" sqref="F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7" x14ac:dyDescent="0.25">
      <c r="B1" t="s">
        <v>26</v>
      </c>
      <c r="C1" t="s">
        <v>107</v>
      </c>
      <c r="D1" t="s">
        <v>108</v>
      </c>
      <c r="E1" t="s">
        <v>106</v>
      </c>
      <c r="F1" t="s">
        <v>110</v>
      </c>
      <c r="G1" t="s">
        <v>109</v>
      </c>
    </row>
    <row r="2" spans="1:7" x14ac:dyDescent="0.25">
      <c r="A2" t="str">
        <f>IF(Input!A3="","",Input!A3)</f>
        <v>Schroder Active Portfolio 2</v>
      </c>
      <c r="B2" s="1"/>
      <c r="C2" s="5"/>
      <c r="D2" s="5"/>
      <c r="E2" s="5"/>
      <c r="F2" s="5"/>
    </row>
    <row r="3" spans="1:7" x14ac:dyDescent="0.25">
      <c r="A3" t="str">
        <f>IF(Input!A4="","",Input!A4)</f>
        <v>Schroder Active Portfolio 3</v>
      </c>
      <c r="B3" s="1"/>
      <c r="C3" s="5"/>
      <c r="D3" s="5"/>
      <c r="E3" s="5"/>
      <c r="F3" s="5"/>
    </row>
    <row r="4" spans="1:7" x14ac:dyDescent="0.25">
      <c r="A4" t="str">
        <f>IF(Input!A5="","",Input!A5)</f>
        <v>Schroder Active Portfolio 4</v>
      </c>
      <c r="B4" s="1"/>
      <c r="C4" s="5"/>
      <c r="D4" s="5"/>
      <c r="E4" s="5"/>
      <c r="F4" s="5"/>
    </row>
    <row r="5" spans="1:7" x14ac:dyDescent="0.25">
      <c r="A5" t="str">
        <f>IF(Input!A6="","",Input!A6)</f>
        <v>Schroder Active Portfolio 5</v>
      </c>
      <c r="B5" s="1"/>
      <c r="C5" s="5"/>
      <c r="D5" s="5"/>
      <c r="E5" s="5"/>
      <c r="F5" s="5"/>
    </row>
    <row r="6" spans="1:7" x14ac:dyDescent="0.25">
      <c r="A6" t="str">
        <f>IF(Input!A7="","",Input!A7)</f>
        <v>Schroder Active Portfolio 6</v>
      </c>
      <c r="B6" s="1"/>
      <c r="C6" s="5"/>
      <c r="D6" s="5"/>
      <c r="E6" s="5"/>
      <c r="F6" s="5"/>
    </row>
    <row r="7" spans="1:7" x14ac:dyDescent="0.25">
      <c r="A7" t="str">
        <f>IF(Input!A8="","",Input!A8)</f>
        <v>Schroder Active Portfolio 7</v>
      </c>
      <c r="B7" s="1"/>
      <c r="C7" s="5"/>
      <c r="D7" s="5"/>
      <c r="E7" s="5"/>
      <c r="F7" s="5"/>
    </row>
    <row r="8" spans="1:7" x14ac:dyDescent="0.25">
      <c r="A8" t="str">
        <f>IF(Input!A9="","",Input!A9)</f>
        <v>Schroder Active Portfolio 8</v>
      </c>
      <c r="B8" s="1"/>
      <c r="C8" s="5"/>
      <c r="D8" s="5"/>
      <c r="E8" s="5"/>
      <c r="F8" s="5"/>
    </row>
    <row r="9" spans="1:7" x14ac:dyDescent="0.25">
      <c r="A9" t="str">
        <f>IF(Input!A10="","",Input!A10)</f>
        <v>Schroder Active Portfolio 9</v>
      </c>
      <c r="B9" s="1"/>
      <c r="C9" s="5"/>
      <c r="D9" s="5"/>
      <c r="E9" s="5"/>
      <c r="F9" s="5"/>
    </row>
    <row r="10" spans="1:7" x14ac:dyDescent="0.25">
      <c r="A10" t="str">
        <f>IF(Input!A11="","",Input!A11)</f>
        <v>Schroder Active Portfolio 10</v>
      </c>
      <c r="B10" s="1"/>
      <c r="C10" s="5"/>
      <c r="D10" s="5"/>
      <c r="E10" s="5"/>
      <c r="F10" s="5"/>
    </row>
    <row r="11" spans="1:7" x14ac:dyDescent="0.25">
      <c r="A11" t="str">
        <f>IF(Input!A12="","",Input!A12)</f>
        <v>Schroder Strategic Index Portfolio 2</v>
      </c>
      <c r="B11" s="1"/>
      <c r="C11" s="5"/>
      <c r="D11" s="5"/>
      <c r="E11" s="5"/>
      <c r="F11" s="5"/>
    </row>
    <row r="12" spans="1:7" x14ac:dyDescent="0.25">
      <c r="A12" t="str">
        <f>IF(Input!A13="","",Input!A13)</f>
        <v>Schroder Strategic Index Portfolio 3</v>
      </c>
      <c r="B12" s="1"/>
      <c r="C12" s="5"/>
      <c r="D12" s="5"/>
      <c r="E12" s="5"/>
      <c r="F12" s="5"/>
    </row>
    <row r="13" spans="1:7" x14ac:dyDescent="0.25">
      <c r="A13" t="str">
        <f>IF(Input!A14="","",Input!A14)</f>
        <v>Schroder Strategic Index Portfolio 4</v>
      </c>
      <c r="B13" s="1"/>
      <c r="C13" s="5"/>
      <c r="D13" s="5"/>
      <c r="E13" s="5"/>
      <c r="F13" s="5"/>
    </row>
    <row r="14" spans="1:7" x14ac:dyDescent="0.25">
      <c r="A14" t="str">
        <f>IF(Input!A15="","",Input!A15)</f>
        <v>Schroder Strategic Index Portfolio 5</v>
      </c>
      <c r="B14" s="1"/>
      <c r="C14" s="5"/>
      <c r="D14" s="5"/>
      <c r="E14" s="5"/>
      <c r="F14" s="5"/>
    </row>
    <row r="15" spans="1:7" x14ac:dyDescent="0.25">
      <c r="A15" t="str">
        <f>IF(Input!A16="","",Input!A16)</f>
        <v>Schroder Strategic Index Portfolio 6</v>
      </c>
      <c r="B15" s="1"/>
      <c r="C15" s="5"/>
      <c r="D15" s="5"/>
      <c r="E15" s="5"/>
      <c r="F15" s="5"/>
    </row>
    <row r="16" spans="1:7" x14ac:dyDescent="0.25">
      <c r="A16" t="str">
        <f>IF(Input!A17="","",Input!A17)</f>
        <v>Schroder Strategic Index Portfolio 7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Schroder Strategic Index Portfolio 8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Schroder Strategic Index Portfolio 9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Schroder Strategic Index Portfolio 10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Schroder Sustainable Portfolio 3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Schroder Sustainable Portfolio 4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Schroder Sustainable Portfolio 5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Schroder Sustainable Portfolio 6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>Schroder Sustainable Portfolio 7</v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>Schroder Sustainable Portfolio 8</v>
      </c>
      <c r="B25" s="7"/>
      <c r="C25" s="5"/>
    </row>
    <row r="26" spans="1:6" x14ac:dyDescent="0.25">
      <c r="A26" t="str">
        <f>IF(Input!A27="","",Input!A27)</f>
        <v>Schroder Blended Portfolio 3</v>
      </c>
      <c r="B26" s="7"/>
      <c r="C26" s="5"/>
    </row>
    <row r="27" spans="1:6" x14ac:dyDescent="0.25">
      <c r="A27" t="str">
        <f>IF(Input!A28="","",Input!A28)</f>
        <v>Schroder Blended Portfolio 4</v>
      </c>
      <c r="B27" s="7"/>
      <c r="C27" s="5"/>
    </row>
    <row r="28" spans="1:6" x14ac:dyDescent="0.25">
      <c r="A28" t="str">
        <f>IF(Input!A29="","",Input!A29)</f>
        <v>Schroder Blended Portfolio 5</v>
      </c>
      <c r="B28" s="7"/>
      <c r="C28" s="5"/>
    </row>
    <row r="29" spans="1:6" x14ac:dyDescent="0.25">
      <c r="A29" t="str">
        <f>IF(Input!A30="","",Input!A30)</f>
        <v>Schroder Blended Portfolio 6</v>
      </c>
      <c r="B29" s="7"/>
      <c r="C29" s="5"/>
    </row>
    <row r="30" spans="1:6" x14ac:dyDescent="0.25">
      <c r="A30" t="str">
        <f>IF(Input!A31="","",Input!A31)</f>
        <v>Schroder Blended Portfolio 7</v>
      </c>
      <c r="B30" s="7"/>
      <c r="C30" s="5"/>
    </row>
    <row r="31" spans="1:6" x14ac:dyDescent="0.25">
      <c r="A31" t="str">
        <f>IF(Input!A32="","",Input!A32)</f>
        <v>Schroder Blended Portfolio 8</v>
      </c>
      <c r="B31" s="7"/>
      <c r="C31" s="5"/>
    </row>
    <row r="32" spans="1:6" x14ac:dyDescent="0.25">
      <c r="A32" t="str">
        <f>IF(Input!A33="","",Input!A33)</f>
        <v>Schroder Income Portfolio</v>
      </c>
      <c r="B32" s="7"/>
      <c r="C32" s="5"/>
    </row>
    <row r="33" spans="1:3" x14ac:dyDescent="0.25">
      <c r="A33" t="str">
        <f>IF(Input!A34="","",Input!A34)</f>
        <v>Schroder Managed Defensive Fund</v>
      </c>
      <c r="B33" s="7"/>
      <c r="C33" s="5"/>
    </row>
    <row r="34" spans="1:3" x14ac:dyDescent="0.25">
      <c r="A34" t="str">
        <f>IF(Input!A35="","",Input!A35)</f>
        <v>Schroder Global Multi-Asset Cautious Portfolio</v>
      </c>
      <c r="B34" s="7"/>
      <c r="C34" s="5"/>
    </row>
    <row r="35" spans="1:3" x14ac:dyDescent="0.25">
      <c r="A35" t="str">
        <f>IF(Input!A36="","",Input!A36)</f>
        <v>Schroder Global Multi-Asset Moderately Cautious Portfolio</v>
      </c>
    </row>
    <row r="36" spans="1:3" x14ac:dyDescent="0.25">
      <c r="A36" t="str">
        <f>IF(Input!A37="","",Input!A37)</f>
        <v>Schroder Schroder Global Multi-Asset Balanced Portfolio</v>
      </c>
    </row>
    <row r="37" spans="1:3" x14ac:dyDescent="0.25">
      <c r="A37" t="str">
        <f>IF(Input!A38="","",Input!A38)</f>
        <v>Schroder Global Multi-Asset Growth Portfolio</v>
      </c>
    </row>
    <row r="38" spans="1:3" x14ac:dyDescent="0.25">
      <c r="A38" t="str">
        <f>IF(Input!A39="","",Input!A39)</f>
        <v>Schroder Global Multi-Asset Adventurous Portfolio</v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D132"/>
  <sheetViews>
    <sheetView tabSelected="1" workbookViewId="0">
      <selection activeCell="B1" sqref="B1"/>
    </sheetView>
  </sheetViews>
  <sheetFormatPr defaultRowHeight="15" x14ac:dyDescent="0.25"/>
  <cols>
    <col min="1" max="1" width="50.42578125" bestFit="1" customWidth="1"/>
    <col min="2" max="2" width="5.140625" bestFit="1" customWidth="1"/>
    <col min="3" max="3" width="4.85546875" bestFit="1" customWidth="1"/>
    <col min="4" max="4" width="5.140625" bestFit="1" customWidth="1"/>
    <col min="5" max="5" width="5.5703125" bestFit="1" customWidth="1"/>
    <col min="6" max="6" width="10.42578125" bestFit="1" customWidth="1"/>
    <col min="7" max="7" width="8.7109375" bestFit="1" customWidth="1"/>
    <col min="8" max="8" width="17.140625" bestFit="1" customWidth="1"/>
    <col min="9" max="9" width="11.5703125" bestFit="1" customWidth="1"/>
    <col min="10" max="10" width="10.7109375" bestFit="1" customWidth="1"/>
    <col min="11" max="11" width="14.85546875" bestFit="1" customWidth="1"/>
    <col min="12" max="12" width="11.85546875" bestFit="1" customWidth="1"/>
    <col min="13" max="13" width="8.7109375" bestFit="1" customWidth="1"/>
    <col min="14" max="14" width="21.5703125" bestFit="1" customWidth="1"/>
    <col min="15" max="15" width="9.85546875" bestFit="1" customWidth="1"/>
    <col min="16" max="16" width="8" bestFit="1" customWidth="1"/>
    <col min="17" max="17" width="14.42578125" bestFit="1" customWidth="1"/>
    <col min="18" max="18" width="25.42578125" bestFit="1" customWidth="1"/>
    <col min="19" max="19" width="12.42578125" bestFit="1" customWidth="1"/>
    <col min="20" max="20" width="11.28515625" bestFit="1" customWidth="1"/>
    <col min="21" max="21" width="20.85546875" bestFit="1" customWidth="1"/>
    <col min="22" max="22" width="11.28515625" bestFit="1" customWidth="1"/>
    <col min="23" max="23" width="6.140625" bestFit="1" customWidth="1"/>
    <col min="24" max="24" width="22.85546875" bestFit="1" customWidth="1"/>
    <col min="25" max="25" width="14.140625" bestFit="1" customWidth="1"/>
    <col min="26" max="26" width="8.42578125" bestFit="1" customWidth="1"/>
    <col min="27" max="27" width="5.5703125" bestFit="1" customWidth="1"/>
    <col min="28" max="28" width="13.85546875" bestFit="1" customWidth="1"/>
    <col min="29" max="29" width="16.5703125" bestFit="1" customWidth="1"/>
    <col min="30" max="30" width="11.85546875" bestFit="1" customWidth="1"/>
    <col min="32" max="32" width="14.7109375" bestFit="1" customWidth="1"/>
    <col min="33" max="33" width="15.140625" bestFit="1" customWidth="1"/>
    <col min="34" max="34" width="14.85546875" bestFit="1" customWidth="1"/>
    <col min="35" max="35" width="13.5703125" bestFit="1" customWidth="1"/>
    <col min="36" max="36" width="7.140625" bestFit="1" customWidth="1"/>
    <col min="37" max="37" width="10" bestFit="1" customWidth="1"/>
    <col min="38" max="38" width="12.140625" bestFit="1" customWidth="1"/>
    <col min="39" max="39" width="10" bestFit="1" customWidth="1"/>
    <col min="40" max="40" width="9.28515625" bestFit="1" customWidth="1"/>
    <col min="41" max="41" width="11.28515625" bestFit="1" customWidth="1"/>
    <col min="42" max="42" width="10.28515625" bestFit="1" customWidth="1"/>
    <col min="43" max="43" width="15.140625" bestFit="1" customWidth="1"/>
    <col min="44" max="44" width="9.85546875" bestFit="1" customWidth="1"/>
    <col min="45" max="45" width="9.5703125" bestFit="1" customWidth="1"/>
    <col min="46" max="46" width="15.5703125" bestFit="1" customWidth="1"/>
    <col min="47" max="47" width="18" bestFit="1" customWidth="1"/>
    <col min="48" max="48" width="9.85546875" bestFit="1" customWidth="1"/>
    <col min="49" max="49" width="21.42578125" bestFit="1" customWidth="1"/>
    <col min="50" max="50" width="16.7109375" bestFit="1" customWidth="1"/>
    <col min="51" max="51" width="6.42578125" bestFit="1" customWidth="1"/>
    <col min="52" max="52" width="13.28515625" bestFit="1" customWidth="1"/>
    <col min="53" max="53" width="7" bestFit="1" customWidth="1"/>
    <col min="54" max="54" width="11.5703125" bestFit="1" customWidth="1"/>
    <col min="55" max="55" width="23.42578125" bestFit="1" customWidth="1"/>
    <col min="56" max="56" width="11.85546875" bestFit="1" customWidth="1"/>
  </cols>
  <sheetData>
    <row r="1" spans="1:56" x14ac:dyDescent="0.25">
      <c r="B1" t="s">
        <v>111</v>
      </c>
      <c r="C1" t="s">
        <v>4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32</v>
      </c>
      <c r="J1" t="s">
        <v>117</v>
      </c>
      <c r="K1" t="s">
        <v>118</v>
      </c>
      <c r="L1" t="s">
        <v>20</v>
      </c>
      <c r="M1" t="s">
        <v>119</v>
      </c>
      <c r="N1" t="s">
        <v>120</v>
      </c>
      <c r="O1" t="s">
        <v>121</v>
      </c>
      <c r="P1" t="s">
        <v>122</v>
      </c>
      <c r="Q1" t="s">
        <v>1</v>
      </c>
      <c r="R1" t="s">
        <v>123</v>
      </c>
      <c r="S1" t="s">
        <v>124</v>
      </c>
      <c r="T1" t="s">
        <v>125</v>
      </c>
      <c r="U1" t="s">
        <v>126</v>
      </c>
      <c r="V1" t="s">
        <v>127</v>
      </c>
      <c r="W1" t="s">
        <v>128</v>
      </c>
      <c r="X1" t="s">
        <v>129</v>
      </c>
      <c r="Y1" t="s">
        <v>8</v>
      </c>
      <c r="Z1" t="s">
        <v>130</v>
      </c>
      <c r="AA1" t="s">
        <v>5</v>
      </c>
      <c r="AB1" t="s">
        <v>131</v>
      </c>
      <c r="AC1" t="s">
        <v>132</v>
      </c>
      <c r="AD1" t="s">
        <v>7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</row>
    <row r="2" spans="1:56" x14ac:dyDescent="0.25">
      <c r="A2" t="str">
        <f>IF(Input!A3="","",Input!A3)</f>
        <v>Schroder Active Portfolio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56" x14ac:dyDescent="0.25">
      <c r="A3" t="str">
        <f>IF(Input!A4="","",Input!A4)</f>
        <v>Schroder Active Portfolio 3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56" x14ac:dyDescent="0.25">
      <c r="A4" t="str">
        <f>IF(Input!A5="","",Input!A5)</f>
        <v>Schroder Active Portfolio 4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56" x14ac:dyDescent="0.25">
      <c r="A5" t="str">
        <f>IF(Input!A6="","",Input!A6)</f>
        <v>Schroder Active Portfolio 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56" x14ac:dyDescent="0.25">
      <c r="A6" t="str">
        <f>IF(Input!A7="","",Input!A7)</f>
        <v>Schroder Active Portfolio 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56" x14ac:dyDescent="0.25">
      <c r="A7" t="str">
        <f>IF(Input!A8="","",Input!A8)</f>
        <v>Schroder Active Portfolio 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56" x14ac:dyDescent="0.25">
      <c r="A8" t="str">
        <f>IF(Input!A9="","",Input!A9)</f>
        <v>Schroder Active Portfolio 8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56" x14ac:dyDescent="0.25">
      <c r="A9" t="str">
        <f>IF(Input!A10="","",Input!A10)</f>
        <v>Schroder Active Portfolio 9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56" x14ac:dyDescent="0.25">
      <c r="A10" t="str">
        <f>IF(Input!A11="","",Input!A11)</f>
        <v>Schroder Active Portfolio 10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56" x14ac:dyDescent="0.25">
      <c r="A11" t="str">
        <f>IF(Input!A12="","",Input!A12)</f>
        <v>Schroder Strategic Index Portfolio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56" x14ac:dyDescent="0.25">
      <c r="A12" t="str">
        <f>IF(Input!A13="","",Input!A13)</f>
        <v>Schroder Strategic Index Portfolio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56" x14ac:dyDescent="0.25">
      <c r="A13" t="str">
        <f>IF(Input!A14="","",Input!A14)</f>
        <v>Schroder Strategic Index Portfolio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56" x14ac:dyDescent="0.25">
      <c r="A14" t="str">
        <f>IF(Input!A15="","",Input!A15)</f>
        <v>Schroder Strategic Index Portfolio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56" x14ac:dyDescent="0.25">
      <c r="A15" t="str">
        <f>IF(Input!A16="","",Input!A16)</f>
        <v>Schroder Strategic Index Portfolio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56" x14ac:dyDescent="0.25">
      <c r="A16" t="str">
        <f>IF(Input!A17="","",Input!A17)</f>
        <v>Schroder Strategic Index Portfolio 7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Schroder Strategic Index Portfolio 8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Schroder Strategic Index Portfolio 9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Schroder Strategic Index Portfolio 10</v>
      </c>
      <c r="B19" s="5"/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Schroder Sustainable Portfolio 3</v>
      </c>
      <c r="B20" s="5"/>
      <c r="C20" s="5"/>
      <c r="D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Schroder Sustainable Portfolio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Schroder Sustainable Portfolio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Schroder Sustainable Portfolio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Schroder Sustainable Portfolio 7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Schroder Sustainable Portfolio 8</v>
      </c>
      <c r="C25" s="5"/>
      <c r="D25" s="5"/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Schroder Blended Portfolio 3</v>
      </c>
      <c r="C26" s="5"/>
      <c r="D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Schroder Blended Portfolio 4</v>
      </c>
      <c r="B27" s="5"/>
      <c r="C27" s="5"/>
      <c r="D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Schroder Blended Portfolio 5</v>
      </c>
      <c r="B28" s="5"/>
      <c r="C28" s="5"/>
      <c r="D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Schroder Blended Portfolio 6</v>
      </c>
      <c r="C29" s="5"/>
      <c r="D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>Schroder Blended Portfolio 7</v>
      </c>
      <c r="C30" s="5"/>
      <c r="D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Schroder Blended Portfolio 8</v>
      </c>
      <c r="C31" s="5"/>
      <c r="D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Schroder Income Portfolio</v>
      </c>
      <c r="C32" s="5"/>
      <c r="D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Schroder Managed Defensive Fund</v>
      </c>
      <c r="C33" s="5"/>
      <c r="D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>Schroder Global Multi-Asset Moderately Cautious Portfolio</v>
      </c>
      <c r="C35" s="5"/>
      <c r="D35" s="5"/>
    </row>
    <row r="36" spans="1:27" x14ac:dyDescent="0.25">
      <c r="A36" t="str">
        <f>IF(Input!A37="","",Input!A37)</f>
        <v>Schroder Schroder Global Multi-Asset Balanced Portfolio</v>
      </c>
      <c r="C36" s="5"/>
      <c r="D36" s="5"/>
    </row>
    <row r="37" spans="1:27" x14ac:dyDescent="0.25">
      <c r="A37" t="str">
        <f>IF(Input!A38="","",Input!A38)</f>
        <v>Schroder Global Multi-Asset Growth Portfolio</v>
      </c>
      <c r="C37" s="5"/>
      <c r="D37" s="5"/>
    </row>
    <row r="38" spans="1:27" x14ac:dyDescent="0.25">
      <c r="A38" t="str">
        <f>IF(Input!A39="","",Input!A39)</f>
        <v>Schroder Global Multi-Asset Adventurous Portfolio</v>
      </c>
      <c r="C38" s="5"/>
      <c r="D38" s="5"/>
    </row>
    <row r="39" spans="1:27" x14ac:dyDescent="0.25">
      <c r="A39" t="str">
        <f>IF(Input!A40="","",Input!A40)</f>
        <v/>
      </c>
      <c r="C39" s="5"/>
      <c r="D39" s="5"/>
    </row>
    <row r="40" spans="1:27" x14ac:dyDescent="0.25">
      <c r="A40" t="str">
        <f>IF(Input!A41="","",Input!A41)</f>
        <v/>
      </c>
      <c r="C40" s="5"/>
      <c r="D40" s="5"/>
    </row>
    <row r="41" spans="1:27" x14ac:dyDescent="0.25">
      <c r="A41" t="str">
        <f>IF(Input!A42="","",Input!A42)</f>
        <v/>
      </c>
      <c r="C41" s="5"/>
      <c r="D41" s="5"/>
    </row>
    <row r="42" spans="1:27" x14ac:dyDescent="0.25">
      <c r="A42" t="str">
        <f>IF(Input!A43="","",Input!A43)</f>
        <v/>
      </c>
      <c r="C42" s="5"/>
      <c r="D42" s="5"/>
    </row>
    <row r="43" spans="1:27" x14ac:dyDescent="0.25">
      <c r="A43" t="str">
        <f>IF(Input!A44="","",Input!A44)</f>
        <v/>
      </c>
      <c r="C43" s="5"/>
      <c r="D43" s="5"/>
    </row>
    <row r="44" spans="1:27" x14ac:dyDescent="0.25">
      <c r="A44" t="str">
        <f>IF(Input!A45="","",Input!A45)</f>
        <v/>
      </c>
      <c r="C44" s="5"/>
      <c r="D44" s="5"/>
    </row>
    <row r="45" spans="1:27" x14ac:dyDescent="0.25">
      <c r="A45" t="str">
        <f>IF(Input!A46="","",Input!A46)</f>
        <v/>
      </c>
      <c r="C45" s="5"/>
      <c r="D45" s="5"/>
    </row>
    <row r="46" spans="1:27" x14ac:dyDescent="0.25">
      <c r="A46" t="str">
        <f>IF(Input!A47="","",Input!A47)</f>
        <v/>
      </c>
      <c r="C46" s="5"/>
      <c r="D46" s="5"/>
    </row>
    <row r="47" spans="1:27" x14ac:dyDescent="0.25">
      <c r="A47" t="str">
        <f>IF(Input!A48="","",Input!A48)</f>
        <v/>
      </c>
      <c r="C47" s="5"/>
      <c r="D47" s="5"/>
    </row>
    <row r="48" spans="1:27" x14ac:dyDescent="0.25">
      <c r="A48" t="str">
        <f>IF(Input!A49="","",Input!A49)</f>
        <v/>
      </c>
      <c r="C48" s="5"/>
      <c r="D48" s="5"/>
    </row>
    <row r="49" spans="1:4" x14ac:dyDescent="0.25">
      <c r="A49" t="str">
        <f>IF(Input!A50="","",Input!A50)</f>
        <v/>
      </c>
      <c r="C49" s="5"/>
      <c r="D49" s="5"/>
    </row>
    <row r="50" spans="1:4" x14ac:dyDescent="0.25">
      <c r="A50" t="str">
        <f>IF(Input!A51="","",Input!A51)</f>
        <v/>
      </c>
      <c r="C50" s="5"/>
      <c r="D50" s="5"/>
    </row>
    <row r="51" spans="1:4" x14ac:dyDescent="0.25">
      <c r="C51" s="5"/>
      <c r="D51" s="5"/>
    </row>
    <row r="52" spans="1:4" x14ac:dyDescent="0.25">
      <c r="C52" s="5"/>
      <c r="D52" s="5"/>
    </row>
    <row r="53" spans="1:4" x14ac:dyDescent="0.25">
      <c r="C53" s="5"/>
      <c r="D53" s="5"/>
    </row>
    <row r="54" spans="1:4" x14ac:dyDescent="0.25">
      <c r="C54" s="5"/>
      <c r="D54" s="5"/>
    </row>
    <row r="55" spans="1:4" x14ac:dyDescent="0.25">
      <c r="C55" s="5"/>
      <c r="D55" s="5"/>
    </row>
    <row r="56" spans="1:4" x14ac:dyDescent="0.25">
      <c r="C56" s="5"/>
      <c r="D56" s="5"/>
    </row>
    <row r="57" spans="1:4" x14ac:dyDescent="0.25">
      <c r="C57" s="5"/>
      <c r="D57" s="5"/>
    </row>
    <row r="58" spans="1:4" x14ac:dyDescent="0.25">
      <c r="C58" s="5"/>
      <c r="D58" s="5"/>
    </row>
    <row r="59" spans="1:4" x14ac:dyDescent="0.25">
      <c r="C59" s="5"/>
      <c r="D59" s="5"/>
    </row>
    <row r="60" spans="1:4" x14ac:dyDescent="0.25">
      <c r="C60" s="5"/>
      <c r="D60" s="5"/>
    </row>
    <row r="61" spans="1:4" x14ac:dyDescent="0.25">
      <c r="C61" s="5"/>
      <c r="D61" s="5"/>
    </row>
    <row r="62" spans="1:4" x14ac:dyDescent="0.25">
      <c r="C62" s="5"/>
      <c r="D62" s="5"/>
    </row>
    <row r="63" spans="1:4" x14ac:dyDescent="0.25">
      <c r="C63" s="5"/>
      <c r="D63" s="5"/>
    </row>
    <row r="64" spans="1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49"/>
  <sheetViews>
    <sheetView zoomScale="70" zoomScaleNormal="70" workbookViewId="0">
      <selection activeCell="D33" sqref="D33"/>
    </sheetView>
  </sheetViews>
  <sheetFormatPr defaultRowHeight="15" x14ac:dyDescent="0.25"/>
  <cols>
    <col min="1" max="1" width="56.5703125" bestFit="1" customWidth="1"/>
    <col min="2" max="2" width="212" bestFit="1" customWidth="1"/>
    <col min="3" max="3" width="56.5703125" bestFit="1" customWidth="1"/>
    <col min="4" max="4" width="99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Schroder Active Portfolio 2</v>
      </c>
      <c r="B2" t="s">
        <v>42</v>
      </c>
      <c r="C2" t="s">
        <v>33</v>
      </c>
      <c r="D2" s="8" t="s">
        <v>162</v>
      </c>
    </row>
    <row r="3" spans="1:5" x14ac:dyDescent="0.25">
      <c r="A3" t="str">
        <f>IF(Input!A4="","",Input!A4)</f>
        <v>Schroder Active Portfolio 3</v>
      </c>
      <c r="B3" t="s">
        <v>43</v>
      </c>
      <c r="C3" t="s">
        <v>34</v>
      </c>
      <c r="D3" s="8" t="s">
        <v>163</v>
      </c>
    </row>
    <row r="4" spans="1:5" x14ac:dyDescent="0.25">
      <c r="A4" t="str">
        <f>IF(Input!A5="","",Input!A5)</f>
        <v>Schroder Active Portfolio 4</v>
      </c>
      <c r="B4" t="s">
        <v>44</v>
      </c>
      <c r="C4" t="s">
        <v>35</v>
      </c>
      <c r="D4" s="8" t="s">
        <v>164</v>
      </c>
    </row>
    <row r="5" spans="1:5" x14ac:dyDescent="0.25">
      <c r="A5" t="str">
        <f>IF(Input!A6="","",Input!A6)</f>
        <v>Schroder Active Portfolio 5</v>
      </c>
      <c r="B5" t="s">
        <v>45</v>
      </c>
      <c r="C5" t="s">
        <v>36</v>
      </c>
      <c r="D5" s="8" t="s">
        <v>165</v>
      </c>
    </row>
    <row r="6" spans="1:5" x14ac:dyDescent="0.25">
      <c r="A6" t="str">
        <f>IF(Input!A7="","",Input!A7)</f>
        <v>Schroder Active Portfolio 6</v>
      </c>
      <c r="B6" t="s">
        <v>46</v>
      </c>
      <c r="C6" s="10" t="s">
        <v>37</v>
      </c>
      <c r="D6" s="8" t="s">
        <v>166</v>
      </c>
    </row>
    <row r="7" spans="1:5" x14ac:dyDescent="0.25">
      <c r="A7" t="str">
        <f>IF(Input!A8="","",Input!A8)</f>
        <v>Schroder Active Portfolio 7</v>
      </c>
      <c r="B7" t="s">
        <v>47</v>
      </c>
      <c r="C7" s="10" t="s">
        <v>38</v>
      </c>
      <c r="D7" s="8" t="s">
        <v>167</v>
      </c>
    </row>
    <row r="8" spans="1:5" x14ac:dyDescent="0.25">
      <c r="A8" t="str">
        <f>IF(Input!A9="","",Input!A9)</f>
        <v>Schroder Active Portfolio 8</v>
      </c>
      <c r="B8" t="s">
        <v>48</v>
      </c>
      <c r="C8" s="10" t="s">
        <v>39</v>
      </c>
      <c r="D8" s="8" t="s">
        <v>168</v>
      </c>
    </row>
    <row r="9" spans="1:5" x14ac:dyDescent="0.25">
      <c r="A9" t="str">
        <f>IF(Input!A10="","",Input!A10)</f>
        <v>Schroder Active Portfolio 9</v>
      </c>
      <c r="B9" t="s">
        <v>49</v>
      </c>
      <c r="C9" s="10" t="s">
        <v>40</v>
      </c>
      <c r="D9" s="8" t="s">
        <v>169</v>
      </c>
    </row>
    <row r="10" spans="1:5" x14ac:dyDescent="0.25">
      <c r="A10" t="str">
        <f>IF(Input!A11="","",Input!A11)</f>
        <v>Schroder Active Portfolio 10</v>
      </c>
      <c r="B10" t="s">
        <v>50</v>
      </c>
      <c r="C10" s="10" t="s">
        <v>41</v>
      </c>
      <c r="D10" s="8" t="s">
        <v>170</v>
      </c>
    </row>
    <row r="11" spans="1:5" x14ac:dyDescent="0.25">
      <c r="A11" t="str">
        <f>IF(Input!A12="","",Input!A12)</f>
        <v>Schroder Strategic Index Portfolio 2</v>
      </c>
      <c r="B11" t="s">
        <v>60</v>
      </c>
      <c r="C11" s="10" t="s">
        <v>51</v>
      </c>
      <c r="D11" s="8" t="s">
        <v>171</v>
      </c>
    </row>
    <row r="12" spans="1:5" x14ac:dyDescent="0.25">
      <c r="A12" t="str">
        <f>IF(Input!A13="","",Input!A13)</f>
        <v>Schroder Strategic Index Portfolio 3</v>
      </c>
      <c r="B12" t="s">
        <v>61</v>
      </c>
      <c r="C12" s="10" t="s">
        <v>52</v>
      </c>
      <c r="D12" s="8" t="s">
        <v>172</v>
      </c>
    </row>
    <row r="13" spans="1:5" x14ac:dyDescent="0.25">
      <c r="A13" t="str">
        <f>IF(Input!A14="","",Input!A14)</f>
        <v>Schroder Strategic Index Portfolio 4</v>
      </c>
      <c r="B13" t="s">
        <v>62</v>
      </c>
      <c r="C13" t="s">
        <v>53</v>
      </c>
      <c r="D13" s="8" t="s">
        <v>173</v>
      </c>
    </row>
    <row r="14" spans="1:5" x14ac:dyDescent="0.25">
      <c r="A14" t="str">
        <f>IF(Input!A15="","",Input!A15)</f>
        <v>Schroder Strategic Index Portfolio 5</v>
      </c>
      <c r="B14" t="s">
        <v>63</v>
      </c>
      <c r="C14" t="s">
        <v>54</v>
      </c>
      <c r="D14" s="8" t="s">
        <v>174</v>
      </c>
    </row>
    <row r="15" spans="1:5" x14ac:dyDescent="0.25">
      <c r="A15" t="str">
        <f>IF(Input!A16="","",Input!A16)</f>
        <v>Schroder Strategic Index Portfolio 6</v>
      </c>
      <c r="B15" t="s">
        <v>64</v>
      </c>
      <c r="C15" t="s">
        <v>55</v>
      </c>
      <c r="D15" s="8" t="s">
        <v>175</v>
      </c>
    </row>
    <row r="16" spans="1:5" x14ac:dyDescent="0.25">
      <c r="A16" t="str">
        <f>IF(Input!A17="","",Input!A17)</f>
        <v>Schroder Strategic Index Portfolio 7</v>
      </c>
      <c r="B16" t="s">
        <v>65</v>
      </c>
      <c r="C16" t="s">
        <v>56</v>
      </c>
      <c r="D16" s="8" t="s">
        <v>176</v>
      </c>
    </row>
    <row r="17" spans="1:4" x14ac:dyDescent="0.25">
      <c r="A17" t="str">
        <f>IF(Input!A18="","",Input!A18)</f>
        <v>Schroder Strategic Index Portfolio 8</v>
      </c>
      <c r="B17" t="s">
        <v>66</v>
      </c>
      <c r="C17" t="s">
        <v>57</v>
      </c>
      <c r="D17" s="8" t="s">
        <v>177</v>
      </c>
    </row>
    <row r="18" spans="1:4" x14ac:dyDescent="0.25">
      <c r="A18" t="str">
        <f>IF(Input!A19="","",Input!A19)</f>
        <v>Schroder Strategic Index Portfolio 9</v>
      </c>
      <c r="B18" t="s">
        <v>67</v>
      </c>
      <c r="C18" t="s">
        <v>58</v>
      </c>
      <c r="D18" s="8" t="s">
        <v>178</v>
      </c>
    </row>
    <row r="19" spans="1:4" x14ac:dyDescent="0.25">
      <c r="A19" t="str">
        <f>IF(Input!A20="","",Input!A20)</f>
        <v>Schroder Strategic Index Portfolio 10</v>
      </c>
      <c r="B19" t="s">
        <v>68</v>
      </c>
      <c r="C19" t="s">
        <v>59</v>
      </c>
      <c r="D19" s="8" t="s">
        <v>179</v>
      </c>
    </row>
    <row r="20" spans="1:4" x14ac:dyDescent="0.25">
      <c r="A20" t="str">
        <f>IF(Input!A21="","",Input!A21)</f>
        <v>Schroder Sustainable Portfolio 3</v>
      </c>
      <c r="B20" t="s">
        <v>75</v>
      </c>
      <c r="C20" t="s">
        <v>69</v>
      </c>
      <c r="D20" s="8" t="s">
        <v>180</v>
      </c>
    </row>
    <row r="21" spans="1:4" x14ac:dyDescent="0.25">
      <c r="A21" t="str">
        <f>IF(Input!A22="","",Input!A22)</f>
        <v>Schroder Sustainable Portfolio 4</v>
      </c>
      <c r="B21" t="s">
        <v>76</v>
      </c>
      <c r="C21" t="s">
        <v>70</v>
      </c>
      <c r="D21" s="8" t="s">
        <v>181</v>
      </c>
    </row>
    <row r="22" spans="1:4" x14ac:dyDescent="0.25">
      <c r="A22" t="str">
        <f>IF(Input!A23="","",Input!A23)</f>
        <v>Schroder Sustainable Portfolio 5</v>
      </c>
      <c r="B22" s="4" t="s">
        <v>159</v>
      </c>
      <c r="C22" t="s">
        <v>71</v>
      </c>
      <c r="D22" s="8" t="s">
        <v>182</v>
      </c>
    </row>
    <row r="23" spans="1:4" x14ac:dyDescent="0.25">
      <c r="A23" t="str">
        <f>IF(Input!A24="","",Input!A24)</f>
        <v>Schroder Sustainable Portfolio 6</v>
      </c>
      <c r="B23" t="s">
        <v>77</v>
      </c>
      <c r="C23" t="s">
        <v>72</v>
      </c>
      <c r="D23" s="8" t="s">
        <v>183</v>
      </c>
    </row>
    <row r="24" spans="1:4" x14ac:dyDescent="0.25">
      <c r="A24" t="str">
        <f>IF(Input!A25="","",Input!A25)</f>
        <v>Schroder Sustainable Portfolio 7</v>
      </c>
      <c r="B24" t="s">
        <v>78</v>
      </c>
      <c r="C24" t="s">
        <v>73</v>
      </c>
      <c r="D24" s="8" t="s">
        <v>184</v>
      </c>
    </row>
    <row r="25" spans="1:4" x14ac:dyDescent="0.25">
      <c r="A25" t="str">
        <f>IF(Input!A26="","",Input!A26)</f>
        <v>Schroder Sustainable Portfolio 8</v>
      </c>
      <c r="B25" t="s">
        <v>79</v>
      </c>
      <c r="C25" t="s">
        <v>74</v>
      </c>
      <c r="D25" s="8" t="s">
        <v>185</v>
      </c>
    </row>
    <row r="26" spans="1:4" x14ac:dyDescent="0.25">
      <c r="A26" t="str">
        <f>IF(Input!A27="","",Input!A27)</f>
        <v>Schroder Blended Portfolio 3</v>
      </c>
      <c r="B26" t="s">
        <v>86</v>
      </c>
      <c r="C26" t="s">
        <v>80</v>
      </c>
      <c r="D26" s="8" t="s">
        <v>186</v>
      </c>
    </row>
    <row r="27" spans="1:4" x14ac:dyDescent="0.25">
      <c r="A27" t="str">
        <f>IF(Input!A28="","",Input!A28)</f>
        <v>Schroder Blended Portfolio 4</v>
      </c>
      <c r="B27" t="s">
        <v>87</v>
      </c>
      <c r="C27" t="s">
        <v>81</v>
      </c>
      <c r="D27" s="8" t="s">
        <v>187</v>
      </c>
    </row>
    <row r="28" spans="1:4" x14ac:dyDescent="0.25">
      <c r="A28" t="str">
        <f>IF(Input!A29="","",Input!A29)</f>
        <v>Schroder Blended Portfolio 5</v>
      </c>
      <c r="B28" s="10" t="s">
        <v>88</v>
      </c>
      <c r="C28" t="s">
        <v>82</v>
      </c>
      <c r="D28" s="8" t="s">
        <v>188</v>
      </c>
    </row>
    <row r="29" spans="1:4" x14ac:dyDescent="0.25">
      <c r="A29" t="str">
        <f>IF(Input!A30="","",Input!A30)</f>
        <v>Schroder Blended Portfolio 6</v>
      </c>
      <c r="B29" s="10" t="s">
        <v>89</v>
      </c>
      <c r="C29" t="s">
        <v>83</v>
      </c>
      <c r="D29" s="8" t="s">
        <v>189</v>
      </c>
    </row>
    <row r="30" spans="1:4" x14ac:dyDescent="0.25">
      <c r="A30" t="str">
        <f>IF(Input!A31="","",Input!A31)</f>
        <v>Schroder Blended Portfolio 7</v>
      </c>
      <c r="B30" s="10" t="s">
        <v>90</v>
      </c>
      <c r="C30" t="s">
        <v>84</v>
      </c>
      <c r="D30" s="8" t="s">
        <v>190</v>
      </c>
    </row>
    <row r="31" spans="1:4" x14ac:dyDescent="0.25">
      <c r="A31" t="str">
        <f>IF(Input!A32="","",Input!A32)</f>
        <v>Schroder Blended Portfolio 8</v>
      </c>
      <c r="B31" s="10" t="s">
        <v>91</v>
      </c>
      <c r="C31" t="s">
        <v>85</v>
      </c>
      <c r="D31" s="8" t="s">
        <v>191</v>
      </c>
    </row>
    <row r="32" spans="1:4" x14ac:dyDescent="0.25">
      <c r="A32" t="str">
        <f>IF(Input!A33="","",Input!A33)</f>
        <v>Schroder Income Portfolio</v>
      </c>
      <c r="B32" s="10" t="s">
        <v>93</v>
      </c>
      <c r="C32" t="s">
        <v>160</v>
      </c>
      <c r="D32" s="8" t="s">
        <v>198</v>
      </c>
    </row>
    <row r="33" spans="1:4" x14ac:dyDescent="0.25">
      <c r="A33" t="str">
        <f>IF(Input!A34="","",Input!A34)</f>
        <v>Schroder Managed Defensive Fund</v>
      </c>
      <c r="B33" s="10" t="s">
        <v>95</v>
      </c>
      <c r="C33" t="s">
        <v>161</v>
      </c>
      <c r="D33" s="8" t="s">
        <v>192</v>
      </c>
    </row>
    <row r="34" spans="1:4" x14ac:dyDescent="0.25">
      <c r="A34" t="str">
        <f>IF(Input!A35="","",Input!A35)</f>
        <v>Schroder Global Multi-Asset Cautious Portfolio</v>
      </c>
      <c r="B34" s="10" t="s">
        <v>97</v>
      </c>
      <c r="C34" t="s">
        <v>96</v>
      </c>
      <c r="D34" s="8" t="s">
        <v>193</v>
      </c>
    </row>
    <row r="35" spans="1:4" x14ac:dyDescent="0.25">
      <c r="A35" t="str">
        <f>IF(Input!A36="","",Input!A36)</f>
        <v>Schroder Global Multi-Asset Moderately Cautious Portfolio</v>
      </c>
      <c r="B35" s="10" t="s">
        <v>99</v>
      </c>
      <c r="C35" t="s">
        <v>98</v>
      </c>
      <c r="D35" s="8" t="s">
        <v>194</v>
      </c>
    </row>
    <row r="36" spans="1:4" x14ac:dyDescent="0.25">
      <c r="A36" t="str">
        <f>IF(Input!A37="","",Input!A37)</f>
        <v>Schroder Schroder Global Multi-Asset Balanced Portfolio</v>
      </c>
      <c r="B36" s="10" t="s">
        <v>101</v>
      </c>
      <c r="C36" t="s">
        <v>100</v>
      </c>
      <c r="D36" s="8" t="s">
        <v>195</v>
      </c>
    </row>
    <row r="37" spans="1:4" x14ac:dyDescent="0.25">
      <c r="A37" t="str">
        <f>IF(Input!A38="","",Input!A38)</f>
        <v>Schroder Global Multi-Asset Growth Portfolio</v>
      </c>
      <c r="B37" s="10" t="s">
        <v>103</v>
      </c>
      <c r="C37" t="s">
        <v>102</v>
      </c>
      <c r="D37" s="8" t="s">
        <v>196</v>
      </c>
    </row>
    <row r="38" spans="1:4" x14ac:dyDescent="0.25">
      <c r="A38" t="str">
        <f>IF(Input!A39="","",Input!A39)</f>
        <v>Schroder Global Multi-Asset Adventurous Portfolio</v>
      </c>
      <c r="B38" s="10" t="s">
        <v>105</v>
      </c>
      <c r="C38" t="s">
        <v>104</v>
      </c>
      <c r="D38" s="8" t="s">
        <v>197</v>
      </c>
    </row>
    <row r="39" spans="1:4" x14ac:dyDescent="0.25">
      <c r="A39" t="str">
        <f>IF(Input!A41="","",Input!A41)</f>
        <v/>
      </c>
      <c r="B39" s="10"/>
    </row>
    <row r="40" spans="1:4" x14ac:dyDescent="0.25">
      <c r="A40" t="str">
        <f>IF(Input!A42="","",Input!A42)</f>
        <v/>
      </c>
      <c r="B40" s="10"/>
    </row>
    <row r="41" spans="1:4" x14ac:dyDescent="0.25">
      <c r="A41" t="str">
        <f>IF(Input!A43="","",Input!A43)</f>
        <v/>
      </c>
      <c r="B41" s="10"/>
    </row>
    <row r="42" spans="1:4" x14ac:dyDescent="0.25">
      <c r="A42" t="str">
        <f>IF(Input!A44="","",Input!A44)</f>
        <v/>
      </c>
    </row>
    <row r="43" spans="1:4" x14ac:dyDescent="0.25">
      <c r="A43" t="str">
        <f>IF(Input!A45="","",Input!A45)</f>
        <v/>
      </c>
    </row>
    <row r="44" spans="1:4" x14ac:dyDescent="0.25">
      <c r="A44" t="str">
        <f>IF(Input!A46="","",Input!A46)</f>
        <v/>
      </c>
    </row>
    <row r="45" spans="1:4" x14ac:dyDescent="0.25">
      <c r="A45" t="str">
        <f>IF(Input!A47="","",Input!A47)</f>
        <v/>
      </c>
    </row>
    <row r="46" spans="1:4" x14ac:dyDescent="0.25">
      <c r="A46" t="str">
        <f>IF(Input!A48="","",Input!A48)</f>
        <v/>
      </c>
    </row>
    <row r="47" spans="1:4" x14ac:dyDescent="0.25">
      <c r="A47" t="str">
        <f>IF(Input!A49="","",Input!A49)</f>
        <v/>
      </c>
    </row>
    <row r="48" spans="1:4" x14ac:dyDescent="0.25">
      <c r="A48" t="str">
        <f>IF(Input!A50="","",Input!A50)</f>
        <v/>
      </c>
    </row>
    <row r="49" spans="1:1" x14ac:dyDescent="0.25">
      <c r="A49" t="str">
        <f>IF(Input!A51="","",Input!A51)</f>
        <v/>
      </c>
    </row>
  </sheetData>
  <conditionalFormatting sqref="D2:D38">
    <cfRule type="duplicateValues" dxfId="3" priority="4"/>
    <cfRule type="duplicateValues" dxfId="2" priority="3"/>
    <cfRule type="duplicateValues" dxfId="1" priority="2"/>
    <cfRule type="duplicateValues" dxfId="0" priority="1"/>
  </conditionalFormatting>
  <hyperlinks>
    <hyperlink ref="B22" r:id="rId1" location="/fund/SCHDR_F000016P37/schroder-sustainable-portfolio-5/-/profile/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2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2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2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2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2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2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2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2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Schroder Active Portfolio 2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Schroder Active Portfolio 3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Schroder Active Portfolio 4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Schroder Active Portfolio 5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Schroder Active Portfolio 6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Schroder Active Portfolio 7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Schroder Active Portfolio 8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Schroder Active Portfolio 9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Schroder Active Portfolio 10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Schroder Strategic Index Portfolio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Schroder Strategic Index Portfolio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Schroder Strategic Index Portfolio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Schroder Strategic Index Portfolio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Schroder Strategic Index Portfolio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Schroder Strategic Index Portfolio 7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Schroder Strategic Index Portfolio 8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Schroder Strategic Index Portfolio 9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Schroder Strategic Index Portfolio 10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Schroder Sustainable Portfolio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Schroder Sustainable Portfolio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Schroder Sustainable Portfolio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>Schroder Sustainable Portfolio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25">
      <c r="A24" t="str">
        <f>IF(Input!A25="","",Input!A25)</f>
        <v>Schroder Sustainable Portfolio 7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25">
      <c r="A25" t="str">
        <f>IF(Input!A26="","",Input!A26)</f>
        <v>Schroder Sustainable Portfolio 8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25">
      <c r="A26" t="str">
        <f>IF(Input!A27="","",Input!A27)</f>
        <v>Schroder Blended Portfolio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25">
      <c r="A27" t="str">
        <f>IF(Input!A28="","",Input!A28)</f>
        <v>Schroder Blended Portfolio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25">
      <c r="A28" t="str">
        <f>IF(Input!A29="","",Input!A29)</f>
        <v>Schroder Blended Portfolio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25">
      <c r="A29" t="str">
        <f>IF(Input!A30="","",Input!A30)</f>
        <v>Schroder Blended Portfolio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25">
      <c r="A30" t="str">
        <f>IF(Input!A31="","",Input!A31)</f>
        <v>Schroder Blended Portfolio 7</v>
      </c>
      <c r="B30">
        <f>IF(A30="","",'Additional Information'!F30)</f>
        <v>0</v>
      </c>
      <c r="C30">
        <f>IF(A30="","",'Additional Information'!E30)</f>
        <v>0</v>
      </c>
      <c r="D30" s="5">
        <f>IF(A30="","",SUM('Additional Information'!C30,'Additional Information'!D30))</f>
        <v>0</v>
      </c>
    </row>
    <row r="31" spans="1:4" x14ac:dyDescent="0.25">
      <c r="A31" t="str">
        <f>IF(Input!A32="","",Input!A32)</f>
        <v>Schroder Blended Portfolio 8</v>
      </c>
      <c r="B31">
        <f>IF(A31="","",'Additional Information'!F31)</f>
        <v>0</v>
      </c>
      <c r="C31">
        <f>IF(A31="","",'Additional Information'!E31)</f>
        <v>0</v>
      </c>
      <c r="D31" s="5">
        <f>IF(A31="","",SUM('Additional Information'!C31,'Additional Information'!D31))</f>
        <v>0</v>
      </c>
    </row>
    <row r="32" spans="1:4" x14ac:dyDescent="0.25">
      <c r="A32" t="str">
        <f>IF(Input!A33="","",Input!A33)</f>
        <v>Schroder Income Portfolio</v>
      </c>
      <c r="B32">
        <f>IF(A32="","",'Additional Information'!F32)</f>
        <v>0</v>
      </c>
      <c r="C32">
        <f>IF(A32="","",'Additional Information'!E32)</f>
        <v>0</v>
      </c>
      <c r="D32" s="5">
        <f>IF(A32="","",SUM('Additional Information'!C32,'Additional Information'!D32))</f>
        <v>0</v>
      </c>
    </row>
    <row r="33" spans="1:4" x14ac:dyDescent="0.25">
      <c r="A33" t="str">
        <f>IF(Input!A34="","",Input!A34)</f>
        <v>Schroder Managed Defensive Fund</v>
      </c>
      <c r="B33">
        <f>IF(A33="","",'Additional Information'!F33)</f>
        <v>0</v>
      </c>
      <c r="C33">
        <f>IF(A33="","",'Additional Information'!E33)</f>
        <v>0</v>
      </c>
      <c r="D33" s="5">
        <f>IF(A33="","",SUM('Additional Information'!C33,'Additional Information'!D33))</f>
        <v>0</v>
      </c>
    </row>
    <row r="34" spans="1:4" x14ac:dyDescent="0.25">
      <c r="A34" t="str">
        <f>IF(Input!A35="","",Input!A35)</f>
        <v>Schroder Global Multi-Asset Cautious Portfolio</v>
      </c>
      <c r="B34">
        <f>IF(A34="","",'Additional Information'!F34)</f>
        <v>0</v>
      </c>
      <c r="C34">
        <f>IF(A34="","",'Additional Information'!E34)</f>
        <v>0</v>
      </c>
      <c r="D34" s="5">
        <f>IF(A34="","",SUM('Additional Information'!C34,'Additional Information'!D34))</f>
        <v>0</v>
      </c>
    </row>
    <row r="35" spans="1:4" x14ac:dyDescent="0.25">
      <c r="A35" t="str">
        <f>IF(Input!A36="","",Input!A36)</f>
        <v>Schroder Global Multi-Asset Moderately Cautious Portfolio</v>
      </c>
      <c r="B35">
        <f>IF(A35="","",'Additional Information'!F35)</f>
        <v>0</v>
      </c>
      <c r="C35">
        <f>IF(A35="","",'Additional Information'!E35)</f>
        <v>0</v>
      </c>
      <c r="D35" s="5">
        <f>IF(A35="","",SUM('Additional Information'!C35,'Additional Information'!D35))</f>
        <v>0</v>
      </c>
    </row>
    <row r="36" spans="1:4" x14ac:dyDescent="0.25">
      <c r="A36" t="str">
        <f>IF(Input!A37="","",Input!A37)</f>
        <v>Schroder Schroder Global Multi-Asset Balanced Portfolio</v>
      </c>
      <c r="B36">
        <f>IF(A36="","",'Additional Information'!F36)</f>
        <v>0</v>
      </c>
      <c r="C36">
        <f>IF(A36="","",'Additional Information'!E36)</f>
        <v>0</v>
      </c>
      <c r="D36" s="5">
        <f>IF(A36="","",SUM('Additional Information'!C36,'Additional Information'!D36))</f>
        <v>0</v>
      </c>
    </row>
    <row r="37" spans="1:4" x14ac:dyDescent="0.25">
      <c r="A37" t="str">
        <f>IF(Input!A38="","",Input!A38)</f>
        <v>Schroder Global Multi-Asset Growth Portfolio</v>
      </c>
      <c r="B37">
        <f>IF(A37="","",'Additional Information'!F37)</f>
        <v>0</v>
      </c>
      <c r="C37">
        <f>IF(A37="","",'Additional Information'!E37)</f>
        <v>0</v>
      </c>
      <c r="D37" s="5">
        <f>IF(A37="","",SUM('Additional Information'!C37,'Additional Information'!D37))</f>
        <v>0</v>
      </c>
    </row>
    <row r="38" spans="1:4" x14ac:dyDescent="0.25">
      <c r="A38" t="str">
        <f>IF(Input!A39="","",Input!A39)</f>
        <v>Schroder Global Multi-Asset Adventurous Portfolio</v>
      </c>
      <c r="B38">
        <f>IF(A38="","",'Additional Information'!F38)</f>
        <v>0</v>
      </c>
      <c r="C38">
        <f>IF(A38="","",'Additional Information'!E38)</f>
        <v>0</v>
      </c>
      <c r="D38" s="5">
        <f>IF(A38="","",SUM('Additional Information'!C38,'Additional Information'!D38))</f>
        <v>0</v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Schroder Active Portfolio 2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Schroder Active Portfolio 3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Schroder Active Portfolio 4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Schroder Active Portfolio 5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Schroder Active Portfolio 6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Schroder Active Portfolio 7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Schroder Active Portfolio 8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Schroder Active Portfolio 9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Schroder Active Portfolio 10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Schroder Strategic Index Portfolio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Schroder Strategic Index Portfolio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Schroder Strategic Index Portfolio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Schroder Strategic Index Portfolio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Schroder Strategic Index Portfolio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Schroder Strategic Index Portfolio 7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Schroder Strategic Index Portfolio 8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Schroder Strategic Index Portfolio 9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Schroder Strategic Index Portfolio 10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Schroder Sustainable Portfolio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Schroder Sustainable Portfolio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Schroder Sustainable Portfolio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>Schroder Sustainable Portfolio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25">
      <c r="A24" t="str">
        <f>IF(Input!A25="","",Input!A25)</f>
        <v>Schroder Sustainable Portfolio 7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25">
      <c r="A25" t="str">
        <f>IF(Input!A26="","",Input!A26)</f>
        <v>Schroder Sustainable Portfolio 8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25">
      <c r="A26" t="str">
        <f>IF(Input!A27="","",Input!A27)</f>
        <v>Schroder Blended Portfolio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25">
      <c r="A27" t="str">
        <f>IF(Input!A28="","",Input!A28)</f>
        <v>Schroder Blended Portfolio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25">
      <c r="A28" t="str">
        <f>IF(Input!A29="","",Input!A29)</f>
        <v>Schroder Blended Portfolio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25">
      <c r="A29" t="str">
        <f>IF(Input!A30="","",Input!A30)</f>
        <v>Schroder Blended Portfolio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25">
      <c r="A30" t="str">
        <f>IF(Input!A31="","",Input!A31)</f>
        <v>Schroder Blended Portfolio 7</v>
      </c>
      <c r="B30">
        <f>IF(A30="","",SUM('Asset Allocation'!B30))</f>
        <v>0</v>
      </c>
      <c r="C30">
        <f>IF(A30="","",SUM('Asset Allocation'!C30))</f>
        <v>0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0</v>
      </c>
      <c r="G30">
        <f>IF(A30="","",SUM('Asset Allocation'!D30))</f>
        <v>0</v>
      </c>
      <c r="H30">
        <f t="shared" si="0"/>
        <v>1</v>
      </c>
    </row>
    <row r="31" spans="1:8" x14ac:dyDescent="0.25">
      <c r="A31" t="str">
        <f>IF(Input!A32="","",Input!A32)</f>
        <v>Schroder Blended Portfolio 8</v>
      </c>
      <c r="B31">
        <f>IF(A31="","",SUM('Asset Allocation'!B31))</f>
        <v>0</v>
      </c>
      <c r="C31">
        <f>IF(A31="","",SUM('Asset Allocation'!C31))</f>
        <v>0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0</v>
      </c>
      <c r="G31">
        <f>IF(A31="","",SUM('Asset Allocation'!D31))</f>
        <v>0</v>
      </c>
      <c r="H31">
        <f t="shared" si="0"/>
        <v>1</v>
      </c>
    </row>
    <row r="32" spans="1:8" x14ac:dyDescent="0.25">
      <c r="A32" t="str">
        <f>IF(Input!A33="","",Input!A33)</f>
        <v>Schroder Income Portfolio</v>
      </c>
      <c r="B32">
        <f>IF(A32="","",SUM('Asset Allocation'!B32))</f>
        <v>0</v>
      </c>
      <c r="C32">
        <f>IF(A32="","",SUM('Asset Allocation'!C32))</f>
        <v>0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0</v>
      </c>
      <c r="G32">
        <f>IF(A32="","",SUM('Asset Allocation'!D32))</f>
        <v>0</v>
      </c>
      <c r="H32">
        <f t="shared" si="0"/>
        <v>1</v>
      </c>
    </row>
    <row r="33" spans="1:8" x14ac:dyDescent="0.25">
      <c r="A33" t="str">
        <f>IF(Input!A34="","",Input!A34)</f>
        <v>Schroder Managed Defensive Fund</v>
      </c>
      <c r="B33">
        <f>IF(A33="","",SUM('Asset Allocation'!B33))</f>
        <v>0</v>
      </c>
      <c r="C33">
        <f>IF(A33="","",SUM('Asset Allocation'!C33))</f>
        <v>0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0</v>
      </c>
      <c r="G33">
        <f>IF(A33="","",SUM('Asset Allocation'!D33))</f>
        <v>0</v>
      </c>
      <c r="H33">
        <f t="shared" si="0"/>
        <v>1</v>
      </c>
    </row>
    <row r="34" spans="1:8" x14ac:dyDescent="0.25">
      <c r="A34" t="str">
        <f>IF(Input!A35="","",Input!A35)</f>
        <v>Schroder Global Multi-Asset Cautious Portfolio</v>
      </c>
      <c r="B34">
        <f>IF(A34="","",SUM('Asset Allocation'!B34))</f>
        <v>0</v>
      </c>
      <c r="C34">
        <f>IF(A34="","",SUM('Asset Allocation'!C34))</f>
        <v>0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0</v>
      </c>
      <c r="G34">
        <f>IF(A34="","",SUM('Asset Allocation'!D34))</f>
        <v>0</v>
      </c>
      <c r="H34">
        <f t="shared" si="0"/>
        <v>1</v>
      </c>
    </row>
    <row r="35" spans="1:8" x14ac:dyDescent="0.25">
      <c r="A35" t="str">
        <f>IF(Input!A36="","",Input!A36)</f>
        <v>Schroder Global Multi-Asset Moderately Cautious Portfolio</v>
      </c>
      <c r="B35">
        <f>IF(A35="","",SUM('Asset Allocation'!B35))</f>
        <v>0</v>
      </c>
      <c r="C35">
        <f>IF(A35="","",SUM('Asset Allocation'!C35))</f>
        <v>0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0</v>
      </c>
      <c r="G35">
        <f>IF(A35="","",SUM('Asset Allocation'!D35))</f>
        <v>0</v>
      </c>
      <c r="H35">
        <f t="shared" si="0"/>
        <v>1</v>
      </c>
    </row>
    <row r="36" spans="1:8" x14ac:dyDescent="0.25">
      <c r="A36" t="str">
        <f>IF(Input!A37="","",Input!A37)</f>
        <v>Schroder Schroder Global Multi-Asset Balanced Portfolio</v>
      </c>
      <c r="B36">
        <f>IF(A36="","",SUM('Asset Allocation'!B36))</f>
        <v>0</v>
      </c>
      <c r="C36">
        <f>IF(A36="","",SUM('Asset Allocation'!C36))</f>
        <v>0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0</v>
      </c>
      <c r="G36">
        <f>IF(A36="","",SUM('Asset Allocation'!D36))</f>
        <v>0</v>
      </c>
      <c r="H36">
        <f t="shared" si="0"/>
        <v>1</v>
      </c>
    </row>
    <row r="37" spans="1:8" x14ac:dyDescent="0.25">
      <c r="A37" t="str">
        <f>IF(Input!A38="","",Input!A38)</f>
        <v>Schroder Global Multi-Asset Growth Portfolio</v>
      </c>
      <c r="B37">
        <f>IF(A37="","",SUM('Asset Allocation'!B37))</f>
        <v>0</v>
      </c>
      <c r="C37">
        <f>IF(A37="","",SUM('Asset Allocation'!C37))</f>
        <v>0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0</v>
      </c>
      <c r="G37">
        <f>IF(A37="","",SUM('Asset Allocation'!D37))</f>
        <v>0</v>
      </c>
      <c r="H37">
        <f t="shared" si="0"/>
        <v>1</v>
      </c>
    </row>
    <row r="38" spans="1:8" x14ac:dyDescent="0.25">
      <c r="A38" t="str">
        <f>IF(Input!A39="","",Input!A39)</f>
        <v>Schroder Global Multi-Asset Adventurous Portfolio</v>
      </c>
      <c r="B38">
        <f>IF(A38="","",SUM('Asset Allocation'!B38))</f>
        <v>0</v>
      </c>
      <c r="C38">
        <f>IF(A38="","",SUM('Asset Allocation'!C38))</f>
        <v>0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0</v>
      </c>
      <c r="G38">
        <f>IF(A38="","",SUM('Asset Allocation'!D38))</f>
        <v>0</v>
      </c>
      <c r="H38">
        <f t="shared" si="0"/>
        <v>1</v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Schroder Active Portfolio 2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Schroder Active Portfolio 3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Schroder Active Portfolio 4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Schroder Active Portfolio 5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Schroder Active Portfolio 6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Schroder Active Portfolio 7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Schroder Active Portfolio 8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Schroder Strategic Index Portfolio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Schroder Strategic Index Portfolio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Schroder Strategic Index Portfolio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Schroder Strategic Index Portfolio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Schroder Sustainable Portfolio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Schroder Sustainable Portfolio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Schroder Sustainable Portfolio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Schroder Sustainable Portfolio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Schroder Sustainable Portfolio 7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Schroder Sustainable Portfolio 8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2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2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2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2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</v>
      </c>
      <c r="E30" s="6">
        <f>IFERROR(IF(A30="","",SUM('Asset Allocation'!M30)),0)</f>
        <v>0</v>
      </c>
      <c r="F30" s="6">
        <f>IFERROR(IF(A30="","",SUM('Asset Allocation'!J30)),0)</f>
        <v>0</v>
      </c>
      <c r="G30" s="6">
        <f>IFERROR(IF(A30="","",SUM('Asset Allocation'!P30,'Asset Allocation'!Q30)),0)</f>
        <v>0</v>
      </c>
      <c r="H30" s="6">
        <f>IFERROR(IF(A30="","",SUM('Asset Allocation'!N30)),0)</f>
        <v>0</v>
      </c>
    </row>
    <row r="31" spans="1:8" x14ac:dyDescent="0.2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</v>
      </c>
      <c r="F31" s="6">
        <f>IFERROR(IF(A31="","",SUM('Asset Allocation'!J31)),0)</f>
        <v>0</v>
      </c>
      <c r="G31" s="6">
        <f>IFERROR(IF(A31="","",SUM('Asset Allocation'!P31,'Asset Allocation'!Q31)),0)</f>
        <v>0</v>
      </c>
      <c r="H31" s="6">
        <f>IFERROR(IF(A31="","",SUM('Asset Allocation'!N31)),0)</f>
        <v>0</v>
      </c>
    </row>
    <row r="32" spans="1:8" x14ac:dyDescent="0.2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0</v>
      </c>
      <c r="D32" s="6">
        <f>IFERROR(IF(A32="","",SUM('Asset Allocation'!R32,'Asset Allocation'!K32)),0)</f>
        <v>0</v>
      </c>
      <c r="E32" s="6">
        <f>IFERROR(IF(A32="","",SUM('Asset Allocation'!M32)),0)</f>
        <v>0</v>
      </c>
      <c r="F32" s="6">
        <f>IFERROR(IF(A32="","",SUM('Asset Allocation'!J32)),0)</f>
        <v>0</v>
      </c>
      <c r="G32" s="6">
        <f>IFERROR(IF(A32="","",SUM('Asset Allocation'!P32,'Asset Allocation'!Q32)),0)</f>
        <v>0</v>
      </c>
      <c r="H32" s="6">
        <f>IFERROR(IF(A32="","",SUM('Asset Allocation'!N32)),0)</f>
        <v>0</v>
      </c>
    </row>
    <row r="33" spans="1:8" x14ac:dyDescent="0.2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0</v>
      </c>
      <c r="F33" s="6">
        <f>IFERROR(IF(A33="","",SUM('Asset Allocation'!J33)),0)</f>
        <v>0</v>
      </c>
      <c r="G33" s="6">
        <f>IFERROR(IF(A33="","",SUM('Asset Allocation'!P33,'Asset Allocation'!Q33)),0)</f>
        <v>0</v>
      </c>
      <c r="H33" s="6">
        <f>IFERROR(IF(A33="","",SUM('Asset Allocation'!N33)),0)</f>
        <v>0</v>
      </c>
    </row>
    <row r="34" spans="1:8" x14ac:dyDescent="0.2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0</v>
      </c>
      <c r="D34" s="6">
        <f>IFERROR(IF(A34="","",SUM('Asset Allocation'!R34,'Asset Allocation'!K34)),0)</f>
        <v>0</v>
      </c>
      <c r="E34" s="6">
        <f>IFERROR(IF(A34="","",SUM('Asset Allocation'!M34)),0)</f>
        <v>0</v>
      </c>
      <c r="F34" s="6">
        <f>IFERROR(IF(A34="","",SUM('Asset Allocation'!J34)),0)</f>
        <v>0</v>
      </c>
      <c r="G34" s="6">
        <f>IFERROR(IF(A34="","",SUM('Asset Allocation'!P34,'Asset Allocation'!Q34)),0)</f>
        <v>0</v>
      </c>
      <c r="H34" s="6">
        <f>IFERROR(IF(A34="","",SUM('Asset Allocation'!N34)),0)</f>
        <v>0</v>
      </c>
    </row>
    <row r="35" spans="1:8" x14ac:dyDescent="0.2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0</v>
      </c>
      <c r="D35" s="6">
        <f>IFERROR(IF(A35="","",SUM('Asset Allocation'!R35,'Asset Allocation'!K35)),0)</f>
        <v>0</v>
      </c>
      <c r="E35" s="6">
        <f>IFERROR(IF(A35="","",SUM('Asset Allocation'!M35)),0)</f>
        <v>0</v>
      </c>
      <c r="F35" s="6">
        <f>IFERROR(IF(A35="","",SUM('Asset Allocation'!J35)),0)</f>
        <v>0</v>
      </c>
      <c r="G35" s="6">
        <f>IFERROR(IF(A35="","",SUM('Asset Allocation'!P35,'Asset Allocation'!Q35)),0)</f>
        <v>0</v>
      </c>
      <c r="H35" s="6">
        <f>IFERROR(IF(A35="","",SUM('Asset Allocation'!N35)),0)</f>
        <v>0</v>
      </c>
    </row>
    <row r="36" spans="1:8" x14ac:dyDescent="0.2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0</v>
      </c>
      <c r="D36" s="6">
        <f>IFERROR(IF(A36="","",SUM('Asset Allocation'!R36,'Asset Allocation'!K36)),0)</f>
        <v>0</v>
      </c>
      <c r="E36" s="6">
        <f>IFERROR(IF(A36="","",SUM('Asset Allocation'!M36)),0)</f>
        <v>0</v>
      </c>
      <c r="F36" s="6">
        <f>IFERROR(IF(A36="","",SUM('Asset Allocation'!J36)),0)</f>
        <v>0</v>
      </c>
      <c r="G36" s="6">
        <f>IFERROR(IF(A36="","",SUM('Asset Allocation'!P36,'Asset Allocation'!Q36)),0)</f>
        <v>0</v>
      </c>
      <c r="H36" s="6">
        <f>IFERROR(IF(A36="","",SUM('Asset Allocation'!N36)),0)</f>
        <v>0</v>
      </c>
    </row>
    <row r="37" spans="1:8" x14ac:dyDescent="0.2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0</v>
      </c>
      <c r="D37" s="6">
        <f>IFERROR(IF(A37="","",SUM('Asset Allocation'!R37,'Asset Allocation'!K37)),0)</f>
        <v>0</v>
      </c>
      <c r="E37" s="6">
        <f>IFERROR(IF(A37="","",SUM('Asset Allocation'!M37)),0)</f>
        <v>0</v>
      </c>
      <c r="F37" s="6">
        <f>IFERROR(IF(A37="","",SUM('Asset Allocation'!J37)),0)</f>
        <v>0</v>
      </c>
      <c r="G37" s="6">
        <f>IFERROR(IF(A37="","",SUM('Asset Allocation'!P37,'Asset Allocation'!Q37)),0)</f>
        <v>0</v>
      </c>
      <c r="H37" s="6">
        <f>IFERROR(IF(A37="","",SUM('Asset Allocation'!N37)),0)</f>
        <v>0</v>
      </c>
    </row>
    <row r="38" spans="1:8" x14ac:dyDescent="0.2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0</v>
      </c>
      <c r="D38" s="6">
        <f>IFERROR(IF(A38="","",SUM('Asset Allocation'!R38,'Asset Allocation'!K38)),0)</f>
        <v>0</v>
      </c>
      <c r="E38" s="6">
        <f>IFERROR(IF(A38="","",SUM('Asset Allocation'!M38)),0)</f>
        <v>0</v>
      </c>
      <c r="F38" s="6">
        <f>IFERROR(IF(A38="","",SUM('Asset Allocation'!J38)),0)</f>
        <v>0</v>
      </c>
      <c r="G38" s="6">
        <f>IFERROR(IF(A38="","",SUM('Asset Allocation'!P38,'Asset Allocation'!Q38)),0)</f>
        <v>0</v>
      </c>
      <c r="H38" s="6">
        <f>IFERROR(IF(A38="","",SUM('Asset Allocation'!N38)),0)</f>
        <v>0</v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Schroder Active Portfolio 2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Schroder Active Portfolio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Schroder Active Portfolio 4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Schroder Active Portfolio 5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Schroder Active Portfolio 6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Schroder Active Portfolio 7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Schroder Active Portfolio 8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Schroder Active Portfolio 9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Schroder Active Portfolio 10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Schroder Strategic Index Portfolio 2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Schroder Strategic Index Portfolio 3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Schroder Strategic Index Portfolio 4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Schroder Strategic Index Portfolio 5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Schroder Strategic Index Portfolio 6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Schroder Strategic Index Portfolio 7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Schroder Strategic Index Portfolio 8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Schroder Strategic Index Portfolio 9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Schroder Strategic Index Portfolio 10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Schroder Sustainable Portfolio 3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Schroder Sustainable Portfolio 4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Schroder Sustainable Portfolio 5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Schroder Sustainable Portfolio 6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Schroder Sustainable Portfolio 7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Schroder Sustainable Portfolio 8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Schroder Blended Portfolio 3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Schroder Blended Portfolio 4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Schroder Blended Portfolio 5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Schroder Blended Portfolio 6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>Schroder Blended Portfolio 7</v>
      </c>
      <c r="H30">
        <f>IFERROR(IF(A30="","",SUM('Asset Allocation'!C30)/'Broad Asset Allocation'!C30),0)</f>
        <v>0</v>
      </c>
    </row>
    <row r="31" spans="1:8" x14ac:dyDescent="0.25">
      <c r="A31" t="str">
        <f>IF(Input!A32="","",Input!A32)</f>
        <v>Schroder Blended Portfolio 8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Schroder Income Portfolio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Schroder Managed Defensive Fund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>Schroder Global Multi-Asset Cautious Portfolio</v>
      </c>
      <c r="H34">
        <f>IFERROR(IF(A34="","",SUM('Asset Allocation'!C34)/'Broad Asset Allocation'!C34),0)</f>
        <v>0</v>
      </c>
    </row>
    <row r="35" spans="1:8" x14ac:dyDescent="0.25">
      <c r="A35" t="str">
        <f>IF(Input!A36="","",Input!A36)</f>
        <v>Schroder Global Multi-Asset Moderately Cautious Portfolio</v>
      </c>
      <c r="H35">
        <f>IFERROR(IF(A35="","",SUM('Asset Allocation'!C35)/'Broad Asset Allocation'!C35),0)</f>
        <v>0</v>
      </c>
    </row>
    <row r="36" spans="1:8" x14ac:dyDescent="0.25">
      <c r="A36" t="str">
        <f>IF(Input!A37="","",Input!A37)</f>
        <v>Schroder Schroder Global Multi-Asset Balanced Portfolio</v>
      </c>
      <c r="H36">
        <f>IFERROR(IF(A36="","",SUM('Asset Allocation'!C36)/'Broad Asset Allocation'!C36),0)</f>
        <v>0</v>
      </c>
    </row>
    <row r="37" spans="1:8" x14ac:dyDescent="0.25">
      <c r="A37" t="str">
        <f>IF(Input!A38="","",Input!A38)</f>
        <v>Schroder Global Multi-Asset Growth Portfolio</v>
      </c>
      <c r="H37">
        <f>IFERROR(IF(A37="","",SUM('Asset Allocation'!C37)/'Broad Asset Allocation'!C37),0)</f>
        <v>0</v>
      </c>
    </row>
    <row r="38" spans="1:8" x14ac:dyDescent="0.25">
      <c r="A38" t="str">
        <f>IF(Input!A39="","",Input!A39)</f>
        <v>Schroder Global Multi-Asset Adventurous Portfolio</v>
      </c>
      <c r="H38">
        <f>IFERROR(IF(A38="","",SUM('Asset Allocation'!C38)/'Broad Asset Allocation'!C38),0)</f>
        <v>0</v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2023-09-17T06:17:54Z</dcterms:modified>
</cp:coreProperties>
</file>