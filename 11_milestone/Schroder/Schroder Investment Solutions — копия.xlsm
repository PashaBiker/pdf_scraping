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milestone 11-13\Schrode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<sst xmlns="http://schemas.openxmlformats.org/spreadsheetml/2006/main" count="246" uniqueCount="199">
  <si>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</si>
  <si>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</si>
  <si>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</si>
  <si>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</si>
  <si>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</si>
  <si>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</si>
  <si>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</si>
  <si>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</si>
  <si>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</si>
  <si>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</si>
  <si>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</si>
  <si>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</si>
  <si>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</si>
  <si>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</si>
  <si>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</si>
  <si>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</si>
  <si>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</si>
  <si>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</si>
  <si>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</si>
  <si>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</si>
  <si>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</si>
  <si>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</si>
  <si>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</si>
  <si>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</si>
  <si>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</si>
  <si>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</si>
  <si>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</si>
  <si>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</si>
  <si>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</si>
  <si>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</si>
  <si>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</si>
  <si>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</si>
  <si>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</si>
  <si>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</si>
  <si>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</si>
  <si>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</si>
  <si>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</si>
  <si>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</si>
  <si>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</si>
  <si>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</si>
  <si>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</si>
  <si>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</si>
  <si>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</si>
  <si>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Factsheet</t>
  </si>
  <si>
    <t>https://api.schroders.com/document-store/id/07058623-8f5e-45ce-9e4b-85c7ff2cd2ff</t>
  </si>
  <si>
    <t>https://www.schroders.com/en-gb/uk/intermediary/investment-solutions/fund-centre/#/fund/SCHDR_F000016OTO/schroder-active-portfolio-3/-/profile/</t>
  </si>
  <si>
    <t>https://api.schroders.com/document-store/id/d403fd67-a109-49eb-90b1-458db2e6166d</t>
  </si>
  <si>
    <t>https://www.schroders.com/en-gb/uk/intermediary/investment-solutions/fund-centre/#/fund/SCHDR_F000016OKW/schroder-active-portfolio-4/-/profile/</t>
  </si>
  <si>
    <t>https://api.schroders.com/document-store/id/29f336b5-c5e8-4019-91f6-8d42047a0e29</t>
  </si>
  <si>
    <t>https://www.schroders.com/en-gb/uk/intermediary/investment-solutions/fund-centre/#/fund/SCHDR_F000015KUF/schroder-active-portfolio-5/-/profile/</t>
  </si>
  <si>
    <t>https://api.schroders.com/document-store/id/a831b089-14de-49f0-bc92-0160809a2b5f</t>
  </si>
  <si>
    <t>https://www.schroders.com/en-gb/uk/intermediary/investment-solutions/fund-centre/#/fund/SCHDR_F000016P9J/schroder-active-portfolio-6/-/profile/</t>
  </si>
  <si>
    <t>https://api.schroders.com/document-store/id/a5fea81f-c377-4586-b67d-c83915c0873e</t>
  </si>
  <si>
    <t>https://www.schroders.com/en-gb/uk/intermediary/investment-solutions/fund-centre/#/fund/SCHDR_F000016P9K/schroder-active-portfolio-7/-/profile/</t>
  </si>
  <si>
    <t>https://api.schroders.com/document-store/id/e0f19e3e-8b62-4ee7-97cb-8999c1c21480</t>
  </si>
  <si>
    <t>https://www.schroders.com/en-gb/uk/intermediary/investment-solutions/fund-centre/#/fund/SCHDR_F000016P9L/schroder-active-portfolio-8/-/profile/</t>
  </si>
  <si>
    <t>https://api.schroders.com/document-store/id/f606bb94-f674-4a79-9627-9cdabad112a1</t>
  </si>
  <si>
    <t>https://www.schroders.com/en-gb/uk/intermediary/investment-solutions/fund-centre/#/fund/SCHDR_F000016P9M/schroder-active-portfolio-9/-/profile/</t>
  </si>
  <si>
    <t>https://api.schroders.com/document-store/id/c276cc1e-9524-43e2-82f0-147db6323d02</t>
  </si>
  <si>
    <t>https://www.schroders.com/en-gb/uk/intermediary/investment-solutions/fund-centre/#/fund/SCHDR_F000016P9N/schroder-active-portfolio-10/-/profile/</t>
  </si>
  <si>
    <t>https://api.schroders.com/document-store/id/39f1a653-b65a-47c6-97d1-f8a351078430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</si>
  <si>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</si>
  <si>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</si>
  <si>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</si>
  <si>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</si>
  <si>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</si>
  <si>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</si>
  <si>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</si>
  <si>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</si>
  <si>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</si>
  <si>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</si>
  <si>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https://api.schroders.com/document-store/id/1396fbce-a5b6-481a-8f89-f9d29f1d6038</t>
  </si>
  <si>
    <t>https://www.schroders.com/en-gb/uk/intermediary/investment-solutions/fund-centre/#/fund/SCHDR_F000016PA6/schroder-strategic-index-portfolio-3/-/profile/</t>
  </si>
  <si>
    <t>https://api.schroders.com/document-store/id/15071999-7f12-478d-92b8-9c9c0d5c7d96</t>
  </si>
  <si>
    <t>https://www.schroders.com/en-gb/uk/intermediary/investment-solutions/fund-centre/#/fund/SCHDR_F000016PA9/schroder-strategic-index-portfolio-4/-/profile/</t>
  </si>
  <si>
    <t>https://api.schroders.com/document-store/id/c4d9977b-481f-4b59-8eb7-09982e7eee67</t>
  </si>
  <si>
    <t>https://www.schroders.com/en-gb/uk/intermediary/investment-solutions/fund-centre/#/fund/SCHDR_F000016PAA/schroder-strategic-index-portfolio-5/-/profile/</t>
  </si>
  <si>
    <t>https://api.schroders.com/document-store/id/a6aff599-175d-40c4-8e53-54ec9cc815c1</t>
  </si>
  <si>
    <t>https://www.schroders.com/en-gb/uk/intermediary/investment-solutions/fund-centre/#/fund/SCHDR_F000016PAC/schroder-strategic-index-portfolio-6/-/profile/</t>
  </si>
  <si>
    <t>https://api.schroders.com/document-store/id/597ac067-587d-4b26-ac00-792e240bbfcf</t>
  </si>
  <si>
    <t>https://www.schroders.com/en-gb/uk/intermediary/investment-solutions/fund-centre/#/fund/SCHDR_F000016PAD/schroder-strategic-index-portfolio-7/-/profile/</t>
  </si>
  <si>
    <t>https://api.schroders.com/document-store/id/ba6bb2bc-2715-481c-b8bd-88fda4a47022</t>
  </si>
  <si>
    <t>https://www.schroders.com/en-gb/uk/intermediary/investment-solutions/fund-centre/#/fund/SCHDR_F000016PAE/schroder-strategic-index-portfolio-8/-/profile/</t>
  </si>
  <si>
    <t>https://api.schroders.com/document-store/id/43a8c565-1eea-456b-817b-84782a271d3a</t>
  </si>
  <si>
    <t>https://www.schroders.com/en-gb/uk/intermediary/investment-solutions/fund-centre/#/fund/SCHDR_F000016PAF/schroder-strategic-index-portfolio-9/-/profile/</t>
  </si>
  <si>
    <t>https://api.schroders.com/document-store/id/7f35a0da-d68d-4b24-9230-a90393e1a711</t>
  </si>
  <si>
    <t>https://www.schroders.com/en-gb/uk/intermediary/investment-solutions/fund-centre/#/fund/SCHDR_F000016PAH/schroder-strategic-index-portfolio-10/-/profile/</t>
  </si>
  <si>
    <t>https://api.schroders.com/document-store/id/a490b548-fcde-4f86-8a4c-e654282cd094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</si>
  <si>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</si>
  <si>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</si>
  <si>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</si>
  <si>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</si>
  <si>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</si>
  <si>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</si>
  <si>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</si>
  <si>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https://api.schroders.com/document-store/id/5267cec0-0b8c-455c-a100-9c6183f7a955</t>
  </si>
  <si>
    <t>https://www.schroders.com/en-gb/uk/intermediary/investment-solutions/fund-centre/#/fund/SCHDR_F000016P39/schroder-sustainable-portfolio-4/-/profile/</t>
  </si>
  <si>
    <t>https://api.schroders.com/document-store/id/ecd7551d-f231-4359-87a6-26591fc9e3b6</t>
  </si>
  <si>
    <t>https://api.schroders.com/document-store/id/8fdd0d59-36a5-4849-9183-9aef0f154d01</t>
  </si>
  <si>
    <t>https://www.schroders.com/en-gb/uk/intermediary/investment-solutions/fund-centre/#/fund/SCHDR_F000016P3B/schroder-sustainable-portfolio-6/-/profile/</t>
  </si>
  <si>
    <t>https://api.schroders.com/document-store/id/0e41868b-5ee2-4d30-8e83-f2c877d409e4</t>
  </si>
  <si>
    <t>https://www.schroders.com/en-gb/uk/intermediary/investment-solutions/fund-centre/#/fund/SCHDR_F000016P38/schroder-sustainable-portfolio-7/-/profile/</t>
  </si>
  <si>
    <t>https://api.schroders.com/document-store/id/fb2c5a5d-2d1f-4b53-8ddc-691ff49d0326</t>
  </si>
  <si>
    <t>https://www.schroders.com/en-gb/uk/intermediary/investment-solutions/fund-centre/#/fund/SCHDR_F000016P3C/schroder-sustainable-portfolio-8/-/profile/</t>
  </si>
  <si>
    <t>https://api.schroders.com/document-store/id/8d57406e-6992-44b2-8736-a9fcbe50861b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</si>
  <si>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</si>
  <si>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</si>
  <si>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</si>
  <si>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</si>
  <si>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</si>
  <si>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</si>
  <si>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</si>
  <si>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https://api.schroders.com/document-store/id/54508148-f03d-461d-9c89-88e734c8010a</t>
  </si>
  <si>
    <t>https://www.schroders.com/en-gb/uk/intermediary/investment-solutions/fund-centre/#/fund/SCHDR_F0000150QY/schroder-blended-portfolio-4-f-acc/GB00BF77ZT29/profile/</t>
  </si>
  <si>
    <t>https://api.schroders.com/document-store/id/9c43dd3d-bb7e-4d3b-beaf-745bc9ab62e2</t>
  </si>
  <si>
    <t>https://www.schroders.com/en-gb/uk/intermediary/investment-solutions/fund-centre/#/fund/SCHDR_F0000150QZ/schroder-blended-portfolio-5-f-acc/GB00BF77ZV41/profile/</t>
  </si>
  <si>
    <t>https://api.schroders.com/document-store/id/77705355-d5c9-4ee9-9889-2c33be0dd63e</t>
  </si>
  <si>
    <t>https://www.schroders.com/en-gb/uk/intermediary/investment-solutions/fund-centre/#/fund/SCHDR_F0000150R0/schroder-blended-portfolio-6-f-acc/GB00BF77ZW57/profile/</t>
  </si>
  <si>
    <t>https://api.schroders.com/document-store/id/988023da-51e2-47e1-979b-83870907a6ca</t>
  </si>
  <si>
    <t>https://www.schroders.com/en-gb/uk/intermediary/investment-solutions/fund-centre/#/fund/SCHDR_F0000150R1/schroder-blended-portfolio-7-f-acc/GB00BF77ZX64/profile/</t>
  </si>
  <si>
    <t>https://api.schroders.com/document-store/id/855eed1e-56ce-4f73-b26f-f831f91a38a3</t>
  </si>
  <si>
    <t>https://www.schroders.com/en-gb/uk/intermediary/investment-solutions/fund-centre/#/fund/SCHDR_F0000150R2/schroder-blended-portfolio-8-f-acc/GB00BF77ZY71/profile/</t>
  </si>
  <si>
    <t>https://api.schroders.com/document-store/id/166acb72-9ded-46b7-8110-1c8f8b625cfc</t>
  </si>
  <si>
    <t>Schroder Income Portfolio</t>
  </si>
  <si>
    <t>https://www.schroders.com/en-gb/uk/intermediary/investment-solutions/income-portfolio/</t>
  </si>
  <si>
    <t>Factsheet (Z Acc)</t>
  </si>
  <si>
    <t>https://www.schroders.com/getfunddocument/?oid=1.9.2144455</t>
  </si>
  <si>
    <t>Schroder Managed Defensive Fund</t>
  </si>
  <si>
    <t>https://www.schroders.com/en-gb/uk/intermediary/investment-solutions/managed-defensive-fund/</t>
  </si>
  <si>
    <t>https://api.schroders.com/document-store/SISCo-Schroder-Managed-Defensive-Fund-F-Acc-FMR-UKEN.pdf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</si>
  <si>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</si>
  <si>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</si>
  <si>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https://api.schroders.com/document-store/id/cdf6c64a-02b5-4b87-b02d-cba2387a3889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</si>
  <si>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</si>
  <si>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</si>
  <si>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https://api.schroders.com/document-store/id/93ebb188-d896-4be3-8640-518e046cfc87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</si>
  <si>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</si>
  <si>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</si>
  <si>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https://api.schroders.com/document-store/id/ad258552-2159-481d-a69f-c97f3f6f8015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</si>
  <si>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</si>
  <si>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</si>
  <si>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https://api.schroders.com/document-store/id/c4d7f349-e581-4bee-af6f-9938c81be72b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</si>
  <si>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</si>
  <si>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</si>
  <si>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https://api.schroders.com/document-store/id/3ab45624-6a05-4559-8eaa-0f3c877a91e7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</si>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</sst>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3" sqref="H3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topLeftCell="A10" workbookViewId="0">
      <selection activeCell="B34" sqref="B34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34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35</v>
      </c>
      <c r="B5" t="str">
        <f>'PDF Scraping'!D4</f>
        <v>https://api.schroders.com/document-store/id/29f336b5-c5e8-4019-91f6-8d42047a0e29</v>
      </c>
    </row>
    <row r="6" spans="1:10" x14ac:dyDescent="0.25">
      <c r="A6" t="s">
        <v>36</v>
      </c>
      <c r="B6" t="str">
        <f>'PDF Scraping'!D5</f>
        <v>https://api.schroders.com/document-store/id/a831b089-14de-49f0-bc92-0160809a2b5f</v>
      </c>
    </row>
    <row r="7" spans="1:10" x14ac:dyDescent="0.25">
      <c r="A7" t="s">
        <v>37</v>
      </c>
      <c r="B7" t="str">
        <f>'PDF Scraping'!D6</f>
        <v>https://api.schroders.com/document-store/id/a5fea81f-c377-4586-b67d-c83915c0873e</v>
      </c>
    </row>
    <row r="8" spans="1:10" x14ac:dyDescent="0.25">
      <c r="A8" t="s">
        <v>38</v>
      </c>
      <c r="B8" t="str">
        <f>'PDF Scraping'!D7</f>
        <v>https://api.schroders.com/document-store/id/e0f19e3e-8b62-4ee7-97cb-8999c1c21480</v>
      </c>
    </row>
    <row r="9" spans="1:10" x14ac:dyDescent="0.25">
      <c r="A9" t="s">
        <v>39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40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41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61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62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63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64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65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66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67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68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69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88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89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90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91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92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93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105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106</v>
      </c>
      <c r="B28" t="str">
        <f>'PDF Scraping'!D27</f>
        <v>https://api.schroders.com/document-store/id/9c43dd3d-bb7e-4d3b-beaf-745bc9ab62e2</v>
      </c>
    </row>
    <row r="29" spans="1:2" x14ac:dyDescent="0.25">
      <c r="A29" t="s">
        <v>107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108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109</v>
      </c>
      <c r="B31" t="str">
        <f>'PDF Scraping'!D30</f>
        <v>https://api.schroders.com/document-store/id/855eed1e-56ce-4f73-b26f-f831f91a38a3</v>
      </c>
    </row>
    <row r="32" spans="1:2" x14ac:dyDescent="0.25">
      <c r="A32" t="s">
        <v>110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123</v>
      </c>
      <c r="B33" t="str">
        <f>'PDF Scraping'!D32</f>
        <v>https://www.schroders.com/getfunddocument/?oid=1.9.2144455</v>
      </c>
    </row>
    <row r="34" spans="1:2" x14ac:dyDescent="0.25">
      <c r="A34" t="s">
        <v>127</v>
      </c>
      <c r="B34" t="str">
        <f>'PDF Scraping'!D33</f>
        <v>https://api.schroders.com/document-store/SISCo-Schroder-Managed-Defensive-Fund-F-Acc-FMR-UKEN.pdf</v>
      </c>
    </row>
    <row r="35" spans="1:2" x14ac:dyDescent="0.25">
      <c r="A35" t="s">
        <v>130</v>
      </c>
      <c r="B35" t="str">
        <f>'PDF Scraping'!D34</f>
        <v>https://api.schroders.com/document-store/id/cdf6c64a-02b5-4b87-b02d-cba2387a3889</v>
      </c>
    </row>
    <row r="36" spans="1:2" x14ac:dyDescent="0.25">
      <c r="A36" t="s">
        <v>133</v>
      </c>
      <c r="B36" t="str">
        <f>'PDF Scraping'!D35</f>
        <v>https://api.schroders.com/document-store/id/93ebb188-d896-4be3-8640-518e046cfc87</v>
      </c>
    </row>
    <row r="37" spans="1:2" x14ac:dyDescent="0.25">
      <c r="A37" t="s">
        <v>136</v>
      </c>
      <c r="B37" t="str">
        <f>'PDF Scraping'!D36</f>
        <v>https://api.schroders.com/document-store/id/ad258552-2159-481d-a69f-c97f3f6f8015</v>
      </c>
    </row>
    <row r="38" spans="1:2" x14ac:dyDescent="0.25">
      <c r="A38" t="s">
        <v>139</v>
      </c>
      <c r="B38" t="str">
        <f>'PDF Scraping'!D37</f>
        <v>https://api.schroders.com/document-store/id/c4d7f349-e581-4bee-af6f-9938c81be72b</v>
      </c>
    </row>
    <row r="39" spans="1:2" x14ac:dyDescent="0.25">
      <c r="A39" t="s">
        <v>142</v>
      </c>
      <c r="B39" t="str">
        <f>'PDF Scraping'!D38</f>
        <v>https://api.schroders.com/document-store/id/3ab45624-6a05-4559-8eaa-0f3c877a91e7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G50"/>
  <sheetViews>
    <sheetView workbookViewId="0">
      <selection activeCell="F2" sqref="F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7" x14ac:dyDescent="0.25">
      <c r="B1" t="s">
        <v>26</v>
      </c>
      <c r="C1" t="s">
        <v>146</v>
      </c>
      <c r="D1" t="s">
        <v>147</v>
      </c>
      <c r="E1" t="s">
        <v>145</v>
      </c>
      <c r="F1" t="s">
        <v>149</v>
      </c>
      <c r="G1" t="s">
        <v>148</v>
      </c>
    </row>
    <row r="2" spans="1:7" x14ac:dyDescent="0.2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2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2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2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2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2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2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2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2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2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2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2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2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2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2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Schroder Sustainable Portfolio 8</v>
      </c>
      <c r="B25" s="7"/>
      <c r="C25" s="5"/>
    </row>
    <row r="26" spans="1:6" x14ac:dyDescent="0.25">
      <c r="A26" t="str">
        <f>IF(Input!A27="","",Input!A27)</f>
        <v>Schroder Blended Portfolio 3</v>
      </c>
      <c r="B26" s="7"/>
      <c r="C26" s="5"/>
    </row>
    <row r="27" spans="1:6" x14ac:dyDescent="0.25">
      <c r="A27" t="str">
        <f>IF(Input!A28="","",Input!A28)</f>
        <v>Schroder Blended Portfolio 4</v>
      </c>
      <c r="B27" s="7"/>
      <c r="C27" s="5"/>
    </row>
    <row r="28" spans="1:6" x14ac:dyDescent="0.25">
      <c r="A28" t="str">
        <f>IF(Input!A29="","",Input!A29)</f>
        <v>Schroder Blended Portfolio 5</v>
      </c>
      <c r="B28" s="7"/>
      <c r="C28" s="5"/>
    </row>
    <row r="29" spans="1:6" x14ac:dyDescent="0.25">
      <c r="A29" t="str">
        <f>IF(Input!A30="","",Input!A30)</f>
        <v>Schroder Blended Portfolio 6</v>
      </c>
      <c r="B29" s="7"/>
      <c r="C29" s="5"/>
    </row>
    <row r="30" spans="1:6" x14ac:dyDescent="0.25">
      <c r="A30" t="str">
        <f>IF(Input!A31="","",Input!A31)</f>
        <v>Schroder Blended Portfolio 7</v>
      </c>
      <c r="B30" s="7"/>
      <c r="C30" s="5"/>
    </row>
    <row r="31" spans="1:6" x14ac:dyDescent="0.25">
      <c r="A31" t="str">
        <f>IF(Input!A32="","",Input!A32)</f>
        <v>Schroder Blended Portfolio 8</v>
      </c>
      <c r="B31" s="7"/>
      <c r="C31" s="5"/>
    </row>
    <row r="32" spans="1:6" x14ac:dyDescent="0.25">
      <c r="A32" t="str">
        <f>IF(Input!A33="","",Input!A33)</f>
        <v>Schroder Income Portfolio</v>
      </c>
      <c r="B32" s="7"/>
      <c r="C32" s="5"/>
    </row>
    <row r="33" spans="1:3" x14ac:dyDescent="0.25">
      <c r="A33" t="str">
        <f>IF(Input!A34="","",Input!A34)</f>
        <v>Schroder Managed Defensive Fund</v>
      </c>
      <c r="B33" s="7"/>
      <c r="C33" s="5"/>
    </row>
    <row r="34" spans="1:3" x14ac:dyDescent="0.25">
      <c r="A34" t="str">
        <f>IF(Input!A35="","",Input!A35)</f>
        <v>Schroder Global Multi-Asset Cautious Portfolio</v>
      </c>
      <c r="B34" s="7"/>
      <c r="C34" s="5"/>
    </row>
    <row r="35" spans="1:3" x14ac:dyDescent="0.25">
      <c r="A35" t="str">
        <f>IF(Input!A36="","",Input!A36)</f>
        <v>Schroder Global Multi-Asset Moderately Cautious Portfolio</v>
      </c>
    </row>
    <row r="36" spans="1:3" x14ac:dyDescent="0.25">
      <c r="A36" t="str">
        <f>IF(Input!A37="","",Input!A37)</f>
        <v>Schroder Schroder Global Multi-Asset Balanced Portfolio</v>
      </c>
    </row>
    <row r="37" spans="1:3" x14ac:dyDescent="0.25">
      <c r="A37" t="str">
        <f>IF(Input!A38="","",Input!A38)</f>
        <v>Schroder Global Multi-Asset Growth Portfolio</v>
      </c>
    </row>
    <row r="38" spans="1:3" x14ac:dyDescent="0.25">
      <c r="A38" t="str">
        <f>IF(Input!A39="","",Input!A39)</f>
        <v>Schroder Global Multi-Asset Adventurous Portfolio</v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D132"/>
  <sheetViews>
    <sheetView workbookViewId="0"/>
  </sheetViews>
  <sheetFormatPr defaultRowHeight="15" x14ac:dyDescent="0.25"/>
  <cols>
    <col min="1" max="1" width="50.42578125" bestFit="1" customWidth="1"/>
    <col min="2" max="2" width="5.140625" bestFit="1" customWidth="1"/>
    <col min="3" max="3" width="4.85546875" bestFit="1" customWidth="1"/>
    <col min="4" max="4" width="5.140625" bestFit="1" customWidth="1"/>
    <col min="5" max="5" width="5.5703125" bestFit="1" customWidth="1"/>
    <col min="6" max="6" width="10.42578125" bestFit="1" customWidth="1"/>
    <col min="7" max="7" width="8.7109375" bestFit="1" customWidth="1"/>
    <col min="8" max="8" width="17.140625" bestFit="1" customWidth="1"/>
    <col min="9" max="9" width="11.5703125" bestFit="1" customWidth="1"/>
    <col min="10" max="10" width="10.7109375" bestFit="1" customWidth="1"/>
    <col min="11" max="11" width="14.85546875" bestFit="1" customWidth="1"/>
    <col min="12" max="12" width="11.85546875" bestFit="1" customWidth="1"/>
    <col min="13" max="13" width="8.7109375" bestFit="1" customWidth="1"/>
    <col min="14" max="14" width="21.5703125" bestFit="1" customWidth="1"/>
    <col min="15" max="15" width="9.85546875" bestFit="1" customWidth="1"/>
    <col min="16" max="16" width="8" bestFit="1" customWidth="1"/>
    <col min="17" max="17" width="14.42578125" bestFit="1" customWidth="1"/>
    <col min="18" max="18" width="25.42578125" bestFit="1" customWidth="1"/>
    <col min="19" max="19" width="12.42578125" bestFit="1" customWidth="1"/>
    <col min="20" max="20" width="11.28515625" bestFit="1" customWidth="1"/>
    <col min="21" max="21" width="20.85546875" bestFit="1" customWidth="1"/>
    <col min="22" max="22" width="11.28515625" bestFit="1" customWidth="1"/>
    <col min="23" max="23" width="6.140625" bestFit="1" customWidth="1"/>
    <col min="24" max="24" width="22.85546875" bestFit="1" customWidth="1"/>
    <col min="25" max="25" width="14.140625" bestFit="1" customWidth="1"/>
    <col min="26" max="26" width="8.42578125" bestFit="1" customWidth="1"/>
    <col min="27" max="27" width="5.5703125" bestFit="1" customWidth="1"/>
    <col min="28" max="28" width="13.85546875" bestFit="1" customWidth="1"/>
    <col min="29" max="29" width="16.5703125" bestFit="1" customWidth="1"/>
    <col min="30" max="30" width="11.85546875" bestFit="1" customWidth="1"/>
    <col min="32" max="32" width="14.7109375" bestFit="1" customWidth="1"/>
    <col min="33" max="33" width="15.140625" bestFit="1" customWidth="1"/>
    <col min="34" max="34" width="14.85546875" bestFit="1" customWidth="1"/>
    <col min="35" max="35" width="13.5703125" bestFit="1" customWidth="1"/>
    <col min="36" max="36" width="7.140625" bestFit="1" customWidth="1"/>
    <col min="37" max="37" width="10" bestFit="1" customWidth="1"/>
    <col min="38" max="38" width="12.140625" bestFit="1" customWidth="1"/>
    <col min="39" max="39" width="10" bestFit="1" customWidth="1"/>
    <col min="40" max="40" width="9.28515625" bestFit="1" customWidth="1"/>
    <col min="41" max="41" width="11.28515625" bestFit="1" customWidth="1"/>
    <col min="42" max="42" width="10.28515625" bestFit="1" customWidth="1"/>
    <col min="43" max="43" width="15.140625" bestFit="1" customWidth="1"/>
    <col min="44" max="44" width="9.85546875" bestFit="1" customWidth="1"/>
    <col min="45" max="45" width="9.5703125" bestFit="1" customWidth="1"/>
    <col min="46" max="46" width="15.5703125" bestFit="1" customWidth="1"/>
    <col min="47" max="47" width="18" bestFit="1" customWidth="1"/>
    <col min="48" max="48" width="9.85546875" bestFit="1" customWidth="1"/>
    <col min="49" max="49" width="21.42578125" bestFit="1" customWidth="1"/>
    <col min="50" max="50" width="16.7109375" bestFit="1" customWidth="1"/>
    <col min="51" max="51" width="6.42578125" bestFit="1" customWidth="1"/>
    <col min="52" max="52" width="13.28515625" bestFit="1" customWidth="1"/>
    <col min="53" max="53" width="7" bestFit="1" customWidth="1"/>
    <col min="54" max="54" width="11.5703125" bestFit="1" customWidth="1"/>
    <col min="55" max="55" width="23.42578125" bestFit="1" customWidth="1"/>
    <col min="56" max="56" width="11.85546875" bestFit="1" customWidth="1"/>
  </cols>
  <sheetData>
    <row r="1" spans="1:56" x14ac:dyDescent="0.25">
      <c r="B1" t="s">
        <v>150</v>
      </c>
      <c r="C1" t="s">
        <v>4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32</v>
      </c>
      <c r="J1" t="s">
        <v>156</v>
      </c>
      <c r="K1" t="s">
        <v>157</v>
      </c>
      <c r="L1" t="s">
        <v>20</v>
      </c>
      <c r="M1" t="s">
        <v>158</v>
      </c>
      <c r="N1" t="s">
        <v>159</v>
      </c>
      <c r="O1" t="s">
        <v>160</v>
      </c>
      <c r="P1" t="s">
        <v>161</v>
      </c>
      <c r="Q1" t="s">
        <v>1</v>
      </c>
      <c r="R1" t="s">
        <v>162</v>
      </c>
      <c r="S1" t="s">
        <v>163</v>
      </c>
      <c r="T1" t="s">
        <v>164</v>
      </c>
      <c r="U1" t="s">
        <v>165</v>
      </c>
      <c r="V1" t="s">
        <v>166</v>
      </c>
      <c r="W1" t="s">
        <v>167</v>
      </c>
      <c r="X1" t="s">
        <v>168</v>
      </c>
      <c r="Y1" t="s">
        <v>8</v>
      </c>
      <c r="Z1" t="s">
        <v>169</v>
      </c>
      <c r="AA1" t="s">
        <v>5</v>
      </c>
      <c r="AB1" t="s">
        <v>170</v>
      </c>
      <c r="AC1" t="s">
        <v>171</v>
      </c>
      <c r="AD1" t="s">
        <v>7</v>
      </c>
      <c r="AE1" t="s">
        <v>172</v>
      </c>
      <c r="AF1" t="s">
        <v>173</v>
      </c>
      <c r="AG1" t="s">
        <v>174</v>
      </c>
      <c r="AH1" t="s">
        <v>175</v>
      </c>
      <c r="AI1" t="s">
        <v>176</v>
      </c>
      <c r="AJ1" t="s">
        <v>177</v>
      </c>
      <c r="AK1" t="s">
        <v>178</v>
      </c>
      <c r="AL1" t="s">
        <v>179</v>
      </c>
      <c r="AM1" t="s">
        <v>180</v>
      </c>
      <c r="AN1" t="s">
        <v>181</v>
      </c>
      <c r="AO1" t="s">
        <v>182</v>
      </c>
      <c r="AP1" t="s">
        <v>183</v>
      </c>
      <c r="AQ1" t="s">
        <v>184</v>
      </c>
      <c r="AR1" t="s">
        <v>185</v>
      </c>
      <c r="AS1" t="s">
        <v>186</v>
      </c>
      <c r="AT1" t="s">
        <v>187</v>
      </c>
      <c r="AU1" t="s">
        <v>188</v>
      </c>
      <c r="AV1" t="s">
        <v>189</v>
      </c>
      <c r="AW1" t="s">
        <v>190</v>
      </c>
      <c r="AX1" t="s">
        <v>191</v>
      </c>
      <c r="AY1" t="s">
        <v>192</v>
      </c>
      <c r="AZ1" t="s">
        <v>193</v>
      </c>
      <c r="BA1" t="s">
        <v>194</v>
      </c>
      <c r="BB1" t="s">
        <v>195</v>
      </c>
      <c r="BC1" t="s">
        <v>196</v>
      </c>
      <c r="BD1" t="s">
        <v>197</v>
      </c>
    </row>
    <row r="2" spans="1:56" x14ac:dyDescent="0.2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2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2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2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2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2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2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2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2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Schroder Global Multi-Asset Moderately Cautious Portfolio</v>
      </c>
      <c r="C35" s="5"/>
      <c r="D35" s="5"/>
    </row>
    <row r="36" spans="1:27" x14ac:dyDescent="0.25">
      <c r="A36" t="str">
        <f>IF(Input!A37="","",Input!A37)</f>
        <v>Schroder Schroder Global Multi-Asset Balanced Portfolio</v>
      </c>
      <c r="C36" s="5"/>
      <c r="D36" s="5"/>
    </row>
    <row r="37" spans="1:27" x14ac:dyDescent="0.25">
      <c r="A37" t="str">
        <f>IF(Input!A38="","",Input!A38)</f>
        <v>Schroder Global Multi-Asset Growth Portfolio</v>
      </c>
      <c r="C37" s="5"/>
      <c r="D37" s="5"/>
    </row>
    <row r="38" spans="1:27" x14ac:dyDescent="0.25">
      <c r="A38" t="str">
        <f>IF(Input!A39="","",Input!A39)</f>
        <v>Schroder Global Multi-Asset Adventurous Portfolio</v>
      </c>
      <c r="C38" s="5"/>
      <c r="D38" s="5"/>
    </row>
    <row r="39" spans="1:27" x14ac:dyDescent="0.25">
      <c r="A39" t="str">
        <f>IF(Input!A40="","",Input!A40)</f>
        <v/>
      </c>
      <c r="C39" s="5"/>
      <c r="D39" s="5"/>
    </row>
    <row r="40" spans="1:27" x14ac:dyDescent="0.25">
      <c r="A40" t="str">
        <f>IF(Input!A41="","",Input!A41)</f>
        <v/>
      </c>
      <c r="C40" s="5"/>
      <c r="D40" s="5"/>
    </row>
    <row r="41" spans="1:27" x14ac:dyDescent="0.25">
      <c r="A41" t="str">
        <f>IF(Input!A42="","",Input!A42)</f>
        <v/>
      </c>
      <c r="C41" s="5"/>
      <c r="D41" s="5"/>
    </row>
    <row r="42" spans="1:27" x14ac:dyDescent="0.25">
      <c r="A42" t="str">
        <f>IF(Input!A43="","",Input!A43)</f>
        <v/>
      </c>
      <c r="C42" s="5"/>
      <c r="D42" s="5"/>
    </row>
    <row r="43" spans="1:27" x14ac:dyDescent="0.25">
      <c r="A43" t="str">
        <f>IF(Input!A44="","",Input!A44)</f>
        <v/>
      </c>
      <c r="C43" s="5"/>
      <c r="D43" s="5"/>
    </row>
    <row r="44" spans="1:27" x14ac:dyDescent="0.25">
      <c r="A44" t="str">
        <f>IF(Input!A45="","",Input!A45)</f>
        <v/>
      </c>
      <c r="C44" s="5"/>
      <c r="D44" s="5"/>
    </row>
    <row r="45" spans="1:27" x14ac:dyDescent="0.25">
      <c r="A45" t="str">
        <f>IF(Input!A46="","",Input!A46)</f>
        <v/>
      </c>
      <c r="C45" s="5"/>
      <c r="D45" s="5"/>
    </row>
    <row r="46" spans="1:27" x14ac:dyDescent="0.25">
      <c r="A46" t="str">
        <f>IF(Input!A47="","",Input!A47)</f>
        <v/>
      </c>
      <c r="C46" s="5"/>
      <c r="D46" s="5"/>
    </row>
    <row r="47" spans="1:27" x14ac:dyDescent="0.25">
      <c r="A47" t="str">
        <f>IF(Input!A48="","",Input!A48)</f>
        <v/>
      </c>
      <c r="C47" s="5"/>
      <c r="D47" s="5"/>
    </row>
    <row r="48" spans="1:27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A4" zoomScale="85" zoomScaleNormal="85" workbookViewId="0">
      <selection activeCell="B41" sqref="B41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1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42</v>
      </c>
      <c r="C2" t="s">
        <v>43</v>
      </c>
      <c r="D2" s="8" t="s">
        <v>44</v>
      </c>
    </row>
    <row r="3" spans="1:5" x14ac:dyDescent="0.25">
      <c r="A3" t="str">
        <f>IF(Input!A4="","",Input!A4)</f>
        <v>Schroder Active Portfolio 3</v>
      </c>
      <c r="B3" t="s">
        <v>45</v>
      </c>
      <c r="C3" t="s">
        <v>43</v>
      </c>
      <c r="D3" s="8" t="s">
        <v>46</v>
      </c>
    </row>
    <row r="4" spans="1:5" x14ac:dyDescent="0.25">
      <c r="A4" t="str">
        <f>IF(Input!A5="","",Input!A5)</f>
        <v>Schroder Active Portfolio 4</v>
      </c>
      <c r="B4" t="s">
        <v>47</v>
      </c>
      <c r="C4" t="s">
        <v>43</v>
      </c>
      <c r="D4" s="8" t="s">
        <v>48</v>
      </c>
    </row>
    <row r="5" spans="1:5" x14ac:dyDescent="0.25">
      <c r="A5" t="str">
        <f>IF(Input!A6="","",Input!A6)</f>
        <v>Schroder Active Portfolio 5</v>
      </c>
      <c r="B5" t="s">
        <v>49</v>
      </c>
      <c r="C5" t="s">
        <v>43</v>
      </c>
      <c r="D5" s="8" t="s">
        <v>50</v>
      </c>
    </row>
    <row r="6" spans="1:5" x14ac:dyDescent="0.25">
      <c r="A6" t="str">
        <f>IF(Input!A7="","",Input!A7)</f>
        <v>Schroder Active Portfolio 6</v>
      </c>
      <c r="B6" t="s">
        <v>51</v>
      </c>
      <c r="C6" t="s">
        <v>43</v>
      </c>
      <c r="D6" s="8" t="s">
        <v>52</v>
      </c>
    </row>
    <row r="7" spans="1:5" x14ac:dyDescent="0.25">
      <c r="A7" t="str">
        <f>IF(Input!A8="","",Input!A8)</f>
        <v>Schroder Active Portfolio 7</v>
      </c>
      <c r="B7" t="s">
        <v>53</v>
      </c>
      <c r="C7" t="s">
        <v>43</v>
      </c>
      <c r="D7" s="8" t="s">
        <v>54</v>
      </c>
    </row>
    <row r="8" spans="1:5" x14ac:dyDescent="0.25">
      <c r="A8" t="str">
        <f>IF(Input!A9="","",Input!A9)</f>
        <v>Schroder Active Portfolio 8</v>
      </c>
      <c r="B8" t="s">
        <v>55</v>
      </c>
      <c r="C8" t="s">
        <v>43</v>
      </c>
      <c r="D8" s="8" t="s">
        <v>56</v>
      </c>
    </row>
    <row r="9" spans="1:5" x14ac:dyDescent="0.25">
      <c r="A9" t="str">
        <f>IF(Input!A10="","",Input!A10)</f>
        <v>Schroder Active Portfolio 9</v>
      </c>
      <c r="B9" t="s">
        <v>57</v>
      </c>
      <c r="C9" t="s">
        <v>43</v>
      </c>
      <c r="D9" s="8" t="s">
        <v>58</v>
      </c>
    </row>
    <row r="10" spans="1:5" x14ac:dyDescent="0.25">
      <c r="A10" t="str">
        <f>IF(Input!A11="","",Input!A11)</f>
        <v>Schroder Active Portfolio 10</v>
      </c>
      <c r="B10" t="s">
        <v>59</v>
      </c>
      <c r="C10" t="s">
        <v>43</v>
      </c>
      <c r="D10" s="8" t="s">
        <v>60</v>
      </c>
    </row>
    <row r="11" spans="1:5" x14ac:dyDescent="0.25">
      <c r="A11" t="str">
        <f>IF(Input!A12="","",Input!A12)</f>
        <v>Schroder Strategic Index Portfolio 2</v>
      </c>
      <c r="B11" t="s">
        <v>70</v>
      </c>
      <c r="C11" t="s">
        <v>43</v>
      </c>
      <c r="D11" s="8" t="s">
        <v>71</v>
      </c>
    </row>
    <row r="12" spans="1:5" x14ac:dyDescent="0.25">
      <c r="A12" t="str">
        <f>IF(Input!A13="","",Input!A13)</f>
        <v>Schroder Strategic Index Portfolio 3</v>
      </c>
      <c r="B12" t="s">
        <v>72</v>
      </c>
      <c r="C12" t="s">
        <v>43</v>
      </c>
      <c r="D12" s="8" t="s">
        <v>73</v>
      </c>
    </row>
    <row r="13" spans="1:5" x14ac:dyDescent="0.25">
      <c r="A13" t="str">
        <f>IF(Input!A14="","",Input!A14)</f>
        <v>Schroder Strategic Index Portfolio 4</v>
      </c>
      <c r="B13" t="s">
        <v>74</v>
      </c>
      <c r="C13" t="s">
        <v>43</v>
      </c>
      <c r="D13" s="8" t="s">
        <v>75</v>
      </c>
    </row>
    <row r="14" spans="1:5" x14ac:dyDescent="0.25">
      <c r="A14" t="str">
        <f>IF(Input!A15="","",Input!A15)</f>
        <v>Schroder Strategic Index Portfolio 5</v>
      </c>
      <c r="B14" t="s">
        <v>76</v>
      </c>
      <c r="C14" t="s">
        <v>43</v>
      </c>
      <c r="D14" s="8" t="s">
        <v>77</v>
      </c>
    </row>
    <row r="15" spans="1:5" x14ac:dyDescent="0.25">
      <c r="A15" t="str">
        <f>IF(Input!A16="","",Input!A16)</f>
        <v>Schroder Strategic Index Portfolio 6</v>
      </c>
      <c r="B15" t="s">
        <v>78</v>
      </c>
      <c r="C15" t="s">
        <v>43</v>
      </c>
      <c r="D15" s="8" t="s">
        <v>79</v>
      </c>
    </row>
    <row r="16" spans="1:5" x14ac:dyDescent="0.25">
      <c r="A16" t="str">
        <f>IF(Input!A17="","",Input!A17)</f>
        <v>Schroder Strategic Index Portfolio 7</v>
      </c>
      <c r="B16" t="s">
        <v>80</v>
      </c>
      <c r="C16" t="s">
        <v>43</v>
      </c>
      <c r="D16" s="8" t="s">
        <v>81</v>
      </c>
    </row>
    <row r="17" spans="1:4" x14ac:dyDescent="0.25">
      <c r="A17" t="str">
        <f>IF(Input!A18="","",Input!A18)</f>
        <v>Schroder Strategic Index Portfolio 8</v>
      </c>
      <c r="B17" t="s">
        <v>82</v>
      </c>
      <c r="C17" t="s">
        <v>43</v>
      </c>
      <c r="D17" s="8" t="s">
        <v>83</v>
      </c>
    </row>
    <row r="18" spans="1:4" x14ac:dyDescent="0.25">
      <c r="A18" t="str">
        <f>IF(Input!A19="","",Input!A19)</f>
        <v>Schroder Strategic Index Portfolio 9</v>
      </c>
      <c r="B18" t="s">
        <v>84</v>
      </c>
      <c r="C18" t="s">
        <v>43</v>
      </c>
      <c r="D18" s="8" t="s">
        <v>85</v>
      </c>
    </row>
    <row r="19" spans="1:4" x14ac:dyDescent="0.25">
      <c r="A19" t="str">
        <f>IF(Input!A20="","",Input!A20)</f>
        <v>Schroder Strategic Index Portfolio 10</v>
      </c>
      <c r="B19" t="s">
        <v>86</v>
      </c>
      <c r="C19" t="s">
        <v>43</v>
      </c>
      <c r="D19" s="8" t="s">
        <v>87</v>
      </c>
    </row>
    <row r="20" spans="1:4" x14ac:dyDescent="0.25">
      <c r="A20" t="str">
        <f>IF(Input!A21="","",Input!A21)</f>
        <v>Schroder Sustainable Portfolio 3</v>
      </c>
      <c r="B20" t="s">
        <v>94</v>
      </c>
      <c r="C20" t="s">
        <v>43</v>
      </c>
      <c r="D20" s="8" t="s">
        <v>95</v>
      </c>
    </row>
    <row r="21" spans="1:4" x14ac:dyDescent="0.25">
      <c r="A21" t="str">
        <f>IF(Input!A22="","",Input!A22)</f>
        <v>Schroder Sustainable Portfolio 4</v>
      </c>
      <c r="B21" t="s">
        <v>96</v>
      </c>
      <c r="C21" t="s">
        <v>43</v>
      </c>
      <c r="D21" s="8" t="s">
        <v>97</v>
      </c>
    </row>
    <row r="22" spans="1:4" x14ac:dyDescent="0.25">
      <c r="A22" t="str">
        <f>IF(Input!A23="","",Input!A23)</f>
        <v>Schroder Sustainable Portfolio 5</v>
      </c>
      <c r="B22" s="4" t="s">
        <v>198</v>
      </c>
      <c r="C22" t="s">
        <v>43</v>
      </c>
      <c r="D22" s="8" t="s">
        <v>98</v>
      </c>
    </row>
    <row r="23" spans="1:4" x14ac:dyDescent="0.25">
      <c r="A23" t="str">
        <f>IF(Input!A24="","",Input!A24)</f>
        <v>Schroder Sustainable Portfolio 6</v>
      </c>
      <c r="B23" t="s">
        <v>99</v>
      </c>
      <c r="C23" t="s">
        <v>43</v>
      </c>
      <c r="D23" s="8" t="s">
        <v>100</v>
      </c>
    </row>
    <row r="24" spans="1:4" x14ac:dyDescent="0.25">
      <c r="A24" t="str">
        <f>IF(Input!A25="","",Input!A25)</f>
        <v>Schroder Sustainable Portfolio 7</v>
      </c>
      <c r="B24" t="s">
        <v>101</v>
      </c>
      <c r="C24" t="s">
        <v>43</v>
      </c>
      <c r="D24" s="8" t="s">
        <v>102</v>
      </c>
    </row>
    <row r="25" spans="1:4" x14ac:dyDescent="0.25">
      <c r="A25" t="str">
        <f>IF(Input!A26="","",Input!A26)</f>
        <v>Schroder Sustainable Portfolio 8</v>
      </c>
      <c r="B25" t="s">
        <v>103</v>
      </c>
      <c r="C25" t="s">
        <v>43</v>
      </c>
      <c r="D25" s="8" t="s">
        <v>104</v>
      </c>
    </row>
    <row r="26" spans="1:4" x14ac:dyDescent="0.25">
      <c r="A26" t="str">
        <f>IF(Input!A27="","",Input!A27)</f>
        <v>Schroder Blended Portfolio 3</v>
      </c>
      <c r="B26" t="s">
        <v>111</v>
      </c>
      <c r="C26" t="s">
        <v>43</v>
      </c>
      <c r="D26" s="8" t="s">
        <v>112</v>
      </c>
    </row>
    <row r="27" spans="1:4" x14ac:dyDescent="0.25">
      <c r="A27" t="str">
        <f>IF(Input!A28="","",Input!A28)</f>
        <v>Schroder Blended Portfolio 4</v>
      </c>
      <c r="B27" t="s">
        <v>113</v>
      </c>
      <c r="C27" t="s">
        <v>43</v>
      </c>
      <c r="D27" s="8" t="s">
        <v>114</v>
      </c>
    </row>
    <row r="28" spans="1:4" x14ac:dyDescent="0.25">
      <c r="A28" t="str">
        <f>IF(Input!A29="","",Input!A29)</f>
        <v>Schroder Blended Portfolio 5</v>
      </c>
      <c r="B28" t="s">
        <v>115</v>
      </c>
      <c r="C28" t="s">
        <v>43</v>
      </c>
      <c r="D28" s="8" t="s">
        <v>116</v>
      </c>
    </row>
    <row r="29" spans="1:4" x14ac:dyDescent="0.25">
      <c r="A29" t="str">
        <f>IF(Input!A30="","",Input!A30)</f>
        <v>Schroder Blended Portfolio 6</v>
      </c>
      <c r="B29" t="s">
        <v>117</v>
      </c>
      <c r="C29" t="s">
        <v>43</v>
      </c>
      <c r="D29" s="8" t="s">
        <v>118</v>
      </c>
    </row>
    <row r="30" spans="1:4" x14ac:dyDescent="0.25">
      <c r="A30" t="str">
        <f>IF(Input!A31="","",Input!A31)</f>
        <v>Schroder Blended Portfolio 7</v>
      </c>
      <c r="B30" t="s">
        <v>119</v>
      </c>
      <c r="C30" t="s">
        <v>43</v>
      </c>
      <c r="D30" s="8" t="s">
        <v>120</v>
      </c>
    </row>
    <row r="31" spans="1:4" x14ac:dyDescent="0.25">
      <c r="A31" t="str">
        <f>IF(Input!A32="","",Input!A32)</f>
        <v>Schroder Blended Portfolio 8</v>
      </c>
      <c r="B31" t="s">
        <v>121</v>
      </c>
      <c r="C31" t="s">
        <v>43</v>
      </c>
      <c r="D31" s="8" t="s">
        <v>122</v>
      </c>
    </row>
    <row r="32" spans="1:4" x14ac:dyDescent="0.25">
      <c r="A32" t="str">
        <f>IF(Input!A33="","",Input!A33)</f>
        <v>Schroder Income Portfolio</v>
      </c>
      <c r="B32" t="s">
        <v>124</v>
      </c>
      <c r="C32" t="s">
        <v>125</v>
      </c>
      <c r="D32" s="8" t="s">
        <v>126</v>
      </c>
    </row>
    <row r="33" spans="1:4" x14ac:dyDescent="0.25">
      <c r="A33" t="str">
        <f>IF(Input!A34="","",Input!A34)</f>
        <v>Schroder Managed Defensive Fund</v>
      </c>
      <c r="B33" t="s">
        <v>128</v>
      </c>
      <c r="C33" t="s">
        <v>43</v>
      </c>
      <c r="D33" s="8" t="s">
        <v>129</v>
      </c>
    </row>
    <row r="34" spans="1:4" x14ac:dyDescent="0.25">
      <c r="A34" t="str">
        <f>IF(Input!A35="","",Input!A35)</f>
        <v>Schroder Global Multi-Asset Cautious Portfolio</v>
      </c>
      <c r="B34" t="s">
        <v>131</v>
      </c>
      <c r="C34" t="s">
        <v>43</v>
      </c>
      <c r="D34" s="8" t="s">
        <v>132</v>
      </c>
    </row>
    <row r="35" spans="1:4" x14ac:dyDescent="0.25">
      <c r="A35" t="str">
        <f>IF(Input!A36="","",Input!A36)</f>
        <v>Schroder Global Multi-Asset Moderately Cautious Portfolio</v>
      </c>
      <c r="B35" t="s">
        <v>134</v>
      </c>
      <c r="C35" t="s">
        <v>43</v>
      </c>
      <c r="D35" s="8" t="s">
        <v>135</v>
      </c>
    </row>
    <row r="36" spans="1:4" x14ac:dyDescent="0.25">
      <c r="A36" t="str">
        <f>IF(Input!A37="","",Input!A37)</f>
        <v>Schroder Schroder Global Multi-Asset Balanced Portfolio</v>
      </c>
      <c r="B36" t="s">
        <v>137</v>
      </c>
      <c r="C36" t="s">
        <v>43</v>
      </c>
      <c r="D36" s="8" t="s">
        <v>138</v>
      </c>
    </row>
    <row r="37" spans="1:4" x14ac:dyDescent="0.25">
      <c r="A37" t="str">
        <f>IF(Input!A38="","",Input!A38)</f>
        <v>Schroder Global Multi-Asset Growth Portfolio</v>
      </c>
      <c r="B37" t="s">
        <v>140</v>
      </c>
      <c r="C37" t="s">
        <v>43</v>
      </c>
      <c r="D37" s="8" t="s">
        <v>141</v>
      </c>
    </row>
    <row r="38" spans="1:4" x14ac:dyDescent="0.25">
      <c r="A38" t="str">
        <f>IF(Input!A39="","",Input!A39)</f>
        <v>Schroder Global Multi-Asset Adventurous Portfolio</v>
      </c>
      <c r="B38" t="s">
        <v>143</v>
      </c>
      <c r="C38" t="s">
        <v>43</v>
      </c>
      <c r="D38" s="8" t="s">
        <v>144</v>
      </c>
    </row>
    <row r="39" spans="1:4" x14ac:dyDescent="0.25">
      <c r="A39" t="s">
        <v>142</v>
      </c>
      <c r="B39" t="s">
        <v>143</v>
      </c>
      <c r="C39" t="s">
        <v>43</v>
      </c>
      <c r="D39" s="8" t="s">
        <v>144</v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2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2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2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2023-08-28T11:59:47Z</dcterms:modified>
</cp:coreProperties>
</file>