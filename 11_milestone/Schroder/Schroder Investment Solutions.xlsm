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Scraping\milestone 11-13\Schroder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1" l="1"/>
  <c r="B36" i="1"/>
  <c r="B37" i="1"/>
  <c r="B38" i="1"/>
  <c r="B39" i="1"/>
  <c r="A38" i="35"/>
  <c r="A37" i="35"/>
  <c r="B28" i="1"/>
  <c r="B29" i="1"/>
  <c r="B30" i="1"/>
  <c r="B31" i="1"/>
  <c r="B32" i="1"/>
  <c r="B33" i="1"/>
  <c r="B34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8" i="1"/>
  <c r="B9" i="1"/>
  <c r="B10" i="1"/>
  <c r="B11" i="1"/>
  <c r="B12" i="1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2" i="35"/>
  <c r="B4" i="1"/>
  <c r="B5" i="1"/>
  <c r="B6" i="1"/>
  <c r="B7" i="1"/>
  <c r="B3" i="1"/>
  <c r="A49" i="35"/>
  <c r="A48" i="35"/>
  <c r="A47" i="35"/>
  <c r="A46" i="35"/>
  <c r="A45" i="35"/>
  <c r="A44" i="35"/>
  <c r="A43" i="35"/>
  <c r="A42" i="35"/>
  <c r="A41" i="35"/>
  <c r="A40" i="35"/>
  <c r="A39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5" i="7" l="1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H32" i="8" s="1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H38" i="8" s="1"/>
  <c r="B38" i="4"/>
  <c r="F15" i="4"/>
  <c r="B15" i="4"/>
  <c r="C15" i="4"/>
  <c r="H15" i="8" s="1"/>
  <c r="D15" i="4"/>
  <c r="E15" i="4"/>
  <c r="G15" i="4"/>
  <c r="F31" i="4"/>
  <c r="B31" i="4"/>
  <c r="C31" i="4"/>
  <c r="H31" i="8" s="1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H33" i="8" s="1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H34" i="8" s="1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H35" i="8" s="1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H30" i="8" s="1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H36" i="8" s="1"/>
  <c r="F36" i="4"/>
  <c r="D36" i="4"/>
  <c r="E36" i="4"/>
  <c r="G44" i="4"/>
  <c r="B44" i="4"/>
  <c r="C44" i="4"/>
  <c r="F44" i="4"/>
  <c r="D44" i="4"/>
  <c r="E44" i="4"/>
  <c r="F37" i="4"/>
  <c r="B37" i="4"/>
  <c r="C37" i="4"/>
  <c r="H37" i="8" s="1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B1" i="36" a="1"/>
  <c r="B1" i="36" s="1"/>
  <c r="H46" i="4"/>
  <c r="H45" i="4"/>
  <c r="H40" i="4"/>
  <c r="H48" i="4"/>
  <c r="H41" i="4"/>
  <c r="H49" i="4"/>
  <c r="H3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5" i="4" l="1"/>
  <c r="H38" i="4"/>
  <c r="H37" i="4"/>
  <c r="H36" i="4"/>
  <c r="H33" i="4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<sst xmlns="http://schemas.openxmlformats.org/spreadsheetml/2006/main" count="240" uniqueCount="191">
  <si>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</si>
  <si>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</si>
  <si>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</si>
  <si>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</si>
  <si>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</si>
  <si>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</si>
  <si>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</si>
  <si>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</si>
  <si>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</si>
  <si>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</si>
  <si>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</si>
  <si>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</si>
  <si>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</si>
  <si>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</si>
  <si>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</si>
  <si>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</si>
  <si>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</si>
  <si>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</si>
  <si>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</si>
  <si>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</si>
  <si>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</si>
  <si>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</si>
  <si>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</si>
  <si>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</si>
  <si>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</si>
  <si>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</si>
  <si>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</si>
  <si>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</si>
  <si>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</si>
  <si>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</si>
  <si>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</si>
  <si>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</si>
  <si>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Liquid Assets</t>
  </si>
  <si>
    <t>Schroder Active Portfolio 2</t>
  </si>
  <si>
    <t>Schroder Active Portfolio 3</t>
  </si>
  <si>
    <t>Schroder Active Portfolio 4</t>
  </si>
  <si>
    <t>Schroder Active Portfolio 5</t>
  </si>
  <si>
    <t>Schroder Active Portfolio 6</t>
  </si>
  <si>
    <t>Schroder Active Portfolio 7</t>
  </si>
  <si>
    <t>Schroder Active Portfolio 8</t>
  </si>
  <si>
    <t>Schroder Active Portfolio 9</t>
  </si>
  <si>
    <t>Schroder Active Portfolio 10</t>
  </si>
  <si>
    <t>https://www.schroders.com/en-gb/uk/intermediary/investment-solutions/fund-centre/#/fund/SCHDR_F000016P9I/schroder-active-portfolio-2/-/profile/</t>
  </si>
  <si>
    <t>https://www.schroders.com/en-gb/uk/intermediary/investment-solutions/fund-centre/#/fund/SCHDR_F000016OTO/schroder-active-portfolio-3/-/profile/</t>
  </si>
  <si>
    <t>https://www.schroders.com/en-gb/uk/intermediary/investment-solutions/fund-centre/#/fund/SCHDR_F000016OKW/schroder-active-portfolio-4/-/profile/</t>
  </si>
  <si>
    <t>https://www.schroders.com/en-gb/uk/intermediary/investment-solutions/fund-centre/#/fund/SCHDR_F000015KUF/schroder-active-portfolio-5/-/profile/</t>
  </si>
  <si>
    <t>https://www.schroders.com/en-gb/uk/intermediary/investment-solutions/fund-centre/#/fund/SCHDR_F000016P9J/schroder-active-portfolio-6/-/profile/</t>
  </si>
  <si>
    <t>https://www.schroders.com/en-gb/uk/intermediary/investment-solutions/fund-centre/#/fund/SCHDR_F000016P9K/schroder-active-portfolio-7/-/profile/</t>
  </si>
  <si>
    <t>https://www.schroders.com/en-gb/uk/intermediary/investment-solutions/fund-centre/#/fund/SCHDR_F000016P9L/schroder-active-portfolio-8/-/profile/</t>
  </si>
  <si>
    <t>https://www.schroders.com/en-gb/uk/intermediary/investment-solutions/fund-centre/#/fund/SCHDR_F000016P9M/schroder-active-portfolio-9/-/profile/</t>
  </si>
  <si>
    <t>https://www.schroders.com/en-gb/uk/intermediary/investment-solutions/fund-centre/#/fund/SCHDR_F000016P9N/schroder-active-portfolio-10/-/profile/</t>
  </si>
  <si>
    <t>Schroder Strategic Index Portfolio 2</t>
  </si>
  <si>
    <t>Schroder Strategic Index Portfolio 3</t>
  </si>
  <si>
    <t>Schroder Strategic Index Portfolio 4</t>
  </si>
  <si>
    <t>Schroder Strategic Index Portfolio 5</t>
  </si>
  <si>
    <t>Schroder Strategic Index Portfolio 6</t>
  </si>
  <si>
    <t>Schroder Strategic Index Portfolio 7</t>
  </si>
  <si>
    <t>Schroder Strategic Index Portfolio 8</t>
  </si>
  <si>
    <t>Schroder Strategic Index Portfolio 9</t>
  </si>
  <si>
    <t>Schroder Strategic Index Portfolio 10</t>
  </si>
  <si>
    <t>https://www.schroders.com/en-gb/uk/intermediary/investment-solutions/fund-centre/#/fund/SCHDR_F000016PA4/schroder-strategic-index-portfolio-2/-/profile/</t>
  </si>
  <si>
    <t>https://www.schroders.com/en-gb/uk/intermediary/investment-solutions/fund-centre/#/fund/SCHDR_F000016PA6/schroder-strategic-index-portfolio-3/-/profile/</t>
  </si>
  <si>
    <t>https://www.schroders.com/en-gb/uk/intermediary/investment-solutions/fund-centre/#/fund/SCHDR_F000016PA9/schroder-strategic-index-portfolio-4/-/profile/</t>
  </si>
  <si>
    <t>https://www.schroders.com/en-gb/uk/intermediary/investment-solutions/fund-centre/#/fund/SCHDR_F000016PAA/schroder-strategic-index-portfolio-5/-/profile/</t>
  </si>
  <si>
    <t>https://www.schroders.com/en-gb/uk/intermediary/investment-solutions/fund-centre/#/fund/SCHDR_F000016PAC/schroder-strategic-index-portfolio-6/-/profile/</t>
  </si>
  <si>
    <t>https://www.schroders.com/en-gb/uk/intermediary/investment-solutions/fund-centre/#/fund/SCHDR_F000016PAD/schroder-strategic-index-portfolio-7/-/profile/</t>
  </si>
  <si>
    <t>https://www.schroders.com/en-gb/uk/intermediary/investment-solutions/fund-centre/#/fund/SCHDR_F000016PAE/schroder-strategic-index-portfolio-8/-/profile/</t>
  </si>
  <si>
    <t>https://www.schroders.com/en-gb/uk/intermediary/investment-solutions/fund-centre/#/fund/SCHDR_F000016PAF/schroder-strategic-index-portfolio-9/-/profile/</t>
  </si>
  <si>
    <t>https://www.schroders.com/en-gb/uk/intermediary/investment-solutions/fund-centre/#/fund/SCHDR_F000016PAH/schroder-strategic-index-portfolio-10/-/profile/</t>
  </si>
  <si>
    <t>Schroder Sustainable Portfolio 3</t>
  </si>
  <si>
    <t>Schroder Sustainable Portfolio 4</t>
  </si>
  <si>
    <t>Schroder Sustainable Portfolio 5</t>
  </si>
  <si>
    <t>Schroder Sustainable Portfolio 6</t>
  </si>
  <si>
    <t>Schroder Sustainable Portfolio 7</t>
  </si>
  <si>
    <t>Schroder Sustainable Portfolio 8</t>
  </si>
  <si>
    <t>https://www.schroders.com/en-gb/uk/intermediary/investment-solutions/fund-centre/#/fund/SCHDR_F000016P3F/schroder-sustainable-portfolio-3/-/profile/</t>
  </si>
  <si>
    <t>https://www.schroders.com/en-gb/uk/intermediary/investment-solutions/fund-centre/#/fund/SCHDR_F000016P39/schroder-sustainable-portfolio-4/-/profile/</t>
  </si>
  <si>
    <t>https://www.schroders.com/en-gb/uk/intermediary/investment-solutions/fund-centre/#/fund/SCHDR_F000016P3B/schroder-sustainable-portfolio-6/-/profile/</t>
  </si>
  <si>
    <t>https://www.schroders.com/en-gb/uk/intermediary/investment-solutions/fund-centre/#/fund/SCHDR_F000016P38/schroder-sustainable-portfolio-7/-/profile/</t>
  </si>
  <si>
    <t>https://www.schroders.com/en-gb/uk/intermediary/investment-solutions/fund-centre/#/fund/SCHDR_F000016P3C/schroder-sustainable-portfolio-8/-/profile/</t>
  </si>
  <si>
    <t>Schroder Blended Portfolio 3</t>
  </si>
  <si>
    <t>Schroder Blended Portfolio 4</t>
  </si>
  <si>
    <t>Schroder Blended Portfolio 5</t>
  </si>
  <si>
    <t>Schroder Blended Portfolio 6</t>
  </si>
  <si>
    <t>Schroder Blended Portfolio 7</t>
  </si>
  <si>
    <t>Schroder Blended Portfolio 8</t>
  </si>
  <si>
    <t>https://www.schroders.com/en-gb/uk/intermediary/investment-solutions/fund-centre/#/fund/SCHDR_F0000150QX/schroder-blended-portfolio-3-f-acc/GB00BF77ZS12/profile/</t>
  </si>
  <si>
    <t>https://www.schroders.com/en-gb/uk/intermediary/investment-solutions/fund-centre/#/fund/SCHDR_F0000150QY/schroder-blended-portfolio-4-f-acc/GB00BF77ZT29/profile/</t>
  </si>
  <si>
    <t>https://www.schroders.com/en-gb/uk/intermediary/investment-solutions/fund-centre/#/fund/SCHDR_F0000150QZ/schroder-blended-portfolio-5-f-acc/GB00BF77ZV41/profile/</t>
  </si>
  <si>
    <t>https://www.schroders.com/en-gb/uk/intermediary/investment-solutions/fund-centre/#/fund/SCHDR_F0000150R0/schroder-blended-portfolio-6-f-acc/GB00BF77ZW57/profile/</t>
  </si>
  <si>
    <t>https://www.schroders.com/en-gb/uk/intermediary/investment-solutions/fund-centre/#/fund/SCHDR_F0000150R1/schroder-blended-portfolio-7-f-acc/GB00BF77ZX64/profile/</t>
  </si>
  <si>
    <t>https://www.schroders.com/en-gb/uk/intermediary/investment-solutions/fund-centre/#/fund/SCHDR_F0000150R2/schroder-blended-portfolio-8-f-acc/GB00BF77ZY71/profile/</t>
  </si>
  <si>
    <t>Schroder Income Portfolio</t>
  </si>
  <si>
    <t>https://www.schroders.com/en-gb/uk/intermediary/investment-solutions/income-portfolio/</t>
  </si>
  <si>
    <t>Schroder Managed Defensive Fund</t>
  </si>
  <si>
    <t>https://www.schroders.com/en-gb/uk/intermediary/investment-solutions/managed-defensive-fund/</t>
  </si>
  <si>
    <t>Schroder Global Multi-Asset Cautious Portfolio</t>
  </si>
  <si>
    <t>https://www.schroders.com/en-gb/uk/intermediary/investment-solutions/fund-centre/#/fund/SCHDR_F00000YK95/schroder-tactical-portfolio-3-f-acc/GB00BZCR4B23/profile/</t>
  </si>
  <si>
    <t>Schroder Global Multi-Asset Moderately Cautious Portfolio</t>
  </si>
  <si>
    <t>https://www.schroders.com/en-gb/uk/intermediary/investment-solutions/fund-centre/#/fund/SCHDR_F00000YK96/schroder-tactical-portfolio-4-f-acc/GB00BZCR4C30/profile/</t>
  </si>
  <si>
    <t>Schroder Schroder Global Multi-Asset Balanced Portfolio</t>
  </si>
  <si>
    <t>https://www.schroders.com/en-gb/uk/intermediary/investment-solutions/fund-centre/#/fund/SCHDR_F00000YK97/schroder-tactical-portfolio-5-f-acc/GB00BZCR4F60/profile/</t>
  </si>
  <si>
    <t>Schroder Global Multi-Asset Growth Portfolio</t>
  </si>
  <si>
    <t>https://www.schroders.com/en-gb/uk/intermediary/investment-solutions/fund-centre/#/fund/SCHDR_F00000YK98/schroder-tactical-portfolio-6-f-acc/GB00BZCR4G77/profile/</t>
  </si>
  <si>
    <t>Schroder Global Multi-Asset Adventurous Portfolio</t>
  </si>
  <si>
    <t>https://www.schroders.com/en-gb/uk/intermediary/investment-solutions/fund-centre/#/fund/SCHDR_F00000YK99/schroder-tactical-portfolio-7-f-acc/GB00BZCR4H84/profile/</t>
  </si>
  <si>
    <t>Ongoing charge</t>
  </si>
  <si>
    <t>OCF (Incl MPS Fee)</t>
  </si>
  <si>
    <t>Model portfolio fee</t>
  </si>
  <si>
    <t>1 month</t>
  </si>
  <si>
    <t>1 year</t>
  </si>
  <si>
    <t>Bond</t>
  </si>
  <si>
    <t>Stock</t>
  </si>
  <si>
    <t>Other</t>
  </si>
  <si>
    <t>Convertible</t>
  </si>
  <si>
    <t>Preferred</t>
  </si>
  <si>
    <t>Government bonds</t>
  </si>
  <si>
    <t>Alternatives</t>
  </si>
  <si>
    <t>Aggregate Bonds</t>
  </si>
  <si>
    <t>UK Equity</t>
  </si>
  <si>
    <t>Investment Grade Bonds</t>
  </si>
  <si>
    <t>USA Equity</t>
  </si>
  <si>
    <t>Property</t>
  </si>
  <si>
    <t>Emerging Market Debt Bonds</t>
  </si>
  <si>
    <t>Europe Equity</t>
  </si>
  <si>
    <t>Japan Equity</t>
  </si>
  <si>
    <t>Emerging Market Equity</t>
  </si>
  <si>
    <t>Other Equity</t>
  </si>
  <si>
    <t>Global</t>
  </si>
  <si>
    <t>Europe ex-UK/Middle East</t>
  </si>
  <si>
    <t>Americas</t>
  </si>
  <si>
    <t>Pacific ex-Japan</t>
  </si>
  <si>
    <t>Developed country</t>
  </si>
  <si>
    <t>Eurozone</t>
  </si>
  <si>
    <t>Europe - ex euro</t>
  </si>
  <si>
    <t>Emerging Market</t>
  </si>
  <si>
    <t>Asia - Developed</t>
  </si>
  <si>
    <t>Asia - Emerging</t>
  </si>
  <si>
    <t>Canada</t>
  </si>
  <si>
    <t>Australasia</t>
  </si>
  <si>
    <t>Latin America</t>
  </si>
  <si>
    <t>Derivatives</t>
  </si>
  <si>
    <t>Corporate</t>
  </si>
  <si>
    <t>Government</t>
  </si>
  <si>
    <t>Technology</t>
  </si>
  <si>
    <t>Financial services</t>
  </si>
  <si>
    <t>Healthcare</t>
  </si>
  <si>
    <t>Industrials</t>
  </si>
  <si>
    <t>Consumer cyclical</t>
  </si>
  <si>
    <t>Consumer defensive</t>
  </si>
  <si>
    <t>Real estate</t>
  </si>
  <si>
    <t>Communication Services</t>
  </si>
  <si>
    <t>Cash &amp; equivalents</t>
  </si>
  <si>
    <t>Energy</t>
  </si>
  <si>
    <t>Basic materials</t>
  </si>
  <si>
    <t>Utilities</t>
  </si>
  <si>
    <t>Hedge Funds</t>
  </si>
  <si>
    <t>Asia Pacific ex Japan Equity</t>
  </si>
  <si>
    <t>Commodities</t>
  </si>
  <si>
    <t>https://www.schroders.com/en-gb/uk/intermediary/investment-solutions/fund-centre/#/fund/SCHDR_F000016P37/schroder-sustainable-portfolio-5/-/profile/</t>
  </si>
  <si>
    <t>Income Portfolio</t>
  </si>
  <si>
    <t>Managed Defensive Fund</t>
  </si>
  <si>
    <t>https://api.schroders.com/document-store/id/07058623-8f5e-45ce-9e4b-85c7ff2cd2ff</t>
  </si>
  <si>
    <t>https://api.schroders.com/document-store/id/d403fd67-a109-49eb-90b1-458db2e6166d</t>
  </si>
  <si>
    <t>https://api.schroders.com/document-store/id/29f336b5-c5e8-4019-91f6-8d42047a0e29</t>
  </si>
  <si>
    <t>https://api.schroders.com/document-store/id/a831b089-14de-49f0-bc92-0160809a2b5f</t>
  </si>
  <si>
    <t>https://api.schroders.com/document-store/id/a5fea81f-c377-4586-b67d-c83915c0873e</t>
  </si>
  <si>
    <t>https://api.schroders.com/document-store/id/e0f19e3e-8b62-4ee7-97cb-8999c1c21480</t>
  </si>
  <si>
    <t>https://api.schroders.com/document-store/id/f606bb94-f674-4a79-9627-9cdabad112a1</t>
  </si>
  <si>
    <t>https://api.schroders.com/document-store/id/c276cc1e-9524-43e2-82f0-147db6323d02</t>
  </si>
  <si>
    <t>https://api.schroders.com/document-store/id/39f1a653-b65a-47c6-97d1-f8a351078430</t>
  </si>
  <si>
    <t>https://api.schroders.com/document-store/id/1396fbce-a5b6-481a-8f89-f9d29f1d6038</t>
  </si>
  <si>
    <t>https://api.schroders.com/document-store/id/15071999-7f12-478d-92b8-9c9c0d5c7d96</t>
  </si>
  <si>
    <t>https://api.schroders.com/document-store/id/30f3b222-978f-4388-bd7e-627b3a30756f</t>
  </si>
  <si>
    <t>https://api.schroders.com/document-store/id/a6aff599-175d-40c4-8e53-54ec9cc815c1</t>
  </si>
  <si>
    <t>https://api.schroders.com/document-store/id/597ac067-587d-4b26-ac00-792e240bbfcf</t>
  </si>
  <si>
    <t>https://api.schroders.com/document-store/id/ba6bb2bc-2715-481c-b8bd-88fda4a47022</t>
  </si>
  <si>
    <t>https://api.schroders.com/document-store/id/7f35a0da-d68d-4b24-9230-a90393e1a711</t>
  </si>
  <si>
    <t>https://api.schroders.com/document-store/id/5267cec0-0b8c-455c-a100-9c6183f7a955</t>
  </si>
  <si>
    <t>https://api.schroders.com/document-store/id/ecd7551d-f231-4359-87a6-26591fc9e3b6</t>
  </si>
  <si>
    <t>https://api.schroders.com/document-store/id/8fdd0d59-36a5-4849-9183-9aef0f154d01</t>
  </si>
  <si>
    <t>https://api.schroders.com/document-store/id/0e41868b-5ee2-4d30-8e83-f2c877d409e4</t>
  </si>
  <si>
    <t>https://api.schroders.com/document-store/id/fb2c5a5d-2d1f-4b53-8ddc-691ff49d0326</t>
  </si>
  <si>
    <t>https://api.schroders.com/document-store/id/8d57406e-6992-44b2-8736-a9fcbe50861b</t>
  </si>
  <si>
    <t>https://api.schroders.com/document-store/id/6af5992a-a112-4d67-aecc-cdf50636a9bc</t>
  </si>
  <si>
    <t>https://api.schroders.com/document-store/id/e89901c9-9430-4e22-941d-d4f2e3ad92f4</t>
  </si>
  <si>
    <t>https://api.schroders.com/document-store/id/8d130206-e0c3-493b-a917-22db27d951cd</t>
  </si>
  <si>
    <t>https://api.schroders.com/document-store/id/0b0ba7c0-b5f0-42d1-a418-0e13c429895f</t>
  </si>
  <si>
    <t>https://api.schroders.com/document-store/id/33995498-d89f-42bb-8920-85ac6070806a</t>
  </si>
  <si>
    <t>https://api.schroders.com/document-store/id/a10c2154-e5f3-4ccf-aba1-e2822b02d893/</t>
  </si>
  <si>
    <t>https://www.schroders.com/getfunddocument/?oid=1.9.2664621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</si>
</sst>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3" borderId="0" xfId="0" applyFill="1"/>
    <xf numFmtId="0" fontId="0" fillId="0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6</xdr:col>
      <xdr:colOff>151727</xdr:colOff>
      <xdr:row>18</xdr:row>
      <xdr:rowOff>165308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3A4D39-E254-334C-D43E-7A634F032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3809327" cy="32260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5</xdr:col>
      <xdr:colOff>273221</xdr:colOff>
      <xdr:row>33</xdr:row>
      <xdr:rowOff>57285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A2E9BC3-7E1B-1FC3-662A-E2AD802AC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98850"/>
          <a:ext cx="3321221" cy="2635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177934</xdr:colOff>
      <xdr:row>43</xdr:row>
      <xdr:rowOff>101690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F95C-91BC-2D3B-06D7-4A788F83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261100"/>
          <a:ext cx="2616334" cy="175904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101600</xdr:rowOff>
    </xdr:from>
    <xdr:to>
      <xdr:col>12</xdr:col>
      <xdr:colOff>520883</xdr:colOff>
      <xdr:row>28</xdr:row>
      <xdr:rowOff>127257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13FCF16-78C6-C057-9F96-FE0033856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85750"/>
          <a:ext cx="3568883" cy="49977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chroders.com/en-gb/uk/intermediary/investment-solutions/fund-centre/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3" sqref="H3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9"/>
  <sheetViews>
    <sheetView workbookViewId="0">
      <selection activeCell="A39" sqref="A3:A39"/>
    </sheetView>
  </sheetViews>
  <sheetFormatPr defaultRowHeight="15" x14ac:dyDescent="0.25"/>
  <cols>
    <col min="1" max="1" width="54.28515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45138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33</v>
      </c>
      <c r="B3" t="str">
        <f>'PDF Scraping'!D2</f>
        <v>https://api.schroders.com/document-store/id/07058623-8f5e-45ce-9e4b-85c7ff2cd2ff</v>
      </c>
      <c r="J3" s="4"/>
    </row>
    <row r="4" spans="1:10" x14ac:dyDescent="0.25">
      <c r="A4" t="s">
        <v>34</v>
      </c>
      <c r="B4" t="str">
        <f>'PDF Scraping'!D3</f>
        <v>https://api.schroders.com/document-store/id/d403fd67-a109-49eb-90b1-458db2e6166d</v>
      </c>
      <c r="J4" s="4"/>
    </row>
    <row r="5" spans="1:10" x14ac:dyDescent="0.25">
      <c r="A5" t="s">
        <v>35</v>
      </c>
      <c r="B5" t="str">
        <f>'PDF Scraping'!D4</f>
        <v>https://api.schroders.com/document-store/id/29f336b5-c5e8-4019-91f6-8d42047a0e29</v>
      </c>
    </row>
    <row r="6" spans="1:10" x14ac:dyDescent="0.25">
      <c r="A6" t="s">
        <v>36</v>
      </c>
      <c r="B6" t="str">
        <f>'PDF Scraping'!D5</f>
        <v>https://api.schroders.com/document-store/id/a831b089-14de-49f0-bc92-0160809a2b5f</v>
      </c>
    </row>
    <row r="7" spans="1:10" x14ac:dyDescent="0.25">
      <c r="A7" t="s">
        <v>37</v>
      </c>
      <c r="B7" t="str">
        <f>'PDF Scraping'!D6</f>
        <v>https://api.schroders.com/document-store/id/a5fea81f-c377-4586-b67d-c83915c0873e</v>
      </c>
    </row>
    <row r="8" spans="1:10" x14ac:dyDescent="0.25">
      <c r="A8" t="s">
        <v>38</v>
      </c>
      <c r="B8" t="str">
        <f>'PDF Scraping'!D7</f>
        <v>https://api.schroders.com/document-store/id/e0f19e3e-8b62-4ee7-97cb-8999c1c21480</v>
      </c>
    </row>
    <row r="9" spans="1:10" x14ac:dyDescent="0.25">
      <c r="A9" t="s">
        <v>39</v>
      </c>
      <c r="B9" t="str">
        <f>'PDF Scraping'!D8</f>
        <v>https://api.schroders.com/document-store/id/f606bb94-f674-4a79-9627-9cdabad112a1</v>
      </c>
    </row>
    <row r="10" spans="1:10" x14ac:dyDescent="0.25">
      <c r="A10" t="s">
        <v>40</v>
      </c>
      <c r="B10" t="str">
        <f>'PDF Scraping'!D9</f>
        <v>https://api.schroders.com/document-store/id/c276cc1e-9524-43e2-82f0-147db6323d02</v>
      </c>
    </row>
    <row r="11" spans="1:10" x14ac:dyDescent="0.25">
      <c r="A11" t="s">
        <v>41</v>
      </c>
      <c r="B11" t="str">
        <f>'PDF Scraping'!D10</f>
        <v>https://api.schroders.com/document-store/id/39f1a653-b65a-47c6-97d1-f8a351078430</v>
      </c>
    </row>
    <row r="12" spans="1:10" x14ac:dyDescent="0.25">
      <c r="A12" t="s">
        <v>51</v>
      </c>
      <c r="B12" t="str">
        <f>'PDF Scraping'!D11</f>
        <v>https://api.schroders.com/document-store/id/1396fbce-a5b6-481a-8f89-f9d29f1d6038</v>
      </c>
    </row>
    <row r="13" spans="1:10" x14ac:dyDescent="0.25">
      <c r="A13" t="s">
        <v>52</v>
      </c>
      <c r="B13" t="str">
        <f>'PDF Scraping'!D12</f>
        <v>https://api.schroders.com/document-store/id/15071999-7f12-478d-92b8-9c9c0d5c7d96</v>
      </c>
    </row>
    <row r="14" spans="1:10" x14ac:dyDescent="0.25">
      <c r="A14" t="s">
        <v>53</v>
      </c>
      <c r="B14" t="str">
        <f>'PDF Scraping'!D13</f>
        <v>https://api.schroders.com/document-store/id/30f3b222-978f-4388-bd7e-627b3a30756f</v>
      </c>
    </row>
    <row r="15" spans="1:10" x14ac:dyDescent="0.25">
      <c r="A15" t="s">
        <v>54</v>
      </c>
      <c r="B15" t="str">
        <f>'PDF Scraping'!D14</f>
        <v>https://api.schroders.com/document-store/id/a6aff599-175d-40c4-8e53-54ec9cc815c1</v>
      </c>
    </row>
    <row r="16" spans="1:10" x14ac:dyDescent="0.25">
      <c r="A16" t="s">
        <v>55</v>
      </c>
      <c r="B16" t="str">
        <f>'PDF Scraping'!D15</f>
        <v>https://api.schroders.com/document-store/id/597ac067-587d-4b26-ac00-792e240bbfcf</v>
      </c>
    </row>
    <row r="17" spans="1:2" x14ac:dyDescent="0.25">
      <c r="A17" t="s">
        <v>56</v>
      </c>
      <c r="B17" t="str">
        <f>'PDF Scraping'!D16</f>
        <v>https://api.schroders.com/document-store/id/ba6bb2bc-2715-481c-b8bd-88fda4a47022</v>
      </c>
    </row>
    <row r="18" spans="1:2" x14ac:dyDescent="0.25">
      <c r="A18" t="s">
        <v>57</v>
      </c>
      <c r="B18">
        <f>'PDF Scraping'!D17</f>
        <v>0</v>
      </c>
    </row>
    <row r="19" spans="1:2" x14ac:dyDescent="0.25">
      <c r="A19" t="s">
        <v>58</v>
      </c>
      <c r="B19" t="str">
        <f>'PDF Scraping'!D18</f>
        <v>https://api.schroders.com/document-store/id/7f35a0da-d68d-4b24-9230-a90393e1a711</v>
      </c>
    </row>
    <row r="20" spans="1:2" x14ac:dyDescent="0.25">
      <c r="A20" t="s">
        <v>59</v>
      </c>
      <c r="B20" t="str">
        <f>'PDF Scraping'!D19</f>
        <v>https://api.schroders.com/document-store/id/30f3b222-978f-4388-bd7e-627b3a30756f</v>
      </c>
    </row>
    <row r="21" spans="1:2" x14ac:dyDescent="0.25">
      <c r="A21" t="s">
        <v>69</v>
      </c>
      <c r="B21" t="str">
        <f>'PDF Scraping'!D20</f>
        <v>https://api.schroders.com/document-store/id/5267cec0-0b8c-455c-a100-9c6183f7a955</v>
      </c>
    </row>
    <row r="22" spans="1:2" x14ac:dyDescent="0.25">
      <c r="A22" t="s">
        <v>70</v>
      </c>
      <c r="B22" t="str">
        <f>'PDF Scraping'!D21</f>
        <v>https://api.schroders.com/document-store/id/ecd7551d-f231-4359-87a6-26591fc9e3b6</v>
      </c>
    </row>
    <row r="23" spans="1:2" x14ac:dyDescent="0.25">
      <c r="A23" t="s">
        <v>71</v>
      </c>
      <c r="B23" t="str">
        <f>'PDF Scraping'!D22</f>
        <v>https://api.schroders.com/document-store/id/8fdd0d59-36a5-4849-9183-9aef0f154d01</v>
      </c>
    </row>
    <row r="24" spans="1:2" x14ac:dyDescent="0.25">
      <c r="A24" t="s">
        <v>72</v>
      </c>
      <c r="B24" t="str">
        <f>'PDF Scraping'!D23</f>
        <v>https://api.schroders.com/document-store/id/0e41868b-5ee2-4d30-8e83-f2c877d409e4</v>
      </c>
    </row>
    <row r="25" spans="1:2" x14ac:dyDescent="0.25">
      <c r="A25" t="s">
        <v>73</v>
      </c>
      <c r="B25" t="str">
        <f>'PDF Scraping'!D24</f>
        <v>https://api.schroders.com/document-store/id/fb2c5a5d-2d1f-4b53-8ddc-691ff49d0326</v>
      </c>
    </row>
    <row r="26" spans="1:2" x14ac:dyDescent="0.25">
      <c r="A26" t="s">
        <v>74</v>
      </c>
      <c r="B26" t="str">
        <f>'PDF Scraping'!D25</f>
        <v>https://api.schroders.com/document-store/id/8d57406e-6992-44b2-8736-a9fcbe50861b</v>
      </c>
    </row>
    <row r="27" spans="1:2" x14ac:dyDescent="0.25">
      <c r="A27" t="s">
        <v>80</v>
      </c>
      <c r="B27" t="str">
        <f>'PDF Scraping'!D26</f>
        <v>https://api.schroders.com/document-store/id/6af5992a-a112-4d67-aecc-cdf50636a9bc</v>
      </c>
    </row>
    <row r="28" spans="1:2" x14ac:dyDescent="0.25">
      <c r="A28" t="s">
        <v>81</v>
      </c>
      <c r="B28" t="str">
        <f>'PDF Scraping'!D27</f>
        <v>https://api.schroders.com/document-store/id/e89901c9-9430-4e22-941d-d4f2e3ad92f4</v>
      </c>
    </row>
    <row r="29" spans="1:2" x14ac:dyDescent="0.25">
      <c r="A29" t="s">
        <v>82</v>
      </c>
      <c r="B29" t="str">
        <f>'PDF Scraping'!D28</f>
        <v>https://api.schroders.com/document-store/id/8d130206-e0c3-493b-a917-22db27d951cd</v>
      </c>
    </row>
    <row r="30" spans="1:2" x14ac:dyDescent="0.25">
      <c r="A30" t="s">
        <v>83</v>
      </c>
      <c r="B30" t="str">
        <f>'PDF Scraping'!D29</f>
        <v>https://api.schroders.com/document-store/id/0b0ba7c0-b5f0-42d1-a418-0e13c429895f</v>
      </c>
    </row>
    <row r="31" spans="1:2" x14ac:dyDescent="0.25">
      <c r="A31" t="s">
        <v>84</v>
      </c>
      <c r="B31" t="str">
        <f>'PDF Scraping'!D30</f>
        <v>https://api.schroders.com/document-store/id/0b0ba7c0-b5f0-42d1-a418-0e13c429895f</v>
      </c>
    </row>
    <row r="32" spans="1:2" x14ac:dyDescent="0.25">
      <c r="A32" t="s">
        <v>85</v>
      </c>
      <c r="B32" t="str">
        <f>'PDF Scraping'!D31</f>
        <v>https://api.schroders.com/document-store/id/33995498-d89f-42bb-8920-85ac6070806a</v>
      </c>
    </row>
    <row r="33" spans="1:2" x14ac:dyDescent="0.25">
      <c r="A33" t="s">
        <v>92</v>
      </c>
      <c r="B33" t="str">
        <f>'PDF Scraping'!D32</f>
        <v>https://api.schroders.com/document-store/id/a10c2154-e5f3-4ccf-aba1-e2822b02d893/</v>
      </c>
    </row>
    <row r="34" spans="1:2" x14ac:dyDescent="0.25">
      <c r="A34" t="s">
        <v>94</v>
      </c>
      <c r="B34" t="str">
        <f>'PDF Scraping'!D33</f>
        <v>https://www.schroders.com/getfunddocument/?oid=1.9.2664621</v>
      </c>
    </row>
    <row r="35" spans="1:2" x14ac:dyDescent="0.25">
      <c r="A35" t="s">
        <v>96</v>
      </c>
      <c r="B35" t="str">
        <f>'PDF Scraping'!D34</f>
        <v>https://api.schroders.com/document-store/id/0b0ba7c0-b5f0-42d1-a418-0e13c429895f</v>
      </c>
    </row>
    <row r="36" spans="1:2" x14ac:dyDescent="0.25">
      <c r="A36" t="s">
        <v>98</v>
      </c>
      <c r="B36" t="str">
        <f>'PDF Scraping'!D35</f>
        <v>https://api.schroders.com/document-store/id/0b0ba7c0-b5f0-42d1-a418-0e13c429895f</v>
      </c>
    </row>
    <row r="37" spans="1:2" x14ac:dyDescent="0.25">
      <c r="A37" t="s">
        <v>100</v>
      </c>
      <c r="B37" t="str">
        <f>'PDF Scraping'!D36</f>
        <v>https://api.schroders.com/document-store/id/0b0ba7c0-b5f0-42d1-a418-0e13c429895f</v>
      </c>
    </row>
    <row r="38" spans="1:2" x14ac:dyDescent="0.25">
      <c r="A38" t="s">
        <v>102</v>
      </c>
      <c r="B38" t="str">
        <f>'PDF Scraping'!D37</f>
        <v>https://api.schroders.com/document-store/id/0b0ba7c0-b5f0-42d1-a418-0e13c429895f</v>
      </c>
    </row>
    <row r="39" spans="1:2" x14ac:dyDescent="0.25">
      <c r="A39" t="s">
        <v>104</v>
      </c>
      <c r="B39">
        <f>'PDF Scraping'!D38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G50"/>
  <sheetViews>
    <sheetView workbookViewId="0">
      <selection activeCell="F2" sqref="F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7" x14ac:dyDescent="0.25">
      <c r="B1" t="s">
        <v>26</v>
      </c>
      <c r="C1" t="s">
        <v>107</v>
      </c>
      <c r="D1" t="s">
        <v>108</v>
      </c>
      <c r="E1" t="s">
        <v>106</v>
      </c>
      <c r="F1" t="s">
        <v>110</v>
      </c>
      <c r="G1" t="s">
        <v>109</v>
      </c>
    </row>
    <row r="2" spans="1:7" x14ac:dyDescent="0.25">
      <c r="A2" t="str">
        <f>IF(Input!A3="","",Input!A3)</f>
        <v>Schroder Active Portfolio 2</v>
      </c>
      <c r="B2" s="1"/>
      <c r="C2" s="5"/>
      <c r="D2" s="5"/>
      <c r="E2" s="5"/>
      <c r="F2" s="5"/>
    </row>
    <row r="3" spans="1:7" x14ac:dyDescent="0.25">
      <c r="A3" t="str">
        <f>IF(Input!A4="","",Input!A4)</f>
        <v>Schroder Active Portfolio 3</v>
      </c>
      <c r="B3" s="1"/>
      <c r="C3" s="5"/>
      <c r="D3" s="5"/>
      <c r="E3" s="5"/>
      <c r="F3" s="5"/>
    </row>
    <row r="4" spans="1:7" x14ac:dyDescent="0.25">
      <c r="A4" t="str">
        <f>IF(Input!A5="","",Input!A5)</f>
        <v>Schroder Active Portfolio 4</v>
      </c>
      <c r="B4" s="1"/>
      <c r="C4" s="5"/>
      <c r="D4" s="5"/>
      <c r="E4" s="5"/>
      <c r="F4" s="5"/>
    </row>
    <row r="5" spans="1:7" x14ac:dyDescent="0.25">
      <c r="A5" t="str">
        <f>IF(Input!A6="","",Input!A6)</f>
        <v>Schroder Active Portfolio 5</v>
      </c>
      <c r="B5" s="1"/>
      <c r="C5" s="5"/>
      <c r="D5" s="5"/>
      <c r="E5" s="5"/>
      <c r="F5" s="5"/>
    </row>
    <row r="6" spans="1:7" x14ac:dyDescent="0.25">
      <c r="A6" t="str">
        <f>IF(Input!A7="","",Input!A7)</f>
        <v>Schroder Active Portfolio 6</v>
      </c>
      <c r="B6" s="1"/>
      <c r="C6" s="5"/>
      <c r="D6" s="5"/>
      <c r="E6" s="5"/>
      <c r="F6" s="5"/>
    </row>
    <row r="7" spans="1:7" x14ac:dyDescent="0.25">
      <c r="A7" t="str">
        <f>IF(Input!A8="","",Input!A8)</f>
        <v>Schroder Active Portfolio 7</v>
      </c>
      <c r="B7" s="1"/>
      <c r="C7" s="5"/>
      <c r="D7" s="5"/>
      <c r="E7" s="5"/>
      <c r="F7" s="5"/>
    </row>
    <row r="8" spans="1:7" x14ac:dyDescent="0.25">
      <c r="A8" t="str">
        <f>IF(Input!A9="","",Input!A9)</f>
        <v>Schroder Active Portfolio 8</v>
      </c>
      <c r="B8" s="1"/>
      <c r="C8" s="5"/>
      <c r="D8" s="5"/>
      <c r="E8" s="5"/>
      <c r="F8" s="5"/>
    </row>
    <row r="9" spans="1:7" x14ac:dyDescent="0.25">
      <c r="A9" t="str">
        <f>IF(Input!A10="","",Input!A10)</f>
        <v>Schroder Active Portfolio 9</v>
      </c>
      <c r="B9" s="1"/>
      <c r="C9" s="5"/>
      <c r="D9" s="5"/>
      <c r="E9" s="5"/>
      <c r="F9" s="5"/>
    </row>
    <row r="10" spans="1:7" x14ac:dyDescent="0.25">
      <c r="A10" t="str">
        <f>IF(Input!A11="","",Input!A11)</f>
        <v>Schroder Active Portfolio 10</v>
      </c>
      <c r="B10" s="1"/>
      <c r="C10" s="5"/>
      <c r="D10" s="5"/>
      <c r="E10" s="5"/>
      <c r="F10" s="5"/>
    </row>
    <row r="11" spans="1:7" x14ac:dyDescent="0.25">
      <c r="A11" t="str">
        <f>IF(Input!A12="","",Input!A12)</f>
        <v>Schroder Strategic Index Portfolio 2</v>
      </c>
      <c r="B11" s="1"/>
      <c r="C11" s="5"/>
      <c r="D11" s="5"/>
      <c r="E11" s="5"/>
      <c r="F11" s="5"/>
    </row>
    <row r="12" spans="1:7" x14ac:dyDescent="0.25">
      <c r="A12" t="str">
        <f>IF(Input!A13="","",Input!A13)</f>
        <v>Schroder Strategic Index Portfolio 3</v>
      </c>
      <c r="B12" s="1"/>
      <c r="C12" s="5"/>
      <c r="D12" s="5"/>
      <c r="E12" s="5"/>
      <c r="F12" s="5"/>
    </row>
    <row r="13" spans="1:7" x14ac:dyDescent="0.25">
      <c r="A13" t="str">
        <f>IF(Input!A14="","",Input!A14)</f>
        <v>Schroder Strategic Index Portfolio 4</v>
      </c>
      <c r="B13" s="1"/>
      <c r="C13" s="5"/>
      <c r="D13" s="5"/>
      <c r="E13" s="5"/>
      <c r="F13" s="5"/>
    </row>
    <row r="14" spans="1:7" x14ac:dyDescent="0.25">
      <c r="A14" t="str">
        <f>IF(Input!A15="","",Input!A15)</f>
        <v>Schroder Strategic Index Portfolio 5</v>
      </c>
      <c r="B14" s="1"/>
      <c r="C14" s="5"/>
      <c r="D14" s="5"/>
      <c r="E14" s="5"/>
      <c r="F14" s="5"/>
    </row>
    <row r="15" spans="1:7" x14ac:dyDescent="0.25">
      <c r="A15" t="str">
        <f>IF(Input!A16="","",Input!A16)</f>
        <v>Schroder Strategic Index Portfolio 6</v>
      </c>
      <c r="B15" s="1"/>
      <c r="C15" s="5"/>
      <c r="D15" s="5"/>
      <c r="E15" s="5"/>
      <c r="F15" s="5"/>
    </row>
    <row r="16" spans="1:7" x14ac:dyDescent="0.25">
      <c r="A16" t="str">
        <f>IF(Input!A17="","",Input!A17)</f>
        <v>Schroder Strategic Index Portfolio 7</v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>Schroder Strategic Index Portfolio 8</v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>Schroder Strategic Index Portfolio 9</v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>Schroder Strategic Index Portfolio 10</v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>Schroder Sustainable Portfolio 3</v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>Schroder Sustainable Portfolio 4</v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>Schroder Sustainable Portfolio 5</v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>Schroder Sustainable Portfolio 6</v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>Schroder Sustainable Portfolio 7</v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>Schroder Sustainable Portfolio 8</v>
      </c>
      <c r="B25" s="7"/>
      <c r="C25" s="5"/>
    </row>
    <row r="26" spans="1:6" x14ac:dyDescent="0.25">
      <c r="A26" t="str">
        <f>IF(Input!A27="","",Input!A27)</f>
        <v>Schroder Blended Portfolio 3</v>
      </c>
      <c r="B26" s="7"/>
      <c r="C26" s="5"/>
    </row>
    <row r="27" spans="1:6" x14ac:dyDescent="0.25">
      <c r="A27" t="str">
        <f>IF(Input!A28="","",Input!A28)</f>
        <v>Schroder Blended Portfolio 4</v>
      </c>
      <c r="B27" s="7"/>
      <c r="C27" s="5"/>
    </row>
    <row r="28" spans="1:6" x14ac:dyDescent="0.25">
      <c r="A28" t="str">
        <f>IF(Input!A29="","",Input!A29)</f>
        <v>Schroder Blended Portfolio 5</v>
      </c>
      <c r="B28" s="7"/>
      <c r="C28" s="5"/>
    </row>
    <row r="29" spans="1:6" x14ac:dyDescent="0.25">
      <c r="A29" t="str">
        <f>IF(Input!A30="","",Input!A30)</f>
        <v>Schroder Blended Portfolio 6</v>
      </c>
      <c r="B29" s="7"/>
      <c r="C29" s="5"/>
    </row>
    <row r="30" spans="1:6" x14ac:dyDescent="0.25">
      <c r="A30" t="str">
        <f>IF(Input!A31="","",Input!A31)</f>
        <v>Schroder Blended Portfolio 7</v>
      </c>
      <c r="B30" s="7"/>
      <c r="C30" s="5"/>
    </row>
    <row r="31" spans="1:6" x14ac:dyDescent="0.25">
      <c r="A31" t="str">
        <f>IF(Input!A32="","",Input!A32)</f>
        <v>Schroder Blended Portfolio 8</v>
      </c>
      <c r="B31" s="7"/>
      <c r="C31" s="5"/>
    </row>
    <row r="32" spans="1:6" x14ac:dyDescent="0.25">
      <c r="A32" t="str">
        <f>IF(Input!A33="","",Input!A33)</f>
        <v>Schroder Income Portfolio</v>
      </c>
      <c r="B32" s="7"/>
      <c r="C32" s="5"/>
    </row>
    <row r="33" spans="1:3" x14ac:dyDescent="0.25">
      <c r="A33" t="str">
        <f>IF(Input!A34="","",Input!A34)</f>
        <v>Schroder Managed Defensive Fund</v>
      </c>
      <c r="B33" s="7"/>
      <c r="C33" s="5"/>
    </row>
    <row r="34" spans="1:3" x14ac:dyDescent="0.25">
      <c r="A34" t="str">
        <f>IF(Input!A35="","",Input!A35)</f>
        <v>Schroder Global Multi-Asset Cautious Portfolio</v>
      </c>
      <c r="B34" s="7"/>
      <c r="C34" s="5"/>
    </row>
    <row r="35" spans="1:3" x14ac:dyDescent="0.25">
      <c r="A35" t="str">
        <f>IF(Input!A36="","",Input!A36)</f>
        <v>Schroder Global Multi-Asset Moderately Cautious Portfolio</v>
      </c>
    </row>
    <row r="36" spans="1:3" x14ac:dyDescent="0.25">
      <c r="A36" t="str">
        <f>IF(Input!A37="","",Input!A37)</f>
        <v>Schroder Schroder Global Multi-Asset Balanced Portfolio</v>
      </c>
    </row>
    <row r="37" spans="1:3" x14ac:dyDescent="0.25">
      <c r="A37" t="str">
        <f>IF(Input!A38="","",Input!A38)</f>
        <v>Schroder Global Multi-Asset Growth Portfolio</v>
      </c>
    </row>
    <row r="38" spans="1:3" x14ac:dyDescent="0.25">
      <c r="A38" t="str">
        <f>IF(Input!A39="","",Input!A39)</f>
        <v>Schroder Global Multi-Asset Adventurous Portfolio</v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BD132"/>
  <sheetViews>
    <sheetView workbookViewId="0"/>
  </sheetViews>
  <sheetFormatPr defaultRowHeight="15" x14ac:dyDescent="0.25"/>
  <cols>
    <col min="1" max="1" width="50.42578125" bestFit="1" customWidth="1"/>
    <col min="2" max="2" width="5.140625" bestFit="1" customWidth="1"/>
    <col min="3" max="3" width="4.85546875" bestFit="1" customWidth="1"/>
    <col min="4" max="4" width="5.140625" bestFit="1" customWidth="1"/>
    <col min="5" max="5" width="5.5703125" bestFit="1" customWidth="1"/>
    <col min="6" max="6" width="10.42578125" bestFit="1" customWidth="1"/>
    <col min="7" max="7" width="8.7109375" bestFit="1" customWidth="1"/>
    <col min="8" max="8" width="17.140625" bestFit="1" customWidth="1"/>
    <col min="9" max="9" width="11.5703125" bestFit="1" customWidth="1"/>
    <col min="10" max="10" width="10.7109375" bestFit="1" customWidth="1"/>
    <col min="11" max="11" width="14.85546875" bestFit="1" customWidth="1"/>
    <col min="12" max="12" width="11.85546875" bestFit="1" customWidth="1"/>
    <col min="13" max="13" width="8.7109375" bestFit="1" customWidth="1"/>
    <col min="14" max="14" width="21.5703125" bestFit="1" customWidth="1"/>
    <col min="15" max="15" width="9.85546875" bestFit="1" customWidth="1"/>
    <col min="16" max="16" width="8" bestFit="1" customWidth="1"/>
    <col min="17" max="17" width="14.42578125" bestFit="1" customWidth="1"/>
    <col min="18" max="18" width="25.42578125" bestFit="1" customWidth="1"/>
    <col min="19" max="19" width="12.42578125" bestFit="1" customWidth="1"/>
    <col min="20" max="20" width="11.28515625" bestFit="1" customWidth="1"/>
    <col min="21" max="21" width="20.85546875" bestFit="1" customWidth="1"/>
    <col min="22" max="22" width="11.28515625" bestFit="1" customWidth="1"/>
    <col min="23" max="23" width="6.140625" bestFit="1" customWidth="1"/>
    <col min="24" max="24" width="22.85546875" bestFit="1" customWidth="1"/>
    <col min="25" max="25" width="14.140625" bestFit="1" customWidth="1"/>
    <col min="26" max="26" width="8.42578125" bestFit="1" customWidth="1"/>
    <col min="27" max="27" width="5.5703125" bestFit="1" customWidth="1"/>
    <col min="28" max="28" width="13.85546875" bestFit="1" customWidth="1"/>
    <col min="29" max="29" width="16.5703125" bestFit="1" customWidth="1"/>
    <col min="30" max="30" width="11.85546875" bestFit="1" customWidth="1"/>
    <col min="32" max="32" width="14.7109375" bestFit="1" customWidth="1"/>
    <col min="33" max="33" width="15.140625" bestFit="1" customWidth="1"/>
    <col min="34" max="34" width="14.85546875" bestFit="1" customWidth="1"/>
    <col min="35" max="35" width="13.5703125" bestFit="1" customWidth="1"/>
    <col min="36" max="36" width="7.140625" bestFit="1" customWidth="1"/>
    <col min="37" max="37" width="10" bestFit="1" customWidth="1"/>
    <col min="38" max="38" width="12.140625" bestFit="1" customWidth="1"/>
    <col min="39" max="39" width="10" bestFit="1" customWidth="1"/>
    <col min="40" max="40" width="9.28515625" bestFit="1" customWidth="1"/>
    <col min="41" max="41" width="11.28515625" bestFit="1" customWidth="1"/>
    <col min="42" max="42" width="10.28515625" bestFit="1" customWidth="1"/>
    <col min="43" max="43" width="15.140625" bestFit="1" customWidth="1"/>
    <col min="44" max="44" width="9.85546875" bestFit="1" customWidth="1"/>
    <col min="45" max="45" width="9.5703125" bestFit="1" customWidth="1"/>
    <col min="46" max="46" width="15.5703125" bestFit="1" customWidth="1"/>
    <col min="47" max="47" width="18" bestFit="1" customWidth="1"/>
    <col min="48" max="48" width="9.85546875" bestFit="1" customWidth="1"/>
    <col min="49" max="49" width="21.42578125" bestFit="1" customWidth="1"/>
    <col min="50" max="50" width="16.7109375" bestFit="1" customWidth="1"/>
    <col min="51" max="51" width="6.42578125" bestFit="1" customWidth="1"/>
    <col min="52" max="52" width="13.28515625" bestFit="1" customWidth="1"/>
    <col min="53" max="53" width="7" bestFit="1" customWidth="1"/>
    <col min="54" max="54" width="11.5703125" bestFit="1" customWidth="1"/>
    <col min="55" max="55" width="23.42578125" bestFit="1" customWidth="1"/>
    <col min="56" max="56" width="11.85546875" bestFit="1" customWidth="1"/>
  </cols>
  <sheetData>
    <row r="1" spans="1:56" x14ac:dyDescent="0.25">
      <c r="B1" t="s">
        <v>111</v>
      </c>
      <c r="C1" t="s">
        <v>4</v>
      </c>
      <c r="D1" t="s">
        <v>112</v>
      </c>
      <c r="E1" t="s">
        <v>113</v>
      </c>
      <c r="F1" t="s">
        <v>114</v>
      </c>
      <c r="G1" t="s">
        <v>115</v>
      </c>
      <c r="H1" t="s">
        <v>116</v>
      </c>
      <c r="I1" t="s">
        <v>32</v>
      </c>
      <c r="J1" t="s">
        <v>117</v>
      </c>
      <c r="K1" t="s">
        <v>118</v>
      </c>
      <c r="L1" t="s">
        <v>20</v>
      </c>
      <c r="M1" t="s">
        <v>119</v>
      </c>
      <c r="N1" t="s">
        <v>120</v>
      </c>
      <c r="O1" t="s">
        <v>121</v>
      </c>
      <c r="P1" t="s">
        <v>122</v>
      </c>
      <c r="Q1" t="s">
        <v>1</v>
      </c>
      <c r="R1" t="s">
        <v>123</v>
      </c>
      <c r="S1" t="s">
        <v>124</v>
      </c>
      <c r="T1" t="s">
        <v>125</v>
      </c>
      <c r="U1" t="s">
        <v>126</v>
      </c>
      <c r="V1" t="s">
        <v>127</v>
      </c>
      <c r="W1" t="s">
        <v>128</v>
      </c>
      <c r="X1" t="s">
        <v>129</v>
      </c>
      <c r="Y1" t="s">
        <v>8</v>
      </c>
      <c r="Z1" t="s">
        <v>130</v>
      </c>
      <c r="AA1" t="s">
        <v>5</v>
      </c>
      <c r="AB1" t="s">
        <v>131</v>
      </c>
      <c r="AC1" t="s">
        <v>132</v>
      </c>
      <c r="AD1" t="s">
        <v>7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</row>
    <row r="2" spans="1:56" x14ac:dyDescent="0.25">
      <c r="A2" t="str">
        <f>IF(Input!A3="","",Input!A3)</f>
        <v>Schroder Active Portfolio 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56" x14ac:dyDescent="0.25">
      <c r="A3" t="str">
        <f>IF(Input!A4="","",Input!A4)</f>
        <v>Schroder Active Portfolio 3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56" x14ac:dyDescent="0.25">
      <c r="A4" t="str">
        <f>IF(Input!A5="","",Input!A5)</f>
        <v>Schroder Active Portfolio 4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56" x14ac:dyDescent="0.25">
      <c r="A5" t="str">
        <f>IF(Input!A6="","",Input!A6)</f>
        <v>Schroder Active Portfolio 5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56" x14ac:dyDescent="0.25">
      <c r="A6" t="str">
        <f>IF(Input!A7="","",Input!A7)</f>
        <v>Schroder Active Portfolio 6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56" x14ac:dyDescent="0.25">
      <c r="A7" t="str">
        <f>IF(Input!A8="","",Input!A8)</f>
        <v>Schroder Active Portfolio 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56" x14ac:dyDescent="0.25">
      <c r="A8" t="str">
        <f>IF(Input!A9="","",Input!A9)</f>
        <v>Schroder Active Portfolio 8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56" x14ac:dyDescent="0.25">
      <c r="A9" t="str">
        <f>IF(Input!A10="","",Input!A10)</f>
        <v>Schroder Active Portfolio 9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56" x14ac:dyDescent="0.25">
      <c r="A10" t="str">
        <f>IF(Input!A11="","",Input!A11)</f>
        <v>Schroder Active Portfolio 10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56" x14ac:dyDescent="0.25">
      <c r="A11" t="str">
        <f>IF(Input!A12="","",Input!A12)</f>
        <v>Schroder Strategic Index Portfolio 2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56" x14ac:dyDescent="0.25">
      <c r="A12" t="str">
        <f>IF(Input!A13="","",Input!A13)</f>
        <v>Schroder Strategic Index Portfolio 3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56" x14ac:dyDescent="0.25">
      <c r="A13" t="str">
        <f>IF(Input!A14="","",Input!A14)</f>
        <v>Schroder Strategic Index Portfolio 4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56" x14ac:dyDescent="0.25">
      <c r="A14" t="str">
        <f>IF(Input!A15="","",Input!A15)</f>
        <v>Schroder Strategic Index Portfolio 5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56" x14ac:dyDescent="0.25">
      <c r="A15" t="str">
        <f>IF(Input!A16="","",Input!A16)</f>
        <v>Schroder Strategic Index Portfolio 6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56" x14ac:dyDescent="0.25">
      <c r="A16" t="str">
        <f>IF(Input!A17="","",Input!A17)</f>
        <v>Schroder Strategic Index Portfolio 7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Schroder Strategic Index Portfolio 8</v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Schroder Strategic Index Portfolio 9</v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Schroder Strategic Index Portfolio 10</v>
      </c>
      <c r="B19" s="5"/>
      <c r="C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Schroder Sustainable Portfolio 3</v>
      </c>
      <c r="B20" s="5"/>
      <c r="C20" s="5"/>
      <c r="D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Schroder Sustainable Portfolio 4</v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Schroder Sustainable Portfolio 5</v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Schroder Sustainable Portfolio 6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Schroder Sustainable Portfolio 7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Schroder Sustainable Portfolio 8</v>
      </c>
      <c r="C25" s="5"/>
      <c r="D25" s="5"/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Schroder Blended Portfolio 3</v>
      </c>
      <c r="C26" s="5"/>
      <c r="D26" s="5"/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Schroder Blended Portfolio 4</v>
      </c>
      <c r="B27" s="5"/>
      <c r="C27" s="5"/>
      <c r="D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Schroder Blended Portfolio 5</v>
      </c>
      <c r="B28" s="5"/>
      <c r="C28" s="5"/>
      <c r="D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Schroder Blended Portfolio 6</v>
      </c>
      <c r="C29" s="5"/>
      <c r="D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>Schroder Blended Portfolio 7</v>
      </c>
      <c r="C30" s="5"/>
      <c r="D30" s="5"/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>Schroder Blended Portfolio 8</v>
      </c>
      <c r="C31" s="5"/>
      <c r="D31" s="5"/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>Schroder Income Portfolio</v>
      </c>
      <c r="C32" s="5"/>
      <c r="D32" s="5"/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>Schroder Managed Defensive Fund</v>
      </c>
      <c r="C33" s="5"/>
      <c r="D33" s="5"/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>Schroder Global Multi-Asset Cautious Portfolio</v>
      </c>
      <c r="B34" s="5"/>
      <c r="C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>Schroder Global Multi-Asset Moderately Cautious Portfolio</v>
      </c>
      <c r="C35" s="5"/>
      <c r="D35" s="5"/>
    </row>
    <row r="36" spans="1:27" x14ac:dyDescent="0.25">
      <c r="A36" t="str">
        <f>IF(Input!A37="","",Input!A37)</f>
        <v>Schroder Schroder Global Multi-Asset Balanced Portfolio</v>
      </c>
      <c r="C36" s="5"/>
      <c r="D36" s="5"/>
    </row>
    <row r="37" spans="1:27" x14ac:dyDescent="0.25">
      <c r="A37" t="str">
        <f>IF(Input!A38="","",Input!A38)</f>
        <v>Schroder Global Multi-Asset Growth Portfolio</v>
      </c>
      <c r="C37" s="5"/>
      <c r="D37" s="5"/>
    </row>
    <row r="38" spans="1:27" x14ac:dyDescent="0.25">
      <c r="A38" t="str">
        <f>IF(Input!A39="","",Input!A39)</f>
        <v>Schroder Global Multi-Asset Adventurous Portfolio</v>
      </c>
      <c r="C38" s="5"/>
      <c r="D38" s="5"/>
    </row>
    <row r="39" spans="1:27" x14ac:dyDescent="0.25">
      <c r="A39" t="str">
        <f>IF(Input!A40="","",Input!A40)</f>
        <v/>
      </c>
      <c r="C39" s="5"/>
      <c r="D39" s="5"/>
    </row>
    <row r="40" spans="1:27" x14ac:dyDescent="0.25">
      <c r="A40" t="str">
        <f>IF(Input!A41="","",Input!A41)</f>
        <v/>
      </c>
      <c r="C40" s="5"/>
      <c r="D40" s="5"/>
    </row>
    <row r="41" spans="1:27" x14ac:dyDescent="0.25">
      <c r="A41" t="str">
        <f>IF(Input!A42="","",Input!A42)</f>
        <v/>
      </c>
      <c r="C41" s="5"/>
      <c r="D41" s="5"/>
    </row>
    <row r="42" spans="1:27" x14ac:dyDescent="0.25">
      <c r="A42" t="str">
        <f>IF(Input!A43="","",Input!A43)</f>
        <v/>
      </c>
      <c r="C42" s="5"/>
      <c r="D42" s="5"/>
    </row>
    <row r="43" spans="1:27" x14ac:dyDescent="0.25">
      <c r="A43" t="str">
        <f>IF(Input!A44="","",Input!A44)</f>
        <v/>
      </c>
      <c r="C43" s="5"/>
      <c r="D43" s="5"/>
    </row>
    <row r="44" spans="1:27" x14ac:dyDescent="0.25">
      <c r="A44" t="str">
        <f>IF(Input!A45="","",Input!A45)</f>
        <v/>
      </c>
      <c r="C44" s="5"/>
      <c r="D44" s="5"/>
    </row>
    <row r="45" spans="1:27" x14ac:dyDescent="0.25">
      <c r="A45" t="str">
        <f>IF(Input!A46="","",Input!A46)</f>
        <v/>
      </c>
      <c r="C45" s="5"/>
      <c r="D45" s="5"/>
    </row>
    <row r="46" spans="1:27" x14ac:dyDescent="0.25">
      <c r="A46" t="str">
        <f>IF(Input!A47="","",Input!A47)</f>
        <v/>
      </c>
      <c r="C46" s="5"/>
      <c r="D46" s="5"/>
    </row>
    <row r="47" spans="1:27" x14ac:dyDescent="0.25">
      <c r="A47" t="str">
        <f>IF(Input!A48="","",Input!A48)</f>
        <v/>
      </c>
      <c r="C47" s="5"/>
      <c r="D47" s="5"/>
    </row>
    <row r="48" spans="1:27" x14ac:dyDescent="0.25">
      <c r="A48" t="str">
        <f>IF(Input!A49="","",Input!A49)</f>
        <v/>
      </c>
      <c r="C48" s="5"/>
      <c r="D48" s="5"/>
    </row>
    <row r="49" spans="1:4" x14ac:dyDescent="0.25">
      <c r="A49" t="str">
        <f>IF(Input!A50="","",Input!A50)</f>
        <v/>
      </c>
      <c r="C49" s="5"/>
      <c r="D49" s="5"/>
    </row>
    <row r="50" spans="1:4" x14ac:dyDescent="0.25">
      <c r="A50" t="str">
        <f>IF(Input!A51="","",Input!A51)</f>
        <v/>
      </c>
      <c r="C50" s="5"/>
      <c r="D50" s="5"/>
    </row>
    <row r="51" spans="1:4" x14ac:dyDescent="0.25">
      <c r="C51" s="5"/>
      <c r="D51" s="5"/>
    </row>
    <row r="52" spans="1:4" x14ac:dyDescent="0.25">
      <c r="C52" s="5"/>
      <c r="D52" s="5"/>
    </row>
    <row r="53" spans="1:4" x14ac:dyDescent="0.25">
      <c r="C53" s="5"/>
      <c r="D53" s="5"/>
    </row>
    <row r="54" spans="1:4" x14ac:dyDescent="0.25">
      <c r="C54" s="5"/>
      <c r="D54" s="5"/>
    </row>
    <row r="55" spans="1:4" x14ac:dyDescent="0.25">
      <c r="C55" s="5"/>
      <c r="D55" s="5"/>
    </row>
    <row r="56" spans="1:4" x14ac:dyDescent="0.25">
      <c r="C56" s="5"/>
      <c r="D56" s="5"/>
    </row>
    <row r="57" spans="1:4" x14ac:dyDescent="0.25">
      <c r="C57" s="5"/>
      <c r="D57" s="5"/>
    </row>
    <row r="58" spans="1:4" x14ac:dyDescent="0.25">
      <c r="C58" s="5"/>
      <c r="D58" s="5"/>
    </row>
    <row r="59" spans="1:4" x14ac:dyDescent="0.25">
      <c r="C59" s="5"/>
      <c r="D59" s="5"/>
    </row>
    <row r="60" spans="1:4" x14ac:dyDescent="0.25">
      <c r="C60" s="5"/>
      <c r="D60" s="5"/>
    </row>
    <row r="61" spans="1:4" x14ac:dyDescent="0.25">
      <c r="C61" s="5"/>
      <c r="D61" s="5"/>
    </row>
    <row r="62" spans="1:4" x14ac:dyDescent="0.25">
      <c r="C62" s="5"/>
      <c r="D62" s="5"/>
    </row>
    <row r="63" spans="1:4" x14ac:dyDescent="0.25">
      <c r="C63" s="5"/>
      <c r="D63" s="5"/>
    </row>
    <row r="64" spans="1:4" x14ac:dyDescent="0.25">
      <c r="C64" s="5"/>
      <c r="D64" s="5"/>
    </row>
    <row r="65" spans="3:4" x14ac:dyDescent="0.25">
      <c r="C65" s="5"/>
      <c r="D65" s="5"/>
    </row>
    <row r="66" spans="3:4" x14ac:dyDescent="0.25">
      <c r="C66" s="5"/>
      <c r="D66" s="5"/>
    </row>
    <row r="67" spans="3:4" x14ac:dyDescent="0.25">
      <c r="C67" s="5"/>
      <c r="D67" s="5"/>
    </row>
    <row r="68" spans="3:4" x14ac:dyDescent="0.25">
      <c r="C68" s="5"/>
      <c r="D68" s="5"/>
    </row>
    <row r="69" spans="3:4" x14ac:dyDescent="0.25">
      <c r="C69" s="5"/>
      <c r="D69" s="5"/>
    </row>
    <row r="70" spans="3:4" x14ac:dyDescent="0.25">
      <c r="C70" s="5"/>
      <c r="D70" s="5"/>
    </row>
    <row r="71" spans="3:4" x14ac:dyDescent="0.25">
      <c r="C71" s="5"/>
      <c r="D71" s="5"/>
    </row>
    <row r="72" spans="3:4" x14ac:dyDescent="0.25">
      <c r="C72" s="5"/>
      <c r="D72" s="5"/>
    </row>
    <row r="73" spans="3:4" x14ac:dyDescent="0.25">
      <c r="C73" s="5"/>
      <c r="D73" s="5"/>
    </row>
    <row r="74" spans="3:4" x14ac:dyDescent="0.25">
      <c r="C74" s="5"/>
      <c r="D74" s="5"/>
    </row>
    <row r="75" spans="3:4" x14ac:dyDescent="0.25">
      <c r="C75" s="5"/>
      <c r="D75" s="5"/>
    </row>
    <row r="76" spans="3:4" x14ac:dyDescent="0.25">
      <c r="C76" s="5"/>
      <c r="D76" s="5"/>
    </row>
    <row r="77" spans="3:4" x14ac:dyDescent="0.25">
      <c r="C77" s="5"/>
      <c r="D77" s="5"/>
    </row>
    <row r="78" spans="3:4" x14ac:dyDescent="0.25">
      <c r="C78" s="5"/>
      <c r="D78" s="5"/>
    </row>
    <row r="79" spans="3:4" x14ac:dyDescent="0.25">
      <c r="C79" s="5"/>
      <c r="D79" s="5"/>
    </row>
    <row r="80" spans="3:4" x14ac:dyDescent="0.25">
      <c r="C80" s="5"/>
      <c r="D80" s="5"/>
    </row>
    <row r="81" spans="3:4" x14ac:dyDescent="0.25">
      <c r="C81" s="5"/>
      <c r="D81" s="5"/>
    </row>
    <row r="82" spans="3:4" x14ac:dyDescent="0.25">
      <c r="C82" s="5"/>
      <c r="D82" s="5"/>
    </row>
    <row r="83" spans="3:4" x14ac:dyDescent="0.25">
      <c r="C83" s="5"/>
      <c r="D83" s="5"/>
    </row>
    <row r="84" spans="3:4" x14ac:dyDescent="0.25">
      <c r="C84" s="5"/>
      <c r="D84" s="5"/>
    </row>
    <row r="85" spans="3:4" x14ac:dyDescent="0.25">
      <c r="C85" s="5"/>
      <c r="D85" s="5"/>
    </row>
    <row r="86" spans="3:4" x14ac:dyDescent="0.25">
      <c r="C86" s="5"/>
      <c r="D86" s="5"/>
    </row>
    <row r="87" spans="3:4" x14ac:dyDescent="0.25">
      <c r="C87" s="5"/>
      <c r="D87" s="5"/>
    </row>
    <row r="88" spans="3:4" x14ac:dyDescent="0.25">
      <c r="C88" s="5"/>
      <c r="D88" s="5"/>
    </row>
    <row r="89" spans="3:4" x14ac:dyDescent="0.25">
      <c r="C89" s="5"/>
      <c r="D89" s="5"/>
    </row>
    <row r="90" spans="3:4" x14ac:dyDescent="0.25">
      <c r="C90" s="5"/>
      <c r="D90" s="5"/>
    </row>
    <row r="91" spans="3:4" x14ac:dyDescent="0.25">
      <c r="C91" s="5"/>
      <c r="D91" s="5"/>
    </row>
    <row r="92" spans="3:4" x14ac:dyDescent="0.25">
      <c r="C92" s="5"/>
      <c r="D92" s="5"/>
    </row>
    <row r="93" spans="3:4" x14ac:dyDescent="0.25">
      <c r="C93" s="5"/>
      <c r="D93" s="5"/>
    </row>
    <row r="94" spans="3:4" x14ac:dyDescent="0.25">
      <c r="C94" s="5"/>
      <c r="D94" s="5"/>
    </row>
    <row r="95" spans="3:4" x14ac:dyDescent="0.25">
      <c r="C95" s="5"/>
      <c r="D95" s="5"/>
    </row>
    <row r="96" spans="3:4" x14ac:dyDescent="0.25">
      <c r="C96" s="5"/>
      <c r="D96" s="5"/>
    </row>
    <row r="97" spans="3:4" x14ac:dyDescent="0.25">
      <c r="C97" s="5"/>
      <c r="D97" s="5"/>
    </row>
    <row r="98" spans="3:4" x14ac:dyDescent="0.25">
      <c r="C98" s="5"/>
      <c r="D98" s="5"/>
    </row>
    <row r="99" spans="3:4" x14ac:dyDescent="0.25">
      <c r="C99" s="5"/>
      <c r="D99" s="5"/>
    </row>
    <row r="100" spans="3:4" x14ac:dyDescent="0.25">
      <c r="C100" s="5"/>
      <c r="D100" s="5"/>
    </row>
    <row r="101" spans="3:4" x14ac:dyDescent="0.25">
      <c r="C101" s="5"/>
      <c r="D101" s="5"/>
    </row>
    <row r="102" spans="3:4" x14ac:dyDescent="0.25">
      <c r="C102" s="5"/>
      <c r="D102" s="5"/>
    </row>
    <row r="103" spans="3:4" x14ac:dyDescent="0.25">
      <c r="C103" s="5"/>
      <c r="D103" s="5"/>
    </row>
    <row r="104" spans="3:4" x14ac:dyDescent="0.25">
      <c r="C104" s="5"/>
      <c r="D104" s="5"/>
    </row>
    <row r="105" spans="3:4" x14ac:dyDescent="0.25">
      <c r="C105" s="5"/>
      <c r="D105" s="5"/>
    </row>
    <row r="106" spans="3:4" x14ac:dyDescent="0.25">
      <c r="C106" s="5"/>
      <c r="D106" s="5"/>
    </row>
    <row r="107" spans="3:4" x14ac:dyDescent="0.25">
      <c r="C107" s="5"/>
      <c r="D107" s="5"/>
    </row>
    <row r="108" spans="3:4" x14ac:dyDescent="0.25">
      <c r="C108" s="5"/>
      <c r="D108" s="5"/>
    </row>
    <row r="109" spans="3:4" x14ac:dyDescent="0.25">
      <c r="C109" s="5"/>
      <c r="D109" s="5"/>
    </row>
    <row r="110" spans="3:4" x14ac:dyDescent="0.25">
      <c r="C110" s="5"/>
      <c r="D110" s="5"/>
    </row>
    <row r="111" spans="3:4" x14ac:dyDescent="0.25">
      <c r="C111" s="5"/>
      <c r="D111" s="5"/>
    </row>
    <row r="112" spans="3:4" x14ac:dyDescent="0.25">
      <c r="C112" s="5"/>
      <c r="D112" s="5"/>
    </row>
    <row r="113" spans="3:4" x14ac:dyDescent="0.25">
      <c r="C113" s="5"/>
      <c r="D113" s="5"/>
    </row>
    <row r="114" spans="3:4" x14ac:dyDescent="0.25">
      <c r="C114" s="5"/>
      <c r="D114" s="5"/>
    </row>
    <row r="115" spans="3:4" x14ac:dyDescent="0.25">
      <c r="C115" s="5"/>
      <c r="D115" s="5"/>
    </row>
    <row r="116" spans="3:4" x14ac:dyDescent="0.25">
      <c r="C116" s="5"/>
      <c r="D116" s="5"/>
    </row>
    <row r="117" spans="3:4" x14ac:dyDescent="0.25">
      <c r="C117" s="5"/>
      <c r="D117" s="5"/>
    </row>
    <row r="118" spans="3:4" x14ac:dyDescent="0.25">
      <c r="C118" s="5"/>
      <c r="D118" s="5"/>
    </row>
    <row r="119" spans="3:4" x14ac:dyDescent="0.25">
      <c r="C119" s="5"/>
      <c r="D119" s="5"/>
    </row>
    <row r="120" spans="3:4" x14ac:dyDescent="0.25">
      <c r="C120" s="5"/>
      <c r="D120" s="5"/>
    </row>
    <row r="121" spans="3:4" x14ac:dyDescent="0.25">
      <c r="C121" s="5"/>
      <c r="D121" s="5"/>
    </row>
    <row r="122" spans="3:4" x14ac:dyDescent="0.25">
      <c r="C122" s="5"/>
      <c r="D122" s="5"/>
    </row>
    <row r="123" spans="3:4" x14ac:dyDescent="0.25">
      <c r="C123" s="5"/>
      <c r="D123" s="5"/>
    </row>
    <row r="124" spans="3:4" x14ac:dyDescent="0.25">
      <c r="C124" s="5"/>
      <c r="D124" s="5"/>
    </row>
    <row r="125" spans="3:4" x14ac:dyDescent="0.25">
      <c r="C125" s="5"/>
      <c r="D125" s="5"/>
    </row>
    <row r="126" spans="3:4" x14ac:dyDescent="0.25">
      <c r="C126" s="5"/>
      <c r="D126" s="5"/>
    </row>
    <row r="127" spans="3:4" x14ac:dyDescent="0.25">
      <c r="C127" s="5"/>
      <c r="D127" s="5"/>
    </row>
    <row r="128" spans="3:4" x14ac:dyDescent="0.25">
      <c r="C128" s="5"/>
      <c r="D128" s="5"/>
    </row>
    <row r="129" spans="3:4" x14ac:dyDescent="0.25">
      <c r="C129" s="5"/>
      <c r="D129" s="5"/>
    </row>
    <row r="130" spans="3:4" x14ac:dyDescent="0.25">
      <c r="C130" s="5"/>
      <c r="D130" s="5"/>
    </row>
    <row r="131" spans="3:4" x14ac:dyDescent="0.25">
      <c r="C131" s="5"/>
      <c r="D131" s="5"/>
    </row>
    <row r="132" spans="3:4" x14ac:dyDescent="0.25">
      <c r="C132" s="5"/>
      <c r="D13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49"/>
  <sheetViews>
    <sheetView tabSelected="1" topLeftCell="B1" zoomScale="70" zoomScaleNormal="70" workbookViewId="0">
      <selection activeCell="B7" sqref="B7"/>
    </sheetView>
  </sheetViews>
  <sheetFormatPr defaultRowHeight="15" x14ac:dyDescent="0.25"/>
  <cols>
    <col min="1" max="1" width="56.5703125" bestFit="1" customWidth="1"/>
    <col min="2" max="2" width="212" bestFit="1" customWidth="1"/>
    <col min="3" max="3" width="56.5703125" bestFit="1" customWidth="1"/>
    <col min="4" max="4" width="99.285156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Schroder Active Portfolio 2</v>
      </c>
      <c r="B2" t="s">
        <v>42</v>
      </c>
      <c r="C2" t="s">
        <v>33</v>
      </c>
      <c r="D2" s="8" t="s">
        <v>162</v>
      </c>
    </row>
    <row r="3" spans="1:5" x14ac:dyDescent="0.25">
      <c r="A3" t="str">
        <f>IF(Input!A4="","",Input!A4)</f>
        <v>Schroder Active Portfolio 3</v>
      </c>
      <c r="B3" t="s">
        <v>43</v>
      </c>
      <c r="C3" t="s">
        <v>34</v>
      </c>
      <c r="D3" s="8" t="s">
        <v>163</v>
      </c>
    </row>
    <row r="4" spans="1:5" x14ac:dyDescent="0.25">
      <c r="A4" t="str">
        <f>IF(Input!A5="","",Input!A5)</f>
        <v>Schroder Active Portfolio 4</v>
      </c>
      <c r="B4" t="s">
        <v>44</v>
      </c>
      <c r="C4" t="s">
        <v>35</v>
      </c>
      <c r="D4" s="8" t="s">
        <v>164</v>
      </c>
    </row>
    <row r="5" spans="1:5" x14ac:dyDescent="0.25">
      <c r="A5" t="str">
        <f>IF(Input!A6="","",Input!A6)</f>
        <v>Schroder Active Portfolio 5</v>
      </c>
      <c r="B5" t="s">
        <v>45</v>
      </c>
      <c r="C5" t="s">
        <v>36</v>
      </c>
      <c r="D5" s="8" t="s">
        <v>165</v>
      </c>
    </row>
    <row r="6" spans="1:5" x14ac:dyDescent="0.25">
      <c r="A6" t="str">
        <f>IF(Input!A7="","",Input!A7)</f>
        <v>Schroder Active Portfolio 6</v>
      </c>
      <c r="B6" t="s">
        <v>46</v>
      </c>
      <c r="C6" t="s">
        <v>37</v>
      </c>
      <c r="D6" s="8" t="s">
        <v>166</v>
      </c>
    </row>
    <row r="7" spans="1:5" x14ac:dyDescent="0.25">
      <c r="A7" t="str">
        <f>IF(Input!A8="","",Input!A8)</f>
        <v>Schroder Active Portfolio 7</v>
      </c>
      <c r="B7" t="s">
        <v>47</v>
      </c>
      <c r="C7" s="10" t="s">
        <v>38</v>
      </c>
      <c r="D7" s="8" t="s">
        <v>167</v>
      </c>
    </row>
    <row r="8" spans="1:5" x14ac:dyDescent="0.25">
      <c r="A8" t="str">
        <f>IF(Input!A9="","",Input!A9)</f>
        <v>Schroder Active Portfolio 8</v>
      </c>
      <c r="B8" t="s">
        <v>48</v>
      </c>
      <c r="C8" s="10" t="s">
        <v>39</v>
      </c>
      <c r="D8" s="8" t="s">
        <v>168</v>
      </c>
    </row>
    <row r="9" spans="1:5" x14ac:dyDescent="0.25">
      <c r="A9" t="str">
        <f>IF(Input!A10="","",Input!A10)</f>
        <v>Schroder Active Portfolio 9</v>
      </c>
      <c r="B9" t="s">
        <v>49</v>
      </c>
      <c r="C9" t="s">
        <v>40</v>
      </c>
      <c r="D9" s="8" t="s">
        <v>169</v>
      </c>
    </row>
    <row r="10" spans="1:5" x14ac:dyDescent="0.25">
      <c r="A10" t="str">
        <f>IF(Input!A11="","",Input!A11)</f>
        <v>Schroder Active Portfolio 10</v>
      </c>
      <c r="B10" t="s">
        <v>50</v>
      </c>
      <c r="C10" t="s">
        <v>41</v>
      </c>
      <c r="D10" s="8" t="s">
        <v>170</v>
      </c>
    </row>
    <row r="11" spans="1:5" x14ac:dyDescent="0.25">
      <c r="A11" t="str">
        <f>IF(Input!A12="","",Input!A12)</f>
        <v>Schroder Strategic Index Portfolio 2</v>
      </c>
      <c r="B11" t="s">
        <v>60</v>
      </c>
      <c r="C11" s="11" t="s">
        <v>51</v>
      </c>
      <c r="D11" s="8" t="s">
        <v>171</v>
      </c>
    </row>
    <row r="12" spans="1:5" x14ac:dyDescent="0.25">
      <c r="A12" t="str">
        <f>IF(Input!A13="","",Input!A13)</f>
        <v>Schroder Strategic Index Portfolio 3</v>
      </c>
      <c r="B12" t="s">
        <v>61</v>
      </c>
      <c r="C12" t="s">
        <v>52</v>
      </c>
      <c r="D12" s="8" t="s">
        <v>172</v>
      </c>
    </row>
    <row r="13" spans="1:5" x14ac:dyDescent="0.25">
      <c r="A13" t="str">
        <f>IF(Input!A14="","",Input!A14)</f>
        <v>Schroder Strategic Index Portfolio 4</v>
      </c>
      <c r="B13" t="s">
        <v>62</v>
      </c>
      <c r="C13" t="s">
        <v>53</v>
      </c>
      <c r="D13" s="8" t="s">
        <v>173</v>
      </c>
    </row>
    <row r="14" spans="1:5" x14ac:dyDescent="0.25">
      <c r="A14" t="str">
        <f>IF(Input!A15="","",Input!A15)</f>
        <v>Schroder Strategic Index Portfolio 5</v>
      </c>
      <c r="B14" t="s">
        <v>63</v>
      </c>
      <c r="C14" t="s">
        <v>54</v>
      </c>
      <c r="D14" s="8" t="s">
        <v>174</v>
      </c>
    </row>
    <row r="15" spans="1:5" x14ac:dyDescent="0.25">
      <c r="A15" t="str">
        <f>IF(Input!A16="","",Input!A16)</f>
        <v>Schroder Strategic Index Portfolio 6</v>
      </c>
      <c r="B15" t="s">
        <v>64</v>
      </c>
      <c r="C15" t="s">
        <v>55</v>
      </c>
      <c r="D15" s="8" t="s">
        <v>175</v>
      </c>
    </row>
    <row r="16" spans="1:5" x14ac:dyDescent="0.25">
      <c r="A16" t="str">
        <f>IF(Input!A17="","",Input!A17)</f>
        <v>Schroder Strategic Index Portfolio 7</v>
      </c>
      <c r="B16" t="s">
        <v>65</v>
      </c>
      <c r="C16" t="s">
        <v>56</v>
      </c>
      <c r="D16" s="8" t="s">
        <v>176</v>
      </c>
    </row>
    <row r="17" spans="1:4" x14ac:dyDescent="0.25">
      <c r="A17" t="str">
        <f>IF(Input!A18="","",Input!A18)</f>
        <v>Schroder Strategic Index Portfolio 8</v>
      </c>
      <c r="B17" t="s">
        <v>66</v>
      </c>
      <c r="C17" t="s">
        <v>57</v>
      </c>
    </row>
    <row r="18" spans="1:4" x14ac:dyDescent="0.25">
      <c r="A18" t="str">
        <f>IF(Input!A19="","",Input!A19)</f>
        <v>Schroder Strategic Index Portfolio 9</v>
      </c>
      <c r="B18" t="s">
        <v>67</v>
      </c>
      <c r="C18" t="s">
        <v>58</v>
      </c>
      <c r="D18" s="8" t="s">
        <v>177</v>
      </c>
    </row>
    <row r="19" spans="1:4" x14ac:dyDescent="0.25">
      <c r="A19" t="str">
        <f>IF(Input!A20="","",Input!A20)</f>
        <v>Schroder Strategic Index Portfolio 10</v>
      </c>
      <c r="B19" t="s">
        <v>68</v>
      </c>
      <c r="C19" t="s">
        <v>59</v>
      </c>
      <c r="D19" s="8" t="s">
        <v>173</v>
      </c>
    </row>
    <row r="20" spans="1:4" x14ac:dyDescent="0.25">
      <c r="A20" t="str">
        <f>IF(Input!A21="","",Input!A21)</f>
        <v>Schroder Sustainable Portfolio 3</v>
      </c>
      <c r="B20" t="s">
        <v>75</v>
      </c>
      <c r="C20" t="s">
        <v>69</v>
      </c>
      <c r="D20" s="8" t="s">
        <v>178</v>
      </c>
    </row>
    <row r="21" spans="1:4" x14ac:dyDescent="0.25">
      <c r="A21" t="str">
        <f>IF(Input!A22="","",Input!A22)</f>
        <v>Schroder Sustainable Portfolio 4</v>
      </c>
      <c r="B21" t="s">
        <v>76</v>
      </c>
      <c r="C21" t="s">
        <v>70</v>
      </c>
      <c r="D21" s="8" t="s">
        <v>179</v>
      </c>
    </row>
    <row r="22" spans="1:4" x14ac:dyDescent="0.25">
      <c r="A22" t="str">
        <f>IF(Input!A23="","",Input!A23)</f>
        <v>Schroder Sustainable Portfolio 5</v>
      </c>
      <c r="B22" s="4" t="s">
        <v>159</v>
      </c>
      <c r="C22" t="s">
        <v>71</v>
      </c>
      <c r="D22" s="8" t="s">
        <v>180</v>
      </c>
    </row>
    <row r="23" spans="1:4" x14ac:dyDescent="0.25">
      <c r="A23" t="str">
        <f>IF(Input!A24="","",Input!A24)</f>
        <v>Schroder Sustainable Portfolio 6</v>
      </c>
      <c r="B23" t="s">
        <v>77</v>
      </c>
      <c r="C23" t="s">
        <v>72</v>
      </c>
      <c r="D23" s="8" t="s">
        <v>181</v>
      </c>
    </row>
    <row r="24" spans="1:4" x14ac:dyDescent="0.25">
      <c r="A24" t="str">
        <f>IF(Input!A25="","",Input!A25)</f>
        <v>Schroder Sustainable Portfolio 7</v>
      </c>
      <c r="B24" t="s">
        <v>78</v>
      </c>
      <c r="C24" t="s">
        <v>73</v>
      </c>
      <c r="D24" s="8" t="s">
        <v>182</v>
      </c>
    </row>
    <row r="25" spans="1:4" x14ac:dyDescent="0.25">
      <c r="A25" t="str">
        <f>IF(Input!A26="","",Input!A26)</f>
        <v>Schroder Sustainable Portfolio 8</v>
      </c>
      <c r="B25" t="s">
        <v>79</v>
      </c>
      <c r="C25" t="s">
        <v>74</v>
      </c>
      <c r="D25" s="8" t="s">
        <v>183</v>
      </c>
    </row>
    <row r="26" spans="1:4" x14ac:dyDescent="0.25">
      <c r="A26" t="str">
        <f>IF(Input!A27="","",Input!A27)</f>
        <v>Schroder Blended Portfolio 3</v>
      </c>
      <c r="B26" t="s">
        <v>86</v>
      </c>
      <c r="C26" t="s">
        <v>80</v>
      </c>
      <c r="D26" s="8" t="s">
        <v>184</v>
      </c>
    </row>
    <row r="27" spans="1:4" x14ac:dyDescent="0.25">
      <c r="A27" t="str">
        <f>IF(Input!A28="","",Input!A28)</f>
        <v>Schroder Blended Portfolio 4</v>
      </c>
      <c r="B27" t="s">
        <v>87</v>
      </c>
      <c r="C27" t="s">
        <v>81</v>
      </c>
      <c r="D27" s="8" t="s">
        <v>185</v>
      </c>
    </row>
    <row r="28" spans="1:4" x14ac:dyDescent="0.25">
      <c r="A28" t="str">
        <f>IF(Input!A29="","",Input!A29)</f>
        <v>Schroder Blended Portfolio 5</v>
      </c>
      <c r="B28" t="s">
        <v>88</v>
      </c>
      <c r="C28" t="s">
        <v>82</v>
      </c>
      <c r="D28" s="8" t="s">
        <v>186</v>
      </c>
    </row>
    <row r="29" spans="1:4" x14ac:dyDescent="0.25">
      <c r="A29" t="str">
        <f>IF(Input!A30="","",Input!A30)</f>
        <v>Schroder Blended Portfolio 6</v>
      </c>
      <c r="B29" t="s">
        <v>89</v>
      </c>
      <c r="C29" t="s">
        <v>83</v>
      </c>
      <c r="D29" s="8" t="s">
        <v>187</v>
      </c>
    </row>
    <row r="30" spans="1:4" x14ac:dyDescent="0.25">
      <c r="A30" t="str">
        <f>IF(Input!A31="","",Input!A31)</f>
        <v>Schroder Blended Portfolio 7</v>
      </c>
      <c r="B30" t="s">
        <v>90</v>
      </c>
      <c r="C30" t="s">
        <v>84</v>
      </c>
      <c r="D30" s="8" t="s">
        <v>187</v>
      </c>
    </row>
    <row r="31" spans="1:4" x14ac:dyDescent="0.25">
      <c r="A31" t="str">
        <f>IF(Input!A32="","",Input!A32)</f>
        <v>Schroder Blended Portfolio 8</v>
      </c>
      <c r="B31" t="s">
        <v>91</v>
      </c>
      <c r="C31" t="s">
        <v>85</v>
      </c>
      <c r="D31" s="8" t="s">
        <v>188</v>
      </c>
    </row>
    <row r="32" spans="1:4" x14ac:dyDescent="0.25">
      <c r="A32" t="str">
        <f>IF(Input!A33="","",Input!A33)</f>
        <v>Schroder Income Portfolio</v>
      </c>
      <c r="B32" t="s">
        <v>93</v>
      </c>
      <c r="C32" t="s">
        <v>160</v>
      </c>
      <c r="D32" s="8" t="s">
        <v>189</v>
      </c>
    </row>
    <row r="33" spans="1:4" x14ac:dyDescent="0.25">
      <c r="A33" t="str">
        <f>IF(Input!A34="","",Input!A34)</f>
        <v>Schroder Managed Defensive Fund</v>
      </c>
      <c r="B33" t="s">
        <v>95</v>
      </c>
      <c r="C33" t="s">
        <v>161</v>
      </c>
      <c r="D33" s="8" t="s">
        <v>190</v>
      </c>
    </row>
    <row r="34" spans="1:4" x14ac:dyDescent="0.25">
      <c r="A34" t="str">
        <f>IF(Input!A35="","",Input!A35)</f>
        <v>Schroder Global Multi-Asset Cautious Portfolio</v>
      </c>
      <c r="B34" t="s">
        <v>97</v>
      </c>
      <c r="C34" t="s">
        <v>96</v>
      </c>
      <c r="D34" s="8" t="s">
        <v>187</v>
      </c>
    </row>
    <row r="35" spans="1:4" x14ac:dyDescent="0.25">
      <c r="A35" t="str">
        <f>IF(Input!A36="","",Input!A36)</f>
        <v>Schroder Global Multi-Asset Moderately Cautious Portfolio</v>
      </c>
      <c r="B35" t="s">
        <v>99</v>
      </c>
      <c r="C35" t="s">
        <v>98</v>
      </c>
      <c r="D35" s="8" t="s">
        <v>187</v>
      </c>
    </row>
    <row r="36" spans="1:4" x14ac:dyDescent="0.25">
      <c r="A36" t="str">
        <f>IF(Input!A37="","",Input!A37)</f>
        <v>Schroder Schroder Global Multi-Asset Balanced Portfolio</v>
      </c>
      <c r="B36" t="s">
        <v>101</v>
      </c>
      <c r="C36" t="s">
        <v>100</v>
      </c>
      <c r="D36" s="8" t="s">
        <v>187</v>
      </c>
    </row>
    <row r="37" spans="1:4" x14ac:dyDescent="0.25">
      <c r="A37" t="str">
        <f>IF(Input!A38="","",Input!A38)</f>
        <v>Schroder Global Multi-Asset Growth Portfolio</v>
      </c>
      <c r="B37" t="s">
        <v>103</v>
      </c>
      <c r="C37" t="s">
        <v>102</v>
      </c>
      <c r="D37" s="8" t="s">
        <v>187</v>
      </c>
    </row>
    <row r="38" spans="1:4" x14ac:dyDescent="0.25">
      <c r="A38" t="str">
        <f>IF(Input!A39="","",Input!A39)</f>
        <v>Schroder Global Multi-Asset Adventurous Portfolio</v>
      </c>
      <c r="B38" t="s">
        <v>105</v>
      </c>
      <c r="C38" t="s">
        <v>104</v>
      </c>
    </row>
    <row r="39" spans="1:4" x14ac:dyDescent="0.25">
      <c r="A39" t="str">
        <f>IF(Input!A41="","",Input!A41)</f>
        <v/>
      </c>
    </row>
    <row r="40" spans="1:4" x14ac:dyDescent="0.25">
      <c r="A40" t="str">
        <f>IF(Input!A42="","",Input!A42)</f>
        <v/>
      </c>
    </row>
    <row r="41" spans="1:4" x14ac:dyDescent="0.25">
      <c r="A41" t="str">
        <f>IF(Input!A43="","",Input!A43)</f>
        <v/>
      </c>
    </row>
    <row r="42" spans="1:4" x14ac:dyDescent="0.25">
      <c r="A42" t="str">
        <f>IF(Input!A44="","",Input!A44)</f>
        <v/>
      </c>
    </row>
    <row r="43" spans="1:4" x14ac:dyDescent="0.25">
      <c r="A43" t="str">
        <f>IF(Input!A45="","",Input!A45)</f>
        <v/>
      </c>
    </row>
    <row r="44" spans="1:4" x14ac:dyDescent="0.25">
      <c r="A44" t="str">
        <f>IF(Input!A46="","",Input!A46)</f>
        <v/>
      </c>
    </row>
    <row r="45" spans="1:4" x14ac:dyDescent="0.25">
      <c r="A45" t="str">
        <f>IF(Input!A47="","",Input!A47)</f>
        <v/>
      </c>
    </row>
    <row r="46" spans="1:4" x14ac:dyDescent="0.25">
      <c r="A46" t="str">
        <f>IF(Input!A48="","",Input!A48)</f>
        <v/>
      </c>
    </row>
    <row r="47" spans="1:4" x14ac:dyDescent="0.25">
      <c r="A47" t="str">
        <f>IF(Input!A49="","",Input!A49)</f>
        <v/>
      </c>
    </row>
    <row r="48" spans="1:4" x14ac:dyDescent="0.25">
      <c r="A48" t="str">
        <f>IF(Input!A50="","",Input!A50)</f>
        <v/>
      </c>
    </row>
    <row r="49" spans="1:1" x14ac:dyDescent="0.25">
      <c r="A49" t="str">
        <f>IF(Input!A51="","",Input!A51)</f>
        <v/>
      </c>
    </row>
  </sheetData>
  <hyperlinks>
    <hyperlink ref="B22" r:id="rId1" location="/fund/SCHDR_F000016P37/schroder-sustainable-portfolio-5/-/profile/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Schroder Active Portfolio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Schroder Active Portfolio 3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Schroder Active Portfolio 4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Schroder Active Portfolio 5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Schroder Active Portfolio 6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Schroder Active Portfolio 7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Schroder Active Portfolio 8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Schroder Active Portfolio 9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Schroder Active Portfolio 10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Schroder Strategic Index Portfolio 2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Schroder Strategic Index Portfolio 3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Schroder Strategic Index Portfolio 4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Schroder Strategic Index Portfolio 5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Schroder Strategic Index Portfolio 6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Schroder Strategic Index Portfolio 7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Schroder Strategic Index Portfolio 8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Schroder Strategic Index Portfolio 9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Schroder Strategic Index Portfolio 10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Schroder Sustainable Portfolio 3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Schroder Sustainable Portfolio 4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Schroder Sustainable Portfolio 5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Schroder Sustainable Portfolio 6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Schroder Sustainable Portfolio 7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Schroder Sustainable Portfolio 8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>Schroder Blended Portfolio 3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25">
      <c r="A27" t="str">
        <f>IF(Input!A28="","",Input!A28)</f>
        <v>Schroder Blended Portfolio 4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25">
      <c r="A28" t="str">
        <f>IF(Input!A29="","",Input!A29)</f>
        <v>Schroder Blended Portfolio 5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25">
      <c r="A29" t="str">
        <f>IF(Input!A30="","",Input!A30)</f>
        <v>Schroder Blended Portfolio 6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25">
      <c r="A30" t="str">
        <f>IF(Input!A31="","",Input!A31)</f>
        <v>Schroder Blended Portfolio 7</v>
      </c>
      <c r="B30" s="1">
        <f>IF(A30="","",EOMONTH(DATE(YEAR(IF(A30="","",'Additional Information'!B30)),MONTH(IF(A30="","",'Additional Information'!B30)),DAY(IF(A30="","",'Additional Information'!B30))),0))</f>
        <v>31</v>
      </c>
    </row>
    <row r="31" spans="1:2" x14ac:dyDescent="0.25">
      <c r="A31" t="str">
        <f>IF(Input!A32="","",Input!A32)</f>
        <v>Schroder Blended Portfolio 8</v>
      </c>
      <c r="B31" s="1">
        <f>IF(A31="","",EOMONTH(DATE(YEAR(IF(A31="","",'Additional Information'!B31)),MONTH(IF(A31="","",'Additional Information'!B31)),DAY(IF(A31="","",'Additional Information'!B31))),0))</f>
        <v>31</v>
      </c>
    </row>
    <row r="32" spans="1:2" x14ac:dyDescent="0.25">
      <c r="A32" t="str">
        <f>IF(Input!A33="","",Input!A33)</f>
        <v>Schroder Income Portfolio</v>
      </c>
      <c r="B32" s="1">
        <f>IF(A32="","",EOMONTH(DATE(YEAR(IF(A32="","",'Additional Information'!B32)),MONTH(IF(A32="","",'Additional Information'!B32)),DAY(IF(A32="","",'Additional Information'!B32))),0))</f>
        <v>31</v>
      </c>
    </row>
    <row r="33" spans="1:2" x14ac:dyDescent="0.25">
      <c r="A33" t="str">
        <f>IF(Input!A34="","",Input!A34)</f>
        <v>Schroder Managed Defensive Fund</v>
      </c>
      <c r="B33" s="1">
        <f>IF(A33="","",EOMONTH(DATE(YEAR(IF(A33="","",'Additional Information'!B33)),MONTH(IF(A33="","",'Additional Information'!B33)),DAY(IF(A33="","",'Additional Information'!B33))),0))</f>
        <v>31</v>
      </c>
    </row>
    <row r="34" spans="1:2" x14ac:dyDescent="0.25">
      <c r="A34" t="str">
        <f>IF(Input!A35="","",Input!A35)</f>
        <v>Schroder Global Multi-Asset Cautious Portfolio</v>
      </c>
      <c r="B34" s="1">
        <f>IF(A34="","",EOMONTH(DATE(YEAR(IF(A34="","",'Additional Information'!B34)),MONTH(IF(A34="","",'Additional Information'!B34)),DAY(IF(A34="","",'Additional Information'!B34))),0))</f>
        <v>31</v>
      </c>
    </row>
    <row r="35" spans="1:2" x14ac:dyDescent="0.25">
      <c r="A35" t="str">
        <f>IF(Input!A36="","",Input!A36)</f>
        <v>Schroder Global Multi-Asset Moderately Cautious Portfolio</v>
      </c>
      <c r="B35" s="1">
        <f>IF(A35="","",EOMONTH(DATE(YEAR(IF(A35="","",'Additional Information'!B35)),MONTH(IF(A35="","",'Additional Information'!B35)),DAY(IF(A35="","",'Additional Information'!B35))),0))</f>
        <v>31</v>
      </c>
    </row>
    <row r="36" spans="1:2" x14ac:dyDescent="0.25">
      <c r="A36" t="str">
        <f>IF(Input!A37="","",Input!A37)</f>
        <v>Schroder Schroder Global Multi-Asset Balanced Portfolio</v>
      </c>
      <c r="B36" s="1">
        <f>IF(A36="","",EOMONTH(DATE(YEAR(IF(A36="","",'Additional Information'!B36)),MONTH(IF(A36="","",'Additional Information'!B36)),DAY(IF(A36="","",'Additional Information'!B36))),0))</f>
        <v>31</v>
      </c>
    </row>
    <row r="37" spans="1:2" x14ac:dyDescent="0.25">
      <c r="A37" t="str">
        <f>IF(Input!A38="","",Input!A38)</f>
        <v>Schroder Global Multi-Asset Growth Portfolio</v>
      </c>
      <c r="B37" s="1">
        <f>IF(A37="","",EOMONTH(DATE(YEAR(IF(A37="","",'Additional Information'!B37)),MONTH(IF(A37="","",'Additional Information'!B37)),DAY(IF(A37="","",'Additional Information'!B37))),0))</f>
        <v>31</v>
      </c>
    </row>
    <row r="38" spans="1:2" x14ac:dyDescent="0.25">
      <c r="A38" t="str">
        <f>IF(Input!A39="","",Input!A39)</f>
        <v>Schroder Global Multi-Asset Adventurous Portfolio</v>
      </c>
      <c r="B38" s="1">
        <f>IF(A38="","",EOMONTH(DATE(YEAR(IF(A38="","",'Additional Information'!B38)),MONTH(IF(A38="","",'Additional Information'!B38)),DAY(IF(A38="","",'Additional Information'!B38))),0))</f>
        <v>31</v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Schroder Active Portfolio 2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25">
      <c r="A3" t="str">
        <f>IF(Input!A4="","",Input!A4)</f>
        <v>Schroder Active Portfolio 3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25">
      <c r="A4" t="str">
        <f>IF(Input!A5="","",Input!A5)</f>
        <v>Schroder Active Portfolio 4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25">
      <c r="A5" t="str">
        <f>IF(Input!A6="","",Input!A6)</f>
        <v>Schroder Active Portfolio 5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25">
      <c r="A6" t="str">
        <f>IF(Input!A7="","",Input!A7)</f>
        <v>Schroder Active Portfolio 6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25">
      <c r="A7" t="str">
        <f>IF(Input!A8="","",Input!A8)</f>
        <v>Schroder Active Portfolio 7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25">
      <c r="A8" t="str">
        <f>IF(Input!A9="","",Input!A9)</f>
        <v>Schroder Active Portfolio 8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25">
      <c r="A9" t="str">
        <f>IF(Input!A10="","",Input!A10)</f>
        <v>Schroder Active Portfolio 9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25">
      <c r="A10" t="str">
        <f>IF(Input!A11="","",Input!A11)</f>
        <v>Schroder Active Portfolio 10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25">
      <c r="A11" t="str">
        <f>IF(Input!A12="","",Input!A12)</f>
        <v>Schroder Strategic Index Portfolio 2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25">
      <c r="A12" t="str">
        <f>IF(Input!A13="","",Input!A13)</f>
        <v>Schroder Strategic Index Portfolio 3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4" x14ac:dyDescent="0.25">
      <c r="A13" t="str">
        <f>IF(Input!A14="","",Input!A14)</f>
        <v>Schroder Strategic Index Portfolio 4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4" x14ac:dyDescent="0.25">
      <c r="A14" t="str">
        <f>IF(Input!A15="","",Input!A15)</f>
        <v>Schroder Strategic Index Portfolio 5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4" x14ac:dyDescent="0.25">
      <c r="A15" t="str">
        <f>IF(Input!A16="","",Input!A16)</f>
        <v>Schroder Strategic Index Portfolio 6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4" x14ac:dyDescent="0.25">
      <c r="A16" t="str">
        <f>IF(Input!A17="","",Input!A17)</f>
        <v>Schroder Strategic Index Portfolio 7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25">
      <c r="A17" t="str">
        <f>IF(Input!A18="","",Input!A18)</f>
        <v>Schroder Strategic Index Portfolio 8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25">
      <c r="A18" t="str">
        <f>IF(Input!A19="","",Input!A19)</f>
        <v>Schroder Strategic Index Portfolio 9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25">
      <c r="A19" t="str">
        <f>IF(Input!A20="","",Input!A20)</f>
        <v>Schroder Strategic Index Portfolio 10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25">
      <c r="A20" t="str">
        <f>IF(Input!A21="","",Input!A21)</f>
        <v>Schroder Sustainable Portfolio 3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25">
      <c r="A21" t="str">
        <f>IF(Input!A22="","",Input!A22)</f>
        <v>Schroder Sustainable Portfolio 4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25">
      <c r="A22" t="str">
        <f>IF(Input!A23="","",Input!A23)</f>
        <v>Schroder Sustainable Portfolio 5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25">
      <c r="A23" t="str">
        <f>IF(Input!A24="","",Input!A24)</f>
        <v>Schroder Sustainable Portfolio 6</v>
      </c>
      <c r="B23">
        <f>IF(A23="","",'Additional Information'!F23)</f>
        <v>0</v>
      </c>
      <c r="C23">
        <f>IF(A23="","",'Additional Information'!E23)</f>
        <v>0</v>
      </c>
      <c r="D23" s="5">
        <f>IF(A23="","",SUM('Additional Information'!C23,'Additional Information'!D23))</f>
        <v>0</v>
      </c>
    </row>
    <row r="24" spans="1:4" x14ac:dyDescent="0.25">
      <c r="A24" t="str">
        <f>IF(Input!A25="","",Input!A25)</f>
        <v>Schroder Sustainable Portfolio 7</v>
      </c>
      <c r="B24">
        <f>IF(A24="","",'Additional Information'!F24)</f>
        <v>0</v>
      </c>
      <c r="C24">
        <f>IF(A24="","",'Additional Information'!E24)</f>
        <v>0</v>
      </c>
      <c r="D24" s="5">
        <f>IF(A24="","",SUM('Additional Information'!C24,'Additional Information'!D24))</f>
        <v>0</v>
      </c>
    </row>
    <row r="25" spans="1:4" x14ac:dyDescent="0.25">
      <c r="A25" t="str">
        <f>IF(Input!A26="","",Input!A26)</f>
        <v>Schroder Sustainable Portfolio 8</v>
      </c>
      <c r="B25">
        <f>IF(A25="","",'Additional Information'!F25)</f>
        <v>0</v>
      </c>
      <c r="C25">
        <f>IF(A25="","",'Additional Information'!E25)</f>
        <v>0</v>
      </c>
      <c r="D25" s="5">
        <f>IF(A25="","",SUM('Additional Information'!C25,'Additional Information'!D25))</f>
        <v>0</v>
      </c>
    </row>
    <row r="26" spans="1:4" x14ac:dyDescent="0.25">
      <c r="A26" t="str">
        <f>IF(Input!A27="","",Input!A27)</f>
        <v>Schroder Blended Portfolio 3</v>
      </c>
      <c r="B26">
        <f>IF(A26="","",'Additional Information'!F26)</f>
        <v>0</v>
      </c>
      <c r="C26">
        <f>IF(A26="","",'Additional Information'!E26)</f>
        <v>0</v>
      </c>
      <c r="D26" s="5">
        <f>IF(A26="","",SUM('Additional Information'!C26,'Additional Information'!D26))</f>
        <v>0</v>
      </c>
    </row>
    <row r="27" spans="1:4" x14ac:dyDescent="0.25">
      <c r="A27" t="str">
        <f>IF(Input!A28="","",Input!A28)</f>
        <v>Schroder Blended Portfolio 4</v>
      </c>
      <c r="B27">
        <f>IF(A27="","",'Additional Information'!F27)</f>
        <v>0</v>
      </c>
      <c r="C27">
        <f>IF(A27="","",'Additional Information'!E27)</f>
        <v>0</v>
      </c>
      <c r="D27" s="5">
        <f>IF(A27="","",SUM('Additional Information'!C27,'Additional Information'!D27))</f>
        <v>0</v>
      </c>
    </row>
    <row r="28" spans="1:4" x14ac:dyDescent="0.25">
      <c r="A28" t="str">
        <f>IF(Input!A29="","",Input!A29)</f>
        <v>Schroder Blended Portfolio 5</v>
      </c>
      <c r="B28">
        <f>IF(A28="","",'Additional Information'!F28)</f>
        <v>0</v>
      </c>
      <c r="C28">
        <f>IF(A28="","",'Additional Information'!E28)</f>
        <v>0</v>
      </c>
      <c r="D28" s="5">
        <f>IF(A28="","",SUM('Additional Information'!C28,'Additional Information'!D28))</f>
        <v>0</v>
      </c>
    </row>
    <row r="29" spans="1:4" x14ac:dyDescent="0.25">
      <c r="A29" t="str">
        <f>IF(Input!A30="","",Input!A30)</f>
        <v>Schroder Blended Portfolio 6</v>
      </c>
      <c r="B29">
        <f>IF(A29="","",'Additional Information'!F29)</f>
        <v>0</v>
      </c>
      <c r="C29">
        <f>IF(A29="","",'Additional Information'!E29)</f>
        <v>0</v>
      </c>
      <c r="D29" s="5">
        <f>IF(A29="","",SUM('Additional Information'!C29,'Additional Information'!D29))</f>
        <v>0</v>
      </c>
    </row>
    <row r="30" spans="1:4" x14ac:dyDescent="0.25">
      <c r="A30" t="str">
        <f>IF(Input!A31="","",Input!A31)</f>
        <v>Schroder Blended Portfolio 7</v>
      </c>
      <c r="B30">
        <f>IF(A30="","",'Additional Information'!F30)</f>
        <v>0</v>
      </c>
      <c r="C30">
        <f>IF(A30="","",'Additional Information'!E30)</f>
        <v>0</v>
      </c>
      <c r="D30" s="5">
        <f>IF(A30="","",SUM('Additional Information'!C30,'Additional Information'!D30))</f>
        <v>0</v>
      </c>
    </row>
    <row r="31" spans="1:4" x14ac:dyDescent="0.25">
      <c r="A31" t="str">
        <f>IF(Input!A32="","",Input!A32)</f>
        <v>Schroder Blended Portfolio 8</v>
      </c>
      <c r="B31">
        <f>IF(A31="","",'Additional Information'!F31)</f>
        <v>0</v>
      </c>
      <c r="C31">
        <f>IF(A31="","",'Additional Information'!E31)</f>
        <v>0</v>
      </c>
      <c r="D31" s="5">
        <f>IF(A31="","",SUM('Additional Information'!C31,'Additional Information'!D31))</f>
        <v>0</v>
      </c>
    </row>
    <row r="32" spans="1:4" x14ac:dyDescent="0.25">
      <c r="A32" t="str">
        <f>IF(Input!A33="","",Input!A33)</f>
        <v>Schroder Income Portfolio</v>
      </c>
      <c r="B32">
        <f>IF(A32="","",'Additional Information'!F32)</f>
        <v>0</v>
      </c>
      <c r="C32">
        <f>IF(A32="","",'Additional Information'!E32)</f>
        <v>0</v>
      </c>
      <c r="D32" s="5">
        <f>IF(A32="","",SUM('Additional Information'!C32,'Additional Information'!D32))</f>
        <v>0</v>
      </c>
    </row>
    <row r="33" spans="1:4" x14ac:dyDescent="0.25">
      <c r="A33" t="str">
        <f>IF(Input!A34="","",Input!A34)</f>
        <v>Schroder Managed Defensive Fund</v>
      </c>
      <c r="B33">
        <f>IF(A33="","",'Additional Information'!F33)</f>
        <v>0</v>
      </c>
      <c r="C33">
        <f>IF(A33="","",'Additional Information'!E33)</f>
        <v>0</v>
      </c>
      <c r="D33" s="5">
        <f>IF(A33="","",SUM('Additional Information'!C33,'Additional Information'!D33))</f>
        <v>0</v>
      </c>
    </row>
    <row r="34" spans="1:4" x14ac:dyDescent="0.25">
      <c r="A34" t="str">
        <f>IF(Input!A35="","",Input!A35)</f>
        <v>Schroder Global Multi-Asset Cautious Portfolio</v>
      </c>
      <c r="B34">
        <f>IF(A34="","",'Additional Information'!F34)</f>
        <v>0</v>
      </c>
      <c r="C34">
        <f>IF(A34="","",'Additional Information'!E34)</f>
        <v>0</v>
      </c>
      <c r="D34" s="5">
        <f>IF(A34="","",SUM('Additional Information'!C34,'Additional Information'!D34))</f>
        <v>0</v>
      </c>
    </row>
    <row r="35" spans="1:4" x14ac:dyDescent="0.25">
      <c r="A35" t="str">
        <f>IF(Input!A36="","",Input!A36)</f>
        <v>Schroder Global Multi-Asset Moderately Cautious Portfolio</v>
      </c>
      <c r="B35">
        <f>IF(A35="","",'Additional Information'!F35)</f>
        <v>0</v>
      </c>
      <c r="C35">
        <f>IF(A35="","",'Additional Information'!E35)</f>
        <v>0</v>
      </c>
      <c r="D35" s="5">
        <f>IF(A35="","",SUM('Additional Information'!C35,'Additional Information'!D35))</f>
        <v>0</v>
      </c>
    </row>
    <row r="36" spans="1:4" x14ac:dyDescent="0.25">
      <c r="A36" t="str">
        <f>IF(Input!A37="","",Input!A37)</f>
        <v>Schroder Schroder Global Multi-Asset Balanced Portfolio</v>
      </c>
      <c r="B36">
        <f>IF(A36="","",'Additional Information'!F36)</f>
        <v>0</v>
      </c>
      <c r="C36">
        <f>IF(A36="","",'Additional Information'!E36)</f>
        <v>0</v>
      </c>
      <c r="D36" s="5">
        <f>IF(A36="","",SUM('Additional Information'!C36,'Additional Information'!D36))</f>
        <v>0</v>
      </c>
    </row>
    <row r="37" spans="1:4" x14ac:dyDescent="0.25">
      <c r="A37" t="str">
        <f>IF(Input!A38="","",Input!A38)</f>
        <v>Schroder Global Multi-Asset Growth Portfolio</v>
      </c>
      <c r="B37">
        <f>IF(A37="","",'Additional Information'!F37)</f>
        <v>0</v>
      </c>
      <c r="C37">
        <f>IF(A37="","",'Additional Information'!E37)</f>
        <v>0</v>
      </c>
      <c r="D37" s="5">
        <f>IF(A37="","",SUM('Additional Information'!C37,'Additional Information'!D37))</f>
        <v>0</v>
      </c>
    </row>
    <row r="38" spans="1:4" x14ac:dyDescent="0.25">
      <c r="A38" t="str">
        <f>IF(Input!A39="","",Input!A39)</f>
        <v>Schroder Global Multi-Asset Adventurous Portfolio</v>
      </c>
      <c r="B38">
        <f>IF(A38="","",'Additional Information'!F38)</f>
        <v>0</v>
      </c>
      <c r="C38">
        <f>IF(A38="","",'Additional Information'!E38)</f>
        <v>0</v>
      </c>
      <c r="D38" s="5">
        <f>IF(A38="","",SUM('Additional Information'!C38,'Additional Information'!D38))</f>
        <v>0</v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Schroder Active Portfolio 2</v>
      </c>
      <c r="B2">
        <f>IF(A2="","",SUM('Asset Allocation'!B2))</f>
        <v>0</v>
      </c>
      <c r="C2">
        <f>IF(A2="","",SUM('Asset Allocation'!C2))</f>
        <v>0</v>
      </c>
      <c r="D2">
        <f>IF(A2="","",SUM('Asset Allocation'!G2))</f>
        <v>0</v>
      </c>
      <c r="E2">
        <f>IF(A2="","",SUM('Asset Allocation'!F2))</f>
        <v>0</v>
      </c>
      <c r="F2">
        <f>IF(A2="","",SUM('Asset Allocation'!E2,'Asset Allocation'!H2))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Schroder Active Portfolio 3</v>
      </c>
      <c r="B3">
        <f>IF(A3="","",SUM('Asset Allocation'!B3))</f>
        <v>0</v>
      </c>
      <c r="C3">
        <f>IF(A3="","",SUM('Asset Allocation'!C3))</f>
        <v>0</v>
      </c>
      <c r="D3">
        <f>IF(A3="","",SUM('Asset Allocation'!G3))</f>
        <v>0</v>
      </c>
      <c r="E3">
        <f>IF(A3="","",SUM('Asset Allocation'!F3))</f>
        <v>0</v>
      </c>
      <c r="F3">
        <f>IF(A3="","",SUM('Asset Allocation'!E3,'Asset Allocation'!H3))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Schroder Active Portfolio 4</v>
      </c>
      <c r="B4">
        <f>IF(A4="","",SUM('Asset Allocation'!B4))</f>
        <v>0</v>
      </c>
      <c r="C4">
        <f>IF(A4="","",SUM('Asset Allocation'!C4))</f>
        <v>0</v>
      </c>
      <c r="D4">
        <f>IF(A4="","",SUM('Asset Allocation'!G4))</f>
        <v>0</v>
      </c>
      <c r="E4">
        <f>IF(A4="","",SUM('Asset Allocation'!F4))</f>
        <v>0</v>
      </c>
      <c r="F4">
        <f>IF(A4="","",SUM('Asset Allocation'!E4,'Asset Allocation'!H4))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Schroder Active Portfolio 5</v>
      </c>
      <c r="B5">
        <f>IF(A5="","",SUM('Asset Allocation'!B5))</f>
        <v>0</v>
      </c>
      <c r="C5">
        <f>IF(A5="","",SUM('Asset Allocation'!C5))</f>
        <v>0</v>
      </c>
      <c r="D5">
        <f>IF(A5="","",SUM('Asset Allocation'!G5))</f>
        <v>0</v>
      </c>
      <c r="E5">
        <f>IF(A5="","",SUM('Asset Allocation'!F5))</f>
        <v>0</v>
      </c>
      <c r="F5">
        <f>IF(A5="","",SUM('Asset Allocation'!E5,'Asset Allocation'!H5))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Schroder Active Portfolio 6</v>
      </c>
      <c r="B6">
        <f>IF(A6="","",SUM('Asset Allocation'!B6))</f>
        <v>0</v>
      </c>
      <c r="C6">
        <f>IF(A6="","",SUM('Asset Allocation'!C6))</f>
        <v>0</v>
      </c>
      <c r="D6">
        <f>IF(A6="","",SUM('Asset Allocation'!G6))</f>
        <v>0</v>
      </c>
      <c r="E6">
        <f>IF(A6="","",SUM('Asset Allocation'!F6))</f>
        <v>0</v>
      </c>
      <c r="F6">
        <f>IF(A6="","",SUM('Asset Allocation'!E6,'Asset Allocation'!H6))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Schroder Active Portfolio 7</v>
      </c>
      <c r="B7">
        <f>IF(A7="","",SUM('Asset Allocation'!B7))</f>
        <v>0</v>
      </c>
      <c r="C7">
        <f>IF(A7="","",SUM('Asset Allocation'!C7))</f>
        <v>0</v>
      </c>
      <c r="D7">
        <f>IF(A7="","",SUM('Asset Allocation'!G7))</f>
        <v>0</v>
      </c>
      <c r="E7">
        <f>IF(A7="","",SUM('Asset Allocation'!F7))</f>
        <v>0</v>
      </c>
      <c r="F7">
        <f>IF(A7="","",SUM('Asset Allocation'!E7,'Asset Allocation'!H7))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Schroder Active Portfolio 8</v>
      </c>
      <c r="B8">
        <f>IF(A8="","",SUM('Asset Allocation'!B8))</f>
        <v>0</v>
      </c>
      <c r="C8">
        <f>IF(A8="","",SUM('Asset Allocation'!C8))</f>
        <v>0</v>
      </c>
      <c r="D8">
        <f>IF(A8="","",SUM('Asset Allocation'!G8))</f>
        <v>0</v>
      </c>
      <c r="E8">
        <f>IF(A8="","",SUM('Asset Allocation'!F8))</f>
        <v>0</v>
      </c>
      <c r="F8">
        <f>IF(A8="","",SUM('Asset Allocation'!E8,'Asset Allocation'!H8))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Schroder Active Portfolio 9</v>
      </c>
      <c r="B9">
        <f>IF(A9="","",SUM('Asset Allocation'!B9))</f>
        <v>0</v>
      </c>
      <c r="C9">
        <f>IF(A9="","",SUM('Asset Allocation'!C9))</f>
        <v>0</v>
      </c>
      <c r="D9">
        <f>IF(A9="","",SUM('Asset Allocation'!G9))</f>
        <v>0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Schroder Active Portfolio 10</v>
      </c>
      <c r="B10">
        <f>IF(A10="","",SUM('Asset Allocation'!B10))</f>
        <v>0</v>
      </c>
      <c r="C10">
        <f>IF(A10="","",SUM('Asset Allocation'!C10))</f>
        <v>0</v>
      </c>
      <c r="D10">
        <f>IF(A10="","",SUM('Asset Allocation'!G10))</f>
        <v>0</v>
      </c>
      <c r="E10">
        <f>IF(A10="","",SUM('Asset Allocation'!F10))</f>
        <v>0</v>
      </c>
      <c r="F10">
        <f>IF(A10="","",SUM('Asset Allocation'!E10,'Asset Allocation'!H10))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Schroder Strategic Index Portfolio 2</v>
      </c>
      <c r="B11">
        <f>IF(A11="","",SUM('Asset Allocation'!B11))</f>
        <v>0</v>
      </c>
      <c r="C11">
        <f>IF(A11="","",SUM('Asset Allocation'!C11))</f>
        <v>0</v>
      </c>
      <c r="D11">
        <f>IF(A11="","",SUM('Asset Allocation'!G11))</f>
        <v>0</v>
      </c>
      <c r="E11">
        <f>IF(A11="","",SUM('Asset Allocation'!F11))</f>
        <v>0</v>
      </c>
      <c r="F11">
        <f>IF(A11="","",SUM('Asset Allocation'!E11,'Asset Allocation'!H11))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>Schroder Strategic Index Portfolio 3</v>
      </c>
      <c r="B12">
        <f>IF(A12="","",SUM('Asset Allocation'!B12))</f>
        <v>0</v>
      </c>
      <c r="C12">
        <f>IF(A12="","",SUM('Asset Allocation'!C12))</f>
        <v>0</v>
      </c>
      <c r="D12">
        <f>IF(A12="","",SUM('Asset Allocation'!G12))</f>
        <v>0</v>
      </c>
      <c r="E12">
        <f>IF(A12="","",SUM('Asset Allocation'!F12))</f>
        <v>0</v>
      </c>
      <c r="F12">
        <f>IF(A12="","",SUM('Asset Allocation'!E12,'Asset Allocation'!H12))</f>
        <v>0</v>
      </c>
      <c r="G12">
        <f>IF(A12="","",SUM('Asset Allocation'!D12))</f>
        <v>0</v>
      </c>
      <c r="H12">
        <f t="shared" si="0"/>
        <v>1</v>
      </c>
    </row>
    <row r="13" spans="1:8" x14ac:dyDescent="0.25">
      <c r="A13" t="str">
        <f>IF(Input!A14="","",Input!A14)</f>
        <v>Schroder Strategic Index Portfolio 4</v>
      </c>
      <c r="B13">
        <f>IF(A13="","",SUM('Asset Allocation'!B13))</f>
        <v>0</v>
      </c>
      <c r="C13">
        <f>IF(A13="","",SUM('Asset Allocation'!C13))</f>
        <v>0</v>
      </c>
      <c r="D13">
        <f>IF(A13="","",SUM('Asset Allocation'!G13))</f>
        <v>0</v>
      </c>
      <c r="E13">
        <f>IF(A13="","",SUM('Asset Allocation'!F13))</f>
        <v>0</v>
      </c>
      <c r="F13">
        <f>IF(A13="","",SUM('Asset Allocation'!E13,'Asset Allocation'!H13))</f>
        <v>0</v>
      </c>
      <c r="G13">
        <f>IF(A13="","",SUM('Asset Allocation'!D13))</f>
        <v>0</v>
      </c>
      <c r="H13">
        <f t="shared" si="0"/>
        <v>1</v>
      </c>
    </row>
    <row r="14" spans="1:8" x14ac:dyDescent="0.25">
      <c r="A14" t="str">
        <f>IF(Input!A15="","",Input!A15)</f>
        <v>Schroder Strategic Index Portfolio 5</v>
      </c>
      <c r="B14">
        <f>IF(A14="","",SUM('Asset Allocation'!B14))</f>
        <v>0</v>
      </c>
      <c r="C14">
        <f>IF(A14="","",SUM('Asset Allocation'!C14))</f>
        <v>0</v>
      </c>
      <c r="D14">
        <f>IF(A14="","",SUM('Asset Allocation'!G14))</f>
        <v>0</v>
      </c>
      <c r="E14">
        <f>IF(A14="","",SUM('Asset Allocation'!F14))</f>
        <v>0</v>
      </c>
      <c r="F14">
        <f>IF(A14="","",SUM('Asset Allocation'!E14,'Asset Allocation'!H14))</f>
        <v>0</v>
      </c>
      <c r="G14">
        <f>IF(A14="","",SUM('Asset Allocation'!D14))</f>
        <v>0</v>
      </c>
      <c r="H14">
        <f t="shared" si="0"/>
        <v>1</v>
      </c>
    </row>
    <row r="15" spans="1:8" x14ac:dyDescent="0.25">
      <c r="A15" t="str">
        <f>IF(Input!A16="","",Input!A16)</f>
        <v>Schroder Strategic Index Portfolio 6</v>
      </c>
      <c r="B15">
        <f>IF(A15="","",SUM('Asset Allocation'!B15))</f>
        <v>0</v>
      </c>
      <c r="C15">
        <f>IF(A15="","",SUM('Asset Allocation'!C15))</f>
        <v>0</v>
      </c>
      <c r="D15">
        <f>IF(A15="","",SUM('Asset Allocation'!G15))</f>
        <v>0</v>
      </c>
      <c r="E15">
        <f>IF(A15="","",SUM('Asset Allocation'!F15))</f>
        <v>0</v>
      </c>
      <c r="F15">
        <f>IF(A15="","",SUM('Asset Allocation'!E15,'Asset Allocation'!H15))</f>
        <v>0</v>
      </c>
      <c r="G15">
        <f>IF(A15="","",SUM('Asset Allocation'!D15))</f>
        <v>0</v>
      </c>
      <c r="H15">
        <f t="shared" si="0"/>
        <v>1</v>
      </c>
    </row>
    <row r="16" spans="1:8" x14ac:dyDescent="0.25">
      <c r="A16" t="str">
        <f>IF(Input!A17="","",Input!A17)</f>
        <v>Schroder Strategic Index Portfolio 7</v>
      </c>
      <c r="B16">
        <f>IF(A16="","",SUM('Asset Allocation'!B16))</f>
        <v>0</v>
      </c>
      <c r="C16">
        <f>IF(A16="","",SUM('Asset Allocation'!C16))</f>
        <v>0</v>
      </c>
      <c r="D16">
        <f>IF(A16="","",SUM('Asset Allocation'!G16))</f>
        <v>0</v>
      </c>
      <c r="E16">
        <f>IF(A16="","",SUM('Asset Allocation'!F16))</f>
        <v>0</v>
      </c>
      <c r="F16">
        <f>IF(A16="","",SUM('Asset Allocation'!E16,'Asset Allocation'!H16))</f>
        <v>0</v>
      </c>
      <c r="G16">
        <f>IF(A16="","",SUM('Asset Allocation'!D16))</f>
        <v>0</v>
      </c>
      <c r="H16">
        <f t="shared" si="0"/>
        <v>1</v>
      </c>
    </row>
    <row r="17" spans="1:8" x14ac:dyDescent="0.25">
      <c r="A17" t="str">
        <f>IF(Input!A18="","",Input!A18)</f>
        <v>Schroder Strategic Index Portfolio 8</v>
      </c>
      <c r="B17">
        <f>IF(A17="","",SUM('Asset Allocation'!B17))</f>
        <v>0</v>
      </c>
      <c r="C17">
        <f>IF(A17="","",SUM('Asset Allocation'!C17))</f>
        <v>0</v>
      </c>
      <c r="D17">
        <f>IF(A17="","",SUM('Asset Allocation'!G17))</f>
        <v>0</v>
      </c>
      <c r="E17">
        <f>IF(A17="","",SUM('Asset Allocation'!F17))</f>
        <v>0</v>
      </c>
      <c r="F17">
        <f>IF(A17="","",SUM('Asset Allocation'!E17,'Asset Allocation'!H17))</f>
        <v>0</v>
      </c>
      <c r="G17">
        <f>IF(A17="","",SUM('Asset Allocation'!D17))</f>
        <v>0</v>
      </c>
      <c r="H17">
        <f t="shared" si="0"/>
        <v>1</v>
      </c>
    </row>
    <row r="18" spans="1:8" x14ac:dyDescent="0.25">
      <c r="A18" t="str">
        <f>IF(Input!A19="","",Input!A19)</f>
        <v>Schroder Strategic Index Portfolio 9</v>
      </c>
      <c r="B18">
        <f>IF(A18="","",SUM('Asset Allocation'!B18))</f>
        <v>0</v>
      </c>
      <c r="C18">
        <f>IF(A18="","",SUM('Asset Allocation'!C18))</f>
        <v>0</v>
      </c>
      <c r="D18">
        <f>IF(A18="","",SUM('Asset Allocation'!G18))</f>
        <v>0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>
        <f t="shared" si="0"/>
        <v>1</v>
      </c>
    </row>
    <row r="19" spans="1:8" x14ac:dyDescent="0.25">
      <c r="A19" t="str">
        <f>IF(Input!A20="","",Input!A20)</f>
        <v>Schroder Strategic Index Portfolio 10</v>
      </c>
      <c r="B19">
        <f>IF(A19="","",SUM('Asset Allocation'!B19))</f>
        <v>0</v>
      </c>
      <c r="C19">
        <f>IF(A19="","",SUM('Asset Allocation'!C19))</f>
        <v>0</v>
      </c>
      <c r="D19">
        <f>IF(A19="","",SUM('Asset Allocation'!G19))</f>
        <v>0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>
        <f t="shared" si="0"/>
        <v>1</v>
      </c>
    </row>
    <row r="20" spans="1:8" x14ac:dyDescent="0.25">
      <c r="A20" t="str">
        <f>IF(Input!A21="","",Input!A21)</f>
        <v>Schroder Sustainable Portfolio 3</v>
      </c>
      <c r="B20">
        <f>IF(A20="","",SUM('Asset Allocation'!B20))</f>
        <v>0</v>
      </c>
      <c r="C20">
        <f>IF(A20="","",SUM('Asset Allocation'!C20))</f>
        <v>0</v>
      </c>
      <c r="D20">
        <f>IF(A20="","",SUM('Asset Allocation'!G20))</f>
        <v>0</v>
      </c>
      <c r="E20">
        <f>IF(A20="","",SUM('Asset Allocation'!F20))</f>
        <v>0</v>
      </c>
      <c r="F20">
        <f>IF(A20="","",SUM('Asset Allocation'!E20,'Asset Allocation'!H20))</f>
        <v>0</v>
      </c>
      <c r="G20">
        <f>IF(A20="","",SUM('Asset Allocation'!D20))</f>
        <v>0</v>
      </c>
      <c r="H20">
        <f t="shared" si="0"/>
        <v>1</v>
      </c>
    </row>
    <row r="21" spans="1:8" x14ac:dyDescent="0.25">
      <c r="A21" t="str">
        <f>IF(Input!A22="","",Input!A22)</f>
        <v>Schroder Sustainable Portfolio 4</v>
      </c>
      <c r="B21">
        <f>IF(A21="","",SUM('Asset Allocation'!B21))</f>
        <v>0</v>
      </c>
      <c r="C21">
        <f>IF(A21="","",SUM('Asset Allocation'!C21))</f>
        <v>0</v>
      </c>
      <c r="D21">
        <f>IF(A21="","",SUM('Asset Allocation'!G21))</f>
        <v>0</v>
      </c>
      <c r="E21">
        <f>IF(A21="","",SUM('Asset Allocation'!F21))</f>
        <v>0</v>
      </c>
      <c r="F21">
        <f>IF(A21="","",SUM('Asset Allocation'!E21,'Asset Allocation'!H21))</f>
        <v>0</v>
      </c>
      <c r="G21">
        <f>IF(A21="","",SUM('Asset Allocation'!D21))</f>
        <v>0</v>
      </c>
      <c r="H21">
        <f t="shared" si="0"/>
        <v>1</v>
      </c>
    </row>
    <row r="22" spans="1:8" x14ac:dyDescent="0.25">
      <c r="A22" t="str">
        <f>IF(Input!A23="","",Input!A23)</f>
        <v>Schroder Sustainable Portfolio 5</v>
      </c>
      <c r="B22">
        <f>IF(A22="","",SUM('Asset Allocation'!B22))</f>
        <v>0</v>
      </c>
      <c r="C22">
        <f>IF(A22="","",SUM('Asset Allocation'!C22))</f>
        <v>0</v>
      </c>
      <c r="D22">
        <f>IF(A22="","",SUM('Asset Allocation'!G22))</f>
        <v>0</v>
      </c>
      <c r="E22">
        <f>IF(A22="","",SUM('Asset Allocation'!F22))</f>
        <v>0</v>
      </c>
      <c r="F22">
        <f>IF(A22="","",SUM('Asset Allocation'!E22,'Asset Allocation'!H22))</f>
        <v>0</v>
      </c>
      <c r="G22">
        <f>IF(A22="","",SUM('Asset Allocation'!D22))</f>
        <v>0</v>
      </c>
      <c r="H22">
        <f t="shared" si="0"/>
        <v>1</v>
      </c>
    </row>
    <row r="23" spans="1:8" x14ac:dyDescent="0.25">
      <c r="A23" t="str">
        <f>IF(Input!A24="","",Input!A24)</f>
        <v>Schroder Sustainable Portfolio 6</v>
      </c>
      <c r="B23">
        <f>IF(A23="","",SUM('Asset Allocation'!B23))</f>
        <v>0</v>
      </c>
      <c r="C23">
        <f>IF(A23="","",SUM('Asset Allocation'!C23))</f>
        <v>0</v>
      </c>
      <c r="D23">
        <f>IF(A23="","",SUM('Asset Allocation'!G23))</f>
        <v>0</v>
      </c>
      <c r="E23">
        <f>IF(A23="","",SUM('Asset Allocation'!F23))</f>
        <v>0</v>
      </c>
      <c r="F23">
        <f>IF(A23="","",SUM('Asset Allocation'!E23,'Asset Allocation'!H23))</f>
        <v>0</v>
      </c>
      <c r="G23">
        <f>IF(A23="","",SUM('Asset Allocation'!D23))</f>
        <v>0</v>
      </c>
      <c r="H23">
        <f t="shared" si="0"/>
        <v>1</v>
      </c>
    </row>
    <row r="24" spans="1:8" x14ac:dyDescent="0.25">
      <c r="A24" t="str">
        <f>IF(Input!A25="","",Input!A25)</f>
        <v>Schroder Sustainable Portfolio 7</v>
      </c>
      <c r="B24">
        <f>IF(A24="","",SUM('Asset Allocation'!B24))</f>
        <v>0</v>
      </c>
      <c r="C24">
        <f>IF(A24="","",SUM('Asset Allocation'!C24))</f>
        <v>0</v>
      </c>
      <c r="D24">
        <f>IF(A24="","",SUM('Asset Allocation'!G24))</f>
        <v>0</v>
      </c>
      <c r="E24">
        <f>IF(A24="","",SUM('Asset Allocation'!F24))</f>
        <v>0</v>
      </c>
      <c r="F24">
        <f>IF(A24="","",SUM('Asset Allocation'!E24,'Asset Allocation'!H24))</f>
        <v>0</v>
      </c>
      <c r="G24">
        <f>IF(A24="","",SUM('Asset Allocation'!D24))</f>
        <v>0</v>
      </c>
      <c r="H24">
        <f t="shared" si="0"/>
        <v>1</v>
      </c>
    </row>
    <row r="25" spans="1:8" x14ac:dyDescent="0.25">
      <c r="A25" t="str">
        <f>IF(Input!A26="","",Input!A26)</f>
        <v>Schroder Sustainable Portfolio 8</v>
      </c>
      <c r="B25">
        <f>IF(A25="","",SUM('Asset Allocation'!B25))</f>
        <v>0</v>
      </c>
      <c r="C25">
        <f>IF(A25="","",SUM('Asset Allocation'!C25))</f>
        <v>0</v>
      </c>
      <c r="D25">
        <f>IF(A25="","",SUM('Asset Allocation'!G25))</f>
        <v>0</v>
      </c>
      <c r="E25">
        <f>IF(A25="","",SUM('Asset Allocation'!F25))</f>
        <v>0</v>
      </c>
      <c r="F25">
        <f>IF(A25="","",SUM('Asset Allocation'!E25,'Asset Allocation'!H25))</f>
        <v>0</v>
      </c>
      <c r="G25">
        <f>IF(A25="","",SUM('Asset Allocation'!D25))</f>
        <v>0</v>
      </c>
      <c r="H25">
        <f t="shared" si="0"/>
        <v>1</v>
      </c>
    </row>
    <row r="26" spans="1:8" x14ac:dyDescent="0.25">
      <c r="A26" t="str">
        <f>IF(Input!A27="","",Input!A27)</f>
        <v>Schroder Blended Portfolio 3</v>
      </c>
      <c r="B26">
        <f>IF(A26="","",SUM('Asset Allocation'!B26))</f>
        <v>0</v>
      </c>
      <c r="C26">
        <f>IF(A26="","",SUM('Asset Allocation'!C26))</f>
        <v>0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0</v>
      </c>
      <c r="H26">
        <f t="shared" si="0"/>
        <v>1</v>
      </c>
    </row>
    <row r="27" spans="1:8" x14ac:dyDescent="0.25">
      <c r="A27" t="str">
        <f>IF(Input!A28="","",Input!A28)</f>
        <v>Schroder Blended Portfolio 4</v>
      </c>
      <c r="B27">
        <f>IF(A27="","",SUM('Asset Allocation'!B27))</f>
        <v>0</v>
      </c>
      <c r="C27">
        <f>IF(A27="","",SUM('Asset Allocation'!C27))</f>
        <v>0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</v>
      </c>
      <c r="H27">
        <f t="shared" si="0"/>
        <v>1</v>
      </c>
    </row>
    <row r="28" spans="1:8" x14ac:dyDescent="0.25">
      <c r="A28" t="str">
        <f>IF(Input!A29="","",Input!A29)</f>
        <v>Schroder Blended Portfolio 5</v>
      </c>
      <c r="B28">
        <f>IF(A28="","",SUM('Asset Allocation'!B28))</f>
        <v>0</v>
      </c>
      <c r="C28">
        <f>IF(A28="","",SUM('Asset Allocation'!C28))</f>
        <v>0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</v>
      </c>
      <c r="H28">
        <f t="shared" si="0"/>
        <v>1</v>
      </c>
    </row>
    <row r="29" spans="1:8" x14ac:dyDescent="0.25">
      <c r="A29" t="str">
        <f>IF(Input!A30="","",Input!A30)</f>
        <v>Schroder Blended Portfolio 6</v>
      </c>
      <c r="B29">
        <f>IF(A29="","",SUM('Asset Allocation'!B29))</f>
        <v>0</v>
      </c>
      <c r="C29">
        <f>IF(A29="","",SUM('Asset Allocation'!C29))</f>
        <v>0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</v>
      </c>
      <c r="H29">
        <f t="shared" si="0"/>
        <v>1</v>
      </c>
    </row>
    <row r="30" spans="1:8" x14ac:dyDescent="0.25">
      <c r="A30" t="str">
        <f>IF(Input!A31="","",Input!A31)</f>
        <v>Schroder Blended Portfolio 7</v>
      </c>
      <c r="B30">
        <f>IF(A30="","",SUM('Asset Allocation'!B30))</f>
        <v>0</v>
      </c>
      <c r="C30">
        <f>IF(A30="","",SUM('Asset Allocation'!C30))</f>
        <v>0</v>
      </c>
      <c r="D30">
        <f>IF(A30="","",SUM('Asset Allocation'!G30))</f>
        <v>0</v>
      </c>
      <c r="E30">
        <f>IF(A30="","",SUM('Asset Allocation'!F30))</f>
        <v>0</v>
      </c>
      <c r="F30">
        <f>IF(A30="","",SUM('Asset Allocation'!E30,'Asset Allocation'!H30))</f>
        <v>0</v>
      </c>
      <c r="G30">
        <f>IF(A30="","",SUM('Asset Allocation'!D30))</f>
        <v>0</v>
      </c>
      <c r="H30">
        <f t="shared" si="0"/>
        <v>1</v>
      </c>
    </row>
    <row r="31" spans="1:8" x14ac:dyDescent="0.25">
      <c r="A31" t="str">
        <f>IF(Input!A32="","",Input!A32)</f>
        <v>Schroder Blended Portfolio 8</v>
      </c>
      <c r="B31">
        <f>IF(A31="","",SUM('Asset Allocation'!B31))</f>
        <v>0</v>
      </c>
      <c r="C31">
        <f>IF(A31="","",SUM('Asset Allocation'!C31))</f>
        <v>0</v>
      </c>
      <c r="D31">
        <f>IF(A31="","",SUM('Asset Allocation'!G31))</f>
        <v>0</v>
      </c>
      <c r="E31">
        <f>IF(A31="","",SUM('Asset Allocation'!F31))</f>
        <v>0</v>
      </c>
      <c r="F31">
        <f>IF(A31="","",SUM('Asset Allocation'!E31,'Asset Allocation'!H31))</f>
        <v>0</v>
      </c>
      <c r="G31">
        <f>IF(A31="","",SUM('Asset Allocation'!D31))</f>
        <v>0</v>
      </c>
      <c r="H31">
        <f t="shared" si="0"/>
        <v>1</v>
      </c>
    </row>
    <row r="32" spans="1:8" x14ac:dyDescent="0.25">
      <c r="A32" t="str">
        <f>IF(Input!A33="","",Input!A33)</f>
        <v>Schroder Income Portfolio</v>
      </c>
      <c r="B32">
        <f>IF(A32="","",SUM('Asset Allocation'!B32))</f>
        <v>0</v>
      </c>
      <c r="C32">
        <f>IF(A32="","",SUM('Asset Allocation'!C32))</f>
        <v>0</v>
      </c>
      <c r="D32">
        <f>IF(A32="","",SUM('Asset Allocation'!G32))</f>
        <v>0</v>
      </c>
      <c r="E32">
        <f>IF(A32="","",SUM('Asset Allocation'!F32))</f>
        <v>0</v>
      </c>
      <c r="F32">
        <f>IF(A32="","",SUM('Asset Allocation'!E32,'Asset Allocation'!H32))</f>
        <v>0</v>
      </c>
      <c r="G32">
        <f>IF(A32="","",SUM('Asset Allocation'!D32))</f>
        <v>0</v>
      </c>
      <c r="H32">
        <f t="shared" si="0"/>
        <v>1</v>
      </c>
    </row>
    <row r="33" spans="1:8" x14ac:dyDescent="0.25">
      <c r="A33" t="str">
        <f>IF(Input!A34="","",Input!A34)</f>
        <v>Schroder Managed Defensive Fund</v>
      </c>
      <c r="B33">
        <f>IF(A33="","",SUM('Asset Allocation'!B33))</f>
        <v>0</v>
      </c>
      <c r="C33">
        <f>IF(A33="","",SUM('Asset Allocation'!C33))</f>
        <v>0</v>
      </c>
      <c r="D33">
        <f>IF(A33="","",SUM('Asset Allocation'!G33))</f>
        <v>0</v>
      </c>
      <c r="E33">
        <f>IF(A33="","",SUM('Asset Allocation'!F33))</f>
        <v>0</v>
      </c>
      <c r="F33">
        <f>IF(A33="","",SUM('Asset Allocation'!E33,'Asset Allocation'!H33))</f>
        <v>0</v>
      </c>
      <c r="G33">
        <f>IF(A33="","",SUM('Asset Allocation'!D33))</f>
        <v>0</v>
      </c>
      <c r="H33">
        <f t="shared" si="0"/>
        <v>1</v>
      </c>
    </row>
    <row r="34" spans="1:8" x14ac:dyDescent="0.25">
      <c r="A34" t="str">
        <f>IF(Input!A35="","",Input!A35)</f>
        <v>Schroder Global Multi-Asset Cautious Portfolio</v>
      </c>
      <c r="B34">
        <f>IF(A34="","",SUM('Asset Allocation'!B34))</f>
        <v>0</v>
      </c>
      <c r="C34">
        <f>IF(A34="","",SUM('Asset Allocation'!C34))</f>
        <v>0</v>
      </c>
      <c r="D34">
        <f>IF(A34="","",SUM('Asset Allocation'!G34))</f>
        <v>0</v>
      </c>
      <c r="E34">
        <f>IF(A34="","",SUM('Asset Allocation'!F34))</f>
        <v>0</v>
      </c>
      <c r="F34">
        <f>IF(A34="","",SUM('Asset Allocation'!E34,'Asset Allocation'!H34))</f>
        <v>0</v>
      </c>
      <c r="G34">
        <f>IF(A34="","",SUM('Asset Allocation'!D34))</f>
        <v>0</v>
      </c>
      <c r="H34">
        <f t="shared" si="0"/>
        <v>1</v>
      </c>
    </row>
    <row r="35" spans="1:8" x14ac:dyDescent="0.25">
      <c r="A35" t="str">
        <f>IF(Input!A36="","",Input!A36)</f>
        <v>Schroder Global Multi-Asset Moderately Cautious Portfolio</v>
      </c>
      <c r="B35">
        <f>IF(A35="","",SUM('Asset Allocation'!B35))</f>
        <v>0</v>
      </c>
      <c r="C35">
        <f>IF(A35="","",SUM('Asset Allocation'!C35))</f>
        <v>0</v>
      </c>
      <c r="D35">
        <f>IF(A35="","",SUM('Asset Allocation'!G35))</f>
        <v>0</v>
      </c>
      <c r="E35">
        <f>IF(A35="","",SUM('Asset Allocation'!F35))</f>
        <v>0</v>
      </c>
      <c r="F35">
        <f>IF(A35="","",SUM('Asset Allocation'!E35,'Asset Allocation'!H35))</f>
        <v>0</v>
      </c>
      <c r="G35">
        <f>IF(A35="","",SUM('Asset Allocation'!D35))</f>
        <v>0</v>
      </c>
      <c r="H35">
        <f t="shared" si="0"/>
        <v>1</v>
      </c>
    </row>
    <row r="36" spans="1:8" x14ac:dyDescent="0.25">
      <c r="A36" t="str">
        <f>IF(Input!A37="","",Input!A37)</f>
        <v>Schroder Schroder Global Multi-Asset Balanced Portfolio</v>
      </c>
      <c r="B36">
        <f>IF(A36="","",SUM('Asset Allocation'!B36))</f>
        <v>0</v>
      </c>
      <c r="C36">
        <f>IF(A36="","",SUM('Asset Allocation'!C36))</f>
        <v>0</v>
      </c>
      <c r="D36">
        <f>IF(A36="","",SUM('Asset Allocation'!G36))</f>
        <v>0</v>
      </c>
      <c r="E36">
        <f>IF(A36="","",SUM('Asset Allocation'!F36))</f>
        <v>0</v>
      </c>
      <c r="F36">
        <f>IF(A36="","",SUM('Asset Allocation'!E36,'Asset Allocation'!H36))</f>
        <v>0</v>
      </c>
      <c r="G36">
        <f>IF(A36="","",SUM('Asset Allocation'!D36))</f>
        <v>0</v>
      </c>
      <c r="H36">
        <f t="shared" si="0"/>
        <v>1</v>
      </c>
    </row>
    <row r="37" spans="1:8" x14ac:dyDescent="0.25">
      <c r="A37" t="str">
        <f>IF(Input!A38="","",Input!A38)</f>
        <v>Schroder Global Multi-Asset Growth Portfolio</v>
      </c>
      <c r="B37">
        <f>IF(A37="","",SUM('Asset Allocation'!B37))</f>
        <v>0</v>
      </c>
      <c r="C37">
        <f>IF(A37="","",SUM('Asset Allocation'!C37))</f>
        <v>0</v>
      </c>
      <c r="D37">
        <f>IF(A37="","",SUM('Asset Allocation'!G37))</f>
        <v>0</v>
      </c>
      <c r="E37">
        <f>IF(A37="","",SUM('Asset Allocation'!F37))</f>
        <v>0</v>
      </c>
      <c r="F37">
        <f>IF(A37="","",SUM('Asset Allocation'!E37,'Asset Allocation'!H37))</f>
        <v>0</v>
      </c>
      <c r="G37">
        <f>IF(A37="","",SUM('Asset Allocation'!D37))</f>
        <v>0</v>
      </c>
      <c r="H37">
        <f t="shared" si="0"/>
        <v>1</v>
      </c>
    </row>
    <row r="38" spans="1:8" x14ac:dyDescent="0.25">
      <c r="A38" t="str">
        <f>IF(Input!A39="","",Input!A39)</f>
        <v>Schroder Global Multi-Asset Adventurous Portfolio</v>
      </c>
      <c r="B38">
        <f>IF(A38="","",SUM('Asset Allocation'!B38))</f>
        <v>0</v>
      </c>
      <c r="C38">
        <f>IF(A38="","",SUM('Asset Allocation'!C38))</f>
        <v>0</v>
      </c>
      <c r="D38">
        <f>IF(A38="","",SUM('Asset Allocation'!G38))</f>
        <v>0</v>
      </c>
      <c r="E38">
        <f>IF(A38="","",SUM('Asset Allocation'!F38))</f>
        <v>0</v>
      </c>
      <c r="F38">
        <f>IF(A38="","",SUM('Asset Allocation'!E38,'Asset Allocation'!H38))</f>
        <v>0</v>
      </c>
      <c r="G38">
        <f>IF(A38="","",SUM('Asset Allocation'!D38))</f>
        <v>0</v>
      </c>
      <c r="H38">
        <f t="shared" si="0"/>
        <v>1</v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Schroder Active Portfolio 2</v>
      </c>
      <c r="B2" s="6">
        <f>IFERROR(IF(A2="","",SUM('Asset Allocation'!I2)),0)</f>
        <v>0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25">
      <c r="A3" t="str">
        <f>IF(Input!A4="","",Input!A4)</f>
        <v>Schroder Active Portfolio 3</v>
      </c>
      <c r="B3" s="6">
        <f>IFERROR(IF(A3="","",SUM('Asset Allocation'!I3)),0)</f>
        <v>0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25">
      <c r="A4" t="str">
        <f>IF(Input!A5="","",Input!A5)</f>
        <v>Schroder Active Portfolio 4</v>
      </c>
      <c r="B4" s="6">
        <f>IFERROR(IF(A4="","",SUM('Asset Allocation'!I4)),0)</f>
        <v>0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25">
      <c r="A5" t="str">
        <f>IF(Input!A6="","",Input!A6)</f>
        <v>Schroder Active Portfolio 5</v>
      </c>
      <c r="B5" s="6">
        <f>IFERROR(IF(A5="","",SUM('Asset Allocation'!I5)),0)</f>
        <v>0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25">
      <c r="A6" t="str">
        <f>IF(Input!A7="","",Input!A7)</f>
        <v>Schroder Active Portfolio 6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25">
      <c r="A7" t="str">
        <f>IF(Input!A8="","",Input!A8)</f>
        <v>Schroder Active Portfolio 7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25">
      <c r="A8" t="str">
        <f>IF(Input!A9="","",Input!A9)</f>
        <v>Schroder Active Portfolio 8</v>
      </c>
      <c r="B8" s="6">
        <f>IFERROR(IF(A8="","",SUM('Asset Allocation'!I8)),0)</f>
        <v>0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25">
      <c r="A9" t="str">
        <f>IF(Input!A10="","",Input!A10)</f>
        <v>Schroder Active Portfolio 9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25">
      <c r="A10" t="str">
        <f>IF(Input!A11="","",Input!A11)</f>
        <v>Schroder Active Portfolio 10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25">
      <c r="A11" t="str">
        <f>IF(Input!A12="","",Input!A12)</f>
        <v>Schroder Strategic Index Portfolio 2</v>
      </c>
      <c r="B11" s="6">
        <f>IFERROR(IF(A11="","",SUM('Asset Allocation'!I11)),0)</f>
        <v>0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25">
      <c r="A12" t="str">
        <f>IF(Input!A13="","",Input!A13)</f>
        <v>Schroder Strategic Index Portfolio 3</v>
      </c>
      <c r="B12" s="6">
        <f>IFERROR(IF(A12="","",SUM('Asset Allocation'!I12)),0)</f>
        <v>0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25">
      <c r="A13" t="str">
        <f>IF(Input!A14="","",Input!A14)</f>
        <v>Schroder Strategic Index Portfolio 4</v>
      </c>
      <c r="B13" s="6">
        <f>IFERROR(IF(A13="","",SUM('Asset Allocation'!I13)),0)</f>
        <v>0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25">
      <c r="A14" t="str">
        <f>IF(Input!A15="","",Input!A15)</f>
        <v>Schroder Strategic Index Portfolio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25">
      <c r="A15" t="str">
        <f>IF(Input!A16="","",Input!A16)</f>
        <v>Schroder Strategic Index Portfolio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25">
      <c r="A16" t="str">
        <f>IF(Input!A17="","",Input!A17)</f>
        <v>Schroder Strategic Index Portfolio 7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25">
      <c r="A17" t="str">
        <f>IF(Input!A18="","",Input!A18)</f>
        <v>Schroder Strategic Index Portfolio 8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25">
      <c r="A18" t="str">
        <f>IF(Input!A19="","",Input!A19)</f>
        <v>Schroder Strategic Index Portfolio 9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25">
      <c r="A19" t="str">
        <f>IF(Input!A20="","",Input!A20)</f>
        <v>Schroder Strategic Index Portfolio 10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25">
      <c r="A20" t="str">
        <f>IF(Input!A21="","",Input!A21)</f>
        <v>Schroder Sustainable Portfolio 3</v>
      </c>
      <c r="B20" s="6">
        <f>IFERROR(IF(A20="","",SUM('Asset Allocation'!I20)),0)</f>
        <v>0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25">
      <c r="A21" t="str">
        <f>IF(Input!A22="","",Input!A22)</f>
        <v>Schroder Sustainable Portfolio 4</v>
      </c>
      <c r="B21" s="6">
        <f>IFERROR(IF(A21="","",SUM('Asset Allocation'!I21)),0)</f>
        <v>0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25">
      <c r="A22" t="str">
        <f>IF(Input!A23="","",Input!A23)</f>
        <v>Schroder Sustainable Portfolio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25">
      <c r="A23" t="str">
        <f>IF(Input!A24="","",Input!A24)</f>
        <v>Schroder Sustainable Portfolio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25">
      <c r="A24" t="str">
        <f>IF(Input!A25="","",Input!A25)</f>
        <v>Schroder Sustainable Portfolio 7</v>
      </c>
      <c r="B24" s="6">
        <f>IFERROR(IF(A24="","",SUM('Asset Allocation'!I24)),0)</f>
        <v>0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25">
      <c r="A25" t="str">
        <f>IF(Input!A26="","",Input!A26)</f>
        <v>Schroder Sustainable Portfolio 8</v>
      </c>
      <c r="B25" s="6">
        <f>IFERROR(IF(A25="","",SUM('Asset Allocation'!I25)),0)</f>
        <v>0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25">
      <c r="A26" t="str">
        <f>IF(Input!A27="","",Input!A27)</f>
        <v>Schroder Blended Portfolio 3</v>
      </c>
      <c r="B26" s="6">
        <f>IFERROR(IF(A26="","",SUM('Asset Allocation'!I26)),0)</f>
        <v>0</v>
      </c>
      <c r="C26" s="6">
        <f>IFERROR(IF(A26="","",SUM('Asset Allocation'!L26)),0)</f>
        <v>0</v>
      </c>
      <c r="D26" s="6">
        <f>IFERROR(IF(A26="","",SUM('Asset Allocation'!R26,'Asset Allocation'!K26)),0)</f>
        <v>0</v>
      </c>
      <c r="E26" s="6">
        <f>IFERROR(IF(A26="","",SUM('Asset Allocation'!M26)),0)</f>
        <v>0</v>
      </c>
      <c r="F26" s="6">
        <f>IFERROR(IF(A26="","",SUM('Asset Allocation'!J26)),0)</f>
        <v>0</v>
      </c>
      <c r="G26" s="6">
        <f>IFERROR(IF(A26="","",SUM('Asset Allocation'!P26,'Asset Allocation'!Q26)),0)</f>
        <v>0</v>
      </c>
      <c r="H26" s="6">
        <f>IFERROR(IF(A26="","",SUM('Asset Allocation'!N26)),0)</f>
        <v>0</v>
      </c>
    </row>
    <row r="27" spans="1:8" x14ac:dyDescent="0.25">
      <c r="A27" t="str">
        <f>IF(Input!A28="","",Input!A28)</f>
        <v>Schroder Blended Portfolio 4</v>
      </c>
      <c r="B27" s="6">
        <f>IFERROR(IF(A27="","",SUM('Asset Allocation'!I27)),0)</f>
        <v>0</v>
      </c>
      <c r="C27" s="6">
        <f>IFERROR(IF(A27="","",SUM('Asset Allocation'!L27)),0)</f>
        <v>0</v>
      </c>
      <c r="D27" s="6">
        <f>IFERROR(IF(A27="","",SUM('Asset Allocation'!R27,'Asset Allocation'!K27)),0)</f>
        <v>0</v>
      </c>
      <c r="E27" s="6">
        <f>IFERROR(IF(A27="","",SUM('Asset Allocation'!M27)),0)</f>
        <v>0</v>
      </c>
      <c r="F27" s="6">
        <f>IFERROR(IF(A27="","",SUM('Asset Allocation'!J27)),0)</f>
        <v>0</v>
      </c>
      <c r="G27" s="6">
        <f>IFERROR(IF(A27="","",SUM('Asset Allocation'!P27,'Asset Allocation'!Q27)),0)</f>
        <v>0</v>
      </c>
      <c r="H27" s="6">
        <f>IFERROR(IF(A27="","",SUM('Asset Allocation'!N27)),0)</f>
        <v>0</v>
      </c>
    </row>
    <row r="28" spans="1:8" x14ac:dyDescent="0.25">
      <c r="A28" t="str">
        <f>IF(Input!A29="","",Input!A29)</f>
        <v>Schroder Blended Portfolio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0</v>
      </c>
      <c r="E28" s="6">
        <f>IFERROR(IF(A28="","",SUM('Asset Allocation'!M28)),0)</f>
        <v>0</v>
      </c>
      <c r="F28" s="6">
        <f>IFERROR(IF(A28="","",SUM('Asset Allocation'!J28)),0)</f>
        <v>0</v>
      </c>
      <c r="G28" s="6">
        <f>IFERROR(IF(A28="","",SUM('Asset Allocation'!P28,'Asset Allocation'!Q28)),0)</f>
        <v>0</v>
      </c>
      <c r="H28" s="6">
        <f>IFERROR(IF(A28="","",SUM('Asset Allocation'!N28)),0)</f>
        <v>0</v>
      </c>
    </row>
    <row r="29" spans="1:8" x14ac:dyDescent="0.25">
      <c r="A29" t="str">
        <f>IF(Input!A30="","",Input!A30)</f>
        <v>Schroder Blended Portfolio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0</v>
      </c>
      <c r="E29" s="6">
        <f>IFERROR(IF(A29="","",SUM('Asset Allocation'!M29)),0)</f>
        <v>0</v>
      </c>
      <c r="F29" s="6">
        <f>IFERROR(IF(A29="","",SUM('Asset Allocation'!J29)),0)</f>
        <v>0</v>
      </c>
      <c r="G29" s="6">
        <f>IFERROR(IF(A29="","",SUM('Asset Allocation'!P29,'Asset Allocation'!Q29)),0)</f>
        <v>0</v>
      </c>
      <c r="H29" s="6">
        <f>IFERROR(IF(A29="","",SUM('Asset Allocation'!N29)),0)</f>
        <v>0</v>
      </c>
    </row>
    <row r="30" spans="1:8" x14ac:dyDescent="0.25">
      <c r="A30" t="str">
        <f>IF(Input!A31="","",Input!A31)</f>
        <v>Schroder Blended Portfolio 7</v>
      </c>
      <c r="B30" s="6">
        <f>IFERROR(IF(A30="","",SUM('Asset Allocation'!I30)),0)</f>
        <v>0</v>
      </c>
      <c r="C30" s="6">
        <f>IFERROR(IF(A30="","",SUM('Asset Allocation'!L30)),0)</f>
        <v>0</v>
      </c>
      <c r="D30" s="6">
        <f>IFERROR(IF(A30="","",SUM('Asset Allocation'!R30,'Asset Allocation'!K30)),0)</f>
        <v>0</v>
      </c>
      <c r="E30" s="6">
        <f>IFERROR(IF(A30="","",SUM('Asset Allocation'!M30)),0)</f>
        <v>0</v>
      </c>
      <c r="F30" s="6">
        <f>IFERROR(IF(A30="","",SUM('Asset Allocation'!J30)),0)</f>
        <v>0</v>
      </c>
      <c r="G30" s="6">
        <f>IFERROR(IF(A30="","",SUM('Asset Allocation'!P30,'Asset Allocation'!Q30)),0)</f>
        <v>0</v>
      </c>
      <c r="H30" s="6">
        <f>IFERROR(IF(A30="","",SUM('Asset Allocation'!N30)),0)</f>
        <v>0</v>
      </c>
    </row>
    <row r="31" spans="1:8" x14ac:dyDescent="0.25">
      <c r="A31" t="str">
        <f>IF(Input!A32="","",Input!A32)</f>
        <v>Schroder Blended Portfolio 8</v>
      </c>
      <c r="B31" s="6">
        <f>IFERROR(IF(A31="","",SUM('Asset Allocation'!I31)),0)</f>
        <v>0</v>
      </c>
      <c r="C31" s="6">
        <f>IFERROR(IF(A31="","",SUM('Asset Allocation'!L31)),0)</f>
        <v>0</v>
      </c>
      <c r="D31" s="6">
        <f>IFERROR(IF(A31="","",SUM('Asset Allocation'!R31,'Asset Allocation'!K31)),0)</f>
        <v>0</v>
      </c>
      <c r="E31" s="6">
        <f>IFERROR(IF(A31="","",SUM('Asset Allocation'!M31)),0)</f>
        <v>0</v>
      </c>
      <c r="F31" s="6">
        <f>IFERROR(IF(A31="","",SUM('Asset Allocation'!J31)),0)</f>
        <v>0</v>
      </c>
      <c r="G31" s="6">
        <f>IFERROR(IF(A31="","",SUM('Asset Allocation'!P31,'Asset Allocation'!Q31)),0)</f>
        <v>0</v>
      </c>
      <c r="H31" s="6">
        <f>IFERROR(IF(A31="","",SUM('Asset Allocation'!N31)),0)</f>
        <v>0</v>
      </c>
    </row>
    <row r="32" spans="1:8" x14ac:dyDescent="0.25">
      <c r="A32" t="str">
        <f>IF(Input!A33="","",Input!A33)</f>
        <v>Schroder Income Portfolio</v>
      </c>
      <c r="B32" s="6">
        <f>IFERROR(IF(A32="","",SUM('Asset Allocation'!I32)),0)</f>
        <v>0</v>
      </c>
      <c r="C32" s="6">
        <f>IFERROR(IF(A32="","",SUM('Asset Allocation'!L32)),0)</f>
        <v>0</v>
      </c>
      <c r="D32" s="6">
        <f>IFERROR(IF(A32="","",SUM('Asset Allocation'!R32,'Asset Allocation'!K32)),0)</f>
        <v>0</v>
      </c>
      <c r="E32" s="6">
        <f>IFERROR(IF(A32="","",SUM('Asset Allocation'!M32)),0)</f>
        <v>0</v>
      </c>
      <c r="F32" s="6">
        <f>IFERROR(IF(A32="","",SUM('Asset Allocation'!J32)),0)</f>
        <v>0</v>
      </c>
      <c r="G32" s="6">
        <f>IFERROR(IF(A32="","",SUM('Asset Allocation'!P32,'Asset Allocation'!Q32)),0)</f>
        <v>0</v>
      </c>
      <c r="H32" s="6">
        <f>IFERROR(IF(A32="","",SUM('Asset Allocation'!N32)),0)</f>
        <v>0</v>
      </c>
    </row>
    <row r="33" spans="1:8" x14ac:dyDescent="0.25">
      <c r="A33" t="str">
        <f>IF(Input!A34="","",Input!A34)</f>
        <v>Schroder Managed Defensive Fund</v>
      </c>
      <c r="B33" s="6">
        <f>IFERROR(IF(A33="","",SUM('Asset Allocation'!I33)),0)</f>
        <v>0</v>
      </c>
      <c r="C33" s="6">
        <f>IFERROR(IF(A33="","",SUM('Asset Allocation'!L33)),0)</f>
        <v>0</v>
      </c>
      <c r="D33" s="6">
        <f>IFERROR(IF(A33="","",SUM('Asset Allocation'!R33,'Asset Allocation'!K33)),0)</f>
        <v>0</v>
      </c>
      <c r="E33" s="6">
        <f>IFERROR(IF(A33="","",SUM('Asset Allocation'!M33)),0)</f>
        <v>0</v>
      </c>
      <c r="F33" s="6">
        <f>IFERROR(IF(A33="","",SUM('Asset Allocation'!J33)),0)</f>
        <v>0</v>
      </c>
      <c r="G33" s="6">
        <f>IFERROR(IF(A33="","",SUM('Asset Allocation'!P33,'Asset Allocation'!Q33)),0)</f>
        <v>0</v>
      </c>
      <c r="H33" s="6">
        <f>IFERROR(IF(A33="","",SUM('Asset Allocation'!N33)),0)</f>
        <v>0</v>
      </c>
    </row>
    <row r="34" spans="1:8" x14ac:dyDescent="0.25">
      <c r="A34" t="str">
        <f>IF(Input!A35="","",Input!A35)</f>
        <v>Schroder Global Multi-Asset Cautious Portfolio</v>
      </c>
      <c r="B34" s="6">
        <f>IFERROR(IF(A34="","",SUM('Asset Allocation'!I34)),0)</f>
        <v>0</v>
      </c>
      <c r="C34" s="6">
        <f>IFERROR(IF(A34="","",SUM('Asset Allocation'!L34)),0)</f>
        <v>0</v>
      </c>
      <c r="D34" s="6">
        <f>IFERROR(IF(A34="","",SUM('Asset Allocation'!R34,'Asset Allocation'!K34)),0)</f>
        <v>0</v>
      </c>
      <c r="E34" s="6">
        <f>IFERROR(IF(A34="","",SUM('Asset Allocation'!M34)),0)</f>
        <v>0</v>
      </c>
      <c r="F34" s="6">
        <f>IFERROR(IF(A34="","",SUM('Asset Allocation'!J34)),0)</f>
        <v>0</v>
      </c>
      <c r="G34" s="6">
        <f>IFERROR(IF(A34="","",SUM('Asset Allocation'!P34,'Asset Allocation'!Q34)),0)</f>
        <v>0</v>
      </c>
      <c r="H34" s="6">
        <f>IFERROR(IF(A34="","",SUM('Asset Allocation'!N34)),0)</f>
        <v>0</v>
      </c>
    </row>
    <row r="35" spans="1:8" x14ac:dyDescent="0.25">
      <c r="A35" t="str">
        <f>IF(Input!A36="","",Input!A36)</f>
        <v>Schroder Global Multi-Asset Moderately Cautious Portfolio</v>
      </c>
      <c r="B35" s="6">
        <f>IFERROR(IF(A35="","",SUM('Asset Allocation'!I35)),0)</f>
        <v>0</v>
      </c>
      <c r="C35" s="6">
        <f>IFERROR(IF(A35="","",SUM('Asset Allocation'!L35)),0)</f>
        <v>0</v>
      </c>
      <c r="D35" s="6">
        <f>IFERROR(IF(A35="","",SUM('Asset Allocation'!R35,'Asset Allocation'!K35)),0)</f>
        <v>0</v>
      </c>
      <c r="E35" s="6">
        <f>IFERROR(IF(A35="","",SUM('Asset Allocation'!M35)),0)</f>
        <v>0</v>
      </c>
      <c r="F35" s="6">
        <f>IFERROR(IF(A35="","",SUM('Asset Allocation'!J35)),0)</f>
        <v>0</v>
      </c>
      <c r="G35" s="6">
        <f>IFERROR(IF(A35="","",SUM('Asset Allocation'!P35,'Asset Allocation'!Q35)),0)</f>
        <v>0</v>
      </c>
      <c r="H35" s="6">
        <f>IFERROR(IF(A35="","",SUM('Asset Allocation'!N35)),0)</f>
        <v>0</v>
      </c>
    </row>
    <row r="36" spans="1:8" x14ac:dyDescent="0.25">
      <c r="A36" t="str">
        <f>IF(Input!A37="","",Input!A37)</f>
        <v>Schroder Schroder Global Multi-Asset Balanced Portfolio</v>
      </c>
      <c r="B36" s="6">
        <f>IFERROR(IF(A36="","",SUM('Asset Allocation'!I36)),0)</f>
        <v>0</v>
      </c>
      <c r="C36" s="6">
        <f>IFERROR(IF(A36="","",SUM('Asset Allocation'!L36)),0)</f>
        <v>0</v>
      </c>
      <c r="D36" s="6">
        <f>IFERROR(IF(A36="","",SUM('Asset Allocation'!R36,'Asset Allocation'!K36)),0)</f>
        <v>0</v>
      </c>
      <c r="E36" s="6">
        <f>IFERROR(IF(A36="","",SUM('Asset Allocation'!M36)),0)</f>
        <v>0</v>
      </c>
      <c r="F36" s="6">
        <f>IFERROR(IF(A36="","",SUM('Asset Allocation'!J36)),0)</f>
        <v>0</v>
      </c>
      <c r="G36" s="6">
        <f>IFERROR(IF(A36="","",SUM('Asset Allocation'!P36,'Asset Allocation'!Q36)),0)</f>
        <v>0</v>
      </c>
      <c r="H36" s="6">
        <f>IFERROR(IF(A36="","",SUM('Asset Allocation'!N36)),0)</f>
        <v>0</v>
      </c>
    </row>
    <row r="37" spans="1:8" x14ac:dyDescent="0.25">
      <c r="A37" t="str">
        <f>IF(Input!A38="","",Input!A38)</f>
        <v>Schroder Global Multi-Asset Growth Portfolio</v>
      </c>
      <c r="B37" s="6">
        <f>IFERROR(IF(A37="","",SUM('Asset Allocation'!I37)),0)</f>
        <v>0</v>
      </c>
      <c r="C37" s="6">
        <f>IFERROR(IF(A37="","",SUM('Asset Allocation'!L37)),0)</f>
        <v>0</v>
      </c>
      <c r="D37" s="6">
        <f>IFERROR(IF(A37="","",SUM('Asset Allocation'!R37,'Asset Allocation'!K37)),0)</f>
        <v>0</v>
      </c>
      <c r="E37" s="6">
        <f>IFERROR(IF(A37="","",SUM('Asset Allocation'!M37)),0)</f>
        <v>0</v>
      </c>
      <c r="F37" s="6">
        <f>IFERROR(IF(A37="","",SUM('Asset Allocation'!J37)),0)</f>
        <v>0</v>
      </c>
      <c r="G37" s="6">
        <f>IFERROR(IF(A37="","",SUM('Asset Allocation'!P37,'Asset Allocation'!Q37)),0)</f>
        <v>0</v>
      </c>
      <c r="H37" s="6">
        <f>IFERROR(IF(A37="","",SUM('Asset Allocation'!N37)),0)</f>
        <v>0</v>
      </c>
    </row>
    <row r="38" spans="1:8" x14ac:dyDescent="0.25">
      <c r="A38" t="str">
        <f>IF(Input!A39="","",Input!A39)</f>
        <v>Schroder Global Multi-Asset Adventurous Portfolio</v>
      </c>
      <c r="B38" s="6">
        <f>IFERROR(IF(A38="","",SUM('Asset Allocation'!I38)),0)</f>
        <v>0</v>
      </c>
      <c r="C38" s="6">
        <f>IFERROR(IF(A38="","",SUM('Asset Allocation'!L38)),0)</f>
        <v>0</v>
      </c>
      <c r="D38" s="6">
        <f>IFERROR(IF(A38="","",SUM('Asset Allocation'!R38,'Asset Allocation'!K38)),0)</f>
        <v>0</v>
      </c>
      <c r="E38" s="6">
        <f>IFERROR(IF(A38="","",SUM('Asset Allocation'!M38)),0)</f>
        <v>0</v>
      </c>
      <c r="F38" s="6">
        <f>IFERROR(IF(A38="","",SUM('Asset Allocation'!J38)),0)</f>
        <v>0</v>
      </c>
      <c r="G38" s="6">
        <f>IFERROR(IF(A38="","",SUM('Asset Allocation'!P38,'Asset Allocation'!Q38)),0)</f>
        <v>0</v>
      </c>
      <c r="H38" s="6">
        <f>IFERROR(IF(A38="","",SUM('Asset Allocation'!N38)),0)</f>
        <v>0</v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Schroder Active Portfolio 2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Schroder Active Portfolio 3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Schroder Active Portfolio 4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Schroder Active Portfolio 5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Schroder Active Portfolio 6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Schroder Active Portfolio 7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Schroder Active Portfolio 8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Schroder Active Portfolio 9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Schroder Active Portfolio 10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Schroder Strategic Index Portfolio 2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Schroder Strategic Index Portfolio 3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Schroder Strategic Index Portfolio 4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Schroder Strategic Index Portfolio 5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>Schroder Strategic Index Portfolio 6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Schroder Strategic Index Portfolio 7</v>
      </c>
      <c r="H16">
        <f>IFERROR(IF(A16="","",SUM('Asset Allocation'!C16)/'Broad Asset Allocation'!C16),0)</f>
        <v>0</v>
      </c>
    </row>
    <row r="17" spans="1:8" x14ac:dyDescent="0.25">
      <c r="A17" t="str">
        <f>IF(Input!A18="","",Input!A18)</f>
        <v>Schroder Strategic Index Portfolio 8</v>
      </c>
      <c r="H17">
        <f>IFERROR(IF(A17="","",SUM('Asset Allocation'!C17)/'Broad Asset Allocation'!C17),0)</f>
        <v>0</v>
      </c>
    </row>
    <row r="18" spans="1:8" x14ac:dyDescent="0.25">
      <c r="A18" t="str">
        <f>IF(Input!A19="","",Input!A19)</f>
        <v>Schroder Strategic Index Portfolio 9</v>
      </c>
      <c r="H18">
        <f>IFERROR(IF(A18="","",SUM('Asset Allocation'!C18)/'Broad Asset Allocation'!C18),0)</f>
        <v>0</v>
      </c>
    </row>
    <row r="19" spans="1:8" x14ac:dyDescent="0.25">
      <c r="A19" t="str">
        <f>IF(Input!A20="","",Input!A20)</f>
        <v>Schroder Strategic Index Portfolio 10</v>
      </c>
      <c r="H19">
        <f>IFERROR(IF(A19="","",SUM('Asset Allocation'!C19)/'Broad Asset Allocation'!C19),0)</f>
        <v>0</v>
      </c>
    </row>
    <row r="20" spans="1:8" x14ac:dyDescent="0.25">
      <c r="A20" t="str">
        <f>IF(Input!A21="","",Input!A21)</f>
        <v>Schroder Sustainable Portfolio 3</v>
      </c>
      <c r="H20">
        <f>IFERROR(IF(A20="","",SUM('Asset Allocation'!C20)/'Broad Asset Allocation'!C20),0)</f>
        <v>0</v>
      </c>
    </row>
    <row r="21" spans="1:8" x14ac:dyDescent="0.25">
      <c r="A21" t="str">
        <f>IF(Input!A22="","",Input!A22)</f>
        <v>Schroder Sustainable Portfolio 4</v>
      </c>
      <c r="H21">
        <f>IFERROR(IF(A21="","",SUM('Asset Allocation'!C21)/'Broad Asset Allocation'!C21),0)</f>
        <v>0</v>
      </c>
    </row>
    <row r="22" spans="1:8" x14ac:dyDescent="0.25">
      <c r="A22" t="str">
        <f>IF(Input!A23="","",Input!A23)</f>
        <v>Schroder Sustainable Portfolio 5</v>
      </c>
      <c r="H22">
        <f>IFERROR(IF(A22="","",SUM('Asset Allocation'!C22)/'Broad Asset Allocation'!C22),0)</f>
        <v>0</v>
      </c>
    </row>
    <row r="23" spans="1:8" x14ac:dyDescent="0.25">
      <c r="A23" t="str">
        <f>IF(Input!A24="","",Input!A24)</f>
        <v>Schroder Sustainable Portfolio 6</v>
      </c>
      <c r="H23">
        <f>IFERROR(IF(A23="","",SUM('Asset Allocation'!C23)/'Broad Asset Allocation'!C23),0)</f>
        <v>0</v>
      </c>
    </row>
    <row r="24" spans="1:8" x14ac:dyDescent="0.25">
      <c r="A24" t="str">
        <f>IF(Input!A25="","",Input!A25)</f>
        <v>Schroder Sustainable Portfolio 7</v>
      </c>
      <c r="H24">
        <f>IFERROR(IF(A24="","",SUM('Asset Allocation'!C24)/'Broad Asset Allocation'!C24),0)</f>
        <v>0</v>
      </c>
    </row>
    <row r="25" spans="1:8" x14ac:dyDescent="0.25">
      <c r="A25" t="str">
        <f>IF(Input!A26="","",Input!A26)</f>
        <v>Schroder Sustainable Portfolio 8</v>
      </c>
      <c r="H25">
        <f>IFERROR(IF(A25="","",SUM('Asset Allocation'!C25)/'Broad Asset Allocation'!C25),0)</f>
        <v>0</v>
      </c>
    </row>
    <row r="26" spans="1:8" x14ac:dyDescent="0.25">
      <c r="A26" t="str">
        <f>IF(Input!A27="","",Input!A27)</f>
        <v>Schroder Blended Portfolio 3</v>
      </c>
      <c r="H26">
        <f>IFERROR(IF(A26="","",SUM('Asset Allocation'!C26)/'Broad Asset Allocation'!C26),0)</f>
        <v>0</v>
      </c>
    </row>
    <row r="27" spans="1:8" x14ac:dyDescent="0.25">
      <c r="A27" t="str">
        <f>IF(Input!A28="","",Input!A28)</f>
        <v>Schroder Blended Portfolio 4</v>
      </c>
      <c r="H27">
        <f>IFERROR(IF(A27="","",SUM('Asset Allocation'!C27)/'Broad Asset Allocation'!C27),0)</f>
        <v>0</v>
      </c>
    </row>
    <row r="28" spans="1:8" x14ac:dyDescent="0.25">
      <c r="A28" t="str">
        <f>IF(Input!A29="","",Input!A29)</f>
        <v>Schroder Blended Portfolio 5</v>
      </c>
      <c r="H28">
        <f>IFERROR(IF(A28="","",SUM('Asset Allocation'!C28)/'Broad Asset Allocation'!C28),0)</f>
        <v>0</v>
      </c>
    </row>
    <row r="29" spans="1:8" x14ac:dyDescent="0.25">
      <c r="A29" t="str">
        <f>IF(Input!A30="","",Input!A30)</f>
        <v>Schroder Blended Portfolio 6</v>
      </c>
      <c r="H29">
        <f>IFERROR(IF(A29="","",SUM('Asset Allocation'!C29)/'Broad Asset Allocation'!C29),0)</f>
        <v>0</v>
      </c>
    </row>
    <row r="30" spans="1:8" x14ac:dyDescent="0.25">
      <c r="A30" t="str">
        <f>IF(Input!A31="","",Input!A31)</f>
        <v>Schroder Blended Portfolio 7</v>
      </c>
      <c r="H30">
        <f>IFERROR(IF(A30="","",SUM('Asset Allocation'!C30)/'Broad Asset Allocation'!C30),0)</f>
        <v>0</v>
      </c>
    </row>
    <row r="31" spans="1:8" x14ac:dyDescent="0.25">
      <c r="A31" t="str">
        <f>IF(Input!A32="","",Input!A32)</f>
        <v>Schroder Blended Portfolio 8</v>
      </c>
      <c r="H31">
        <f>IFERROR(IF(A31="","",SUM('Asset Allocation'!C31)/'Broad Asset Allocation'!C31),0)</f>
        <v>0</v>
      </c>
    </row>
    <row r="32" spans="1:8" x14ac:dyDescent="0.25">
      <c r="A32" t="str">
        <f>IF(Input!A33="","",Input!A33)</f>
        <v>Schroder Income Portfolio</v>
      </c>
      <c r="H32">
        <f>IFERROR(IF(A32="","",SUM('Asset Allocation'!C32)/'Broad Asset Allocation'!C32),0)</f>
        <v>0</v>
      </c>
    </row>
    <row r="33" spans="1:8" x14ac:dyDescent="0.25">
      <c r="A33" t="str">
        <f>IF(Input!A34="","",Input!A34)</f>
        <v>Schroder Managed Defensive Fund</v>
      </c>
      <c r="H33">
        <f>IFERROR(IF(A33="","",SUM('Asset Allocation'!C33)/'Broad Asset Allocation'!C33),0)</f>
        <v>0</v>
      </c>
    </row>
    <row r="34" spans="1:8" x14ac:dyDescent="0.25">
      <c r="A34" t="str">
        <f>IF(Input!A35="","",Input!A35)</f>
        <v>Schroder Global Multi-Asset Cautious Portfolio</v>
      </c>
      <c r="H34">
        <f>IFERROR(IF(A34="","",SUM('Asset Allocation'!C34)/'Broad Asset Allocation'!C34),0)</f>
        <v>0</v>
      </c>
    </row>
    <row r="35" spans="1:8" x14ac:dyDescent="0.25">
      <c r="A35" t="str">
        <f>IF(Input!A36="","",Input!A36)</f>
        <v>Schroder Global Multi-Asset Moderately Cautious Portfolio</v>
      </c>
      <c r="H35">
        <f>IFERROR(IF(A35="","",SUM('Asset Allocation'!C35)/'Broad Asset Allocation'!C35),0)</f>
        <v>0</v>
      </c>
    </row>
    <row r="36" spans="1:8" x14ac:dyDescent="0.25">
      <c r="A36" t="str">
        <f>IF(Input!A37="","",Input!A37)</f>
        <v>Schroder Schroder Global Multi-Asset Balanced Portfolio</v>
      </c>
      <c r="H36">
        <f>IFERROR(IF(A36="","",SUM('Asset Allocation'!C36)/'Broad Asset Allocation'!C36),0)</f>
        <v>0</v>
      </c>
    </row>
    <row r="37" spans="1:8" x14ac:dyDescent="0.25">
      <c r="A37" t="str">
        <f>IF(Input!A38="","",Input!A38)</f>
        <v>Schroder Global Multi-Asset Growth Portfolio</v>
      </c>
      <c r="H37">
        <f>IFERROR(IF(A37="","",SUM('Asset Allocation'!C37)/'Broad Asset Allocation'!C37),0)</f>
        <v>0</v>
      </c>
    </row>
    <row r="38" spans="1:8" x14ac:dyDescent="0.25">
      <c r="A38" t="str">
        <f>IF(Input!A39="","",Input!A39)</f>
        <v>Schroder Global Multi-Asset Adventurous Portfolio</v>
      </c>
      <c r="H38">
        <f>IFERROR(IF(A38="","",SUM('Asset Allocation'!C38)/'Broad Asset Allocation'!C38),0)</f>
        <v>0</v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2023-08-29T19:22:20Z</dcterms:modified>
</cp:coreProperties>
</file>