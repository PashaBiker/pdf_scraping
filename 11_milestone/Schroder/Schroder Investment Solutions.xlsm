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E:\git\pdf_scraping\11_milestone\Schroder\"/>
    </mc:Choice>
  </mc:AlternateContent>
  <bookViews>
    <workbookView xWindow="1905" yWindow="1905" windowWidth="14400" windowHeight="7815" activeTab="2"/>
  </bookViews>
  <sheets>
    <sheet name="Notes" sheetId="6" r:id="rId1"/>
    <sheet name="Input" sheetId="1" r:id="rId2"/>
    <sheet name="Additional Information" sheetId="29" r:id="rId3"/>
    <sheet name="Asset Allocation" sheetId="3" r:id="rId4"/>
    <sheet name="PDF Scraping" sheetId="35" r:id="rId5"/>
    <sheet name="Dates" sheetId="34" r:id="rId6"/>
    <sheet name="Performance and Fees" sheetId="31" r:id="rId7"/>
    <sheet name="Broad Asset Allocation" sheetId="4" r:id="rId8"/>
    <sheet name="Equity Regional Allocation" sheetId="7" r:id="rId9"/>
    <sheet name="Bond Allocation" sheetId="8" r:id="rId10"/>
    <sheet name="1 Month Performance" sheetId="33" r:id="rId11"/>
    <sheet name="1 Year Performance" sheetId="2" r:id="rId12"/>
    <sheet name="Total Fee" sheetId="5" r:id="rId13"/>
    <sheet name="Equity" sheetId="9" r:id="rId14"/>
    <sheet name="Bonds" sheetId="10" r:id="rId15"/>
    <sheet name="Direct Property" sheetId="11" r:id="rId16"/>
    <sheet name="Direct Commodities" sheetId="12" r:id="rId17"/>
    <sheet name="Absolute Return" sheetId="13" r:id="rId18"/>
    <sheet name="Cash" sheetId="14" r:id="rId19"/>
    <sheet name="No Data" sheetId="36" r:id="rId20"/>
    <sheet name="United States" sheetId="16" r:id="rId21"/>
    <sheet name="United Kingdom" sheetId="17" r:id="rId22"/>
    <sheet name="Europe ex UK" sheetId="18" r:id="rId23"/>
    <sheet name="Japan" sheetId="19" r:id="rId24"/>
    <sheet name="Pacific ex Japan" sheetId="20" r:id="rId25"/>
    <sheet name="Emerging Markets" sheetId="21" r:id="rId26"/>
    <sheet name="Global Equity" sheetId="32" r:id="rId27"/>
    <sheet name="Government Bonds" sheetId="22" r:id="rId28"/>
    <sheet name="Inflation Linked" sheetId="23" r:id="rId29"/>
    <sheet name="Investment Grade" sheetId="24" r:id="rId30"/>
    <sheet name=" High Yield" sheetId="25" r:id="rId31"/>
    <sheet name="Emerging Market Debt USD" sheetId="26" r:id="rId32"/>
    <sheet name="Emerging Market Debt Local" sheetId="27" r:id="rId33"/>
    <sheet name="Strategic Bond Fund" sheetId="28" r:id="rId34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42" i="35" l="1"/>
  <c r="B35" i="1" l="1"/>
  <c r="B36" i="1"/>
  <c r="B37" i="1"/>
  <c r="B38" i="1"/>
  <c r="B39" i="1"/>
  <c r="A38" i="35"/>
  <c r="A37" i="35"/>
  <c r="B28" i="1"/>
  <c r="B29" i="1"/>
  <c r="B30" i="1"/>
  <c r="B31" i="1"/>
  <c r="B32" i="1"/>
  <c r="B33" i="1"/>
  <c r="B34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8" i="1"/>
  <c r="B9" i="1"/>
  <c r="B10" i="1"/>
  <c r="B11" i="1"/>
  <c r="B12" i="1"/>
  <c r="A3" i="35"/>
  <c r="A4" i="35"/>
  <c r="A5" i="35"/>
  <c r="A6" i="35"/>
  <c r="A7" i="35"/>
  <c r="A8" i="35"/>
  <c r="A9" i="35"/>
  <c r="A10" i="35"/>
  <c r="A11" i="35"/>
  <c r="A12" i="35"/>
  <c r="A13" i="35"/>
  <c r="A14" i="35"/>
  <c r="A15" i="35"/>
  <c r="A16" i="35"/>
  <c r="A17" i="35"/>
  <c r="A2" i="35"/>
  <c r="B4" i="1"/>
  <c r="B5" i="1"/>
  <c r="B6" i="1"/>
  <c r="B7" i="1"/>
  <c r="B3" i="1"/>
  <c r="A49" i="35"/>
  <c r="A48" i="35"/>
  <c r="A47" i="35"/>
  <c r="A46" i="35"/>
  <c r="A45" i="35"/>
  <c r="A44" i="35"/>
  <c r="A43" i="35"/>
  <c r="A41" i="35"/>
  <c r="A40" i="35"/>
  <c r="A39" i="35"/>
  <c r="A36" i="35"/>
  <c r="A35" i="35"/>
  <c r="A34" i="35"/>
  <c r="A33" i="35"/>
  <c r="A32" i="35"/>
  <c r="A31" i="35"/>
  <c r="A30" i="35"/>
  <c r="A29" i="35"/>
  <c r="A28" i="35"/>
  <c r="A27" i="35"/>
  <c r="A26" i="35"/>
  <c r="A25" i="35"/>
  <c r="A24" i="35"/>
  <c r="A23" i="35"/>
  <c r="A22" i="35"/>
  <c r="A21" i="35"/>
  <c r="A20" i="35"/>
  <c r="A19" i="35"/>
  <c r="A18" i="35"/>
  <c r="A50" i="34" l="1"/>
  <c r="B50" i="34" s="1"/>
  <c r="A49" i="34"/>
  <c r="B49" i="34" s="1"/>
  <c r="A48" i="34"/>
  <c r="B48" i="34" s="1"/>
  <c r="A47" i="34"/>
  <c r="B47" i="34" s="1"/>
  <c r="A46" i="34"/>
  <c r="B46" i="34" s="1"/>
  <c r="A45" i="34"/>
  <c r="B45" i="34" s="1"/>
  <c r="A44" i="34"/>
  <c r="B44" i="34" s="1"/>
  <c r="A43" i="34"/>
  <c r="B43" i="34" s="1"/>
  <c r="A42" i="34"/>
  <c r="B42" i="34" s="1"/>
  <c r="A41" i="34"/>
  <c r="B41" i="34" s="1"/>
  <c r="A40" i="34"/>
  <c r="B40" i="34" s="1"/>
  <c r="A39" i="34"/>
  <c r="B39" i="34" s="1"/>
  <c r="A38" i="34"/>
  <c r="B38" i="34" s="1"/>
  <c r="A37" i="34"/>
  <c r="B37" i="34" s="1"/>
  <c r="A36" i="34"/>
  <c r="B36" i="34" s="1"/>
  <c r="A35" i="34"/>
  <c r="B35" i="34" s="1"/>
  <c r="A34" i="34"/>
  <c r="B34" i="34" s="1"/>
  <c r="A33" i="34"/>
  <c r="B33" i="34" s="1"/>
  <c r="A32" i="34"/>
  <c r="B32" i="34" s="1"/>
  <c r="A31" i="34"/>
  <c r="B31" i="34" s="1"/>
  <c r="A30" i="34"/>
  <c r="B30" i="34" s="1"/>
  <c r="A29" i="34"/>
  <c r="B29" i="34" s="1"/>
  <c r="A28" i="34"/>
  <c r="B28" i="34" s="1"/>
  <c r="A27" i="34"/>
  <c r="B27" i="34" s="1"/>
  <c r="A26" i="34"/>
  <c r="B26" i="34" s="1"/>
  <c r="A25" i="34"/>
  <c r="B25" i="34" s="1"/>
  <c r="A24" i="34"/>
  <c r="B24" i="34" s="1"/>
  <c r="A23" i="34"/>
  <c r="B23" i="34" s="1"/>
  <c r="A22" i="34"/>
  <c r="B22" i="34" s="1"/>
  <c r="A21" i="34"/>
  <c r="B21" i="34" s="1"/>
  <c r="A20" i="34"/>
  <c r="B20" i="34" s="1"/>
  <c r="A19" i="34"/>
  <c r="B19" i="34" s="1"/>
  <c r="A18" i="34"/>
  <c r="B18" i="34" s="1"/>
  <c r="A17" i="34"/>
  <c r="B17" i="34" s="1"/>
  <c r="A16" i="34"/>
  <c r="B16" i="34" s="1"/>
  <c r="A15" i="34"/>
  <c r="B15" i="34" s="1"/>
  <c r="A14" i="34"/>
  <c r="B14" i="34" s="1"/>
  <c r="A13" i="34"/>
  <c r="B13" i="34" s="1"/>
  <c r="A12" i="34"/>
  <c r="B12" i="34" s="1"/>
  <c r="A11" i="34"/>
  <c r="B11" i="34" s="1"/>
  <c r="A10" i="34"/>
  <c r="B10" i="34" s="1"/>
  <c r="A9" i="34"/>
  <c r="B9" i="34" s="1"/>
  <c r="A8" i="34"/>
  <c r="B8" i="34" s="1"/>
  <c r="A7" i="34"/>
  <c r="B7" i="34" s="1"/>
  <c r="A6" i="34"/>
  <c r="B6" i="34" s="1"/>
  <c r="A5" i="34"/>
  <c r="B5" i="34" s="1"/>
  <c r="A4" i="34"/>
  <c r="B4" i="34" s="1"/>
  <c r="A3" i="34"/>
  <c r="B3" i="34" s="1"/>
  <c r="A2" i="34"/>
  <c r="B2" i="34" s="1"/>
  <c r="A50" i="8"/>
  <c r="H50" i="8" s="1"/>
  <c r="A49" i="8"/>
  <c r="H49" i="8" s="1"/>
  <c r="A48" i="8"/>
  <c r="H48" i="8" s="1"/>
  <c r="A47" i="8"/>
  <c r="H47" i="8" s="1"/>
  <c r="A46" i="8"/>
  <c r="H46" i="8" s="1"/>
  <c r="A45" i="8"/>
  <c r="H45" i="8" s="1"/>
  <c r="A44" i="8"/>
  <c r="H44" i="8" s="1"/>
  <c r="A43" i="8"/>
  <c r="H43" i="8" s="1"/>
  <c r="A42" i="8"/>
  <c r="H42" i="8" s="1"/>
  <c r="A41" i="8"/>
  <c r="H41" i="8" s="1"/>
  <c r="A40" i="8"/>
  <c r="H40" i="8" s="1"/>
  <c r="A39" i="8"/>
  <c r="H39" i="8" s="1"/>
  <c r="A38" i="8"/>
  <c r="A37" i="8"/>
  <c r="A36" i="8"/>
  <c r="A35" i="8"/>
  <c r="A34" i="8"/>
  <c r="A33" i="8"/>
  <c r="A32" i="8"/>
  <c r="A31" i="8"/>
  <c r="A30" i="8"/>
  <c r="A29" i="8"/>
  <c r="A28" i="8"/>
  <c r="A27" i="8"/>
  <c r="A26" i="8"/>
  <c r="A25" i="8"/>
  <c r="A24" i="8"/>
  <c r="A23" i="8"/>
  <c r="A22" i="8"/>
  <c r="A21" i="8"/>
  <c r="A20" i="8"/>
  <c r="A19" i="8"/>
  <c r="A18" i="8"/>
  <c r="A17" i="8"/>
  <c r="A16" i="8"/>
  <c r="A15" i="8"/>
  <c r="A14" i="8"/>
  <c r="A13" i="8"/>
  <c r="A12" i="8"/>
  <c r="A11" i="8"/>
  <c r="A10" i="8"/>
  <c r="A9" i="8"/>
  <c r="A8" i="8"/>
  <c r="A7" i="8"/>
  <c r="A6" i="8"/>
  <c r="A5" i="8"/>
  <c r="A4" i="8"/>
  <c r="A3" i="8"/>
  <c r="A2" i="8"/>
  <c r="A50" i="7"/>
  <c r="A49" i="7"/>
  <c r="A48" i="7"/>
  <c r="A47" i="7"/>
  <c r="A46" i="7"/>
  <c r="A45" i="7"/>
  <c r="A44" i="7"/>
  <c r="A43" i="7"/>
  <c r="A42" i="7"/>
  <c r="A41" i="7"/>
  <c r="A40" i="7"/>
  <c r="A39" i="7"/>
  <c r="A38" i="7"/>
  <c r="A37" i="7"/>
  <c r="A36" i="7"/>
  <c r="A35" i="7"/>
  <c r="A34" i="7"/>
  <c r="A33" i="7"/>
  <c r="A32" i="7"/>
  <c r="A31" i="7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11" i="7"/>
  <c r="A10" i="7"/>
  <c r="A9" i="7"/>
  <c r="A8" i="7"/>
  <c r="A7" i="7"/>
  <c r="A6" i="7"/>
  <c r="A5" i="7"/>
  <c r="A4" i="7"/>
  <c r="A3" i="7"/>
  <c r="A2" i="7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50" i="31"/>
  <c r="A49" i="31"/>
  <c r="A48" i="31"/>
  <c r="A47" i="31"/>
  <c r="A46" i="31"/>
  <c r="A45" i="31"/>
  <c r="A44" i="31"/>
  <c r="A43" i="31"/>
  <c r="A42" i="31"/>
  <c r="A41" i="31"/>
  <c r="A40" i="31"/>
  <c r="A39" i="31"/>
  <c r="A38" i="31"/>
  <c r="A37" i="31"/>
  <c r="A36" i="31"/>
  <c r="A35" i="31"/>
  <c r="A34" i="31"/>
  <c r="A33" i="31"/>
  <c r="A32" i="31"/>
  <c r="A31" i="31"/>
  <c r="A30" i="31"/>
  <c r="A29" i="31"/>
  <c r="A28" i="31"/>
  <c r="A27" i="31"/>
  <c r="A26" i="31"/>
  <c r="A25" i="31"/>
  <c r="A24" i="31"/>
  <c r="A23" i="31"/>
  <c r="A22" i="31"/>
  <c r="A21" i="31"/>
  <c r="A20" i="31"/>
  <c r="A19" i="31"/>
  <c r="A18" i="31"/>
  <c r="A17" i="31"/>
  <c r="A16" i="31"/>
  <c r="A15" i="31"/>
  <c r="A14" i="31"/>
  <c r="A13" i="31"/>
  <c r="A12" i="31"/>
  <c r="A11" i="31"/>
  <c r="A10" i="31"/>
  <c r="A9" i="31"/>
  <c r="A8" i="31"/>
  <c r="A7" i="31"/>
  <c r="A6" i="31"/>
  <c r="A5" i="31"/>
  <c r="A4" i="31"/>
  <c r="A3" i="31"/>
  <c r="A2" i="31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A2" i="3"/>
  <c r="A3" i="29"/>
  <c r="A4" i="29"/>
  <c r="A5" i="29"/>
  <c r="A6" i="29"/>
  <c r="A7" i="29"/>
  <c r="A8" i="29"/>
  <c r="A9" i="29"/>
  <c r="A10" i="29"/>
  <c r="A11" i="29"/>
  <c r="A12" i="29"/>
  <c r="A13" i="29"/>
  <c r="A14" i="29"/>
  <c r="A15" i="29"/>
  <c r="A16" i="29"/>
  <c r="A17" i="29"/>
  <c r="A18" i="29"/>
  <c r="A19" i="29"/>
  <c r="A20" i="29"/>
  <c r="A21" i="29"/>
  <c r="A22" i="29"/>
  <c r="A23" i="29"/>
  <c r="A24" i="29"/>
  <c r="A25" i="29"/>
  <c r="A26" i="29"/>
  <c r="A27" i="29"/>
  <c r="A28" i="29"/>
  <c r="A29" i="29"/>
  <c r="A30" i="29"/>
  <c r="A31" i="29"/>
  <c r="A32" i="29"/>
  <c r="A33" i="29"/>
  <c r="A34" i="29"/>
  <c r="A35" i="29"/>
  <c r="A36" i="29"/>
  <c r="A37" i="29"/>
  <c r="A38" i="29"/>
  <c r="A39" i="29"/>
  <c r="A40" i="29"/>
  <c r="A41" i="29"/>
  <c r="A42" i="29"/>
  <c r="A43" i="29"/>
  <c r="A44" i="29"/>
  <c r="A45" i="29"/>
  <c r="A46" i="29"/>
  <c r="A47" i="29"/>
  <c r="A48" i="29"/>
  <c r="A49" i="29"/>
  <c r="A50" i="29"/>
  <c r="A2" i="29"/>
  <c r="D5" i="7" l="1"/>
  <c r="B5" i="7"/>
  <c r="E5" i="7"/>
  <c r="F5" i="7"/>
  <c r="G5" i="7"/>
  <c r="C5" i="7"/>
  <c r="H5" i="7"/>
  <c r="B13" i="7"/>
  <c r="E13" i="7"/>
  <c r="F13" i="7"/>
  <c r="G13" i="7"/>
  <c r="C13" i="7"/>
  <c r="H13" i="7"/>
  <c r="D13" i="7"/>
  <c r="B21" i="7"/>
  <c r="E21" i="7"/>
  <c r="F21" i="7"/>
  <c r="G21" i="7"/>
  <c r="D21" i="7"/>
  <c r="C21" i="7"/>
  <c r="H21" i="7"/>
  <c r="B29" i="7"/>
  <c r="E29" i="7"/>
  <c r="F29" i="7"/>
  <c r="G29" i="7"/>
  <c r="H29" i="7"/>
  <c r="D29" i="7"/>
  <c r="C29" i="7"/>
  <c r="B37" i="7"/>
  <c r="E37" i="7"/>
  <c r="F37" i="7"/>
  <c r="G37" i="7"/>
  <c r="H37" i="7"/>
  <c r="C37" i="7"/>
  <c r="D37" i="7"/>
  <c r="B45" i="7"/>
  <c r="E45" i="7"/>
  <c r="F45" i="7"/>
  <c r="G45" i="7"/>
  <c r="D45" i="7"/>
  <c r="C45" i="7"/>
  <c r="H45" i="7"/>
  <c r="D6" i="7"/>
  <c r="C6" i="7"/>
  <c r="E6" i="7"/>
  <c r="G6" i="7"/>
  <c r="H6" i="7"/>
  <c r="B6" i="7"/>
  <c r="F6" i="7"/>
  <c r="C14" i="7"/>
  <c r="E14" i="7"/>
  <c r="G14" i="7"/>
  <c r="H14" i="7"/>
  <c r="B14" i="7"/>
  <c r="D14" i="7"/>
  <c r="F14" i="7"/>
  <c r="C22" i="7"/>
  <c r="E22" i="7"/>
  <c r="G22" i="7"/>
  <c r="H22" i="7"/>
  <c r="F22" i="7"/>
  <c r="D22" i="7"/>
  <c r="B22" i="7"/>
  <c r="C30" i="7"/>
  <c r="E30" i="7"/>
  <c r="G30" i="7"/>
  <c r="H30" i="7"/>
  <c r="B30" i="7"/>
  <c r="F30" i="7"/>
  <c r="D30" i="7"/>
  <c r="C38" i="7"/>
  <c r="E38" i="7"/>
  <c r="G38" i="7"/>
  <c r="H38" i="7"/>
  <c r="F38" i="7"/>
  <c r="B38" i="7"/>
  <c r="D38" i="7"/>
  <c r="C46" i="7"/>
  <c r="E46" i="7"/>
  <c r="G46" i="7"/>
  <c r="H46" i="7"/>
  <c r="B46" i="7"/>
  <c r="F46" i="7"/>
  <c r="D46" i="7"/>
  <c r="D7" i="7"/>
  <c r="F7" i="7"/>
  <c r="G7" i="7"/>
  <c r="B7" i="7"/>
  <c r="C7" i="7"/>
  <c r="H7" i="7"/>
  <c r="E7" i="7"/>
  <c r="D15" i="7"/>
  <c r="F15" i="7"/>
  <c r="G15" i="7"/>
  <c r="B15" i="7"/>
  <c r="E15" i="7"/>
  <c r="H15" i="7"/>
  <c r="C15" i="7"/>
  <c r="D23" i="7"/>
  <c r="F23" i="7"/>
  <c r="G23" i="7"/>
  <c r="B23" i="7"/>
  <c r="C23" i="7"/>
  <c r="H23" i="7"/>
  <c r="E23" i="7"/>
  <c r="D31" i="7"/>
  <c r="F31" i="7"/>
  <c r="G31" i="7"/>
  <c r="B31" i="7"/>
  <c r="C31" i="7"/>
  <c r="E31" i="7"/>
  <c r="H31" i="7"/>
  <c r="D39" i="7"/>
  <c r="F39" i="7"/>
  <c r="G39" i="7"/>
  <c r="B39" i="7"/>
  <c r="H39" i="7"/>
  <c r="C39" i="7"/>
  <c r="E39" i="7"/>
  <c r="D47" i="7"/>
  <c r="F47" i="7"/>
  <c r="G47" i="7"/>
  <c r="B47" i="7"/>
  <c r="E47" i="7"/>
  <c r="H47" i="7"/>
  <c r="C47" i="7"/>
  <c r="H8" i="7"/>
  <c r="D8" i="7"/>
  <c r="B8" i="7"/>
  <c r="C8" i="7"/>
  <c r="E8" i="7"/>
  <c r="F8" i="7"/>
  <c r="G8" i="7"/>
  <c r="H16" i="7"/>
  <c r="D16" i="7"/>
  <c r="B16" i="7"/>
  <c r="C16" i="7"/>
  <c r="E16" i="7"/>
  <c r="G16" i="7"/>
  <c r="F16" i="7"/>
  <c r="H24" i="7"/>
  <c r="D24" i="7"/>
  <c r="B24" i="7"/>
  <c r="C24" i="7"/>
  <c r="E24" i="7"/>
  <c r="F24" i="7"/>
  <c r="G24" i="7"/>
  <c r="H32" i="7"/>
  <c r="D32" i="7"/>
  <c r="B32" i="7"/>
  <c r="C32" i="7"/>
  <c r="E32" i="7"/>
  <c r="F32" i="7"/>
  <c r="G32" i="7"/>
  <c r="H40" i="7"/>
  <c r="D40" i="7"/>
  <c r="B40" i="7"/>
  <c r="C40" i="7"/>
  <c r="E40" i="7"/>
  <c r="F40" i="7"/>
  <c r="G40" i="7"/>
  <c r="H48" i="7"/>
  <c r="D48" i="7"/>
  <c r="B48" i="7"/>
  <c r="E48" i="7"/>
  <c r="C48" i="7"/>
  <c r="F48" i="7"/>
  <c r="G48" i="7"/>
  <c r="B9" i="7"/>
  <c r="D9" i="7"/>
  <c r="E9" i="7"/>
  <c r="F9" i="7"/>
  <c r="G9" i="7"/>
  <c r="C9" i="7"/>
  <c r="H9" i="7"/>
  <c r="B17" i="7"/>
  <c r="E17" i="7"/>
  <c r="F17" i="7"/>
  <c r="G17" i="7"/>
  <c r="C17" i="7"/>
  <c r="H17" i="7"/>
  <c r="D17" i="7"/>
  <c r="B25" i="7"/>
  <c r="E25" i="7"/>
  <c r="F25" i="7"/>
  <c r="G25" i="7"/>
  <c r="H25" i="7"/>
  <c r="D25" i="7"/>
  <c r="C25" i="7"/>
  <c r="B33" i="7"/>
  <c r="E33" i="7"/>
  <c r="F33" i="7"/>
  <c r="G33" i="7"/>
  <c r="C33" i="7"/>
  <c r="H33" i="7"/>
  <c r="D33" i="7"/>
  <c r="B41" i="7"/>
  <c r="E41" i="7"/>
  <c r="G41" i="7"/>
  <c r="F41" i="7"/>
  <c r="D41" i="7"/>
  <c r="H41" i="7"/>
  <c r="C41" i="7"/>
  <c r="B49" i="7"/>
  <c r="E49" i="7"/>
  <c r="F49" i="7"/>
  <c r="G49" i="7"/>
  <c r="H49" i="7"/>
  <c r="D49" i="7"/>
  <c r="C49" i="7"/>
  <c r="E2" i="7"/>
  <c r="C2" i="7"/>
  <c r="D2" i="7"/>
  <c r="H2" i="7"/>
  <c r="G2" i="7"/>
  <c r="F2" i="7"/>
  <c r="B2" i="7"/>
  <c r="C10" i="7"/>
  <c r="E10" i="7"/>
  <c r="D10" i="7"/>
  <c r="G10" i="7"/>
  <c r="H10" i="7"/>
  <c r="F10" i="7"/>
  <c r="B10" i="7"/>
  <c r="C18" i="7"/>
  <c r="E18" i="7"/>
  <c r="D18" i="7"/>
  <c r="G18" i="7"/>
  <c r="H18" i="7"/>
  <c r="F18" i="7"/>
  <c r="B18" i="7"/>
  <c r="C26" i="7"/>
  <c r="E26" i="7"/>
  <c r="D26" i="7"/>
  <c r="G26" i="7"/>
  <c r="H26" i="7"/>
  <c r="B26" i="7"/>
  <c r="F26" i="7"/>
  <c r="C34" i="7"/>
  <c r="E34" i="7"/>
  <c r="D34" i="7"/>
  <c r="G34" i="7"/>
  <c r="H34" i="7"/>
  <c r="B34" i="7"/>
  <c r="F34" i="7"/>
  <c r="C42" i="7"/>
  <c r="E42" i="7"/>
  <c r="D42" i="7"/>
  <c r="G42" i="7"/>
  <c r="H42" i="7"/>
  <c r="B42" i="7"/>
  <c r="F42" i="7"/>
  <c r="C50" i="7"/>
  <c r="E50" i="7"/>
  <c r="D50" i="7"/>
  <c r="G50" i="7"/>
  <c r="H50" i="7"/>
  <c r="B50" i="7"/>
  <c r="F50" i="7"/>
  <c r="F3" i="7"/>
  <c r="G3" i="7"/>
  <c r="D3" i="7"/>
  <c r="B3" i="7"/>
  <c r="C3" i="7"/>
  <c r="E3" i="7"/>
  <c r="H3" i="7"/>
  <c r="F11" i="7"/>
  <c r="G11" i="7"/>
  <c r="D11" i="7"/>
  <c r="B11" i="7"/>
  <c r="H11" i="7"/>
  <c r="E11" i="7"/>
  <c r="C11" i="7"/>
  <c r="F19" i="7"/>
  <c r="G19" i="7"/>
  <c r="D19" i="7"/>
  <c r="B19" i="7"/>
  <c r="C19" i="7"/>
  <c r="E19" i="7"/>
  <c r="H19" i="7"/>
  <c r="F27" i="7"/>
  <c r="G27" i="7"/>
  <c r="D27" i="7"/>
  <c r="B27" i="7"/>
  <c r="C27" i="7"/>
  <c r="E27" i="7"/>
  <c r="H27" i="7"/>
  <c r="F35" i="7"/>
  <c r="G35" i="7"/>
  <c r="D35" i="7"/>
  <c r="B35" i="7"/>
  <c r="H35" i="7"/>
  <c r="E35" i="7"/>
  <c r="C35" i="7"/>
  <c r="F43" i="7"/>
  <c r="G43" i="7"/>
  <c r="D43" i="7"/>
  <c r="B43" i="7"/>
  <c r="H43" i="7"/>
  <c r="C43" i="7"/>
  <c r="E43" i="7"/>
  <c r="H4" i="7"/>
  <c r="B4" i="7"/>
  <c r="C4" i="7"/>
  <c r="D4" i="7"/>
  <c r="E4" i="7"/>
  <c r="G4" i="7"/>
  <c r="F4" i="7"/>
  <c r="H12" i="7"/>
  <c r="B12" i="7"/>
  <c r="C12" i="7"/>
  <c r="D12" i="7"/>
  <c r="E12" i="7"/>
  <c r="F12" i="7"/>
  <c r="G12" i="7"/>
  <c r="H20" i="7"/>
  <c r="B20" i="7"/>
  <c r="C20" i="7"/>
  <c r="D20" i="7"/>
  <c r="E20" i="7"/>
  <c r="G20" i="7"/>
  <c r="F20" i="7"/>
  <c r="H28" i="7"/>
  <c r="B28" i="7"/>
  <c r="C28" i="7"/>
  <c r="D28" i="7"/>
  <c r="E28" i="7"/>
  <c r="F28" i="7"/>
  <c r="G28" i="7"/>
  <c r="H36" i="7"/>
  <c r="B36" i="7"/>
  <c r="C36" i="7"/>
  <c r="D36" i="7"/>
  <c r="E36" i="7"/>
  <c r="G36" i="7"/>
  <c r="F36" i="7"/>
  <c r="H44" i="7"/>
  <c r="B44" i="7"/>
  <c r="C44" i="7"/>
  <c r="D44" i="7"/>
  <c r="E44" i="7"/>
  <c r="F44" i="7"/>
  <c r="G44" i="7"/>
  <c r="D6" i="4"/>
  <c r="F6" i="4"/>
  <c r="E6" i="4"/>
  <c r="G6" i="4"/>
  <c r="B6" i="4"/>
  <c r="C6" i="4"/>
  <c r="H6" i="8" s="1"/>
  <c r="D46" i="4"/>
  <c r="F46" i="4"/>
  <c r="E46" i="4"/>
  <c r="G46" i="4"/>
  <c r="C46" i="4"/>
  <c r="B46" i="4"/>
  <c r="F7" i="4"/>
  <c r="B7" i="4"/>
  <c r="C7" i="4"/>
  <c r="H7" i="8" s="1"/>
  <c r="D7" i="4"/>
  <c r="G7" i="4"/>
  <c r="E7" i="4"/>
  <c r="F23" i="4"/>
  <c r="B23" i="4"/>
  <c r="C23" i="4"/>
  <c r="H23" i="8" s="1"/>
  <c r="D23" i="4"/>
  <c r="E23" i="4"/>
  <c r="G23" i="4"/>
  <c r="B47" i="4"/>
  <c r="F47" i="4"/>
  <c r="C47" i="4"/>
  <c r="D47" i="4"/>
  <c r="E47" i="4"/>
  <c r="G47" i="4"/>
  <c r="B8" i="4"/>
  <c r="C8" i="4"/>
  <c r="H8" i="8" s="1"/>
  <c r="D8" i="4"/>
  <c r="F8" i="4"/>
  <c r="E8" i="4"/>
  <c r="G8" i="4"/>
  <c r="B16" i="4"/>
  <c r="C16" i="4"/>
  <c r="H16" i="8" s="1"/>
  <c r="D16" i="4"/>
  <c r="F16" i="4"/>
  <c r="E16" i="4"/>
  <c r="G16" i="4"/>
  <c r="B24" i="4"/>
  <c r="C24" i="4"/>
  <c r="H24" i="8" s="1"/>
  <c r="D24" i="4"/>
  <c r="F24" i="4"/>
  <c r="E24" i="4"/>
  <c r="G24" i="4"/>
  <c r="B32" i="4"/>
  <c r="C32" i="4"/>
  <c r="H32" i="8" s="1"/>
  <c r="D32" i="4"/>
  <c r="F32" i="4"/>
  <c r="E32" i="4"/>
  <c r="G32" i="4"/>
  <c r="B40" i="4"/>
  <c r="C40" i="4"/>
  <c r="E40" i="4"/>
  <c r="D40" i="4"/>
  <c r="F40" i="4"/>
  <c r="G40" i="4"/>
  <c r="B48" i="4"/>
  <c r="C48" i="4"/>
  <c r="D48" i="4"/>
  <c r="F48" i="4"/>
  <c r="E48" i="4"/>
  <c r="G48" i="4"/>
  <c r="F29" i="4"/>
  <c r="B29" i="4"/>
  <c r="C29" i="4"/>
  <c r="H29" i="8" s="1"/>
  <c r="D29" i="4"/>
  <c r="E29" i="4"/>
  <c r="G29" i="4"/>
  <c r="D38" i="4"/>
  <c r="F38" i="4"/>
  <c r="E38" i="4"/>
  <c r="G38" i="4"/>
  <c r="C38" i="4"/>
  <c r="H38" i="8" s="1"/>
  <c r="B38" i="4"/>
  <c r="F15" i="4"/>
  <c r="B15" i="4"/>
  <c r="C15" i="4"/>
  <c r="H15" i="8" s="1"/>
  <c r="D15" i="4"/>
  <c r="E15" i="4"/>
  <c r="G15" i="4"/>
  <c r="F31" i="4"/>
  <c r="B31" i="4"/>
  <c r="C31" i="4"/>
  <c r="H31" i="8" s="1"/>
  <c r="D31" i="4"/>
  <c r="G31" i="4"/>
  <c r="E31" i="4"/>
  <c r="F39" i="4"/>
  <c r="B39" i="4"/>
  <c r="C39" i="4"/>
  <c r="D39" i="4"/>
  <c r="G39" i="4"/>
  <c r="E39" i="4"/>
  <c r="E9" i="4"/>
  <c r="G9" i="4"/>
  <c r="F9" i="4"/>
  <c r="B9" i="4"/>
  <c r="C9" i="4"/>
  <c r="H9" i="8" s="1"/>
  <c r="D9" i="4"/>
  <c r="E17" i="4"/>
  <c r="G17" i="4"/>
  <c r="F17" i="4"/>
  <c r="B17" i="4"/>
  <c r="C17" i="4"/>
  <c r="H17" i="8" s="1"/>
  <c r="D17" i="4"/>
  <c r="E25" i="4"/>
  <c r="G25" i="4"/>
  <c r="F25" i="4"/>
  <c r="B25" i="4"/>
  <c r="C25" i="4"/>
  <c r="H25" i="8" s="1"/>
  <c r="D25" i="4"/>
  <c r="E33" i="4"/>
  <c r="G33" i="4"/>
  <c r="F33" i="4"/>
  <c r="B33" i="4"/>
  <c r="D33" i="4"/>
  <c r="C33" i="4"/>
  <c r="H33" i="8" s="1"/>
  <c r="E41" i="4"/>
  <c r="G41" i="4"/>
  <c r="F41" i="4"/>
  <c r="B41" i="4"/>
  <c r="C41" i="4"/>
  <c r="D41" i="4"/>
  <c r="E49" i="4"/>
  <c r="G49" i="4"/>
  <c r="F49" i="4"/>
  <c r="B49" i="4"/>
  <c r="C49" i="4"/>
  <c r="D49" i="4"/>
  <c r="F5" i="4"/>
  <c r="B5" i="4"/>
  <c r="C5" i="4"/>
  <c r="H5" i="8" s="1"/>
  <c r="D5" i="4"/>
  <c r="E5" i="4"/>
  <c r="G5" i="4"/>
  <c r="D14" i="4"/>
  <c r="F14" i="4"/>
  <c r="E14" i="4"/>
  <c r="G14" i="4"/>
  <c r="C14" i="4"/>
  <c r="H14" i="8" s="1"/>
  <c r="B14" i="4"/>
  <c r="E2" i="4"/>
  <c r="D2" i="4"/>
  <c r="F2" i="4"/>
  <c r="C2" i="4"/>
  <c r="H2" i="8" s="1"/>
  <c r="B2" i="4"/>
  <c r="G2" i="4"/>
  <c r="B10" i="4"/>
  <c r="C10" i="4"/>
  <c r="H10" i="8" s="1"/>
  <c r="D10" i="4"/>
  <c r="F10" i="4"/>
  <c r="E10" i="4"/>
  <c r="G10" i="4"/>
  <c r="B18" i="4"/>
  <c r="C18" i="4"/>
  <c r="H18" i="8" s="1"/>
  <c r="D18" i="4"/>
  <c r="F18" i="4"/>
  <c r="E18" i="4"/>
  <c r="G18" i="4"/>
  <c r="B26" i="4"/>
  <c r="C26" i="4"/>
  <c r="H26" i="8" s="1"/>
  <c r="D26" i="4"/>
  <c r="F26" i="4"/>
  <c r="E26" i="4"/>
  <c r="G26" i="4"/>
  <c r="B34" i="4"/>
  <c r="C34" i="4"/>
  <c r="H34" i="8" s="1"/>
  <c r="D34" i="4"/>
  <c r="F34" i="4"/>
  <c r="E34" i="4"/>
  <c r="G34" i="4"/>
  <c r="B42" i="4"/>
  <c r="C42" i="4"/>
  <c r="D42" i="4"/>
  <c r="F42" i="4"/>
  <c r="E42" i="4"/>
  <c r="G42" i="4"/>
  <c r="C50" i="4"/>
  <c r="B50" i="4"/>
  <c r="D50" i="4"/>
  <c r="F50" i="4"/>
  <c r="E50" i="4"/>
  <c r="G50" i="4"/>
  <c r="F21" i="4"/>
  <c r="B21" i="4"/>
  <c r="C21" i="4"/>
  <c r="H21" i="8" s="1"/>
  <c r="D21" i="4"/>
  <c r="E21" i="4"/>
  <c r="G21" i="4"/>
  <c r="D22" i="4"/>
  <c r="F22" i="4"/>
  <c r="E22" i="4"/>
  <c r="G22" i="4"/>
  <c r="B22" i="4"/>
  <c r="C22" i="4"/>
  <c r="H22" i="8" s="1"/>
  <c r="C11" i="4"/>
  <c r="H11" i="8" s="1"/>
  <c r="D11" i="4"/>
  <c r="F11" i="4"/>
  <c r="E11" i="4"/>
  <c r="G11" i="4"/>
  <c r="B11" i="4"/>
  <c r="C19" i="4"/>
  <c r="H19" i="8" s="1"/>
  <c r="D19" i="4"/>
  <c r="E19" i="4"/>
  <c r="G19" i="4"/>
  <c r="F19" i="4"/>
  <c r="B19" i="4"/>
  <c r="C27" i="4"/>
  <c r="H27" i="8" s="1"/>
  <c r="D27" i="4"/>
  <c r="F27" i="4"/>
  <c r="E27" i="4"/>
  <c r="G27" i="4"/>
  <c r="B27" i="4"/>
  <c r="C35" i="4"/>
  <c r="H35" i="8" s="1"/>
  <c r="D35" i="4"/>
  <c r="G35" i="4"/>
  <c r="E35" i="4"/>
  <c r="F35" i="4"/>
  <c r="B35" i="4"/>
  <c r="C43" i="4"/>
  <c r="D43" i="4"/>
  <c r="G43" i="4"/>
  <c r="E43" i="4"/>
  <c r="F43" i="4"/>
  <c r="B43" i="4"/>
  <c r="F13" i="4"/>
  <c r="B13" i="4"/>
  <c r="C13" i="4"/>
  <c r="H13" i="8" s="1"/>
  <c r="D13" i="4"/>
  <c r="E13" i="4"/>
  <c r="G13" i="4"/>
  <c r="D30" i="4"/>
  <c r="F30" i="4"/>
  <c r="E30" i="4"/>
  <c r="G30" i="4"/>
  <c r="B30" i="4"/>
  <c r="C30" i="4"/>
  <c r="H30" i="8" s="1"/>
  <c r="C3" i="4"/>
  <c r="H3" i="8" s="1"/>
  <c r="D3" i="4"/>
  <c r="E3" i="4"/>
  <c r="G3" i="4"/>
  <c r="F3" i="4"/>
  <c r="B3" i="4"/>
  <c r="G4" i="4"/>
  <c r="D4" i="4"/>
  <c r="B4" i="4"/>
  <c r="C4" i="4"/>
  <c r="H4" i="8" s="1"/>
  <c r="E4" i="4"/>
  <c r="F4" i="4"/>
  <c r="G12" i="4"/>
  <c r="B12" i="4"/>
  <c r="C12" i="4"/>
  <c r="H12" i="8" s="1"/>
  <c r="D12" i="4"/>
  <c r="F12" i="4"/>
  <c r="E12" i="4"/>
  <c r="G20" i="4"/>
  <c r="B20" i="4"/>
  <c r="C20" i="4"/>
  <c r="H20" i="8" s="1"/>
  <c r="F20" i="4"/>
  <c r="E20" i="4"/>
  <c r="D20" i="4"/>
  <c r="G28" i="4"/>
  <c r="B28" i="4"/>
  <c r="C28" i="4"/>
  <c r="H28" i="8" s="1"/>
  <c r="F28" i="4"/>
  <c r="D28" i="4"/>
  <c r="E28" i="4"/>
  <c r="G36" i="4"/>
  <c r="B36" i="4"/>
  <c r="C36" i="4"/>
  <c r="H36" i="8" s="1"/>
  <c r="F36" i="4"/>
  <c r="D36" i="4"/>
  <c r="E36" i="4"/>
  <c r="G44" i="4"/>
  <c r="B44" i="4"/>
  <c r="C44" i="4"/>
  <c r="F44" i="4"/>
  <c r="D44" i="4"/>
  <c r="E44" i="4"/>
  <c r="F37" i="4"/>
  <c r="B37" i="4"/>
  <c r="C37" i="4"/>
  <c r="H37" i="8" s="1"/>
  <c r="D37" i="4"/>
  <c r="E37" i="4"/>
  <c r="G37" i="4"/>
  <c r="F45" i="4"/>
  <c r="B45" i="4"/>
  <c r="C45" i="4"/>
  <c r="D45" i="4"/>
  <c r="E45" i="4"/>
  <c r="G45" i="4"/>
  <c r="D47" i="31"/>
  <c r="B47" i="31"/>
  <c r="C47" i="31"/>
  <c r="D8" i="31"/>
  <c r="C8" i="31"/>
  <c r="B8" i="31"/>
  <c r="D16" i="31"/>
  <c r="B16" i="31"/>
  <c r="C16" i="31"/>
  <c r="D24" i="31"/>
  <c r="C24" i="31"/>
  <c r="B24" i="31"/>
  <c r="D32" i="31"/>
  <c r="C32" i="31"/>
  <c r="B32" i="31"/>
  <c r="D40" i="31"/>
  <c r="C40" i="31"/>
  <c r="B40" i="31"/>
  <c r="D48" i="31"/>
  <c r="B48" i="31"/>
  <c r="C48" i="31"/>
  <c r="B39" i="31"/>
  <c r="D39" i="31"/>
  <c r="C39" i="31"/>
  <c r="C9" i="31"/>
  <c r="D9" i="31"/>
  <c r="B9" i="31"/>
  <c r="C17" i="31"/>
  <c r="B17" i="31"/>
  <c r="D17" i="31"/>
  <c r="C25" i="31"/>
  <c r="D25" i="31"/>
  <c r="B25" i="31"/>
  <c r="B33" i="31"/>
  <c r="C33" i="31"/>
  <c r="D33" i="31"/>
  <c r="D41" i="31"/>
  <c r="B41" i="31"/>
  <c r="C41" i="31"/>
  <c r="C49" i="31"/>
  <c r="B49" i="31"/>
  <c r="D49" i="31"/>
  <c r="D15" i="31"/>
  <c r="B15" i="31"/>
  <c r="C15" i="31"/>
  <c r="C2" i="31"/>
  <c r="B2" i="31"/>
  <c r="D2" i="31"/>
  <c r="B10" i="31"/>
  <c r="D10" i="31"/>
  <c r="C10" i="31"/>
  <c r="B18" i="31"/>
  <c r="C18" i="31"/>
  <c r="D18" i="31"/>
  <c r="B26" i="31"/>
  <c r="C26" i="31"/>
  <c r="D26" i="31"/>
  <c r="D34" i="31"/>
  <c r="C34" i="31"/>
  <c r="B34" i="31"/>
  <c r="D42" i="31"/>
  <c r="C42" i="31"/>
  <c r="B42" i="31"/>
  <c r="B50" i="31"/>
  <c r="D50" i="31"/>
  <c r="C50" i="31"/>
  <c r="B7" i="31"/>
  <c r="D7" i="31"/>
  <c r="C7" i="31"/>
  <c r="C3" i="31"/>
  <c r="B3" i="31"/>
  <c r="D3" i="31"/>
  <c r="C11" i="31"/>
  <c r="D11" i="31"/>
  <c r="B11" i="31"/>
  <c r="C19" i="31"/>
  <c r="D19" i="31"/>
  <c r="B19" i="31"/>
  <c r="C27" i="31"/>
  <c r="B27" i="31"/>
  <c r="D27" i="31"/>
  <c r="C35" i="31"/>
  <c r="D35" i="31"/>
  <c r="B35" i="31"/>
  <c r="C43" i="31"/>
  <c r="B43" i="31"/>
  <c r="D43" i="31"/>
  <c r="B23" i="31"/>
  <c r="D23" i="31"/>
  <c r="C23" i="31"/>
  <c r="B4" i="31"/>
  <c r="C4" i="31"/>
  <c r="D4" i="31"/>
  <c r="B12" i="31"/>
  <c r="C12" i="31"/>
  <c r="D12" i="31"/>
  <c r="B20" i="31"/>
  <c r="C20" i="31"/>
  <c r="D20" i="31"/>
  <c r="B28" i="31"/>
  <c r="D28" i="31"/>
  <c r="C28" i="31"/>
  <c r="B36" i="31"/>
  <c r="C36" i="31"/>
  <c r="D36" i="31"/>
  <c r="B44" i="31"/>
  <c r="C44" i="31"/>
  <c r="D44" i="31"/>
  <c r="D31" i="31"/>
  <c r="B31" i="31"/>
  <c r="C31" i="31"/>
  <c r="D5" i="31"/>
  <c r="B5" i="31"/>
  <c r="C5" i="31"/>
  <c r="D13" i="31"/>
  <c r="B13" i="31"/>
  <c r="C13" i="31"/>
  <c r="D21" i="31"/>
  <c r="B21" i="31"/>
  <c r="C21" i="31"/>
  <c r="D29" i="31"/>
  <c r="B29" i="31"/>
  <c r="C29" i="31"/>
  <c r="D37" i="31"/>
  <c r="B37" i="31"/>
  <c r="C37" i="31"/>
  <c r="D45" i="31"/>
  <c r="B45" i="31"/>
  <c r="C45" i="31"/>
  <c r="D6" i="31"/>
  <c r="B6" i="31"/>
  <c r="C6" i="31"/>
  <c r="D14" i="31"/>
  <c r="C14" i="31"/>
  <c r="B14" i="31"/>
  <c r="D22" i="31"/>
  <c r="B22" i="31"/>
  <c r="C22" i="31"/>
  <c r="D30" i="31"/>
  <c r="C30" i="31"/>
  <c r="B30" i="31"/>
  <c r="D38" i="31"/>
  <c r="B38" i="31"/>
  <c r="C38" i="31"/>
  <c r="D46" i="31"/>
  <c r="B46" i="31"/>
  <c r="C46" i="31"/>
  <c r="B1" i="36" a="1"/>
  <c r="B1" i="36" s="1"/>
  <c r="H46" i="4"/>
  <c r="H45" i="4"/>
  <c r="H40" i="4"/>
  <c r="H48" i="4"/>
  <c r="H41" i="4"/>
  <c r="H49" i="4"/>
  <c r="H39" i="4"/>
  <c r="H42" i="4"/>
  <c r="H50" i="4"/>
  <c r="H47" i="4"/>
  <c r="H43" i="4"/>
  <c r="H44" i="4"/>
  <c r="B1" i="33" a="1"/>
  <c r="B1" i="33" s="1"/>
  <c r="B1" i="27" a="1"/>
  <c r="B1" i="27" s="1"/>
  <c r="B1" i="11" a="1"/>
  <c r="B1" i="11" s="1"/>
  <c r="B1" i="2" a="1"/>
  <c r="B1" i="2" s="1"/>
  <c r="B1" i="16" a="1"/>
  <c r="B1" i="16" s="1"/>
  <c r="B1" i="23" a="1"/>
  <c r="B1" i="23" s="1"/>
  <c r="B1" i="20" a="1"/>
  <c r="B1" i="20" s="1"/>
  <c r="B1" i="5" a="1"/>
  <c r="B1" i="5" s="1"/>
  <c r="B1" i="17" a="1"/>
  <c r="B1" i="17" s="1"/>
  <c r="B1" i="24" a="1"/>
  <c r="B1" i="24" s="1"/>
  <c r="B1" i="9" a="1"/>
  <c r="B1" i="9" s="1"/>
  <c r="B1" i="18" a="1"/>
  <c r="B1" i="18" s="1"/>
  <c r="B1" i="25" a="1"/>
  <c r="B1" i="25" s="1"/>
  <c r="B1" i="10" a="1"/>
  <c r="B1" i="10" s="1"/>
  <c r="B1" i="19" a="1"/>
  <c r="B1" i="19" s="1"/>
  <c r="B1" i="26" a="1"/>
  <c r="B1" i="26" s="1"/>
  <c r="B1" i="12" a="1"/>
  <c r="B1" i="12" s="1"/>
  <c r="B1" i="21" a="1"/>
  <c r="B1" i="21" s="1"/>
  <c r="B1" i="28" a="1"/>
  <c r="B1" i="28" s="1"/>
  <c r="B1" i="13" a="1"/>
  <c r="B1" i="13" s="1"/>
  <c r="B1" i="32" a="1"/>
  <c r="B1" i="32" s="1"/>
  <c r="B1" i="14" a="1"/>
  <c r="B1" i="14" s="1"/>
  <c r="B1" i="22" a="1"/>
  <c r="B1" i="22" s="1"/>
  <c r="A1" i="1"/>
  <c r="H35" i="4" l="1"/>
  <c r="H38" i="4"/>
  <c r="H37" i="4"/>
  <c r="H36" i="4"/>
  <c r="H33" i="4"/>
  <c r="H22" i="4"/>
  <c r="H3" i="4"/>
  <c r="H25" i="4"/>
  <c r="H18" i="4"/>
  <c r="H17" i="4"/>
  <c r="H4" i="4"/>
  <c r="H7" i="4"/>
  <c r="H10" i="4"/>
  <c r="H9" i="4"/>
  <c r="H2" i="4"/>
  <c r="H27" i="4"/>
  <c r="H19" i="4"/>
  <c r="H31" i="4"/>
  <c r="H30" i="4"/>
  <c r="H13" i="4"/>
  <c r="H29" i="4"/>
  <c r="H15" i="4"/>
  <c r="H23" i="4"/>
  <c r="H20" i="4"/>
  <c r="H12" i="4"/>
  <c r="H24" i="4"/>
  <c r="H28" i="4"/>
  <c r="H5" i="4"/>
  <c r="H16" i="4"/>
  <c r="H14" i="4"/>
  <c r="H6" i="4"/>
  <c r="H21" i="4"/>
  <c r="H34" i="4"/>
  <c r="H11" i="4"/>
  <c r="H26" i="4"/>
  <c r="H32" i="4"/>
  <c r="H8" i="4"/>
  <c r="AX1" i="28"/>
  <c r="AW1" i="28"/>
  <c r="AV1" i="28"/>
  <c r="AU1" i="28"/>
  <c r="AT1" i="28"/>
  <c r="AS1" i="28"/>
  <c r="AR1" i="28"/>
  <c r="AQ1" i="28"/>
  <c r="AP1" i="28"/>
  <c r="AO1" i="28"/>
  <c r="AN1" i="28"/>
  <c r="AM1" i="28"/>
  <c r="AL1" i="28"/>
  <c r="AK1" i="28"/>
  <c r="AJ1" i="28"/>
  <c r="AI1" i="28"/>
  <c r="AH1" i="28"/>
  <c r="AG1" i="28"/>
  <c r="AF1" i="28"/>
  <c r="AE1" i="28"/>
  <c r="AD1" i="28"/>
  <c r="AC1" i="28"/>
  <c r="AB1" i="28"/>
  <c r="AA1" i="28"/>
  <c r="Z1" i="28"/>
  <c r="Y1" i="28"/>
  <c r="X1" i="28"/>
  <c r="W1" i="28"/>
  <c r="V1" i="28"/>
  <c r="U1" i="28"/>
  <c r="T1" i="28"/>
  <c r="S1" i="28"/>
  <c r="R1" i="28"/>
  <c r="Q1" i="28"/>
  <c r="P1" i="28"/>
  <c r="O1" i="28"/>
  <c r="N1" i="28"/>
  <c r="M1" i="28"/>
  <c r="L1" i="28"/>
  <c r="K1" i="28"/>
  <c r="J1" i="28"/>
  <c r="I1" i="28"/>
  <c r="H1" i="28"/>
  <c r="G1" i="28"/>
  <c r="F1" i="28"/>
  <c r="E1" i="28"/>
  <c r="D1" i="28"/>
  <c r="C1" i="28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AE1" i="27"/>
  <c r="AD1" i="27"/>
  <c r="AC1" i="27"/>
  <c r="AB1" i="27"/>
  <c r="AA1" i="27"/>
  <c r="Z1" i="27"/>
  <c r="Y1" i="27"/>
  <c r="X1" i="27"/>
  <c r="W1" i="27"/>
  <c r="V1" i="27"/>
  <c r="U1" i="27"/>
  <c r="T1" i="27"/>
  <c r="S1" i="27"/>
  <c r="R1" i="27"/>
  <c r="Q1" i="27"/>
  <c r="P1" i="27"/>
  <c r="O1" i="27"/>
  <c r="N1" i="27"/>
  <c r="M1" i="27"/>
  <c r="L1" i="27"/>
  <c r="K1" i="27"/>
  <c r="J1" i="27"/>
  <c r="I1" i="27"/>
  <c r="H1" i="27"/>
  <c r="G1" i="27"/>
  <c r="F1" i="27"/>
  <c r="E1" i="27"/>
  <c r="D1" i="27"/>
  <c r="C1" i="27"/>
  <c r="AX1" i="26"/>
  <c r="AW1" i="26"/>
  <c r="AV1" i="26"/>
  <c r="AU1" i="26"/>
  <c r="AT1" i="26"/>
  <c r="AS1" i="26"/>
  <c r="AR1" i="26"/>
  <c r="AQ1" i="26"/>
  <c r="AP1" i="26"/>
  <c r="AO1" i="26"/>
  <c r="AN1" i="26"/>
  <c r="AM1" i="26"/>
  <c r="AL1" i="26"/>
  <c r="AK1" i="26"/>
  <c r="AJ1" i="26"/>
  <c r="AI1" i="26"/>
  <c r="AH1" i="26"/>
  <c r="AG1" i="26"/>
  <c r="AF1" i="26"/>
  <c r="AE1" i="26"/>
  <c r="AD1" i="26"/>
  <c r="AC1" i="26"/>
  <c r="AB1" i="26"/>
  <c r="AA1" i="26"/>
  <c r="Z1" i="26"/>
  <c r="Y1" i="26"/>
  <c r="X1" i="26"/>
  <c r="W1" i="26"/>
  <c r="V1" i="26"/>
  <c r="U1" i="26"/>
  <c r="T1" i="26"/>
  <c r="S1" i="26"/>
  <c r="R1" i="26"/>
  <c r="Q1" i="26"/>
  <c r="P1" i="26"/>
  <c r="O1" i="26"/>
  <c r="N1" i="26"/>
  <c r="M1" i="26"/>
  <c r="L1" i="26"/>
  <c r="K1" i="26"/>
  <c r="J1" i="26"/>
  <c r="I1" i="26"/>
  <c r="H1" i="26"/>
  <c r="G1" i="26"/>
  <c r="F1" i="26"/>
  <c r="E1" i="26"/>
  <c r="D1" i="26"/>
  <c r="C1" i="26"/>
  <c r="AX1" i="25"/>
  <c r="AW1" i="25"/>
  <c r="AV1" i="25"/>
  <c r="AU1" i="25"/>
  <c r="AT1" i="25"/>
  <c r="AS1" i="25"/>
  <c r="AR1" i="25"/>
  <c r="AQ1" i="25"/>
  <c r="AP1" i="25"/>
  <c r="AO1" i="25"/>
  <c r="AN1" i="25"/>
  <c r="AM1" i="25"/>
  <c r="AL1" i="25"/>
  <c r="AK1" i="25"/>
  <c r="AJ1" i="25"/>
  <c r="AI1" i="25"/>
  <c r="AH1" i="25"/>
  <c r="AG1" i="25"/>
  <c r="AF1" i="25"/>
  <c r="AE1" i="25"/>
  <c r="AD1" i="25"/>
  <c r="AC1" i="25"/>
  <c r="AB1" i="25"/>
  <c r="AA1" i="25"/>
  <c r="Z1" i="25"/>
  <c r="Y1" i="25"/>
  <c r="X1" i="25"/>
  <c r="W1" i="25"/>
  <c r="V1" i="25"/>
  <c r="U1" i="25"/>
  <c r="T1" i="25"/>
  <c r="S1" i="25"/>
  <c r="R1" i="25"/>
  <c r="Q1" i="25"/>
  <c r="P1" i="25"/>
  <c r="O1" i="25"/>
  <c r="N1" i="25"/>
  <c r="M1" i="25"/>
  <c r="L1" i="25"/>
  <c r="K1" i="25"/>
  <c r="J1" i="25"/>
  <c r="I1" i="25"/>
  <c r="H1" i="25"/>
  <c r="G1" i="25"/>
  <c r="F1" i="25"/>
  <c r="E1" i="25"/>
  <c r="D1" i="25"/>
  <c r="C1" i="25"/>
  <c r="AX1" i="24"/>
  <c r="AW1" i="24"/>
  <c r="AV1" i="24"/>
  <c r="AU1" i="24"/>
  <c r="AT1" i="24"/>
  <c r="AS1" i="24"/>
  <c r="AR1" i="24"/>
  <c r="AQ1" i="24"/>
  <c r="AP1" i="24"/>
  <c r="AO1" i="24"/>
  <c r="AN1" i="24"/>
  <c r="AM1" i="24"/>
  <c r="AL1" i="24"/>
  <c r="AK1" i="24"/>
  <c r="AJ1" i="24"/>
  <c r="AI1" i="24"/>
  <c r="AH1" i="24"/>
  <c r="AG1" i="24"/>
  <c r="AF1" i="24"/>
  <c r="AE1" i="24"/>
  <c r="AD1" i="24"/>
  <c r="AC1" i="24"/>
  <c r="AB1" i="24"/>
  <c r="AA1" i="24"/>
  <c r="Z1" i="24"/>
  <c r="Y1" i="24"/>
  <c r="X1" i="24"/>
  <c r="W1" i="24"/>
  <c r="V1" i="24"/>
  <c r="U1" i="24"/>
  <c r="T1" i="24"/>
  <c r="S1" i="24"/>
  <c r="R1" i="24"/>
  <c r="Q1" i="24"/>
  <c r="P1" i="24"/>
  <c r="O1" i="24"/>
  <c r="N1" i="24"/>
  <c r="M1" i="24"/>
  <c r="L1" i="24"/>
  <c r="K1" i="24"/>
  <c r="J1" i="24"/>
  <c r="I1" i="24"/>
  <c r="H1" i="24"/>
  <c r="G1" i="24"/>
  <c r="F1" i="24"/>
  <c r="E1" i="24"/>
  <c r="D1" i="24"/>
  <c r="C1" i="24"/>
  <c r="AX1" i="23"/>
  <c r="AW1" i="23"/>
  <c r="AV1" i="23"/>
  <c r="AU1" i="23"/>
  <c r="AT1" i="23"/>
  <c r="AS1" i="23"/>
  <c r="AR1" i="23"/>
  <c r="AQ1" i="23"/>
  <c r="AP1" i="23"/>
  <c r="AO1" i="23"/>
  <c r="AN1" i="23"/>
  <c r="AM1" i="23"/>
  <c r="AL1" i="23"/>
  <c r="AK1" i="23"/>
  <c r="AJ1" i="23"/>
  <c r="AI1" i="23"/>
  <c r="AH1" i="23"/>
  <c r="AG1" i="23"/>
  <c r="AF1" i="23"/>
  <c r="AE1" i="23"/>
  <c r="AD1" i="23"/>
  <c r="AC1" i="23"/>
  <c r="AB1" i="23"/>
  <c r="AA1" i="23"/>
  <c r="Z1" i="23"/>
  <c r="Y1" i="23"/>
  <c r="X1" i="23"/>
  <c r="W1" i="23"/>
  <c r="V1" i="23"/>
  <c r="U1" i="23"/>
  <c r="T1" i="23"/>
  <c r="S1" i="23"/>
  <c r="R1" i="23"/>
  <c r="Q1" i="23"/>
  <c r="P1" i="23"/>
  <c r="O1" i="23"/>
  <c r="N1" i="23"/>
  <c r="M1" i="23"/>
  <c r="L1" i="23"/>
  <c r="K1" i="23"/>
  <c r="J1" i="23"/>
  <c r="I1" i="23"/>
  <c r="H1" i="23"/>
  <c r="G1" i="23"/>
  <c r="F1" i="23"/>
  <c r="E1" i="23"/>
  <c r="D1" i="23"/>
  <c r="C1" i="23"/>
  <c r="AX1" i="22"/>
  <c r="AW1" i="22"/>
  <c r="AV1" i="22"/>
  <c r="AU1" i="22"/>
  <c r="AT1" i="22"/>
  <c r="AS1" i="22"/>
  <c r="AR1" i="22"/>
  <c r="AQ1" i="22"/>
  <c r="AP1" i="22"/>
  <c r="AO1" i="22"/>
  <c r="AN1" i="22"/>
  <c r="AM1" i="22"/>
  <c r="AL1" i="22"/>
  <c r="AK1" i="22"/>
  <c r="AJ1" i="22"/>
  <c r="AI1" i="22"/>
  <c r="AH1" i="22"/>
  <c r="AG1" i="22"/>
  <c r="AF1" i="22"/>
  <c r="AE1" i="22"/>
  <c r="AD1" i="22"/>
  <c r="AC1" i="22"/>
  <c r="AB1" i="22"/>
  <c r="AA1" i="22"/>
  <c r="Z1" i="22"/>
  <c r="Y1" i="22"/>
  <c r="X1" i="22"/>
  <c r="W1" i="22"/>
  <c r="V1" i="22"/>
  <c r="U1" i="22"/>
  <c r="T1" i="22"/>
  <c r="S1" i="22"/>
  <c r="R1" i="22"/>
  <c r="Q1" i="22"/>
  <c r="P1" i="22"/>
  <c r="O1" i="22"/>
  <c r="N1" i="22"/>
  <c r="M1" i="22"/>
  <c r="L1" i="22"/>
  <c r="K1" i="22"/>
  <c r="J1" i="22"/>
  <c r="I1" i="22"/>
  <c r="H1" i="22"/>
  <c r="G1" i="22"/>
  <c r="F1" i="22"/>
  <c r="E1" i="22"/>
  <c r="D1" i="22"/>
  <c r="C1" i="22"/>
  <c r="AX1" i="32"/>
  <c r="AW1" i="32"/>
  <c r="AV1" i="32"/>
  <c r="AU1" i="32"/>
  <c r="AT1" i="32"/>
  <c r="AS1" i="32"/>
  <c r="AR1" i="32"/>
  <c r="AQ1" i="32"/>
  <c r="AP1" i="32"/>
  <c r="AO1" i="32"/>
  <c r="AN1" i="32"/>
  <c r="AM1" i="32"/>
  <c r="AL1" i="32"/>
  <c r="AK1" i="32"/>
  <c r="AJ1" i="32"/>
  <c r="AI1" i="32"/>
  <c r="AH1" i="32"/>
  <c r="AG1" i="32"/>
  <c r="AF1" i="32"/>
  <c r="AE1" i="32"/>
  <c r="AD1" i="32"/>
  <c r="AC1" i="32"/>
  <c r="AB1" i="32"/>
  <c r="AA1" i="32"/>
  <c r="Z1" i="32"/>
  <c r="Y1" i="32"/>
  <c r="X1" i="32"/>
  <c r="W1" i="32"/>
  <c r="V1" i="32"/>
  <c r="U1" i="32"/>
  <c r="T1" i="32"/>
  <c r="S1" i="32"/>
  <c r="R1" i="32"/>
  <c r="Q1" i="32"/>
  <c r="P1" i="32"/>
  <c r="O1" i="32"/>
  <c r="N1" i="32"/>
  <c r="M1" i="32"/>
  <c r="L1" i="32"/>
  <c r="K1" i="32"/>
  <c r="J1" i="32"/>
  <c r="I1" i="32"/>
  <c r="H1" i="32"/>
  <c r="G1" i="32"/>
  <c r="F1" i="32"/>
  <c r="E1" i="32"/>
  <c r="D1" i="32"/>
  <c r="C1" i="32"/>
  <c r="AX1" i="21"/>
  <c r="AW1" i="21"/>
  <c r="AV1" i="21"/>
  <c r="AU1" i="21"/>
  <c r="AT1" i="21"/>
  <c r="AS1" i="21"/>
  <c r="AR1" i="21"/>
  <c r="AQ1" i="21"/>
  <c r="AP1" i="21"/>
  <c r="AO1" i="21"/>
  <c r="AN1" i="21"/>
  <c r="AM1" i="21"/>
  <c r="AL1" i="21"/>
  <c r="AK1" i="21"/>
  <c r="AJ1" i="21"/>
  <c r="AI1" i="21"/>
  <c r="AH1" i="21"/>
  <c r="AG1" i="21"/>
  <c r="AF1" i="21"/>
  <c r="AE1" i="21"/>
  <c r="AD1" i="21"/>
  <c r="AC1" i="21"/>
  <c r="AB1" i="21"/>
  <c r="AA1" i="21"/>
  <c r="Z1" i="21"/>
  <c r="Y1" i="21"/>
  <c r="X1" i="21"/>
  <c r="W1" i="21"/>
  <c r="V1" i="21"/>
  <c r="U1" i="21"/>
  <c r="T1" i="21"/>
  <c r="S1" i="21"/>
  <c r="R1" i="21"/>
  <c r="Q1" i="21"/>
  <c r="P1" i="21"/>
  <c r="O1" i="21"/>
  <c r="N1" i="21"/>
  <c r="M1" i="21"/>
  <c r="L1" i="21"/>
  <c r="K1" i="21"/>
  <c r="J1" i="21"/>
  <c r="I1" i="21"/>
  <c r="H1" i="21"/>
  <c r="G1" i="21"/>
  <c r="F1" i="21"/>
  <c r="E1" i="21"/>
  <c r="D1" i="21"/>
  <c r="C1" i="21"/>
  <c r="AX1" i="20"/>
  <c r="AW1" i="20"/>
  <c r="AV1" i="20"/>
  <c r="AU1" i="20"/>
  <c r="AT1" i="20"/>
  <c r="AS1" i="20"/>
  <c r="AR1" i="20"/>
  <c r="AQ1" i="20"/>
  <c r="AP1" i="20"/>
  <c r="AO1" i="20"/>
  <c r="AN1" i="20"/>
  <c r="AM1" i="20"/>
  <c r="AL1" i="20"/>
  <c r="AK1" i="20"/>
  <c r="AJ1" i="20"/>
  <c r="AI1" i="20"/>
  <c r="AH1" i="20"/>
  <c r="AG1" i="20"/>
  <c r="AF1" i="20"/>
  <c r="AE1" i="20"/>
  <c r="AD1" i="20"/>
  <c r="AC1" i="20"/>
  <c r="AB1" i="20"/>
  <c r="AA1" i="20"/>
  <c r="Z1" i="20"/>
  <c r="Y1" i="20"/>
  <c r="X1" i="20"/>
  <c r="W1" i="20"/>
  <c r="V1" i="20"/>
  <c r="U1" i="20"/>
  <c r="T1" i="20"/>
  <c r="S1" i="20"/>
  <c r="R1" i="20"/>
  <c r="Q1" i="20"/>
  <c r="P1" i="20"/>
  <c r="O1" i="20"/>
  <c r="N1" i="20"/>
  <c r="M1" i="20"/>
  <c r="L1" i="20"/>
  <c r="K1" i="20"/>
  <c r="J1" i="20"/>
  <c r="I1" i="20"/>
  <c r="H1" i="20"/>
  <c r="G1" i="20"/>
  <c r="F1" i="20"/>
  <c r="E1" i="20"/>
  <c r="D1" i="20"/>
  <c r="C1" i="20"/>
  <c r="AX1" i="19"/>
  <c r="AW1" i="19"/>
  <c r="AV1" i="19"/>
  <c r="AU1" i="19"/>
  <c r="AT1" i="19"/>
  <c r="AS1" i="19"/>
  <c r="AR1" i="19"/>
  <c r="AQ1" i="19"/>
  <c r="AP1" i="19"/>
  <c r="AO1" i="19"/>
  <c r="AN1" i="19"/>
  <c r="AM1" i="19"/>
  <c r="AL1" i="19"/>
  <c r="AK1" i="19"/>
  <c r="AJ1" i="19"/>
  <c r="AI1" i="19"/>
  <c r="AH1" i="19"/>
  <c r="AG1" i="19"/>
  <c r="AF1" i="19"/>
  <c r="AE1" i="19"/>
  <c r="AD1" i="19"/>
  <c r="AC1" i="19"/>
  <c r="AB1" i="19"/>
  <c r="AA1" i="19"/>
  <c r="Z1" i="19"/>
  <c r="Y1" i="19"/>
  <c r="X1" i="19"/>
  <c r="W1" i="19"/>
  <c r="V1" i="19"/>
  <c r="U1" i="19"/>
  <c r="T1" i="19"/>
  <c r="S1" i="19"/>
  <c r="R1" i="19"/>
  <c r="Q1" i="19"/>
  <c r="P1" i="19"/>
  <c r="O1" i="19"/>
  <c r="N1" i="19"/>
  <c r="M1" i="19"/>
  <c r="L1" i="19"/>
  <c r="K1" i="19"/>
  <c r="J1" i="19"/>
  <c r="I1" i="19"/>
  <c r="H1" i="19"/>
  <c r="G1" i="19"/>
  <c r="F1" i="19"/>
  <c r="E1" i="19"/>
  <c r="D1" i="19"/>
  <c r="C1" i="19"/>
  <c r="AX1" i="18"/>
  <c r="AW1" i="18"/>
  <c r="AV1" i="18"/>
  <c r="AU1" i="18"/>
  <c r="AT1" i="18"/>
  <c r="AS1" i="18"/>
  <c r="AR1" i="18"/>
  <c r="AQ1" i="18"/>
  <c r="AP1" i="18"/>
  <c r="AO1" i="18"/>
  <c r="AN1" i="18"/>
  <c r="AM1" i="18"/>
  <c r="AL1" i="18"/>
  <c r="AK1" i="18"/>
  <c r="AJ1" i="18"/>
  <c r="AI1" i="18"/>
  <c r="AH1" i="18"/>
  <c r="AG1" i="18"/>
  <c r="AF1" i="18"/>
  <c r="AE1" i="18"/>
  <c r="AD1" i="18"/>
  <c r="AC1" i="18"/>
  <c r="AB1" i="18"/>
  <c r="AA1" i="18"/>
  <c r="Z1" i="18"/>
  <c r="Y1" i="18"/>
  <c r="X1" i="18"/>
  <c r="W1" i="18"/>
  <c r="V1" i="18"/>
  <c r="U1" i="18"/>
  <c r="T1" i="18"/>
  <c r="S1" i="18"/>
  <c r="R1" i="18"/>
  <c r="Q1" i="18"/>
  <c r="P1" i="18"/>
  <c r="O1" i="18"/>
  <c r="N1" i="18"/>
  <c r="M1" i="18"/>
  <c r="L1" i="18"/>
  <c r="K1" i="18"/>
  <c r="J1" i="18"/>
  <c r="I1" i="18"/>
  <c r="H1" i="18"/>
  <c r="G1" i="18"/>
  <c r="F1" i="18"/>
  <c r="E1" i="18"/>
  <c r="D1" i="18"/>
  <c r="C1" i="18"/>
  <c r="AX1" i="17"/>
  <c r="AW1" i="17"/>
  <c r="AV1" i="17"/>
  <c r="AU1" i="17"/>
  <c r="AT1" i="17"/>
  <c r="AS1" i="17"/>
  <c r="AR1" i="17"/>
  <c r="AQ1" i="17"/>
  <c r="AP1" i="17"/>
  <c r="AO1" i="17"/>
  <c r="AN1" i="17"/>
  <c r="AM1" i="17"/>
  <c r="AL1" i="17"/>
  <c r="AK1" i="17"/>
  <c r="AJ1" i="17"/>
  <c r="AI1" i="17"/>
  <c r="AH1" i="17"/>
  <c r="AG1" i="17"/>
  <c r="AF1" i="17"/>
  <c r="AE1" i="17"/>
  <c r="AD1" i="17"/>
  <c r="AC1" i="17"/>
  <c r="AB1" i="17"/>
  <c r="AA1" i="17"/>
  <c r="Z1" i="17"/>
  <c r="Y1" i="17"/>
  <c r="X1" i="17"/>
  <c r="W1" i="17"/>
  <c r="V1" i="17"/>
  <c r="U1" i="17"/>
  <c r="T1" i="17"/>
  <c r="S1" i="17"/>
  <c r="R1" i="17"/>
  <c r="Q1" i="17"/>
  <c r="P1" i="17"/>
  <c r="O1" i="17"/>
  <c r="N1" i="17"/>
  <c r="M1" i="17"/>
  <c r="L1" i="17"/>
  <c r="K1" i="17"/>
  <c r="J1" i="17"/>
  <c r="I1" i="17"/>
  <c r="H1" i="17"/>
  <c r="G1" i="17"/>
  <c r="F1" i="17"/>
  <c r="E1" i="17"/>
  <c r="D1" i="17"/>
  <c r="C1" i="17"/>
  <c r="AX1" i="16"/>
  <c r="AW1" i="16"/>
  <c r="AV1" i="16"/>
  <c r="AU1" i="16"/>
  <c r="AT1" i="16"/>
  <c r="AS1" i="16"/>
  <c r="AR1" i="16"/>
  <c r="AQ1" i="16"/>
  <c r="AP1" i="16"/>
  <c r="AO1" i="16"/>
  <c r="AN1" i="16"/>
  <c r="AM1" i="16"/>
  <c r="AL1" i="16"/>
  <c r="AK1" i="16"/>
  <c r="AJ1" i="16"/>
  <c r="AI1" i="16"/>
  <c r="AH1" i="16"/>
  <c r="AG1" i="16"/>
  <c r="AF1" i="16"/>
  <c r="AE1" i="16"/>
  <c r="AD1" i="16"/>
  <c r="AC1" i="16"/>
  <c r="AB1" i="16"/>
  <c r="AA1" i="16"/>
  <c r="Z1" i="16"/>
  <c r="Y1" i="16"/>
  <c r="X1" i="16"/>
  <c r="W1" i="16"/>
  <c r="V1" i="16"/>
  <c r="U1" i="16"/>
  <c r="T1" i="16"/>
  <c r="S1" i="16"/>
  <c r="R1" i="16"/>
  <c r="Q1" i="16"/>
  <c r="P1" i="16"/>
  <c r="O1" i="16"/>
  <c r="N1" i="16"/>
  <c r="M1" i="16"/>
  <c r="L1" i="16"/>
  <c r="K1" i="16"/>
  <c r="J1" i="16"/>
  <c r="I1" i="16"/>
  <c r="H1" i="16"/>
  <c r="G1" i="16"/>
  <c r="F1" i="16"/>
  <c r="E1" i="16"/>
  <c r="D1" i="16"/>
  <c r="C1" i="16"/>
  <c r="AX1" i="36"/>
  <c r="AW1" i="36"/>
  <c r="AV1" i="36"/>
  <c r="AU1" i="36"/>
  <c r="AT1" i="36"/>
  <c r="AS1" i="36"/>
  <c r="AR1" i="36"/>
  <c r="AQ1" i="36"/>
  <c r="AP1" i="36"/>
  <c r="AO1" i="36"/>
  <c r="AN1" i="36"/>
  <c r="AM1" i="36"/>
  <c r="AL1" i="36"/>
  <c r="AK1" i="36"/>
  <c r="AJ1" i="36"/>
  <c r="AI1" i="36"/>
  <c r="AH1" i="36"/>
  <c r="AG1" i="36"/>
  <c r="AF1" i="36"/>
  <c r="AE1" i="36"/>
  <c r="AD1" i="36"/>
  <c r="AC1" i="36"/>
  <c r="AB1" i="36"/>
  <c r="AA1" i="36"/>
  <c r="Z1" i="36"/>
  <c r="Y1" i="36"/>
  <c r="X1" i="36"/>
  <c r="W1" i="36"/>
  <c r="V1" i="36"/>
  <c r="U1" i="36"/>
  <c r="T1" i="36"/>
  <c r="S1" i="36"/>
  <c r="R1" i="36"/>
  <c r="Q1" i="36"/>
  <c r="P1" i="36"/>
  <c r="O1" i="36"/>
  <c r="N1" i="36"/>
  <c r="M1" i="36"/>
  <c r="L1" i="36"/>
  <c r="K1" i="36"/>
  <c r="J1" i="36"/>
  <c r="I1" i="36"/>
  <c r="H1" i="36"/>
  <c r="G1" i="36"/>
  <c r="F1" i="36"/>
  <c r="E1" i="36"/>
  <c r="D1" i="36"/>
  <c r="C1" i="36"/>
  <c r="AX1" i="14"/>
  <c r="AW1" i="14"/>
  <c r="AV1" i="14"/>
  <c r="AU1" i="14"/>
  <c r="AT1" i="14"/>
  <c r="AS1" i="14"/>
  <c r="AR1" i="14"/>
  <c r="AQ1" i="14"/>
  <c r="AP1" i="14"/>
  <c r="AO1" i="14"/>
  <c r="AN1" i="14"/>
  <c r="AM1" i="14"/>
  <c r="AL1" i="14"/>
  <c r="AK1" i="14"/>
  <c r="AJ1" i="14"/>
  <c r="AI1" i="14"/>
  <c r="AH1" i="14"/>
  <c r="AG1" i="14"/>
  <c r="AF1" i="14"/>
  <c r="AE1" i="14"/>
  <c r="AD1" i="14"/>
  <c r="AC1" i="14"/>
  <c r="AB1" i="14"/>
  <c r="AA1" i="14"/>
  <c r="Z1" i="14"/>
  <c r="Y1" i="14"/>
  <c r="X1" i="14"/>
  <c r="W1" i="14"/>
  <c r="V1" i="14"/>
  <c r="U1" i="14"/>
  <c r="T1" i="14"/>
  <c r="S1" i="14"/>
  <c r="R1" i="14"/>
  <c r="Q1" i="14"/>
  <c r="P1" i="14"/>
  <c r="O1" i="14"/>
  <c r="N1" i="14"/>
  <c r="M1" i="14"/>
  <c r="L1" i="14"/>
  <c r="K1" i="14"/>
  <c r="J1" i="14"/>
  <c r="I1" i="14"/>
  <c r="H1" i="14"/>
  <c r="G1" i="14"/>
  <c r="F1" i="14"/>
  <c r="E1" i="14"/>
  <c r="D1" i="14"/>
  <c r="C1" i="14"/>
  <c r="AX1" i="13"/>
  <c r="AW1" i="13"/>
  <c r="AV1" i="13"/>
  <c r="AU1" i="13"/>
  <c r="AT1" i="13"/>
  <c r="AS1" i="13"/>
  <c r="AR1" i="13"/>
  <c r="AQ1" i="13"/>
  <c r="AP1" i="13"/>
  <c r="AO1" i="13"/>
  <c r="AN1" i="13"/>
  <c r="AM1" i="13"/>
  <c r="AL1" i="13"/>
  <c r="AK1" i="13"/>
  <c r="AJ1" i="13"/>
  <c r="AI1" i="13"/>
  <c r="AH1" i="13"/>
  <c r="AG1" i="13"/>
  <c r="AF1" i="13"/>
  <c r="AE1" i="13"/>
  <c r="AD1" i="13"/>
  <c r="AC1" i="13"/>
  <c r="AB1" i="13"/>
  <c r="AA1" i="13"/>
  <c r="Z1" i="13"/>
  <c r="Y1" i="13"/>
  <c r="X1" i="13"/>
  <c r="W1" i="13"/>
  <c r="V1" i="13"/>
  <c r="U1" i="13"/>
  <c r="T1" i="13"/>
  <c r="S1" i="13"/>
  <c r="R1" i="13"/>
  <c r="Q1" i="13"/>
  <c r="P1" i="13"/>
  <c r="O1" i="13"/>
  <c r="N1" i="13"/>
  <c r="M1" i="13"/>
  <c r="L1" i="13"/>
  <c r="K1" i="13"/>
  <c r="J1" i="13"/>
  <c r="I1" i="13"/>
  <c r="H1" i="13"/>
  <c r="G1" i="13"/>
  <c r="F1" i="13"/>
  <c r="E1" i="13"/>
  <c r="D1" i="13"/>
  <c r="C1" i="13"/>
  <c r="AX1" i="12"/>
  <c r="AW1" i="12"/>
  <c r="AV1" i="12"/>
  <c r="AU1" i="12"/>
  <c r="AT1" i="12"/>
  <c r="AS1" i="12"/>
  <c r="AR1" i="12"/>
  <c r="AQ1" i="12"/>
  <c r="AP1" i="12"/>
  <c r="AO1" i="12"/>
  <c r="AN1" i="12"/>
  <c r="AM1" i="12"/>
  <c r="AL1" i="12"/>
  <c r="AK1" i="12"/>
  <c r="AJ1" i="12"/>
  <c r="AI1" i="12"/>
  <c r="AH1" i="12"/>
  <c r="AG1" i="12"/>
  <c r="AF1" i="12"/>
  <c r="AE1" i="12"/>
  <c r="AD1" i="12"/>
  <c r="AC1" i="12"/>
  <c r="AB1" i="12"/>
  <c r="AA1" i="12"/>
  <c r="Z1" i="12"/>
  <c r="Y1" i="12"/>
  <c r="X1" i="12"/>
  <c r="W1" i="12"/>
  <c r="V1" i="12"/>
  <c r="U1" i="12"/>
  <c r="T1" i="12"/>
  <c r="S1" i="12"/>
  <c r="R1" i="12"/>
  <c r="Q1" i="12"/>
  <c r="P1" i="12"/>
  <c r="O1" i="12"/>
  <c r="N1" i="12"/>
  <c r="M1" i="12"/>
  <c r="L1" i="12"/>
  <c r="K1" i="12"/>
  <c r="J1" i="12"/>
  <c r="I1" i="12"/>
  <c r="H1" i="12"/>
  <c r="G1" i="12"/>
  <c r="F1" i="12"/>
  <c r="E1" i="12"/>
  <c r="D1" i="12"/>
  <c r="C1" i="12"/>
  <c r="AX1" i="11"/>
  <c r="AW1" i="11"/>
  <c r="AV1" i="11"/>
  <c r="AU1" i="11"/>
  <c r="AT1" i="11"/>
  <c r="AS1" i="11"/>
  <c r="AR1" i="11"/>
  <c r="AQ1" i="11"/>
  <c r="AP1" i="11"/>
  <c r="AO1" i="11"/>
  <c r="AN1" i="11"/>
  <c r="AM1" i="11"/>
  <c r="AL1" i="11"/>
  <c r="AK1" i="11"/>
  <c r="AJ1" i="11"/>
  <c r="AI1" i="11"/>
  <c r="AH1" i="11"/>
  <c r="AG1" i="11"/>
  <c r="AF1" i="11"/>
  <c r="AE1" i="11"/>
  <c r="AD1" i="11"/>
  <c r="AC1" i="11"/>
  <c r="AB1" i="11"/>
  <c r="AA1" i="11"/>
  <c r="Z1" i="11"/>
  <c r="Y1" i="11"/>
  <c r="X1" i="11"/>
  <c r="W1" i="11"/>
  <c r="V1" i="11"/>
  <c r="U1" i="11"/>
  <c r="T1" i="11"/>
  <c r="S1" i="11"/>
  <c r="R1" i="11"/>
  <c r="Q1" i="11"/>
  <c r="P1" i="11"/>
  <c r="O1" i="11"/>
  <c r="N1" i="11"/>
  <c r="M1" i="11"/>
  <c r="L1" i="11"/>
  <c r="K1" i="11"/>
  <c r="J1" i="11"/>
  <c r="I1" i="11"/>
  <c r="H1" i="11"/>
  <c r="G1" i="11"/>
  <c r="F1" i="11"/>
  <c r="E1" i="11"/>
  <c r="D1" i="11"/>
  <c r="C1" i="11"/>
  <c r="AX1" i="10"/>
  <c r="AW1" i="10"/>
  <c r="AV1" i="10"/>
  <c r="AU1" i="10"/>
  <c r="AT1" i="10"/>
  <c r="AS1" i="10"/>
  <c r="AR1" i="10"/>
  <c r="AQ1" i="10"/>
  <c r="AP1" i="10"/>
  <c r="AO1" i="10"/>
  <c r="AN1" i="10"/>
  <c r="AM1" i="10"/>
  <c r="AL1" i="10"/>
  <c r="AK1" i="10"/>
  <c r="AJ1" i="10"/>
  <c r="AI1" i="10"/>
  <c r="AH1" i="10"/>
  <c r="AG1" i="10"/>
  <c r="AF1" i="10"/>
  <c r="AE1" i="10"/>
  <c r="AD1" i="10"/>
  <c r="AC1" i="10"/>
  <c r="AB1" i="10"/>
  <c r="AA1" i="10"/>
  <c r="Z1" i="10"/>
  <c r="Y1" i="10"/>
  <c r="X1" i="10"/>
  <c r="W1" i="10"/>
  <c r="V1" i="10"/>
  <c r="U1" i="10"/>
  <c r="T1" i="10"/>
  <c r="S1" i="10"/>
  <c r="R1" i="10"/>
  <c r="Q1" i="10"/>
  <c r="P1" i="10"/>
  <c r="O1" i="10"/>
  <c r="N1" i="10"/>
  <c r="M1" i="10"/>
  <c r="L1" i="10"/>
  <c r="K1" i="10"/>
  <c r="J1" i="10"/>
  <c r="I1" i="10"/>
  <c r="H1" i="10"/>
  <c r="G1" i="10"/>
  <c r="F1" i="10"/>
  <c r="E1" i="10"/>
  <c r="D1" i="10"/>
  <c r="C1" i="10"/>
  <c r="AX1" i="9"/>
  <c r="AW1" i="9"/>
  <c r="AV1" i="9"/>
  <c r="AU1" i="9"/>
  <c r="AT1" i="9"/>
  <c r="AS1" i="9"/>
  <c r="AR1" i="9"/>
  <c r="AQ1" i="9"/>
  <c r="AP1" i="9"/>
  <c r="AO1" i="9"/>
  <c r="AN1" i="9"/>
  <c r="AM1" i="9"/>
  <c r="AL1" i="9"/>
  <c r="AK1" i="9"/>
  <c r="AJ1" i="9"/>
  <c r="AI1" i="9"/>
  <c r="AH1" i="9"/>
  <c r="AG1" i="9"/>
  <c r="AF1" i="9"/>
  <c r="AE1" i="9"/>
  <c r="AD1" i="9"/>
  <c r="AC1" i="9"/>
  <c r="AB1" i="9"/>
  <c r="AA1" i="9"/>
  <c r="Z1" i="9"/>
  <c r="Y1" i="9"/>
  <c r="X1" i="9"/>
  <c r="W1" i="9"/>
  <c r="V1" i="9"/>
  <c r="U1" i="9"/>
  <c r="T1" i="9"/>
  <c r="S1" i="9"/>
  <c r="R1" i="9"/>
  <c r="Q1" i="9"/>
  <c r="P1" i="9"/>
  <c r="O1" i="9"/>
  <c r="N1" i="9"/>
  <c r="M1" i="9"/>
  <c r="L1" i="9"/>
  <c r="K1" i="9"/>
  <c r="J1" i="9"/>
  <c r="I1" i="9"/>
  <c r="H1" i="9"/>
  <c r="G1" i="9"/>
  <c r="F1" i="9"/>
  <c r="E1" i="9"/>
  <c r="D1" i="9"/>
  <c r="C1" i="9"/>
  <c r="AX1" i="5"/>
  <c r="AW1" i="5"/>
  <c r="AV1" i="5"/>
  <c r="AU1" i="5"/>
  <c r="AT1" i="5"/>
  <c r="AS1" i="5"/>
  <c r="AR1" i="5"/>
  <c r="AQ1" i="5"/>
  <c r="AP1" i="5"/>
  <c r="AO1" i="5"/>
  <c r="AN1" i="5"/>
  <c r="AM1" i="5"/>
  <c r="AL1" i="5"/>
  <c r="AK1" i="5"/>
  <c r="AJ1" i="5"/>
  <c r="AI1" i="5"/>
  <c r="AH1" i="5"/>
  <c r="AG1" i="5"/>
  <c r="AF1" i="5"/>
  <c r="AE1" i="5"/>
  <c r="AD1" i="5"/>
  <c r="AC1" i="5"/>
  <c r="AB1" i="5"/>
  <c r="AA1" i="5"/>
  <c r="Z1" i="5"/>
  <c r="Y1" i="5"/>
  <c r="X1" i="5"/>
  <c r="W1" i="5"/>
  <c r="V1" i="5"/>
  <c r="U1" i="5"/>
  <c r="T1" i="5"/>
  <c r="S1" i="5"/>
  <c r="R1" i="5"/>
  <c r="Q1" i="5"/>
  <c r="P1" i="5"/>
  <c r="O1" i="5"/>
  <c r="N1" i="5"/>
  <c r="M1" i="5"/>
  <c r="L1" i="5"/>
  <c r="K1" i="5"/>
  <c r="J1" i="5"/>
  <c r="I1" i="5"/>
  <c r="H1" i="5"/>
  <c r="G1" i="5"/>
  <c r="F1" i="5"/>
  <c r="E1" i="5"/>
  <c r="D1" i="5"/>
  <c r="C1" i="5"/>
  <c r="AX1" i="2"/>
  <c r="AW1" i="2"/>
  <c r="AV1" i="2"/>
  <c r="AU1" i="2"/>
  <c r="AT1" i="2"/>
  <c r="AS1" i="2"/>
  <c r="AR1" i="2"/>
  <c r="AQ1" i="2"/>
  <c r="AP1" i="2"/>
  <c r="AO1" i="2"/>
  <c r="AN1" i="2"/>
  <c r="AM1" i="2"/>
  <c r="AL1" i="2"/>
  <c r="AK1" i="2"/>
  <c r="AJ1" i="2"/>
  <c r="AI1" i="2"/>
  <c r="AH1" i="2"/>
  <c r="AG1" i="2"/>
  <c r="AF1" i="2"/>
  <c r="AE1" i="2"/>
  <c r="AD1" i="2"/>
  <c r="AC1" i="2"/>
  <c r="AB1" i="2"/>
  <c r="AA1" i="2"/>
  <c r="Z1" i="2"/>
  <c r="Y1" i="2"/>
  <c r="X1" i="2"/>
  <c r="W1" i="2"/>
  <c r="V1" i="2"/>
  <c r="U1" i="2"/>
  <c r="T1" i="2"/>
  <c r="S1" i="2"/>
  <c r="R1" i="2"/>
  <c r="Q1" i="2"/>
  <c r="P1" i="2"/>
  <c r="O1" i="2"/>
  <c r="N1" i="2"/>
  <c r="M1" i="2"/>
  <c r="L1" i="2"/>
  <c r="K1" i="2"/>
  <c r="J1" i="2"/>
  <c r="I1" i="2"/>
  <c r="H1" i="2"/>
  <c r="G1" i="2"/>
  <c r="F1" i="2"/>
  <c r="E1" i="2"/>
  <c r="D1" i="2"/>
  <c r="C1" i="2"/>
  <c r="AX1" i="33"/>
  <c r="AW1" i="33"/>
  <c r="AV1" i="33"/>
  <c r="AU1" i="33"/>
  <c r="AT1" i="33"/>
  <c r="AS1" i="33"/>
  <c r="AR1" i="33"/>
  <c r="AQ1" i="33"/>
  <c r="AP1" i="33"/>
  <c r="AO1" i="33"/>
  <c r="AN1" i="33"/>
  <c r="AM1" i="33"/>
  <c r="AL1" i="33"/>
  <c r="AK1" i="33"/>
  <c r="AJ1" i="33"/>
  <c r="AI1" i="33"/>
  <c r="AH1" i="33"/>
  <c r="AG1" i="33"/>
  <c r="AF1" i="33"/>
  <c r="AE1" i="33"/>
  <c r="AD1" i="33"/>
  <c r="AC1" i="33"/>
  <c r="AB1" i="33"/>
  <c r="AA1" i="33"/>
  <c r="Z1" i="33"/>
  <c r="Y1" i="33"/>
  <c r="X1" i="33"/>
  <c r="W1" i="33"/>
  <c r="V1" i="33"/>
  <c r="U1" i="33"/>
  <c r="T1" i="33"/>
  <c r="S1" i="33"/>
  <c r="R1" i="33"/>
  <c r="Q1" i="33"/>
  <c r="P1" i="33"/>
  <c r="O1" i="33"/>
  <c r="N1" i="33"/>
  <c r="M1" i="33"/>
  <c r="L1" i="33"/>
  <c r="K1" i="33"/>
  <c r="J1" i="33"/>
  <c r="I1" i="33"/>
  <c r="H1" i="33"/>
  <c r="G1" i="33"/>
  <c r="F1" i="33"/>
  <c r="E1" i="33"/>
  <c r="D1" i="33"/>
  <c r="C1" i="33"/>
</calcChain>
</file>

<file path=xl/comments1.xml><?xml version="1.0" encoding="utf-8"?>
<comments xmlns="http://schemas.openxmlformats.org/spreadsheetml/2006/main">
  <authors>
    <author>26</author>
  </authors>
  <commentList>
    <comment ref="E1" authorId="0" shapeId="0">
      <text>
        <r>
          <rPr>
            <b/>
            <sz val="9"/>
            <color indexed="81"/>
            <rFont val="Tahoma"/>
            <family val="2"/>
          </rPr>
          <t>26:</t>
        </r>
        <r>
          <rPr>
            <sz val="9"/>
            <color indexed="81"/>
            <rFont val="Tahoma"/>
            <family val="2"/>
          </rPr>
          <t xml:space="preserve">
added dropdown field which corresponds to the website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<sst xmlns="http://schemas.openxmlformats.org/spreadsheetml/2006/main" count="349" uniqueCount="271">
  <si>
    <t>Model</t>
  </si>
  <si>
    <t>Absolute Return</t>
  </si>
  <si>
    <t>Equity</t>
  </si>
  <si>
    <t>Bonds</t>
  </si>
  <si>
    <t>Cash</t>
  </si>
  <si>
    <t>Japan</t>
  </si>
  <si>
    <t>Pacific ex Japan</t>
  </si>
  <si>
    <t>United States</t>
  </si>
  <si>
    <t>United Kingdom</t>
  </si>
  <si>
    <t>Emerging Markets</t>
  </si>
  <si>
    <t>Europe ex UK</t>
  </si>
  <si>
    <t>Government Bonds</t>
  </si>
  <si>
    <t xml:space="preserve"> High Yield</t>
  </si>
  <si>
    <t>Investment Grade</t>
  </si>
  <si>
    <t>Emerging Market Debt USD</t>
  </si>
  <si>
    <t>Emerging Market Debt Local</t>
  </si>
  <si>
    <t>Inflation Linked</t>
  </si>
  <si>
    <t>Direct Property</t>
  </si>
  <si>
    <t>Direct Commodities</t>
  </si>
  <si>
    <t>Strategic Bond Fund</t>
  </si>
  <si>
    <t>Global Equity</t>
  </si>
  <si>
    <t>1 year Performance</t>
  </si>
  <si>
    <t>Total Fee</t>
  </si>
  <si>
    <t>Asset allocation</t>
  </si>
  <si>
    <t>1 Month Performance</t>
  </si>
  <si>
    <t>Additional information</t>
  </si>
  <si>
    <t>Date</t>
  </si>
  <si>
    <t>Website</t>
  </si>
  <si>
    <t>PDF Name Match</t>
  </si>
  <si>
    <t>PDF Link</t>
  </si>
  <si>
    <t>No Data</t>
  </si>
  <si>
    <t>Dropdown</t>
  </si>
  <si>
    <t>Schroder Active Portfolio 2</t>
  </si>
  <si>
    <t>Schroder Active Portfolio 3</t>
  </si>
  <si>
    <t>Schroder Active Portfolio 4</t>
  </si>
  <si>
    <t>Schroder Active Portfolio 5</t>
  </si>
  <si>
    <t>Schroder Active Portfolio 6</t>
  </si>
  <si>
    <t>Schroder Active Portfolio 7</t>
  </si>
  <si>
    <t>Schroder Active Portfolio 8</t>
  </si>
  <si>
    <t>Schroder Active Portfolio 9</t>
  </si>
  <si>
    <t>Schroder Active Portfolio 10</t>
  </si>
  <si>
    <t>https://www.schroders.com/en-gb/uk/intermediary/investment-solutions/fund-centre/#/fund/SCHDR_F000016P9I/schroder-active-portfolio-2/-/profile/</t>
  </si>
  <si>
    <t>https://www.schroders.com/en-gb/uk/intermediary/investment-solutions/fund-centre/#/fund/SCHDR_F000016OTO/schroder-active-portfolio-3/-/profile/</t>
  </si>
  <si>
    <t>https://www.schroders.com/en-gb/uk/intermediary/investment-solutions/fund-centre/#/fund/SCHDR_F000016OKW/schroder-active-portfolio-4/-/profile/</t>
  </si>
  <si>
    <t>https://www.schroders.com/en-gb/uk/intermediary/investment-solutions/fund-centre/#/fund/SCHDR_F000015KUF/schroder-active-portfolio-5/-/profile/</t>
  </si>
  <si>
    <t>https://www.schroders.com/en-gb/uk/intermediary/investment-solutions/fund-centre/#/fund/SCHDR_F000016P9J/schroder-active-portfolio-6/-/profile/</t>
  </si>
  <si>
    <t>https://www.schroders.com/en-gb/uk/intermediary/investment-solutions/fund-centre/#/fund/SCHDR_F000016P9K/schroder-active-portfolio-7/-/profile/</t>
  </si>
  <si>
    <t>https://www.schroders.com/en-gb/uk/intermediary/investment-solutions/fund-centre/#/fund/SCHDR_F000016P9L/schroder-active-portfolio-8/-/profile/</t>
  </si>
  <si>
    <t>https://www.schroders.com/en-gb/uk/intermediary/investment-solutions/fund-centre/#/fund/SCHDR_F000016P9M/schroder-active-portfolio-9/-/profile/</t>
  </si>
  <si>
    <t>https://www.schroders.com/en-gb/uk/intermediary/investment-solutions/fund-centre/#/fund/SCHDR_F000016P9N/schroder-active-portfolio-10/-/profile/</t>
  </si>
  <si>
    <t>Schroder Strategic Index Portfolio 2</t>
  </si>
  <si>
    <t>Schroder Strategic Index Portfolio 3</t>
  </si>
  <si>
    <t>Schroder Strategic Index Portfolio 4</t>
  </si>
  <si>
    <t>Schroder Strategic Index Portfolio 5</t>
  </si>
  <si>
    <t>Schroder Strategic Index Portfolio 6</t>
  </si>
  <si>
    <t>Schroder Strategic Index Portfolio 7</t>
  </si>
  <si>
    <t>Schroder Strategic Index Portfolio 8</t>
  </si>
  <si>
    <t>Schroder Strategic Index Portfolio 9</t>
  </si>
  <si>
    <t>Schroder Strategic Index Portfolio 10</t>
  </si>
  <si>
    <t>https://www.schroders.com/en-gb/uk/intermediary/investment-solutions/fund-centre/#/fund/SCHDR_F000016PA4/schroder-strategic-index-portfolio-2/-/profile/</t>
  </si>
  <si>
    <t>https://www.schroders.com/en-gb/uk/intermediary/investment-solutions/fund-centre/#/fund/SCHDR_F000016PA6/schroder-strategic-index-portfolio-3/-/profile/</t>
  </si>
  <si>
    <t>https://www.schroders.com/en-gb/uk/intermediary/investment-solutions/fund-centre/#/fund/SCHDR_F000016PA9/schroder-strategic-index-portfolio-4/-/profile/</t>
  </si>
  <si>
    <t>https://www.schroders.com/en-gb/uk/intermediary/investment-solutions/fund-centre/#/fund/SCHDR_F000016PAA/schroder-strategic-index-portfolio-5/-/profile/</t>
  </si>
  <si>
    <t>https://www.schroders.com/en-gb/uk/intermediary/investment-solutions/fund-centre/#/fund/SCHDR_F000016PAC/schroder-strategic-index-portfolio-6/-/profile/</t>
  </si>
  <si>
    <t>https://www.schroders.com/en-gb/uk/intermediary/investment-solutions/fund-centre/#/fund/SCHDR_F000016PAD/schroder-strategic-index-portfolio-7/-/profile/</t>
  </si>
  <si>
    <t>https://www.schroders.com/en-gb/uk/intermediary/investment-solutions/fund-centre/#/fund/SCHDR_F000016PAE/schroder-strategic-index-portfolio-8/-/profile/</t>
  </si>
  <si>
    <t>https://www.schroders.com/en-gb/uk/intermediary/investment-solutions/fund-centre/#/fund/SCHDR_F000016PAF/schroder-strategic-index-portfolio-9/-/profile/</t>
  </si>
  <si>
    <t>https://www.schroders.com/en-gb/uk/intermediary/investment-solutions/fund-centre/#/fund/SCHDR_F000016PAH/schroder-strategic-index-portfolio-10/-/profile/</t>
  </si>
  <si>
    <t>Schroder Sustainable Portfolio 3</t>
  </si>
  <si>
    <t>Schroder Sustainable Portfolio 4</t>
  </si>
  <si>
    <t>Schroder Sustainable Portfolio 5</t>
  </si>
  <si>
    <t>Schroder Sustainable Portfolio 6</t>
  </si>
  <si>
    <t>Schroder Sustainable Portfolio 7</t>
  </si>
  <si>
    <t>Schroder Sustainable Portfolio 8</t>
  </si>
  <si>
    <t>https://www.schroders.com/en-gb/uk/intermediary/investment-solutions/fund-centre/#/fund/SCHDR_F000016P3F/schroder-sustainable-portfolio-3/-/profile/</t>
  </si>
  <si>
    <t>https://www.schroders.com/en-gb/uk/intermediary/investment-solutions/fund-centre/#/fund/SCHDR_F000016P39/schroder-sustainable-portfolio-4/-/profile/</t>
  </si>
  <si>
    <t>https://www.schroders.com/en-gb/uk/intermediary/investment-solutions/fund-centre/#/fund/SCHDR_F000016P3B/schroder-sustainable-portfolio-6/-/profile/</t>
  </si>
  <si>
    <t>https://www.schroders.com/en-gb/uk/intermediary/investment-solutions/fund-centre/#/fund/SCHDR_F000016P38/schroder-sustainable-portfolio-7/-/profile/</t>
  </si>
  <si>
    <t>https://www.schroders.com/en-gb/uk/intermediary/investment-solutions/fund-centre/#/fund/SCHDR_F000016P3C/schroder-sustainable-portfolio-8/-/profile/</t>
  </si>
  <si>
    <t>Schroder Blended Portfolio 3</t>
  </si>
  <si>
    <t>Schroder Blended Portfolio 4</t>
  </si>
  <si>
    <t>Schroder Blended Portfolio 5</t>
  </si>
  <si>
    <t>Schroder Blended Portfolio 6</t>
  </si>
  <si>
    <t>Schroder Blended Portfolio 7</t>
  </si>
  <si>
    <t>Schroder Blended Portfolio 8</t>
  </si>
  <si>
    <t>https://www.schroders.com/en-gb/uk/intermediary/investment-solutions/fund-centre/#/fund/SCHDR_F0000150QX/schroder-blended-portfolio-3-f-acc/GB00BF77ZS12/profile/</t>
  </si>
  <si>
    <t>https://www.schroders.com/en-gb/uk/intermediary/investment-solutions/fund-centre/#/fund/SCHDR_F0000150QY/schroder-blended-portfolio-4-f-acc/GB00BF77ZT29/profile/</t>
  </si>
  <si>
    <t>https://www.schroders.com/en-gb/uk/intermediary/investment-solutions/fund-centre/#/fund/SCHDR_F0000150QZ/schroder-blended-portfolio-5-f-acc/GB00BF77ZV41/profile/</t>
  </si>
  <si>
    <t>https://www.schroders.com/en-gb/uk/intermediary/investment-solutions/fund-centre/#/fund/SCHDR_F0000150R0/schroder-blended-portfolio-6-f-acc/GB00BF77ZW57/profile/</t>
  </si>
  <si>
    <t>https://www.schroders.com/en-gb/uk/intermediary/investment-solutions/fund-centre/#/fund/SCHDR_F0000150R1/schroder-blended-portfolio-7-f-acc/GB00BF77ZX64/profile/</t>
  </si>
  <si>
    <t>https://www.schroders.com/en-gb/uk/intermediary/investment-solutions/fund-centre/#/fund/SCHDR_F0000150R2/schroder-blended-portfolio-8-f-acc/GB00BF77ZY71/profile/</t>
  </si>
  <si>
    <t>Schroder Income Portfolio</t>
  </si>
  <si>
    <t>https://www.schroders.com/en-gb/uk/intermediary/investment-solutions/income-portfolio/</t>
  </si>
  <si>
    <t>Schroder Managed Defensive Fund</t>
  </si>
  <si>
    <t>https://www.schroders.com/en-gb/uk/intermediary/investment-solutions/managed-defensive-fund/</t>
  </si>
  <si>
    <t>Schroder Global Multi-Asset Cautious Portfolio</t>
  </si>
  <si>
    <t>https://www.schroders.com/en-gb/uk/intermediary/investment-solutions/fund-centre/#/fund/SCHDR_F00000YK95/schroder-tactical-portfolio-3-f-acc/GB00BZCR4B23/profile/</t>
  </si>
  <si>
    <t>Schroder Global Multi-Asset Moderately Cautious Portfolio</t>
  </si>
  <si>
    <t>https://www.schroders.com/en-gb/uk/intermediary/investment-solutions/fund-centre/#/fund/SCHDR_F00000YK96/schroder-tactical-portfolio-4-f-acc/GB00BZCR4C30/profile/</t>
  </si>
  <si>
    <t>Schroder Schroder Global Multi-Asset Balanced Portfolio</t>
  </si>
  <si>
    <t>https://www.schroders.com/en-gb/uk/intermediary/investment-solutions/fund-centre/#/fund/SCHDR_F00000YK97/schroder-tactical-portfolio-5-f-acc/GB00BZCR4F60/profile/</t>
  </si>
  <si>
    <t>Schroder Global Multi-Asset Growth Portfolio</t>
  </si>
  <si>
    <t>https://www.schroders.com/en-gb/uk/intermediary/investment-solutions/fund-centre/#/fund/SCHDR_F00000YK98/schroder-tactical-portfolio-6-f-acc/GB00BZCR4G77/profile/</t>
  </si>
  <si>
    <t>Schroder Global Multi-Asset Adventurous Portfolio</t>
  </si>
  <si>
    <t>https://www.schroders.com/en-gb/uk/intermediary/investment-solutions/fund-centre/#/fund/SCHDR_F00000YK99/schroder-tactical-portfolio-7-f-acc/GB00BZCR4H84/profile/</t>
  </si>
  <si>
    <t>OCF (Incl MPS Fee)</t>
  </si>
  <si>
    <t>Model portfolio fee</t>
  </si>
  <si>
    <t>1 month</t>
  </si>
  <si>
    <t>1 year</t>
  </si>
  <si>
    <t>https://www.schroders.com/en-gb/uk/intermediary/investment-solutions/fund-centre/#/fund/SCHDR_F000016P37/schroder-sustainable-portfolio-5/-/profile/</t>
  </si>
  <si>
    <t>Income Portfolio</t>
  </si>
  <si>
    <t>Managed Defensive Fund</t>
  </si>
  <si>
    <t>https://api.schroders.com/document-store/id/07058623-8f5e-45ce-9e4b-85c7ff2cd2ff</t>
  </si>
  <si>
    <t>https://api.schroders.com/document-store/id/d403fd67-a109-49eb-90b1-458db2e6166d</t>
  </si>
  <si>
    <t>https://api.schroders.com/document-store/id/29f336b5-c5e8-4019-91f6-8d42047a0e29</t>
  </si>
  <si>
    <t>https://api.schroders.com/document-store/id/a831b089-14de-49f0-bc92-0160809a2b5f</t>
  </si>
  <si>
    <t>https://api.schroders.com/document-store/id/a5fea81f-c377-4586-b67d-c83915c0873e</t>
  </si>
  <si>
    <t>https://api.schroders.com/document-store/id/e0f19e3e-8b62-4ee7-97cb-8999c1c21480</t>
  </si>
  <si>
    <t>https://api.schroders.com/document-store/id/f606bb94-f674-4a79-9627-9cdabad112a1</t>
  </si>
  <si>
    <t>https://api.schroders.com/document-store/id/c276cc1e-9524-43e2-82f0-147db6323d02</t>
  </si>
  <si>
    <t>https://api.schroders.com/document-store/id/39f1a653-b65a-47c6-97d1-f8a351078430</t>
  </si>
  <si>
    <t>https://api.schroders.com/document-store/id/1396fbce-a5b6-481a-8f89-f9d29f1d6038</t>
  </si>
  <si>
    <t>https://api.schroders.com/document-store/id/15071999-7f12-478d-92b8-9c9c0d5c7d96</t>
  </si>
  <si>
    <t>https://api.schroders.com/document-store/id/c4d9977b-481f-4b59-8eb7-09982e7eee67</t>
  </si>
  <si>
    <t>https://api.schroders.com/document-store/id/a6aff599-175d-40c4-8e53-54ec9cc815c1</t>
  </si>
  <si>
    <t>https://api.schroders.com/document-store/id/597ac067-587d-4b26-ac00-792e240bbfcf</t>
  </si>
  <si>
    <t>https://api.schroders.com/document-store/id/ba6bb2bc-2715-481c-b8bd-88fda4a47022</t>
  </si>
  <si>
    <t>https://api.schroders.com/document-store/id/43a8c565-1eea-456b-817b-84782a271d3a</t>
  </si>
  <si>
    <t>https://api.schroders.com/document-store/id/7f35a0da-d68d-4b24-9230-a90393e1a711</t>
  </si>
  <si>
    <t>https://api.schroders.com/document-store/id/a490b548-fcde-4f86-8a4c-e654282cd094</t>
  </si>
  <si>
    <t>https://api.schroders.com/document-store/id/5267cec0-0b8c-455c-a100-9c6183f7a955</t>
  </si>
  <si>
    <t>https://api.schroders.com/document-store/id/ecd7551d-f231-4359-87a6-26591fc9e3b6</t>
  </si>
  <si>
    <t>https://api.schroders.com/document-store/id/8fdd0d59-36a5-4849-9183-9aef0f154d01</t>
  </si>
  <si>
    <t>https://api.schroders.com/document-store/id/0e41868b-5ee2-4d30-8e83-f2c877d409e4</t>
  </si>
  <si>
    <t>https://api.schroders.com/document-store/id/fb2c5a5d-2d1f-4b53-8ddc-691ff49d0326</t>
  </si>
  <si>
    <t>https://api.schroders.com/document-store/id/8d57406e-6992-44b2-8736-a9fcbe50861b</t>
  </si>
  <si>
    <t>https://api.schroders.com/document-store/id/54508148-f03d-461d-9c89-88e734c8010a</t>
  </si>
  <si>
    <t>https://api.schroders.com/document-store/id/9c43dd3d-bb7e-4d3b-beaf-745bc9ab62e2</t>
  </si>
  <si>
    <t>https://api.schroders.com/document-store/id/77705355-d5c9-4ee9-9889-2c33be0dd63e</t>
  </si>
  <si>
    <t>https://api.schroders.com/document-store/id/988023da-51e2-47e1-979b-83870907a6ca</t>
  </si>
  <si>
    <t>https://api.schroders.com/document-store/id/855eed1e-56ce-4f73-b26f-f831f91a38a3</t>
  </si>
  <si>
    <t>https://api.schroders.com/document-store/id/166acb72-9ded-46b7-8110-1c8f8b625cfc</t>
  </si>
  <si>
    <t>https://api.schroders.com/document-store/SISCo-Schroder-Managed-Defensive-Fund-F-Acc-FMR-UKEN.pdf</t>
  </si>
  <si>
    <t>https://api.schroders.com/document-store/id/29a5c2e7-f3e9-4eec-a6da-fdd2f5a03764</t>
  </si>
  <si>
    <t>https://api.schroders.com/document-store/id/2fe0d208-7d7f-40cd-86c5-57b5da3fd8eb</t>
  </si>
  <si>
    <t>https://api.schroders.com/document-store/id/d4081afe-9aa0-4e2c-962a-8618e5af4b1f</t>
  </si>
  <si>
    <t>https://api.schroders.com/document-store/id/bf5b7394-15a9-4f0f-9007-61a4104737c9</t>
  </si>
  <si>
    <t>https://api.schroders.com/document-store/id/114ca7bc-261a-444f-b1d0-6fd6b90230b8</t>
  </si>
  <si>
    <t>https://api.schroders.com/document-store/id/19EA9860-3061-43EC-AA78-3F661DBD7CE8/</t>
  </si>
  <si>
    <t>Asset class Absolute Return</t>
  </si>
  <si>
    <t>Asset class Aggregate Bonds</t>
  </si>
  <si>
    <t>Asset class Alternatives</t>
  </si>
  <si>
    <t>Asset class Asia Pacific ex Japan Equity</t>
  </si>
  <si>
    <t>Asset class Bond</t>
  </si>
  <si>
    <t>Asset class Cash</t>
  </si>
  <si>
    <t>Asset class Commodities</t>
  </si>
  <si>
    <t>Asset class Convertible</t>
  </si>
  <si>
    <t>Asset class Derivatives</t>
  </si>
  <si>
    <t>Asset class Emerging Market Debt  Bonds</t>
  </si>
  <si>
    <t>Asset class Emerging Market Debt Bonds</t>
  </si>
  <si>
    <t>Asset class Emerging Market Equity</t>
  </si>
  <si>
    <t>Asset class Europe Equity</t>
  </si>
  <si>
    <t>Asset class Global Equity</t>
  </si>
  <si>
    <t>Asset class Government bonds</t>
  </si>
  <si>
    <t>Asset class Hedge Funds</t>
  </si>
  <si>
    <t>Asset class Investment Grade Bonds</t>
  </si>
  <si>
    <t>Asset class Japan Equity</t>
  </si>
  <si>
    <t>Asset class Liquid Assets</t>
  </si>
  <si>
    <t>Asset class Other Equity</t>
  </si>
  <si>
    <t>Asset class Other</t>
  </si>
  <si>
    <t>Asset class Preferred</t>
  </si>
  <si>
    <t>Asset class Property</t>
  </si>
  <si>
    <t>Asset class Stock</t>
  </si>
  <si>
    <t>Asset class UK Equity</t>
  </si>
  <si>
    <t>Asset class USA Equity</t>
  </si>
  <si>
    <t>Region Africa</t>
  </si>
  <si>
    <t>Region Americas</t>
  </si>
  <si>
    <t>Region Asia - Developed</t>
  </si>
  <si>
    <t>Region Asia - Emerging</t>
  </si>
  <si>
    <t>Region Australasia</t>
  </si>
  <si>
    <t>Region Canada</t>
  </si>
  <si>
    <t>Region Developed country</t>
  </si>
  <si>
    <t>Region Emerging Market</t>
  </si>
  <si>
    <t>Region Europe (excluding UK)</t>
  </si>
  <si>
    <t>Region Europe - Emerging</t>
  </si>
  <si>
    <t>Region Europe - ex euro</t>
  </si>
  <si>
    <t>Region Europe ex-UK/Middle East</t>
  </si>
  <si>
    <t>Region Eurozone</t>
  </si>
  <si>
    <t>Region Global</t>
  </si>
  <si>
    <t>Region Japan</t>
  </si>
  <si>
    <t>Region Latin America</t>
  </si>
  <si>
    <t>Region Liquid Assets</t>
  </si>
  <si>
    <t>Region Middle East</t>
  </si>
  <si>
    <t>Region Other</t>
  </si>
  <si>
    <t>Region Pacific ex-Japan</t>
  </si>
  <si>
    <t>Region United Kingdom</t>
  </si>
  <si>
    <t>Region United States</t>
  </si>
  <si>
    <t>Sector Basic materials</t>
  </si>
  <si>
    <t>Sector Cash &amp; equivalents</t>
  </si>
  <si>
    <t>Sector Communication Services</t>
  </si>
  <si>
    <t>Sector Consumer cyclical</t>
  </si>
  <si>
    <t>Sector Consumer defensive</t>
  </si>
  <si>
    <t>Sector Corporate</t>
  </si>
  <si>
    <t>Sector Energy</t>
  </si>
  <si>
    <t>Sector Financial services</t>
  </si>
  <si>
    <t>Sector Government</t>
  </si>
  <si>
    <t>Sector Healthcare</t>
  </si>
  <si>
    <t>Sector Industrials</t>
  </si>
  <si>
    <t>Sector Other</t>
  </si>
  <si>
    <t>Sector Real estate</t>
  </si>
  <si>
    <t>Sector Securitized</t>
  </si>
  <si>
    <t>Sector Technology</t>
  </si>
  <si>
    <t>Sector Utilities</t>
  </si>
  <si>
    <t>3 years</t>
  </si>
  <si>
    <t>5 years</t>
  </si>
  <si>
    <t>31.07.2023</t>
  </si>
  <si>
    <t>Asia Pacific ex Japan Equity</t>
  </si>
  <si>
    <t>Emerging Market Debt Bonds</t>
  </si>
  <si>
    <t>Europe ex-UK/Middle East</t>
  </si>
  <si>
    <t>Investment Grade Bonds</t>
  </si>
  <si>
    <t>Emerging Market Equity</t>
  </si>
  <si>
    <t>Communication Services</t>
  </si>
  <si>
    <t>Europe (excluding UK)</t>
  </si>
  <si>
    <t>Financial services</t>
  </si>
  <si>
    <t>Consumer defensive</t>
  </si>
  <si>
    <t>Cash &amp; equivalents</t>
  </si>
  <si>
    <t>Europe - Emerging</t>
  </si>
  <si>
    <t>Developed country</t>
  </si>
  <si>
    <t>Consumer cyclical</t>
  </si>
  <si>
    <t>Government bonds</t>
  </si>
  <si>
    <t>Pacific ex-Japan</t>
  </si>
  <si>
    <t>Europe - ex euro</t>
  </si>
  <si>
    <t>Asia - Developed</t>
  </si>
  <si>
    <t>Aggregate Bonds</t>
  </si>
  <si>
    <t>Emerging Market</t>
  </si>
  <si>
    <t>Asia - Emerging</t>
  </si>
  <si>
    <t>Basic materials</t>
  </si>
  <si>
    <t>Liquid Assets</t>
  </si>
  <si>
    <t>Europe Equity</t>
  </si>
  <si>
    <t>Latin America</t>
  </si>
  <si>
    <t>Alternatives</t>
  </si>
  <si>
    <t>Japan Equity</t>
  </si>
  <si>
    <t>Other Equity</t>
  </si>
  <si>
    <t>Convertible</t>
  </si>
  <si>
    <t>Middle East</t>
  </si>
  <si>
    <t>Australasia</t>
  </si>
  <si>
    <t>Derivatives</t>
  </si>
  <si>
    <t>Securitized</t>
  </si>
  <si>
    <t>Industrials</t>
  </si>
  <si>
    <t>Real estate</t>
  </si>
  <si>
    <t>Hedge Funds</t>
  </si>
  <si>
    <t>Commodities</t>
  </si>
  <si>
    <t>USA Equity</t>
  </si>
  <si>
    <t>Government</t>
  </si>
  <si>
    <t>Technology</t>
  </si>
  <si>
    <t>Healthcare</t>
  </si>
  <si>
    <t>Preferred</t>
  </si>
  <si>
    <t>UK Equity</t>
  </si>
  <si>
    <t>Corporate</t>
  </si>
  <si>
    <t>Utilities</t>
  </si>
  <si>
    <t>Property</t>
  </si>
  <si>
    <t>Americas</t>
  </si>
  <si>
    <t>Eurozone</t>
  </si>
  <si>
    <t>Global</t>
  </si>
  <si>
    <t>Africa</t>
  </si>
  <si>
    <t>Canada</t>
  </si>
  <si>
    <t>Energy</t>
  </si>
  <si>
    <t>Stock</t>
  </si>
  <si>
    <t>Other</t>
  </si>
  <si>
    <t>Bond</t>
  </si>
  <si>
    <t>31.08.2023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</si>
</sst>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4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9" fontId="4" fillId="0" borderId="0" applyFont="0" applyFill="0" applyBorder="0" applyAlignment="0" applyProtection="0"/>
  </cellStyleXfs>
  <cellXfs count="11">
    <xf numFmtId="0" fontId="0" fillId="0" borderId="0" xfId="0"/>
    <xf numFmtId="14" fontId="0" fillId="0" borderId="0" xfId="0" applyNumberFormat="1"/>
    <xf numFmtId="14" fontId="1" fillId="2" borderId="0" xfId="0" applyNumberFormat="1" applyFont="1" applyFill="1"/>
    <xf numFmtId="0" fontId="1" fillId="0" borderId="0" xfId="0" applyFont="1"/>
    <xf numFmtId="0" fontId="2" fillId="0" borderId="0" xfId="1"/>
    <xf numFmtId="10" fontId="0" fillId="0" borderId="0" xfId="0" applyNumberFormat="1"/>
    <xf numFmtId="0" fontId="0" fillId="0" borderId="0" xfId="2" applyNumberFormat="1" applyFont="1"/>
    <xf numFmtId="15" fontId="0" fillId="0" borderId="0" xfId="0" applyNumberFormat="1"/>
    <xf numFmtId="0" fontId="0" fillId="2" borderId="0" xfId="0" applyFill="1"/>
    <xf numFmtId="0" fontId="7" fillId="0" borderId="0" xfId="0" applyFont="1"/>
    <xf numFmtId="0" fontId="0" fillId="0" borderId="0" xfId="0" applyFill="1"/>
  </cellXfs>
  <cellStyles count="3">
    <cellStyle name="Гиперссылка" xfId="1" builtinId="8"/>
    <cellStyle name="Обычный" xfId="0" builtinId="0"/>
    <cellStyle name="Процентный" xfId="2" builtinId="5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69850</xdr:rowOff>
    </xdr:from>
    <xdr:to>
      <xdr:col>6</xdr:col>
      <xdr:colOff>151727</xdr:colOff>
      <xdr:row>18</xdr:row>
      <xdr:rowOff>165308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E03A4D39-E254-334C-D43E-7A634F032A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54000"/>
          <a:ext cx="3809327" cy="322600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19</xdr:row>
      <xdr:rowOff>0</xdr:rowOff>
    </xdr:from>
    <xdr:to>
      <xdr:col>5</xdr:col>
      <xdr:colOff>273221</xdr:colOff>
      <xdr:row>33</xdr:row>
      <xdr:rowOff>57285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7A2E9BC3-7E1B-1FC3-662A-E2AD802AC1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3498850"/>
          <a:ext cx="3321221" cy="263538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34</xdr:row>
      <xdr:rowOff>0</xdr:rowOff>
    </xdr:from>
    <xdr:to>
      <xdr:col>4</xdr:col>
      <xdr:colOff>177934</xdr:colOff>
      <xdr:row>43</xdr:row>
      <xdr:rowOff>101690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FA6CF95C-91BC-2D3B-06D7-4A788F83FC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6261100"/>
          <a:ext cx="2616334" cy="1759040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</xdr:row>
      <xdr:rowOff>101600</xdr:rowOff>
    </xdr:from>
    <xdr:to>
      <xdr:col>12</xdr:col>
      <xdr:colOff>520883</xdr:colOff>
      <xdr:row>28</xdr:row>
      <xdr:rowOff>127257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213FCF16-78C6-C057-9F96-FE00338560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267200" y="285750"/>
          <a:ext cx="3568883" cy="499770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www.schroders.com/en-gb/uk/intermediary/investment-solutions/fund-centre/" TargetMode="External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FF00"/>
  </sheetPr>
  <dimension ref="A1:Q4"/>
  <sheetViews>
    <sheetView workbookViewId="0">
      <selection activeCell="T17" sqref="T17"/>
    </sheetView>
  </sheetViews>
  <sheetFormatPr defaultRowHeight="15" x14ac:dyDescent="0.25"/>
  <sheetData>
    <row r="1" spans="1:17" x14ac:dyDescent="0.25">
      <c r="A1" s="3" t="s">
        <v>25</v>
      </c>
      <c r="H1" s="3" t="s">
        <v>23</v>
      </c>
    </row>
    <row r="3" spans="1:17" x14ac:dyDescent="0.25">
      <c r="Q3" s="3"/>
    </row>
    <row r="4" spans="1:17" x14ac:dyDescent="0.25">
      <c r="H4" s="9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FF00"/>
  </sheetPr>
  <dimension ref="A1:J39"/>
  <sheetViews>
    <sheetView workbookViewId="0">
      <selection activeCell="A39" sqref="A3:A39"/>
    </sheetView>
  </sheetViews>
  <sheetFormatPr defaultRowHeight="15" x14ac:dyDescent="0.25"/>
  <cols>
    <col min="1" max="1" width="54.28515625" bestFit="1" customWidth="1"/>
    <col min="2" max="2" width="14.28515625" customWidth="1"/>
    <col min="3" max="3" width="16.85546875" customWidth="1"/>
  </cols>
  <sheetData>
    <row r="1" spans="1:10" x14ac:dyDescent="0.25">
      <c r="A1" s="2">
        <f ca="1">EOMONTH(TODAY(),-1)</f>
        <v>45169</v>
      </c>
      <c r="B1" s="3"/>
      <c r="C1" s="4"/>
    </row>
    <row r="2" spans="1:10" x14ac:dyDescent="0.25">
      <c r="A2" t="s">
        <v>0</v>
      </c>
      <c r="B2" s="3"/>
      <c r="C2" s="4"/>
    </row>
    <row r="3" spans="1:10" x14ac:dyDescent="0.25">
      <c r="A3" t="s">
        <v>32</v>
      </c>
      <c r="B3" t="str">
        <f>'PDF Scraping'!D2</f>
        <v>https://api.schroders.com/document-store/id/07058623-8f5e-45ce-9e4b-85c7ff2cd2ff</v>
      </c>
      <c r="J3" s="4"/>
    </row>
    <row r="4" spans="1:10" x14ac:dyDescent="0.25">
      <c r="A4" t="s">
        <v>33</v>
      </c>
      <c r="B4" t="str">
        <f>'PDF Scraping'!D3</f>
        <v>https://api.schroders.com/document-store/id/d403fd67-a109-49eb-90b1-458db2e6166d</v>
      </c>
      <c r="J4" s="4"/>
    </row>
    <row r="5" spans="1:10" x14ac:dyDescent="0.25">
      <c r="A5" t="s">
        <v>34</v>
      </c>
      <c r="B5" t="str">
        <f>'PDF Scraping'!D4</f>
        <v>https://api.schroders.com/document-store/id/29f336b5-c5e8-4019-91f6-8d42047a0e29</v>
      </c>
    </row>
    <row r="6" spans="1:10" x14ac:dyDescent="0.25">
      <c r="A6" t="s">
        <v>35</v>
      </c>
      <c r="B6" t="str">
        <f>'PDF Scraping'!D5</f>
        <v>https://api.schroders.com/document-store/id/a831b089-14de-49f0-bc92-0160809a2b5f</v>
      </c>
    </row>
    <row r="7" spans="1:10" x14ac:dyDescent="0.25">
      <c r="A7" t="s">
        <v>36</v>
      </c>
      <c r="B7" t="str">
        <f>'PDF Scraping'!D6</f>
        <v>https://api.schroders.com/document-store/id/a5fea81f-c377-4586-b67d-c83915c0873e</v>
      </c>
    </row>
    <row r="8" spans="1:10" x14ac:dyDescent="0.25">
      <c r="A8" t="s">
        <v>37</v>
      </c>
      <c r="B8" t="str">
        <f>'PDF Scraping'!D7</f>
        <v>https://api.schroders.com/document-store/id/e0f19e3e-8b62-4ee7-97cb-8999c1c21480</v>
      </c>
    </row>
    <row r="9" spans="1:10" x14ac:dyDescent="0.25">
      <c r="A9" t="s">
        <v>38</v>
      </c>
      <c r="B9" t="str">
        <f>'PDF Scraping'!D8</f>
        <v>https://api.schroders.com/document-store/id/f606bb94-f674-4a79-9627-9cdabad112a1</v>
      </c>
    </row>
    <row r="10" spans="1:10" x14ac:dyDescent="0.25">
      <c r="A10" t="s">
        <v>39</v>
      </c>
      <c r="B10" t="str">
        <f>'PDF Scraping'!D9</f>
        <v>https://api.schroders.com/document-store/id/c276cc1e-9524-43e2-82f0-147db6323d02</v>
      </c>
    </row>
    <row r="11" spans="1:10" x14ac:dyDescent="0.25">
      <c r="A11" t="s">
        <v>40</v>
      </c>
      <c r="B11" t="str">
        <f>'PDF Scraping'!D10</f>
        <v>https://api.schroders.com/document-store/id/39f1a653-b65a-47c6-97d1-f8a351078430</v>
      </c>
    </row>
    <row r="12" spans="1:10" x14ac:dyDescent="0.25">
      <c r="A12" t="s">
        <v>50</v>
      </c>
      <c r="B12" t="str">
        <f>'PDF Scraping'!D11</f>
        <v>https://api.schroders.com/document-store/id/1396fbce-a5b6-481a-8f89-f9d29f1d6038</v>
      </c>
    </row>
    <row r="13" spans="1:10" x14ac:dyDescent="0.25">
      <c r="A13" t="s">
        <v>51</v>
      </c>
      <c r="B13" t="str">
        <f>'PDF Scraping'!D12</f>
        <v>https://api.schroders.com/document-store/id/15071999-7f12-478d-92b8-9c9c0d5c7d96</v>
      </c>
    </row>
    <row r="14" spans="1:10" x14ac:dyDescent="0.25">
      <c r="A14" t="s">
        <v>52</v>
      </c>
      <c r="B14" t="str">
        <f>'PDF Scraping'!D13</f>
        <v>https://api.schroders.com/document-store/id/c4d9977b-481f-4b59-8eb7-09982e7eee67</v>
      </c>
    </row>
    <row r="15" spans="1:10" x14ac:dyDescent="0.25">
      <c r="A15" t="s">
        <v>53</v>
      </c>
      <c r="B15" t="str">
        <f>'PDF Scraping'!D14</f>
        <v>https://api.schroders.com/document-store/id/a6aff599-175d-40c4-8e53-54ec9cc815c1</v>
      </c>
    </row>
    <row r="16" spans="1:10" x14ac:dyDescent="0.25">
      <c r="A16" t="s">
        <v>54</v>
      </c>
      <c r="B16" t="str">
        <f>'PDF Scraping'!D15</f>
        <v>https://api.schroders.com/document-store/id/597ac067-587d-4b26-ac00-792e240bbfcf</v>
      </c>
    </row>
    <row r="17" spans="1:2" x14ac:dyDescent="0.25">
      <c r="A17" t="s">
        <v>55</v>
      </c>
      <c r="B17" t="str">
        <f>'PDF Scraping'!D16</f>
        <v>https://api.schroders.com/document-store/id/ba6bb2bc-2715-481c-b8bd-88fda4a47022</v>
      </c>
    </row>
    <row r="18" spans="1:2" x14ac:dyDescent="0.25">
      <c r="A18" t="s">
        <v>56</v>
      </c>
      <c r="B18" t="str">
        <f>'PDF Scraping'!D17</f>
        <v>https://api.schroders.com/document-store/id/43a8c565-1eea-456b-817b-84782a271d3a</v>
      </c>
    </row>
    <row r="19" spans="1:2" x14ac:dyDescent="0.25">
      <c r="A19" t="s">
        <v>57</v>
      </c>
      <c r="B19" t="str">
        <f>'PDF Scraping'!D18</f>
        <v>https://api.schroders.com/document-store/id/7f35a0da-d68d-4b24-9230-a90393e1a711</v>
      </c>
    </row>
    <row r="20" spans="1:2" x14ac:dyDescent="0.25">
      <c r="A20" t="s">
        <v>58</v>
      </c>
      <c r="B20" t="str">
        <f>'PDF Scraping'!D19</f>
        <v>https://api.schroders.com/document-store/id/a490b548-fcde-4f86-8a4c-e654282cd094</v>
      </c>
    </row>
    <row r="21" spans="1:2" x14ac:dyDescent="0.25">
      <c r="A21" t="s">
        <v>68</v>
      </c>
      <c r="B21" t="str">
        <f>'PDF Scraping'!D20</f>
        <v>https://api.schroders.com/document-store/id/5267cec0-0b8c-455c-a100-9c6183f7a955</v>
      </c>
    </row>
    <row r="22" spans="1:2" x14ac:dyDescent="0.25">
      <c r="A22" t="s">
        <v>69</v>
      </c>
      <c r="B22" t="str">
        <f>'PDF Scraping'!D21</f>
        <v>https://api.schroders.com/document-store/id/ecd7551d-f231-4359-87a6-26591fc9e3b6</v>
      </c>
    </row>
    <row r="23" spans="1:2" x14ac:dyDescent="0.25">
      <c r="A23" t="s">
        <v>70</v>
      </c>
      <c r="B23" t="str">
        <f>'PDF Scraping'!D22</f>
        <v>https://api.schroders.com/document-store/id/8fdd0d59-36a5-4849-9183-9aef0f154d01</v>
      </c>
    </row>
    <row r="24" spans="1:2" x14ac:dyDescent="0.25">
      <c r="A24" t="s">
        <v>71</v>
      </c>
      <c r="B24" t="str">
        <f>'PDF Scraping'!D23</f>
        <v>https://api.schroders.com/document-store/id/0e41868b-5ee2-4d30-8e83-f2c877d409e4</v>
      </c>
    </row>
    <row r="25" spans="1:2" x14ac:dyDescent="0.25">
      <c r="A25" t="s">
        <v>72</v>
      </c>
      <c r="B25" t="str">
        <f>'PDF Scraping'!D24</f>
        <v>https://api.schroders.com/document-store/id/fb2c5a5d-2d1f-4b53-8ddc-691ff49d0326</v>
      </c>
    </row>
    <row r="26" spans="1:2" x14ac:dyDescent="0.25">
      <c r="A26" t="s">
        <v>73</v>
      </c>
      <c r="B26" t="str">
        <f>'PDF Scraping'!D25</f>
        <v>https://api.schroders.com/document-store/id/8d57406e-6992-44b2-8736-a9fcbe50861b</v>
      </c>
    </row>
    <row r="27" spans="1:2" x14ac:dyDescent="0.25">
      <c r="A27" t="s">
        <v>79</v>
      </c>
      <c r="B27" t="str">
        <f>'PDF Scraping'!D26</f>
        <v>https://api.schroders.com/document-store/id/54508148-f03d-461d-9c89-88e734c8010a</v>
      </c>
    </row>
    <row r="28" spans="1:2" x14ac:dyDescent="0.25">
      <c r="A28" t="s">
        <v>80</v>
      </c>
      <c r="B28" t="str">
        <f>'PDF Scraping'!D27</f>
        <v>https://api.schroders.com/document-store/id/9c43dd3d-bb7e-4d3b-beaf-745bc9ab62e2</v>
      </c>
    </row>
    <row r="29" spans="1:2" x14ac:dyDescent="0.25">
      <c r="A29" t="s">
        <v>81</v>
      </c>
      <c r="B29" t="str">
        <f>'PDF Scraping'!D28</f>
        <v>https://api.schroders.com/document-store/id/77705355-d5c9-4ee9-9889-2c33be0dd63e</v>
      </c>
    </row>
    <row r="30" spans="1:2" x14ac:dyDescent="0.25">
      <c r="A30" t="s">
        <v>82</v>
      </c>
      <c r="B30" t="str">
        <f>'PDF Scraping'!D29</f>
        <v>https://api.schroders.com/document-store/id/988023da-51e2-47e1-979b-83870907a6ca</v>
      </c>
    </row>
    <row r="31" spans="1:2" x14ac:dyDescent="0.25">
      <c r="A31" t="s">
        <v>83</v>
      </c>
      <c r="B31" t="str">
        <f>'PDF Scraping'!D30</f>
        <v>https://api.schroders.com/document-store/id/855eed1e-56ce-4f73-b26f-f831f91a38a3</v>
      </c>
    </row>
    <row r="32" spans="1:2" x14ac:dyDescent="0.25">
      <c r="A32" t="s">
        <v>84</v>
      </c>
      <c r="B32" t="str">
        <f>'PDF Scraping'!D31</f>
        <v>https://api.schroders.com/document-store/id/166acb72-9ded-46b7-8110-1c8f8b625cfc</v>
      </c>
    </row>
    <row r="33" spans="1:2" x14ac:dyDescent="0.25">
      <c r="A33" t="s">
        <v>91</v>
      </c>
      <c r="B33" t="str">
        <f>'PDF Scraping'!D32</f>
        <v>https://api.schroders.com/document-store/id/19EA9860-3061-43EC-AA78-3F661DBD7CE8/</v>
      </c>
    </row>
    <row r="34" spans="1:2" x14ac:dyDescent="0.25">
      <c r="A34" t="s">
        <v>93</v>
      </c>
      <c r="B34" t="str">
        <f>'PDF Scraping'!D33</f>
        <v>https://api.schroders.com/document-store/SISCo-Schroder-Managed-Defensive-Fund-F-Acc-FMR-UKEN.pdf</v>
      </c>
    </row>
    <row r="35" spans="1:2" x14ac:dyDescent="0.25">
      <c r="A35" t="s">
        <v>95</v>
      </c>
      <c r="B35" t="str">
        <f>'PDF Scraping'!D34</f>
        <v>https://api.schroders.com/document-store/id/29a5c2e7-f3e9-4eec-a6da-fdd2f5a03764</v>
      </c>
    </row>
    <row r="36" spans="1:2" x14ac:dyDescent="0.25">
      <c r="A36" t="s">
        <v>97</v>
      </c>
      <c r="B36" t="str">
        <f>'PDF Scraping'!D35</f>
        <v>https://api.schroders.com/document-store/id/2fe0d208-7d7f-40cd-86c5-57b5da3fd8eb</v>
      </c>
    </row>
    <row r="37" spans="1:2" x14ac:dyDescent="0.25">
      <c r="A37" t="s">
        <v>99</v>
      </c>
      <c r="B37" t="str">
        <f>'PDF Scraping'!D36</f>
        <v>https://api.schroders.com/document-store/id/d4081afe-9aa0-4e2c-962a-8618e5af4b1f</v>
      </c>
    </row>
    <row r="38" spans="1:2" x14ac:dyDescent="0.25">
      <c r="A38" t="s">
        <v>101</v>
      </c>
      <c r="B38" t="str">
        <f>'PDF Scraping'!D37</f>
        <v>https://api.schroders.com/document-store/id/bf5b7394-15a9-4f0f-9007-61a4104737c9</v>
      </c>
    </row>
    <row r="39" spans="1:2" x14ac:dyDescent="0.25">
      <c r="A39" t="s">
        <v>103</v>
      </c>
      <c r="B39" t="str">
        <f>'PDF Scraping'!D38</f>
        <v>https://api.schroders.com/document-store/id/114ca7bc-261a-444f-b1d0-6fd6b90230b8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H50"/>
  <sheetViews>
    <sheetView tabSelected="1" workbookViewId="0">
      <selection activeCell="H8" sqref="H8"/>
    </sheetView>
  </sheetViews>
  <sheetFormatPr defaultRowHeight="15" x14ac:dyDescent="0.25"/>
  <cols>
    <col min="1" max="1" width="54.28515625" bestFit="1" customWidth="1"/>
    <col min="2" max="2" width="5.140625" bestFit="1" customWidth="1"/>
    <col min="3" max="3" width="17.85546875" bestFit="1" customWidth="1"/>
    <col min="4" max="4" width="18.7109375" bestFit="1" customWidth="1"/>
    <col min="5" max="5" width="8.28515625" bestFit="1" customWidth="1"/>
    <col min="6" max="6" width="6.85546875" bestFit="1" customWidth="1"/>
    <col min="7" max="7" width="7.140625" bestFit="1" customWidth="1"/>
  </cols>
  <sheetData>
    <row r="1" spans="1:8" x14ac:dyDescent="0.25">
      <c r="B1" t="s">
        <v>26</v>
      </c>
      <c r="C1" t="s">
        <v>105</v>
      </c>
      <c r="D1" t="s">
        <v>106</v>
      </c>
      <c r="E1" t="s">
        <v>107</v>
      </c>
      <c r="F1" t="s">
        <v>108</v>
      </c>
      <c r="G1" t="s">
        <v>213</v>
      </c>
      <c r="H1" t="s">
        <v>214</v>
      </c>
    </row>
    <row r="2" spans="1:8" x14ac:dyDescent="0.25">
      <c r="A2" t="str">
        <f>IF(Input!A3="","",Input!A3)</f>
        <v>Schroder Active Portfolio 2</v>
      </c>
      <c r="B2" s="1" t="s">
        <v>215</v>
      </c>
      <c r="C2" s="5">
        <v>5.3E-3</v>
      </c>
      <c r="D2" s="5">
        <v>1.5E-3</v>
      </c>
      <c r="E2" s="5">
        <v>5.0000000000000001E-3</v>
      </c>
      <c r="F2" s="5">
        <v>1E-3</v>
      </c>
      <c r="G2" s="5">
        <v>4.0000000000000001E-3</v>
      </c>
      <c r="H2" s="5">
        <v>4.8000000000000001E-2</v>
      </c>
    </row>
    <row r="3" spans="1:8" x14ac:dyDescent="0.25">
      <c r="A3" t="str">
        <f>IF(Input!A4="","",Input!A4)</f>
        <v>Schroder Active Portfolio 3</v>
      </c>
      <c r="B3" s="1" t="s">
        <v>215</v>
      </c>
      <c r="C3" s="5">
        <v>6.6E-3</v>
      </c>
      <c r="D3" s="5">
        <v>1.5E-3</v>
      </c>
      <c r="E3" s="5">
        <v>6.9999999999999993E-3</v>
      </c>
      <c r="F3" s="5">
        <v>-2E-3</v>
      </c>
      <c r="G3" s="5">
        <v>2.7999999999999997E-2</v>
      </c>
      <c r="H3" s="5">
        <v>9.9000000000000005E-2</v>
      </c>
    </row>
    <row r="4" spans="1:8" x14ac:dyDescent="0.25">
      <c r="A4" t="str">
        <f>IF(Input!A5="","",Input!A5)</f>
        <v>Schroder Active Portfolio 4</v>
      </c>
      <c r="B4" s="1" t="s">
        <v>215</v>
      </c>
      <c r="C4" s="5">
        <v>7.3000000000000001E-3</v>
      </c>
      <c r="D4" s="5">
        <v>1.5E-3</v>
      </c>
      <c r="E4" s="5">
        <v>9.0000000000000011E-3</v>
      </c>
      <c r="F4" s="5">
        <v>5.0000000000000001E-3</v>
      </c>
      <c r="G4" s="5">
        <v>7.2999999999999995E-2</v>
      </c>
      <c r="H4" s="5">
        <v>0.13100000000000001</v>
      </c>
    </row>
    <row r="5" spans="1:8" x14ac:dyDescent="0.25">
      <c r="A5" t="str">
        <f>IF(Input!A6="","",Input!A6)</f>
        <v>Schroder Active Portfolio 5</v>
      </c>
      <c r="B5" s="1" t="s">
        <v>215</v>
      </c>
      <c r="C5" s="5">
        <v>7.7000000000000002E-3</v>
      </c>
      <c r="D5" s="5">
        <v>1.5E-3</v>
      </c>
      <c r="E5" s="5">
        <v>1.1000000000000001E-2</v>
      </c>
      <c r="F5" s="5">
        <v>1.1000000000000001E-2</v>
      </c>
      <c r="G5" s="5">
        <v>0.109</v>
      </c>
      <c r="H5" s="5">
        <v>0.157</v>
      </c>
    </row>
    <row r="6" spans="1:8" x14ac:dyDescent="0.25">
      <c r="A6" t="str">
        <f>IF(Input!A7="","",Input!A7)</f>
        <v>Schroder Active Portfolio 6</v>
      </c>
      <c r="B6" s="1" t="s">
        <v>215</v>
      </c>
      <c r="C6" s="5">
        <v>8.1000000000000013E-3</v>
      </c>
      <c r="D6" s="5">
        <v>1.5E-3</v>
      </c>
      <c r="E6" s="5">
        <v>1.3000000000000001E-2</v>
      </c>
      <c r="F6" s="5">
        <v>0.02</v>
      </c>
      <c r="G6" s="5">
        <v>0.156</v>
      </c>
      <c r="H6" s="5">
        <v>0.217</v>
      </c>
    </row>
    <row r="7" spans="1:8" x14ac:dyDescent="0.25">
      <c r="A7" t="str">
        <f>IF(Input!A8="","",Input!A8)</f>
        <v>Schroder Active Portfolio 7</v>
      </c>
      <c r="B7" s="1" t="s">
        <v>215</v>
      </c>
      <c r="C7" s="5">
        <v>8.3000000000000001E-3</v>
      </c>
      <c r="D7" s="5">
        <v>1.5E-3</v>
      </c>
      <c r="E7" s="5">
        <v>1.3999999999999999E-2</v>
      </c>
      <c r="F7" s="5">
        <v>2.8999999999999998E-2</v>
      </c>
      <c r="G7" s="5">
        <v>0.192</v>
      </c>
      <c r="H7" s="5">
        <v>0.28399999999999997</v>
      </c>
    </row>
    <row r="8" spans="1:8" x14ac:dyDescent="0.25">
      <c r="A8" t="str">
        <f>IF(Input!A9="","",Input!A9)</f>
        <v>Schroder Active Portfolio 8</v>
      </c>
      <c r="B8" s="1" t="s">
        <v>215</v>
      </c>
      <c r="C8" s="5">
        <v>8.5000000000000006E-3</v>
      </c>
      <c r="D8" s="5">
        <v>1.5E-3</v>
      </c>
      <c r="E8" s="5">
        <v>1.4999999999999999E-2</v>
      </c>
      <c r="F8" s="5">
        <v>3.9E-2</v>
      </c>
      <c r="G8" s="5">
        <v>0.22600000000000001</v>
      </c>
      <c r="H8" s="5">
        <v>0.32899999999999996</v>
      </c>
    </row>
    <row r="9" spans="1:8" x14ac:dyDescent="0.25">
      <c r="A9" t="str">
        <f>IF(Input!A10="","",Input!A10)</f>
        <v>Schroder Active Portfolio 9</v>
      </c>
      <c r="B9" s="1" t="s">
        <v>215</v>
      </c>
      <c r="C9" s="5">
        <v>8.6999999999999994E-3</v>
      </c>
      <c r="D9" s="5">
        <v>1.5E-3</v>
      </c>
      <c r="E9" s="5">
        <v>1.7000000000000001E-2</v>
      </c>
      <c r="F9" s="5">
        <v>5.5E-2</v>
      </c>
      <c r="G9" s="5">
        <v>0.23800000000000002</v>
      </c>
      <c r="H9" s="5">
        <v>0.375</v>
      </c>
    </row>
    <row r="10" spans="1:8" x14ac:dyDescent="0.25">
      <c r="A10" t="str">
        <f>IF(Input!A11="","",Input!A11)</f>
        <v>Schroder Active Portfolio 10</v>
      </c>
      <c r="B10" s="1" t="s">
        <v>215</v>
      </c>
      <c r="C10" s="5">
        <v>9.0000000000000011E-3</v>
      </c>
      <c r="D10" s="5">
        <v>1.5E-3</v>
      </c>
      <c r="E10" s="5">
        <v>1.8000000000000002E-2</v>
      </c>
      <c r="F10" s="5">
        <v>4.5999999999999999E-2</v>
      </c>
      <c r="G10" s="5">
        <v>0.19699999999999998</v>
      </c>
      <c r="H10" s="5">
        <v>0.27899999999999997</v>
      </c>
    </row>
    <row r="11" spans="1:8" x14ac:dyDescent="0.25">
      <c r="A11" t="str">
        <f>IF(Input!A12="","",Input!A12)</f>
        <v>Schroder Strategic Index Portfolio 2</v>
      </c>
      <c r="B11" s="1" t="s">
        <v>215</v>
      </c>
      <c r="C11" s="5">
        <v>2.3999999999999998E-3</v>
      </c>
      <c r="D11" s="5">
        <v>1.5E-3</v>
      </c>
      <c r="E11" s="5">
        <v>6.0000000000000001E-3</v>
      </c>
      <c r="F11" s="5">
        <v>-5.0000000000000001E-3</v>
      </c>
      <c r="G11" s="5">
        <v>-2.6000000000000002E-2</v>
      </c>
      <c r="H11" s="5">
        <v>3.7999999999999999E-2</v>
      </c>
    </row>
    <row r="12" spans="1:8" x14ac:dyDescent="0.25">
      <c r="A12" t="str">
        <f>IF(Input!A13="","",Input!A13)</f>
        <v>Schroder Strategic Index Portfolio 3</v>
      </c>
      <c r="B12" s="1" t="s">
        <v>215</v>
      </c>
      <c r="C12" s="5">
        <v>2.3999999999999998E-3</v>
      </c>
      <c r="D12" s="5">
        <v>1.5E-3</v>
      </c>
      <c r="E12" s="5">
        <v>8.0000000000000002E-3</v>
      </c>
      <c r="F12" s="5">
        <v>-8.0000000000000002E-3</v>
      </c>
      <c r="G12" s="5">
        <v>-6.9999999999999993E-3</v>
      </c>
      <c r="H12" s="5">
        <v>7.0000000000000007E-2</v>
      </c>
    </row>
    <row r="13" spans="1:8" x14ac:dyDescent="0.25">
      <c r="A13" t="str">
        <f>IF(Input!A14="","",Input!A14)</f>
        <v>Schroder Strategic Index Portfolio 4</v>
      </c>
      <c r="B13" s="1" t="s">
        <v>215</v>
      </c>
      <c r="C13" s="5">
        <v>2.3999999999999998E-3</v>
      </c>
      <c r="D13" s="5">
        <v>1.5E-3</v>
      </c>
      <c r="E13" s="5">
        <v>1.2E-2</v>
      </c>
      <c r="F13" s="5">
        <v>6.9999999999999993E-3</v>
      </c>
      <c r="G13" s="5">
        <v>0.05</v>
      </c>
      <c r="H13" s="5">
        <v>0.11699999999999999</v>
      </c>
    </row>
    <row r="14" spans="1:8" x14ac:dyDescent="0.25">
      <c r="A14" t="str">
        <f>IF(Input!A15="","",Input!A15)</f>
        <v>Schroder Strategic Index Portfolio 5</v>
      </c>
      <c r="B14" s="1" t="s">
        <v>215</v>
      </c>
      <c r="C14" s="5">
        <v>2.5000000000000001E-3</v>
      </c>
      <c r="D14" s="5">
        <v>1.5E-3</v>
      </c>
      <c r="E14" s="5">
        <v>1.4999999999999999E-2</v>
      </c>
      <c r="F14" s="5">
        <v>1.8000000000000002E-2</v>
      </c>
      <c r="G14" s="5">
        <v>9.4E-2</v>
      </c>
      <c r="H14" s="5">
        <v>0.159</v>
      </c>
    </row>
    <row r="15" spans="1:8" x14ac:dyDescent="0.25">
      <c r="A15" t="str">
        <f>IF(Input!A16="","",Input!A16)</f>
        <v>Schroder Strategic Index Portfolio 6</v>
      </c>
      <c r="B15" s="1" t="s">
        <v>215</v>
      </c>
      <c r="C15" s="5">
        <v>2.5000000000000001E-3</v>
      </c>
      <c r="D15" s="5">
        <v>1.5E-3</v>
      </c>
      <c r="E15" s="5">
        <v>1.8000000000000002E-2</v>
      </c>
      <c r="F15" s="5">
        <v>3.3000000000000002E-2</v>
      </c>
      <c r="G15" s="5">
        <v>0.155</v>
      </c>
      <c r="H15" s="5">
        <v>0.20899999999999999</v>
      </c>
    </row>
    <row r="16" spans="1:8" x14ac:dyDescent="0.25">
      <c r="A16" t="str">
        <f>IF(Input!A17="","",Input!A17)</f>
        <v>Schroder Strategic Index Portfolio 7</v>
      </c>
      <c r="B16" s="1" t="s">
        <v>215</v>
      </c>
      <c r="C16" s="5">
        <v>2.5000000000000001E-3</v>
      </c>
      <c r="D16" s="5">
        <v>1.5E-3</v>
      </c>
      <c r="E16" s="5">
        <v>2.1000000000000001E-2</v>
      </c>
      <c r="F16" s="5">
        <v>4.7E-2</v>
      </c>
      <c r="G16" s="5">
        <v>0.223</v>
      </c>
      <c r="H16" s="5">
        <v>0.253</v>
      </c>
    </row>
    <row r="17" spans="1:8" x14ac:dyDescent="0.25">
      <c r="A17" t="str">
        <f>IF(Input!A18="","",Input!A18)</f>
        <v>Schroder Strategic Index Portfolio 8</v>
      </c>
      <c r="B17" s="1" t="s">
        <v>215</v>
      </c>
      <c r="C17" s="5">
        <v>2.5000000000000001E-3</v>
      </c>
      <c r="D17" s="5">
        <v>1.5E-3</v>
      </c>
      <c r="E17" s="5">
        <v>2.4E-2</v>
      </c>
      <c r="F17" s="5">
        <v>0.06</v>
      </c>
      <c r="G17" s="5">
        <v>0.28100000000000003</v>
      </c>
      <c r="H17" s="5">
        <v>0.30099999999999999</v>
      </c>
    </row>
    <row r="18" spans="1:8" x14ac:dyDescent="0.25">
      <c r="A18" t="str">
        <f>IF(Input!A19="","",Input!A19)</f>
        <v>Schroder Strategic Index Portfolio 9</v>
      </c>
      <c r="B18" s="1" t="s">
        <v>215</v>
      </c>
      <c r="C18" s="5">
        <v>2.5999999999999999E-3</v>
      </c>
      <c r="D18" s="5">
        <v>1.5E-3</v>
      </c>
      <c r="E18" s="5">
        <v>2.8999999999999998E-2</v>
      </c>
      <c r="F18" s="5">
        <v>7.0999999999999994E-2</v>
      </c>
      <c r="G18" s="5">
        <v>0.27699999999999997</v>
      </c>
      <c r="H18" s="5">
        <v>0.29499999999999998</v>
      </c>
    </row>
    <row r="19" spans="1:8" x14ac:dyDescent="0.25">
      <c r="A19" t="str">
        <f>IF(Input!A20="","",Input!A20)</f>
        <v>Schroder Strategic Index Portfolio 10</v>
      </c>
      <c r="B19" s="1" t="s">
        <v>215</v>
      </c>
      <c r="C19" s="5">
        <v>2.7000000000000001E-3</v>
      </c>
      <c r="D19" s="5">
        <v>1.5E-3</v>
      </c>
      <c r="E19" s="5">
        <v>3.4000000000000002E-2</v>
      </c>
      <c r="F19" s="5">
        <v>5.4000000000000006E-2</v>
      </c>
      <c r="G19" s="5">
        <v>0.21299999999999999</v>
      </c>
      <c r="H19" s="5">
        <v>0.249</v>
      </c>
    </row>
    <row r="20" spans="1:8" x14ac:dyDescent="0.25">
      <c r="A20" t="str">
        <f>IF(Input!A21="","",Input!A21)</f>
        <v>Schroder Sustainable Portfolio 3</v>
      </c>
      <c r="B20" s="1" t="s">
        <v>215</v>
      </c>
      <c r="C20" s="5">
        <v>6.1999999999999998E-3</v>
      </c>
      <c r="D20" s="5">
        <v>1.5E-3</v>
      </c>
      <c r="E20" s="5">
        <v>6.0000000000000001E-3</v>
      </c>
      <c r="F20" s="5">
        <v>-1.4999999999999999E-2</v>
      </c>
      <c r="G20" s="5">
        <v>8.0000000000000002E-3</v>
      </c>
      <c r="H20" s="5">
        <v>0.113</v>
      </c>
    </row>
    <row r="21" spans="1:8" x14ac:dyDescent="0.25">
      <c r="A21" t="str">
        <f>IF(Input!A22="","",Input!A22)</f>
        <v>Schroder Sustainable Portfolio 4</v>
      </c>
      <c r="B21" s="1" t="s">
        <v>215</v>
      </c>
      <c r="C21" s="5">
        <v>6.9999999999999993E-3</v>
      </c>
      <c r="D21" s="5">
        <v>1.5E-3</v>
      </c>
      <c r="E21" s="5">
        <v>8.0000000000000002E-3</v>
      </c>
      <c r="F21" s="5">
        <v>-6.9999999999999993E-3</v>
      </c>
      <c r="G21" s="5">
        <v>0</v>
      </c>
      <c r="H21" s="5">
        <v>0</v>
      </c>
    </row>
    <row r="22" spans="1:8" x14ac:dyDescent="0.25">
      <c r="A22" t="str">
        <f>IF(Input!A23="","",Input!A23)</f>
        <v>Schroder Sustainable Portfolio 5</v>
      </c>
      <c r="B22" s="1" t="s">
        <v>215</v>
      </c>
      <c r="C22" s="5">
        <v>7.4000000000000003E-3</v>
      </c>
      <c r="D22" s="5">
        <v>1.5E-3</v>
      </c>
      <c r="E22" s="5">
        <v>9.0000000000000011E-3</v>
      </c>
      <c r="F22" s="5">
        <v>-1E-3</v>
      </c>
      <c r="G22" s="5">
        <v>8.1000000000000003E-2</v>
      </c>
      <c r="H22" s="5">
        <v>0.19800000000000001</v>
      </c>
    </row>
    <row r="23" spans="1:8" x14ac:dyDescent="0.25">
      <c r="A23" t="str">
        <f>IF(Input!A24="","",Input!A24)</f>
        <v>Schroder Sustainable Portfolio 6</v>
      </c>
      <c r="B23" s="1" t="s">
        <v>215</v>
      </c>
      <c r="C23" s="5">
        <v>7.9000000000000008E-3</v>
      </c>
      <c r="D23" s="5">
        <v>1.5E-3</v>
      </c>
      <c r="E23" s="5">
        <v>1.1000000000000001E-2</v>
      </c>
      <c r="F23" s="5">
        <v>9.0000000000000011E-3</v>
      </c>
      <c r="G23" s="5">
        <v>0</v>
      </c>
      <c r="H23" s="5">
        <v>0</v>
      </c>
    </row>
    <row r="24" spans="1:8" x14ac:dyDescent="0.25">
      <c r="A24" t="str">
        <f>IF(Input!A25="","",Input!A25)</f>
        <v>Schroder Sustainable Portfolio 7</v>
      </c>
      <c r="B24" s="1" t="s">
        <v>215</v>
      </c>
      <c r="C24" s="5">
        <v>8.3000000000000001E-3</v>
      </c>
      <c r="D24" s="5">
        <v>1.5E-3</v>
      </c>
      <c r="E24" s="5">
        <v>1.1000000000000001E-2</v>
      </c>
      <c r="F24" s="5">
        <v>1.9E-2</v>
      </c>
      <c r="G24" s="5">
        <v>0.16200000000000001</v>
      </c>
      <c r="H24" s="5">
        <v>0.29399999999999998</v>
      </c>
    </row>
    <row r="25" spans="1:8" x14ac:dyDescent="0.25">
      <c r="A25" t="str">
        <f>IF(Input!A26="","",Input!A26)</f>
        <v>Schroder Sustainable Portfolio 8</v>
      </c>
      <c r="B25" s="7" t="s">
        <v>215</v>
      </c>
      <c r="C25" s="5">
        <v>8.6E-3</v>
      </c>
      <c r="D25" s="5">
        <v>1.5E-3</v>
      </c>
      <c r="E25" s="5">
        <v>1.3000000000000001E-2</v>
      </c>
      <c r="F25" s="5">
        <v>3.1E-2</v>
      </c>
      <c r="G25" s="5">
        <v>0</v>
      </c>
      <c r="H25" s="5">
        <v>0</v>
      </c>
    </row>
    <row r="26" spans="1:8" x14ac:dyDescent="0.25">
      <c r="A26" t="str">
        <f>IF(Input!A27="","",Input!A27)</f>
        <v>Schroder Blended Portfolio 3</v>
      </c>
      <c r="B26" s="7" t="s">
        <v>270</v>
      </c>
      <c r="C26" s="5">
        <v>5.3E-3</v>
      </c>
      <c r="D26" s="5">
        <v>0</v>
      </c>
      <c r="E26" s="5">
        <v>-6.0000000000000001E-3</v>
      </c>
      <c r="F26" s="5">
        <v>-6.0000000000000001E-3</v>
      </c>
      <c r="G26" s="5">
        <v>1.6E-2</v>
      </c>
      <c r="H26" s="5">
        <v>0</v>
      </c>
    </row>
    <row r="27" spans="1:8" x14ac:dyDescent="0.25">
      <c r="A27" t="str">
        <f>IF(Input!A28="","",Input!A28)</f>
        <v>Schroder Blended Portfolio 4</v>
      </c>
      <c r="B27" s="7" t="s">
        <v>270</v>
      </c>
      <c r="C27" s="5">
        <v>5.8999999999999999E-3</v>
      </c>
      <c r="D27" s="5">
        <v>0</v>
      </c>
      <c r="E27" s="5">
        <v>-6.9999999999999993E-3</v>
      </c>
      <c r="F27" s="5">
        <v>-2E-3</v>
      </c>
      <c r="G27" s="5">
        <v>6.4000000000000001E-2</v>
      </c>
      <c r="H27" s="5">
        <v>0</v>
      </c>
    </row>
    <row r="28" spans="1:8" x14ac:dyDescent="0.25">
      <c r="A28" t="str">
        <f>IF(Input!A29="","",Input!A29)</f>
        <v>Schroder Blended Portfolio 5</v>
      </c>
      <c r="B28" s="7" t="s">
        <v>270</v>
      </c>
      <c r="C28" s="5">
        <v>6.0999999999999995E-3</v>
      </c>
      <c r="D28" s="5">
        <v>0</v>
      </c>
      <c r="E28" s="5">
        <v>-8.0000000000000002E-3</v>
      </c>
      <c r="F28" s="5">
        <v>2E-3</v>
      </c>
      <c r="G28" s="5">
        <v>9.3000000000000013E-2</v>
      </c>
      <c r="H28" s="5">
        <v>0</v>
      </c>
    </row>
    <row r="29" spans="1:8" x14ac:dyDescent="0.25">
      <c r="A29" t="str">
        <f>IF(Input!A30="","",Input!A30)</f>
        <v>Schroder Blended Portfolio 6</v>
      </c>
      <c r="B29" s="7" t="s">
        <v>270</v>
      </c>
      <c r="C29" s="5">
        <v>6.4000000000000003E-3</v>
      </c>
      <c r="D29" s="5">
        <v>0</v>
      </c>
      <c r="E29" s="5">
        <v>-9.0000000000000011E-3</v>
      </c>
      <c r="F29" s="5">
        <v>9.0000000000000011E-3</v>
      </c>
      <c r="G29" s="5">
        <v>0.13600000000000001</v>
      </c>
      <c r="H29" s="5">
        <v>0</v>
      </c>
    </row>
    <row r="30" spans="1:8" x14ac:dyDescent="0.25">
      <c r="A30" t="str">
        <f>IF(Input!A31="","",Input!A31)</f>
        <v>Schroder Blended Portfolio 7</v>
      </c>
      <c r="B30" s="7" t="s">
        <v>270</v>
      </c>
      <c r="C30" s="5">
        <v>6.5000000000000006E-3</v>
      </c>
      <c r="D30" s="5">
        <v>0</v>
      </c>
      <c r="E30" s="5">
        <v>-0.01</v>
      </c>
      <c r="F30" s="5">
        <v>1.6E-2</v>
      </c>
      <c r="G30" s="5">
        <v>0.19399999999999998</v>
      </c>
      <c r="H30" s="5">
        <v>0</v>
      </c>
    </row>
    <row r="31" spans="1:8" x14ac:dyDescent="0.25">
      <c r="A31" t="str">
        <f>IF(Input!A32="","",Input!A32)</f>
        <v>Schroder Blended Portfolio 8</v>
      </c>
      <c r="B31" s="7" t="s">
        <v>270</v>
      </c>
      <c r="C31" s="5">
        <v>6.5000000000000006E-3</v>
      </c>
      <c r="D31" s="5">
        <v>0</v>
      </c>
      <c r="E31" s="5">
        <v>-1.2E-2</v>
      </c>
      <c r="F31" s="5">
        <v>2.3E-2</v>
      </c>
      <c r="G31" s="5">
        <v>0.21299999999999999</v>
      </c>
      <c r="H31" s="5">
        <v>0</v>
      </c>
    </row>
    <row r="32" spans="1:8" x14ac:dyDescent="0.25">
      <c r="A32" t="str">
        <f>IF(Input!A33="","",Input!A33)</f>
        <v>Schroder Income Portfolio</v>
      </c>
      <c r="B32" s="7" t="s">
        <v>270</v>
      </c>
      <c r="C32" s="5">
        <v>7.6E-3</v>
      </c>
      <c r="D32" s="5">
        <v>0</v>
      </c>
      <c r="E32" s="5">
        <v>-9.0000000000000011E-3</v>
      </c>
      <c r="F32" s="5">
        <v>1.2E-2</v>
      </c>
      <c r="G32" s="5">
        <v>0.17399999999999999</v>
      </c>
      <c r="H32" s="5">
        <v>0.126</v>
      </c>
    </row>
    <row r="33" spans="1:8" x14ac:dyDescent="0.25">
      <c r="A33" t="str">
        <f>IF(Input!A34="","",Input!A34)</f>
        <v>Schroder Managed Defensive Fund</v>
      </c>
      <c r="B33" s="7" t="s">
        <v>270</v>
      </c>
      <c r="C33" s="5">
        <v>1.9E-3</v>
      </c>
      <c r="D33" s="5">
        <v>0</v>
      </c>
      <c r="E33" s="5">
        <v>-1E-3</v>
      </c>
      <c r="F33" s="5">
        <v>1.8000000000000002E-2</v>
      </c>
      <c r="G33" s="5">
        <v>2E-3</v>
      </c>
      <c r="H33" s="5">
        <v>5.4000000000000006E-2</v>
      </c>
    </row>
    <row r="34" spans="1:8" x14ac:dyDescent="0.25">
      <c r="A34" t="str">
        <f>IF(Input!A35="","",Input!A35)</f>
        <v>Schroder Global Multi-Asset Cautious Portfolio</v>
      </c>
      <c r="B34" s="7" t="s">
        <v>270</v>
      </c>
      <c r="C34" s="5">
        <v>2E-3</v>
      </c>
      <c r="D34" s="5">
        <v>0</v>
      </c>
      <c r="E34" s="5">
        <v>-6.9999999999999993E-3</v>
      </c>
      <c r="F34" s="5">
        <v>0</v>
      </c>
      <c r="G34" s="5">
        <v>-6.9999999999999993E-3</v>
      </c>
      <c r="H34" s="5">
        <v>0.06</v>
      </c>
    </row>
    <row r="35" spans="1:8" x14ac:dyDescent="0.25">
      <c r="A35" t="str">
        <f>IF(Input!A36="","",Input!A36)</f>
        <v>Schroder Global Multi-Asset Moderately Cautious Portfolio</v>
      </c>
      <c r="B35" t="s">
        <v>270</v>
      </c>
      <c r="C35" s="5">
        <v>2E-3</v>
      </c>
      <c r="D35" s="5">
        <v>0</v>
      </c>
      <c r="E35" s="5">
        <v>-0.01</v>
      </c>
      <c r="F35" s="5">
        <v>9.0000000000000011E-3</v>
      </c>
      <c r="G35" s="5">
        <v>4.4999999999999998E-2</v>
      </c>
      <c r="H35" s="5">
        <v>8.5999999999999993E-2</v>
      </c>
    </row>
    <row r="36" spans="1:8" x14ac:dyDescent="0.25">
      <c r="A36" t="str">
        <f>IF(Input!A37="","",Input!A37)</f>
        <v>Schroder Schroder Global Multi-Asset Balanced Portfolio</v>
      </c>
      <c r="B36" t="s">
        <v>270</v>
      </c>
      <c r="C36" s="5">
        <v>2E-3</v>
      </c>
      <c r="D36" s="5">
        <v>0</v>
      </c>
      <c r="E36" s="5">
        <v>-1.1000000000000001E-2</v>
      </c>
      <c r="F36" s="5">
        <v>1.7000000000000001E-2</v>
      </c>
      <c r="G36" s="5">
        <v>8.5999999999999993E-2</v>
      </c>
      <c r="H36" s="5">
        <v>0.114</v>
      </c>
    </row>
    <row r="37" spans="1:8" x14ac:dyDescent="0.25">
      <c r="A37" t="str">
        <f>IF(Input!A38="","",Input!A38)</f>
        <v>Schroder Global Multi-Asset Growth Portfolio</v>
      </c>
      <c r="B37" t="s">
        <v>270</v>
      </c>
      <c r="C37" s="5">
        <v>2E-3</v>
      </c>
      <c r="D37" s="5">
        <v>0</v>
      </c>
      <c r="E37" s="5">
        <v>-1.3000000000000001E-2</v>
      </c>
      <c r="F37" s="5">
        <v>2.7000000000000003E-2</v>
      </c>
      <c r="G37" s="5">
        <v>0.13699999999999998</v>
      </c>
      <c r="H37" s="5">
        <v>0.14599999999999999</v>
      </c>
    </row>
    <row r="38" spans="1:8" x14ac:dyDescent="0.25">
      <c r="A38" t="str">
        <f>IF(Input!A39="","",Input!A39)</f>
        <v>Schroder Global Multi-Asset Adventurous Portfolio</v>
      </c>
      <c r="B38" t="s">
        <v>270</v>
      </c>
      <c r="C38" s="5">
        <v>2E-3</v>
      </c>
      <c r="D38" s="5">
        <v>0</v>
      </c>
      <c r="E38" s="5">
        <v>-1.4999999999999999E-2</v>
      </c>
      <c r="F38" s="5">
        <v>3.7000000000000005E-2</v>
      </c>
      <c r="G38" s="5">
        <v>0.193</v>
      </c>
      <c r="H38" s="5">
        <v>0.183</v>
      </c>
    </row>
    <row r="39" spans="1:8" x14ac:dyDescent="0.25">
      <c r="A39" t="str">
        <f>IF(Input!A40="","",Input!A40)</f>
        <v/>
      </c>
    </row>
    <row r="40" spans="1:8" x14ac:dyDescent="0.25">
      <c r="A40" t="str">
        <f>IF(Input!A41="","",Input!A41)</f>
        <v/>
      </c>
    </row>
    <row r="41" spans="1:8" x14ac:dyDescent="0.25">
      <c r="A41" t="str">
        <f>IF(Input!A42="","",Input!A42)</f>
        <v/>
      </c>
    </row>
    <row r="42" spans="1:8" x14ac:dyDescent="0.25">
      <c r="A42" t="str">
        <f>IF(Input!A43="","",Input!A43)</f>
        <v/>
      </c>
    </row>
    <row r="43" spans="1:8" x14ac:dyDescent="0.25">
      <c r="A43" t="str">
        <f>IF(Input!A44="","",Input!A44)</f>
        <v/>
      </c>
    </row>
    <row r="44" spans="1:8" x14ac:dyDescent="0.25">
      <c r="A44" t="str">
        <f>IF(Input!A45="","",Input!A45)</f>
        <v/>
      </c>
    </row>
    <row r="45" spans="1:8" x14ac:dyDescent="0.25">
      <c r="A45" t="str">
        <f>IF(Input!A46="","",Input!A46)</f>
        <v/>
      </c>
    </row>
    <row r="46" spans="1:8" x14ac:dyDescent="0.25">
      <c r="A46" t="str">
        <f>IF(Input!A47="","",Input!A47)</f>
        <v/>
      </c>
    </row>
    <row r="47" spans="1:8" x14ac:dyDescent="0.25">
      <c r="A47" t="str">
        <f>IF(Input!A48="","",Input!A48)</f>
        <v/>
      </c>
    </row>
    <row r="48" spans="1:8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FF00"/>
  </sheetPr>
  <dimension ref="A1:DU132"/>
  <sheetViews>
    <sheetView workbookViewId="0">
      <selection activeCell="D17" sqref="D17"/>
    </sheetView>
  </sheetViews>
  <sheetFormatPr defaultRowHeight="15" x14ac:dyDescent="0.25"/>
  <cols>
    <col min="1" max="1" width="54.28515625" bestFit="1" customWidth="1"/>
    <col min="2" max="2" width="25.85546875" bestFit="1" customWidth="1"/>
    <col min="3" max="3" width="26.28515625" bestFit="1" customWidth="1"/>
    <col min="4" max="4" width="22.140625" bestFit="1" customWidth="1"/>
    <col min="5" max="5" width="35.5703125" bestFit="1" customWidth="1"/>
    <col min="6" max="6" width="15.5703125" bestFit="1" customWidth="1"/>
    <col min="7" max="7" width="15.140625" bestFit="1" customWidth="1"/>
    <col min="8" max="8" width="23.140625" bestFit="1" customWidth="1"/>
    <col min="9" max="9" width="21.7109375" bestFit="1" customWidth="1"/>
    <col min="10" max="10" width="21.140625" bestFit="1" customWidth="1"/>
    <col min="11" max="11" width="37.7109375" bestFit="1" customWidth="1"/>
    <col min="12" max="12" width="37.28515625" bestFit="1" customWidth="1"/>
    <col min="13" max="13" width="32.5703125" bestFit="1" customWidth="1"/>
    <col min="14" max="14" width="23.5703125" bestFit="1" customWidth="1"/>
    <col min="15" max="15" width="23" bestFit="1" customWidth="1"/>
    <col min="16" max="16" width="28.42578125" bestFit="1" customWidth="1"/>
    <col min="17" max="17" width="22.7109375" bestFit="1" customWidth="1"/>
    <col min="18" max="18" width="33.28515625" bestFit="1" customWidth="1"/>
    <col min="19" max="19" width="22.28515625" bestFit="1" customWidth="1"/>
    <col min="20" max="20" width="22.85546875" bestFit="1" customWidth="1"/>
    <col min="21" max="21" width="22.42578125" bestFit="1" customWidth="1"/>
    <col min="22" max="22" width="16.140625" bestFit="1" customWidth="1"/>
    <col min="23" max="23" width="19.7109375" bestFit="1" customWidth="1"/>
    <col min="24" max="24" width="18.85546875" bestFit="1" customWidth="1"/>
    <col min="25" max="25" width="15.7109375" bestFit="1" customWidth="1"/>
    <col min="26" max="26" width="19.5703125" bestFit="1" customWidth="1"/>
    <col min="27" max="27" width="20.7109375" bestFit="1" customWidth="1"/>
    <col min="28" max="28" width="12.7109375" bestFit="1" customWidth="1"/>
    <col min="29" max="29" width="15.85546875" bestFit="1" customWidth="1"/>
    <col min="30" max="30" width="23" bestFit="1" customWidth="1"/>
    <col min="31" max="31" width="21.5703125" bestFit="1" customWidth="1"/>
    <col min="32" max="32" width="17.5703125" bestFit="1" customWidth="1"/>
    <col min="33" max="33" width="14.140625" bestFit="1" customWidth="1"/>
    <col min="34" max="34" width="24.85546875" bestFit="1" customWidth="1"/>
    <col min="35" max="35" width="23" bestFit="1" customWidth="1"/>
    <col min="36" max="36" width="27.7109375" bestFit="1" customWidth="1"/>
    <col min="37" max="37" width="24.140625" bestFit="1" customWidth="1"/>
    <col min="38" max="38" width="22.5703125" bestFit="1" customWidth="1"/>
    <col min="39" max="39" width="31.42578125" bestFit="1" customWidth="1"/>
    <col min="40" max="40" width="16" bestFit="1" customWidth="1"/>
    <col min="41" max="41" width="13.42578125" bestFit="1" customWidth="1"/>
    <col min="42" max="42" width="12.5703125" bestFit="1" customWidth="1"/>
    <col min="43" max="43" width="19.85546875" bestFit="1" customWidth="1"/>
    <col min="44" max="44" width="19.42578125" bestFit="1" customWidth="1"/>
    <col min="45" max="45" width="18.140625" bestFit="1" customWidth="1"/>
    <col min="46" max="46" width="12.7109375" bestFit="1" customWidth="1"/>
    <col min="47" max="47" width="22" bestFit="1" customWidth="1"/>
    <col min="48" max="48" width="22.28515625" bestFit="1" customWidth="1"/>
    <col min="49" max="49" width="19.7109375" bestFit="1" customWidth="1"/>
    <col min="50" max="50" width="20.42578125" bestFit="1" customWidth="1"/>
    <col min="51" max="51" width="24.28515625" bestFit="1" customWidth="1"/>
    <col min="52" max="52" width="29.28515625" bestFit="1" customWidth="1"/>
    <col min="53" max="53" width="23.140625" bestFit="1" customWidth="1"/>
    <col min="54" max="54" width="25.85546875" bestFit="1" customWidth="1"/>
    <col min="55" max="55" width="16" bestFit="1" customWidth="1"/>
    <col min="56" max="56" width="13.140625" bestFit="1" customWidth="1"/>
    <col min="57" max="57" width="22.85546875" bestFit="1" customWidth="1"/>
    <col min="58" max="58" width="18.42578125" bestFit="1" customWidth="1"/>
    <col min="59" max="59" width="16.7109375" bestFit="1" customWidth="1"/>
    <col min="60" max="60" width="16.42578125" bestFit="1" customWidth="1"/>
    <col min="61" max="61" width="12.140625" bestFit="1" customWidth="1"/>
    <col min="62" max="63" width="17" bestFit="1" customWidth="1"/>
    <col min="64" max="64" width="17.42578125" bestFit="1" customWidth="1"/>
    <col min="65" max="65" width="14.140625" bestFit="1" customWidth="1"/>
  </cols>
  <sheetData>
    <row r="1" spans="1:125" x14ac:dyDescent="0.25">
      <c r="B1" t="s">
        <v>149</v>
      </c>
      <c r="C1" s="5" t="s">
        <v>150</v>
      </c>
      <c r="D1" s="5" t="s">
        <v>151</v>
      </c>
      <c r="E1" s="5" t="s">
        <v>152</v>
      </c>
      <c r="F1" s="5" t="s">
        <v>153</v>
      </c>
      <c r="G1" s="5" t="s">
        <v>154</v>
      </c>
      <c r="H1" s="5" t="s">
        <v>155</v>
      </c>
      <c r="I1" s="5" t="s">
        <v>156</v>
      </c>
      <c r="J1" s="5" t="s">
        <v>157</v>
      </c>
      <c r="K1" s="5" t="s">
        <v>158</v>
      </c>
      <c r="L1" s="5" t="s">
        <v>159</v>
      </c>
      <c r="M1" s="5" t="s">
        <v>160</v>
      </c>
      <c r="N1" s="5" t="s">
        <v>161</v>
      </c>
      <c r="O1" s="5" t="s">
        <v>162</v>
      </c>
      <c r="P1" s="5" t="s">
        <v>163</v>
      </c>
      <c r="Q1" s="5" t="s">
        <v>164</v>
      </c>
      <c r="R1" s="5" t="s">
        <v>165</v>
      </c>
      <c r="S1" s="5" t="s">
        <v>166</v>
      </c>
      <c r="T1" s="5" t="s">
        <v>167</v>
      </c>
      <c r="U1" s="5" t="s">
        <v>168</v>
      </c>
      <c r="V1" s="5" t="s">
        <v>169</v>
      </c>
      <c r="W1" s="5" t="s">
        <v>170</v>
      </c>
      <c r="X1" s="5" t="s">
        <v>171</v>
      </c>
      <c r="Y1" s="5" t="s">
        <v>172</v>
      </c>
      <c r="Z1" t="s">
        <v>173</v>
      </c>
      <c r="AA1" t="s">
        <v>174</v>
      </c>
      <c r="AB1" s="5" t="s">
        <v>175</v>
      </c>
      <c r="AC1" s="5" t="s">
        <v>176</v>
      </c>
      <c r="AD1" t="s">
        <v>177</v>
      </c>
      <c r="AE1" t="s">
        <v>178</v>
      </c>
      <c r="AF1" t="s">
        <v>179</v>
      </c>
      <c r="AG1" t="s">
        <v>180</v>
      </c>
      <c r="AH1" t="s">
        <v>181</v>
      </c>
      <c r="AI1" s="5" t="s">
        <v>182</v>
      </c>
      <c r="AJ1" t="s">
        <v>183</v>
      </c>
      <c r="AK1" t="s">
        <v>184</v>
      </c>
      <c r="AL1" t="s">
        <v>185</v>
      </c>
      <c r="AM1" t="s">
        <v>186</v>
      </c>
      <c r="AN1" t="s">
        <v>187</v>
      </c>
      <c r="AO1" t="s">
        <v>188</v>
      </c>
      <c r="AP1" t="s">
        <v>189</v>
      </c>
      <c r="AQ1" t="s">
        <v>190</v>
      </c>
      <c r="AR1" t="s">
        <v>191</v>
      </c>
      <c r="AS1" t="s">
        <v>192</v>
      </c>
      <c r="AT1" t="s">
        <v>193</v>
      </c>
      <c r="AU1" t="s">
        <v>194</v>
      </c>
      <c r="AV1" t="s">
        <v>195</v>
      </c>
      <c r="AW1" t="s">
        <v>196</v>
      </c>
      <c r="AX1" t="s">
        <v>197</v>
      </c>
      <c r="AY1" t="s">
        <v>198</v>
      </c>
      <c r="AZ1" t="s">
        <v>199</v>
      </c>
      <c r="BA1" t="s">
        <v>200</v>
      </c>
      <c r="BB1" t="s">
        <v>201</v>
      </c>
      <c r="BC1" t="s">
        <v>202</v>
      </c>
      <c r="BD1" t="s">
        <v>203</v>
      </c>
      <c r="BE1" t="s">
        <v>204</v>
      </c>
      <c r="BF1" t="s">
        <v>205</v>
      </c>
      <c r="BG1" t="s">
        <v>206</v>
      </c>
      <c r="BH1" t="s">
        <v>207</v>
      </c>
      <c r="BI1" t="s">
        <v>208</v>
      </c>
      <c r="BJ1" t="s">
        <v>209</v>
      </c>
      <c r="BK1" t="s">
        <v>210</v>
      </c>
      <c r="BL1" t="s">
        <v>211</v>
      </c>
      <c r="BM1" t="s">
        <v>212</v>
      </c>
      <c r="BN1" t="s">
        <v>216</v>
      </c>
      <c r="BO1" t="s">
        <v>217</v>
      </c>
      <c r="BP1" t="s">
        <v>218</v>
      </c>
      <c r="BQ1" t="s">
        <v>219</v>
      </c>
      <c r="BR1" t="s">
        <v>220</v>
      </c>
      <c r="BS1" t="s">
        <v>221</v>
      </c>
      <c r="BT1" t="s">
        <v>222</v>
      </c>
      <c r="BU1" t="s">
        <v>223</v>
      </c>
      <c r="BV1" t="s">
        <v>224</v>
      </c>
      <c r="BW1" t="s">
        <v>225</v>
      </c>
      <c r="BX1" t="s">
        <v>226</v>
      </c>
      <c r="BY1" t="s">
        <v>227</v>
      </c>
      <c r="BZ1" t="s">
        <v>228</v>
      </c>
      <c r="CA1" t="s">
        <v>229</v>
      </c>
      <c r="CB1" t="s">
        <v>230</v>
      </c>
      <c r="CC1" t="s">
        <v>231</v>
      </c>
      <c r="CD1" t="s">
        <v>232</v>
      </c>
      <c r="CE1" t="s">
        <v>233</v>
      </c>
      <c r="CF1" t="s">
        <v>1</v>
      </c>
      <c r="CG1" t="s">
        <v>234</v>
      </c>
      <c r="CH1" t="s">
        <v>235</v>
      </c>
      <c r="CI1" t="s">
        <v>236</v>
      </c>
      <c r="CJ1" t="s">
        <v>8</v>
      </c>
      <c r="CK1" t="s">
        <v>237</v>
      </c>
      <c r="CL1" t="s">
        <v>20</v>
      </c>
      <c r="CM1" t="s">
        <v>238</v>
      </c>
      <c r="CN1" t="s">
        <v>7</v>
      </c>
      <c r="CO1" t="s">
        <v>239</v>
      </c>
      <c r="CP1" t="s">
        <v>240</v>
      </c>
      <c r="CQ1" t="s">
        <v>241</v>
      </c>
      <c r="CR1" t="s">
        <v>242</v>
      </c>
      <c r="CS1" t="s">
        <v>243</v>
      </c>
      <c r="CT1" t="s">
        <v>244</v>
      </c>
      <c r="CU1" t="s">
        <v>245</v>
      </c>
      <c r="CV1" t="s">
        <v>246</v>
      </c>
      <c r="CW1" t="s">
        <v>247</v>
      </c>
      <c r="CX1" t="s">
        <v>248</v>
      </c>
      <c r="CY1" t="s">
        <v>249</v>
      </c>
      <c r="CZ1" t="s">
        <v>250</v>
      </c>
      <c r="DA1" t="s">
        <v>251</v>
      </c>
      <c r="DB1" t="s">
        <v>252</v>
      </c>
      <c r="DC1" t="s">
        <v>253</v>
      </c>
      <c r="DD1" t="s">
        <v>254</v>
      </c>
      <c r="DE1" t="s">
        <v>255</v>
      </c>
      <c r="DF1" t="s">
        <v>256</v>
      </c>
      <c r="DG1" t="s">
        <v>257</v>
      </c>
      <c r="DH1" t="s">
        <v>258</v>
      </c>
      <c r="DI1" t="s">
        <v>259</v>
      </c>
      <c r="DJ1" t="s">
        <v>260</v>
      </c>
      <c r="DK1" t="s">
        <v>261</v>
      </c>
      <c r="DL1" t="s">
        <v>262</v>
      </c>
      <c r="DM1" t="s">
        <v>263</v>
      </c>
      <c r="DN1" t="s">
        <v>264</v>
      </c>
      <c r="DO1" t="s">
        <v>265</v>
      </c>
      <c r="DP1" t="s">
        <v>266</v>
      </c>
      <c r="DQ1" t="s">
        <v>267</v>
      </c>
      <c r="DR1" t="s">
        <v>268</v>
      </c>
      <c r="DS1" t="s">
        <v>5</v>
      </c>
      <c r="DT1" t="s">
        <v>269</v>
      </c>
      <c r="DU1" t="s">
        <v>4</v>
      </c>
    </row>
    <row r="2" spans="1:125" x14ac:dyDescent="0.25">
      <c r="A2" t="str">
        <f>IF(Input!A3="","",Input!A3)</f>
        <v>Schroder Active Portfolio 2</v>
      </c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T2" s="5"/>
      <c r="U2" s="5"/>
      <c r="V2" s="5"/>
      <c r="BN2" s="5">
        <v>0</v>
      </c>
      <c r="BO2" s="5">
        <v>0</v>
      </c>
      <c r="BP2" s="5">
        <v>0</v>
      </c>
      <c r="BQ2" s="5">
        <v>0</v>
      </c>
      <c r="BR2" s="5">
        <v>0</v>
      </c>
      <c r="BS2" s="5">
        <v>0</v>
      </c>
      <c r="BT2" s="5">
        <v>0</v>
      </c>
      <c r="BU2" s="5">
        <v>0</v>
      </c>
      <c r="BV2" s="5">
        <v>0</v>
      </c>
      <c r="BW2" s="5">
        <v>0</v>
      </c>
      <c r="BX2" s="5">
        <v>0</v>
      </c>
      <c r="BY2" s="5">
        <v>0</v>
      </c>
      <c r="BZ2" s="5">
        <v>0</v>
      </c>
      <c r="CA2" s="5">
        <v>0</v>
      </c>
      <c r="CB2" s="5">
        <v>0</v>
      </c>
      <c r="CC2" s="5">
        <v>0</v>
      </c>
      <c r="CD2" s="5">
        <v>0</v>
      </c>
      <c r="CE2" s="5">
        <v>0</v>
      </c>
      <c r="CF2" s="5">
        <v>0</v>
      </c>
      <c r="CG2" s="5">
        <v>0</v>
      </c>
      <c r="CH2" s="5">
        <v>0</v>
      </c>
      <c r="CI2" s="5">
        <v>0</v>
      </c>
      <c r="CJ2" s="5">
        <v>0</v>
      </c>
      <c r="CK2" s="5">
        <v>0</v>
      </c>
      <c r="CL2" s="5">
        <v>0</v>
      </c>
      <c r="CM2" s="5">
        <v>0</v>
      </c>
      <c r="CN2" s="5">
        <v>0</v>
      </c>
      <c r="CO2" s="5">
        <v>0</v>
      </c>
      <c r="CP2" s="5">
        <v>0</v>
      </c>
      <c r="CQ2" s="5">
        <v>0</v>
      </c>
      <c r="CR2" s="5">
        <v>0</v>
      </c>
      <c r="CS2" s="5">
        <v>0</v>
      </c>
      <c r="CT2" s="5">
        <v>0</v>
      </c>
      <c r="CU2" s="5">
        <v>0</v>
      </c>
      <c r="CV2" s="5">
        <v>0</v>
      </c>
      <c r="CW2" s="5">
        <v>0</v>
      </c>
      <c r="CX2" s="5">
        <v>0</v>
      </c>
      <c r="CY2" s="5">
        <v>0</v>
      </c>
      <c r="CZ2" s="5">
        <v>0</v>
      </c>
      <c r="DA2" s="5">
        <v>0</v>
      </c>
      <c r="DB2" s="5">
        <v>0</v>
      </c>
      <c r="DC2" s="5">
        <v>0</v>
      </c>
      <c r="DD2" s="5">
        <v>0</v>
      </c>
      <c r="DE2" s="5">
        <v>0</v>
      </c>
      <c r="DF2" s="5">
        <v>0</v>
      </c>
      <c r="DG2" s="5">
        <v>0</v>
      </c>
      <c r="DH2" s="5">
        <v>0</v>
      </c>
      <c r="DI2" s="5">
        <v>0</v>
      </c>
      <c r="DJ2" s="5">
        <v>0</v>
      </c>
      <c r="DK2" s="5">
        <v>0</v>
      </c>
      <c r="DL2" s="5">
        <v>0</v>
      </c>
      <c r="DM2" s="5">
        <v>0</v>
      </c>
      <c r="DN2" s="5">
        <v>0</v>
      </c>
      <c r="DO2" s="5">
        <v>0</v>
      </c>
      <c r="DP2" s="5">
        <v>0</v>
      </c>
      <c r="DQ2" s="5">
        <v>0</v>
      </c>
      <c r="DR2" s="5">
        <v>0</v>
      </c>
      <c r="DS2" s="5">
        <v>0</v>
      </c>
      <c r="DT2" s="5">
        <v>0</v>
      </c>
      <c r="DU2" s="5">
        <v>0</v>
      </c>
    </row>
    <row r="3" spans="1:125" x14ac:dyDescent="0.25">
      <c r="A3" t="str">
        <f>IF(Input!A4="","",Input!A4)</f>
        <v>Schroder Active Portfolio 3</v>
      </c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BN3" s="5">
        <v>0</v>
      </c>
      <c r="BO3" s="5">
        <v>0</v>
      </c>
      <c r="BP3" s="5">
        <v>0</v>
      </c>
      <c r="BQ3" s="5">
        <v>0</v>
      </c>
      <c r="BR3" s="5">
        <v>0</v>
      </c>
      <c r="BS3" s="5">
        <v>0</v>
      </c>
      <c r="BT3" s="5">
        <v>0</v>
      </c>
      <c r="BU3" s="5">
        <v>0</v>
      </c>
      <c r="BV3" s="5">
        <v>0</v>
      </c>
      <c r="BW3" s="5">
        <v>0</v>
      </c>
      <c r="BX3" s="5">
        <v>0</v>
      </c>
      <c r="BY3" s="5">
        <v>0</v>
      </c>
      <c r="BZ3" s="5">
        <v>0</v>
      </c>
      <c r="CA3" s="5">
        <v>0</v>
      </c>
      <c r="CB3" s="5">
        <v>0</v>
      </c>
      <c r="CC3" s="5">
        <v>0</v>
      </c>
      <c r="CD3" s="5">
        <v>0</v>
      </c>
      <c r="CE3" s="5">
        <v>0</v>
      </c>
      <c r="CF3" s="5">
        <v>0</v>
      </c>
      <c r="CG3" s="5">
        <v>0</v>
      </c>
      <c r="CH3" s="5">
        <v>0</v>
      </c>
      <c r="CI3" s="5">
        <v>0</v>
      </c>
      <c r="CJ3" s="5">
        <v>0</v>
      </c>
      <c r="CK3" s="5">
        <v>0</v>
      </c>
      <c r="CL3" s="5">
        <v>0</v>
      </c>
      <c r="CM3" s="5">
        <v>0</v>
      </c>
      <c r="CN3" s="5">
        <v>0</v>
      </c>
      <c r="CO3" s="5">
        <v>0</v>
      </c>
      <c r="CP3" s="5">
        <v>0</v>
      </c>
      <c r="CQ3" s="5">
        <v>0</v>
      </c>
      <c r="CR3" s="5">
        <v>0</v>
      </c>
      <c r="CS3" s="5">
        <v>0</v>
      </c>
      <c r="CT3" s="5">
        <v>0</v>
      </c>
      <c r="CU3" s="5">
        <v>0</v>
      </c>
      <c r="CV3" s="5">
        <v>0</v>
      </c>
      <c r="CW3" s="5">
        <v>0</v>
      </c>
      <c r="CX3" s="5">
        <v>0</v>
      </c>
      <c r="CY3" s="5">
        <v>0</v>
      </c>
      <c r="CZ3" s="5">
        <v>0</v>
      </c>
      <c r="DA3" s="5">
        <v>0</v>
      </c>
      <c r="DB3" s="5">
        <v>0</v>
      </c>
      <c r="DC3" s="5">
        <v>0</v>
      </c>
      <c r="DD3" s="5">
        <v>0</v>
      </c>
      <c r="DE3" s="5">
        <v>0</v>
      </c>
      <c r="DF3" s="5">
        <v>0</v>
      </c>
      <c r="DG3" s="5">
        <v>0</v>
      </c>
      <c r="DH3" s="5">
        <v>0</v>
      </c>
      <c r="DI3" s="5">
        <v>0</v>
      </c>
      <c r="DJ3" s="5">
        <v>0</v>
      </c>
      <c r="DK3" s="5">
        <v>0</v>
      </c>
      <c r="DL3" s="5">
        <v>0</v>
      </c>
      <c r="DM3" s="5">
        <v>0</v>
      </c>
      <c r="DN3" s="5">
        <v>0</v>
      </c>
      <c r="DO3" s="5">
        <v>0</v>
      </c>
      <c r="DP3" s="5">
        <v>0</v>
      </c>
      <c r="DQ3" s="5">
        <v>0</v>
      </c>
      <c r="DR3" s="5">
        <v>0</v>
      </c>
      <c r="DS3" s="5">
        <v>0</v>
      </c>
      <c r="DT3" s="5">
        <v>0</v>
      </c>
      <c r="DU3" s="5">
        <v>0</v>
      </c>
    </row>
    <row r="4" spans="1:125" x14ac:dyDescent="0.25">
      <c r="A4" t="str">
        <f>IF(Input!A5="","",Input!A5)</f>
        <v>Schroder Active Portfolio 4</v>
      </c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BN4" s="5">
        <v>0</v>
      </c>
      <c r="BO4" s="5">
        <v>0</v>
      </c>
      <c r="BP4" s="5">
        <v>0</v>
      </c>
      <c r="BQ4" s="5">
        <v>0</v>
      </c>
      <c r="BR4" s="5">
        <v>0</v>
      </c>
      <c r="BS4" s="5">
        <v>0</v>
      </c>
      <c r="BT4" s="5">
        <v>0</v>
      </c>
      <c r="BU4" s="5">
        <v>0</v>
      </c>
      <c r="BV4" s="5">
        <v>0</v>
      </c>
      <c r="BW4" s="5">
        <v>0</v>
      </c>
      <c r="BX4" s="5">
        <v>0</v>
      </c>
      <c r="BY4" s="5">
        <v>0</v>
      </c>
      <c r="BZ4" s="5">
        <v>0</v>
      </c>
      <c r="CA4" s="5">
        <v>0</v>
      </c>
      <c r="CB4" s="5">
        <v>0</v>
      </c>
      <c r="CC4" s="5">
        <v>0</v>
      </c>
      <c r="CD4" s="5">
        <v>0</v>
      </c>
      <c r="CE4" s="5">
        <v>0</v>
      </c>
      <c r="CF4" s="5">
        <v>0</v>
      </c>
      <c r="CG4" s="5">
        <v>0</v>
      </c>
      <c r="CH4" s="5">
        <v>0</v>
      </c>
      <c r="CI4" s="5">
        <v>0</v>
      </c>
      <c r="CJ4" s="5">
        <v>0</v>
      </c>
      <c r="CK4" s="5">
        <v>0</v>
      </c>
      <c r="CL4" s="5">
        <v>0</v>
      </c>
      <c r="CM4" s="5">
        <v>0</v>
      </c>
      <c r="CN4" s="5">
        <v>0</v>
      </c>
      <c r="CO4" s="5">
        <v>0</v>
      </c>
      <c r="CP4" s="5">
        <v>0</v>
      </c>
      <c r="CQ4" s="5">
        <v>0</v>
      </c>
      <c r="CR4" s="5">
        <v>0</v>
      </c>
      <c r="CS4" s="5">
        <v>0</v>
      </c>
      <c r="CT4" s="5">
        <v>0</v>
      </c>
      <c r="CU4" s="5">
        <v>0</v>
      </c>
      <c r="CV4" s="5">
        <v>0</v>
      </c>
      <c r="CW4" s="5">
        <v>0</v>
      </c>
      <c r="CX4" s="5">
        <v>0</v>
      </c>
      <c r="CY4" s="5">
        <v>0</v>
      </c>
      <c r="CZ4" s="5">
        <v>0</v>
      </c>
      <c r="DA4" s="5">
        <v>0</v>
      </c>
      <c r="DB4" s="5">
        <v>0</v>
      </c>
      <c r="DC4" s="5">
        <v>0</v>
      </c>
      <c r="DD4" s="5">
        <v>0</v>
      </c>
      <c r="DE4" s="5">
        <v>0</v>
      </c>
      <c r="DF4" s="5">
        <v>0</v>
      </c>
      <c r="DG4" s="5">
        <v>0</v>
      </c>
      <c r="DH4" s="5">
        <v>0</v>
      </c>
      <c r="DI4" s="5">
        <v>0</v>
      </c>
      <c r="DJ4" s="5">
        <v>0</v>
      </c>
      <c r="DK4" s="5">
        <v>0</v>
      </c>
      <c r="DL4" s="5">
        <v>0</v>
      </c>
      <c r="DM4" s="5">
        <v>0</v>
      </c>
      <c r="DN4" s="5">
        <v>0</v>
      </c>
      <c r="DO4" s="5">
        <v>0</v>
      </c>
      <c r="DP4" s="5">
        <v>0</v>
      </c>
      <c r="DQ4" s="5">
        <v>0</v>
      </c>
      <c r="DR4" s="5">
        <v>0</v>
      </c>
      <c r="DS4" s="5">
        <v>0</v>
      </c>
      <c r="DT4" s="5">
        <v>0</v>
      </c>
      <c r="DU4" s="5">
        <v>0</v>
      </c>
    </row>
    <row r="5" spans="1:125" x14ac:dyDescent="0.25">
      <c r="A5" t="str">
        <f>IF(Input!A6="","",Input!A6)</f>
        <v>Schroder Active Portfolio 5</v>
      </c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BN5" s="5">
        <v>0</v>
      </c>
      <c r="BO5" s="5">
        <v>0</v>
      </c>
      <c r="BP5" s="5">
        <v>0</v>
      </c>
      <c r="BQ5" s="5">
        <v>0</v>
      </c>
      <c r="BR5" s="5">
        <v>0</v>
      </c>
      <c r="BS5" s="5">
        <v>0</v>
      </c>
      <c r="BT5" s="5">
        <v>0</v>
      </c>
      <c r="BU5" s="5">
        <v>0</v>
      </c>
      <c r="BV5" s="5">
        <v>0</v>
      </c>
      <c r="BW5" s="5">
        <v>0</v>
      </c>
      <c r="BX5" s="5">
        <v>0</v>
      </c>
      <c r="BY5" s="5">
        <v>0</v>
      </c>
      <c r="BZ5" s="5">
        <v>0</v>
      </c>
      <c r="CA5" s="5">
        <v>0</v>
      </c>
      <c r="CB5" s="5">
        <v>0</v>
      </c>
      <c r="CC5" s="5">
        <v>0</v>
      </c>
      <c r="CD5" s="5">
        <v>0</v>
      </c>
      <c r="CE5" s="5">
        <v>0</v>
      </c>
      <c r="CF5" s="5">
        <v>0</v>
      </c>
      <c r="CG5" s="5">
        <v>0</v>
      </c>
      <c r="CH5" s="5">
        <v>0</v>
      </c>
      <c r="CI5" s="5">
        <v>0</v>
      </c>
      <c r="CJ5" s="5">
        <v>0</v>
      </c>
      <c r="CK5" s="5">
        <v>0</v>
      </c>
      <c r="CL5" s="5">
        <v>0</v>
      </c>
      <c r="CM5" s="5">
        <v>0</v>
      </c>
      <c r="CN5" s="5">
        <v>0</v>
      </c>
      <c r="CO5" s="5">
        <v>0</v>
      </c>
      <c r="CP5" s="5">
        <v>0</v>
      </c>
      <c r="CQ5" s="5">
        <v>0</v>
      </c>
      <c r="CR5" s="5">
        <v>0</v>
      </c>
      <c r="CS5" s="5">
        <v>0</v>
      </c>
      <c r="CT5" s="5">
        <v>0</v>
      </c>
      <c r="CU5" s="5">
        <v>0</v>
      </c>
      <c r="CV5" s="5">
        <v>0</v>
      </c>
      <c r="CW5" s="5">
        <v>0</v>
      </c>
      <c r="CX5" s="5">
        <v>0</v>
      </c>
      <c r="CY5" s="5">
        <v>0</v>
      </c>
      <c r="CZ5" s="5">
        <v>0</v>
      </c>
      <c r="DA5" s="5">
        <v>0</v>
      </c>
      <c r="DB5" s="5">
        <v>0</v>
      </c>
      <c r="DC5" s="5">
        <v>0</v>
      </c>
      <c r="DD5" s="5">
        <v>0</v>
      </c>
      <c r="DE5" s="5">
        <v>0</v>
      </c>
      <c r="DF5" s="5">
        <v>0</v>
      </c>
      <c r="DG5" s="5">
        <v>0</v>
      </c>
      <c r="DH5" s="5">
        <v>0</v>
      </c>
      <c r="DI5" s="5">
        <v>0</v>
      </c>
      <c r="DJ5" s="5">
        <v>0</v>
      </c>
      <c r="DK5" s="5">
        <v>0</v>
      </c>
      <c r="DL5" s="5">
        <v>0</v>
      </c>
      <c r="DM5" s="5">
        <v>0</v>
      </c>
      <c r="DN5" s="5">
        <v>0</v>
      </c>
      <c r="DO5" s="5">
        <v>0</v>
      </c>
      <c r="DP5" s="5">
        <v>0</v>
      </c>
      <c r="DQ5" s="5">
        <v>0</v>
      </c>
      <c r="DR5" s="5">
        <v>0</v>
      </c>
      <c r="DS5" s="5">
        <v>0</v>
      </c>
      <c r="DT5" s="5">
        <v>0</v>
      </c>
      <c r="DU5" s="5">
        <v>0</v>
      </c>
    </row>
    <row r="6" spans="1:125" x14ac:dyDescent="0.25">
      <c r="A6" t="str">
        <f>IF(Input!A7="","",Input!A7)</f>
        <v>Schroder Active Portfolio 6</v>
      </c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BN6" s="5">
        <v>0</v>
      </c>
      <c r="BO6" s="5">
        <v>0</v>
      </c>
      <c r="BP6" s="5">
        <v>0</v>
      </c>
      <c r="BQ6" s="5">
        <v>0</v>
      </c>
      <c r="BR6" s="5">
        <v>0</v>
      </c>
      <c r="BS6" s="5">
        <v>0</v>
      </c>
      <c r="BT6" s="5">
        <v>0</v>
      </c>
      <c r="BU6" s="5">
        <v>0</v>
      </c>
      <c r="BV6" s="5">
        <v>0</v>
      </c>
      <c r="BW6" s="5">
        <v>0</v>
      </c>
      <c r="BX6" s="5">
        <v>0</v>
      </c>
      <c r="BY6" s="5">
        <v>0</v>
      </c>
      <c r="BZ6" s="5">
        <v>0</v>
      </c>
      <c r="CA6" s="5">
        <v>0</v>
      </c>
      <c r="CB6" s="5">
        <v>0</v>
      </c>
      <c r="CC6" s="5">
        <v>0</v>
      </c>
      <c r="CD6" s="5">
        <v>0</v>
      </c>
      <c r="CE6" s="5">
        <v>0</v>
      </c>
      <c r="CF6" s="5">
        <v>0</v>
      </c>
      <c r="CG6" s="5">
        <v>0</v>
      </c>
      <c r="CH6" s="5">
        <v>0</v>
      </c>
      <c r="CI6" s="5">
        <v>0</v>
      </c>
      <c r="CJ6" s="5">
        <v>0</v>
      </c>
      <c r="CK6" s="5">
        <v>0</v>
      </c>
      <c r="CL6" s="5">
        <v>0</v>
      </c>
      <c r="CM6" s="5">
        <v>0</v>
      </c>
      <c r="CN6" s="5">
        <v>0</v>
      </c>
      <c r="CO6" s="5">
        <v>0</v>
      </c>
      <c r="CP6" s="5">
        <v>0</v>
      </c>
      <c r="CQ6" s="5">
        <v>0</v>
      </c>
      <c r="CR6" s="5">
        <v>0</v>
      </c>
      <c r="CS6" s="5">
        <v>0</v>
      </c>
      <c r="CT6" s="5">
        <v>0</v>
      </c>
      <c r="CU6" s="5">
        <v>0</v>
      </c>
      <c r="CV6" s="5">
        <v>0</v>
      </c>
      <c r="CW6" s="5">
        <v>0</v>
      </c>
      <c r="CX6" s="5">
        <v>0</v>
      </c>
      <c r="CY6" s="5">
        <v>0</v>
      </c>
      <c r="CZ6" s="5">
        <v>0</v>
      </c>
      <c r="DA6" s="5">
        <v>0</v>
      </c>
      <c r="DB6" s="5">
        <v>0</v>
      </c>
      <c r="DC6" s="5">
        <v>0</v>
      </c>
      <c r="DD6" s="5">
        <v>0</v>
      </c>
      <c r="DE6" s="5">
        <v>0</v>
      </c>
      <c r="DF6" s="5">
        <v>0</v>
      </c>
      <c r="DG6" s="5">
        <v>0</v>
      </c>
      <c r="DH6" s="5">
        <v>0</v>
      </c>
      <c r="DI6" s="5">
        <v>0</v>
      </c>
      <c r="DJ6" s="5">
        <v>0</v>
      </c>
      <c r="DK6" s="5">
        <v>0</v>
      </c>
      <c r="DL6" s="5">
        <v>0</v>
      </c>
      <c r="DM6" s="5">
        <v>0</v>
      </c>
      <c r="DN6" s="5">
        <v>0</v>
      </c>
      <c r="DO6" s="5">
        <v>0</v>
      </c>
      <c r="DP6" s="5">
        <v>0</v>
      </c>
      <c r="DQ6" s="5">
        <v>0</v>
      </c>
      <c r="DR6" s="5">
        <v>0</v>
      </c>
      <c r="DS6" s="5">
        <v>0</v>
      </c>
      <c r="DT6" s="5">
        <v>0</v>
      </c>
      <c r="DU6" s="5">
        <v>0</v>
      </c>
    </row>
    <row r="7" spans="1:125" x14ac:dyDescent="0.25">
      <c r="A7" t="str">
        <f>IF(Input!A8="","",Input!A8)</f>
        <v>Schroder Active Portfolio 7</v>
      </c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AD7" s="5"/>
      <c r="BN7" s="5">
        <v>0</v>
      </c>
      <c r="BO7" s="5">
        <v>0</v>
      </c>
      <c r="BP7" s="5">
        <v>0</v>
      </c>
      <c r="BQ7" s="5">
        <v>0</v>
      </c>
      <c r="BR7" s="5">
        <v>0</v>
      </c>
      <c r="BS7" s="5">
        <v>0</v>
      </c>
      <c r="BT7" s="5">
        <v>0</v>
      </c>
      <c r="BU7" s="5">
        <v>0</v>
      </c>
      <c r="BV7" s="5">
        <v>0</v>
      </c>
      <c r="BW7" s="5">
        <v>0</v>
      </c>
      <c r="BX7" s="5">
        <v>0</v>
      </c>
      <c r="BY7" s="5">
        <v>0</v>
      </c>
      <c r="BZ7" s="5">
        <v>0</v>
      </c>
      <c r="CA7" s="5">
        <v>0</v>
      </c>
      <c r="CB7" s="5">
        <v>0</v>
      </c>
      <c r="CC7" s="5">
        <v>0</v>
      </c>
      <c r="CD7" s="5">
        <v>0</v>
      </c>
      <c r="CE7" s="5">
        <v>0</v>
      </c>
      <c r="CF7" s="5">
        <v>0</v>
      </c>
      <c r="CG7" s="5">
        <v>0</v>
      </c>
      <c r="CH7" s="5">
        <v>0</v>
      </c>
      <c r="CI7" s="5">
        <v>0</v>
      </c>
      <c r="CJ7" s="5">
        <v>0</v>
      </c>
      <c r="CK7" s="5">
        <v>0</v>
      </c>
      <c r="CL7" s="5">
        <v>0</v>
      </c>
      <c r="CM7" s="5">
        <v>0</v>
      </c>
      <c r="CN7" s="5">
        <v>0</v>
      </c>
      <c r="CO7" s="5">
        <v>0</v>
      </c>
      <c r="CP7" s="5">
        <v>0</v>
      </c>
      <c r="CQ7" s="5">
        <v>0</v>
      </c>
      <c r="CR7" s="5">
        <v>0</v>
      </c>
      <c r="CS7" s="5">
        <v>0</v>
      </c>
      <c r="CT7" s="5">
        <v>0</v>
      </c>
      <c r="CU7" s="5">
        <v>0</v>
      </c>
      <c r="CV7" s="5">
        <v>0</v>
      </c>
      <c r="CW7" s="5">
        <v>0</v>
      </c>
      <c r="CX7" s="5">
        <v>0</v>
      </c>
      <c r="CY7" s="5">
        <v>0</v>
      </c>
      <c r="CZ7" s="5">
        <v>0</v>
      </c>
      <c r="DA7" s="5">
        <v>0</v>
      </c>
      <c r="DB7" s="5">
        <v>0</v>
      </c>
      <c r="DC7" s="5">
        <v>0</v>
      </c>
      <c r="DD7" s="5">
        <v>0</v>
      </c>
      <c r="DE7" s="5">
        <v>0</v>
      </c>
      <c r="DF7" s="5">
        <v>0</v>
      </c>
      <c r="DG7" s="5">
        <v>0</v>
      </c>
      <c r="DH7" s="5">
        <v>0</v>
      </c>
      <c r="DI7" s="5">
        <v>0</v>
      </c>
      <c r="DJ7" s="5">
        <v>0</v>
      </c>
      <c r="DK7" s="5">
        <v>0</v>
      </c>
      <c r="DL7" s="5">
        <v>0</v>
      </c>
      <c r="DM7" s="5">
        <v>0</v>
      </c>
      <c r="DN7" s="5">
        <v>0</v>
      </c>
      <c r="DO7" s="5">
        <v>0</v>
      </c>
      <c r="DP7" s="5">
        <v>0</v>
      </c>
      <c r="DQ7" s="5">
        <v>0</v>
      </c>
      <c r="DR7" s="5">
        <v>0</v>
      </c>
      <c r="DS7" s="5">
        <v>0</v>
      </c>
      <c r="DT7" s="5">
        <v>0</v>
      </c>
      <c r="DU7" s="5">
        <v>0</v>
      </c>
    </row>
    <row r="8" spans="1:125" x14ac:dyDescent="0.25">
      <c r="A8" t="str">
        <f>IF(Input!A9="","",Input!A9)</f>
        <v>Schroder Active Portfolio 8</v>
      </c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BN8" s="5">
        <v>0</v>
      </c>
      <c r="BO8" s="5">
        <v>0</v>
      </c>
      <c r="BP8" s="5">
        <v>0</v>
      </c>
      <c r="BQ8" s="5">
        <v>0</v>
      </c>
      <c r="BR8" s="5">
        <v>0</v>
      </c>
      <c r="BS8" s="5">
        <v>0</v>
      </c>
      <c r="BT8" s="5">
        <v>0</v>
      </c>
      <c r="BU8" s="5">
        <v>0</v>
      </c>
      <c r="BV8" s="5">
        <v>0</v>
      </c>
      <c r="BW8" s="5">
        <v>0</v>
      </c>
      <c r="BX8" s="5">
        <v>0</v>
      </c>
      <c r="BY8" s="5">
        <v>0</v>
      </c>
      <c r="BZ8" s="5">
        <v>0</v>
      </c>
      <c r="CA8" s="5">
        <v>0</v>
      </c>
      <c r="CB8" s="5">
        <v>0</v>
      </c>
      <c r="CC8" s="5">
        <v>0</v>
      </c>
      <c r="CD8" s="5">
        <v>0</v>
      </c>
      <c r="CE8" s="5">
        <v>0</v>
      </c>
      <c r="CF8" s="5">
        <v>0</v>
      </c>
      <c r="CG8" s="5">
        <v>0</v>
      </c>
      <c r="CH8" s="5">
        <v>0</v>
      </c>
      <c r="CI8" s="5">
        <v>0</v>
      </c>
      <c r="CJ8" s="5">
        <v>0</v>
      </c>
      <c r="CK8" s="5">
        <v>0</v>
      </c>
      <c r="CL8" s="5">
        <v>0</v>
      </c>
      <c r="CM8" s="5">
        <v>0</v>
      </c>
      <c r="CN8" s="5">
        <v>0</v>
      </c>
      <c r="CO8" s="5">
        <v>0</v>
      </c>
      <c r="CP8" s="5">
        <v>0</v>
      </c>
      <c r="CQ8" s="5">
        <v>0</v>
      </c>
      <c r="CR8" s="5">
        <v>0</v>
      </c>
      <c r="CS8" s="5">
        <v>0</v>
      </c>
      <c r="CT8" s="5">
        <v>0</v>
      </c>
      <c r="CU8" s="5">
        <v>0</v>
      </c>
      <c r="CV8" s="5">
        <v>0</v>
      </c>
      <c r="CW8" s="5">
        <v>0</v>
      </c>
      <c r="CX8" s="5">
        <v>0</v>
      </c>
      <c r="CY8" s="5">
        <v>0</v>
      </c>
      <c r="CZ8" s="5">
        <v>0</v>
      </c>
      <c r="DA8" s="5">
        <v>0</v>
      </c>
      <c r="DB8" s="5">
        <v>0</v>
      </c>
      <c r="DC8" s="5">
        <v>0</v>
      </c>
      <c r="DD8" s="5">
        <v>0</v>
      </c>
      <c r="DE8" s="5">
        <v>0</v>
      </c>
      <c r="DF8" s="5">
        <v>0</v>
      </c>
      <c r="DG8" s="5">
        <v>0</v>
      </c>
      <c r="DH8" s="5">
        <v>0</v>
      </c>
      <c r="DI8" s="5">
        <v>0</v>
      </c>
      <c r="DJ8" s="5">
        <v>0</v>
      </c>
      <c r="DK8" s="5">
        <v>0</v>
      </c>
      <c r="DL8" s="5">
        <v>0</v>
      </c>
      <c r="DM8" s="5">
        <v>0</v>
      </c>
      <c r="DN8" s="5">
        <v>0</v>
      </c>
      <c r="DO8" s="5">
        <v>0</v>
      </c>
      <c r="DP8" s="5">
        <v>0</v>
      </c>
      <c r="DQ8" s="5">
        <v>0</v>
      </c>
      <c r="DR8" s="5">
        <v>0</v>
      </c>
      <c r="DS8" s="5">
        <v>0</v>
      </c>
      <c r="DT8" s="5">
        <v>0</v>
      </c>
      <c r="DU8" s="5">
        <v>0</v>
      </c>
    </row>
    <row r="9" spans="1:125" x14ac:dyDescent="0.25">
      <c r="A9" t="str">
        <f>IF(Input!A10="","",Input!A10)</f>
        <v>Schroder Active Portfolio 9</v>
      </c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BN9" s="5">
        <v>0</v>
      </c>
      <c r="BO9" s="5">
        <v>0</v>
      </c>
      <c r="BP9" s="5">
        <v>0</v>
      </c>
      <c r="BQ9" s="5">
        <v>0</v>
      </c>
      <c r="BR9" s="5">
        <v>0</v>
      </c>
      <c r="BS9" s="5">
        <v>0</v>
      </c>
      <c r="BT9" s="5">
        <v>0</v>
      </c>
      <c r="BU9" s="5">
        <v>0</v>
      </c>
      <c r="BV9" s="5">
        <v>0</v>
      </c>
      <c r="BW9" s="5">
        <v>0</v>
      </c>
      <c r="BX9" s="5">
        <v>0</v>
      </c>
      <c r="BY9" s="5">
        <v>0</v>
      </c>
      <c r="BZ9" s="5">
        <v>0</v>
      </c>
      <c r="CA9" s="5">
        <v>0</v>
      </c>
      <c r="CB9" s="5">
        <v>0</v>
      </c>
      <c r="CC9" s="5">
        <v>0</v>
      </c>
      <c r="CD9" s="5">
        <v>0</v>
      </c>
      <c r="CE9" s="5">
        <v>0</v>
      </c>
      <c r="CF9" s="5">
        <v>0</v>
      </c>
      <c r="CG9" s="5">
        <v>0</v>
      </c>
      <c r="CH9" s="5">
        <v>0</v>
      </c>
      <c r="CI9" s="5">
        <v>0</v>
      </c>
      <c r="CJ9" s="5">
        <v>0</v>
      </c>
      <c r="CK9" s="5">
        <v>0</v>
      </c>
      <c r="CL9" s="5">
        <v>0</v>
      </c>
      <c r="CM9" s="5">
        <v>0</v>
      </c>
      <c r="CN9" s="5">
        <v>0</v>
      </c>
      <c r="CO9" s="5">
        <v>0</v>
      </c>
      <c r="CP9" s="5">
        <v>0</v>
      </c>
      <c r="CQ9" s="5">
        <v>0</v>
      </c>
      <c r="CR9" s="5">
        <v>0</v>
      </c>
      <c r="CS9" s="5">
        <v>0</v>
      </c>
      <c r="CT9" s="5">
        <v>0</v>
      </c>
      <c r="CU9" s="5">
        <v>0</v>
      </c>
      <c r="CV9" s="5">
        <v>0</v>
      </c>
      <c r="CW9" s="5">
        <v>0</v>
      </c>
      <c r="CX9" s="5">
        <v>0</v>
      </c>
      <c r="CY9" s="5">
        <v>0</v>
      </c>
      <c r="CZ9" s="5">
        <v>0</v>
      </c>
      <c r="DA9" s="5">
        <v>0</v>
      </c>
      <c r="DB9" s="5">
        <v>0</v>
      </c>
      <c r="DC9" s="5">
        <v>0</v>
      </c>
      <c r="DD9" s="5">
        <v>0</v>
      </c>
      <c r="DE9" s="5">
        <v>0</v>
      </c>
      <c r="DF9" s="5">
        <v>0</v>
      </c>
      <c r="DG9" s="5">
        <v>0</v>
      </c>
      <c r="DH9" s="5">
        <v>0</v>
      </c>
      <c r="DI9" s="5">
        <v>0</v>
      </c>
      <c r="DJ9" s="5">
        <v>0</v>
      </c>
      <c r="DK9" s="5">
        <v>0</v>
      </c>
      <c r="DL9" s="5">
        <v>0</v>
      </c>
      <c r="DM9" s="5">
        <v>0</v>
      </c>
      <c r="DN9" s="5">
        <v>0</v>
      </c>
      <c r="DO9" s="5">
        <v>0</v>
      </c>
      <c r="DP9" s="5">
        <v>0</v>
      </c>
      <c r="DQ9" s="5">
        <v>0</v>
      </c>
      <c r="DR9" s="5">
        <v>0</v>
      </c>
      <c r="DS9" s="5">
        <v>0</v>
      </c>
      <c r="DT9" s="5">
        <v>0</v>
      </c>
      <c r="DU9" s="5">
        <v>0</v>
      </c>
    </row>
    <row r="10" spans="1:125" x14ac:dyDescent="0.25">
      <c r="A10" t="str">
        <f>IF(Input!A11="","",Input!A11)</f>
        <v>Schroder Active Portfolio 10</v>
      </c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BN10" s="5">
        <v>0</v>
      </c>
      <c r="BO10" s="5">
        <v>0</v>
      </c>
      <c r="BP10" s="5">
        <v>0</v>
      </c>
      <c r="BQ10" s="5">
        <v>0</v>
      </c>
      <c r="BR10" s="5">
        <v>0</v>
      </c>
      <c r="BS10" s="5">
        <v>0</v>
      </c>
      <c r="BT10" s="5">
        <v>0</v>
      </c>
      <c r="BU10" s="5">
        <v>0</v>
      </c>
      <c r="BV10" s="5">
        <v>0</v>
      </c>
      <c r="BW10" s="5">
        <v>0</v>
      </c>
      <c r="BX10" s="5">
        <v>0</v>
      </c>
      <c r="BY10" s="5">
        <v>0</v>
      </c>
      <c r="BZ10" s="5">
        <v>0</v>
      </c>
      <c r="CA10" s="5">
        <v>0</v>
      </c>
      <c r="CB10" s="5">
        <v>0</v>
      </c>
      <c r="CC10" s="5">
        <v>0</v>
      </c>
      <c r="CD10" s="5">
        <v>0</v>
      </c>
      <c r="CE10" s="5">
        <v>0</v>
      </c>
      <c r="CF10" s="5">
        <v>0</v>
      </c>
      <c r="CG10" s="5">
        <v>0</v>
      </c>
      <c r="CH10" s="5">
        <v>0</v>
      </c>
      <c r="CI10" s="5">
        <v>0</v>
      </c>
      <c r="CJ10" s="5">
        <v>0</v>
      </c>
      <c r="CK10" s="5">
        <v>0</v>
      </c>
      <c r="CL10" s="5">
        <v>0</v>
      </c>
      <c r="CM10" s="5">
        <v>0</v>
      </c>
      <c r="CN10" s="5">
        <v>0</v>
      </c>
      <c r="CO10" s="5">
        <v>0</v>
      </c>
      <c r="CP10" s="5">
        <v>0</v>
      </c>
      <c r="CQ10" s="5">
        <v>0</v>
      </c>
      <c r="CR10" s="5">
        <v>0</v>
      </c>
      <c r="CS10" s="5">
        <v>0</v>
      </c>
      <c r="CT10" s="5">
        <v>0</v>
      </c>
      <c r="CU10" s="5">
        <v>0</v>
      </c>
      <c r="CV10" s="5">
        <v>0</v>
      </c>
      <c r="CW10" s="5">
        <v>0</v>
      </c>
      <c r="CX10" s="5">
        <v>0</v>
      </c>
      <c r="CY10" s="5">
        <v>0</v>
      </c>
      <c r="CZ10" s="5">
        <v>0</v>
      </c>
      <c r="DA10" s="5">
        <v>0</v>
      </c>
      <c r="DB10" s="5">
        <v>0</v>
      </c>
      <c r="DC10" s="5">
        <v>0</v>
      </c>
      <c r="DD10" s="5">
        <v>0</v>
      </c>
      <c r="DE10" s="5">
        <v>0</v>
      </c>
      <c r="DF10" s="5">
        <v>0</v>
      </c>
      <c r="DG10" s="5">
        <v>0</v>
      </c>
      <c r="DH10" s="5">
        <v>0</v>
      </c>
      <c r="DI10" s="5">
        <v>0</v>
      </c>
      <c r="DJ10" s="5">
        <v>0</v>
      </c>
      <c r="DK10" s="5">
        <v>0</v>
      </c>
      <c r="DL10" s="5">
        <v>0</v>
      </c>
      <c r="DM10" s="5">
        <v>0</v>
      </c>
      <c r="DN10" s="5">
        <v>0</v>
      </c>
      <c r="DO10" s="5">
        <v>0</v>
      </c>
      <c r="DP10" s="5">
        <v>0</v>
      </c>
      <c r="DQ10" s="5">
        <v>0</v>
      </c>
      <c r="DR10" s="5">
        <v>0</v>
      </c>
      <c r="DS10" s="5">
        <v>0</v>
      </c>
      <c r="DT10" s="5">
        <v>0</v>
      </c>
      <c r="DU10" s="5">
        <v>0</v>
      </c>
    </row>
    <row r="11" spans="1:125" x14ac:dyDescent="0.25">
      <c r="A11" t="str">
        <f>IF(Input!A12="","",Input!A12)</f>
        <v>Schroder Strategic Index Portfolio 2</v>
      </c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BN11" s="5">
        <v>0</v>
      </c>
      <c r="BO11" s="5">
        <v>0</v>
      </c>
      <c r="BP11" s="5">
        <v>0</v>
      </c>
      <c r="BQ11" s="5">
        <v>0</v>
      </c>
      <c r="BR11" s="5">
        <v>0</v>
      </c>
      <c r="BS11" s="5">
        <v>0</v>
      </c>
      <c r="BT11" s="5">
        <v>0</v>
      </c>
      <c r="BU11" s="5">
        <v>0</v>
      </c>
      <c r="BV11" s="5">
        <v>0</v>
      </c>
      <c r="BW11" s="5">
        <v>0</v>
      </c>
      <c r="BX11" s="5">
        <v>0</v>
      </c>
      <c r="BY11" s="5">
        <v>0</v>
      </c>
      <c r="BZ11" s="5">
        <v>0</v>
      </c>
      <c r="CA11" s="5">
        <v>0</v>
      </c>
      <c r="CB11" s="5">
        <v>0</v>
      </c>
      <c r="CC11" s="5">
        <v>0</v>
      </c>
      <c r="CD11" s="5">
        <v>0</v>
      </c>
      <c r="CE11" s="5">
        <v>0</v>
      </c>
      <c r="CF11" s="5">
        <v>0</v>
      </c>
      <c r="CG11" s="5">
        <v>0</v>
      </c>
      <c r="CH11" s="5">
        <v>0</v>
      </c>
      <c r="CI11" s="5">
        <v>0</v>
      </c>
      <c r="CJ11" s="5">
        <v>0</v>
      </c>
      <c r="CK11" s="5">
        <v>0</v>
      </c>
      <c r="CL11" s="5">
        <v>0</v>
      </c>
      <c r="CM11" s="5">
        <v>0</v>
      </c>
      <c r="CN11" s="5">
        <v>0</v>
      </c>
      <c r="CO11" s="5">
        <v>0</v>
      </c>
      <c r="CP11" s="5">
        <v>0</v>
      </c>
      <c r="CQ11" s="5">
        <v>0</v>
      </c>
      <c r="CR11" s="5">
        <v>0</v>
      </c>
      <c r="CS11" s="5">
        <v>0</v>
      </c>
      <c r="CT11" s="5">
        <v>0</v>
      </c>
      <c r="CU11" s="5">
        <v>0</v>
      </c>
      <c r="CV11" s="5">
        <v>0</v>
      </c>
      <c r="CW11" s="5">
        <v>0</v>
      </c>
      <c r="CX11" s="5">
        <v>0</v>
      </c>
      <c r="CY11" s="5">
        <v>0</v>
      </c>
      <c r="CZ11" s="5">
        <v>0</v>
      </c>
      <c r="DA11" s="5">
        <v>0</v>
      </c>
      <c r="DB11" s="5">
        <v>0</v>
      </c>
      <c r="DC11" s="5">
        <v>0</v>
      </c>
      <c r="DD11" s="5">
        <v>0</v>
      </c>
      <c r="DE11" s="5">
        <v>0</v>
      </c>
      <c r="DF11" s="5">
        <v>0</v>
      </c>
      <c r="DG11" s="5">
        <v>0</v>
      </c>
      <c r="DH11" s="5">
        <v>0</v>
      </c>
      <c r="DI11" s="5">
        <v>0</v>
      </c>
      <c r="DJ11" s="5">
        <v>0</v>
      </c>
      <c r="DK11" s="5">
        <v>0</v>
      </c>
      <c r="DL11" s="5">
        <v>0</v>
      </c>
      <c r="DM11" s="5">
        <v>0</v>
      </c>
      <c r="DN11" s="5">
        <v>0</v>
      </c>
      <c r="DO11" s="5">
        <v>0</v>
      </c>
      <c r="DP11" s="5">
        <v>0</v>
      </c>
      <c r="DQ11" s="5">
        <v>0</v>
      </c>
      <c r="DR11" s="5">
        <v>0</v>
      </c>
      <c r="DS11" s="5">
        <v>0</v>
      </c>
      <c r="DT11" s="5">
        <v>0</v>
      </c>
      <c r="DU11" s="5">
        <v>0</v>
      </c>
    </row>
    <row r="12" spans="1:125" x14ac:dyDescent="0.25">
      <c r="A12" t="str">
        <f>IF(Input!A13="","",Input!A13)</f>
        <v>Schroder Strategic Index Portfolio 3</v>
      </c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BN12" s="5">
        <v>0</v>
      </c>
      <c r="BO12" s="5">
        <v>0</v>
      </c>
      <c r="BP12" s="5">
        <v>0</v>
      </c>
      <c r="BQ12" s="5">
        <v>0</v>
      </c>
      <c r="BR12" s="5">
        <v>0</v>
      </c>
      <c r="BS12" s="5">
        <v>0</v>
      </c>
      <c r="BT12" s="5">
        <v>0</v>
      </c>
      <c r="BU12" s="5">
        <v>0</v>
      </c>
      <c r="BV12" s="5">
        <v>0</v>
      </c>
      <c r="BW12" s="5">
        <v>0</v>
      </c>
      <c r="BX12" s="5">
        <v>0</v>
      </c>
      <c r="BY12" s="5">
        <v>0</v>
      </c>
      <c r="BZ12" s="5">
        <v>0</v>
      </c>
      <c r="CA12" s="5">
        <v>0</v>
      </c>
      <c r="CB12" s="5">
        <v>0</v>
      </c>
      <c r="CC12" s="5">
        <v>0</v>
      </c>
      <c r="CD12" s="5">
        <v>0</v>
      </c>
      <c r="CE12" s="5">
        <v>0</v>
      </c>
      <c r="CF12" s="5">
        <v>0</v>
      </c>
      <c r="CG12" s="5">
        <v>0</v>
      </c>
      <c r="CH12" s="5">
        <v>0</v>
      </c>
      <c r="CI12" s="5">
        <v>0</v>
      </c>
      <c r="CJ12" s="5">
        <v>0</v>
      </c>
      <c r="CK12" s="5">
        <v>0</v>
      </c>
      <c r="CL12" s="5">
        <v>0</v>
      </c>
      <c r="CM12" s="5">
        <v>0</v>
      </c>
      <c r="CN12" s="5">
        <v>0</v>
      </c>
      <c r="CO12" s="5">
        <v>0</v>
      </c>
      <c r="CP12" s="5">
        <v>0</v>
      </c>
      <c r="CQ12" s="5">
        <v>0</v>
      </c>
      <c r="CR12" s="5">
        <v>0</v>
      </c>
      <c r="CS12" s="5">
        <v>0</v>
      </c>
      <c r="CT12" s="5">
        <v>0</v>
      </c>
      <c r="CU12" s="5">
        <v>0</v>
      </c>
      <c r="CV12" s="5">
        <v>0</v>
      </c>
      <c r="CW12" s="5">
        <v>0</v>
      </c>
      <c r="CX12" s="5">
        <v>0</v>
      </c>
      <c r="CY12" s="5">
        <v>0</v>
      </c>
      <c r="CZ12" s="5">
        <v>0</v>
      </c>
      <c r="DA12" s="5">
        <v>0</v>
      </c>
      <c r="DB12" s="5">
        <v>0</v>
      </c>
      <c r="DC12" s="5">
        <v>0</v>
      </c>
      <c r="DD12" s="5">
        <v>0</v>
      </c>
      <c r="DE12" s="5">
        <v>0</v>
      </c>
      <c r="DF12" s="5">
        <v>0</v>
      </c>
      <c r="DG12" s="5">
        <v>0</v>
      </c>
      <c r="DH12" s="5">
        <v>0</v>
      </c>
      <c r="DI12" s="5">
        <v>0</v>
      </c>
      <c r="DJ12" s="5">
        <v>0</v>
      </c>
      <c r="DK12" s="5">
        <v>0</v>
      </c>
      <c r="DL12" s="5">
        <v>0</v>
      </c>
      <c r="DM12" s="5">
        <v>0</v>
      </c>
      <c r="DN12" s="5">
        <v>0</v>
      </c>
      <c r="DO12" s="5">
        <v>0</v>
      </c>
      <c r="DP12" s="5">
        <v>0</v>
      </c>
      <c r="DQ12" s="5">
        <v>0</v>
      </c>
      <c r="DR12" s="5">
        <v>0</v>
      </c>
      <c r="DS12" s="5">
        <v>0</v>
      </c>
      <c r="DT12" s="5">
        <v>0</v>
      </c>
      <c r="DU12" s="5">
        <v>0</v>
      </c>
    </row>
    <row r="13" spans="1:125" x14ac:dyDescent="0.25">
      <c r="A13" t="str">
        <f>IF(Input!A14="","",Input!A14)</f>
        <v>Schroder Strategic Index Portfolio 4</v>
      </c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BN13" s="5">
        <v>0</v>
      </c>
      <c r="BO13" s="5">
        <v>0</v>
      </c>
      <c r="BP13" s="5">
        <v>0</v>
      </c>
      <c r="BQ13" s="5">
        <v>0</v>
      </c>
      <c r="BR13" s="5">
        <v>0</v>
      </c>
      <c r="BS13" s="5">
        <v>0</v>
      </c>
      <c r="BT13" s="5">
        <v>0</v>
      </c>
      <c r="BU13" s="5">
        <v>0</v>
      </c>
      <c r="BV13" s="5">
        <v>0</v>
      </c>
      <c r="BW13" s="5">
        <v>0</v>
      </c>
      <c r="BX13" s="5">
        <v>0</v>
      </c>
      <c r="BY13" s="5">
        <v>0</v>
      </c>
      <c r="BZ13" s="5">
        <v>0</v>
      </c>
      <c r="CA13" s="5">
        <v>0</v>
      </c>
      <c r="CB13" s="5">
        <v>0</v>
      </c>
      <c r="CC13" s="5">
        <v>0</v>
      </c>
      <c r="CD13" s="5">
        <v>0</v>
      </c>
      <c r="CE13" s="5">
        <v>0</v>
      </c>
      <c r="CF13" s="5">
        <v>0</v>
      </c>
      <c r="CG13" s="5">
        <v>0</v>
      </c>
      <c r="CH13" s="5">
        <v>0</v>
      </c>
      <c r="CI13" s="5">
        <v>0</v>
      </c>
      <c r="CJ13" s="5">
        <v>0</v>
      </c>
      <c r="CK13" s="5">
        <v>0</v>
      </c>
      <c r="CL13" s="5">
        <v>0</v>
      </c>
      <c r="CM13" s="5">
        <v>0</v>
      </c>
      <c r="CN13" s="5">
        <v>0</v>
      </c>
      <c r="CO13" s="5">
        <v>0</v>
      </c>
      <c r="CP13" s="5">
        <v>0</v>
      </c>
      <c r="CQ13" s="5">
        <v>0</v>
      </c>
      <c r="CR13" s="5">
        <v>0</v>
      </c>
      <c r="CS13" s="5">
        <v>0</v>
      </c>
      <c r="CT13" s="5">
        <v>0</v>
      </c>
      <c r="CU13" s="5">
        <v>0</v>
      </c>
      <c r="CV13" s="5">
        <v>0</v>
      </c>
      <c r="CW13" s="5">
        <v>0</v>
      </c>
      <c r="CX13" s="5">
        <v>0</v>
      </c>
      <c r="CY13" s="5">
        <v>0</v>
      </c>
      <c r="CZ13" s="5">
        <v>0</v>
      </c>
      <c r="DA13" s="5">
        <v>0</v>
      </c>
      <c r="DB13" s="5">
        <v>0</v>
      </c>
      <c r="DC13" s="5">
        <v>0</v>
      </c>
      <c r="DD13" s="5">
        <v>0</v>
      </c>
      <c r="DE13" s="5">
        <v>0</v>
      </c>
      <c r="DF13" s="5">
        <v>0</v>
      </c>
      <c r="DG13" s="5">
        <v>0</v>
      </c>
      <c r="DH13" s="5">
        <v>0</v>
      </c>
      <c r="DI13" s="5">
        <v>0</v>
      </c>
      <c r="DJ13" s="5">
        <v>0</v>
      </c>
      <c r="DK13" s="5">
        <v>0</v>
      </c>
      <c r="DL13" s="5">
        <v>0</v>
      </c>
      <c r="DM13" s="5">
        <v>0</v>
      </c>
      <c r="DN13" s="5">
        <v>0</v>
      </c>
      <c r="DO13" s="5">
        <v>0</v>
      </c>
      <c r="DP13" s="5">
        <v>0</v>
      </c>
      <c r="DQ13" s="5">
        <v>0</v>
      </c>
      <c r="DR13" s="5">
        <v>0</v>
      </c>
      <c r="DS13" s="5">
        <v>0</v>
      </c>
      <c r="DT13" s="5">
        <v>0</v>
      </c>
      <c r="DU13" s="5">
        <v>0</v>
      </c>
    </row>
    <row r="14" spans="1:125" x14ac:dyDescent="0.25">
      <c r="A14" t="str">
        <f>IF(Input!A15="","",Input!A15)</f>
        <v>Schroder Strategic Index Portfolio 5</v>
      </c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BN14" s="5">
        <v>0</v>
      </c>
      <c r="BO14" s="5">
        <v>0</v>
      </c>
      <c r="BP14" s="5">
        <v>0</v>
      </c>
      <c r="BQ14" s="5">
        <v>0</v>
      </c>
      <c r="BR14" s="5">
        <v>0</v>
      </c>
      <c r="BS14" s="5">
        <v>0</v>
      </c>
      <c r="BT14" s="5">
        <v>0</v>
      </c>
      <c r="BU14" s="5">
        <v>0</v>
      </c>
      <c r="BV14" s="5">
        <v>0</v>
      </c>
      <c r="BW14" s="5">
        <v>0</v>
      </c>
      <c r="BX14" s="5">
        <v>0</v>
      </c>
      <c r="BY14" s="5">
        <v>0</v>
      </c>
      <c r="BZ14" s="5">
        <v>0</v>
      </c>
      <c r="CA14" s="5">
        <v>0</v>
      </c>
      <c r="CB14" s="5">
        <v>0</v>
      </c>
      <c r="CC14" s="5">
        <v>0</v>
      </c>
      <c r="CD14" s="5">
        <v>0</v>
      </c>
      <c r="CE14" s="5">
        <v>0</v>
      </c>
      <c r="CF14" s="5">
        <v>0</v>
      </c>
      <c r="CG14" s="5">
        <v>0</v>
      </c>
      <c r="CH14" s="5">
        <v>0</v>
      </c>
      <c r="CI14" s="5">
        <v>0</v>
      </c>
      <c r="CJ14" s="5">
        <v>0</v>
      </c>
      <c r="CK14" s="5">
        <v>0</v>
      </c>
      <c r="CL14" s="5">
        <v>0</v>
      </c>
      <c r="CM14" s="5">
        <v>0</v>
      </c>
      <c r="CN14" s="5">
        <v>0</v>
      </c>
      <c r="CO14" s="5">
        <v>0</v>
      </c>
      <c r="CP14" s="5">
        <v>0</v>
      </c>
      <c r="CQ14" s="5">
        <v>0</v>
      </c>
      <c r="CR14" s="5">
        <v>0</v>
      </c>
      <c r="CS14" s="5">
        <v>0</v>
      </c>
      <c r="CT14" s="5">
        <v>0</v>
      </c>
      <c r="CU14" s="5">
        <v>0</v>
      </c>
      <c r="CV14" s="5">
        <v>0</v>
      </c>
      <c r="CW14" s="5">
        <v>0</v>
      </c>
      <c r="CX14" s="5">
        <v>0</v>
      </c>
      <c r="CY14" s="5">
        <v>0</v>
      </c>
      <c r="CZ14" s="5">
        <v>0</v>
      </c>
      <c r="DA14" s="5">
        <v>0</v>
      </c>
      <c r="DB14" s="5">
        <v>0</v>
      </c>
      <c r="DC14" s="5">
        <v>0</v>
      </c>
      <c r="DD14" s="5">
        <v>0</v>
      </c>
      <c r="DE14" s="5">
        <v>0</v>
      </c>
      <c r="DF14" s="5">
        <v>0</v>
      </c>
      <c r="DG14" s="5">
        <v>0</v>
      </c>
      <c r="DH14" s="5">
        <v>0</v>
      </c>
      <c r="DI14" s="5">
        <v>0</v>
      </c>
      <c r="DJ14" s="5">
        <v>0</v>
      </c>
      <c r="DK14" s="5">
        <v>0</v>
      </c>
      <c r="DL14" s="5">
        <v>0</v>
      </c>
      <c r="DM14" s="5">
        <v>0</v>
      </c>
      <c r="DN14" s="5">
        <v>0</v>
      </c>
      <c r="DO14" s="5">
        <v>0</v>
      </c>
      <c r="DP14" s="5">
        <v>0</v>
      </c>
      <c r="DQ14" s="5">
        <v>0</v>
      </c>
      <c r="DR14" s="5">
        <v>0</v>
      </c>
      <c r="DS14" s="5">
        <v>0</v>
      </c>
      <c r="DT14" s="5">
        <v>0</v>
      </c>
      <c r="DU14" s="5">
        <v>0</v>
      </c>
    </row>
    <row r="15" spans="1:125" x14ac:dyDescent="0.25">
      <c r="A15" t="str">
        <f>IF(Input!A16="","",Input!A16)</f>
        <v>Schroder Strategic Index Portfolio 6</v>
      </c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BN15" s="5">
        <v>0</v>
      </c>
      <c r="BO15" s="5">
        <v>0</v>
      </c>
      <c r="BP15" s="5">
        <v>0</v>
      </c>
      <c r="BQ15" s="5">
        <v>0</v>
      </c>
      <c r="BR15" s="5">
        <v>0</v>
      </c>
      <c r="BS15" s="5">
        <v>0</v>
      </c>
      <c r="BT15" s="5">
        <v>0</v>
      </c>
      <c r="BU15" s="5">
        <v>0</v>
      </c>
      <c r="BV15" s="5">
        <v>0</v>
      </c>
      <c r="BW15" s="5">
        <v>0</v>
      </c>
      <c r="BX15" s="5">
        <v>0</v>
      </c>
      <c r="BY15" s="5">
        <v>0</v>
      </c>
      <c r="BZ15" s="5">
        <v>0</v>
      </c>
      <c r="CA15" s="5">
        <v>0</v>
      </c>
      <c r="CB15" s="5">
        <v>0</v>
      </c>
      <c r="CC15" s="5">
        <v>0</v>
      </c>
      <c r="CD15" s="5">
        <v>0</v>
      </c>
      <c r="CE15" s="5">
        <v>0</v>
      </c>
      <c r="CF15" s="5">
        <v>0</v>
      </c>
      <c r="CG15" s="5">
        <v>0</v>
      </c>
      <c r="CH15" s="5">
        <v>0</v>
      </c>
      <c r="CI15" s="5">
        <v>0</v>
      </c>
      <c r="CJ15" s="5">
        <v>0</v>
      </c>
      <c r="CK15" s="5">
        <v>0</v>
      </c>
      <c r="CL15" s="5">
        <v>0</v>
      </c>
      <c r="CM15" s="5">
        <v>0</v>
      </c>
      <c r="CN15" s="5">
        <v>0</v>
      </c>
      <c r="CO15" s="5">
        <v>0</v>
      </c>
      <c r="CP15" s="5">
        <v>0</v>
      </c>
      <c r="CQ15" s="5">
        <v>0</v>
      </c>
      <c r="CR15" s="5">
        <v>0</v>
      </c>
      <c r="CS15" s="5">
        <v>0</v>
      </c>
      <c r="CT15" s="5">
        <v>0</v>
      </c>
      <c r="CU15" s="5">
        <v>0</v>
      </c>
      <c r="CV15" s="5">
        <v>0</v>
      </c>
      <c r="CW15" s="5">
        <v>0</v>
      </c>
      <c r="CX15" s="5">
        <v>0</v>
      </c>
      <c r="CY15" s="5">
        <v>0</v>
      </c>
      <c r="CZ15" s="5">
        <v>0</v>
      </c>
      <c r="DA15" s="5">
        <v>0</v>
      </c>
      <c r="DB15" s="5">
        <v>0</v>
      </c>
      <c r="DC15" s="5">
        <v>0</v>
      </c>
      <c r="DD15" s="5">
        <v>0</v>
      </c>
      <c r="DE15" s="5">
        <v>0</v>
      </c>
      <c r="DF15" s="5">
        <v>0</v>
      </c>
      <c r="DG15" s="5">
        <v>0</v>
      </c>
      <c r="DH15" s="5">
        <v>0</v>
      </c>
      <c r="DI15" s="5">
        <v>0</v>
      </c>
      <c r="DJ15" s="5">
        <v>0</v>
      </c>
      <c r="DK15" s="5">
        <v>0</v>
      </c>
      <c r="DL15" s="5">
        <v>0</v>
      </c>
      <c r="DM15" s="5">
        <v>0</v>
      </c>
      <c r="DN15" s="5">
        <v>0</v>
      </c>
      <c r="DO15" s="5">
        <v>0</v>
      </c>
      <c r="DP15" s="5">
        <v>0</v>
      </c>
      <c r="DQ15" s="5">
        <v>0</v>
      </c>
      <c r="DR15" s="5">
        <v>0</v>
      </c>
      <c r="DS15" s="5">
        <v>0</v>
      </c>
      <c r="DT15" s="5">
        <v>0</v>
      </c>
      <c r="DU15" s="5">
        <v>0</v>
      </c>
    </row>
    <row r="16" spans="1:125" x14ac:dyDescent="0.25">
      <c r="A16" t="str">
        <f>IF(Input!A17="","",Input!A17)</f>
        <v>Schroder Strategic Index Portfolio 7</v>
      </c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Q16" s="5"/>
      <c r="R16" s="5"/>
      <c r="S16" s="5"/>
      <c r="T16" s="5"/>
      <c r="BN16" s="5">
        <v>0</v>
      </c>
      <c r="BO16" s="5">
        <v>0</v>
      </c>
      <c r="BP16" s="5">
        <v>0</v>
      </c>
      <c r="BQ16" s="5">
        <v>0</v>
      </c>
      <c r="BR16" s="5">
        <v>0</v>
      </c>
      <c r="BS16" s="5">
        <v>0</v>
      </c>
      <c r="BT16" s="5">
        <v>0</v>
      </c>
      <c r="BU16" s="5">
        <v>0</v>
      </c>
      <c r="BV16" s="5">
        <v>0</v>
      </c>
      <c r="BW16" s="5">
        <v>0</v>
      </c>
      <c r="BX16" s="5">
        <v>0</v>
      </c>
      <c r="BY16" s="5">
        <v>0</v>
      </c>
      <c r="BZ16" s="5">
        <v>0</v>
      </c>
      <c r="CA16" s="5">
        <v>0</v>
      </c>
      <c r="CB16" s="5">
        <v>0</v>
      </c>
      <c r="CC16" s="5">
        <v>0</v>
      </c>
      <c r="CD16" s="5">
        <v>0</v>
      </c>
      <c r="CE16" s="5">
        <v>0</v>
      </c>
      <c r="CF16" s="5">
        <v>0</v>
      </c>
      <c r="CG16" s="5">
        <v>0</v>
      </c>
      <c r="CH16" s="5">
        <v>0</v>
      </c>
      <c r="CI16" s="5">
        <v>0</v>
      </c>
      <c r="CJ16" s="5">
        <v>0</v>
      </c>
      <c r="CK16" s="5">
        <v>0</v>
      </c>
      <c r="CL16" s="5">
        <v>0</v>
      </c>
      <c r="CM16" s="5">
        <v>0</v>
      </c>
      <c r="CN16" s="5">
        <v>0</v>
      </c>
      <c r="CO16" s="5">
        <v>0</v>
      </c>
      <c r="CP16" s="5">
        <v>0</v>
      </c>
      <c r="CQ16" s="5">
        <v>0</v>
      </c>
      <c r="CR16" s="5">
        <v>0</v>
      </c>
      <c r="CS16" s="5">
        <v>0</v>
      </c>
      <c r="CT16" s="5">
        <v>0</v>
      </c>
      <c r="CU16" s="5">
        <v>0</v>
      </c>
      <c r="CV16" s="5">
        <v>0</v>
      </c>
      <c r="CW16" s="5">
        <v>0</v>
      </c>
      <c r="CX16" s="5">
        <v>0</v>
      </c>
      <c r="CY16" s="5">
        <v>0</v>
      </c>
      <c r="CZ16" s="5">
        <v>0</v>
      </c>
      <c r="DA16" s="5">
        <v>0</v>
      </c>
      <c r="DB16" s="5">
        <v>0</v>
      </c>
      <c r="DC16" s="5">
        <v>0</v>
      </c>
      <c r="DD16" s="5">
        <v>0</v>
      </c>
      <c r="DE16" s="5">
        <v>0</v>
      </c>
      <c r="DF16" s="5">
        <v>0</v>
      </c>
      <c r="DG16" s="5">
        <v>0</v>
      </c>
      <c r="DH16" s="5">
        <v>0</v>
      </c>
      <c r="DI16" s="5">
        <v>0</v>
      </c>
      <c r="DJ16" s="5">
        <v>0</v>
      </c>
      <c r="DK16" s="5">
        <v>0</v>
      </c>
      <c r="DL16" s="5">
        <v>0</v>
      </c>
      <c r="DM16" s="5">
        <v>0</v>
      </c>
      <c r="DN16" s="5">
        <v>0</v>
      </c>
      <c r="DO16" s="5">
        <v>0</v>
      </c>
      <c r="DP16" s="5">
        <v>0</v>
      </c>
      <c r="DQ16" s="5">
        <v>0</v>
      </c>
      <c r="DR16" s="5">
        <v>0</v>
      </c>
      <c r="DS16" s="5">
        <v>0</v>
      </c>
      <c r="DT16" s="5">
        <v>0</v>
      </c>
      <c r="DU16" s="5">
        <v>0</v>
      </c>
    </row>
    <row r="17" spans="1:125" x14ac:dyDescent="0.25">
      <c r="A17" t="str">
        <f>IF(Input!A18="","",Input!A18)</f>
        <v>Schroder Strategic Index Portfolio 8</v>
      </c>
      <c r="C17" s="5"/>
      <c r="D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T17" s="5"/>
      <c r="W17" s="5"/>
      <c r="Y17" s="5"/>
      <c r="Z17" s="5"/>
      <c r="AB17" s="5"/>
      <c r="BN17" s="5">
        <v>0</v>
      </c>
      <c r="BO17" s="5">
        <v>0</v>
      </c>
      <c r="BP17" s="5">
        <v>0</v>
      </c>
      <c r="BQ17" s="5">
        <v>0</v>
      </c>
      <c r="BR17" s="5">
        <v>0</v>
      </c>
      <c r="BS17" s="5">
        <v>0</v>
      </c>
      <c r="BT17" s="5">
        <v>0</v>
      </c>
      <c r="BU17" s="5">
        <v>0</v>
      </c>
      <c r="BV17" s="5">
        <v>0</v>
      </c>
      <c r="BW17" s="5">
        <v>0</v>
      </c>
      <c r="BX17" s="5">
        <v>0</v>
      </c>
      <c r="BY17" s="5">
        <v>0</v>
      </c>
      <c r="BZ17" s="5">
        <v>0</v>
      </c>
      <c r="CA17" s="5">
        <v>0</v>
      </c>
      <c r="CB17" s="5">
        <v>0</v>
      </c>
      <c r="CC17" s="5">
        <v>0</v>
      </c>
      <c r="CD17" s="5">
        <v>0</v>
      </c>
      <c r="CE17" s="5">
        <v>0</v>
      </c>
      <c r="CF17" s="5">
        <v>0</v>
      </c>
      <c r="CG17" s="5">
        <v>0</v>
      </c>
      <c r="CH17" s="5">
        <v>0</v>
      </c>
      <c r="CI17" s="5">
        <v>0</v>
      </c>
      <c r="CJ17" s="5">
        <v>0</v>
      </c>
      <c r="CK17" s="5">
        <v>0</v>
      </c>
      <c r="CL17" s="5">
        <v>0</v>
      </c>
      <c r="CM17" s="5">
        <v>0</v>
      </c>
      <c r="CN17" s="5">
        <v>0</v>
      </c>
      <c r="CO17" s="5">
        <v>0</v>
      </c>
      <c r="CP17" s="5">
        <v>0</v>
      </c>
      <c r="CQ17" s="5">
        <v>0</v>
      </c>
      <c r="CR17" s="5">
        <v>0</v>
      </c>
      <c r="CS17" s="5">
        <v>0</v>
      </c>
      <c r="CT17" s="5">
        <v>0</v>
      </c>
      <c r="CU17" s="5">
        <v>0</v>
      </c>
      <c r="CV17" s="5">
        <v>0</v>
      </c>
      <c r="CW17" s="5">
        <v>0</v>
      </c>
      <c r="CX17" s="5">
        <v>0</v>
      </c>
      <c r="CY17" s="5">
        <v>0</v>
      </c>
      <c r="CZ17" s="5">
        <v>0</v>
      </c>
      <c r="DA17" s="5">
        <v>0</v>
      </c>
      <c r="DB17" s="5">
        <v>0</v>
      </c>
      <c r="DC17" s="5">
        <v>0</v>
      </c>
      <c r="DD17" s="5">
        <v>0</v>
      </c>
      <c r="DE17" s="5">
        <v>0</v>
      </c>
      <c r="DF17" s="5">
        <v>0</v>
      </c>
      <c r="DG17" s="5">
        <v>0</v>
      </c>
      <c r="DH17" s="5">
        <v>0</v>
      </c>
      <c r="DI17" s="5">
        <v>0</v>
      </c>
      <c r="DJ17" s="5">
        <v>0</v>
      </c>
      <c r="DK17" s="5">
        <v>0</v>
      </c>
      <c r="DL17" s="5">
        <v>0</v>
      </c>
      <c r="DM17" s="5">
        <v>0</v>
      </c>
      <c r="DN17" s="5">
        <v>0</v>
      </c>
      <c r="DO17" s="5">
        <v>0</v>
      </c>
      <c r="DP17" s="5">
        <v>0</v>
      </c>
      <c r="DQ17" s="5">
        <v>0</v>
      </c>
      <c r="DR17" s="5">
        <v>0</v>
      </c>
      <c r="DS17" s="5">
        <v>0</v>
      </c>
      <c r="DT17" s="5">
        <v>0</v>
      </c>
      <c r="DU17" s="5">
        <v>0</v>
      </c>
    </row>
    <row r="18" spans="1:125" x14ac:dyDescent="0.25">
      <c r="A18" t="str">
        <f>IF(Input!A19="","",Input!A19)</f>
        <v>Schroder Strategic Index Portfolio 9</v>
      </c>
      <c r="C18" s="5"/>
      <c r="D18" s="5"/>
      <c r="H18" s="5"/>
      <c r="I18" s="5"/>
      <c r="J18" s="5"/>
      <c r="K18" s="5"/>
      <c r="L18" s="5"/>
      <c r="M18" s="5"/>
      <c r="N18" s="5"/>
      <c r="O18" s="5"/>
      <c r="Q18" s="5"/>
      <c r="R18" s="5"/>
      <c r="T18" s="5"/>
      <c r="U18" s="5"/>
      <c r="Z18" s="5"/>
      <c r="BN18" s="5">
        <v>0</v>
      </c>
      <c r="BO18" s="5">
        <v>0</v>
      </c>
      <c r="BP18" s="5">
        <v>0</v>
      </c>
      <c r="BQ18" s="5">
        <v>0</v>
      </c>
      <c r="BR18" s="5">
        <v>0</v>
      </c>
      <c r="BS18" s="5">
        <v>0</v>
      </c>
      <c r="BT18" s="5">
        <v>0</v>
      </c>
      <c r="BU18" s="5">
        <v>0</v>
      </c>
      <c r="BV18" s="5">
        <v>0</v>
      </c>
      <c r="BW18" s="5">
        <v>0</v>
      </c>
      <c r="BX18" s="5">
        <v>0</v>
      </c>
      <c r="BY18" s="5">
        <v>0</v>
      </c>
      <c r="BZ18" s="5">
        <v>0</v>
      </c>
      <c r="CA18" s="5">
        <v>0</v>
      </c>
      <c r="CB18" s="5">
        <v>0</v>
      </c>
      <c r="CC18" s="5">
        <v>0</v>
      </c>
      <c r="CD18" s="5">
        <v>0</v>
      </c>
      <c r="CE18" s="5">
        <v>0</v>
      </c>
      <c r="CF18" s="5">
        <v>0</v>
      </c>
      <c r="CG18" s="5">
        <v>0</v>
      </c>
      <c r="CH18" s="5">
        <v>0</v>
      </c>
      <c r="CI18" s="5">
        <v>0</v>
      </c>
      <c r="CJ18" s="5">
        <v>0</v>
      </c>
      <c r="CK18" s="5">
        <v>0</v>
      </c>
      <c r="CL18" s="5">
        <v>0</v>
      </c>
      <c r="CM18" s="5">
        <v>0</v>
      </c>
      <c r="CN18" s="5">
        <v>0</v>
      </c>
      <c r="CO18" s="5">
        <v>0</v>
      </c>
      <c r="CP18" s="5">
        <v>0</v>
      </c>
      <c r="CQ18" s="5">
        <v>0</v>
      </c>
      <c r="CR18" s="5">
        <v>0</v>
      </c>
      <c r="CS18" s="5">
        <v>0</v>
      </c>
      <c r="CT18" s="5">
        <v>0</v>
      </c>
      <c r="CU18" s="5">
        <v>0</v>
      </c>
      <c r="CV18" s="5">
        <v>0</v>
      </c>
      <c r="CW18" s="5">
        <v>0</v>
      </c>
      <c r="CX18" s="5">
        <v>0</v>
      </c>
      <c r="CY18" s="5">
        <v>0</v>
      </c>
      <c r="CZ18" s="5">
        <v>0</v>
      </c>
      <c r="DA18" s="5">
        <v>0</v>
      </c>
      <c r="DB18" s="5">
        <v>0</v>
      </c>
      <c r="DC18" s="5">
        <v>0</v>
      </c>
      <c r="DD18" s="5">
        <v>0</v>
      </c>
      <c r="DE18" s="5">
        <v>0</v>
      </c>
      <c r="DF18" s="5">
        <v>0</v>
      </c>
      <c r="DG18" s="5">
        <v>0</v>
      </c>
      <c r="DH18" s="5">
        <v>0</v>
      </c>
      <c r="DI18" s="5">
        <v>0</v>
      </c>
      <c r="DJ18" s="5">
        <v>0</v>
      </c>
      <c r="DK18" s="5">
        <v>0</v>
      </c>
      <c r="DL18" s="5">
        <v>0</v>
      </c>
      <c r="DM18" s="5">
        <v>0</v>
      </c>
      <c r="DN18" s="5">
        <v>0</v>
      </c>
      <c r="DO18" s="5">
        <v>0</v>
      </c>
      <c r="DP18" s="5">
        <v>0</v>
      </c>
      <c r="DQ18" s="5">
        <v>0</v>
      </c>
      <c r="DR18" s="5">
        <v>0</v>
      </c>
      <c r="DS18" s="5">
        <v>0</v>
      </c>
      <c r="DT18" s="5">
        <v>0</v>
      </c>
      <c r="DU18" s="5">
        <v>0</v>
      </c>
    </row>
    <row r="19" spans="1:125" x14ac:dyDescent="0.25">
      <c r="A19" t="str">
        <f>IF(Input!A20="","",Input!A20)</f>
        <v>Schroder Strategic Index Portfolio 10</v>
      </c>
      <c r="C19" s="5"/>
      <c r="D19" s="5"/>
      <c r="E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T19" s="5"/>
      <c r="U19" s="5"/>
      <c r="W19" s="5"/>
      <c r="X19" s="5"/>
      <c r="Y19" s="5"/>
      <c r="BN19" s="5">
        <v>0</v>
      </c>
      <c r="BO19" s="5">
        <v>0</v>
      </c>
      <c r="BP19" s="5">
        <v>0</v>
      </c>
      <c r="BQ19" s="5">
        <v>0</v>
      </c>
      <c r="BR19" s="5">
        <v>0</v>
      </c>
      <c r="BS19" s="5">
        <v>0</v>
      </c>
      <c r="BT19" s="5">
        <v>0</v>
      </c>
      <c r="BU19" s="5">
        <v>0</v>
      </c>
      <c r="BV19" s="5">
        <v>0</v>
      </c>
      <c r="BW19" s="5">
        <v>0</v>
      </c>
      <c r="BX19" s="5">
        <v>0</v>
      </c>
      <c r="BY19" s="5">
        <v>0</v>
      </c>
      <c r="BZ19" s="5">
        <v>0</v>
      </c>
      <c r="CA19" s="5">
        <v>0</v>
      </c>
      <c r="CB19" s="5">
        <v>0</v>
      </c>
      <c r="CC19" s="5">
        <v>0</v>
      </c>
      <c r="CD19" s="5">
        <v>0</v>
      </c>
      <c r="CE19" s="5">
        <v>0</v>
      </c>
      <c r="CF19" s="5">
        <v>0</v>
      </c>
      <c r="CG19" s="5">
        <v>0</v>
      </c>
      <c r="CH19" s="5">
        <v>0</v>
      </c>
      <c r="CI19" s="5">
        <v>0</v>
      </c>
      <c r="CJ19" s="5">
        <v>0</v>
      </c>
      <c r="CK19" s="5">
        <v>0</v>
      </c>
      <c r="CL19" s="5">
        <v>0</v>
      </c>
      <c r="CM19" s="5">
        <v>0</v>
      </c>
      <c r="CN19" s="5">
        <v>0</v>
      </c>
      <c r="CO19" s="5">
        <v>0</v>
      </c>
      <c r="CP19" s="5">
        <v>0</v>
      </c>
      <c r="CQ19" s="5">
        <v>0</v>
      </c>
      <c r="CR19" s="5">
        <v>0</v>
      </c>
      <c r="CS19" s="5">
        <v>0</v>
      </c>
      <c r="CT19" s="5">
        <v>0</v>
      </c>
      <c r="CU19" s="5">
        <v>0</v>
      </c>
      <c r="CV19" s="5">
        <v>0</v>
      </c>
      <c r="CW19" s="5">
        <v>0</v>
      </c>
      <c r="CX19" s="5">
        <v>0</v>
      </c>
      <c r="CY19" s="5">
        <v>0</v>
      </c>
      <c r="CZ19" s="5">
        <v>0</v>
      </c>
      <c r="DA19" s="5">
        <v>0</v>
      </c>
      <c r="DB19" s="5">
        <v>0</v>
      </c>
      <c r="DC19" s="5">
        <v>0</v>
      </c>
      <c r="DD19" s="5">
        <v>0</v>
      </c>
      <c r="DE19" s="5">
        <v>0</v>
      </c>
      <c r="DF19" s="5">
        <v>0</v>
      </c>
      <c r="DG19" s="5">
        <v>0</v>
      </c>
      <c r="DH19" s="5">
        <v>0</v>
      </c>
      <c r="DI19" s="5">
        <v>0</v>
      </c>
      <c r="DJ19" s="5">
        <v>0</v>
      </c>
      <c r="DK19" s="5">
        <v>0</v>
      </c>
      <c r="DL19" s="5">
        <v>0</v>
      </c>
      <c r="DM19" s="5">
        <v>0</v>
      </c>
      <c r="DN19" s="5">
        <v>0</v>
      </c>
      <c r="DO19" s="5">
        <v>0</v>
      </c>
      <c r="DP19" s="5">
        <v>0</v>
      </c>
      <c r="DQ19" s="5">
        <v>0</v>
      </c>
      <c r="DR19" s="5">
        <v>0</v>
      </c>
      <c r="DS19" s="5">
        <v>0</v>
      </c>
      <c r="DT19" s="5">
        <v>0</v>
      </c>
      <c r="DU19" s="5">
        <v>0</v>
      </c>
    </row>
    <row r="20" spans="1:125" x14ac:dyDescent="0.25">
      <c r="A20" t="str">
        <f>IF(Input!A21="","",Input!A21)</f>
        <v>Schroder Sustainable Portfolio 3</v>
      </c>
      <c r="C20" s="5"/>
      <c r="D20" s="5"/>
      <c r="E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T20" s="5"/>
      <c r="W20" s="5"/>
      <c r="X20" s="5"/>
      <c r="Y20" s="5"/>
      <c r="AB20" s="5"/>
      <c r="BN20" s="5">
        <v>0</v>
      </c>
      <c r="BO20" s="5">
        <v>0</v>
      </c>
      <c r="BP20" s="5">
        <v>0</v>
      </c>
      <c r="BQ20" s="5">
        <v>0</v>
      </c>
      <c r="BR20" s="5">
        <v>0</v>
      </c>
      <c r="BS20" s="5">
        <v>0</v>
      </c>
      <c r="BT20" s="5">
        <v>0</v>
      </c>
      <c r="BU20" s="5">
        <v>0</v>
      </c>
      <c r="BV20" s="5">
        <v>0</v>
      </c>
      <c r="BW20" s="5">
        <v>0</v>
      </c>
      <c r="BX20" s="5">
        <v>0</v>
      </c>
      <c r="BY20" s="5">
        <v>0</v>
      </c>
      <c r="BZ20" s="5">
        <v>0</v>
      </c>
      <c r="CA20" s="5">
        <v>0</v>
      </c>
      <c r="CB20" s="5">
        <v>0</v>
      </c>
      <c r="CC20" s="5">
        <v>0</v>
      </c>
      <c r="CD20" s="5">
        <v>0</v>
      </c>
      <c r="CE20" s="5">
        <v>0</v>
      </c>
      <c r="CF20" s="5">
        <v>0</v>
      </c>
      <c r="CG20" s="5">
        <v>0</v>
      </c>
      <c r="CH20" s="5">
        <v>0</v>
      </c>
      <c r="CI20" s="5">
        <v>0</v>
      </c>
      <c r="CJ20" s="5">
        <v>0</v>
      </c>
      <c r="CK20" s="5">
        <v>0</v>
      </c>
      <c r="CL20" s="5">
        <v>0</v>
      </c>
      <c r="CM20" s="5">
        <v>0</v>
      </c>
      <c r="CN20" s="5">
        <v>0</v>
      </c>
      <c r="CO20" s="5">
        <v>0</v>
      </c>
      <c r="CP20" s="5">
        <v>0</v>
      </c>
      <c r="CQ20" s="5">
        <v>0</v>
      </c>
      <c r="CR20" s="5">
        <v>0</v>
      </c>
      <c r="CS20" s="5">
        <v>0</v>
      </c>
      <c r="CT20" s="5">
        <v>0</v>
      </c>
      <c r="CU20" s="5">
        <v>0</v>
      </c>
      <c r="CV20" s="5">
        <v>0</v>
      </c>
      <c r="CW20" s="5">
        <v>0</v>
      </c>
      <c r="CX20" s="5">
        <v>0</v>
      </c>
      <c r="CY20" s="5">
        <v>0</v>
      </c>
      <c r="CZ20" s="5">
        <v>0</v>
      </c>
      <c r="DA20" s="5">
        <v>0</v>
      </c>
      <c r="DB20" s="5">
        <v>0</v>
      </c>
      <c r="DC20" s="5">
        <v>0</v>
      </c>
      <c r="DD20" s="5">
        <v>0</v>
      </c>
      <c r="DE20" s="5">
        <v>0</v>
      </c>
      <c r="DF20" s="5">
        <v>0</v>
      </c>
      <c r="DG20" s="5">
        <v>0</v>
      </c>
      <c r="DH20" s="5">
        <v>0</v>
      </c>
      <c r="DI20" s="5">
        <v>0</v>
      </c>
      <c r="DJ20" s="5">
        <v>0</v>
      </c>
      <c r="DK20" s="5">
        <v>0</v>
      </c>
      <c r="DL20" s="5">
        <v>0</v>
      </c>
      <c r="DM20" s="5">
        <v>0</v>
      </c>
      <c r="DN20" s="5">
        <v>0</v>
      </c>
      <c r="DO20" s="5">
        <v>0</v>
      </c>
      <c r="DP20" s="5">
        <v>0</v>
      </c>
      <c r="DQ20" s="5">
        <v>0</v>
      </c>
      <c r="DR20" s="5">
        <v>0</v>
      </c>
      <c r="DS20" s="5">
        <v>0</v>
      </c>
      <c r="DT20" s="5">
        <v>0</v>
      </c>
      <c r="DU20" s="5">
        <v>0</v>
      </c>
    </row>
    <row r="21" spans="1:125" x14ac:dyDescent="0.25">
      <c r="A21" t="str">
        <f>IF(Input!A22="","",Input!A22)</f>
        <v>Schroder Sustainable Portfolio 4</v>
      </c>
      <c r="C21" s="5"/>
      <c r="D21" s="5"/>
      <c r="E21" s="5"/>
      <c r="H21" s="5"/>
      <c r="J21" s="5"/>
      <c r="K21" s="5"/>
      <c r="L21" s="5"/>
      <c r="M21" s="5"/>
      <c r="N21" s="5"/>
      <c r="O21" s="5"/>
      <c r="P21" s="5"/>
      <c r="Q21" s="5"/>
      <c r="R21" s="5"/>
      <c r="T21" s="5"/>
      <c r="U21" s="5"/>
      <c r="W21" s="5"/>
      <c r="X21" s="5"/>
      <c r="Y21" s="5"/>
      <c r="BN21" s="5">
        <v>0</v>
      </c>
      <c r="BO21" s="5">
        <v>0</v>
      </c>
      <c r="BP21" s="5">
        <v>0</v>
      </c>
      <c r="BQ21" s="5">
        <v>0</v>
      </c>
      <c r="BR21" s="5">
        <v>0</v>
      </c>
      <c r="BS21" s="5">
        <v>0</v>
      </c>
      <c r="BT21" s="5">
        <v>0</v>
      </c>
      <c r="BU21" s="5">
        <v>0</v>
      </c>
      <c r="BV21" s="5">
        <v>0</v>
      </c>
      <c r="BW21" s="5">
        <v>0</v>
      </c>
      <c r="BX21" s="5">
        <v>0</v>
      </c>
      <c r="BY21" s="5">
        <v>0</v>
      </c>
      <c r="BZ21" s="5">
        <v>0</v>
      </c>
      <c r="CA21" s="5">
        <v>0</v>
      </c>
      <c r="CB21" s="5">
        <v>0</v>
      </c>
      <c r="CC21" s="5">
        <v>0</v>
      </c>
      <c r="CD21" s="5">
        <v>0</v>
      </c>
      <c r="CE21" s="5">
        <v>0</v>
      </c>
      <c r="CF21" s="5">
        <v>0</v>
      </c>
      <c r="CG21" s="5">
        <v>0</v>
      </c>
      <c r="CH21" s="5">
        <v>0</v>
      </c>
      <c r="CI21" s="5">
        <v>0</v>
      </c>
      <c r="CJ21" s="5">
        <v>0</v>
      </c>
      <c r="CK21" s="5">
        <v>0</v>
      </c>
      <c r="CL21" s="5">
        <v>0</v>
      </c>
      <c r="CM21" s="5">
        <v>0</v>
      </c>
      <c r="CN21" s="5">
        <v>0</v>
      </c>
      <c r="CO21" s="5">
        <v>0</v>
      </c>
      <c r="CP21" s="5">
        <v>0</v>
      </c>
      <c r="CQ21" s="5">
        <v>0</v>
      </c>
      <c r="CR21" s="5">
        <v>0</v>
      </c>
      <c r="CS21" s="5">
        <v>0</v>
      </c>
      <c r="CT21" s="5">
        <v>0</v>
      </c>
      <c r="CU21" s="5">
        <v>0</v>
      </c>
      <c r="CV21" s="5">
        <v>0</v>
      </c>
      <c r="CW21" s="5">
        <v>0</v>
      </c>
      <c r="CX21" s="5">
        <v>0</v>
      </c>
      <c r="CY21" s="5">
        <v>0</v>
      </c>
      <c r="CZ21" s="5">
        <v>0</v>
      </c>
      <c r="DA21" s="5">
        <v>0</v>
      </c>
      <c r="DB21" s="5">
        <v>0</v>
      </c>
      <c r="DC21" s="5">
        <v>0</v>
      </c>
      <c r="DD21" s="5">
        <v>0</v>
      </c>
      <c r="DE21" s="5">
        <v>0</v>
      </c>
      <c r="DF21" s="5">
        <v>0</v>
      </c>
      <c r="DG21" s="5">
        <v>0</v>
      </c>
      <c r="DH21" s="5">
        <v>0</v>
      </c>
      <c r="DI21" s="5">
        <v>0</v>
      </c>
      <c r="DJ21" s="5">
        <v>0</v>
      </c>
      <c r="DK21" s="5">
        <v>0</v>
      </c>
      <c r="DL21" s="5">
        <v>0</v>
      </c>
      <c r="DM21" s="5">
        <v>0</v>
      </c>
      <c r="DN21" s="5">
        <v>0</v>
      </c>
      <c r="DO21" s="5">
        <v>0</v>
      </c>
      <c r="DP21" s="5">
        <v>0</v>
      </c>
      <c r="DQ21" s="5">
        <v>0</v>
      </c>
      <c r="DR21" s="5">
        <v>0</v>
      </c>
      <c r="DS21" s="5">
        <v>0</v>
      </c>
      <c r="DT21" s="5">
        <v>0</v>
      </c>
      <c r="DU21" s="5">
        <v>0</v>
      </c>
    </row>
    <row r="22" spans="1:125" x14ac:dyDescent="0.25">
      <c r="A22" t="str">
        <f>IF(Input!A23="","",Input!A23)</f>
        <v>Schroder Sustainable Portfolio 5</v>
      </c>
      <c r="C22" s="5"/>
      <c r="D22" s="5"/>
      <c r="H22" s="5"/>
      <c r="I22" s="5"/>
      <c r="J22" s="5"/>
      <c r="K22" s="5"/>
      <c r="L22" s="5"/>
      <c r="M22" s="5"/>
      <c r="N22" s="5"/>
      <c r="O22" s="5"/>
      <c r="Q22" s="5"/>
      <c r="R22" s="5"/>
      <c r="T22" s="5"/>
      <c r="U22" s="5"/>
      <c r="Z22" s="5"/>
      <c r="BN22" s="5">
        <v>0</v>
      </c>
      <c r="BO22" s="5">
        <v>0</v>
      </c>
      <c r="BP22" s="5">
        <v>0</v>
      </c>
      <c r="BQ22" s="5">
        <v>0</v>
      </c>
      <c r="BR22" s="5">
        <v>0</v>
      </c>
      <c r="BS22" s="5">
        <v>0</v>
      </c>
      <c r="BT22" s="5">
        <v>0</v>
      </c>
      <c r="BU22" s="5">
        <v>0</v>
      </c>
      <c r="BV22" s="5">
        <v>0</v>
      </c>
      <c r="BW22" s="5">
        <v>0</v>
      </c>
      <c r="BX22" s="5">
        <v>0</v>
      </c>
      <c r="BY22" s="5">
        <v>0</v>
      </c>
      <c r="BZ22" s="5">
        <v>0</v>
      </c>
      <c r="CA22" s="5">
        <v>0</v>
      </c>
      <c r="CB22" s="5">
        <v>0</v>
      </c>
      <c r="CC22" s="5">
        <v>0</v>
      </c>
      <c r="CD22" s="5">
        <v>0</v>
      </c>
      <c r="CE22" s="5">
        <v>0</v>
      </c>
      <c r="CF22" s="5">
        <v>0</v>
      </c>
      <c r="CG22" s="5">
        <v>0</v>
      </c>
      <c r="CH22" s="5">
        <v>0</v>
      </c>
      <c r="CI22" s="5">
        <v>0</v>
      </c>
      <c r="CJ22" s="5">
        <v>0</v>
      </c>
      <c r="CK22" s="5">
        <v>0</v>
      </c>
      <c r="CL22" s="5">
        <v>0</v>
      </c>
      <c r="CM22" s="5">
        <v>0</v>
      </c>
      <c r="CN22" s="5">
        <v>0</v>
      </c>
      <c r="CO22" s="5">
        <v>0</v>
      </c>
      <c r="CP22" s="5">
        <v>0</v>
      </c>
      <c r="CQ22" s="5">
        <v>0</v>
      </c>
      <c r="CR22" s="5">
        <v>0</v>
      </c>
      <c r="CS22" s="5">
        <v>0</v>
      </c>
      <c r="CT22" s="5">
        <v>0</v>
      </c>
      <c r="CU22" s="5">
        <v>0</v>
      </c>
      <c r="CV22" s="5">
        <v>0</v>
      </c>
      <c r="CW22" s="5">
        <v>0</v>
      </c>
      <c r="CX22" s="5">
        <v>0</v>
      </c>
      <c r="CY22" s="5">
        <v>0</v>
      </c>
      <c r="CZ22" s="5">
        <v>0</v>
      </c>
      <c r="DA22" s="5">
        <v>0</v>
      </c>
      <c r="DB22" s="5">
        <v>0</v>
      </c>
      <c r="DC22" s="5">
        <v>0</v>
      </c>
      <c r="DD22" s="5">
        <v>0</v>
      </c>
      <c r="DE22" s="5">
        <v>0</v>
      </c>
      <c r="DF22" s="5">
        <v>0</v>
      </c>
      <c r="DG22" s="5">
        <v>0</v>
      </c>
      <c r="DH22" s="5">
        <v>0</v>
      </c>
      <c r="DI22" s="5">
        <v>0</v>
      </c>
      <c r="DJ22" s="5">
        <v>0</v>
      </c>
      <c r="DK22" s="5">
        <v>0</v>
      </c>
      <c r="DL22" s="5">
        <v>0</v>
      </c>
      <c r="DM22" s="5">
        <v>0</v>
      </c>
      <c r="DN22" s="5">
        <v>0</v>
      </c>
      <c r="DO22" s="5">
        <v>0</v>
      </c>
      <c r="DP22" s="5">
        <v>0</v>
      </c>
      <c r="DQ22" s="5">
        <v>0</v>
      </c>
      <c r="DR22" s="5">
        <v>0</v>
      </c>
      <c r="DS22" s="5">
        <v>0</v>
      </c>
      <c r="DT22" s="5">
        <v>0</v>
      </c>
      <c r="DU22" s="5">
        <v>0</v>
      </c>
    </row>
    <row r="23" spans="1:125" x14ac:dyDescent="0.25">
      <c r="A23" t="str">
        <f>IF(Input!A24="","",Input!A24)</f>
        <v>Schroder Sustainable Portfolio 6</v>
      </c>
      <c r="C23" s="5"/>
      <c r="D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T23" s="5"/>
      <c r="U23" s="5"/>
      <c r="Y23" s="5"/>
      <c r="AB23" s="5"/>
      <c r="BN23" s="5">
        <v>0</v>
      </c>
      <c r="BO23" s="5">
        <v>0</v>
      </c>
      <c r="BP23" s="5">
        <v>0</v>
      </c>
      <c r="BQ23" s="5">
        <v>0</v>
      </c>
      <c r="BR23" s="5">
        <v>0</v>
      </c>
      <c r="BS23" s="5">
        <v>0</v>
      </c>
      <c r="BT23" s="5">
        <v>0</v>
      </c>
      <c r="BU23" s="5">
        <v>0</v>
      </c>
      <c r="BV23" s="5">
        <v>0</v>
      </c>
      <c r="BW23" s="5">
        <v>0</v>
      </c>
      <c r="BX23" s="5">
        <v>0</v>
      </c>
      <c r="BY23" s="5">
        <v>0</v>
      </c>
      <c r="BZ23" s="5">
        <v>0</v>
      </c>
      <c r="CA23" s="5">
        <v>0</v>
      </c>
      <c r="CB23" s="5">
        <v>0</v>
      </c>
      <c r="CC23" s="5">
        <v>0</v>
      </c>
      <c r="CD23" s="5">
        <v>0</v>
      </c>
      <c r="CE23" s="5">
        <v>0</v>
      </c>
      <c r="CF23" s="5">
        <v>0</v>
      </c>
      <c r="CG23" s="5">
        <v>0</v>
      </c>
      <c r="CH23" s="5">
        <v>0</v>
      </c>
      <c r="CI23" s="5">
        <v>0</v>
      </c>
      <c r="CJ23" s="5">
        <v>0</v>
      </c>
      <c r="CK23" s="5">
        <v>0</v>
      </c>
      <c r="CL23" s="5">
        <v>0</v>
      </c>
      <c r="CM23" s="5">
        <v>0</v>
      </c>
      <c r="CN23" s="5">
        <v>0</v>
      </c>
      <c r="CO23" s="5">
        <v>0</v>
      </c>
      <c r="CP23" s="5">
        <v>0</v>
      </c>
      <c r="CQ23" s="5">
        <v>0</v>
      </c>
      <c r="CR23" s="5">
        <v>0</v>
      </c>
      <c r="CS23" s="5">
        <v>0</v>
      </c>
      <c r="CT23" s="5">
        <v>0</v>
      </c>
      <c r="CU23" s="5">
        <v>0</v>
      </c>
      <c r="CV23" s="5">
        <v>0</v>
      </c>
      <c r="CW23" s="5">
        <v>0</v>
      </c>
      <c r="CX23" s="5">
        <v>0</v>
      </c>
      <c r="CY23" s="5">
        <v>0</v>
      </c>
      <c r="CZ23" s="5">
        <v>0</v>
      </c>
      <c r="DA23" s="5">
        <v>0</v>
      </c>
      <c r="DB23" s="5">
        <v>0</v>
      </c>
      <c r="DC23" s="5">
        <v>0</v>
      </c>
      <c r="DD23" s="5">
        <v>0</v>
      </c>
      <c r="DE23" s="5">
        <v>0</v>
      </c>
      <c r="DF23" s="5">
        <v>0</v>
      </c>
      <c r="DG23" s="5">
        <v>0</v>
      </c>
      <c r="DH23" s="5">
        <v>0</v>
      </c>
      <c r="DI23" s="5">
        <v>0</v>
      </c>
      <c r="DJ23" s="5">
        <v>0</v>
      </c>
      <c r="DK23" s="5">
        <v>0</v>
      </c>
      <c r="DL23" s="5">
        <v>0</v>
      </c>
      <c r="DM23" s="5">
        <v>0</v>
      </c>
      <c r="DN23" s="5">
        <v>0</v>
      </c>
      <c r="DO23" s="5">
        <v>0</v>
      </c>
      <c r="DP23" s="5">
        <v>0</v>
      </c>
      <c r="DQ23" s="5">
        <v>0</v>
      </c>
      <c r="DR23" s="5">
        <v>0</v>
      </c>
      <c r="DS23" s="5">
        <v>0</v>
      </c>
      <c r="DT23" s="5">
        <v>0</v>
      </c>
      <c r="DU23" s="5">
        <v>0</v>
      </c>
    </row>
    <row r="24" spans="1:125" x14ac:dyDescent="0.25">
      <c r="A24" t="str">
        <f>IF(Input!A25="","",Input!A25)</f>
        <v>Schroder Sustainable Portfolio 7</v>
      </c>
      <c r="D24" s="5"/>
      <c r="E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T24" s="5"/>
      <c r="U24" s="5"/>
      <c r="Y24" s="5"/>
      <c r="BN24" s="5">
        <v>0</v>
      </c>
      <c r="BO24" s="5">
        <v>0</v>
      </c>
      <c r="BP24" s="5">
        <v>0</v>
      </c>
      <c r="BQ24" s="5">
        <v>0</v>
      </c>
      <c r="BR24" s="5">
        <v>0</v>
      </c>
      <c r="BS24" s="5">
        <v>0</v>
      </c>
      <c r="BT24" s="5">
        <v>0</v>
      </c>
      <c r="BU24" s="5">
        <v>0</v>
      </c>
      <c r="BV24" s="5">
        <v>0</v>
      </c>
      <c r="BW24" s="5">
        <v>0</v>
      </c>
      <c r="BX24" s="5">
        <v>0</v>
      </c>
      <c r="BY24" s="5">
        <v>0</v>
      </c>
      <c r="BZ24" s="5">
        <v>0</v>
      </c>
      <c r="CA24" s="5">
        <v>0</v>
      </c>
      <c r="CB24" s="5">
        <v>0</v>
      </c>
      <c r="CC24" s="5">
        <v>0</v>
      </c>
      <c r="CD24" s="5">
        <v>0</v>
      </c>
      <c r="CE24" s="5">
        <v>0</v>
      </c>
      <c r="CF24" s="5">
        <v>0</v>
      </c>
      <c r="CG24" s="5">
        <v>0</v>
      </c>
      <c r="CH24" s="5">
        <v>0</v>
      </c>
      <c r="CI24" s="5">
        <v>0</v>
      </c>
      <c r="CJ24" s="5">
        <v>0</v>
      </c>
      <c r="CK24" s="5">
        <v>0</v>
      </c>
      <c r="CL24" s="5">
        <v>0</v>
      </c>
      <c r="CM24" s="5">
        <v>0</v>
      </c>
      <c r="CN24" s="5">
        <v>0</v>
      </c>
      <c r="CO24" s="5">
        <v>0</v>
      </c>
      <c r="CP24" s="5">
        <v>0</v>
      </c>
      <c r="CQ24" s="5">
        <v>0</v>
      </c>
      <c r="CR24" s="5">
        <v>0</v>
      </c>
      <c r="CS24" s="5">
        <v>0</v>
      </c>
      <c r="CT24" s="5">
        <v>0</v>
      </c>
      <c r="CU24" s="5">
        <v>0</v>
      </c>
      <c r="CV24" s="5">
        <v>0</v>
      </c>
      <c r="CW24" s="5">
        <v>0</v>
      </c>
      <c r="CX24" s="5">
        <v>0</v>
      </c>
      <c r="CY24" s="5">
        <v>0</v>
      </c>
      <c r="CZ24" s="5">
        <v>0</v>
      </c>
      <c r="DA24" s="5">
        <v>0</v>
      </c>
      <c r="DB24" s="5">
        <v>0</v>
      </c>
      <c r="DC24" s="5">
        <v>0</v>
      </c>
      <c r="DD24" s="5">
        <v>0</v>
      </c>
      <c r="DE24" s="5">
        <v>0</v>
      </c>
      <c r="DF24" s="5">
        <v>0</v>
      </c>
      <c r="DG24" s="5">
        <v>0</v>
      </c>
      <c r="DH24" s="5">
        <v>0</v>
      </c>
      <c r="DI24" s="5">
        <v>0</v>
      </c>
      <c r="DJ24" s="5">
        <v>0</v>
      </c>
      <c r="DK24" s="5">
        <v>0</v>
      </c>
      <c r="DL24" s="5">
        <v>0</v>
      </c>
      <c r="DM24" s="5">
        <v>0</v>
      </c>
      <c r="DN24" s="5">
        <v>0</v>
      </c>
      <c r="DO24" s="5">
        <v>0</v>
      </c>
      <c r="DP24" s="5">
        <v>0</v>
      </c>
      <c r="DQ24" s="5">
        <v>0</v>
      </c>
      <c r="DR24" s="5">
        <v>0</v>
      </c>
      <c r="DS24" s="5">
        <v>0</v>
      </c>
      <c r="DT24" s="5">
        <v>0</v>
      </c>
      <c r="DU24" s="5">
        <v>0</v>
      </c>
    </row>
    <row r="25" spans="1:125" x14ac:dyDescent="0.25">
      <c r="A25" t="str">
        <f>IF(Input!A26="","",Input!A26)</f>
        <v>Schroder Sustainable Portfolio 8</v>
      </c>
      <c r="D25" s="5"/>
      <c r="E25" s="5"/>
      <c r="H25" s="5"/>
      <c r="K25" s="5"/>
      <c r="L25" s="5"/>
      <c r="N25" s="5"/>
      <c r="O25" s="5"/>
      <c r="P25" s="5"/>
      <c r="R25" s="5"/>
      <c r="U25" s="5"/>
      <c r="W25" s="5"/>
      <c r="AB25" s="5"/>
      <c r="BN25" s="5">
        <v>0</v>
      </c>
      <c r="BO25" s="5">
        <v>0</v>
      </c>
      <c r="BP25" s="5">
        <v>0</v>
      </c>
      <c r="BQ25" s="5">
        <v>0</v>
      </c>
      <c r="BR25" s="5">
        <v>0</v>
      </c>
      <c r="BS25" s="5">
        <v>0</v>
      </c>
      <c r="BT25" s="5">
        <v>0</v>
      </c>
      <c r="BU25" s="5">
        <v>0</v>
      </c>
      <c r="BV25" s="5">
        <v>0</v>
      </c>
      <c r="BW25" s="5">
        <v>0</v>
      </c>
      <c r="BX25" s="5">
        <v>0</v>
      </c>
      <c r="BY25" s="5">
        <v>0</v>
      </c>
      <c r="BZ25" s="5">
        <v>0</v>
      </c>
      <c r="CA25" s="5">
        <v>0</v>
      </c>
      <c r="CB25" s="5">
        <v>0</v>
      </c>
      <c r="CC25" s="5">
        <v>0</v>
      </c>
      <c r="CD25" s="5">
        <v>0</v>
      </c>
      <c r="CE25" s="5">
        <v>0</v>
      </c>
      <c r="CF25" s="5">
        <v>0</v>
      </c>
      <c r="CG25" s="5">
        <v>0</v>
      </c>
      <c r="CH25" s="5">
        <v>0</v>
      </c>
      <c r="CI25" s="5">
        <v>0</v>
      </c>
      <c r="CJ25" s="5">
        <v>0</v>
      </c>
      <c r="CK25" s="5">
        <v>0</v>
      </c>
      <c r="CL25" s="5">
        <v>0</v>
      </c>
      <c r="CM25" s="5">
        <v>0</v>
      </c>
      <c r="CN25" s="5">
        <v>0</v>
      </c>
      <c r="CO25" s="5">
        <v>0</v>
      </c>
      <c r="CP25" s="5">
        <v>0</v>
      </c>
      <c r="CQ25" s="5">
        <v>0</v>
      </c>
      <c r="CR25" s="5">
        <v>0</v>
      </c>
      <c r="CS25" s="5">
        <v>0</v>
      </c>
      <c r="CT25" s="5">
        <v>0</v>
      </c>
      <c r="CU25" s="5">
        <v>0</v>
      </c>
      <c r="CV25" s="5">
        <v>0</v>
      </c>
      <c r="CW25" s="5">
        <v>0</v>
      </c>
      <c r="CX25" s="5">
        <v>0</v>
      </c>
      <c r="CY25" s="5">
        <v>0</v>
      </c>
      <c r="CZ25" s="5">
        <v>0</v>
      </c>
      <c r="DA25" s="5">
        <v>0</v>
      </c>
      <c r="DB25" s="5">
        <v>0</v>
      </c>
      <c r="DC25" s="5">
        <v>0</v>
      </c>
      <c r="DD25" s="5">
        <v>0</v>
      </c>
      <c r="DE25" s="5">
        <v>0</v>
      </c>
      <c r="DF25" s="5">
        <v>0</v>
      </c>
      <c r="DG25" s="5">
        <v>0</v>
      </c>
      <c r="DH25" s="5">
        <v>0</v>
      </c>
      <c r="DI25" s="5">
        <v>0</v>
      </c>
      <c r="DJ25" s="5">
        <v>0</v>
      </c>
      <c r="DK25" s="5">
        <v>0</v>
      </c>
      <c r="DL25" s="5">
        <v>0</v>
      </c>
      <c r="DM25" s="5">
        <v>0</v>
      </c>
      <c r="DN25" s="5">
        <v>0</v>
      </c>
      <c r="DO25" s="5">
        <v>0</v>
      </c>
      <c r="DP25" s="5">
        <v>0</v>
      </c>
      <c r="DQ25" s="5">
        <v>0</v>
      </c>
      <c r="DR25" s="5">
        <v>0</v>
      </c>
      <c r="DS25" s="5">
        <v>0</v>
      </c>
      <c r="DT25" s="5">
        <v>0</v>
      </c>
      <c r="DU25" s="5">
        <v>0</v>
      </c>
    </row>
    <row r="26" spans="1:125" x14ac:dyDescent="0.25">
      <c r="A26" t="str">
        <f>IF(Input!A27="","",Input!A27)</f>
        <v>Schroder Blended Portfolio 3</v>
      </c>
      <c r="C26" s="5"/>
      <c r="D26" s="5"/>
      <c r="E26" s="5"/>
      <c r="H26" s="5"/>
      <c r="K26" s="5"/>
      <c r="L26" s="5"/>
      <c r="N26" s="5"/>
      <c r="O26" s="5"/>
      <c r="P26" s="5"/>
      <c r="R26" s="5"/>
      <c r="U26" s="5"/>
      <c r="W26" s="5"/>
      <c r="AB26" s="5"/>
      <c r="BN26" s="5">
        <v>0</v>
      </c>
      <c r="BO26" s="5">
        <v>0</v>
      </c>
      <c r="BP26" s="5">
        <v>0</v>
      </c>
      <c r="BQ26" s="5">
        <v>0</v>
      </c>
      <c r="BR26" s="5">
        <v>0</v>
      </c>
      <c r="BS26" s="5">
        <v>0</v>
      </c>
      <c r="BT26" s="5">
        <v>0</v>
      </c>
      <c r="BU26" s="5">
        <v>0</v>
      </c>
      <c r="BV26" s="5">
        <v>0</v>
      </c>
      <c r="BW26" s="5">
        <v>0</v>
      </c>
      <c r="BX26" s="5">
        <v>0</v>
      </c>
      <c r="BY26" s="5">
        <v>0</v>
      </c>
      <c r="BZ26" s="5">
        <v>0</v>
      </c>
      <c r="CA26" s="5">
        <v>0</v>
      </c>
      <c r="CB26" s="5">
        <v>0</v>
      </c>
      <c r="CC26" s="5">
        <v>0</v>
      </c>
      <c r="CD26" s="5">
        <v>0</v>
      </c>
      <c r="CE26" s="5">
        <v>0</v>
      </c>
      <c r="CF26" s="5">
        <v>0</v>
      </c>
      <c r="CG26" s="5">
        <v>0</v>
      </c>
      <c r="CH26" s="5">
        <v>0</v>
      </c>
      <c r="CI26" s="5">
        <v>0</v>
      </c>
      <c r="CJ26" s="5">
        <v>0</v>
      </c>
      <c r="CK26" s="5">
        <v>0</v>
      </c>
      <c r="CL26" s="5">
        <v>0</v>
      </c>
      <c r="CM26" s="5">
        <v>0</v>
      </c>
      <c r="CN26" s="5">
        <v>0</v>
      </c>
      <c r="CO26" s="5">
        <v>0</v>
      </c>
      <c r="CP26" s="5">
        <v>0</v>
      </c>
      <c r="CQ26" s="5">
        <v>0</v>
      </c>
      <c r="CR26" s="5">
        <v>0</v>
      </c>
      <c r="CS26" s="5">
        <v>0</v>
      </c>
      <c r="CT26" s="5">
        <v>0</v>
      </c>
      <c r="CU26" s="5">
        <v>0</v>
      </c>
      <c r="CV26" s="5">
        <v>0</v>
      </c>
      <c r="CW26" s="5">
        <v>0</v>
      </c>
      <c r="CX26" s="5">
        <v>0</v>
      </c>
      <c r="CY26" s="5">
        <v>0</v>
      </c>
      <c r="CZ26" s="5">
        <v>0</v>
      </c>
      <c r="DA26" s="5">
        <v>0</v>
      </c>
      <c r="DB26" s="5">
        <v>0</v>
      </c>
      <c r="DC26" s="5">
        <v>0</v>
      </c>
      <c r="DD26" s="5">
        <v>0</v>
      </c>
      <c r="DE26" s="5">
        <v>0</v>
      </c>
      <c r="DF26" s="5">
        <v>0</v>
      </c>
      <c r="DG26" s="5">
        <v>0</v>
      </c>
      <c r="DH26" s="5">
        <v>0</v>
      </c>
      <c r="DI26" s="5">
        <v>0</v>
      </c>
      <c r="DJ26" s="5">
        <v>0</v>
      </c>
      <c r="DK26" s="5">
        <v>0</v>
      </c>
      <c r="DL26" s="5">
        <v>0</v>
      </c>
      <c r="DM26" s="5">
        <v>0</v>
      </c>
      <c r="DN26" s="5">
        <v>0</v>
      </c>
      <c r="DO26" s="5">
        <v>0</v>
      </c>
      <c r="DP26" s="5">
        <v>0</v>
      </c>
      <c r="DQ26" s="5">
        <v>0</v>
      </c>
      <c r="DR26" s="5">
        <v>0</v>
      </c>
      <c r="DS26" s="5">
        <v>0</v>
      </c>
      <c r="DT26" s="5">
        <v>0</v>
      </c>
      <c r="DU26" s="5">
        <v>0</v>
      </c>
    </row>
    <row r="27" spans="1:125" x14ac:dyDescent="0.25">
      <c r="A27" t="str">
        <f>IF(Input!A28="","",Input!A28)</f>
        <v>Schroder Blended Portfolio 4</v>
      </c>
      <c r="C27" s="5"/>
      <c r="D27" s="5"/>
      <c r="E27" s="5"/>
      <c r="H27" s="5"/>
      <c r="K27" s="5"/>
      <c r="L27" s="5"/>
      <c r="N27" s="5"/>
      <c r="P27" s="5"/>
      <c r="R27" s="5"/>
      <c r="U27" s="5"/>
      <c r="W27" s="5"/>
      <c r="AB27" s="5"/>
      <c r="BN27" s="5">
        <v>0</v>
      </c>
      <c r="BO27" s="5">
        <v>0</v>
      </c>
      <c r="BP27" s="5">
        <v>0</v>
      </c>
      <c r="BQ27" s="5">
        <v>0</v>
      </c>
      <c r="BR27" s="5">
        <v>0</v>
      </c>
      <c r="BS27" s="5">
        <v>0</v>
      </c>
      <c r="BT27" s="5">
        <v>0</v>
      </c>
      <c r="BU27" s="5">
        <v>0</v>
      </c>
      <c r="BV27" s="5">
        <v>0</v>
      </c>
      <c r="BW27" s="5">
        <v>0</v>
      </c>
      <c r="BX27" s="5">
        <v>0</v>
      </c>
      <c r="BY27" s="5">
        <v>0</v>
      </c>
      <c r="BZ27" s="5">
        <v>0</v>
      </c>
      <c r="CA27" s="5">
        <v>0</v>
      </c>
      <c r="CB27" s="5">
        <v>0</v>
      </c>
      <c r="CC27" s="5">
        <v>0</v>
      </c>
      <c r="CD27" s="5">
        <v>0</v>
      </c>
      <c r="CE27" s="5">
        <v>0</v>
      </c>
      <c r="CF27" s="5">
        <v>0</v>
      </c>
      <c r="CG27" s="5">
        <v>0</v>
      </c>
      <c r="CH27" s="5">
        <v>0</v>
      </c>
      <c r="CI27" s="5">
        <v>0</v>
      </c>
      <c r="CJ27" s="5">
        <v>0</v>
      </c>
      <c r="CK27" s="5">
        <v>0</v>
      </c>
      <c r="CL27" s="5">
        <v>0</v>
      </c>
      <c r="CM27" s="5">
        <v>0</v>
      </c>
      <c r="CN27" s="5">
        <v>0</v>
      </c>
      <c r="CO27" s="5">
        <v>0</v>
      </c>
      <c r="CP27" s="5">
        <v>0</v>
      </c>
      <c r="CQ27" s="5">
        <v>0</v>
      </c>
      <c r="CR27" s="5">
        <v>0</v>
      </c>
      <c r="CS27" s="5">
        <v>0</v>
      </c>
      <c r="CT27" s="5">
        <v>0</v>
      </c>
      <c r="CU27" s="5">
        <v>0</v>
      </c>
      <c r="CV27" s="5">
        <v>0</v>
      </c>
      <c r="CW27" s="5">
        <v>0</v>
      </c>
      <c r="CX27" s="5">
        <v>0</v>
      </c>
      <c r="CY27" s="5">
        <v>0</v>
      </c>
      <c r="CZ27" s="5">
        <v>0</v>
      </c>
      <c r="DA27" s="5">
        <v>0</v>
      </c>
      <c r="DB27" s="5">
        <v>0</v>
      </c>
      <c r="DC27" s="5">
        <v>0</v>
      </c>
      <c r="DD27" s="5">
        <v>0</v>
      </c>
      <c r="DE27" s="5">
        <v>0</v>
      </c>
      <c r="DF27" s="5">
        <v>0</v>
      </c>
      <c r="DG27" s="5">
        <v>0</v>
      </c>
      <c r="DH27" s="5">
        <v>0</v>
      </c>
      <c r="DI27" s="5">
        <v>0</v>
      </c>
      <c r="DJ27" s="5">
        <v>0</v>
      </c>
      <c r="DK27" s="5">
        <v>0</v>
      </c>
      <c r="DL27" s="5">
        <v>0</v>
      </c>
      <c r="DM27" s="5">
        <v>0</v>
      </c>
      <c r="DN27" s="5">
        <v>0</v>
      </c>
      <c r="DO27" s="5">
        <v>0</v>
      </c>
      <c r="DP27" s="5">
        <v>0</v>
      </c>
      <c r="DQ27" s="5">
        <v>0</v>
      </c>
      <c r="DR27" s="5">
        <v>0</v>
      </c>
      <c r="DS27" s="5">
        <v>0</v>
      </c>
      <c r="DT27" s="5">
        <v>0</v>
      </c>
      <c r="DU27" s="5">
        <v>0</v>
      </c>
    </row>
    <row r="28" spans="1:125" x14ac:dyDescent="0.25">
      <c r="A28" t="str">
        <f>IF(Input!A29="","",Input!A29)</f>
        <v>Schroder Blended Portfolio 5</v>
      </c>
      <c r="D28" s="5"/>
      <c r="E28" s="5"/>
      <c r="H28" s="5"/>
      <c r="L28" s="5"/>
      <c r="N28" s="5"/>
      <c r="P28" s="5"/>
      <c r="R28" s="5"/>
      <c r="U28" s="5"/>
      <c r="W28" s="5"/>
      <c r="AB28" s="5"/>
      <c r="AC28" s="5"/>
      <c r="BN28" s="5">
        <v>0</v>
      </c>
      <c r="BO28" s="5">
        <v>0</v>
      </c>
      <c r="BP28" s="5">
        <v>0</v>
      </c>
      <c r="BQ28" s="5">
        <v>0</v>
      </c>
      <c r="BR28" s="5">
        <v>0</v>
      </c>
      <c r="BS28" s="5">
        <v>0</v>
      </c>
      <c r="BT28" s="5">
        <v>0</v>
      </c>
      <c r="BU28" s="5">
        <v>0</v>
      </c>
      <c r="BV28" s="5">
        <v>0</v>
      </c>
      <c r="BW28" s="5">
        <v>0</v>
      </c>
      <c r="BX28" s="5">
        <v>0</v>
      </c>
      <c r="BY28" s="5">
        <v>0</v>
      </c>
      <c r="BZ28" s="5">
        <v>0</v>
      </c>
      <c r="CA28" s="5">
        <v>0</v>
      </c>
      <c r="CB28" s="5">
        <v>0</v>
      </c>
      <c r="CC28" s="5">
        <v>0</v>
      </c>
      <c r="CD28" s="5">
        <v>0</v>
      </c>
      <c r="CE28" s="5">
        <v>0</v>
      </c>
      <c r="CF28" s="5">
        <v>0</v>
      </c>
      <c r="CG28" s="5">
        <v>0</v>
      </c>
      <c r="CH28" s="5">
        <v>0</v>
      </c>
      <c r="CI28" s="5">
        <v>0</v>
      </c>
      <c r="CJ28" s="5">
        <v>0</v>
      </c>
      <c r="CK28" s="5">
        <v>0</v>
      </c>
      <c r="CL28" s="5">
        <v>0</v>
      </c>
      <c r="CM28" s="5">
        <v>0</v>
      </c>
      <c r="CN28" s="5">
        <v>0</v>
      </c>
      <c r="CO28" s="5">
        <v>0</v>
      </c>
      <c r="CP28" s="5">
        <v>0</v>
      </c>
      <c r="CQ28" s="5">
        <v>0</v>
      </c>
      <c r="CR28" s="5">
        <v>0</v>
      </c>
      <c r="CS28" s="5">
        <v>0</v>
      </c>
      <c r="CT28" s="5">
        <v>0</v>
      </c>
      <c r="CU28" s="5">
        <v>0</v>
      </c>
      <c r="CV28" s="5">
        <v>0</v>
      </c>
      <c r="CW28" s="5">
        <v>0</v>
      </c>
      <c r="CX28" s="5">
        <v>0</v>
      </c>
      <c r="CY28" s="5">
        <v>0</v>
      </c>
      <c r="CZ28" s="5">
        <v>0</v>
      </c>
      <c r="DA28" s="5">
        <v>0</v>
      </c>
      <c r="DB28" s="5">
        <v>0</v>
      </c>
      <c r="DC28" s="5">
        <v>0</v>
      </c>
      <c r="DD28" s="5">
        <v>0</v>
      </c>
      <c r="DE28" s="5">
        <v>0</v>
      </c>
      <c r="DF28" s="5">
        <v>0</v>
      </c>
      <c r="DG28" s="5">
        <v>0</v>
      </c>
      <c r="DH28" s="5">
        <v>0</v>
      </c>
      <c r="DI28" s="5">
        <v>0</v>
      </c>
      <c r="DJ28" s="5">
        <v>0</v>
      </c>
      <c r="DK28" s="5">
        <v>0</v>
      </c>
      <c r="DL28" s="5">
        <v>0</v>
      </c>
      <c r="DM28" s="5">
        <v>0</v>
      </c>
      <c r="DN28" s="5">
        <v>0</v>
      </c>
      <c r="DO28" s="5">
        <v>0</v>
      </c>
      <c r="DP28" s="5">
        <v>0</v>
      </c>
      <c r="DQ28" s="5">
        <v>0</v>
      </c>
      <c r="DR28" s="5">
        <v>0</v>
      </c>
      <c r="DS28" s="5">
        <v>0</v>
      </c>
      <c r="DT28" s="5">
        <v>0</v>
      </c>
      <c r="DU28" s="5">
        <v>0</v>
      </c>
    </row>
    <row r="29" spans="1:125" x14ac:dyDescent="0.25">
      <c r="A29" t="str">
        <f>IF(Input!A30="","",Input!A30)</f>
        <v>Schroder Blended Portfolio 6</v>
      </c>
      <c r="D29" s="5"/>
      <c r="G29" s="5"/>
      <c r="I29" s="5"/>
      <c r="J29" s="5"/>
      <c r="K29" s="5"/>
      <c r="L29" s="5"/>
      <c r="N29" s="5"/>
      <c r="O29" s="5"/>
      <c r="P29" s="5"/>
      <c r="S29" s="5"/>
      <c r="T29" s="5"/>
      <c r="BN29" s="5">
        <v>0</v>
      </c>
      <c r="BO29" s="5">
        <v>0</v>
      </c>
      <c r="BP29" s="5">
        <v>0</v>
      </c>
      <c r="BQ29" s="5">
        <v>0</v>
      </c>
      <c r="BR29" s="5">
        <v>0</v>
      </c>
      <c r="BS29" s="5">
        <v>0</v>
      </c>
      <c r="BT29" s="5">
        <v>0</v>
      </c>
      <c r="BU29" s="5">
        <v>0</v>
      </c>
      <c r="BV29" s="5">
        <v>0</v>
      </c>
      <c r="BW29" s="5">
        <v>0</v>
      </c>
      <c r="BX29" s="5">
        <v>0</v>
      </c>
      <c r="BY29" s="5">
        <v>0</v>
      </c>
      <c r="BZ29" s="5">
        <v>0</v>
      </c>
      <c r="CA29" s="5">
        <v>0</v>
      </c>
      <c r="CB29" s="5">
        <v>0</v>
      </c>
      <c r="CC29" s="5">
        <v>0</v>
      </c>
      <c r="CD29" s="5">
        <v>0</v>
      </c>
      <c r="CE29" s="5">
        <v>0</v>
      </c>
      <c r="CF29" s="5">
        <v>0</v>
      </c>
      <c r="CG29" s="5">
        <v>0</v>
      </c>
      <c r="CH29" s="5">
        <v>0</v>
      </c>
      <c r="CI29" s="5">
        <v>0</v>
      </c>
      <c r="CJ29" s="5">
        <v>0</v>
      </c>
      <c r="CK29" s="5">
        <v>0</v>
      </c>
      <c r="CL29" s="5">
        <v>0</v>
      </c>
      <c r="CM29" s="5">
        <v>0</v>
      </c>
      <c r="CN29" s="5">
        <v>0</v>
      </c>
      <c r="CO29" s="5">
        <v>0</v>
      </c>
      <c r="CP29" s="5">
        <v>0</v>
      </c>
      <c r="CQ29" s="5">
        <v>0</v>
      </c>
      <c r="CR29" s="5">
        <v>0</v>
      </c>
      <c r="CS29" s="5">
        <v>0</v>
      </c>
      <c r="CT29" s="5">
        <v>0</v>
      </c>
      <c r="CU29" s="5">
        <v>0</v>
      </c>
      <c r="CV29" s="5">
        <v>0</v>
      </c>
      <c r="CW29" s="5">
        <v>0</v>
      </c>
      <c r="CX29" s="5">
        <v>0</v>
      </c>
      <c r="CY29" s="5">
        <v>0</v>
      </c>
      <c r="CZ29" s="5">
        <v>0</v>
      </c>
      <c r="DA29" s="5">
        <v>0</v>
      </c>
      <c r="DB29" s="5">
        <v>0</v>
      </c>
      <c r="DC29" s="5">
        <v>0</v>
      </c>
      <c r="DD29" s="5">
        <v>0</v>
      </c>
      <c r="DE29" s="5">
        <v>0</v>
      </c>
      <c r="DF29" s="5">
        <v>0</v>
      </c>
      <c r="DG29" s="5">
        <v>0</v>
      </c>
      <c r="DH29" s="5">
        <v>0</v>
      </c>
      <c r="DI29" s="5">
        <v>0</v>
      </c>
      <c r="DJ29" s="5">
        <v>0</v>
      </c>
      <c r="DK29" s="5">
        <v>0</v>
      </c>
      <c r="DL29" s="5">
        <v>0</v>
      </c>
      <c r="DM29" s="5">
        <v>0</v>
      </c>
      <c r="DN29" s="5">
        <v>0</v>
      </c>
      <c r="DO29" s="5">
        <v>0</v>
      </c>
      <c r="DP29" s="5">
        <v>0</v>
      </c>
      <c r="DQ29" s="5">
        <v>0</v>
      </c>
      <c r="DR29" s="5">
        <v>0</v>
      </c>
      <c r="DS29" s="5">
        <v>0</v>
      </c>
      <c r="DT29" s="5">
        <v>0</v>
      </c>
      <c r="DU29" s="5">
        <v>0</v>
      </c>
    </row>
    <row r="30" spans="1:125" x14ac:dyDescent="0.25">
      <c r="A30" t="str">
        <f>IF(Input!A31="","",Input!A31)</f>
        <v>Schroder Blended Portfolio 7</v>
      </c>
      <c r="D30" s="5"/>
      <c r="E30" s="5"/>
      <c r="G30" s="5"/>
      <c r="I30" s="5"/>
      <c r="J30" s="5"/>
      <c r="L30" s="5"/>
      <c r="N30" s="5"/>
      <c r="O30" s="5"/>
      <c r="P30" s="5"/>
      <c r="R30" s="5"/>
      <c r="S30" s="5"/>
      <c r="T30" s="5"/>
      <c r="BN30" s="5">
        <v>0</v>
      </c>
      <c r="BO30" s="5">
        <v>0</v>
      </c>
      <c r="BP30" s="5">
        <v>0</v>
      </c>
      <c r="BQ30" s="5">
        <v>0</v>
      </c>
      <c r="BR30" s="5">
        <v>0</v>
      </c>
      <c r="BS30" s="5">
        <v>0</v>
      </c>
      <c r="BT30" s="5">
        <v>0</v>
      </c>
      <c r="BU30" s="5">
        <v>0</v>
      </c>
      <c r="BV30" s="5">
        <v>0</v>
      </c>
      <c r="BW30" s="5">
        <v>0</v>
      </c>
      <c r="BX30" s="5">
        <v>0</v>
      </c>
      <c r="BY30" s="5">
        <v>0</v>
      </c>
      <c r="BZ30" s="5">
        <v>0</v>
      </c>
      <c r="CA30" s="5">
        <v>0</v>
      </c>
      <c r="CB30" s="5">
        <v>0</v>
      </c>
      <c r="CC30" s="5">
        <v>0</v>
      </c>
      <c r="CD30" s="5">
        <v>0</v>
      </c>
      <c r="CE30" s="5">
        <v>0</v>
      </c>
      <c r="CF30" s="5">
        <v>0</v>
      </c>
      <c r="CG30" s="5">
        <v>0</v>
      </c>
      <c r="CH30" s="5">
        <v>0</v>
      </c>
      <c r="CI30" s="5">
        <v>0</v>
      </c>
      <c r="CJ30" s="5">
        <v>0</v>
      </c>
      <c r="CK30" s="5">
        <v>0</v>
      </c>
      <c r="CL30" s="5">
        <v>0</v>
      </c>
      <c r="CM30" s="5">
        <v>0</v>
      </c>
      <c r="CN30" s="5">
        <v>0</v>
      </c>
      <c r="CO30" s="5">
        <v>0</v>
      </c>
      <c r="CP30" s="5">
        <v>0</v>
      </c>
      <c r="CQ30" s="5">
        <v>0</v>
      </c>
      <c r="CR30" s="5">
        <v>0</v>
      </c>
      <c r="CS30" s="5">
        <v>0</v>
      </c>
      <c r="CT30" s="5">
        <v>0</v>
      </c>
      <c r="CU30" s="5">
        <v>0</v>
      </c>
      <c r="CV30" s="5">
        <v>0</v>
      </c>
      <c r="CW30" s="5">
        <v>0</v>
      </c>
      <c r="CX30" s="5">
        <v>0</v>
      </c>
      <c r="CY30" s="5">
        <v>0</v>
      </c>
      <c r="CZ30" s="5">
        <v>0</v>
      </c>
      <c r="DA30" s="5">
        <v>0</v>
      </c>
      <c r="DB30" s="5">
        <v>0</v>
      </c>
      <c r="DC30" s="5">
        <v>0</v>
      </c>
      <c r="DD30" s="5">
        <v>0</v>
      </c>
      <c r="DE30" s="5">
        <v>0</v>
      </c>
      <c r="DF30" s="5">
        <v>0</v>
      </c>
      <c r="DG30" s="5">
        <v>0</v>
      </c>
      <c r="DH30" s="5">
        <v>0</v>
      </c>
      <c r="DI30" s="5">
        <v>0</v>
      </c>
      <c r="DJ30" s="5">
        <v>0</v>
      </c>
      <c r="DK30" s="5">
        <v>0</v>
      </c>
      <c r="DL30" s="5">
        <v>0</v>
      </c>
      <c r="DM30" s="5">
        <v>0</v>
      </c>
      <c r="DN30" s="5">
        <v>0</v>
      </c>
      <c r="DO30" s="5">
        <v>0</v>
      </c>
      <c r="DP30" s="5">
        <v>0</v>
      </c>
      <c r="DQ30" s="5">
        <v>0</v>
      </c>
      <c r="DR30" s="5">
        <v>0</v>
      </c>
      <c r="DS30" s="5">
        <v>0</v>
      </c>
      <c r="DT30" s="5">
        <v>0</v>
      </c>
      <c r="DU30" s="5">
        <v>0</v>
      </c>
    </row>
    <row r="31" spans="1:125" x14ac:dyDescent="0.25">
      <c r="A31" t="str">
        <f>IF(Input!A32="","",Input!A32)</f>
        <v>Schroder Blended Portfolio 8</v>
      </c>
      <c r="D31" s="5"/>
      <c r="E31" s="5"/>
      <c r="G31" s="5"/>
      <c r="H31" s="5"/>
      <c r="I31" s="5"/>
      <c r="L31" s="5"/>
      <c r="N31" s="5"/>
      <c r="O31" s="5"/>
      <c r="P31" s="5"/>
      <c r="Q31" s="5"/>
      <c r="S31" s="5"/>
      <c r="T31" s="5"/>
      <c r="BN31" s="5">
        <v>0</v>
      </c>
      <c r="BO31" s="5">
        <v>0</v>
      </c>
      <c r="BP31" s="5">
        <v>0</v>
      </c>
      <c r="BQ31" s="5">
        <v>0</v>
      </c>
      <c r="BR31" s="5">
        <v>0</v>
      </c>
      <c r="BS31" s="5">
        <v>0</v>
      </c>
      <c r="BT31" s="5">
        <v>0</v>
      </c>
      <c r="BU31" s="5">
        <v>0</v>
      </c>
      <c r="BV31" s="5">
        <v>0</v>
      </c>
      <c r="BW31" s="5">
        <v>0</v>
      </c>
      <c r="BX31" s="5">
        <v>0</v>
      </c>
      <c r="BY31" s="5">
        <v>0</v>
      </c>
      <c r="BZ31" s="5">
        <v>0</v>
      </c>
      <c r="CA31" s="5">
        <v>0</v>
      </c>
      <c r="CB31" s="5">
        <v>0</v>
      </c>
      <c r="CC31" s="5">
        <v>0</v>
      </c>
      <c r="CD31" s="5">
        <v>0</v>
      </c>
      <c r="CE31" s="5">
        <v>0</v>
      </c>
      <c r="CF31" s="5">
        <v>0</v>
      </c>
      <c r="CG31" s="5">
        <v>0</v>
      </c>
      <c r="CH31" s="5">
        <v>0</v>
      </c>
      <c r="CI31" s="5">
        <v>0</v>
      </c>
      <c r="CJ31" s="5">
        <v>0</v>
      </c>
      <c r="CK31" s="5">
        <v>0</v>
      </c>
      <c r="CL31" s="5">
        <v>0</v>
      </c>
      <c r="CM31" s="5">
        <v>0</v>
      </c>
      <c r="CN31" s="5">
        <v>0</v>
      </c>
      <c r="CO31" s="5">
        <v>0</v>
      </c>
      <c r="CP31" s="5">
        <v>0</v>
      </c>
      <c r="CQ31" s="5">
        <v>0</v>
      </c>
      <c r="CR31" s="5">
        <v>0</v>
      </c>
      <c r="CS31" s="5">
        <v>0</v>
      </c>
      <c r="CT31" s="5">
        <v>0</v>
      </c>
      <c r="CU31" s="5">
        <v>0</v>
      </c>
      <c r="CV31" s="5">
        <v>0</v>
      </c>
      <c r="CW31" s="5">
        <v>0</v>
      </c>
      <c r="CX31" s="5">
        <v>0</v>
      </c>
      <c r="CY31" s="5">
        <v>0</v>
      </c>
      <c r="CZ31" s="5">
        <v>0</v>
      </c>
      <c r="DA31" s="5">
        <v>0</v>
      </c>
      <c r="DB31" s="5">
        <v>0</v>
      </c>
      <c r="DC31" s="5">
        <v>0</v>
      </c>
      <c r="DD31" s="5">
        <v>0</v>
      </c>
      <c r="DE31" s="5">
        <v>0</v>
      </c>
      <c r="DF31" s="5">
        <v>0</v>
      </c>
      <c r="DG31" s="5">
        <v>0</v>
      </c>
      <c r="DH31" s="5">
        <v>0</v>
      </c>
      <c r="DI31" s="5">
        <v>0</v>
      </c>
      <c r="DJ31" s="5">
        <v>0</v>
      </c>
      <c r="DK31" s="5">
        <v>0</v>
      </c>
      <c r="DL31" s="5">
        <v>0</v>
      </c>
      <c r="DM31" s="5">
        <v>0</v>
      </c>
      <c r="DN31" s="5">
        <v>0</v>
      </c>
      <c r="DO31" s="5">
        <v>0</v>
      </c>
      <c r="DP31" s="5">
        <v>0</v>
      </c>
      <c r="DQ31" s="5">
        <v>0</v>
      </c>
      <c r="DR31" s="5">
        <v>0</v>
      </c>
      <c r="DS31" s="5">
        <v>0</v>
      </c>
      <c r="DT31" s="5">
        <v>0</v>
      </c>
      <c r="DU31" s="5">
        <v>0</v>
      </c>
    </row>
    <row r="32" spans="1:125" x14ac:dyDescent="0.25">
      <c r="A32" t="str">
        <f>IF(Input!A33="","",Input!A33)</f>
        <v>Schroder Income Portfolio</v>
      </c>
      <c r="D32" s="5"/>
      <c r="E32" s="5"/>
      <c r="G32" s="5"/>
      <c r="H32" s="5"/>
      <c r="L32" s="5"/>
      <c r="N32" s="5"/>
      <c r="O32" s="5"/>
      <c r="P32" s="5"/>
      <c r="Q32" s="5"/>
      <c r="R32" s="5"/>
      <c r="S32" s="5"/>
      <c r="T32" s="5"/>
      <c r="BN32" s="5">
        <v>0</v>
      </c>
      <c r="BO32" s="5">
        <v>0</v>
      </c>
      <c r="BP32" s="5">
        <v>0</v>
      </c>
      <c r="BQ32" s="5">
        <v>0</v>
      </c>
      <c r="BR32" s="5">
        <v>0</v>
      </c>
      <c r="BS32" s="5">
        <v>0</v>
      </c>
      <c r="BT32" s="5">
        <v>0</v>
      </c>
      <c r="BU32" s="5">
        <v>0</v>
      </c>
      <c r="BV32" s="5">
        <v>0</v>
      </c>
      <c r="BW32" s="5">
        <v>0</v>
      </c>
      <c r="BX32" s="5">
        <v>0</v>
      </c>
      <c r="BY32" s="5">
        <v>0</v>
      </c>
      <c r="BZ32" s="5">
        <v>0</v>
      </c>
      <c r="CA32" s="5">
        <v>0</v>
      </c>
      <c r="CB32" s="5">
        <v>0</v>
      </c>
      <c r="CC32" s="5">
        <v>0</v>
      </c>
      <c r="CD32" s="5">
        <v>0</v>
      </c>
      <c r="CE32" s="5">
        <v>0</v>
      </c>
      <c r="CF32" s="5">
        <v>0</v>
      </c>
      <c r="CG32" s="5">
        <v>0</v>
      </c>
      <c r="CH32" s="5">
        <v>0</v>
      </c>
      <c r="CI32" s="5">
        <v>0</v>
      </c>
      <c r="CJ32" s="5">
        <v>0</v>
      </c>
      <c r="CK32" s="5">
        <v>0</v>
      </c>
      <c r="CL32" s="5">
        <v>0</v>
      </c>
      <c r="CM32" s="5">
        <v>0</v>
      </c>
      <c r="CN32" s="5">
        <v>0</v>
      </c>
      <c r="CO32" s="5">
        <v>0</v>
      </c>
      <c r="CP32" s="5">
        <v>0</v>
      </c>
      <c r="CQ32" s="5">
        <v>0</v>
      </c>
      <c r="CR32" s="5">
        <v>0</v>
      </c>
      <c r="CS32" s="5">
        <v>0</v>
      </c>
      <c r="CT32" s="5">
        <v>0</v>
      </c>
      <c r="CU32" s="5">
        <v>0</v>
      </c>
      <c r="CV32" s="5">
        <v>0</v>
      </c>
      <c r="CW32" s="5">
        <v>0</v>
      </c>
      <c r="CX32" s="5">
        <v>0</v>
      </c>
      <c r="CY32" s="5">
        <v>0</v>
      </c>
      <c r="CZ32" s="5">
        <v>0</v>
      </c>
      <c r="DA32" s="5">
        <v>0</v>
      </c>
      <c r="DB32" s="5">
        <v>0</v>
      </c>
      <c r="DC32" s="5">
        <v>0</v>
      </c>
      <c r="DD32" s="5">
        <v>0</v>
      </c>
      <c r="DE32" s="5">
        <v>0</v>
      </c>
      <c r="DF32" s="5">
        <v>0</v>
      </c>
      <c r="DG32" s="5">
        <v>0</v>
      </c>
      <c r="DH32" s="5">
        <v>0</v>
      </c>
      <c r="DI32" s="5">
        <v>0</v>
      </c>
      <c r="DJ32" s="5">
        <v>0</v>
      </c>
      <c r="DK32" s="5">
        <v>0</v>
      </c>
      <c r="DL32" s="5">
        <v>0</v>
      </c>
      <c r="DM32" s="5">
        <v>0</v>
      </c>
      <c r="DN32" s="5">
        <v>0</v>
      </c>
      <c r="DO32" s="5">
        <v>0</v>
      </c>
      <c r="DP32" s="5">
        <v>0</v>
      </c>
      <c r="DQ32" s="5">
        <v>0</v>
      </c>
      <c r="DR32" s="5">
        <v>0</v>
      </c>
      <c r="DS32" s="5">
        <v>0</v>
      </c>
      <c r="DT32" s="5">
        <v>0</v>
      </c>
      <c r="DU32" s="5">
        <v>0</v>
      </c>
    </row>
    <row r="33" spans="1:125" x14ac:dyDescent="0.25">
      <c r="A33" t="str">
        <f>IF(Input!A34="","",Input!A34)</f>
        <v>Schroder Managed Defensive Fund</v>
      </c>
      <c r="C33" s="5"/>
      <c r="D33" s="5"/>
      <c r="E33" s="5"/>
      <c r="G33" s="5"/>
      <c r="H33" s="5"/>
      <c r="L33" s="5"/>
      <c r="N33" s="5"/>
      <c r="O33" s="5"/>
      <c r="P33" s="5"/>
      <c r="Q33" s="5"/>
      <c r="R33" s="5"/>
      <c r="S33" s="5"/>
      <c r="T33" s="5"/>
      <c r="BN33" s="5">
        <v>0</v>
      </c>
      <c r="BO33" s="5">
        <v>0</v>
      </c>
      <c r="BP33" s="5">
        <v>0</v>
      </c>
      <c r="BQ33" s="5">
        <v>0</v>
      </c>
      <c r="BR33" s="5">
        <v>0</v>
      </c>
      <c r="BS33" s="5">
        <v>0</v>
      </c>
      <c r="BT33" s="5">
        <v>0</v>
      </c>
      <c r="BU33" s="5">
        <v>0</v>
      </c>
      <c r="BV33" s="5">
        <v>0</v>
      </c>
      <c r="BW33" s="5">
        <v>0</v>
      </c>
      <c r="BX33" s="5">
        <v>0</v>
      </c>
      <c r="BY33" s="5">
        <v>0</v>
      </c>
      <c r="BZ33" s="5">
        <v>0</v>
      </c>
      <c r="CA33" s="5">
        <v>0</v>
      </c>
      <c r="CB33" s="5">
        <v>0</v>
      </c>
      <c r="CC33" s="5">
        <v>0</v>
      </c>
      <c r="CD33" s="5">
        <v>0</v>
      </c>
      <c r="CE33" s="5">
        <v>0</v>
      </c>
      <c r="CF33" s="5">
        <v>0</v>
      </c>
      <c r="CG33" s="5">
        <v>0</v>
      </c>
      <c r="CH33" s="5">
        <v>0</v>
      </c>
      <c r="CI33" s="5">
        <v>0</v>
      </c>
      <c r="CJ33" s="5">
        <v>0</v>
      </c>
      <c r="CK33" s="5">
        <v>0</v>
      </c>
      <c r="CL33" s="5">
        <v>0</v>
      </c>
      <c r="CM33" s="5">
        <v>0</v>
      </c>
      <c r="CN33" s="5">
        <v>0</v>
      </c>
      <c r="CO33" s="5">
        <v>0</v>
      </c>
      <c r="CP33" s="5">
        <v>0</v>
      </c>
      <c r="CQ33" s="5">
        <v>0</v>
      </c>
      <c r="CR33" s="5">
        <v>0</v>
      </c>
      <c r="CS33" s="5">
        <v>0</v>
      </c>
      <c r="CT33" s="5">
        <v>0</v>
      </c>
      <c r="CU33" s="5">
        <v>0</v>
      </c>
      <c r="CV33" s="5">
        <v>0</v>
      </c>
      <c r="CW33" s="5">
        <v>0</v>
      </c>
      <c r="CX33" s="5">
        <v>0</v>
      </c>
      <c r="CY33" s="5">
        <v>0</v>
      </c>
      <c r="CZ33" s="5">
        <v>0</v>
      </c>
      <c r="DA33" s="5">
        <v>0</v>
      </c>
      <c r="DB33" s="5">
        <v>0</v>
      </c>
      <c r="DC33" s="5">
        <v>0</v>
      </c>
      <c r="DD33" s="5">
        <v>0</v>
      </c>
      <c r="DE33" s="5">
        <v>0</v>
      </c>
      <c r="DF33" s="5">
        <v>0</v>
      </c>
      <c r="DG33" s="5">
        <v>0</v>
      </c>
      <c r="DH33" s="5">
        <v>0</v>
      </c>
      <c r="DI33" s="5">
        <v>0</v>
      </c>
      <c r="DJ33" s="5">
        <v>0</v>
      </c>
      <c r="DK33" s="5">
        <v>0</v>
      </c>
      <c r="DL33" s="5">
        <v>0</v>
      </c>
      <c r="DM33" s="5">
        <v>0</v>
      </c>
      <c r="DN33" s="5">
        <v>0</v>
      </c>
      <c r="DO33" s="5">
        <v>0</v>
      </c>
      <c r="DP33" s="5">
        <v>0</v>
      </c>
      <c r="DQ33" s="5">
        <v>0</v>
      </c>
      <c r="DR33" s="5">
        <v>0</v>
      </c>
      <c r="DS33" s="5">
        <v>0</v>
      </c>
      <c r="DT33" s="5">
        <v>0</v>
      </c>
      <c r="DU33" s="5">
        <v>0</v>
      </c>
    </row>
    <row r="34" spans="1:125" x14ac:dyDescent="0.25">
      <c r="A34" t="str">
        <f>IF(Input!A35="","",Input!A35)</f>
        <v>Schroder Global Multi-Asset Cautious Portfolio</v>
      </c>
      <c r="D34" s="5"/>
      <c r="E34" s="5"/>
      <c r="G34" s="5"/>
      <c r="H34" s="5"/>
      <c r="N34" s="5"/>
      <c r="P34" s="5"/>
      <c r="Q34" s="5"/>
      <c r="R34" s="5"/>
      <c r="S34" s="5"/>
      <c r="AA34" s="5"/>
      <c r="BN34" s="5">
        <v>0</v>
      </c>
      <c r="BO34" s="5">
        <v>0</v>
      </c>
      <c r="BP34" s="5">
        <v>0</v>
      </c>
      <c r="BQ34" s="5">
        <v>0</v>
      </c>
      <c r="BR34" s="5">
        <v>0</v>
      </c>
      <c r="BS34" s="5">
        <v>0</v>
      </c>
      <c r="BT34" s="5">
        <v>0</v>
      </c>
      <c r="BU34" s="5">
        <v>0</v>
      </c>
      <c r="BV34" s="5">
        <v>0</v>
      </c>
      <c r="BW34" s="5">
        <v>0</v>
      </c>
      <c r="BX34" s="5">
        <v>0</v>
      </c>
      <c r="BY34" s="5">
        <v>0</v>
      </c>
      <c r="BZ34" s="5">
        <v>0</v>
      </c>
      <c r="CA34" s="5">
        <v>0</v>
      </c>
      <c r="CB34" s="5">
        <v>0</v>
      </c>
      <c r="CC34" s="5">
        <v>0</v>
      </c>
      <c r="CD34" s="5">
        <v>0</v>
      </c>
      <c r="CE34" s="5">
        <v>0</v>
      </c>
      <c r="CF34" s="5">
        <v>0</v>
      </c>
      <c r="CG34" s="5">
        <v>0</v>
      </c>
      <c r="CH34" s="5">
        <v>0</v>
      </c>
      <c r="CI34" s="5">
        <v>0</v>
      </c>
      <c r="CJ34" s="5">
        <v>0</v>
      </c>
      <c r="CK34" s="5">
        <v>0</v>
      </c>
      <c r="CL34" s="5">
        <v>0</v>
      </c>
      <c r="CM34" s="5">
        <v>0</v>
      </c>
      <c r="CN34" s="5">
        <v>0</v>
      </c>
      <c r="CO34" s="5">
        <v>0</v>
      </c>
      <c r="CP34" s="5">
        <v>0</v>
      </c>
      <c r="CQ34" s="5">
        <v>0</v>
      </c>
      <c r="CR34" s="5">
        <v>0</v>
      </c>
      <c r="CS34" s="5">
        <v>0</v>
      </c>
      <c r="CT34" s="5">
        <v>0</v>
      </c>
      <c r="CU34" s="5">
        <v>0</v>
      </c>
      <c r="CV34" s="5">
        <v>0</v>
      </c>
      <c r="CW34" s="5">
        <v>0</v>
      </c>
      <c r="CX34" s="5">
        <v>0</v>
      </c>
      <c r="CY34" s="5">
        <v>0</v>
      </c>
      <c r="CZ34" s="5">
        <v>0</v>
      </c>
      <c r="DA34" s="5">
        <v>0</v>
      </c>
      <c r="DB34" s="5">
        <v>0</v>
      </c>
      <c r="DC34" s="5">
        <v>0</v>
      </c>
      <c r="DD34" s="5">
        <v>0</v>
      </c>
      <c r="DE34" s="5">
        <v>0</v>
      </c>
      <c r="DF34" s="5">
        <v>0</v>
      </c>
      <c r="DG34" s="5">
        <v>0</v>
      </c>
      <c r="DH34" s="5">
        <v>0</v>
      </c>
      <c r="DI34" s="5">
        <v>0</v>
      </c>
      <c r="DJ34" s="5">
        <v>0</v>
      </c>
      <c r="DK34" s="5">
        <v>0</v>
      </c>
      <c r="DL34" s="5">
        <v>0</v>
      </c>
      <c r="DM34" s="5">
        <v>0</v>
      </c>
      <c r="DN34" s="5">
        <v>0</v>
      </c>
      <c r="DO34" s="5">
        <v>0</v>
      </c>
      <c r="DP34" s="5">
        <v>0</v>
      </c>
      <c r="DQ34" s="5">
        <v>0</v>
      </c>
      <c r="DR34" s="5">
        <v>0</v>
      </c>
      <c r="DS34" s="5">
        <v>0</v>
      </c>
      <c r="DT34" s="5">
        <v>0</v>
      </c>
      <c r="DU34" s="5">
        <v>0</v>
      </c>
    </row>
    <row r="35" spans="1:125" x14ac:dyDescent="0.25">
      <c r="A35" t="str">
        <f>IF(Input!A36="","",Input!A36)</f>
        <v>Schroder Global Multi-Asset Moderately Cautious Portfolio</v>
      </c>
      <c r="D35" s="5"/>
      <c r="BN35" s="5">
        <v>0</v>
      </c>
      <c r="BO35" s="5">
        <v>0</v>
      </c>
      <c r="BP35" s="5">
        <v>0</v>
      </c>
      <c r="BQ35" s="5">
        <v>0</v>
      </c>
      <c r="BR35" s="5">
        <v>0</v>
      </c>
      <c r="BS35" s="5">
        <v>0</v>
      </c>
      <c r="BT35" s="5">
        <v>0</v>
      </c>
      <c r="BU35" s="5">
        <v>0</v>
      </c>
      <c r="BV35" s="5">
        <v>0</v>
      </c>
      <c r="BW35" s="5">
        <v>0</v>
      </c>
      <c r="BX35" s="5">
        <v>0</v>
      </c>
      <c r="BY35" s="5">
        <v>0</v>
      </c>
      <c r="BZ35" s="5">
        <v>0</v>
      </c>
      <c r="CA35" s="5">
        <v>0</v>
      </c>
      <c r="CB35" s="5">
        <v>0</v>
      </c>
      <c r="CC35" s="5">
        <v>0</v>
      </c>
      <c r="CD35" s="5">
        <v>0</v>
      </c>
      <c r="CE35" s="5">
        <v>0</v>
      </c>
      <c r="CF35" s="5">
        <v>0</v>
      </c>
      <c r="CG35" s="5">
        <v>0</v>
      </c>
      <c r="CH35" s="5">
        <v>0</v>
      </c>
      <c r="CI35" s="5">
        <v>0</v>
      </c>
      <c r="CJ35" s="5">
        <v>0</v>
      </c>
      <c r="CK35" s="5">
        <v>0</v>
      </c>
      <c r="CL35" s="5">
        <v>0</v>
      </c>
      <c r="CM35" s="5">
        <v>0</v>
      </c>
      <c r="CN35" s="5">
        <v>0</v>
      </c>
      <c r="CO35" s="5">
        <v>0</v>
      </c>
      <c r="CP35" s="5">
        <v>0</v>
      </c>
      <c r="CQ35" s="5">
        <v>0</v>
      </c>
      <c r="CR35" s="5">
        <v>0</v>
      </c>
      <c r="CS35" s="5">
        <v>0</v>
      </c>
      <c r="CT35" s="5">
        <v>0</v>
      </c>
      <c r="CU35" s="5">
        <v>0</v>
      </c>
      <c r="CV35" s="5">
        <v>0</v>
      </c>
      <c r="CW35" s="5">
        <v>0</v>
      </c>
      <c r="CX35" s="5">
        <v>0</v>
      </c>
      <c r="CY35" s="5">
        <v>0</v>
      </c>
      <c r="CZ35" s="5">
        <v>0</v>
      </c>
      <c r="DA35" s="5">
        <v>0</v>
      </c>
      <c r="DB35" s="5">
        <v>0</v>
      </c>
      <c r="DC35" s="5">
        <v>0</v>
      </c>
      <c r="DD35" s="5">
        <v>0</v>
      </c>
      <c r="DE35" s="5">
        <v>0</v>
      </c>
      <c r="DF35" s="5">
        <v>0</v>
      </c>
      <c r="DG35" s="5">
        <v>0</v>
      </c>
      <c r="DH35" s="5">
        <v>0</v>
      </c>
      <c r="DI35" s="5">
        <v>0</v>
      </c>
      <c r="DJ35" s="5">
        <v>0</v>
      </c>
      <c r="DK35" s="5">
        <v>0</v>
      </c>
      <c r="DL35" s="5">
        <v>0</v>
      </c>
      <c r="DM35" s="5">
        <v>0</v>
      </c>
      <c r="DN35" s="5">
        <v>0</v>
      </c>
      <c r="DO35" s="5">
        <v>0</v>
      </c>
      <c r="DP35" s="5">
        <v>0</v>
      </c>
      <c r="DQ35" s="5">
        <v>0</v>
      </c>
      <c r="DR35" s="5">
        <v>0</v>
      </c>
      <c r="DS35" s="5">
        <v>0</v>
      </c>
      <c r="DT35" s="5">
        <v>0</v>
      </c>
      <c r="DU35" s="5">
        <v>0</v>
      </c>
    </row>
    <row r="36" spans="1:125" x14ac:dyDescent="0.25">
      <c r="A36" t="str">
        <f>IF(Input!A37="","",Input!A37)</f>
        <v>Schroder Schroder Global Multi-Asset Balanced Portfolio</v>
      </c>
      <c r="D36" s="5"/>
      <c r="BN36" s="5">
        <v>0</v>
      </c>
      <c r="BO36" s="5">
        <v>0</v>
      </c>
      <c r="BP36" s="5">
        <v>0</v>
      </c>
      <c r="BQ36" s="5">
        <v>0</v>
      </c>
      <c r="BR36" s="5">
        <v>0</v>
      </c>
      <c r="BS36" s="5">
        <v>0</v>
      </c>
      <c r="BT36" s="5">
        <v>0</v>
      </c>
      <c r="BU36" s="5">
        <v>0</v>
      </c>
      <c r="BV36" s="5">
        <v>0</v>
      </c>
      <c r="BW36" s="5">
        <v>0</v>
      </c>
      <c r="BX36" s="5">
        <v>0</v>
      </c>
      <c r="BY36" s="5">
        <v>0</v>
      </c>
      <c r="BZ36" s="5">
        <v>0</v>
      </c>
      <c r="CA36" s="5">
        <v>0</v>
      </c>
      <c r="CB36" s="5">
        <v>0</v>
      </c>
      <c r="CC36" s="5">
        <v>0</v>
      </c>
      <c r="CD36" s="5">
        <v>0</v>
      </c>
      <c r="CE36" s="5">
        <v>0</v>
      </c>
      <c r="CF36" s="5">
        <v>0</v>
      </c>
      <c r="CG36" s="5">
        <v>0</v>
      </c>
      <c r="CH36" s="5">
        <v>0</v>
      </c>
      <c r="CI36" s="5">
        <v>0</v>
      </c>
      <c r="CJ36" s="5">
        <v>0</v>
      </c>
      <c r="CK36" s="5">
        <v>0</v>
      </c>
      <c r="CL36" s="5">
        <v>0</v>
      </c>
      <c r="CM36" s="5">
        <v>0</v>
      </c>
      <c r="CN36" s="5">
        <v>0</v>
      </c>
      <c r="CO36" s="5">
        <v>0</v>
      </c>
      <c r="CP36" s="5">
        <v>0</v>
      </c>
      <c r="CQ36" s="5">
        <v>0</v>
      </c>
      <c r="CR36" s="5">
        <v>0</v>
      </c>
      <c r="CS36" s="5">
        <v>0</v>
      </c>
      <c r="CT36" s="5">
        <v>0</v>
      </c>
      <c r="CU36" s="5">
        <v>0</v>
      </c>
      <c r="CV36" s="5">
        <v>0</v>
      </c>
      <c r="CW36" s="5">
        <v>0</v>
      </c>
      <c r="CX36" s="5">
        <v>0</v>
      </c>
      <c r="CY36" s="5">
        <v>0</v>
      </c>
      <c r="CZ36" s="5">
        <v>0</v>
      </c>
      <c r="DA36" s="5">
        <v>0</v>
      </c>
      <c r="DB36" s="5">
        <v>0</v>
      </c>
      <c r="DC36" s="5">
        <v>0</v>
      </c>
      <c r="DD36" s="5">
        <v>0</v>
      </c>
      <c r="DE36" s="5">
        <v>0</v>
      </c>
      <c r="DF36" s="5">
        <v>0</v>
      </c>
      <c r="DG36" s="5">
        <v>0</v>
      </c>
      <c r="DH36" s="5">
        <v>0</v>
      </c>
      <c r="DI36" s="5">
        <v>0</v>
      </c>
      <c r="DJ36" s="5">
        <v>0</v>
      </c>
      <c r="DK36" s="5">
        <v>0</v>
      </c>
      <c r="DL36" s="5">
        <v>0</v>
      </c>
      <c r="DM36" s="5">
        <v>0</v>
      </c>
      <c r="DN36" s="5">
        <v>0</v>
      </c>
      <c r="DO36" s="5">
        <v>0</v>
      </c>
      <c r="DP36" s="5">
        <v>0</v>
      </c>
      <c r="DQ36" s="5">
        <v>0</v>
      </c>
      <c r="DR36" s="5">
        <v>0</v>
      </c>
      <c r="DS36" s="5">
        <v>0</v>
      </c>
      <c r="DT36" s="5">
        <v>0</v>
      </c>
      <c r="DU36" s="5">
        <v>0</v>
      </c>
    </row>
    <row r="37" spans="1:125" x14ac:dyDescent="0.25">
      <c r="A37" t="str">
        <f>IF(Input!A38="","",Input!A38)</f>
        <v>Schroder Global Multi-Asset Growth Portfolio</v>
      </c>
      <c r="D37" s="5"/>
      <c r="BN37" s="5">
        <v>0</v>
      </c>
      <c r="BO37" s="5">
        <v>0</v>
      </c>
      <c r="BP37" s="5">
        <v>0</v>
      </c>
      <c r="BQ37" s="5">
        <v>0</v>
      </c>
      <c r="BR37" s="5">
        <v>0</v>
      </c>
      <c r="BS37" s="5">
        <v>0</v>
      </c>
      <c r="BT37" s="5">
        <v>0</v>
      </c>
      <c r="BU37" s="5">
        <v>0</v>
      </c>
      <c r="BV37" s="5">
        <v>0</v>
      </c>
      <c r="BW37" s="5">
        <v>0</v>
      </c>
      <c r="BX37" s="5">
        <v>0</v>
      </c>
      <c r="BY37" s="5">
        <v>0</v>
      </c>
      <c r="BZ37" s="5">
        <v>0</v>
      </c>
      <c r="CA37" s="5">
        <v>0</v>
      </c>
      <c r="CB37" s="5">
        <v>0</v>
      </c>
      <c r="CC37" s="5">
        <v>0</v>
      </c>
      <c r="CD37" s="5">
        <v>0</v>
      </c>
      <c r="CE37" s="5">
        <v>0</v>
      </c>
      <c r="CF37" s="5">
        <v>0</v>
      </c>
      <c r="CG37" s="5">
        <v>0</v>
      </c>
      <c r="CH37" s="5">
        <v>0</v>
      </c>
      <c r="CI37" s="5">
        <v>0</v>
      </c>
      <c r="CJ37" s="5">
        <v>0</v>
      </c>
      <c r="CK37" s="5">
        <v>0</v>
      </c>
      <c r="CL37" s="5">
        <v>0</v>
      </c>
      <c r="CM37" s="5">
        <v>0</v>
      </c>
      <c r="CN37" s="5">
        <v>0</v>
      </c>
      <c r="CO37" s="5">
        <v>0</v>
      </c>
      <c r="CP37" s="5">
        <v>0</v>
      </c>
      <c r="CQ37" s="5">
        <v>0</v>
      </c>
      <c r="CR37" s="5">
        <v>0</v>
      </c>
      <c r="CS37" s="5">
        <v>0</v>
      </c>
      <c r="CT37" s="5">
        <v>0</v>
      </c>
      <c r="CU37" s="5">
        <v>0</v>
      </c>
      <c r="CV37" s="5">
        <v>0</v>
      </c>
      <c r="CW37" s="5">
        <v>0</v>
      </c>
      <c r="CX37" s="5">
        <v>0</v>
      </c>
      <c r="CY37" s="5">
        <v>0</v>
      </c>
      <c r="CZ37" s="5">
        <v>0</v>
      </c>
      <c r="DA37" s="5">
        <v>0</v>
      </c>
      <c r="DB37" s="5">
        <v>0</v>
      </c>
      <c r="DC37" s="5">
        <v>0</v>
      </c>
      <c r="DD37" s="5">
        <v>0</v>
      </c>
      <c r="DE37" s="5">
        <v>0</v>
      </c>
      <c r="DF37" s="5">
        <v>0</v>
      </c>
      <c r="DG37" s="5">
        <v>0</v>
      </c>
      <c r="DH37" s="5">
        <v>0</v>
      </c>
      <c r="DI37" s="5">
        <v>0</v>
      </c>
      <c r="DJ37" s="5">
        <v>0</v>
      </c>
      <c r="DK37" s="5">
        <v>0</v>
      </c>
      <c r="DL37" s="5">
        <v>0</v>
      </c>
      <c r="DM37" s="5">
        <v>0</v>
      </c>
      <c r="DN37" s="5">
        <v>0</v>
      </c>
      <c r="DO37" s="5">
        <v>0</v>
      </c>
      <c r="DP37" s="5">
        <v>0</v>
      </c>
      <c r="DQ37" s="5">
        <v>0</v>
      </c>
      <c r="DR37" s="5">
        <v>0</v>
      </c>
      <c r="DS37" s="5">
        <v>0</v>
      </c>
      <c r="DT37" s="5">
        <v>0</v>
      </c>
      <c r="DU37" s="5">
        <v>0</v>
      </c>
    </row>
    <row r="38" spans="1:125" x14ac:dyDescent="0.25">
      <c r="A38" t="str">
        <f>IF(Input!A39="","",Input!A39)</f>
        <v>Schroder Global Multi-Asset Adventurous Portfolio</v>
      </c>
      <c r="D38" s="5"/>
      <c r="BN38" s="5">
        <v>0</v>
      </c>
      <c r="BO38" s="5">
        <v>0</v>
      </c>
      <c r="BP38" s="5">
        <v>0</v>
      </c>
      <c r="BQ38" s="5">
        <v>0</v>
      </c>
      <c r="BR38" s="5">
        <v>0</v>
      </c>
      <c r="BS38" s="5">
        <v>0</v>
      </c>
      <c r="BT38" s="5">
        <v>0</v>
      </c>
      <c r="BU38" s="5">
        <v>0</v>
      </c>
      <c r="BV38" s="5">
        <v>0</v>
      </c>
      <c r="BW38" s="5">
        <v>0</v>
      </c>
      <c r="BX38" s="5">
        <v>0</v>
      </c>
      <c r="BY38" s="5">
        <v>0</v>
      </c>
      <c r="BZ38" s="5">
        <v>0</v>
      </c>
      <c r="CA38" s="5">
        <v>0</v>
      </c>
      <c r="CB38" s="5">
        <v>0</v>
      </c>
      <c r="CC38" s="5">
        <v>0</v>
      </c>
      <c r="CD38" s="5">
        <v>0</v>
      </c>
      <c r="CE38" s="5">
        <v>0</v>
      </c>
      <c r="CF38" s="5">
        <v>0</v>
      </c>
      <c r="CG38" s="5">
        <v>0</v>
      </c>
      <c r="CH38" s="5">
        <v>0</v>
      </c>
      <c r="CI38" s="5">
        <v>0</v>
      </c>
      <c r="CJ38" s="5">
        <v>0</v>
      </c>
      <c r="CK38" s="5">
        <v>0</v>
      </c>
      <c r="CL38" s="5">
        <v>0</v>
      </c>
      <c r="CM38" s="5">
        <v>0</v>
      </c>
      <c r="CN38" s="5">
        <v>0</v>
      </c>
      <c r="CO38" s="5">
        <v>0</v>
      </c>
      <c r="CP38" s="5">
        <v>0</v>
      </c>
      <c r="CQ38" s="5">
        <v>0</v>
      </c>
      <c r="CR38" s="5">
        <v>0</v>
      </c>
      <c r="CS38" s="5">
        <v>0</v>
      </c>
      <c r="CT38" s="5">
        <v>0</v>
      </c>
      <c r="CU38" s="5">
        <v>0</v>
      </c>
      <c r="CV38" s="5">
        <v>0</v>
      </c>
      <c r="CW38" s="5">
        <v>0</v>
      </c>
      <c r="CX38" s="5">
        <v>0</v>
      </c>
      <c r="CY38" s="5">
        <v>0</v>
      </c>
      <c r="CZ38" s="5">
        <v>0</v>
      </c>
      <c r="DA38" s="5">
        <v>0</v>
      </c>
      <c r="DB38" s="5">
        <v>0</v>
      </c>
      <c r="DC38" s="5">
        <v>0</v>
      </c>
      <c r="DD38" s="5">
        <v>0</v>
      </c>
      <c r="DE38" s="5">
        <v>0</v>
      </c>
      <c r="DF38" s="5">
        <v>0</v>
      </c>
      <c r="DG38" s="5">
        <v>0</v>
      </c>
      <c r="DH38" s="5">
        <v>0</v>
      </c>
      <c r="DI38" s="5">
        <v>0</v>
      </c>
      <c r="DJ38" s="5">
        <v>0</v>
      </c>
      <c r="DK38" s="5">
        <v>0</v>
      </c>
      <c r="DL38" s="5">
        <v>0</v>
      </c>
      <c r="DM38" s="5">
        <v>0</v>
      </c>
      <c r="DN38" s="5">
        <v>0</v>
      </c>
      <c r="DO38" s="5">
        <v>0</v>
      </c>
      <c r="DP38" s="5">
        <v>0</v>
      </c>
      <c r="DQ38" s="5">
        <v>0</v>
      </c>
      <c r="DR38" s="5">
        <v>0</v>
      </c>
      <c r="DS38" s="5">
        <v>0</v>
      </c>
      <c r="DT38" s="5">
        <v>0</v>
      </c>
      <c r="DU38" s="5">
        <v>0</v>
      </c>
    </row>
    <row r="39" spans="1:125" x14ac:dyDescent="0.25">
      <c r="A39" t="str">
        <f>IF(Input!A40="","",Input!A40)</f>
        <v/>
      </c>
      <c r="D39" s="5"/>
    </row>
    <row r="40" spans="1:125" x14ac:dyDescent="0.25">
      <c r="A40" t="str">
        <f>IF(Input!A41="","",Input!A41)</f>
        <v/>
      </c>
      <c r="D40" s="5"/>
    </row>
    <row r="41" spans="1:125" x14ac:dyDescent="0.25">
      <c r="A41" t="str">
        <f>IF(Input!A42="","",Input!A42)</f>
        <v/>
      </c>
      <c r="D41" s="5"/>
    </row>
    <row r="42" spans="1:125" x14ac:dyDescent="0.25">
      <c r="A42" t="str">
        <f>IF(Input!A43="","",Input!A43)</f>
        <v/>
      </c>
      <c r="D42" s="5"/>
    </row>
    <row r="43" spans="1:125" x14ac:dyDescent="0.25">
      <c r="A43" t="str">
        <f>IF(Input!A44="","",Input!A44)</f>
        <v/>
      </c>
      <c r="D43" s="5"/>
    </row>
    <row r="44" spans="1:125" x14ac:dyDescent="0.25">
      <c r="A44" t="str">
        <f>IF(Input!A45="","",Input!A45)</f>
        <v/>
      </c>
      <c r="D44" s="5"/>
    </row>
    <row r="45" spans="1:125" x14ac:dyDescent="0.25">
      <c r="A45" t="str">
        <f>IF(Input!A46="","",Input!A46)</f>
        <v/>
      </c>
      <c r="D45" s="5"/>
    </row>
    <row r="46" spans="1:125" x14ac:dyDescent="0.25">
      <c r="A46" t="str">
        <f>IF(Input!A47="","",Input!A47)</f>
        <v/>
      </c>
      <c r="D46" s="5"/>
    </row>
    <row r="47" spans="1:125" x14ac:dyDescent="0.25">
      <c r="A47" t="str">
        <f>IF(Input!A48="","",Input!A48)</f>
        <v/>
      </c>
      <c r="D47" s="5"/>
    </row>
    <row r="48" spans="1:125" x14ac:dyDescent="0.25">
      <c r="A48" t="str">
        <f>IF(Input!A49="","",Input!A49)</f>
        <v/>
      </c>
      <c r="D48" s="5"/>
    </row>
    <row r="49" spans="1:4" x14ac:dyDescent="0.25">
      <c r="A49" t="str">
        <f>IF(Input!A50="","",Input!A50)</f>
        <v/>
      </c>
      <c r="D49" s="5"/>
    </row>
    <row r="50" spans="1:4" x14ac:dyDescent="0.25">
      <c r="A50" t="str">
        <f>IF(Input!A51="","",Input!A51)</f>
        <v/>
      </c>
      <c r="D50" s="5"/>
    </row>
    <row r="51" spans="1:4" x14ac:dyDescent="0.25">
      <c r="D51" s="5"/>
    </row>
    <row r="52" spans="1:4" x14ac:dyDescent="0.25">
      <c r="D52" s="5"/>
    </row>
    <row r="53" spans="1:4" x14ac:dyDescent="0.25">
      <c r="D53" s="5"/>
    </row>
    <row r="54" spans="1:4" x14ac:dyDescent="0.25">
      <c r="D54" s="5"/>
    </row>
    <row r="55" spans="1:4" x14ac:dyDescent="0.25">
      <c r="D55" s="5"/>
    </row>
    <row r="56" spans="1:4" x14ac:dyDescent="0.25">
      <c r="D56" s="5"/>
    </row>
    <row r="57" spans="1:4" x14ac:dyDescent="0.25">
      <c r="D57" s="5"/>
    </row>
    <row r="58" spans="1:4" x14ac:dyDescent="0.25">
      <c r="D58" s="5"/>
    </row>
    <row r="59" spans="1:4" x14ac:dyDescent="0.25">
      <c r="D59" s="5"/>
    </row>
    <row r="60" spans="1:4" x14ac:dyDescent="0.25">
      <c r="D60" s="5"/>
    </row>
    <row r="61" spans="1:4" x14ac:dyDescent="0.25">
      <c r="D61" s="5"/>
    </row>
    <row r="62" spans="1:4" x14ac:dyDescent="0.25">
      <c r="D62" s="5"/>
    </row>
    <row r="63" spans="1:4" x14ac:dyDescent="0.25">
      <c r="D63" s="5"/>
    </row>
    <row r="64" spans="1:4" x14ac:dyDescent="0.25">
      <c r="C64" s="5"/>
      <c r="D64" s="5"/>
    </row>
    <row r="65" spans="3:4" x14ac:dyDescent="0.25">
      <c r="C65" s="5"/>
      <c r="D65" s="5"/>
    </row>
    <row r="66" spans="3:4" x14ac:dyDescent="0.25">
      <c r="C66" s="5"/>
      <c r="D66" s="5"/>
    </row>
    <row r="67" spans="3:4" x14ac:dyDescent="0.25">
      <c r="C67" s="5"/>
      <c r="D67" s="5"/>
    </row>
    <row r="68" spans="3:4" x14ac:dyDescent="0.25">
      <c r="C68" s="5"/>
      <c r="D68" s="5"/>
    </row>
    <row r="69" spans="3:4" x14ac:dyDescent="0.25">
      <c r="C69" s="5"/>
      <c r="D69" s="5"/>
    </row>
    <row r="70" spans="3:4" x14ac:dyDescent="0.25">
      <c r="C70" s="5"/>
      <c r="D70" s="5"/>
    </row>
    <row r="71" spans="3:4" x14ac:dyDescent="0.25">
      <c r="C71" s="5"/>
      <c r="D71" s="5"/>
    </row>
    <row r="72" spans="3:4" x14ac:dyDescent="0.25">
      <c r="C72" s="5"/>
      <c r="D72" s="5"/>
    </row>
    <row r="73" spans="3:4" x14ac:dyDescent="0.25">
      <c r="C73" s="5"/>
      <c r="D73" s="5"/>
    </row>
    <row r="74" spans="3:4" x14ac:dyDescent="0.25">
      <c r="C74" s="5"/>
      <c r="D74" s="5"/>
    </row>
    <row r="75" spans="3:4" x14ac:dyDescent="0.25">
      <c r="C75" s="5"/>
      <c r="D75" s="5"/>
    </row>
    <row r="76" spans="3:4" x14ac:dyDescent="0.25">
      <c r="C76" s="5"/>
      <c r="D76" s="5"/>
    </row>
    <row r="77" spans="3:4" x14ac:dyDescent="0.25">
      <c r="C77" s="5"/>
      <c r="D77" s="5"/>
    </row>
    <row r="78" spans="3:4" x14ac:dyDescent="0.25">
      <c r="C78" s="5"/>
      <c r="D78" s="5"/>
    </row>
    <row r="79" spans="3:4" x14ac:dyDescent="0.25">
      <c r="C79" s="5"/>
      <c r="D79" s="5"/>
    </row>
    <row r="80" spans="3:4" x14ac:dyDescent="0.25">
      <c r="C80" s="5"/>
      <c r="D80" s="5"/>
    </row>
    <row r="81" spans="3:4" x14ac:dyDescent="0.25">
      <c r="C81" s="5"/>
      <c r="D81" s="5"/>
    </row>
    <row r="82" spans="3:4" x14ac:dyDescent="0.25">
      <c r="C82" s="5"/>
      <c r="D82" s="5"/>
    </row>
    <row r="83" spans="3:4" x14ac:dyDescent="0.25">
      <c r="C83" s="5"/>
      <c r="D83" s="5"/>
    </row>
    <row r="84" spans="3:4" x14ac:dyDescent="0.25">
      <c r="C84" s="5"/>
      <c r="D84" s="5"/>
    </row>
    <row r="85" spans="3:4" x14ac:dyDescent="0.25">
      <c r="C85" s="5"/>
      <c r="D85" s="5"/>
    </row>
    <row r="86" spans="3:4" x14ac:dyDescent="0.25">
      <c r="C86" s="5"/>
      <c r="D86" s="5"/>
    </row>
    <row r="87" spans="3:4" x14ac:dyDescent="0.25">
      <c r="C87" s="5"/>
      <c r="D87" s="5"/>
    </row>
    <row r="88" spans="3:4" x14ac:dyDescent="0.25">
      <c r="C88" s="5"/>
      <c r="D88" s="5"/>
    </row>
    <row r="89" spans="3:4" x14ac:dyDescent="0.25">
      <c r="C89" s="5"/>
      <c r="D89" s="5"/>
    </row>
    <row r="90" spans="3:4" x14ac:dyDescent="0.25">
      <c r="C90" s="5"/>
      <c r="D90" s="5"/>
    </row>
    <row r="91" spans="3:4" x14ac:dyDescent="0.25">
      <c r="C91" s="5"/>
      <c r="D91" s="5"/>
    </row>
    <row r="92" spans="3:4" x14ac:dyDescent="0.25">
      <c r="C92" s="5"/>
      <c r="D92" s="5"/>
    </row>
    <row r="93" spans="3:4" x14ac:dyDescent="0.25">
      <c r="C93" s="5"/>
      <c r="D93" s="5"/>
    </row>
    <row r="94" spans="3:4" x14ac:dyDescent="0.25">
      <c r="C94" s="5"/>
      <c r="D94" s="5"/>
    </row>
    <row r="95" spans="3:4" x14ac:dyDescent="0.25">
      <c r="C95" s="5"/>
      <c r="D95" s="5"/>
    </row>
    <row r="96" spans="3:4" x14ac:dyDescent="0.25">
      <c r="C96" s="5"/>
      <c r="D96" s="5"/>
    </row>
    <row r="97" spans="3:4" x14ac:dyDescent="0.25">
      <c r="C97" s="5"/>
      <c r="D97" s="5"/>
    </row>
    <row r="98" spans="3:4" x14ac:dyDescent="0.25">
      <c r="C98" s="5"/>
      <c r="D98" s="5"/>
    </row>
    <row r="99" spans="3:4" x14ac:dyDescent="0.25">
      <c r="C99" s="5"/>
      <c r="D99" s="5"/>
    </row>
    <row r="100" spans="3:4" x14ac:dyDescent="0.25">
      <c r="C100" s="5"/>
      <c r="D100" s="5"/>
    </row>
    <row r="101" spans="3:4" x14ac:dyDescent="0.25">
      <c r="C101" s="5"/>
      <c r="D101" s="5"/>
    </row>
    <row r="102" spans="3:4" x14ac:dyDescent="0.25">
      <c r="C102" s="5"/>
      <c r="D102" s="5"/>
    </row>
    <row r="103" spans="3:4" x14ac:dyDescent="0.25">
      <c r="C103" s="5"/>
      <c r="D103" s="5"/>
    </row>
    <row r="104" spans="3:4" x14ac:dyDescent="0.25">
      <c r="C104" s="5"/>
      <c r="D104" s="5"/>
    </row>
    <row r="105" spans="3:4" x14ac:dyDescent="0.25">
      <c r="C105" s="5"/>
      <c r="D105" s="5"/>
    </row>
    <row r="106" spans="3:4" x14ac:dyDescent="0.25">
      <c r="C106" s="5"/>
      <c r="D106" s="5"/>
    </row>
    <row r="107" spans="3:4" x14ac:dyDescent="0.25">
      <c r="C107" s="5"/>
      <c r="D107" s="5"/>
    </row>
    <row r="108" spans="3:4" x14ac:dyDescent="0.25">
      <c r="C108" s="5"/>
      <c r="D108" s="5"/>
    </row>
    <row r="109" spans="3:4" x14ac:dyDescent="0.25">
      <c r="C109" s="5"/>
      <c r="D109" s="5"/>
    </row>
    <row r="110" spans="3:4" x14ac:dyDescent="0.25">
      <c r="C110" s="5"/>
      <c r="D110" s="5"/>
    </row>
    <row r="111" spans="3:4" x14ac:dyDescent="0.25">
      <c r="C111" s="5"/>
      <c r="D111" s="5"/>
    </row>
    <row r="112" spans="3:4" x14ac:dyDescent="0.25">
      <c r="C112" s="5"/>
      <c r="D112" s="5"/>
    </row>
    <row r="113" spans="3:4" x14ac:dyDescent="0.25">
      <c r="C113" s="5"/>
      <c r="D113" s="5"/>
    </row>
    <row r="114" spans="3:4" x14ac:dyDescent="0.25">
      <c r="C114" s="5"/>
      <c r="D114" s="5"/>
    </row>
    <row r="115" spans="3:4" x14ac:dyDescent="0.25">
      <c r="C115" s="5"/>
      <c r="D115" s="5"/>
    </row>
    <row r="116" spans="3:4" x14ac:dyDescent="0.25">
      <c r="C116" s="5"/>
      <c r="D116" s="5"/>
    </row>
    <row r="117" spans="3:4" x14ac:dyDescent="0.25">
      <c r="C117" s="5"/>
      <c r="D117" s="5"/>
    </row>
    <row r="118" spans="3:4" x14ac:dyDescent="0.25">
      <c r="C118" s="5"/>
      <c r="D118" s="5"/>
    </row>
    <row r="119" spans="3:4" x14ac:dyDescent="0.25">
      <c r="C119" s="5"/>
      <c r="D119" s="5"/>
    </row>
    <row r="120" spans="3:4" x14ac:dyDescent="0.25">
      <c r="C120" s="5"/>
      <c r="D120" s="5"/>
    </row>
    <row r="121" spans="3:4" x14ac:dyDescent="0.25">
      <c r="C121" s="5"/>
      <c r="D121" s="5"/>
    </row>
    <row r="122" spans="3:4" x14ac:dyDescent="0.25">
      <c r="C122" s="5"/>
      <c r="D122" s="5"/>
    </row>
    <row r="123" spans="3:4" x14ac:dyDescent="0.25">
      <c r="C123" s="5"/>
      <c r="D123" s="5"/>
    </row>
    <row r="124" spans="3:4" x14ac:dyDescent="0.25">
      <c r="C124" s="5"/>
      <c r="D124" s="5"/>
    </row>
    <row r="125" spans="3:4" x14ac:dyDescent="0.25">
      <c r="C125" s="5"/>
      <c r="D125" s="5"/>
    </row>
    <row r="126" spans="3:4" x14ac:dyDescent="0.25">
      <c r="C126" s="5"/>
      <c r="D126" s="5"/>
    </row>
    <row r="127" spans="3:4" x14ac:dyDescent="0.25">
      <c r="C127" s="5"/>
      <c r="D127" s="5"/>
    </row>
    <row r="128" spans="3:4" x14ac:dyDescent="0.25">
      <c r="C128" s="5"/>
      <c r="D128" s="5"/>
    </row>
    <row r="129" spans="3:4" x14ac:dyDescent="0.25">
      <c r="C129" s="5"/>
      <c r="D129" s="5"/>
    </row>
    <row r="130" spans="3:4" x14ac:dyDescent="0.25">
      <c r="C130" s="5"/>
      <c r="D130" s="5"/>
    </row>
    <row r="131" spans="3:4" x14ac:dyDescent="0.25">
      <c r="C131" s="5"/>
      <c r="D131" s="5"/>
    </row>
    <row r="132" spans="3:4" x14ac:dyDescent="0.25">
      <c r="C132" s="5"/>
      <c r="D132" s="5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4">
    <tabColor theme="5" tint="0.79998168889431442"/>
  </sheetPr>
  <dimension ref="A1:E49"/>
  <sheetViews>
    <sheetView zoomScale="70" zoomScaleNormal="70" workbookViewId="0">
      <selection activeCell="D33" sqref="D33"/>
    </sheetView>
  </sheetViews>
  <sheetFormatPr defaultRowHeight="15" x14ac:dyDescent="0.25"/>
  <cols>
    <col min="1" max="1" width="56.5703125" bestFit="1" customWidth="1"/>
    <col min="2" max="2" width="212" bestFit="1" customWidth="1"/>
    <col min="3" max="3" width="56.5703125" bestFit="1" customWidth="1"/>
    <col min="4" max="4" width="99.28515625" style="8" bestFit="1" customWidth="1"/>
  </cols>
  <sheetData>
    <row r="1" spans="1:5" x14ac:dyDescent="0.25">
      <c r="A1" t="s">
        <v>0</v>
      </c>
      <c r="B1" t="s">
        <v>27</v>
      </c>
      <c r="C1" t="s">
        <v>28</v>
      </c>
      <c r="D1" s="8" t="s">
        <v>29</v>
      </c>
      <c r="E1" s="3" t="s">
        <v>31</v>
      </c>
    </row>
    <row r="2" spans="1:5" x14ac:dyDescent="0.25">
      <c r="A2" t="str">
        <f>IF(Input!A3="","",Input!A3)</f>
        <v>Schroder Active Portfolio 2</v>
      </c>
      <c r="B2" t="s">
        <v>41</v>
      </c>
      <c r="C2" t="s">
        <v>32</v>
      </c>
      <c r="D2" s="8" t="s">
        <v>112</v>
      </c>
    </row>
    <row r="3" spans="1:5" x14ac:dyDescent="0.25">
      <c r="A3" t="str">
        <f>IF(Input!A4="","",Input!A4)</f>
        <v>Schroder Active Portfolio 3</v>
      </c>
      <c r="B3" t="s">
        <v>42</v>
      </c>
      <c r="C3" t="s">
        <v>33</v>
      </c>
      <c r="D3" s="8" t="s">
        <v>113</v>
      </c>
    </row>
    <row r="4" spans="1:5" x14ac:dyDescent="0.25">
      <c r="A4" t="str">
        <f>IF(Input!A5="","",Input!A5)</f>
        <v>Schroder Active Portfolio 4</v>
      </c>
      <c r="B4" t="s">
        <v>43</v>
      </c>
      <c r="C4" t="s">
        <v>34</v>
      </c>
      <c r="D4" s="8" t="s">
        <v>114</v>
      </c>
    </row>
    <row r="5" spans="1:5" x14ac:dyDescent="0.25">
      <c r="A5" t="str">
        <f>IF(Input!A6="","",Input!A6)</f>
        <v>Schroder Active Portfolio 5</v>
      </c>
      <c r="B5" t="s">
        <v>44</v>
      </c>
      <c r="C5" t="s">
        <v>35</v>
      </c>
      <c r="D5" s="8" t="s">
        <v>115</v>
      </c>
    </row>
    <row r="6" spans="1:5" x14ac:dyDescent="0.25">
      <c r="A6" t="str">
        <f>IF(Input!A7="","",Input!A7)</f>
        <v>Schroder Active Portfolio 6</v>
      </c>
      <c r="B6" t="s">
        <v>45</v>
      </c>
      <c r="C6" s="10" t="s">
        <v>36</v>
      </c>
      <c r="D6" s="8" t="s">
        <v>116</v>
      </c>
    </row>
    <row r="7" spans="1:5" x14ac:dyDescent="0.25">
      <c r="A7" t="str">
        <f>IF(Input!A8="","",Input!A8)</f>
        <v>Schroder Active Portfolio 7</v>
      </c>
      <c r="B7" t="s">
        <v>46</v>
      </c>
      <c r="C7" s="10" t="s">
        <v>37</v>
      </c>
      <c r="D7" s="8" t="s">
        <v>117</v>
      </c>
    </row>
    <row r="8" spans="1:5" x14ac:dyDescent="0.25">
      <c r="A8" t="str">
        <f>IF(Input!A9="","",Input!A9)</f>
        <v>Schroder Active Portfolio 8</v>
      </c>
      <c r="B8" t="s">
        <v>47</v>
      </c>
      <c r="C8" s="10" t="s">
        <v>38</v>
      </c>
      <c r="D8" s="8" t="s">
        <v>118</v>
      </c>
    </row>
    <row r="9" spans="1:5" x14ac:dyDescent="0.25">
      <c r="A9" t="str">
        <f>IF(Input!A10="","",Input!A10)</f>
        <v>Schroder Active Portfolio 9</v>
      </c>
      <c r="B9" t="s">
        <v>48</v>
      </c>
      <c r="C9" s="10" t="s">
        <v>39</v>
      </c>
      <c r="D9" s="8" t="s">
        <v>119</v>
      </c>
    </row>
    <row r="10" spans="1:5" x14ac:dyDescent="0.25">
      <c r="A10" t="str">
        <f>IF(Input!A11="","",Input!A11)</f>
        <v>Schroder Active Portfolio 10</v>
      </c>
      <c r="B10" t="s">
        <v>49</v>
      </c>
      <c r="C10" s="10" t="s">
        <v>40</v>
      </c>
      <c r="D10" s="8" t="s">
        <v>120</v>
      </c>
    </row>
    <row r="11" spans="1:5" x14ac:dyDescent="0.25">
      <c r="A11" t="str">
        <f>IF(Input!A12="","",Input!A12)</f>
        <v>Schroder Strategic Index Portfolio 2</v>
      </c>
      <c r="B11" t="s">
        <v>59</v>
      </c>
      <c r="C11" s="10" t="s">
        <v>50</v>
      </c>
      <c r="D11" s="8" t="s">
        <v>121</v>
      </c>
    </row>
    <row r="12" spans="1:5" x14ac:dyDescent="0.25">
      <c r="A12" t="str">
        <f>IF(Input!A13="","",Input!A13)</f>
        <v>Schroder Strategic Index Portfolio 3</v>
      </c>
      <c r="B12" t="s">
        <v>60</v>
      </c>
      <c r="C12" s="10" t="s">
        <v>51</v>
      </c>
      <c r="D12" s="8" t="s">
        <v>122</v>
      </c>
    </row>
    <row r="13" spans="1:5" x14ac:dyDescent="0.25">
      <c r="A13" t="str">
        <f>IF(Input!A14="","",Input!A14)</f>
        <v>Schroder Strategic Index Portfolio 4</v>
      </c>
      <c r="B13" t="s">
        <v>61</v>
      </c>
      <c r="C13" t="s">
        <v>52</v>
      </c>
      <c r="D13" s="8" t="s">
        <v>123</v>
      </c>
    </row>
    <row r="14" spans="1:5" x14ac:dyDescent="0.25">
      <c r="A14" t="str">
        <f>IF(Input!A15="","",Input!A15)</f>
        <v>Schroder Strategic Index Portfolio 5</v>
      </c>
      <c r="B14" t="s">
        <v>62</v>
      </c>
      <c r="C14" t="s">
        <v>53</v>
      </c>
      <c r="D14" s="8" t="s">
        <v>124</v>
      </c>
    </row>
    <row r="15" spans="1:5" x14ac:dyDescent="0.25">
      <c r="A15" t="str">
        <f>IF(Input!A16="","",Input!A16)</f>
        <v>Schroder Strategic Index Portfolio 6</v>
      </c>
      <c r="B15" t="s">
        <v>63</v>
      </c>
      <c r="C15" t="s">
        <v>54</v>
      </c>
      <c r="D15" s="8" t="s">
        <v>125</v>
      </c>
    </row>
    <row r="16" spans="1:5" x14ac:dyDescent="0.25">
      <c r="A16" t="str">
        <f>IF(Input!A17="","",Input!A17)</f>
        <v>Schroder Strategic Index Portfolio 7</v>
      </c>
      <c r="B16" t="s">
        <v>64</v>
      </c>
      <c r="C16" t="s">
        <v>55</v>
      </c>
      <c r="D16" s="8" t="s">
        <v>126</v>
      </c>
    </row>
    <row r="17" spans="1:4" x14ac:dyDescent="0.25">
      <c r="A17" t="str">
        <f>IF(Input!A18="","",Input!A18)</f>
        <v>Schroder Strategic Index Portfolio 8</v>
      </c>
      <c r="B17" t="s">
        <v>65</v>
      </c>
      <c r="C17" t="s">
        <v>56</v>
      </c>
      <c r="D17" s="8" t="s">
        <v>127</v>
      </c>
    </row>
    <row r="18" spans="1:4" x14ac:dyDescent="0.25">
      <c r="A18" t="str">
        <f>IF(Input!A19="","",Input!A19)</f>
        <v>Schroder Strategic Index Portfolio 9</v>
      </c>
      <c r="B18" t="s">
        <v>66</v>
      </c>
      <c r="C18" t="s">
        <v>57</v>
      </c>
      <c r="D18" s="8" t="s">
        <v>128</v>
      </c>
    </row>
    <row r="19" spans="1:4" x14ac:dyDescent="0.25">
      <c r="A19" t="str">
        <f>IF(Input!A20="","",Input!A20)</f>
        <v>Schroder Strategic Index Portfolio 10</v>
      </c>
      <c r="B19" t="s">
        <v>67</v>
      </c>
      <c r="C19" t="s">
        <v>58</v>
      </c>
      <c r="D19" s="8" t="s">
        <v>129</v>
      </c>
    </row>
    <row r="20" spans="1:4" x14ac:dyDescent="0.25">
      <c r="A20" t="str">
        <f>IF(Input!A21="","",Input!A21)</f>
        <v>Schroder Sustainable Portfolio 3</v>
      </c>
      <c r="B20" t="s">
        <v>74</v>
      </c>
      <c r="C20" t="s">
        <v>68</v>
      </c>
      <c r="D20" s="8" t="s">
        <v>130</v>
      </c>
    </row>
    <row r="21" spans="1:4" x14ac:dyDescent="0.25">
      <c r="A21" t="str">
        <f>IF(Input!A22="","",Input!A22)</f>
        <v>Schroder Sustainable Portfolio 4</v>
      </c>
      <c r="B21" t="s">
        <v>75</v>
      </c>
      <c r="C21" t="s">
        <v>69</v>
      </c>
      <c r="D21" s="8" t="s">
        <v>131</v>
      </c>
    </row>
    <row r="22" spans="1:4" x14ac:dyDescent="0.25">
      <c r="A22" t="str">
        <f>IF(Input!A23="","",Input!A23)</f>
        <v>Schroder Sustainable Portfolio 5</v>
      </c>
      <c r="B22" s="4" t="s">
        <v>109</v>
      </c>
      <c r="C22" t="s">
        <v>70</v>
      </c>
      <c r="D22" s="8" t="s">
        <v>132</v>
      </c>
    </row>
    <row r="23" spans="1:4" x14ac:dyDescent="0.25">
      <c r="A23" t="str">
        <f>IF(Input!A24="","",Input!A24)</f>
        <v>Schroder Sustainable Portfolio 6</v>
      </c>
      <c r="B23" t="s">
        <v>76</v>
      </c>
      <c r="C23" t="s">
        <v>71</v>
      </c>
      <c r="D23" s="8" t="s">
        <v>133</v>
      </c>
    </row>
    <row r="24" spans="1:4" x14ac:dyDescent="0.25">
      <c r="A24" t="str">
        <f>IF(Input!A25="","",Input!A25)</f>
        <v>Schroder Sustainable Portfolio 7</v>
      </c>
      <c r="B24" t="s">
        <v>77</v>
      </c>
      <c r="C24" t="s">
        <v>72</v>
      </c>
      <c r="D24" s="8" t="s">
        <v>134</v>
      </c>
    </row>
    <row r="25" spans="1:4" x14ac:dyDescent="0.25">
      <c r="A25" t="str">
        <f>IF(Input!A26="","",Input!A26)</f>
        <v>Schroder Sustainable Portfolio 8</v>
      </c>
      <c r="B25" t="s">
        <v>78</v>
      </c>
      <c r="C25" t="s">
        <v>73</v>
      </c>
      <c r="D25" s="8" t="s">
        <v>135</v>
      </c>
    </row>
    <row r="26" spans="1:4" x14ac:dyDescent="0.25">
      <c r="A26" t="str">
        <f>IF(Input!A27="","",Input!A27)</f>
        <v>Schroder Blended Portfolio 3</v>
      </c>
      <c r="B26" t="s">
        <v>85</v>
      </c>
      <c r="C26" t="s">
        <v>79</v>
      </c>
      <c r="D26" s="8" t="s">
        <v>136</v>
      </c>
    </row>
    <row r="27" spans="1:4" x14ac:dyDescent="0.25">
      <c r="A27" t="str">
        <f>IF(Input!A28="","",Input!A28)</f>
        <v>Schroder Blended Portfolio 4</v>
      </c>
      <c r="B27" t="s">
        <v>86</v>
      </c>
      <c r="C27" t="s">
        <v>80</v>
      </c>
      <c r="D27" s="8" t="s">
        <v>137</v>
      </c>
    </row>
    <row r="28" spans="1:4" x14ac:dyDescent="0.25">
      <c r="A28" t="str">
        <f>IF(Input!A29="","",Input!A29)</f>
        <v>Schroder Blended Portfolio 5</v>
      </c>
      <c r="B28" s="10" t="s">
        <v>87</v>
      </c>
      <c r="C28" t="s">
        <v>81</v>
      </c>
      <c r="D28" s="8" t="s">
        <v>138</v>
      </c>
    </row>
    <row r="29" spans="1:4" x14ac:dyDescent="0.25">
      <c r="A29" t="str">
        <f>IF(Input!A30="","",Input!A30)</f>
        <v>Schroder Blended Portfolio 6</v>
      </c>
      <c r="B29" s="10" t="s">
        <v>88</v>
      </c>
      <c r="C29" t="s">
        <v>82</v>
      </c>
      <c r="D29" s="8" t="s">
        <v>139</v>
      </c>
    </row>
    <row r="30" spans="1:4" x14ac:dyDescent="0.25">
      <c r="A30" t="str">
        <f>IF(Input!A31="","",Input!A31)</f>
        <v>Schroder Blended Portfolio 7</v>
      </c>
      <c r="B30" s="10" t="s">
        <v>89</v>
      </c>
      <c r="C30" t="s">
        <v>83</v>
      </c>
      <c r="D30" s="8" t="s">
        <v>140</v>
      </c>
    </row>
    <row r="31" spans="1:4" x14ac:dyDescent="0.25">
      <c r="A31" t="str">
        <f>IF(Input!A32="","",Input!A32)</f>
        <v>Schroder Blended Portfolio 8</v>
      </c>
      <c r="B31" s="10" t="s">
        <v>90</v>
      </c>
      <c r="C31" t="s">
        <v>84</v>
      </c>
      <c r="D31" s="8" t="s">
        <v>141</v>
      </c>
    </row>
    <row r="32" spans="1:4" x14ac:dyDescent="0.25">
      <c r="A32" t="str">
        <f>IF(Input!A33="","",Input!A33)</f>
        <v>Schroder Income Portfolio</v>
      </c>
      <c r="B32" s="10" t="s">
        <v>92</v>
      </c>
      <c r="C32" t="s">
        <v>110</v>
      </c>
      <c r="D32" s="8" t="s">
        <v>148</v>
      </c>
    </row>
    <row r="33" spans="1:4" x14ac:dyDescent="0.25">
      <c r="A33" t="str">
        <f>IF(Input!A34="","",Input!A34)</f>
        <v>Schroder Managed Defensive Fund</v>
      </c>
      <c r="B33" s="10" t="s">
        <v>94</v>
      </c>
      <c r="C33" t="s">
        <v>111</v>
      </c>
      <c r="D33" s="8" t="s">
        <v>142</v>
      </c>
    </row>
    <row r="34" spans="1:4" x14ac:dyDescent="0.25">
      <c r="A34" t="str">
        <f>IF(Input!A35="","",Input!A35)</f>
        <v>Schroder Global Multi-Asset Cautious Portfolio</v>
      </c>
      <c r="B34" s="10" t="s">
        <v>96</v>
      </c>
      <c r="C34" t="s">
        <v>95</v>
      </c>
      <c r="D34" s="8" t="s">
        <v>143</v>
      </c>
    </row>
    <row r="35" spans="1:4" x14ac:dyDescent="0.25">
      <c r="A35" t="str">
        <f>IF(Input!A36="","",Input!A36)</f>
        <v>Schroder Global Multi-Asset Moderately Cautious Portfolio</v>
      </c>
      <c r="B35" s="10" t="s">
        <v>98</v>
      </c>
      <c r="C35" t="s">
        <v>97</v>
      </c>
      <c r="D35" s="8" t="s">
        <v>144</v>
      </c>
    </row>
    <row r="36" spans="1:4" x14ac:dyDescent="0.25">
      <c r="A36" t="str">
        <f>IF(Input!A37="","",Input!A37)</f>
        <v>Schroder Schroder Global Multi-Asset Balanced Portfolio</v>
      </c>
      <c r="B36" s="10" t="s">
        <v>100</v>
      </c>
      <c r="C36" t="s">
        <v>99</v>
      </c>
      <c r="D36" s="8" t="s">
        <v>145</v>
      </c>
    </row>
    <row r="37" spans="1:4" x14ac:dyDescent="0.25">
      <c r="A37" t="str">
        <f>IF(Input!A38="","",Input!A38)</f>
        <v>Schroder Global Multi-Asset Growth Portfolio</v>
      </c>
      <c r="B37" s="10" t="s">
        <v>102</v>
      </c>
      <c r="C37" t="s">
        <v>101</v>
      </c>
      <c r="D37" s="8" t="s">
        <v>146</v>
      </c>
    </row>
    <row r="38" spans="1:4" x14ac:dyDescent="0.25">
      <c r="A38" t="str">
        <f>IF(Input!A39="","",Input!A39)</f>
        <v>Schroder Global Multi-Asset Adventurous Portfolio</v>
      </c>
      <c r="B38" s="10" t="s">
        <v>104</v>
      </c>
      <c r="C38" t="s">
        <v>103</v>
      </c>
      <c r="D38" s="8" t="s">
        <v>147</v>
      </c>
    </row>
    <row r="39" spans="1:4" x14ac:dyDescent="0.25">
      <c r="A39" t="str">
        <f>IF(Input!A41="","",Input!A41)</f>
        <v/>
      </c>
      <c r="B39" s="10"/>
    </row>
    <row r="40" spans="1:4" x14ac:dyDescent="0.25">
      <c r="A40" t="str">
        <f>IF(Input!A42="","",Input!A42)</f>
        <v/>
      </c>
      <c r="B40" s="10"/>
    </row>
    <row r="41" spans="1:4" x14ac:dyDescent="0.25">
      <c r="A41" t="str">
        <f>IF(Input!A43="","",Input!A43)</f>
        <v/>
      </c>
      <c r="B41" s="10"/>
    </row>
    <row r="42" spans="1:4" x14ac:dyDescent="0.25">
      <c r="A42" t="str">
        <f>IF(Input!A44="","",Input!A44)</f>
        <v/>
      </c>
    </row>
    <row r="43" spans="1:4" x14ac:dyDescent="0.25">
      <c r="A43" t="str">
        <f>IF(Input!A45="","",Input!A45)</f>
        <v/>
      </c>
    </row>
    <row r="44" spans="1:4" x14ac:dyDescent="0.25">
      <c r="A44" t="str">
        <f>IF(Input!A46="","",Input!A46)</f>
        <v/>
      </c>
    </row>
    <row r="45" spans="1:4" x14ac:dyDescent="0.25">
      <c r="A45" t="str">
        <f>IF(Input!A47="","",Input!A47)</f>
        <v/>
      </c>
    </row>
    <row r="46" spans="1:4" x14ac:dyDescent="0.25">
      <c r="A46" t="str">
        <f>IF(Input!A48="","",Input!A48)</f>
        <v/>
      </c>
    </row>
    <row r="47" spans="1:4" x14ac:dyDescent="0.25">
      <c r="A47" t="str">
        <f>IF(Input!A49="","",Input!A49)</f>
        <v/>
      </c>
    </row>
    <row r="48" spans="1:4" x14ac:dyDescent="0.25">
      <c r="A48" t="str">
        <f>IF(Input!A50="","",Input!A50)</f>
        <v/>
      </c>
    </row>
    <row r="49" spans="1:1" x14ac:dyDescent="0.25">
      <c r="A49" t="str">
        <f>IF(Input!A51="","",Input!A51)</f>
        <v/>
      </c>
    </row>
  </sheetData>
  <conditionalFormatting sqref="D2:D38">
    <cfRule type="duplicateValues" dxfId="3" priority="1"/>
    <cfRule type="duplicateValues" dxfId="2" priority="2"/>
    <cfRule type="duplicateValues" dxfId="1" priority="3"/>
    <cfRule type="duplicateValues" dxfId="0" priority="4"/>
  </conditionalFormatting>
  <hyperlinks>
    <hyperlink ref="B22" r:id="rId1" location="/fund/SCHDR_F000016P37/schroder-sustainable-portfolio-5/-/profile/"/>
  </hyperlinks>
  <pageMargins left="0.7" right="0.7" top="0.75" bottom="0.75" header="0.3" footer="0.3"/>
  <pageSetup paperSize="9" orientation="portrait"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4" tint="0.79998168889431442"/>
  </sheetPr>
  <dimension ref="A1:B50"/>
  <sheetViews>
    <sheetView workbookViewId="0">
      <selection activeCell="Z1" sqref="Z1:AA1048576"/>
    </sheetView>
  </sheetViews>
  <sheetFormatPr defaultRowHeight="15" x14ac:dyDescent="0.25"/>
  <cols>
    <col min="2" max="2" width="10.42578125" bestFit="1" customWidth="1"/>
  </cols>
  <sheetData>
    <row r="1" spans="1:2" x14ac:dyDescent="0.25">
      <c r="B1" t="s">
        <v>26</v>
      </c>
    </row>
    <row r="2" spans="1:2" x14ac:dyDescent="0.25">
      <c r="A2" t="str">
        <f>IF(Input!A3="","",Input!A3)</f>
        <v>Schroder Active Portfolio 2</v>
      </c>
      <c r="B2" s="1">
        <f>IF(A2="","",EOMONTH(DATE(YEAR(IF(A2="","",'Additional Information'!B2)),MONTH(IF(A2="","",'Additional Information'!B2)),DAY(IF(A2="","",'Additional Information'!B2))),0))</f>
        <v>45138</v>
      </c>
    </row>
    <row r="3" spans="1:2" x14ac:dyDescent="0.25">
      <c r="A3" t="str">
        <f>IF(Input!A4="","",Input!A4)</f>
        <v>Schroder Active Portfolio 3</v>
      </c>
      <c r="B3" s="1">
        <f>IF(A3="","",EOMONTH(DATE(YEAR(IF(A3="","",'Additional Information'!B3)),MONTH(IF(A3="","",'Additional Information'!B3)),DAY(IF(A3="","",'Additional Information'!B3))),0))</f>
        <v>45138</v>
      </c>
    </row>
    <row r="4" spans="1:2" x14ac:dyDescent="0.25">
      <c r="A4" t="str">
        <f>IF(Input!A5="","",Input!A5)</f>
        <v>Schroder Active Portfolio 4</v>
      </c>
      <c r="B4" s="1">
        <f>IF(A4="","",EOMONTH(DATE(YEAR(IF(A4="","",'Additional Information'!B4)),MONTH(IF(A4="","",'Additional Information'!B4)),DAY(IF(A4="","",'Additional Information'!B4))),0))</f>
        <v>45138</v>
      </c>
    </row>
    <row r="5" spans="1:2" x14ac:dyDescent="0.25">
      <c r="A5" t="str">
        <f>IF(Input!A6="","",Input!A6)</f>
        <v>Schroder Active Portfolio 5</v>
      </c>
      <c r="B5" s="1">
        <f>IF(A5="","",EOMONTH(DATE(YEAR(IF(A5="","",'Additional Information'!B5)),MONTH(IF(A5="","",'Additional Information'!B5)),DAY(IF(A5="","",'Additional Information'!B5))),0))</f>
        <v>45138</v>
      </c>
    </row>
    <row r="6" spans="1:2" x14ac:dyDescent="0.25">
      <c r="A6" t="str">
        <f>IF(Input!A7="","",Input!A7)</f>
        <v>Schroder Active Portfolio 6</v>
      </c>
      <c r="B6" s="1">
        <f>IF(A6="","",EOMONTH(DATE(YEAR(IF(A6="","",'Additional Information'!B6)),MONTH(IF(A6="","",'Additional Information'!B6)),DAY(IF(A6="","",'Additional Information'!B6))),0))</f>
        <v>45138</v>
      </c>
    </row>
    <row r="7" spans="1:2" x14ac:dyDescent="0.25">
      <c r="A7" t="str">
        <f>IF(Input!A8="","",Input!A8)</f>
        <v>Schroder Active Portfolio 7</v>
      </c>
      <c r="B7" s="1">
        <f>IF(A7="","",EOMONTH(DATE(YEAR(IF(A7="","",'Additional Information'!B7)),MONTH(IF(A7="","",'Additional Information'!B7)),DAY(IF(A7="","",'Additional Information'!B7))),0))</f>
        <v>45138</v>
      </c>
    </row>
    <row r="8" spans="1:2" x14ac:dyDescent="0.25">
      <c r="A8" t="str">
        <f>IF(Input!A9="","",Input!A9)</f>
        <v>Schroder Active Portfolio 8</v>
      </c>
      <c r="B8" s="1">
        <f>IF(A8="","",EOMONTH(DATE(YEAR(IF(A8="","",'Additional Information'!B8)),MONTH(IF(A8="","",'Additional Information'!B8)),DAY(IF(A8="","",'Additional Information'!B8))),0))</f>
        <v>45138</v>
      </c>
    </row>
    <row r="9" spans="1:2" x14ac:dyDescent="0.25">
      <c r="A9" t="str">
        <f>IF(Input!A10="","",Input!A10)</f>
        <v>Schroder Active Portfolio 9</v>
      </c>
      <c r="B9" s="1">
        <f>IF(A9="","",EOMONTH(DATE(YEAR(IF(A9="","",'Additional Information'!B9)),MONTH(IF(A9="","",'Additional Information'!B9)),DAY(IF(A9="","",'Additional Information'!B9))),0))</f>
        <v>45138</v>
      </c>
    </row>
    <row r="10" spans="1:2" x14ac:dyDescent="0.25">
      <c r="A10" t="str">
        <f>IF(Input!A11="","",Input!A11)</f>
        <v>Schroder Active Portfolio 10</v>
      </c>
      <c r="B10" s="1">
        <f>IF(A10="","",EOMONTH(DATE(YEAR(IF(A10="","",'Additional Information'!B10)),MONTH(IF(A10="","",'Additional Information'!B10)),DAY(IF(A10="","",'Additional Information'!B10))),0))</f>
        <v>45138</v>
      </c>
    </row>
    <row r="11" spans="1:2" x14ac:dyDescent="0.25">
      <c r="A11" t="str">
        <f>IF(Input!A12="","",Input!A12)</f>
        <v>Schroder Strategic Index Portfolio 2</v>
      </c>
      <c r="B11" s="1">
        <f>IF(A11="","",EOMONTH(DATE(YEAR(IF(A11="","",'Additional Information'!B11)),MONTH(IF(A11="","",'Additional Information'!B11)),DAY(IF(A11="","",'Additional Information'!B11))),0))</f>
        <v>45138</v>
      </c>
    </row>
    <row r="12" spans="1:2" x14ac:dyDescent="0.25">
      <c r="A12" t="str">
        <f>IF(Input!A13="","",Input!A13)</f>
        <v>Schroder Strategic Index Portfolio 3</v>
      </c>
      <c r="B12" s="1">
        <f>IF(A12="","",EOMONTH(DATE(YEAR(IF(A12="","",'Additional Information'!B12)),MONTH(IF(A12="","",'Additional Information'!B12)),DAY(IF(A12="","",'Additional Information'!B12))),0))</f>
        <v>45138</v>
      </c>
    </row>
    <row r="13" spans="1:2" x14ac:dyDescent="0.25">
      <c r="A13" t="str">
        <f>IF(Input!A14="","",Input!A14)</f>
        <v>Schroder Strategic Index Portfolio 4</v>
      </c>
      <c r="B13" s="1">
        <f>IF(A13="","",EOMONTH(DATE(YEAR(IF(A13="","",'Additional Information'!B13)),MONTH(IF(A13="","",'Additional Information'!B13)),DAY(IF(A13="","",'Additional Information'!B13))),0))</f>
        <v>45138</v>
      </c>
    </row>
    <row r="14" spans="1:2" x14ac:dyDescent="0.25">
      <c r="A14" t="str">
        <f>IF(Input!A15="","",Input!A15)</f>
        <v>Schroder Strategic Index Portfolio 5</v>
      </c>
      <c r="B14" s="1">
        <f>IF(A14="","",EOMONTH(DATE(YEAR(IF(A14="","",'Additional Information'!B14)),MONTH(IF(A14="","",'Additional Information'!B14)),DAY(IF(A14="","",'Additional Information'!B14))),0))</f>
        <v>45138</v>
      </c>
    </row>
    <row r="15" spans="1:2" x14ac:dyDescent="0.25">
      <c r="A15" t="str">
        <f>IF(Input!A16="","",Input!A16)</f>
        <v>Schroder Strategic Index Portfolio 6</v>
      </c>
      <c r="B15" s="1">
        <f>IF(A15="","",EOMONTH(DATE(YEAR(IF(A15="","",'Additional Information'!B15)),MONTH(IF(A15="","",'Additional Information'!B15)),DAY(IF(A15="","",'Additional Information'!B15))),0))</f>
        <v>45138</v>
      </c>
    </row>
    <row r="16" spans="1:2" x14ac:dyDescent="0.25">
      <c r="A16" t="str">
        <f>IF(Input!A17="","",Input!A17)</f>
        <v>Schroder Strategic Index Portfolio 7</v>
      </c>
      <c r="B16" s="1">
        <f>IF(A16="","",EOMONTH(DATE(YEAR(IF(A16="","",'Additional Information'!B16)),MONTH(IF(A16="","",'Additional Information'!B16)),DAY(IF(A16="","",'Additional Information'!B16))),0))</f>
        <v>45138</v>
      </c>
    </row>
    <row r="17" spans="1:2" x14ac:dyDescent="0.25">
      <c r="A17" t="str">
        <f>IF(Input!A18="","",Input!A18)</f>
        <v>Schroder Strategic Index Portfolio 8</v>
      </c>
      <c r="B17" s="1">
        <f>IF(A17="","",EOMONTH(DATE(YEAR(IF(A17="","",'Additional Information'!B17)),MONTH(IF(A17="","",'Additional Information'!B17)),DAY(IF(A17="","",'Additional Information'!B17))),0))</f>
        <v>45138</v>
      </c>
    </row>
    <row r="18" spans="1:2" x14ac:dyDescent="0.25">
      <c r="A18" t="str">
        <f>IF(Input!A19="","",Input!A19)</f>
        <v>Schroder Strategic Index Portfolio 9</v>
      </c>
      <c r="B18" s="1">
        <f>IF(A18="","",EOMONTH(DATE(YEAR(IF(A18="","",'Additional Information'!B18)),MONTH(IF(A18="","",'Additional Information'!B18)),DAY(IF(A18="","",'Additional Information'!B18))),0))</f>
        <v>45138</v>
      </c>
    </row>
    <row r="19" spans="1:2" x14ac:dyDescent="0.25">
      <c r="A19" t="str">
        <f>IF(Input!A20="","",Input!A20)</f>
        <v>Schroder Strategic Index Portfolio 10</v>
      </c>
      <c r="B19" s="1">
        <f>IF(A19="","",EOMONTH(DATE(YEAR(IF(A19="","",'Additional Information'!B19)),MONTH(IF(A19="","",'Additional Information'!B19)),DAY(IF(A19="","",'Additional Information'!B19))),0))</f>
        <v>45138</v>
      </c>
    </row>
    <row r="20" spans="1:2" x14ac:dyDescent="0.25">
      <c r="A20" t="str">
        <f>IF(Input!A21="","",Input!A21)</f>
        <v>Schroder Sustainable Portfolio 3</v>
      </c>
      <c r="B20" s="1">
        <f>IF(A20="","",EOMONTH(DATE(YEAR(IF(A20="","",'Additional Information'!B20)),MONTH(IF(A20="","",'Additional Information'!B20)),DAY(IF(A20="","",'Additional Information'!B20))),0))</f>
        <v>45138</v>
      </c>
    </row>
    <row r="21" spans="1:2" x14ac:dyDescent="0.25">
      <c r="A21" t="str">
        <f>IF(Input!A22="","",Input!A22)</f>
        <v>Schroder Sustainable Portfolio 4</v>
      </c>
      <c r="B21" s="1">
        <f>IF(A21="","",EOMONTH(DATE(YEAR(IF(A21="","",'Additional Information'!B21)),MONTH(IF(A21="","",'Additional Information'!B21)),DAY(IF(A21="","",'Additional Information'!B21))),0))</f>
        <v>45138</v>
      </c>
    </row>
    <row r="22" spans="1:2" x14ac:dyDescent="0.25">
      <c r="A22" t="str">
        <f>IF(Input!A23="","",Input!A23)</f>
        <v>Schroder Sustainable Portfolio 5</v>
      </c>
      <c r="B22" s="1">
        <f>IF(A22="","",EOMONTH(DATE(YEAR(IF(A22="","",'Additional Information'!B22)),MONTH(IF(A22="","",'Additional Information'!B22)),DAY(IF(A22="","",'Additional Information'!B22))),0))</f>
        <v>45138</v>
      </c>
    </row>
    <row r="23" spans="1:2" x14ac:dyDescent="0.25">
      <c r="A23" t="str">
        <f>IF(Input!A24="","",Input!A24)</f>
        <v>Schroder Sustainable Portfolio 6</v>
      </c>
      <c r="B23" s="1">
        <f>IF(A23="","",EOMONTH(DATE(YEAR(IF(A23="","",'Additional Information'!B23)),MONTH(IF(A23="","",'Additional Information'!B23)),DAY(IF(A23="","",'Additional Information'!B23))),0))</f>
        <v>45138</v>
      </c>
    </row>
    <row r="24" spans="1:2" x14ac:dyDescent="0.25">
      <c r="A24" t="str">
        <f>IF(Input!A25="","",Input!A25)</f>
        <v>Schroder Sustainable Portfolio 7</v>
      </c>
      <c r="B24" s="1">
        <f>IF(A24="","",EOMONTH(DATE(YEAR(IF(A24="","",'Additional Information'!B24)),MONTH(IF(A24="","",'Additional Information'!B24)),DAY(IF(A24="","",'Additional Information'!B24))),0))</f>
        <v>45138</v>
      </c>
    </row>
    <row r="25" spans="1:2" x14ac:dyDescent="0.25">
      <c r="A25" t="str">
        <f>IF(Input!A26="","",Input!A26)</f>
        <v>Schroder Sustainable Portfolio 8</v>
      </c>
      <c r="B25" s="1">
        <f>IF(A25="","",EOMONTH(DATE(YEAR(IF(A25="","",'Additional Information'!B25)),MONTH(IF(A25="","",'Additional Information'!B25)),DAY(IF(A25="","",'Additional Information'!B25))),0))</f>
        <v>45138</v>
      </c>
    </row>
    <row r="26" spans="1:2" x14ac:dyDescent="0.25">
      <c r="A26" t="str">
        <f>IF(Input!A27="","",Input!A27)</f>
        <v>Schroder Blended Portfolio 3</v>
      </c>
      <c r="B26" s="1">
        <f>IF(A26="","",EOMONTH(DATE(YEAR(IF(A26="","",'Additional Information'!B26)),MONTH(IF(A26="","",'Additional Information'!B26)),DAY(IF(A26="","",'Additional Information'!B26))),0))</f>
        <v>45169</v>
      </c>
    </row>
    <row r="27" spans="1:2" x14ac:dyDescent="0.25">
      <c r="A27" t="str">
        <f>IF(Input!A28="","",Input!A28)</f>
        <v>Schroder Blended Portfolio 4</v>
      </c>
      <c r="B27" s="1">
        <f>IF(A27="","",EOMONTH(DATE(YEAR(IF(A27="","",'Additional Information'!B27)),MONTH(IF(A27="","",'Additional Information'!B27)),DAY(IF(A27="","",'Additional Information'!B27))),0))</f>
        <v>45169</v>
      </c>
    </row>
    <row r="28" spans="1:2" x14ac:dyDescent="0.25">
      <c r="A28" t="str">
        <f>IF(Input!A29="","",Input!A29)</f>
        <v>Schroder Blended Portfolio 5</v>
      </c>
      <c r="B28" s="1">
        <f>IF(A28="","",EOMONTH(DATE(YEAR(IF(A28="","",'Additional Information'!B28)),MONTH(IF(A28="","",'Additional Information'!B28)),DAY(IF(A28="","",'Additional Information'!B28))),0))</f>
        <v>45169</v>
      </c>
    </row>
    <row r="29" spans="1:2" x14ac:dyDescent="0.25">
      <c r="A29" t="str">
        <f>IF(Input!A30="","",Input!A30)</f>
        <v>Schroder Blended Portfolio 6</v>
      </c>
      <c r="B29" s="1">
        <f>IF(A29="","",EOMONTH(DATE(YEAR(IF(A29="","",'Additional Information'!B29)),MONTH(IF(A29="","",'Additional Information'!B29)),DAY(IF(A29="","",'Additional Information'!B29))),0))</f>
        <v>45169</v>
      </c>
    </row>
    <row r="30" spans="1:2" x14ac:dyDescent="0.25">
      <c r="A30" t="str">
        <f>IF(Input!A31="","",Input!A31)</f>
        <v>Schroder Blended Portfolio 7</v>
      </c>
      <c r="B30" s="1">
        <f>IF(A30="","",EOMONTH(DATE(YEAR(IF(A30="","",'Additional Information'!B30)),MONTH(IF(A30="","",'Additional Information'!B30)),DAY(IF(A30="","",'Additional Information'!B30))),0))</f>
        <v>45169</v>
      </c>
    </row>
    <row r="31" spans="1:2" x14ac:dyDescent="0.25">
      <c r="A31" t="str">
        <f>IF(Input!A32="","",Input!A32)</f>
        <v>Schroder Blended Portfolio 8</v>
      </c>
      <c r="B31" s="1">
        <f>IF(A31="","",EOMONTH(DATE(YEAR(IF(A31="","",'Additional Information'!B31)),MONTH(IF(A31="","",'Additional Information'!B31)),DAY(IF(A31="","",'Additional Information'!B31))),0))</f>
        <v>45169</v>
      </c>
    </row>
    <row r="32" spans="1:2" x14ac:dyDescent="0.25">
      <c r="A32" t="str">
        <f>IF(Input!A33="","",Input!A33)</f>
        <v>Schroder Income Portfolio</v>
      </c>
      <c r="B32" s="1">
        <f>IF(A32="","",EOMONTH(DATE(YEAR(IF(A32="","",'Additional Information'!B32)),MONTH(IF(A32="","",'Additional Information'!B32)),DAY(IF(A32="","",'Additional Information'!B32))),0))</f>
        <v>45169</v>
      </c>
    </row>
    <row r="33" spans="1:2" x14ac:dyDescent="0.25">
      <c r="A33" t="str">
        <f>IF(Input!A34="","",Input!A34)</f>
        <v>Schroder Managed Defensive Fund</v>
      </c>
      <c r="B33" s="1">
        <f>IF(A33="","",EOMONTH(DATE(YEAR(IF(A33="","",'Additional Information'!B33)),MONTH(IF(A33="","",'Additional Information'!B33)),DAY(IF(A33="","",'Additional Information'!B33))),0))</f>
        <v>45169</v>
      </c>
    </row>
    <row r="34" spans="1:2" x14ac:dyDescent="0.25">
      <c r="A34" t="str">
        <f>IF(Input!A35="","",Input!A35)</f>
        <v>Schroder Global Multi-Asset Cautious Portfolio</v>
      </c>
      <c r="B34" s="1">
        <f>IF(A34="","",EOMONTH(DATE(YEAR(IF(A34="","",'Additional Information'!B34)),MONTH(IF(A34="","",'Additional Information'!B34)),DAY(IF(A34="","",'Additional Information'!B34))),0))</f>
        <v>45169</v>
      </c>
    </row>
    <row r="35" spans="1:2" x14ac:dyDescent="0.25">
      <c r="A35" t="str">
        <f>IF(Input!A36="","",Input!A36)</f>
        <v>Schroder Global Multi-Asset Moderately Cautious Portfolio</v>
      </c>
      <c r="B35" s="1">
        <f>IF(A35="","",EOMONTH(DATE(YEAR(IF(A35="","",'Additional Information'!B35)),MONTH(IF(A35="","",'Additional Information'!B35)),DAY(IF(A35="","",'Additional Information'!B35))),0))</f>
        <v>45169</v>
      </c>
    </row>
    <row r="36" spans="1:2" x14ac:dyDescent="0.25">
      <c r="A36" t="str">
        <f>IF(Input!A37="","",Input!A37)</f>
        <v>Schroder Schroder Global Multi-Asset Balanced Portfolio</v>
      </c>
      <c r="B36" s="1">
        <f>IF(A36="","",EOMONTH(DATE(YEAR(IF(A36="","",'Additional Information'!B36)),MONTH(IF(A36="","",'Additional Information'!B36)),DAY(IF(A36="","",'Additional Information'!B36))),0))</f>
        <v>45169</v>
      </c>
    </row>
    <row r="37" spans="1:2" x14ac:dyDescent="0.25">
      <c r="A37" t="str">
        <f>IF(Input!A38="","",Input!A38)</f>
        <v>Schroder Global Multi-Asset Growth Portfolio</v>
      </c>
      <c r="B37" s="1">
        <f>IF(A37="","",EOMONTH(DATE(YEAR(IF(A37="","",'Additional Information'!B37)),MONTH(IF(A37="","",'Additional Information'!B37)),DAY(IF(A37="","",'Additional Information'!B37))),0))</f>
        <v>45169</v>
      </c>
    </row>
    <row r="38" spans="1:2" x14ac:dyDescent="0.25">
      <c r="A38" t="str">
        <f>IF(Input!A39="","",Input!A39)</f>
        <v>Schroder Global Multi-Asset Adventurous Portfolio</v>
      </c>
      <c r="B38" s="1">
        <f>IF(A38="","",EOMONTH(DATE(YEAR(IF(A38="","",'Additional Information'!B38)),MONTH(IF(A38="","",'Additional Information'!B38)),DAY(IF(A38="","",'Additional Information'!B38))),0))</f>
        <v>45169</v>
      </c>
    </row>
    <row r="39" spans="1:2" x14ac:dyDescent="0.25">
      <c r="A39" t="str">
        <f>IF(Input!A40="","",Input!A40)</f>
        <v/>
      </c>
      <c r="B39" s="1" t="str">
        <f>IF(A39="","",EOMONTH(DATE(YEAR(IF(A39="","",'Additional Information'!B39)),MONTH(IF(A39="","",'Additional Information'!B39)),DAY(IF(A39="","",'Additional Information'!B39))),0))</f>
        <v/>
      </c>
    </row>
    <row r="40" spans="1:2" x14ac:dyDescent="0.25">
      <c r="A40" t="str">
        <f>IF(Input!A41="","",Input!A41)</f>
        <v/>
      </c>
      <c r="B40" s="1" t="str">
        <f>IF(A40="","",EOMONTH(DATE(YEAR(IF(A40="","",'Additional Information'!B40)),MONTH(IF(A40="","",'Additional Information'!B40)),DAY(IF(A40="","",'Additional Information'!B40))),0))</f>
        <v/>
      </c>
    </row>
    <row r="41" spans="1:2" x14ac:dyDescent="0.25">
      <c r="A41" t="str">
        <f>IF(Input!A42="","",Input!A42)</f>
        <v/>
      </c>
      <c r="B41" s="1" t="str">
        <f>IF(A41="","",EOMONTH(DATE(YEAR(IF(A41="","",'Additional Information'!B41)),MONTH(IF(A41="","",'Additional Information'!B41)),DAY(IF(A41="","",'Additional Information'!B41))),0))</f>
        <v/>
      </c>
    </row>
    <row r="42" spans="1:2" x14ac:dyDescent="0.25">
      <c r="A42" t="str">
        <f>IF(Input!A43="","",Input!A43)</f>
        <v/>
      </c>
      <c r="B42" s="1" t="str">
        <f>IF(A42="","",EOMONTH(DATE(YEAR(IF(A42="","",'Additional Information'!B42)),MONTH(IF(A42="","",'Additional Information'!B42)),DAY(IF(A42="","",'Additional Information'!B42))),0))</f>
        <v/>
      </c>
    </row>
    <row r="43" spans="1:2" x14ac:dyDescent="0.25">
      <c r="A43" t="str">
        <f>IF(Input!A44="","",Input!A44)</f>
        <v/>
      </c>
      <c r="B43" s="1" t="str">
        <f>IF(A43="","",EOMONTH(DATE(YEAR(IF(A43="","",'Additional Information'!B43)),MONTH(IF(A43="","",'Additional Information'!B43)),DAY(IF(A43="","",'Additional Information'!B43))),0))</f>
        <v/>
      </c>
    </row>
    <row r="44" spans="1:2" x14ac:dyDescent="0.25">
      <c r="A44" t="str">
        <f>IF(Input!A45="","",Input!A45)</f>
        <v/>
      </c>
      <c r="B44" s="1" t="str">
        <f>IF(A44="","",EOMONTH(DATE(YEAR(IF(A44="","",'Additional Information'!B44)),MONTH(IF(A44="","",'Additional Information'!B44)),DAY(IF(A44="","",'Additional Information'!B44))),0))</f>
        <v/>
      </c>
    </row>
    <row r="45" spans="1:2" x14ac:dyDescent="0.25">
      <c r="A45" t="str">
        <f>IF(Input!A46="","",Input!A46)</f>
        <v/>
      </c>
      <c r="B45" s="1" t="str">
        <f>IF(A45="","",EOMONTH(DATE(YEAR(IF(A45="","",'Additional Information'!B45)),MONTH(IF(A45="","",'Additional Information'!B45)),DAY(IF(A45="","",'Additional Information'!B45))),0))</f>
        <v/>
      </c>
    </row>
    <row r="46" spans="1:2" x14ac:dyDescent="0.25">
      <c r="A46" t="str">
        <f>IF(Input!A47="","",Input!A47)</f>
        <v/>
      </c>
      <c r="B46" s="1" t="str">
        <f>IF(A46="","",EOMONTH(DATE(YEAR(IF(A46="","",'Additional Information'!B46)),MONTH(IF(A46="","",'Additional Information'!B46)),DAY(IF(A46="","",'Additional Information'!B46))),0))</f>
        <v/>
      </c>
    </row>
    <row r="47" spans="1:2" x14ac:dyDescent="0.25">
      <c r="A47" t="str">
        <f>IF(Input!A48="","",Input!A48)</f>
        <v/>
      </c>
      <c r="B47" s="1" t="str">
        <f>IF(A47="","",EOMONTH(DATE(YEAR(IF(A47="","",'Additional Information'!B47)),MONTH(IF(A47="","",'Additional Information'!B47)),DAY(IF(A47="","",'Additional Information'!B47))),0))</f>
        <v/>
      </c>
    </row>
    <row r="48" spans="1:2" x14ac:dyDescent="0.25">
      <c r="A48" t="str">
        <f>IF(Input!A49="","",Input!A49)</f>
        <v/>
      </c>
      <c r="B48" s="1" t="str">
        <f>IF(A48="","",EOMONTH(DATE(YEAR(IF(A48="","",'Additional Information'!B48)),MONTH(IF(A48="","",'Additional Information'!B48)),DAY(IF(A48="","",'Additional Information'!B48))),0))</f>
        <v/>
      </c>
    </row>
    <row r="49" spans="1:2" x14ac:dyDescent="0.25">
      <c r="A49" t="str">
        <f>IF(Input!A50="","",Input!A50)</f>
        <v/>
      </c>
      <c r="B49" s="1" t="str">
        <f>IF(A49="","",EOMONTH(DATE(YEAR(IF(A49="","",'Additional Information'!B49)),MONTH(IF(A49="","",'Additional Information'!B49)),DAY(IF(A49="","",'Additional Information'!B49))),0))</f>
        <v/>
      </c>
    </row>
    <row r="50" spans="1:2" x14ac:dyDescent="0.25">
      <c r="A50" t="str">
        <f>IF(Input!A51="","",Input!A51)</f>
        <v/>
      </c>
      <c r="B50" s="1" t="str">
        <f>IF(A50="","",EOMONTH(DATE(YEAR(IF(A50="","",'Additional Information'!B50)),MONTH(IF(A50="","",'Additional Information'!B50)),DAY(IF(A50="","",'Additional Information'!B50))),0))</f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4" tint="0.79998168889431442"/>
  </sheetPr>
  <dimension ref="A1:D50"/>
  <sheetViews>
    <sheetView workbookViewId="0">
      <selection activeCell="F1" sqref="F1:F1048576"/>
    </sheetView>
  </sheetViews>
  <sheetFormatPr defaultRowHeight="15" x14ac:dyDescent="0.25"/>
  <cols>
    <col min="2" max="2" width="19.28515625" bestFit="1" customWidth="1"/>
    <col min="3" max="3" width="17.28515625" bestFit="1" customWidth="1"/>
  </cols>
  <sheetData>
    <row r="1" spans="1:4" x14ac:dyDescent="0.25">
      <c r="B1" t="s">
        <v>24</v>
      </c>
      <c r="C1" t="s">
        <v>21</v>
      </c>
      <c r="D1" t="s">
        <v>22</v>
      </c>
    </row>
    <row r="2" spans="1:4" x14ac:dyDescent="0.25">
      <c r="A2" t="str">
        <f>IF(Input!A3="","",Input!A3)</f>
        <v>Schroder Active Portfolio 2</v>
      </c>
      <c r="B2">
        <f>IF(A2="","",'Additional Information'!F2)</f>
        <v>1E-3</v>
      </c>
      <c r="C2" t="e">
        <f>IF(A2="","",'Additional Information'!#REF!)</f>
        <v>#REF!</v>
      </c>
      <c r="D2" s="5">
        <f>IF(A2="","",SUM('Additional Information'!C2,'Additional Information'!D2))</f>
        <v>6.8000000000000005E-3</v>
      </c>
    </row>
    <row r="3" spans="1:4" x14ac:dyDescent="0.25">
      <c r="A3" t="str">
        <f>IF(Input!A4="","",Input!A4)</f>
        <v>Schroder Active Portfolio 3</v>
      </c>
      <c r="B3">
        <f>IF(A3="","",'Additional Information'!F3)</f>
        <v>-2E-3</v>
      </c>
      <c r="C3" t="e">
        <f>IF(A3="","",'Additional Information'!#REF!)</f>
        <v>#REF!</v>
      </c>
      <c r="D3" s="5">
        <f>IF(A3="","",SUM('Additional Information'!C3,'Additional Information'!D3))</f>
        <v>8.0999999999999996E-3</v>
      </c>
    </row>
    <row r="4" spans="1:4" x14ac:dyDescent="0.25">
      <c r="A4" t="str">
        <f>IF(Input!A5="","",Input!A5)</f>
        <v>Schroder Active Portfolio 4</v>
      </c>
      <c r="B4">
        <f>IF(A4="","",'Additional Information'!F4)</f>
        <v>5.0000000000000001E-3</v>
      </c>
      <c r="C4" t="e">
        <f>IF(A4="","",'Additional Information'!#REF!)</f>
        <v>#REF!</v>
      </c>
      <c r="D4" s="5">
        <f>IF(A4="","",SUM('Additional Information'!C4,'Additional Information'!D4))</f>
        <v>8.8000000000000005E-3</v>
      </c>
    </row>
    <row r="5" spans="1:4" x14ac:dyDescent="0.25">
      <c r="A5" t="str">
        <f>IF(Input!A6="","",Input!A6)</f>
        <v>Schroder Active Portfolio 5</v>
      </c>
      <c r="B5">
        <f>IF(A5="","",'Additional Information'!F5)</f>
        <v>1.1000000000000001E-2</v>
      </c>
      <c r="C5" t="e">
        <f>IF(A5="","",'Additional Information'!#REF!)</f>
        <v>#REF!</v>
      </c>
      <c r="D5" s="5">
        <f>IF(A5="","",SUM('Additional Information'!C5,'Additional Information'!D5))</f>
        <v>9.1999999999999998E-3</v>
      </c>
    </row>
    <row r="6" spans="1:4" x14ac:dyDescent="0.25">
      <c r="A6" t="str">
        <f>IF(Input!A7="","",Input!A7)</f>
        <v>Schroder Active Portfolio 6</v>
      </c>
      <c r="B6">
        <f>IF(A6="","",'Additional Information'!F6)</f>
        <v>0.02</v>
      </c>
      <c r="C6" t="e">
        <f>IF(A6="","",'Additional Information'!#REF!)</f>
        <v>#REF!</v>
      </c>
      <c r="D6" s="5">
        <f>IF(A6="","",SUM('Additional Information'!C6,'Additional Information'!D6))</f>
        <v>9.6000000000000009E-3</v>
      </c>
    </row>
    <row r="7" spans="1:4" x14ac:dyDescent="0.25">
      <c r="A7" t="str">
        <f>IF(Input!A8="","",Input!A8)</f>
        <v>Schroder Active Portfolio 7</v>
      </c>
      <c r="B7">
        <f>IF(A7="","",'Additional Information'!F7)</f>
        <v>2.8999999999999998E-2</v>
      </c>
      <c r="C7" t="e">
        <f>IF(A7="","",'Additional Information'!#REF!)</f>
        <v>#REF!</v>
      </c>
      <c r="D7" s="5">
        <f>IF(A7="","",SUM('Additional Information'!C7,'Additional Information'!D7))</f>
        <v>9.7999999999999997E-3</v>
      </c>
    </row>
    <row r="8" spans="1:4" x14ac:dyDescent="0.25">
      <c r="A8" t="str">
        <f>IF(Input!A9="","",Input!A9)</f>
        <v>Schroder Active Portfolio 8</v>
      </c>
      <c r="B8">
        <f>IF(A8="","",'Additional Information'!F8)</f>
        <v>3.9E-2</v>
      </c>
      <c r="C8" t="e">
        <f>IF(A8="","",'Additional Information'!#REF!)</f>
        <v>#REF!</v>
      </c>
      <c r="D8" s="5">
        <f>IF(A8="","",SUM('Additional Information'!C8,'Additional Information'!D8))</f>
        <v>0.01</v>
      </c>
    </row>
    <row r="9" spans="1:4" x14ac:dyDescent="0.25">
      <c r="A9" t="str">
        <f>IF(Input!A10="","",Input!A10)</f>
        <v>Schroder Active Portfolio 9</v>
      </c>
      <c r="B9">
        <f>IF(A9="","",'Additional Information'!F9)</f>
        <v>5.5E-2</v>
      </c>
      <c r="C9" t="e">
        <f>IF(A9="","",'Additional Information'!#REF!)</f>
        <v>#REF!</v>
      </c>
      <c r="D9" s="5">
        <f>IF(A9="","",SUM('Additional Information'!C9,'Additional Information'!D9))</f>
        <v>1.0199999999999999E-2</v>
      </c>
    </row>
    <row r="10" spans="1:4" x14ac:dyDescent="0.25">
      <c r="A10" t="str">
        <f>IF(Input!A11="","",Input!A11)</f>
        <v>Schroder Active Portfolio 10</v>
      </c>
      <c r="B10">
        <f>IF(A10="","",'Additional Information'!F10)</f>
        <v>4.5999999999999999E-2</v>
      </c>
      <c r="C10" t="e">
        <f>IF(A10="","",'Additional Information'!#REF!)</f>
        <v>#REF!</v>
      </c>
      <c r="D10" s="5">
        <f>IF(A10="","",SUM('Additional Information'!C10,'Additional Information'!D10))</f>
        <v>1.0500000000000001E-2</v>
      </c>
    </row>
    <row r="11" spans="1:4" x14ac:dyDescent="0.25">
      <c r="A11" t="str">
        <f>IF(Input!A12="","",Input!A12)</f>
        <v>Schroder Strategic Index Portfolio 2</v>
      </c>
      <c r="B11">
        <f>IF(A11="","",'Additional Information'!F11)</f>
        <v>-5.0000000000000001E-3</v>
      </c>
      <c r="C11" t="e">
        <f>IF(A11="","",'Additional Information'!#REF!)</f>
        <v>#REF!</v>
      </c>
      <c r="D11" s="5">
        <f>IF(A11="","",SUM('Additional Information'!C11,'Additional Information'!D11))</f>
        <v>3.8999999999999998E-3</v>
      </c>
    </row>
    <row r="12" spans="1:4" x14ac:dyDescent="0.25">
      <c r="A12" t="str">
        <f>IF(Input!A13="","",Input!A13)</f>
        <v>Schroder Strategic Index Portfolio 3</v>
      </c>
      <c r="B12">
        <f>IF(A12="","",'Additional Information'!F12)</f>
        <v>-8.0000000000000002E-3</v>
      </c>
      <c r="C12" t="e">
        <f>IF(A12="","",'Additional Information'!#REF!)</f>
        <v>#REF!</v>
      </c>
      <c r="D12" s="5">
        <f>IF(A12="","",SUM('Additional Information'!C12,'Additional Information'!D12))</f>
        <v>3.8999999999999998E-3</v>
      </c>
    </row>
    <row r="13" spans="1:4" x14ac:dyDescent="0.25">
      <c r="A13" t="str">
        <f>IF(Input!A14="","",Input!A14)</f>
        <v>Schroder Strategic Index Portfolio 4</v>
      </c>
      <c r="B13">
        <f>IF(A13="","",'Additional Information'!F13)</f>
        <v>6.9999999999999993E-3</v>
      </c>
      <c r="C13" t="e">
        <f>IF(A13="","",'Additional Information'!#REF!)</f>
        <v>#REF!</v>
      </c>
      <c r="D13" s="5">
        <f>IF(A13="","",SUM('Additional Information'!C13,'Additional Information'!D13))</f>
        <v>3.8999999999999998E-3</v>
      </c>
    </row>
    <row r="14" spans="1:4" x14ac:dyDescent="0.25">
      <c r="A14" t="str">
        <f>IF(Input!A15="","",Input!A15)</f>
        <v>Schroder Strategic Index Portfolio 5</v>
      </c>
      <c r="B14">
        <f>IF(A14="","",'Additional Information'!F14)</f>
        <v>1.8000000000000002E-2</v>
      </c>
      <c r="C14" t="e">
        <f>IF(A14="","",'Additional Information'!#REF!)</f>
        <v>#REF!</v>
      </c>
      <c r="D14" s="5">
        <f>IF(A14="","",SUM('Additional Information'!C14,'Additional Information'!D14))</f>
        <v>4.0000000000000001E-3</v>
      </c>
    </row>
    <row r="15" spans="1:4" x14ac:dyDescent="0.25">
      <c r="A15" t="str">
        <f>IF(Input!A16="","",Input!A16)</f>
        <v>Schroder Strategic Index Portfolio 6</v>
      </c>
      <c r="B15">
        <f>IF(A15="","",'Additional Information'!F15)</f>
        <v>3.3000000000000002E-2</v>
      </c>
      <c r="C15" t="e">
        <f>IF(A15="","",'Additional Information'!#REF!)</f>
        <v>#REF!</v>
      </c>
      <c r="D15" s="5">
        <f>IF(A15="","",SUM('Additional Information'!C15,'Additional Information'!D15))</f>
        <v>4.0000000000000001E-3</v>
      </c>
    </row>
    <row r="16" spans="1:4" x14ac:dyDescent="0.25">
      <c r="A16" t="str">
        <f>IF(Input!A17="","",Input!A17)</f>
        <v>Schroder Strategic Index Portfolio 7</v>
      </c>
      <c r="B16">
        <f>IF(A16="","",'Additional Information'!F16)</f>
        <v>4.7E-2</v>
      </c>
      <c r="C16" t="e">
        <f>IF(A16="","",'Additional Information'!#REF!)</f>
        <v>#REF!</v>
      </c>
      <c r="D16" s="5">
        <f>IF(A16="","",SUM('Additional Information'!C16,'Additional Information'!D16))</f>
        <v>4.0000000000000001E-3</v>
      </c>
    </row>
    <row r="17" spans="1:4" x14ac:dyDescent="0.25">
      <c r="A17" t="str">
        <f>IF(Input!A18="","",Input!A18)</f>
        <v>Schroder Strategic Index Portfolio 8</v>
      </c>
      <c r="B17">
        <f>IF(A17="","",'Additional Information'!F17)</f>
        <v>0.06</v>
      </c>
      <c r="C17" t="e">
        <f>IF(A17="","",'Additional Information'!#REF!)</f>
        <v>#REF!</v>
      </c>
      <c r="D17" s="5">
        <f>IF(A17="","",SUM('Additional Information'!C17,'Additional Information'!D17))</f>
        <v>4.0000000000000001E-3</v>
      </c>
    </row>
    <row r="18" spans="1:4" x14ac:dyDescent="0.25">
      <c r="A18" t="str">
        <f>IF(Input!A19="","",Input!A19)</f>
        <v>Schroder Strategic Index Portfolio 9</v>
      </c>
      <c r="B18">
        <f>IF(A18="","",'Additional Information'!F18)</f>
        <v>7.0999999999999994E-2</v>
      </c>
      <c r="C18" t="e">
        <f>IF(A18="","",'Additional Information'!#REF!)</f>
        <v>#REF!</v>
      </c>
      <c r="D18" s="5">
        <f>IF(A18="","",SUM('Additional Information'!C18,'Additional Information'!D18))</f>
        <v>4.0999999999999995E-3</v>
      </c>
    </row>
    <row r="19" spans="1:4" x14ac:dyDescent="0.25">
      <c r="A19" t="str">
        <f>IF(Input!A20="","",Input!A20)</f>
        <v>Schroder Strategic Index Portfolio 10</v>
      </c>
      <c r="B19">
        <f>IF(A19="","",'Additional Information'!F19)</f>
        <v>5.4000000000000006E-2</v>
      </c>
      <c r="C19" t="e">
        <f>IF(A19="","",'Additional Information'!#REF!)</f>
        <v>#REF!</v>
      </c>
      <c r="D19" s="5">
        <f>IF(A19="","",SUM('Additional Information'!C19,'Additional Information'!D19))</f>
        <v>4.2000000000000006E-3</v>
      </c>
    </row>
    <row r="20" spans="1:4" x14ac:dyDescent="0.25">
      <c r="A20" t="str">
        <f>IF(Input!A21="","",Input!A21)</f>
        <v>Schroder Sustainable Portfolio 3</v>
      </c>
      <c r="B20">
        <f>IF(A20="","",'Additional Information'!F20)</f>
        <v>-1.4999999999999999E-2</v>
      </c>
      <c r="C20" t="e">
        <f>IF(A20="","",'Additional Information'!#REF!)</f>
        <v>#REF!</v>
      </c>
      <c r="D20" s="5">
        <f>IF(A20="","",SUM('Additional Information'!C20,'Additional Information'!D20))</f>
        <v>7.7000000000000002E-3</v>
      </c>
    </row>
    <row r="21" spans="1:4" x14ac:dyDescent="0.25">
      <c r="A21" t="str">
        <f>IF(Input!A22="","",Input!A22)</f>
        <v>Schroder Sustainable Portfolio 4</v>
      </c>
      <c r="B21">
        <f>IF(A21="","",'Additional Information'!F21)</f>
        <v>-6.9999999999999993E-3</v>
      </c>
      <c r="C21" t="e">
        <f>IF(A21="","",'Additional Information'!#REF!)</f>
        <v>#REF!</v>
      </c>
      <c r="D21" s="5">
        <f>IF(A21="","",SUM('Additional Information'!C21,'Additional Information'!D21))</f>
        <v>8.4999999999999989E-3</v>
      </c>
    </row>
    <row r="22" spans="1:4" x14ac:dyDescent="0.25">
      <c r="A22" t="str">
        <f>IF(Input!A23="","",Input!A23)</f>
        <v>Schroder Sustainable Portfolio 5</v>
      </c>
      <c r="B22">
        <f>IF(A22="","",'Additional Information'!F22)</f>
        <v>-1E-3</v>
      </c>
      <c r="C22" t="e">
        <f>IF(A22="","",'Additional Information'!#REF!)</f>
        <v>#REF!</v>
      </c>
      <c r="D22" s="5">
        <f>IF(A22="","",SUM('Additional Information'!C22,'Additional Information'!D22))</f>
        <v>8.8999999999999999E-3</v>
      </c>
    </row>
    <row r="23" spans="1:4" x14ac:dyDescent="0.25">
      <c r="A23" t="str">
        <f>IF(Input!A24="","",Input!A24)</f>
        <v>Schroder Sustainable Portfolio 6</v>
      </c>
      <c r="B23">
        <f>IF(A23="","",'Additional Information'!F23)</f>
        <v>9.0000000000000011E-3</v>
      </c>
      <c r="C23" t="e">
        <f>IF(A23="","",'Additional Information'!#REF!)</f>
        <v>#REF!</v>
      </c>
      <c r="D23" s="5">
        <f>IF(A23="","",SUM('Additional Information'!C23,'Additional Information'!D23))</f>
        <v>9.4000000000000004E-3</v>
      </c>
    </row>
    <row r="24" spans="1:4" x14ac:dyDescent="0.25">
      <c r="A24" t="str">
        <f>IF(Input!A25="","",Input!A25)</f>
        <v>Schroder Sustainable Portfolio 7</v>
      </c>
      <c r="B24">
        <f>IF(A24="","",'Additional Information'!F24)</f>
        <v>1.9E-2</v>
      </c>
      <c r="C24" t="e">
        <f>IF(A24="","",'Additional Information'!#REF!)</f>
        <v>#REF!</v>
      </c>
      <c r="D24" s="5">
        <f>IF(A24="","",SUM('Additional Information'!C24,'Additional Information'!D24))</f>
        <v>9.7999999999999997E-3</v>
      </c>
    </row>
    <row r="25" spans="1:4" x14ac:dyDescent="0.25">
      <c r="A25" t="str">
        <f>IF(Input!A26="","",Input!A26)</f>
        <v>Schroder Sustainable Portfolio 8</v>
      </c>
      <c r="B25">
        <f>IF(A25="","",'Additional Information'!F25)</f>
        <v>3.1E-2</v>
      </c>
      <c r="C25" t="e">
        <f>IF(A25="","",'Additional Information'!#REF!)</f>
        <v>#REF!</v>
      </c>
      <c r="D25" s="5">
        <f>IF(A25="","",SUM('Additional Information'!C25,'Additional Information'!D25))</f>
        <v>1.01E-2</v>
      </c>
    </row>
    <row r="26" spans="1:4" x14ac:dyDescent="0.25">
      <c r="A26" t="str">
        <f>IF(Input!A27="","",Input!A27)</f>
        <v>Schroder Blended Portfolio 3</v>
      </c>
      <c r="B26">
        <f>IF(A26="","",'Additional Information'!F26)</f>
        <v>-6.0000000000000001E-3</v>
      </c>
      <c r="C26" t="e">
        <f>IF(A26="","",'Additional Information'!#REF!)</f>
        <v>#REF!</v>
      </c>
      <c r="D26" s="5">
        <f>IF(A26="","",SUM('Additional Information'!C26,'Additional Information'!D26))</f>
        <v>5.3E-3</v>
      </c>
    </row>
    <row r="27" spans="1:4" x14ac:dyDescent="0.25">
      <c r="A27" t="str">
        <f>IF(Input!A28="","",Input!A28)</f>
        <v>Schroder Blended Portfolio 4</v>
      </c>
      <c r="B27">
        <f>IF(A27="","",'Additional Information'!F27)</f>
        <v>-2E-3</v>
      </c>
      <c r="C27" t="e">
        <f>IF(A27="","",'Additional Information'!#REF!)</f>
        <v>#REF!</v>
      </c>
      <c r="D27" s="5">
        <f>IF(A27="","",SUM('Additional Information'!C27,'Additional Information'!D27))</f>
        <v>5.8999999999999999E-3</v>
      </c>
    </row>
    <row r="28" spans="1:4" x14ac:dyDescent="0.25">
      <c r="A28" t="str">
        <f>IF(Input!A29="","",Input!A29)</f>
        <v>Schroder Blended Portfolio 5</v>
      </c>
      <c r="B28">
        <f>IF(A28="","",'Additional Information'!F28)</f>
        <v>2E-3</v>
      </c>
      <c r="C28" t="e">
        <f>IF(A28="","",'Additional Information'!#REF!)</f>
        <v>#REF!</v>
      </c>
      <c r="D28" s="5">
        <f>IF(A28="","",SUM('Additional Information'!C28,'Additional Information'!D28))</f>
        <v>6.0999999999999995E-3</v>
      </c>
    </row>
    <row r="29" spans="1:4" x14ac:dyDescent="0.25">
      <c r="A29" t="str">
        <f>IF(Input!A30="","",Input!A30)</f>
        <v>Schroder Blended Portfolio 6</v>
      </c>
      <c r="B29">
        <f>IF(A29="","",'Additional Information'!F29)</f>
        <v>9.0000000000000011E-3</v>
      </c>
      <c r="C29" t="e">
        <f>IF(A29="","",'Additional Information'!#REF!)</f>
        <v>#REF!</v>
      </c>
      <c r="D29" s="5">
        <f>IF(A29="","",SUM('Additional Information'!C29,'Additional Information'!D29))</f>
        <v>6.4000000000000003E-3</v>
      </c>
    </row>
    <row r="30" spans="1:4" x14ac:dyDescent="0.25">
      <c r="A30" t="str">
        <f>IF(Input!A31="","",Input!A31)</f>
        <v>Schroder Blended Portfolio 7</v>
      </c>
      <c r="B30">
        <f>IF(A30="","",'Additional Information'!F30)</f>
        <v>1.6E-2</v>
      </c>
      <c r="C30" t="e">
        <f>IF(A30="","",'Additional Information'!#REF!)</f>
        <v>#REF!</v>
      </c>
      <c r="D30" s="5">
        <f>IF(A30="","",SUM('Additional Information'!C30,'Additional Information'!D30))</f>
        <v>6.5000000000000006E-3</v>
      </c>
    </row>
    <row r="31" spans="1:4" x14ac:dyDescent="0.25">
      <c r="A31" t="str">
        <f>IF(Input!A32="","",Input!A32)</f>
        <v>Schroder Blended Portfolio 8</v>
      </c>
      <c r="B31">
        <f>IF(A31="","",'Additional Information'!F31)</f>
        <v>2.3E-2</v>
      </c>
      <c r="C31" t="e">
        <f>IF(A31="","",'Additional Information'!#REF!)</f>
        <v>#REF!</v>
      </c>
      <c r="D31" s="5">
        <f>IF(A31="","",SUM('Additional Information'!C31,'Additional Information'!D31))</f>
        <v>6.5000000000000006E-3</v>
      </c>
    </row>
    <row r="32" spans="1:4" x14ac:dyDescent="0.25">
      <c r="A32" t="str">
        <f>IF(Input!A33="","",Input!A33)</f>
        <v>Schroder Income Portfolio</v>
      </c>
      <c r="B32">
        <f>IF(A32="","",'Additional Information'!F32)</f>
        <v>1.2E-2</v>
      </c>
      <c r="C32" t="e">
        <f>IF(A32="","",'Additional Information'!#REF!)</f>
        <v>#REF!</v>
      </c>
      <c r="D32" s="5">
        <f>IF(A32="","",SUM('Additional Information'!C32,'Additional Information'!D32))</f>
        <v>7.6E-3</v>
      </c>
    </row>
    <row r="33" spans="1:4" x14ac:dyDescent="0.25">
      <c r="A33" t="str">
        <f>IF(Input!A34="","",Input!A34)</f>
        <v>Schroder Managed Defensive Fund</v>
      </c>
      <c r="B33">
        <f>IF(A33="","",'Additional Information'!F33)</f>
        <v>1.8000000000000002E-2</v>
      </c>
      <c r="C33" t="e">
        <f>IF(A33="","",'Additional Information'!#REF!)</f>
        <v>#REF!</v>
      </c>
      <c r="D33" s="5">
        <f>IF(A33="","",SUM('Additional Information'!C33,'Additional Information'!D33))</f>
        <v>1.9E-3</v>
      </c>
    </row>
    <row r="34" spans="1:4" x14ac:dyDescent="0.25">
      <c r="A34" t="str">
        <f>IF(Input!A35="","",Input!A35)</f>
        <v>Schroder Global Multi-Asset Cautious Portfolio</v>
      </c>
      <c r="B34">
        <f>IF(A34="","",'Additional Information'!F34)</f>
        <v>0</v>
      </c>
      <c r="C34" t="e">
        <f>IF(A34="","",'Additional Information'!#REF!)</f>
        <v>#REF!</v>
      </c>
      <c r="D34" s="5">
        <f>IF(A34="","",SUM('Additional Information'!C34,'Additional Information'!D34))</f>
        <v>2E-3</v>
      </c>
    </row>
    <row r="35" spans="1:4" x14ac:dyDescent="0.25">
      <c r="A35" t="str">
        <f>IF(Input!A36="","",Input!A36)</f>
        <v>Schroder Global Multi-Asset Moderately Cautious Portfolio</v>
      </c>
      <c r="B35">
        <f>IF(A35="","",'Additional Information'!F35)</f>
        <v>9.0000000000000011E-3</v>
      </c>
      <c r="C35" t="e">
        <f>IF(A35="","",'Additional Information'!#REF!)</f>
        <v>#REF!</v>
      </c>
      <c r="D35" s="5">
        <f>IF(A35="","",SUM('Additional Information'!C35,'Additional Information'!D35))</f>
        <v>2E-3</v>
      </c>
    </row>
    <row r="36" spans="1:4" x14ac:dyDescent="0.25">
      <c r="A36" t="str">
        <f>IF(Input!A37="","",Input!A37)</f>
        <v>Schroder Schroder Global Multi-Asset Balanced Portfolio</v>
      </c>
      <c r="B36">
        <f>IF(A36="","",'Additional Information'!F36)</f>
        <v>1.7000000000000001E-2</v>
      </c>
      <c r="C36" t="e">
        <f>IF(A36="","",'Additional Information'!#REF!)</f>
        <v>#REF!</v>
      </c>
      <c r="D36" s="5">
        <f>IF(A36="","",SUM('Additional Information'!C36,'Additional Information'!D36))</f>
        <v>2E-3</v>
      </c>
    </row>
    <row r="37" spans="1:4" x14ac:dyDescent="0.25">
      <c r="A37" t="str">
        <f>IF(Input!A38="","",Input!A38)</f>
        <v>Schroder Global Multi-Asset Growth Portfolio</v>
      </c>
      <c r="B37">
        <f>IF(A37="","",'Additional Information'!F37)</f>
        <v>2.7000000000000003E-2</v>
      </c>
      <c r="C37" t="e">
        <f>IF(A37="","",'Additional Information'!#REF!)</f>
        <v>#REF!</v>
      </c>
      <c r="D37" s="5">
        <f>IF(A37="","",SUM('Additional Information'!C37,'Additional Information'!D37))</f>
        <v>2E-3</v>
      </c>
    </row>
    <row r="38" spans="1:4" x14ac:dyDescent="0.25">
      <c r="A38" t="str">
        <f>IF(Input!A39="","",Input!A39)</f>
        <v>Schroder Global Multi-Asset Adventurous Portfolio</v>
      </c>
      <c r="B38">
        <f>IF(A38="","",'Additional Information'!F38)</f>
        <v>3.7000000000000005E-2</v>
      </c>
      <c r="C38" t="e">
        <f>IF(A38="","",'Additional Information'!#REF!)</f>
        <v>#REF!</v>
      </c>
      <c r="D38" s="5">
        <f>IF(A38="","",SUM('Additional Information'!C38,'Additional Information'!D38))</f>
        <v>2E-3</v>
      </c>
    </row>
    <row r="39" spans="1:4" x14ac:dyDescent="0.25">
      <c r="A39" t="str">
        <f>IF(Input!A40="","",Input!A40)</f>
        <v/>
      </c>
      <c r="B39" t="str">
        <f>IF(A39="","",'Additional Information'!F39)</f>
        <v/>
      </c>
      <c r="C39" t="str">
        <f>IF(A39="","",'Additional Information'!#REF!)</f>
        <v/>
      </c>
      <c r="D39" s="5" t="str">
        <f>IF(A39="","",SUM('Additional Information'!C39,'Additional Information'!D39))</f>
        <v/>
      </c>
    </row>
    <row r="40" spans="1:4" x14ac:dyDescent="0.25">
      <c r="A40" t="str">
        <f>IF(Input!A41="","",Input!A41)</f>
        <v/>
      </c>
      <c r="B40" t="str">
        <f>IF(A40="","",'Additional Information'!F40)</f>
        <v/>
      </c>
      <c r="C40" t="str">
        <f>IF(A40="","",'Additional Information'!#REF!)</f>
        <v/>
      </c>
      <c r="D40" s="5" t="str">
        <f>IF(A40="","",SUM('Additional Information'!C40,'Additional Information'!D40))</f>
        <v/>
      </c>
    </row>
    <row r="41" spans="1:4" x14ac:dyDescent="0.25">
      <c r="A41" t="str">
        <f>IF(Input!A42="","",Input!A42)</f>
        <v/>
      </c>
      <c r="B41" t="str">
        <f>IF(A41="","",'Additional Information'!F41)</f>
        <v/>
      </c>
      <c r="C41" t="str">
        <f>IF(A41="","",'Additional Information'!#REF!)</f>
        <v/>
      </c>
      <c r="D41" s="5" t="str">
        <f>IF(A41="","",SUM('Additional Information'!C41,'Additional Information'!D41))</f>
        <v/>
      </c>
    </row>
    <row r="42" spans="1:4" x14ac:dyDescent="0.25">
      <c r="A42" t="str">
        <f>IF(Input!A43="","",Input!A43)</f>
        <v/>
      </c>
      <c r="B42" t="str">
        <f>IF(A42="","",'Additional Information'!F42)</f>
        <v/>
      </c>
      <c r="C42" t="str">
        <f>IF(A42="","",'Additional Information'!#REF!)</f>
        <v/>
      </c>
      <c r="D42" s="5" t="str">
        <f>IF(A42="","",SUM('Additional Information'!C42,'Additional Information'!D42))</f>
        <v/>
      </c>
    </row>
    <row r="43" spans="1:4" x14ac:dyDescent="0.25">
      <c r="A43" t="str">
        <f>IF(Input!A44="","",Input!A44)</f>
        <v/>
      </c>
      <c r="B43" t="str">
        <f>IF(A43="","",'Additional Information'!F43)</f>
        <v/>
      </c>
      <c r="C43" t="str">
        <f>IF(A43="","",'Additional Information'!#REF!)</f>
        <v/>
      </c>
      <c r="D43" s="5" t="str">
        <f>IF(A43="","",SUM('Additional Information'!C43,'Additional Information'!D43))</f>
        <v/>
      </c>
    </row>
    <row r="44" spans="1:4" x14ac:dyDescent="0.25">
      <c r="A44" t="str">
        <f>IF(Input!A45="","",Input!A45)</f>
        <v/>
      </c>
      <c r="B44" t="str">
        <f>IF(A44="","",'Additional Information'!F44)</f>
        <v/>
      </c>
      <c r="C44" t="str">
        <f>IF(A44="","",'Additional Information'!#REF!)</f>
        <v/>
      </c>
      <c r="D44" s="5" t="str">
        <f>IF(A44="","",SUM('Additional Information'!C44,'Additional Information'!D44))</f>
        <v/>
      </c>
    </row>
    <row r="45" spans="1:4" x14ac:dyDescent="0.25">
      <c r="A45" t="str">
        <f>IF(Input!A46="","",Input!A46)</f>
        <v/>
      </c>
      <c r="B45" t="str">
        <f>IF(A45="","",'Additional Information'!F45)</f>
        <v/>
      </c>
      <c r="C45" t="str">
        <f>IF(A45="","",'Additional Information'!#REF!)</f>
        <v/>
      </c>
      <c r="D45" s="5" t="str">
        <f>IF(A45="","",SUM('Additional Information'!C45,'Additional Information'!D45))</f>
        <v/>
      </c>
    </row>
    <row r="46" spans="1:4" x14ac:dyDescent="0.25">
      <c r="A46" t="str">
        <f>IF(Input!A47="","",Input!A47)</f>
        <v/>
      </c>
      <c r="B46" t="str">
        <f>IF(A46="","",'Additional Information'!F46)</f>
        <v/>
      </c>
      <c r="C46" t="str">
        <f>IF(A46="","",'Additional Information'!#REF!)</f>
        <v/>
      </c>
      <c r="D46" s="5" t="str">
        <f>IF(A46="","",SUM('Additional Information'!C46,'Additional Information'!D46))</f>
        <v/>
      </c>
    </row>
    <row r="47" spans="1:4" x14ac:dyDescent="0.25">
      <c r="A47" t="str">
        <f>IF(Input!A48="","",Input!A48)</f>
        <v/>
      </c>
      <c r="B47" t="str">
        <f>IF(A47="","",'Additional Information'!F47)</f>
        <v/>
      </c>
      <c r="C47" t="str">
        <f>IF(A47="","",'Additional Information'!#REF!)</f>
        <v/>
      </c>
      <c r="D47" s="5" t="str">
        <f>IF(A47="","",SUM('Additional Information'!C47,'Additional Information'!D47))</f>
        <v/>
      </c>
    </row>
    <row r="48" spans="1:4" x14ac:dyDescent="0.25">
      <c r="A48" t="str">
        <f>IF(Input!A49="","",Input!A49)</f>
        <v/>
      </c>
      <c r="B48" t="str">
        <f>IF(A48="","",'Additional Information'!F48)</f>
        <v/>
      </c>
      <c r="C48" t="str">
        <f>IF(A48="","",'Additional Information'!#REF!)</f>
        <v/>
      </c>
      <c r="D48" s="5" t="str">
        <f>IF(A48="","",SUM('Additional Information'!C48,'Additional Information'!D48))</f>
        <v/>
      </c>
    </row>
    <row r="49" spans="1:4" x14ac:dyDescent="0.25">
      <c r="A49" t="str">
        <f>IF(Input!A50="","",Input!A50)</f>
        <v/>
      </c>
      <c r="B49" t="str">
        <f>IF(A49="","",'Additional Information'!F49)</f>
        <v/>
      </c>
      <c r="C49" t="str">
        <f>IF(A49="","",'Additional Information'!#REF!)</f>
        <v/>
      </c>
      <c r="D49" s="5" t="str">
        <f>IF(A49="","",SUM('Additional Information'!C49,'Additional Information'!D49))</f>
        <v/>
      </c>
    </row>
    <row r="50" spans="1:4" x14ac:dyDescent="0.25">
      <c r="A50" t="str">
        <f>IF(Input!A51="","",Input!A51)</f>
        <v/>
      </c>
      <c r="B50" t="str">
        <f>IF(A50="","",'Additional Information'!F50)</f>
        <v/>
      </c>
      <c r="C50" t="str">
        <f>IF(A50="","",'Additional Information'!#REF!)</f>
        <v/>
      </c>
      <c r="D50" s="5" t="str">
        <f>IF(A50="","",SUM('Additional Information'!C50,'Additional Information'!D50))</f>
        <v/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4" tint="0.79998168889431442"/>
  </sheetPr>
  <dimension ref="A1:H50"/>
  <sheetViews>
    <sheetView zoomScale="90" zoomScaleNormal="90" workbookViewId="0">
      <selection activeCell="J1" sqref="J1:J1048576"/>
    </sheetView>
  </sheetViews>
  <sheetFormatPr defaultRowHeight="15" x14ac:dyDescent="0.25"/>
  <cols>
    <col min="1" max="1" width="39.5703125" bestFit="1" customWidth="1"/>
    <col min="5" max="5" width="11.85546875" bestFit="1" customWidth="1"/>
    <col min="6" max="6" width="14.42578125" bestFit="1" customWidth="1"/>
  </cols>
  <sheetData>
    <row r="1" spans="1:8" x14ac:dyDescent="0.25">
      <c r="B1" t="s">
        <v>2</v>
      </c>
      <c r="C1" t="s">
        <v>3</v>
      </c>
      <c r="D1" t="s">
        <v>17</v>
      </c>
      <c r="E1" t="s">
        <v>18</v>
      </c>
      <c r="F1" t="s">
        <v>1</v>
      </c>
      <c r="G1" t="s">
        <v>4</v>
      </c>
      <c r="H1" t="s">
        <v>30</v>
      </c>
    </row>
    <row r="2" spans="1:8" x14ac:dyDescent="0.25">
      <c r="A2" t="str">
        <f>IF(Input!A3="","",Input!A3)</f>
        <v>Schroder Active Portfolio 2</v>
      </c>
      <c r="B2">
        <f>IF(A2="","",SUM('Asset Allocation'!C1))</f>
        <v>0</v>
      </c>
      <c r="C2" t="e">
        <f>IF(A2="","",SUM('Asset Allocation'!#REF!))</f>
        <v>#REF!</v>
      </c>
      <c r="D2">
        <f>IF(A2="","",SUM('Asset Allocation'!G2))</f>
        <v>0</v>
      </c>
      <c r="E2">
        <f>IF(A2="","",SUM('Asset Allocation'!F2))</f>
        <v>0</v>
      </c>
      <c r="F2">
        <f>IF(A2="","",SUM('Asset Allocation'!E2,'Asset Allocation'!H2))</f>
        <v>0</v>
      </c>
      <c r="G2">
        <f>IF(A2="","",SUM('Asset Allocation'!D2))</f>
        <v>0</v>
      </c>
      <c r="H2" t="e">
        <f t="shared" ref="H2:H50" si="0">IF(A2="","",1-SUM(B2:G2))</f>
        <v>#REF!</v>
      </c>
    </row>
    <row r="3" spans="1:8" x14ac:dyDescent="0.25">
      <c r="A3" t="str">
        <f>IF(Input!A4="","",Input!A4)</f>
        <v>Schroder Active Portfolio 3</v>
      </c>
      <c r="B3">
        <f>IF(A3="","",SUM('Asset Allocation'!C2))</f>
        <v>0</v>
      </c>
      <c r="C3" t="e">
        <f>IF(A3="","",SUM('Asset Allocation'!#REF!))</f>
        <v>#REF!</v>
      </c>
      <c r="D3">
        <f>IF(A3="","",SUM('Asset Allocation'!G3))</f>
        <v>0</v>
      </c>
      <c r="E3">
        <f>IF(A3="","",SUM('Asset Allocation'!F3))</f>
        <v>0</v>
      </c>
      <c r="F3">
        <f>IF(A3="","",SUM('Asset Allocation'!E3,'Asset Allocation'!H3))</f>
        <v>0</v>
      </c>
      <c r="G3">
        <f>IF(A3="","",SUM('Asset Allocation'!D3))</f>
        <v>0</v>
      </c>
      <c r="H3" t="e">
        <f t="shared" si="0"/>
        <v>#REF!</v>
      </c>
    </row>
    <row r="4" spans="1:8" x14ac:dyDescent="0.25">
      <c r="A4" t="str">
        <f>IF(Input!A5="","",Input!A5)</f>
        <v>Schroder Active Portfolio 4</v>
      </c>
      <c r="B4">
        <f>IF(A4="","",SUM('Asset Allocation'!C3))</f>
        <v>0</v>
      </c>
      <c r="C4" t="e">
        <f>IF(A4="","",SUM('Asset Allocation'!#REF!))</f>
        <v>#REF!</v>
      </c>
      <c r="D4">
        <f>IF(A4="","",SUM('Asset Allocation'!G4))</f>
        <v>0</v>
      </c>
      <c r="E4">
        <f>IF(A4="","",SUM('Asset Allocation'!F4))</f>
        <v>0</v>
      </c>
      <c r="F4">
        <f>IF(A4="","",SUM('Asset Allocation'!E4,'Asset Allocation'!H4))</f>
        <v>0</v>
      </c>
      <c r="G4">
        <f>IF(A4="","",SUM('Asset Allocation'!D4))</f>
        <v>0</v>
      </c>
      <c r="H4" t="e">
        <f t="shared" si="0"/>
        <v>#REF!</v>
      </c>
    </row>
    <row r="5" spans="1:8" x14ac:dyDescent="0.25">
      <c r="A5" t="str">
        <f>IF(Input!A6="","",Input!A6)</f>
        <v>Schroder Active Portfolio 5</v>
      </c>
      <c r="B5">
        <f>IF(A5="","",SUM('Asset Allocation'!C4))</f>
        <v>0</v>
      </c>
      <c r="C5" t="e">
        <f>IF(A5="","",SUM('Asset Allocation'!#REF!))</f>
        <v>#REF!</v>
      </c>
      <c r="D5">
        <f>IF(A5="","",SUM('Asset Allocation'!G5))</f>
        <v>0</v>
      </c>
      <c r="E5">
        <f>IF(A5="","",SUM('Asset Allocation'!F5))</f>
        <v>0</v>
      </c>
      <c r="F5">
        <f>IF(A5="","",SUM('Asset Allocation'!E5,'Asset Allocation'!H5))</f>
        <v>0</v>
      </c>
      <c r="G5">
        <f>IF(A5="","",SUM('Asset Allocation'!D5))</f>
        <v>0</v>
      </c>
      <c r="H5" t="e">
        <f t="shared" si="0"/>
        <v>#REF!</v>
      </c>
    </row>
    <row r="6" spans="1:8" x14ac:dyDescent="0.25">
      <c r="A6" t="str">
        <f>IF(Input!A7="","",Input!A7)</f>
        <v>Schroder Active Portfolio 6</v>
      </c>
      <c r="B6">
        <f>IF(A6="","",SUM('Asset Allocation'!C5))</f>
        <v>0</v>
      </c>
      <c r="C6" t="e">
        <f>IF(A6="","",SUM('Asset Allocation'!#REF!))</f>
        <v>#REF!</v>
      </c>
      <c r="D6">
        <f>IF(A6="","",SUM('Asset Allocation'!G6))</f>
        <v>0</v>
      </c>
      <c r="E6">
        <f>IF(A6="","",SUM('Asset Allocation'!F6))</f>
        <v>0</v>
      </c>
      <c r="F6">
        <f>IF(A6="","",SUM('Asset Allocation'!E6,'Asset Allocation'!H6))</f>
        <v>0</v>
      </c>
      <c r="G6">
        <f>IF(A6="","",SUM('Asset Allocation'!D6))</f>
        <v>0</v>
      </c>
      <c r="H6" t="e">
        <f t="shared" si="0"/>
        <v>#REF!</v>
      </c>
    </row>
    <row r="7" spans="1:8" x14ac:dyDescent="0.25">
      <c r="A7" t="str">
        <f>IF(Input!A8="","",Input!A8)</f>
        <v>Schroder Active Portfolio 7</v>
      </c>
      <c r="B7">
        <f>IF(A7="","",SUM('Asset Allocation'!C6))</f>
        <v>0</v>
      </c>
      <c r="C7" t="e">
        <f>IF(A7="","",SUM('Asset Allocation'!#REF!))</f>
        <v>#REF!</v>
      </c>
      <c r="D7">
        <f>IF(A7="","",SUM('Asset Allocation'!G7))</f>
        <v>0</v>
      </c>
      <c r="E7">
        <f>IF(A7="","",SUM('Asset Allocation'!F7))</f>
        <v>0</v>
      </c>
      <c r="F7">
        <f>IF(A7="","",SUM('Asset Allocation'!E7,'Asset Allocation'!H7))</f>
        <v>0</v>
      </c>
      <c r="G7">
        <f>IF(A7="","",SUM('Asset Allocation'!D7))</f>
        <v>0</v>
      </c>
      <c r="H7" t="e">
        <f t="shared" si="0"/>
        <v>#REF!</v>
      </c>
    </row>
    <row r="8" spans="1:8" x14ac:dyDescent="0.25">
      <c r="A8" t="str">
        <f>IF(Input!A9="","",Input!A9)</f>
        <v>Schroder Active Portfolio 8</v>
      </c>
      <c r="B8">
        <f>IF(A8="","",SUM('Asset Allocation'!C7))</f>
        <v>0</v>
      </c>
      <c r="C8" t="e">
        <f>IF(A8="","",SUM('Asset Allocation'!#REF!))</f>
        <v>#REF!</v>
      </c>
      <c r="D8">
        <f>IF(A8="","",SUM('Asset Allocation'!G8))</f>
        <v>0</v>
      </c>
      <c r="E8">
        <f>IF(A8="","",SUM('Asset Allocation'!F8))</f>
        <v>0</v>
      </c>
      <c r="F8">
        <f>IF(A8="","",SUM('Asset Allocation'!E8,'Asset Allocation'!H8))</f>
        <v>0</v>
      </c>
      <c r="G8">
        <f>IF(A8="","",SUM('Asset Allocation'!D8))</f>
        <v>0</v>
      </c>
      <c r="H8" t="e">
        <f t="shared" si="0"/>
        <v>#REF!</v>
      </c>
    </row>
    <row r="9" spans="1:8" x14ac:dyDescent="0.25">
      <c r="A9" t="str">
        <f>IF(Input!A10="","",Input!A10)</f>
        <v>Schroder Active Portfolio 9</v>
      </c>
      <c r="B9">
        <f>IF(A9="","",SUM('Asset Allocation'!C8))</f>
        <v>0</v>
      </c>
      <c r="C9" t="e">
        <f>IF(A9="","",SUM('Asset Allocation'!#REF!))</f>
        <v>#REF!</v>
      </c>
      <c r="D9">
        <f>IF(A9="","",SUM('Asset Allocation'!G9))</f>
        <v>0</v>
      </c>
      <c r="E9">
        <f>IF(A9="","",SUM('Asset Allocation'!F9))</f>
        <v>0</v>
      </c>
      <c r="F9">
        <f>IF(A9="","",SUM('Asset Allocation'!E9,'Asset Allocation'!H9))</f>
        <v>0</v>
      </c>
      <c r="G9">
        <f>IF(A9="","",SUM('Asset Allocation'!D9))</f>
        <v>0</v>
      </c>
      <c r="H9" t="e">
        <f t="shared" si="0"/>
        <v>#REF!</v>
      </c>
    </row>
    <row r="10" spans="1:8" x14ac:dyDescent="0.25">
      <c r="A10" t="str">
        <f>IF(Input!A11="","",Input!A11)</f>
        <v>Schroder Active Portfolio 10</v>
      </c>
      <c r="B10">
        <f>IF(A10="","",SUM('Asset Allocation'!C9))</f>
        <v>0</v>
      </c>
      <c r="C10" t="e">
        <f>IF(A10="","",SUM('Asset Allocation'!#REF!))</f>
        <v>#REF!</v>
      </c>
      <c r="D10">
        <f>IF(A10="","",SUM('Asset Allocation'!G10))</f>
        <v>0</v>
      </c>
      <c r="E10">
        <f>IF(A10="","",SUM('Asset Allocation'!F10))</f>
        <v>0</v>
      </c>
      <c r="F10">
        <f>IF(A10="","",SUM('Asset Allocation'!E10,'Asset Allocation'!H10))</f>
        <v>0</v>
      </c>
      <c r="G10">
        <f>IF(A10="","",SUM('Asset Allocation'!D10))</f>
        <v>0</v>
      </c>
      <c r="H10" t="e">
        <f t="shared" si="0"/>
        <v>#REF!</v>
      </c>
    </row>
    <row r="11" spans="1:8" x14ac:dyDescent="0.25">
      <c r="A11" t="str">
        <f>IF(Input!A12="","",Input!A12)</f>
        <v>Schroder Strategic Index Portfolio 2</v>
      </c>
      <c r="B11">
        <f>IF(A11="","",SUM('Asset Allocation'!C10))</f>
        <v>0</v>
      </c>
      <c r="C11" t="e">
        <f>IF(A11="","",SUM('Asset Allocation'!#REF!))</f>
        <v>#REF!</v>
      </c>
      <c r="D11">
        <f>IF(A11="","",SUM('Asset Allocation'!G11))</f>
        <v>0</v>
      </c>
      <c r="E11">
        <f>IF(A11="","",SUM('Asset Allocation'!F11))</f>
        <v>0</v>
      </c>
      <c r="F11">
        <f>IF(A11="","",SUM('Asset Allocation'!E11,'Asset Allocation'!H11))</f>
        <v>0</v>
      </c>
      <c r="G11">
        <f>IF(A11="","",SUM('Asset Allocation'!D11))</f>
        <v>0</v>
      </c>
      <c r="H11" t="e">
        <f t="shared" si="0"/>
        <v>#REF!</v>
      </c>
    </row>
    <row r="12" spans="1:8" x14ac:dyDescent="0.25">
      <c r="A12" t="str">
        <f>IF(Input!A13="","",Input!A13)</f>
        <v>Schroder Strategic Index Portfolio 3</v>
      </c>
      <c r="B12">
        <f>IF(A12="","",SUM('Asset Allocation'!C11))</f>
        <v>0</v>
      </c>
      <c r="C12" t="e">
        <f>IF(A12="","",SUM('Asset Allocation'!#REF!))</f>
        <v>#REF!</v>
      </c>
      <c r="D12">
        <f>IF(A12="","",SUM('Asset Allocation'!G12))</f>
        <v>0</v>
      </c>
      <c r="E12">
        <f>IF(A12="","",SUM('Asset Allocation'!F12))</f>
        <v>0</v>
      </c>
      <c r="F12">
        <f>IF(A12="","",SUM('Asset Allocation'!E12,'Asset Allocation'!H12))</f>
        <v>0</v>
      </c>
      <c r="G12">
        <f>IF(A12="","",SUM('Asset Allocation'!D12))</f>
        <v>0</v>
      </c>
      <c r="H12" t="e">
        <f t="shared" si="0"/>
        <v>#REF!</v>
      </c>
    </row>
    <row r="13" spans="1:8" x14ac:dyDescent="0.25">
      <c r="A13" t="str">
        <f>IF(Input!A14="","",Input!A14)</f>
        <v>Schroder Strategic Index Portfolio 4</v>
      </c>
      <c r="B13">
        <f>IF(A13="","",SUM('Asset Allocation'!C12))</f>
        <v>0</v>
      </c>
      <c r="C13" t="e">
        <f>IF(A13="","",SUM('Asset Allocation'!#REF!))</f>
        <v>#REF!</v>
      </c>
      <c r="D13">
        <f>IF(A13="","",SUM('Asset Allocation'!G13))</f>
        <v>0</v>
      </c>
      <c r="E13">
        <f>IF(A13="","",SUM('Asset Allocation'!F13))</f>
        <v>0</v>
      </c>
      <c r="F13">
        <f>IF(A13="","",SUM('Asset Allocation'!E13,'Asset Allocation'!H13))</f>
        <v>0</v>
      </c>
      <c r="G13">
        <f>IF(A13="","",SUM('Asset Allocation'!D13))</f>
        <v>0</v>
      </c>
      <c r="H13" t="e">
        <f t="shared" si="0"/>
        <v>#REF!</v>
      </c>
    </row>
    <row r="14" spans="1:8" x14ac:dyDescent="0.25">
      <c r="A14" t="str">
        <f>IF(Input!A15="","",Input!A15)</f>
        <v>Schroder Strategic Index Portfolio 5</v>
      </c>
      <c r="B14">
        <f>IF(A14="","",SUM('Asset Allocation'!C13))</f>
        <v>0</v>
      </c>
      <c r="C14" t="e">
        <f>IF(A14="","",SUM('Asset Allocation'!#REF!))</f>
        <v>#REF!</v>
      </c>
      <c r="D14">
        <f>IF(A14="","",SUM('Asset Allocation'!G14))</f>
        <v>0</v>
      </c>
      <c r="E14">
        <f>IF(A14="","",SUM('Asset Allocation'!F14))</f>
        <v>0</v>
      </c>
      <c r="F14">
        <f>IF(A14="","",SUM('Asset Allocation'!E14,'Asset Allocation'!H14))</f>
        <v>0</v>
      </c>
      <c r="G14">
        <f>IF(A14="","",SUM('Asset Allocation'!D14))</f>
        <v>0</v>
      </c>
      <c r="H14" t="e">
        <f t="shared" si="0"/>
        <v>#REF!</v>
      </c>
    </row>
    <row r="15" spans="1:8" x14ac:dyDescent="0.25">
      <c r="A15" t="str">
        <f>IF(Input!A16="","",Input!A16)</f>
        <v>Schroder Strategic Index Portfolio 6</v>
      </c>
      <c r="B15">
        <f>IF(A15="","",SUM('Asset Allocation'!C14))</f>
        <v>0</v>
      </c>
      <c r="C15" t="e">
        <f>IF(A15="","",SUM('Asset Allocation'!#REF!))</f>
        <v>#REF!</v>
      </c>
      <c r="D15">
        <f>IF(A15="","",SUM('Asset Allocation'!G15))</f>
        <v>0</v>
      </c>
      <c r="E15">
        <f>IF(A15="","",SUM('Asset Allocation'!F15))</f>
        <v>0</v>
      </c>
      <c r="F15">
        <f>IF(A15="","",SUM('Asset Allocation'!E15,'Asset Allocation'!H15))</f>
        <v>0</v>
      </c>
      <c r="G15">
        <f>IF(A15="","",SUM('Asset Allocation'!D15))</f>
        <v>0</v>
      </c>
      <c r="H15" t="e">
        <f t="shared" si="0"/>
        <v>#REF!</v>
      </c>
    </row>
    <row r="16" spans="1:8" x14ac:dyDescent="0.25">
      <c r="A16" t="str">
        <f>IF(Input!A17="","",Input!A17)</f>
        <v>Schroder Strategic Index Portfolio 7</v>
      </c>
      <c r="B16">
        <f>IF(A16="","",SUM('Asset Allocation'!C15))</f>
        <v>0</v>
      </c>
      <c r="C16" t="e">
        <f>IF(A16="","",SUM('Asset Allocation'!#REF!))</f>
        <v>#REF!</v>
      </c>
      <c r="D16">
        <f>IF(A16="","",SUM('Asset Allocation'!G16))</f>
        <v>0</v>
      </c>
      <c r="E16">
        <f>IF(A16="","",SUM('Asset Allocation'!F16))</f>
        <v>0</v>
      </c>
      <c r="F16">
        <f>IF(A16="","",SUM('Asset Allocation'!E16,'Asset Allocation'!H16))</f>
        <v>0</v>
      </c>
      <c r="G16">
        <f>IF(A16="","",SUM('Asset Allocation'!D16))</f>
        <v>0</v>
      </c>
      <c r="H16" t="e">
        <f t="shared" si="0"/>
        <v>#REF!</v>
      </c>
    </row>
    <row r="17" spans="1:8" x14ac:dyDescent="0.25">
      <c r="A17" t="str">
        <f>IF(Input!A18="","",Input!A18)</f>
        <v>Schroder Strategic Index Portfolio 8</v>
      </c>
      <c r="B17">
        <f>IF(A17="","",SUM('Asset Allocation'!C16))</f>
        <v>0</v>
      </c>
      <c r="C17" t="e">
        <f>IF(A17="","",SUM('Asset Allocation'!#REF!))</f>
        <v>#REF!</v>
      </c>
      <c r="D17">
        <f>IF(A17="","",SUM('Asset Allocation'!G17))</f>
        <v>0</v>
      </c>
      <c r="E17">
        <f>IF(A17="","",SUM('Asset Allocation'!F17))</f>
        <v>0</v>
      </c>
      <c r="F17">
        <f>IF(A17="","",SUM('Asset Allocation'!E17,'Asset Allocation'!H17))</f>
        <v>0</v>
      </c>
      <c r="G17">
        <f>IF(A17="","",SUM('Asset Allocation'!D17))</f>
        <v>0</v>
      </c>
      <c r="H17" t="e">
        <f t="shared" si="0"/>
        <v>#REF!</v>
      </c>
    </row>
    <row r="18" spans="1:8" x14ac:dyDescent="0.25">
      <c r="A18" t="str">
        <f>IF(Input!A19="","",Input!A19)</f>
        <v>Schroder Strategic Index Portfolio 9</v>
      </c>
      <c r="B18">
        <f>IF(A18="","",SUM('Asset Allocation'!C17))</f>
        <v>0</v>
      </c>
      <c r="C18" t="e">
        <f>IF(A18="","",SUM('Asset Allocation'!#REF!))</f>
        <v>#REF!</v>
      </c>
      <c r="D18">
        <f>IF(A18="","",SUM('Asset Allocation'!G18))</f>
        <v>0</v>
      </c>
      <c r="E18">
        <f>IF(A18="","",SUM('Asset Allocation'!F18))</f>
        <v>0</v>
      </c>
      <c r="F18">
        <f>IF(A18="","",SUM('Asset Allocation'!E18,'Asset Allocation'!H18))</f>
        <v>0</v>
      </c>
      <c r="G18">
        <f>IF(A18="","",SUM('Asset Allocation'!D18))</f>
        <v>0</v>
      </c>
      <c r="H18" t="e">
        <f t="shared" si="0"/>
        <v>#REF!</v>
      </c>
    </row>
    <row r="19" spans="1:8" x14ac:dyDescent="0.25">
      <c r="A19" t="str">
        <f>IF(Input!A20="","",Input!A20)</f>
        <v>Schroder Strategic Index Portfolio 10</v>
      </c>
      <c r="B19">
        <f>IF(A19="","",SUM('Asset Allocation'!C18))</f>
        <v>0</v>
      </c>
      <c r="C19" t="e">
        <f>IF(A19="","",SUM('Asset Allocation'!#REF!))</f>
        <v>#REF!</v>
      </c>
      <c r="D19">
        <f>IF(A19="","",SUM('Asset Allocation'!G19))</f>
        <v>0</v>
      </c>
      <c r="E19">
        <f>IF(A19="","",SUM('Asset Allocation'!F19))</f>
        <v>0</v>
      </c>
      <c r="F19">
        <f>IF(A19="","",SUM('Asset Allocation'!E19,'Asset Allocation'!H19))</f>
        <v>0</v>
      </c>
      <c r="G19">
        <f>IF(A19="","",SUM('Asset Allocation'!D19))</f>
        <v>0</v>
      </c>
      <c r="H19" t="e">
        <f t="shared" si="0"/>
        <v>#REF!</v>
      </c>
    </row>
    <row r="20" spans="1:8" x14ac:dyDescent="0.25">
      <c r="A20" t="str">
        <f>IF(Input!A21="","",Input!A21)</f>
        <v>Schroder Sustainable Portfolio 3</v>
      </c>
      <c r="B20">
        <f>IF(A20="","",SUM('Asset Allocation'!C19))</f>
        <v>0</v>
      </c>
      <c r="C20" t="e">
        <f>IF(A20="","",SUM('Asset Allocation'!#REF!))</f>
        <v>#REF!</v>
      </c>
      <c r="D20">
        <f>IF(A20="","",SUM('Asset Allocation'!G20))</f>
        <v>0</v>
      </c>
      <c r="E20">
        <f>IF(A20="","",SUM('Asset Allocation'!F20))</f>
        <v>0</v>
      </c>
      <c r="F20">
        <f>IF(A20="","",SUM('Asset Allocation'!E20,'Asset Allocation'!H20))</f>
        <v>0</v>
      </c>
      <c r="G20">
        <f>IF(A20="","",SUM('Asset Allocation'!D20))</f>
        <v>0</v>
      </c>
      <c r="H20" t="e">
        <f t="shared" si="0"/>
        <v>#REF!</v>
      </c>
    </row>
    <row r="21" spans="1:8" x14ac:dyDescent="0.25">
      <c r="A21" t="str">
        <f>IF(Input!A22="","",Input!A22)</f>
        <v>Schroder Sustainable Portfolio 4</v>
      </c>
      <c r="B21">
        <f>IF(A21="","",SUM('Asset Allocation'!C20))</f>
        <v>0</v>
      </c>
      <c r="C21" t="e">
        <f>IF(A21="","",SUM('Asset Allocation'!#REF!))</f>
        <v>#REF!</v>
      </c>
      <c r="D21">
        <f>IF(A21="","",SUM('Asset Allocation'!G21))</f>
        <v>0</v>
      </c>
      <c r="E21">
        <f>IF(A21="","",SUM('Asset Allocation'!F21))</f>
        <v>0</v>
      </c>
      <c r="F21">
        <f>IF(A21="","",SUM('Asset Allocation'!E21,'Asset Allocation'!H21))</f>
        <v>0</v>
      </c>
      <c r="G21">
        <f>IF(A21="","",SUM('Asset Allocation'!D21))</f>
        <v>0</v>
      </c>
      <c r="H21" t="e">
        <f t="shared" si="0"/>
        <v>#REF!</v>
      </c>
    </row>
    <row r="22" spans="1:8" x14ac:dyDescent="0.25">
      <c r="A22" t="str">
        <f>IF(Input!A23="","",Input!A23)</f>
        <v>Schroder Sustainable Portfolio 5</v>
      </c>
      <c r="B22">
        <f>IF(A22="","",SUM('Asset Allocation'!C21))</f>
        <v>0</v>
      </c>
      <c r="C22" t="e">
        <f>IF(A22="","",SUM('Asset Allocation'!#REF!))</f>
        <v>#REF!</v>
      </c>
      <c r="D22">
        <f>IF(A22="","",SUM('Asset Allocation'!G22))</f>
        <v>0</v>
      </c>
      <c r="E22">
        <f>IF(A22="","",SUM('Asset Allocation'!F22))</f>
        <v>0</v>
      </c>
      <c r="F22">
        <f>IF(A22="","",SUM('Asset Allocation'!E22,'Asset Allocation'!H22))</f>
        <v>0</v>
      </c>
      <c r="G22">
        <f>IF(A22="","",SUM('Asset Allocation'!D22))</f>
        <v>0</v>
      </c>
      <c r="H22" t="e">
        <f t="shared" si="0"/>
        <v>#REF!</v>
      </c>
    </row>
    <row r="23" spans="1:8" x14ac:dyDescent="0.25">
      <c r="A23" t="str">
        <f>IF(Input!A24="","",Input!A24)</f>
        <v>Schroder Sustainable Portfolio 6</v>
      </c>
      <c r="B23">
        <f>IF(A23="","",SUM('Asset Allocation'!C22))</f>
        <v>0</v>
      </c>
      <c r="C23" t="e">
        <f>IF(A23="","",SUM('Asset Allocation'!#REF!))</f>
        <v>#REF!</v>
      </c>
      <c r="D23">
        <f>IF(A23="","",SUM('Asset Allocation'!G23))</f>
        <v>0</v>
      </c>
      <c r="E23">
        <f>IF(A23="","",SUM('Asset Allocation'!F23))</f>
        <v>0</v>
      </c>
      <c r="F23">
        <f>IF(A23="","",SUM('Asset Allocation'!E23,'Asset Allocation'!H23))</f>
        <v>0</v>
      </c>
      <c r="G23">
        <f>IF(A23="","",SUM('Asset Allocation'!D23))</f>
        <v>0</v>
      </c>
      <c r="H23" t="e">
        <f t="shared" si="0"/>
        <v>#REF!</v>
      </c>
    </row>
    <row r="24" spans="1:8" x14ac:dyDescent="0.25">
      <c r="A24" t="str">
        <f>IF(Input!A25="","",Input!A25)</f>
        <v>Schroder Sustainable Portfolio 7</v>
      </c>
      <c r="B24">
        <f>IF(A24="","",SUM('Asset Allocation'!C23))</f>
        <v>0</v>
      </c>
      <c r="C24" t="e">
        <f>IF(A24="","",SUM('Asset Allocation'!#REF!))</f>
        <v>#REF!</v>
      </c>
      <c r="D24">
        <f>IF(A24="","",SUM('Asset Allocation'!G24))</f>
        <v>0</v>
      </c>
      <c r="E24">
        <f>IF(A24="","",SUM('Asset Allocation'!F24))</f>
        <v>0</v>
      </c>
      <c r="F24">
        <f>IF(A24="","",SUM('Asset Allocation'!E24,'Asset Allocation'!H24))</f>
        <v>0</v>
      </c>
      <c r="G24">
        <f>IF(A24="","",SUM('Asset Allocation'!D24))</f>
        <v>0</v>
      </c>
      <c r="H24" t="e">
        <f t="shared" si="0"/>
        <v>#REF!</v>
      </c>
    </row>
    <row r="25" spans="1:8" x14ac:dyDescent="0.25">
      <c r="A25" t="str">
        <f>IF(Input!A26="","",Input!A26)</f>
        <v>Schroder Sustainable Portfolio 8</v>
      </c>
      <c r="B25">
        <f>IF(A25="","",SUM('Asset Allocation'!C24))</f>
        <v>0</v>
      </c>
      <c r="C25" t="e">
        <f>IF(A25="","",SUM('Asset Allocation'!#REF!))</f>
        <v>#REF!</v>
      </c>
      <c r="D25">
        <f>IF(A25="","",SUM('Asset Allocation'!G25))</f>
        <v>0</v>
      </c>
      <c r="E25">
        <f>IF(A25="","",SUM('Asset Allocation'!F25))</f>
        <v>0</v>
      </c>
      <c r="F25">
        <f>IF(A25="","",SUM('Asset Allocation'!E25,'Asset Allocation'!H25))</f>
        <v>0</v>
      </c>
      <c r="G25">
        <f>IF(A25="","",SUM('Asset Allocation'!D25))</f>
        <v>0</v>
      </c>
      <c r="H25" t="e">
        <f t="shared" si="0"/>
        <v>#REF!</v>
      </c>
    </row>
    <row r="26" spans="1:8" x14ac:dyDescent="0.25">
      <c r="A26" t="str">
        <f>IF(Input!A27="","",Input!A27)</f>
        <v>Schroder Blended Portfolio 3</v>
      </c>
      <c r="B26">
        <f>IF(A26="","",SUM('Asset Allocation'!C25))</f>
        <v>0</v>
      </c>
      <c r="C26" t="e">
        <f>IF(A26="","",SUM('Asset Allocation'!#REF!))</f>
        <v>#REF!</v>
      </c>
      <c r="D26">
        <f>IF(A26="","",SUM('Asset Allocation'!G26))</f>
        <v>0</v>
      </c>
      <c r="E26">
        <f>IF(A26="","",SUM('Asset Allocation'!F26))</f>
        <v>0</v>
      </c>
      <c r="F26">
        <f>IF(A26="","",SUM('Asset Allocation'!E26,'Asset Allocation'!H26))</f>
        <v>0</v>
      </c>
      <c r="G26">
        <f>IF(A26="","",SUM('Asset Allocation'!D26))</f>
        <v>0</v>
      </c>
      <c r="H26" t="e">
        <f t="shared" si="0"/>
        <v>#REF!</v>
      </c>
    </row>
    <row r="27" spans="1:8" x14ac:dyDescent="0.25">
      <c r="A27" t="str">
        <f>IF(Input!A28="","",Input!A28)</f>
        <v>Schroder Blended Portfolio 4</v>
      </c>
      <c r="B27">
        <f>IF(A27="","",SUM('Asset Allocation'!C26))</f>
        <v>0</v>
      </c>
      <c r="C27" t="e">
        <f>IF(A27="","",SUM('Asset Allocation'!#REF!))</f>
        <v>#REF!</v>
      </c>
      <c r="D27">
        <f>IF(A27="","",SUM('Asset Allocation'!G27))</f>
        <v>0</v>
      </c>
      <c r="E27">
        <f>IF(A27="","",SUM('Asset Allocation'!F27))</f>
        <v>0</v>
      </c>
      <c r="F27">
        <f>IF(A27="","",SUM('Asset Allocation'!E27,'Asset Allocation'!H27))</f>
        <v>0</v>
      </c>
      <c r="G27">
        <f>IF(A27="","",SUM('Asset Allocation'!D27))</f>
        <v>0</v>
      </c>
      <c r="H27" t="e">
        <f t="shared" si="0"/>
        <v>#REF!</v>
      </c>
    </row>
    <row r="28" spans="1:8" x14ac:dyDescent="0.25">
      <c r="A28" t="str">
        <f>IF(Input!A29="","",Input!A29)</f>
        <v>Schroder Blended Portfolio 5</v>
      </c>
      <c r="B28">
        <f>IF(A28="","",SUM('Asset Allocation'!C27))</f>
        <v>0</v>
      </c>
      <c r="C28" t="e">
        <f>IF(A28="","",SUM('Asset Allocation'!#REF!))</f>
        <v>#REF!</v>
      </c>
      <c r="D28">
        <f>IF(A28="","",SUM('Asset Allocation'!G28))</f>
        <v>0</v>
      </c>
      <c r="E28">
        <f>IF(A28="","",SUM('Asset Allocation'!F28))</f>
        <v>0</v>
      </c>
      <c r="F28">
        <f>IF(A28="","",SUM('Asset Allocation'!E28,'Asset Allocation'!H28))</f>
        <v>0</v>
      </c>
      <c r="G28">
        <f>IF(A28="","",SUM('Asset Allocation'!D28))</f>
        <v>0</v>
      </c>
      <c r="H28" t="e">
        <f t="shared" si="0"/>
        <v>#REF!</v>
      </c>
    </row>
    <row r="29" spans="1:8" x14ac:dyDescent="0.25">
      <c r="A29" t="str">
        <f>IF(Input!A30="","",Input!A30)</f>
        <v>Schroder Blended Portfolio 6</v>
      </c>
      <c r="B29">
        <f>IF(A29="","",SUM('Asset Allocation'!C28))</f>
        <v>0</v>
      </c>
      <c r="C29" t="e">
        <f>IF(A29="","",SUM('Asset Allocation'!#REF!))</f>
        <v>#REF!</v>
      </c>
      <c r="D29">
        <f>IF(A29="","",SUM('Asset Allocation'!G29))</f>
        <v>0</v>
      </c>
      <c r="E29">
        <f>IF(A29="","",SUM('Asset Allocation'!F29))</f>
        <v>0</v>
      </c>
      <c r="F29">
        <f>IF(A29="","",SUM('Asset Allocation'!E29,'Asset Allocation'!H29))</f>
        <v>0</v>
      </c>
      <c r="G29">
        <f>IF(A29="","",SUM('Asset Allocation'!D29))</f>
        <v>0</v>
      </c>
      <c r="H29" t="e">
        <f t="shared" si="0"/>
        <v>#REF!</v>
      </c>
    </row>
    <row r="30" spans="1:8" x14ac:dyDescent="0.25">
      <c r="A30" t="str">
        <f>IF(Input!A31="","",Input!A31)</f>
        <v>Schroder Blended Portfolio 7</v>
      </c>
      <c r="B30">
        <f>IF(A30="","",SUM('Asset Allocation'!C29))</f>
        <v>0</v>
      </c>
      <c r="C30" t="e">
        <f>IF(A30="","",SUM('Asset Allocation'!#REF!))</f>
        <v>#REF!</v>
      </c>
      <c r="D30">
        <f>IF(A30="","",SUM('Asset Allocation'!G30))</f>
        <v>0</v>
      </c>
      <c r="E30">
        <f>IF(A30="","",SUM('Asset Allocation'!F30))</f>
        <v>0</v>
      </c>
      <c r="F30">
        <f>IF(A30="","",SUM('Asset Allocation'!E30,'Asset Allocation'!H30))</f>
        <v>0</v>
      </c>
      <c r="G30">
        <f>IF(A30="","",SUM('Asset Allocation'!D30))</f>
        <v>0</v>
      </c>
      <c r="H30" t="e">
        <f t="shared" si="0"/>
        <v>#REF!</v>
      </c>
    </row>
    <row r="31" spans="1:8" x14ac:dyDescent="0.25">
      <c r="A31" t="str">
        <f>IF(Input!A32="","",Input!A32)</f>
        <v>Schroder Blended Portfolio 8</v>
      </c>
      <c r="B31">
        <f>IF(A31="","",SUM('Asset Allocation'!C30))</f>
        <v>0</v>
      </c>
      <c r="C31" t="e">
        <f>IF(A31="","",SUM('Asset Allocation'!#REF!))</f>
        <v>#REF!</v>
      </c>
      <c r="D31">
        <f>IF(A31="","",SUM('Asset Allocation'!G31))</f>
        <v>0</v>
      </c>
      <c r="E31">
        <f>IF(A31="","",SUM('Asset Allocation'!F31))</f>
        <v>0</v>
      </c>
      <c r="F31">
        <f>IF(A31="","",SUM('Asset Allocation'!E31,'Asset Allocation'!H31))</f>
        <v>0</v>
      </c>
      <c r="G31">
        <f>IF(A31="","",SUM('Asset Allocation'!D31))</f>
        <v>0</v>
      </c>
      <c r="H31" t="e">
        <f t="shared" si="0"/>
        <v>#REF!</v>
      </c>
    </row>
    <row r="32" spans="1:8" x14ac:dyDescent="0.25">
      <c r="A32" t="str">
        <f>IF(Input!A33="","",Input!A33)</f>
        <v>Schroder Income Portfolio</v>
      </c>
      <c r="B32">
        <f>IF(A32="","",SUM('Asset Allocation'!C31))</f>
        <v>0</v>
      </c>
      <c r="C32" t="e">
        <f>IF(A32="","",SUM('Asset Allocation'!#REF!))</f>
        <v>#REF!</v>
      </c>
      <c r="D32">
        <f>IF(A32="","",SUM('Asset Allocation'!G32))</f>
        <v>0</v>
      </c>
      <c r="E32">
        <f>IF(A32="","",SUM('Asset Allocation'!F32))</f>
        <v>0</v>
      </c>
      <c r="F32">
        <f>IF(A32="","",SUM('Asset Allocation'!E32,'Asset Allocation'!H32))</f>
        <v>0</v>
      </c>
      <c r="G32">
        <f>IF(A32="","",SUM('Asset Allocation'!D32))</f>
        <v>0</v>
      </c>
      <c r="H32" t="e">
        <f t="shared" si="0"/>
        <v>#REF!</v>
      </c>
    </row>
    <row r="33" spans="1:8" x14ac:dyDescent="0.25">
      <c r="A33" t="str">
        <f>IF(Input!A34="","",Input!A34)</f>
        <v>Schroder Managed Defensive Fund</v>
      </c>
      <c r="B33">
        <f>IF(A33="","",SUM('Asset Allocation'!C32))</f>
        <v>0</v>
      </c>
      <c r="C33" t="e">
        <f>IF(A33="","",SUM('Asset Allocation'!#REF!))</f>
        <v>#REF!</v>
      </c>
      <c r="D33">
        <f>IF(A33="","",SUM('Asset Allocation'!G33))</f>
        <v>0</v>
      </c>
      <c r="E33">
        <f>IF(A33="","",SUM('Asset Allocation'!F33))</f>
        <v>0</v>
      </c>
      <c r="F33">
        <f>IF(A33="","",SUM('Asset Allocation'!E33,'Asset Allocation'!H33))</f>
        <v>0</v>
      </c>
      <c r="G33">
        <f>IF(A33="","",SUM('Asset Allocation'!D33))</f>
        <v>0</v>
      </c>
      <c r="H33" t="e">
        <f t="shared" si="0"/>
        <v>#REF!</v>
      </c>
    </row>
    <row r="34" spans="1:8" x14ac:dyDescent="0.25">
      <c r="A34" t="str">
        <f>IF(Input!A35="","",Input!A35)</f>
        <v>Schroder Global Multi-Asset Cautious Portfolio</v>
      </c>
      <c r="B34">
        <f>IF(A34="","",SUM('Asset Allocation'!C33))</f>
        <v>0</v>
      </c>
      <c r="C34" t="e">
        <f>IF(A34="","",SUM('Asset Allocation'!#REF!))</f>
        <v>#REF!</v>
      </c>
      <c r="D34">
        <f>IF(A34="","",SUM('Asset Allocation'!G34))</f>
        <v>0</v>
      </c>
      <c r="E34">
        <f>IF(A34="","",SUM('Asset Allocation'!F34))</f>
        <v>0</v>
      </c>
      <c r="F34">
        <f>IF(A34="","",SUM('Asset Allocation'!E34,'Asset Allocation'!H34))</f>
        <v>0</v>
      </c>
      <c r="G34">
        <f>IF(A34="","",SUM('Asset Allocation'!D34))</f>
        <v>0</v>
      </c>
      <c r="H34" t="e">
        <f t="shared" si="0"/>
        <v>#REF!</v>
      </c>
    </row>
    <row r="35" spans="1:8" x14ac:dyDescent="0.25">
      <c r="A35" t="str">
        <f>IF(Input!A36="","",Input!A36)</f>
        <v>Schroder Global Multi-Asset Moderately Cautious Portfolio</v>
      </c>
      <c r="B35">
        <f>IF(A35="","",SUM('Asset Allocation'!C34))</f>
        <v>0</v>
      </c>
      <c r="C35" t="e">
        <f>IF(A35="","",SUM('Asset Allocation'!#REF!))</f>
        <v>#REF!</v>
      </c>
      <c r="D35">
        <f>IF(A35="","",SUM('Asset Allocation'!G35))</f>
        <v>0</v>
      </c>
      <c r="E35">
        <f>IF(A35="","",SUM('Asset Allocation'!F35))</f>
        <v>0</v>
      </c>
      <c r="F35">
        <f>IF(A35="","",SUM('Asset Allocation'!E35,'Asset Allocation'!H35))</f>
        <v>0</v>
      </c>
      <c r="G35">
        <f>IF(A35="","",SUM('Asset Allocation'!D35))</f>
        <v>0</v>
      </c>
      <c r="H35" t="e">
        <f t="shared" si="0"/>
        <v>#REF!</v>
      </c>
    </row>
    <row r="36" spans="1:8" x14ac:dyDescent="0.25">
      <c r="A36" t="str">
        <f>IF(Input!A37="","",Input!A37)</f>
        <v>Schroder Schroder Global Multi-Asset Balanced Portfolio</v>
      </c>
      <c r="B36">
        <f>IF(A36="","",SUM('Asset Allocation'!C35))</f>
        <v>0</v>
      </c>
      <c r="C36" t="e">
        <f>IF(A36="","",SUM('Asset Allocation'!#REF!))</f>
        <v>#REF!</v>
      </c>
      <c r="D36">
        <f>IF(A36="","",SUM('Asset Allocation'!G36))</f>
        <v>0</v>
      </c>
      <c r="E36">
        <f>IF(A36="","",SUM('Asset Allocation'!F36))</f>
        <v>0</v>
      </c>
      <c r="F36">
        <f>IF(A36="","",SUM('Asset Allocation'!E36,'Asset Allocation'!H36))</f>
        <v>0</v>
      </c>
      <c r="G36">
        <f>IF(A36="","",SUM('Asset Allocation'!D36))</f>
        <v>0</v>
      </c>
      <c r="H36" t="e">
        <f t="shared" si="0"/>
        <v>#REF!</v>
      </c>
    </row>
    <row r="37" spans="1:8" x14ac:dyDescent="0.25">
      <c r="A37" t="str">
        <f>IF(Input!A38="","",Input!A38)</f>
        <v>Schroder Global Multi-Asset Growth Portfolio</v>
      </c>
      <c r="B37">
        <f>IF(A37="","",SUM('Asset Allocation'!C36))</f>
        <v>0</v>
      </c>
      <c r="C37" t="e">
        <f>IF(A37="","",SUM('Asset Allocation'!#REF!))</f>
        <v>#REF!</v>
      </c>
      <c r="D37">
        <f>IF(A37="","",SUM('Asset Allocation'!G37))</f>
        <v>0</v>
      </c>
      <c r="E37">
        <f>IF(A37="","",SUM('Asset Allocation'!F37))</f>
        <v>0</v>
      </c>
      <c r="F37">
        <f>IF(A37="","",SUM('Asset Allocation'!E37,'Asset Allocation'!H37))</f>
        <v>0</v>
      </c>
      <c r="G37">
        <f>IF(A37="","",SUM('Asset Allocation'!D37))</f>
        <v>0</v>
      </c>
      <c r="H37" t="e">
        <f t="shared" si="0"/>
        <v>#REF!</v>
      </c>
    </row>
    <row r="38" spans="1:8" x14ac:dyDescent="0.25">
      <c r="A38" t="str">
        <f>IF(Input!A39="","",Input!A39)</f>
        <v>Schroder Global Multi-Asset Adventurous Portfolio</v>
      </c>
      <c r="B38">
        <f>IF(A38="","",SUM('Asset Allocation'!C37))</f>
        <v>0</v>
      </c>
      <c r="C38" t="e">
        <f>IF(A38="","",SUM('Asset Allocation'!#REF!))</f>
        <v>#REF!</v>
      </c>
      <c r="D38">
        <f>IF(A38="","",SUM('Asset Allocation'!G38))</f>
        <v>0</v>
      </c>
      <c r="E38">
        <f>IF(A38="","",SUM('Asset Allocation'!F38))</f>
        <v>0</v>
      </c>
      <c r="F38">
        <f>IF(A38="","",SUM('Asset Allocation'!E38,'Asset Allocation'!H38))</f>
        <v>0</v>
      </c>
      <c r="G38">
        <f>IF(A38="","",SUM('Asset Allocation'!D38))</f>
        <v>0</v>
      </c>
      <c r="H38" t="e">
        <f t="shared" si="0"/>
        <v>#REF!</v>
      </c>
    </row>
    <row r="39" spans="1:8" x14ac:dyDescent="0.25">
      <c r="A39" t="str">
        <f>IF(Input!A40="","",Input!A40)</f>
        <v/>
      </c>
      <c r="B39" t="str">
        <f>IF(A39="","",SUM('Asset Allocation'!C38))</f>
        <v/>
      </c>
      <c r="C39" t="str">
        <f>IF(A39="","",SUM('Asset Allocation'!#REF!))</f>
        <v/>
      </c>
      <c r="D39" t="str">
        <f>IF(A39="","",SUM('Asset Allocation'!G39))</f>
        <v/>
      </c>
      <c r="E39" t="str">
        <f>IF(A39="","",SUM('Asset Allocation'!F39))</f>
        <v/>
      </c>
      <c r="F39" t="str">
        <f>IF(A39="","",SUM('Asset Allocation'!E39,'Asset Allocation'!H39))</f>
        <v/>
      </c>
      <c r="G39" t="str">
        <f>IF(A39="","",SUM('Asset Allocation'!D39))</f>
        <v/>
      </c>
      <c r="H39" t="str">
        <f t="shared" si="0"/>
        <v/>
      </c>
    </row>
    <row r="40" spans="1:8" x14ac:dyDescent="0.25">
      <c r="A40" t="str">
        <f>IF(Input!A41="","",Input!A41)</f>
        <v/>
      </c>
      <c r="B40" t="str">
        <f>IF(A40="","",SUM('Asset Allocation'!C39))</f>
        <v/>
      </c>
      <c r="C40" t="str">
        <f>IF(A40="","",SUM('Asset Allocation'!#REF!))</f>
        <v/>
      </c>
      <c r="D40" t="str">
        <f>IF(A40="","",SUM('Asset Allocation'!G40))</f>
        <v/>
      </c>
      <c r="E40" t="str">
        <f>IF(A40="","",SUM('Asset Allocation'!F40))</f>
        <v/>
      </c>
      <c r="F40" t="str">
        <f>IF(A40="","",SUM('Asset Allocation'!E40,'Asset Allocation'!H40))</f>
        <v/>
      </c>
      <c r="G40" t="str">
        <f>IF(A40="","",SUM('Asset Allocation'!D40))</f>
        <v/>
      </c>
      <c r="H40" t="str">
        <f t="shared" si="0"/>
        <v/>
      </c>
    </row>
    <row r="41" spans="1:8" x14ac:dyDescent="0.25">
      <c r="A41" t="str">
        <f>IF(Input!A42="","",Input!A42)</f>
        <v/>
      </c>
      <c r="B41" t="str">
        <f>IF(A41="","",SUM('Asset Allocation'!C40))</f>
        <v/>
      </c>
      <c r="C41" t="str">
        <f>IF(A41="","",SUM('Asset Allocation'!#REF!))</f>
        <v/>
      </c>
      <c r="D41" t="str">
        <f>IF(A41="","",SUM('Asset Allocation'!G41))</f>
        <v/>
      </c>
      <c r="E41" t="str">
        <f>IF(A41="","",SUM('Asset Allocation'!F41))</f>
        <v/>
      </c>
      <c r="F41" t="str">
        <f>IF(A41="","",SUM('Asset Allocation'!E41,'Asset Allocation'!H41))</f>
        <v/>
      </c>
      <c r="G41" t="str">
        <f>IF(A41="","",SUM('Asset Allocation'!D41))</f>
        <v/>
      </c>
      <c r="H41" t="str">
        <f t="shared" si="0"/>
        <v/>
      </c>
    </row>
    <row r="42" spans="1:8" x14ac:dyDescent="0.25">
      <c r="A42" t="str">
        <f>IF(Input!A43="","",Input!A43)</f>
        <v/>
      </c>
      <c r="B42" t="str">
        <f>IF(A42="","",SUM('Asset Allocation'!C41))</f>
        <v/>
      </c>
      <c r="C42" t="str">
        <f>IF(A42="","",SUM('Asset Allocation'!#REF!))</f>
        <v/>
      </c>
      <c r="D42" t="str">
        <f>IF(A42="","",SUM('Asset Allocation'!G42))</f>
        <v/>
      </c>
      <c r="E42" t="str">
        <f>IF(A42="","",SUM('Asset Allocation'!F42))</f>
        <v/>
      </c>
      <c r="F42" t="str">
        <f>IF(A42="","",SUM('Asset Allocation'!E42,'Asset Allocation'!H42))</f>
        <v/>
      </c>
      <c r="G42" t="str">
        <f>IF(A42="","",SUM('Asset Allocation'!D42))</f>
        <v/>
      </c>
      <c r="H42" t="str">
        <f t="shared" si="0"/>
        <v/>
      </c>
    </row>
    <row r="43" spans="1:8" x14ac:dyDescent="0.25">
      <c r="A43" t="str">
        <f>IF(Input!A44="","",Input!A44)</f>
        <v/>
      </c>
      <c r="B43" t="str">
        <f>IF(A43="","",SUM('Asset Allocation'!C42))</f>
        <v/>
      </c>
      <c r="C43" t="str">
        <f>IF(A43="","",SUM('Asset Allocation'!#REF!))</f>
        <v/>
      </c>
      <c r="D43" t="str">
        <f>IF(A43="","",SUM('Asset Allocation'!G43))</f>
        <v/>
      </c>
      <c r="E43" t="str">
        <f>IF(A43="","",SUM('Asset Allocation'!F43))</f>
        <v/>
      </c>
      <c r="F43" t="str">
        <f>IF(A43="","",SUM('Asset Allocation'!E43,'Asset Allocation'!H43))</f>
        <v/>
      </c>
      <c r="G43" t="str">
        <f>IF(A43="","",SUM('Asset Allocation'!D43))</f>
        <v/>
      </c>
      <c r="H43" t="str">
        <f t="shared" si="0"/>
        <v/>
      </c>
    </row>
    <row r="44" spans="1:8" x14ac:dyDescent="0.25">
      <c r="A44" t="str">
        <f>IF(Input!A45="","",Input!A45)</f>
        <v/>
      </c>
      <c r="B44" t="str">
        <f>IF(A44="","",SUM('Asset Allocation'!C43))</f>
        <v/>
      </c>
      <c r="C44" t="str">
        <f>IF(A44="","",SUM('Asset Allocation'!#REF!))</f>
        <v/>
      </c>
      <c r="D44" t="str">
        <f>IF(A44="","",SUM('Asset Allocation'!G44))</f>
        <v/>
      </c>
      <c r="E44" t="str">
        <f>IF(A44="","",SUM('Asset Allocation'!F44))</f>
        <v/>
      </c>
      <c r="F44" t="str">
        <f>IF(A44="","",SUM('Asset Allocation'!E44,'Asset Allocation'!H44))</f>
        <v/>
      </c>
      <c r="G44" t="str">
        <f>IF(A44="","",SUM('Asset Allocation'!D44))</f>
        <v/>
      </c>
      <c r="H44" t="str">
        <f t="shared" si="0"/>
        <v/>
      </c>
    </row>
    <row r="45" spans="1:8" x14ac:dyDescent="0.25">
      <c r="A45" t="str">
        <f>IF(Input!A46="","",Input!A46)</f>
        <v/>
      </c>
      <c r="B45" t="str">
        <f>IF(A45="","",SUM('Asset Allocation'!C44))</f>
        <v/>
      </c>
      <c r="C45" t="str">
        <f>IF(A45="","",SUM('Asset Allocation'!#REF!))</f>
        <v/>
      </c>
      <c r="D45" t="str">
        <f>IF(A45="","",SUM('Asset Allocation'!G45))</f>
        <v/>
      </c>
      <c r="E45" t="str">
        <f>IF(A45="","",SUM('Asset Allocation'!F45))</f>
        <v/>
      </c>
      <c r="F45" t="str">
        <f>IF(A45="","",SUM('Asset Allocation'!E45,'Asset Allocation'!H45))</f>
        <v/>
      </c>
      <c r="G45" t="str">
        <f>IF(A45="","",SUM('Asset Allocation'!D45))</f>
        <v/>
      </c>
      <c r="H45" t="str">
        <f t="shared" si="0"/>
        <v/>
      </c>
    </row>
    <row r="46" spans="1:8" x14ac:dyDescent="0.25">
      <c r="A46" t="str">
        <f>IF(Input!A47="","",Input!A47)</f>
        <v/>
      </c>
      <c r="B46" t="str">
        <f>IF(A46="","",SUM('Asset Allocation'!C45))</f>
        <v/>
      </c>
      <c r="C46" t="str">
        <f>IF(A46="","",SUM('Asset Allocation'!#REF!))</f>
        <v/>
      </c>
      <c r="D46" t="str">
        <f>IF(A46="","",SUM('Asset Allocation'!G46))</f>
        <v/>
      </c>
      <c r="E46" t="str">
        <f>IF(A46="","",SUM('Asset Allocation'!F46))</f>
        <v/>
      </c>
      <c r="F46" t="str">
        <f>IF(A46="","",SUM('Asset Allocation'!E46,'Asset Allocation'!H46))</f>
        <v/>
      </c>
      <c r="G46" t="str">
        <f>IF(A46="","",SUM('Asset Allocation'!D46))</f>
        <v/>
      </c>
      <c r="H46" t="str">
        <f t="shared" si="0"/>
        <v/>
      </c>
    </row>
    <row r="47" spans="1:8" x14ac:dyDescent="0.25">
      <c r="A47" t="str">
        <f>IF(Input!A48="","",Input!A48)</f>
        <v/>
      </c>
      <c r="B47" t="str">
        <f>IF(A47="","",SUM('Asset Allocation'!C46))</f>
        <v/>
      </c>
      <c r="C47" t="str">
        <f>IF(A47="","",SUM('Asset Allocation'!#REF!))</f>
        <v/>
      </c>
      <c r="D47" t="str">
        <f>IF(A47="","",SUM('Asset Allocation'!G47))</f>
        <v/>
      </c>
      <c r="E47" t="str">
        <f>IF(A47="","",SUM('Asset Allocation'!F47))</f>
        <v/>
      </c>
      <c r="F47" t="str">
        <f>IF(A47="","",SUM('Asset Allocation'!E47,'Asset Allocation'!H47))</f>
        <v/>
      </c>
      <c r="G47" t="str">
        <f>IF(A47="","",SUM('Asset Allocation'!D47))</f>
        <v/>
      </c>
      <c r="H47" t="str">
        <f t="shared" si="0"/>
        <v/>
      </c>
    </row>
    <row r="48" spans="1:8" x14ac:dyDescent="0.25">
      <c r="A48" t="str">
        <f>IF(Input!A49="","",Input!A49)</f>
        <v/>
      </c>
      <c r="B48" t="str">
        <f>IF(A48="","",SUM('Asset Allocation'!C47))</f>
        <v/>
      </c>
      <c r="C48" t="str">
        <f>IF(A48="","",SUM('Asset Allocation'!#REF!))</f>
        <v/>
      </c>
      <c r="D48" t="str">
        <f>IF(A48="","",SUM('Asset Allocation'!G48))</f>
        <v/>
      </c>
      <c r="E48" t="str">
        <f>IF(A48="","",SUM('Asset Allocation'!F48))</f>
        <v/>
      </c>
      <c r="F48" t="str">
        <f>IF(A48="","",SUM('Asset Allocation'!E48,'Asset Allocation'!H48))</f>
        <v/>
      </c>
      <c r="G48" t="str">
        <f>IF(A48="","",SUM('Asset Allocation'!D48))</f>
        <v/>
      </c>
      <c r="H48" t="str">
        <f t="shared" si="0"/>
        <v/>
      </c>
    </row>
    <row r="49" spans="1:8" x14ac:dyDescent="0.25">
      <c r="A49" t="str">
        <f>IF(Input!A50="","",Input!A50)</f>
        <v/>
      </c>
      <c r="B49" t="str">
        <f>IF(A49="","",SUM('Asset Allocation'!C48))</f>
        <v/>
      </c>
      <c r="C49" t="str">
        <f>IF(A49="","",SUM('Asset Allocation'!#REF!))</f>
        <v/>
      </c>
      <c r="D49" t="str">
        <f>IF(A49="","",SUM('Asset Allocation'!G49))</f>
        <v/>
      </c>
      <c r="E49" t="str">
        <f>IF(A49="","",SUM('Asset Allocation'!F49))</f>
        <v/>
      </c>
      <c r="F49" t="str">
        <f>IF(A49="","",SUM('Asset Allocation'!E49,'Asset Allocation'!H49))</f>
        <v/>
      </c>
      <c r="G49" t="str">
        <f>IF(A49="","",SUM('Asset Allocation'!D49))</f>
        <v/>
      </c>
      <c r="H49" t="str">
        <f t="shared" si="0"/>
        <v/>
      </c>
    </row>
    <row r="50" spans="1:8" x14ac:dyDescent="0.25">
      <c r="A50" t="str">
        <f>IF(Input!A51="","",Input!A51)</f>
        <v/>
      </c>
      <c r="B50" t="str">
        <f>IF(A50="","",SUM('Asset Allocation'!C49))</f>
        <v/>
      </c>
      <c r="C50" t="str">
        <f>IF(A50="","",SUM('Asset Allocation'!#REF!))</f>
        <v/>
      </c>
      <c r="D50" t="str">
        <f>IF(A50="","",SUM('Asset Allocation'!G50))</f>
        <v/>
      </c>
      <c r="E50" t="str">
        <f>IF(A50="","",SUM('Asset Allocation'!F50))</f>
        <v/>
      </c>
      <c r="F50" t="str">
        <f>IF(A50="","",SUM('Asset Allocation'!E50,'Asset Allocation'!H50))</f>
        <v/>
      </c>
      <c r="G50" t="str">
        <f>IF(A50="","",SUM('Asset Allocation'!D50))</f>
        <v/>
      </c>
      <c r="H50" t="str">
        <f t="shared" si="0"/>
        <v/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4" tint="0.79998168889431442"/>
  </sheetPr>
  <dimension ref="A1:H50"/>
  <sheetViews>
    <sheetView workbookViewId="0">
      <selection activeCell="J1" sqref="J1:J1048576"/>
    </sheetView>
  </sheetViews>
  <sheetFormatPr defaultRowHeight="15" x14ac:dyDescent="0.25"/>
  <cols>
    <col min="1" max="1" width="19.140625" bestFit="1" customWidth="1"/>
    <col min="2" max="7" width="8.85546875" bestFit="1" customWidth="1"/>
    <col min="8" max="8" width="17.5703125" bestFit="1" customWidth="1"/>
  </cols>
  <sheetData>
    <row r="1" spans="1:8" x14ac:dyDescent="0.25">
      <c r="B1" t="s">
        <v>7</v>
      </c>
      <c r="C1" t="s">
        <v>8</v>
      </c>
      <c r="D1" t="s">
        <v>10</v>
      </c>
      <c r="E1" t="s">
        <v>5</v>
      </c>
      <c r="F1" t="s">
        <v>6</v>
      </c>
      <c r="G1" t="s">
        <v>9</v>
      </c>
      <c r="H1" t="s">
        <v>20</v>
      </c>
    </row>
    <row r="2" spans="1:8" x14ac:dyDescent="0.25">
      <c r="A2" t="str">
        <f>IF(Input!A3="","",Input!A3)</f>
        <v>Schroder Active Portfolio 2</v>
      </c>
      <c r="B2" s="6">
        <f>IFERROR(IF(A2="","",SUM('Asset Allocation'!I2)),0)</f>
        <v>0</v>
      </c>
      <c r="C2" s="6">
        <f>IFERROR(IF(A2="","",SUM('Asset Allocation'!L2)),0)</f>
        <v>0</v>
      </c>
      <c r="D2" s="6">
        <f>IFERROR(IF(A2="","",SUM('Asset Allocation'!R2,'Asset Allocation'!K2)),0)</f>
        <v>0</v>
      </c>
      <c r="E2" s="6">
        <f>IFERROR(IF(A2="","",SUM('Asset Allocation'!M2)),0)</f>
        <v>0</v>
      </c>
      <c r="F2" s="6">
        <f>IFERROR(IF(A2="","",SUM('Asset Allocation'!J2)),0)</f>
        <v>0</v>
      </c>
      <c r="G2" s="6">
        <f>IFERROR(IF(A2="","",SUM('Asset Allocation'!P2,'Asset Allocation'!Q2)),0)</f>
        <v>0</v>
      </c>
      <c r="H2" s="6">
        <f>IFERROR(IF(A2="","",SUM('Asset Allocation'!N2)),0)</f>
        <v>0</v>
      </c>
    </row>
    <row r="3" spans="1:8" x14ac:dyDescent="0.25">
      <c r="A3" t="str">
        <f>IF(Input!A4="","",Input!A4)</f>
        <v>Schroder Active Portfolio 3</v>
      </c>
      <c r="B3" s="6">
        <f>IFERROR(IF(A3="","",SUM('Asset Allocation'!I3)),0)</f>
        <v>0</v>
      </c>
      <c r="C3" s="6">
        <f>IFERROR(IF(A3="","",SUM('Asset Allocation'!L3)),0)</f>
        <v>0</v>
      </c>
      <c r="D3" s="6">
        <f>IFERROR(IF(A3="","",SUM('Asset Allocation'!R3,'Asset Allocation'!K3)),0)</f>
        <v>0</v>
      </c>
      <c r="E3" s="6">
        <f>IFERROR(IF(A3="","",SUM('Asset Allocation'!M3)),0)</f>
        <v>0</v>
      </c>
      <c r="F3" s="6">
        <f>IFERROR(IF(A3="","",SUM('Asset Allocation'!J3)),0)</f>
        <v>0</v>
      </c>
      <c r="G3" s="6">
        <f>IFERROR(IF(A3="","",SUM('Asset Allocation'!P3,'Asset Allocation'!Q3)),0)</f>
        <v>0</v>
      </c>
      <c r="H3" s="6">
        <f>IFERROR(IF(A3="","",SUM('Asset Allocation'!N3)),0)</f>
        <v>0</v>
      </c>
    </row>
    <row r="4" spans="1:8" x14ac:dyDescent="0.25">
      <c r="A4" t="str">
        <f>IF(Input!A5="","",Input!A5)</f>
        <v>Schroder Active Portfolio 4</v>
      </c>
      <c r="B4" s="6">
        <f>IFERROR(IF(A4="","",SUM('Asset Allocation'!I4)),0)</f>
        <v>0</v>
      </c>
      <c r="C4" s="6">
        <f>IFERROR(IF(A4="","",SUM('Asset Allocation'!L4)),0)</f>
        <v>0</v>
      </c>
      <c r="D4" s="6">
        <f>IFERROR(IF(A4="","",SUM('Asset Allocation'!R4,'Asset Allocation'!K4)),0)</f>
        <v>0</v>
      </c>
      <c r="E4" s="6">
        <f>IFERROR(IF(A4="","",SUM('Asset Allocation'!M4)),0)</f>
        <v>0</v>
      </c>
      <c r="F4" s="6">
        <f>IFERROR(IF(A4="","",SUM('Asset Allocation'!J4)),0)</f>
        <v>0</v>
      </c>
      <c r="G4" s="6">
        <f>IFERROR(IF(A4="","",SUM('Asset Allocation'!P4,'Asset Allocation'!Q4)),0)</f>
        <v>0</v>
      </c>
      <c r="H4" s="6">
        <f>IFERROR(IF(A4="","",SUM('Asset Allocation'!N4)),0)</f>
        <v>0</v>
      </c>
    </row>
    <row r="5" spans="1:8" x14ac:dyDescent="0.25">
      <c r="A5" t="str">
        <f>IF(Input!A6="","",Input!A6)</f>
        <v>Schroder Active Portfolio 5</v>
      </c>
      <c r="B5" s="6">
        <f>IFERROR(IF(A5="","",SUM('Asset Allocation'!I5)),0)</f>
        <v>0</v>
      </c>
      <c r="C5" s="6">
        <f>IFERROR(IF(A5="","",SUM('Asset Allocation'!L5)),0)</f>
        <v>0</v>
      </c>
      <c r="D5" s="6">
        <f>IFERROR(IF(A5="","",SUM('Asset Allocation'!R5,'Asset Allocation'!K5)),0)</f>
        <v>0</v>
      </c>
      <c r="E5" s="6">
        <f>IFERROR(IF(A5="","",SUM('Asset Allocation'!M5)),0)</f>
        <v>0</v>
      </c>
      <c r="F5" s="6">
        <f>IFERROR(IF(A5="","",SUM('Asset Allocation'!J5)),0)</f>
        <v>0</v>
      </c>
      <c r="G5" s="6">
        <f>IFERROR(IF(A5="","",SUM('Asset Allocation'!P5,'Asset Allocation'!Q5)),0)</f>
        <v>0</v>
      </c>
      <c r="H5" s="6">
        <f>IFERROR(IF(A5="","",SUM('Asset Allocation'!N5)),0)</f>
        <v>0</v>
      </c>
    </row>
    <row r="6" spans="1:8" x14ac:dyDescent="0.25">
      <c r="A6" t="str">
        <f>IF(Input!A7="","",Input!A7)</f>
        <v>Schroder Active Portfolio 6</v>
      </c>
      <c r="B6" s="6">
        <f>IFERROR(IF(A6="","",SUM('Asset Allocation'!I6)),0)</f>
        <v>0</v>
      </c>
      <c r="C6" s="6">
        <f>IFERROR(IF(A6="","",SUM('Asset Allocation'!L6)),0)</f>
        <v>0</v>
      </c>
      <c r="D6" s="6">
        <f>IFERROR(IF(A6="","",SUM('Asset Allocation'!R6,'Asset Allocation'!K6)),0)</f>
        <v>0</v>
      </c>
      <c r="E6" s="6">
        <f>IFERROR(IF(A6="","",SUM('Asset Allocation'!M6)),0)</f>
        <v>0</v>
      </c>
      <c r="F6" s="6">
        <f>IFERROR(IF(A6="","",SUM('Asset Allocation'!J6)),0)</f>
        <v>0</v>
      </c>
      <c r="G6" s="6">
        <f>IFERROR(IF(A6="","",SUM('Asset Allocation'!P6,'Asset Allocation'!Q6)),0)</f>
        <v>0</v>
      </c>
      <c r="H6" s="6">
        <f>IFERROR(IF(A6="","",SUM('Asset Allocation'!N6)),0)</f>
        <v>0</v>
      </c>
    </row>
    <row r="7" spans="1:8" x14ac:dyDescent="0.25">
      <c r="A7" t="str">
        <f>IF(Input!A8="","",Input!A8)</f>
        <v>Schroder Active Portfolio 7</v>
      </c>
      <c r="B7" s="6">
        <f>IFERROR(IF(A7="","",SUM('Asset Allocation'!I7)),0)</f>
        <v>0</v>
      </c>
      <c r="C7" s="6">
        <f>IFERROR(IF(A7="","",SUM('Asset Allocation'!L7)),0)</f>
        <v>0</v>
      </c>
      <c r="D7" s="6">
        <f>IFERROR(IF(A7="","",SUM('Asset Allocation'!R7,'Asset Allocation'!K7)),0)</f>
        <v>0</v>
      </c>
      <c r="E7" s="6">
        <f>IFERROR(IF(A7="","",SUM('Asset Allocation'!M7)),0)</f>
        <v>0</v>
      </c>
      <c r="F7" s="6">
        <f>IFERROR(IF(A7="","",SUM('Asset Allocation'!J7)),0)</f>
        <v>0</v>
      </c>
      <c r="G7" s="6">
        <f>IFERROR(IF(A7="","",SUM('Asset Allocation'!P7,'Asset Allocation'!Q7)),0)</f>
        <v>0</v>
      </c>
      <c r="H7" s="6">
        <f>IFERROR(IF(A7="","",SUM('Asset Allocation'!N7)),0)</f>
        <v>0</v>
      </c>
    </row>
    <row r="8" spans="1:8" x14ac:dyDescent="0.25">
      <c r="A8" t="str">
        <f>IF(Input!A9="","",Input!A9)</f>
        <v>Schroder Active Portfolio 8</v>
      </c>
      <c r="B8" s="6">
        <f>IFERROR(IF(A8="","",SUM('Asset Allocation'!I8)),0)</f>
        <v>0</v>
      </c>
      <c r="C8" s="6">
        <f>IFERROR(IF(A8="","",SUM('Asset Allocation'!L8)),0)</f>
        <v>0</v>
      </c>
      <c r="D8" s="6">
        <f>IFERROR(IF(A8="","",SUM('Asset Allocation'!R8,'Asset Allocation'!K8)),0)</f>
        <v>0</v>
      </c>
      <c r="E8" s="6">
        <f>IFERROR(IF(A8="","",SUM('Asset Allocation'!M8)),0)</f>
        <v>0</v>
      </c>
      <c r="F8" s="6">
        <f>IFERROR(IF(A8="","",SUM('Asset Allocation'!J8)),0)</f>
        <v>0</v>
      </c>
      <c r="G8" s="6">
        <f>IFERROR(IF(A8="","",SUM('Asset Allocation'!P8,'Asset Allocation'!Q8)),0)</f>
        <v>0</v>
      </c>
      <c r="H8" s="6">
        <f>IFERROR(IF(A8="","",SUM('Asset Allocation'!N8)),0)</f>
        <v>0</v>
      </c>
    </row>
    <row r="9" spans="1:8" x14ac:dyDescent="0.25">
      <c r="A9" t="str">
        <f>IF(Input!A10="","",Input!A10)</f>
        <v>Schroder Active Portfolio 9</v>
      </c>
      <c r="B9" s="6">
        <f>IFERROR(IF(A9="","",SUM('Asset Allocation'!I9)),0)</f>
        <v>0</v>
      </c>
      <c r="C9" s="6">
        <f>IFERROR(IF(A9="","",SUM('Asset Allocation'!L9)),0)</f>
        <v>0</v>
      </c>
      <c r="D9" s="6">
        <f>IFERROR(IF(A9="","",SUM('Asset Allocation'!R9,'Asset Allocation'!K9)),0)</f>
        <v>0</v>
      </c>
      <c r="E9" s="6">
        <f>IFERROR(IF(A9="","",SUM('Asset Allocation'!M9)),0)</f>
        <v>0</v>
      </c>
      <c r="F9" s="6">
        <f>IFERROR(IF(A9="","",SUM('Asset Allocation'!J9)),0)</f>
        <v>0</v>
      </c>
      <c r="G9" s="6">
        <f>IFERROR(IF(A9="","",SUM('Asset Allocation'!P9,'Asset Allocation'!Q9)),0)</f>
        <v>0</v>
      </c>
      <c r="H9" s="6">
        <f>IFERROR(IF(A9="","",SUM('Asset Allocation'!N9)),0)</f>
        <v>0</v>
      </c>
    </row>
    <row r="10" spans="1:8" x14ac:dyDescent="0.25">
      <c r="A10" t="str">
        <f>IF(Input!A11="","",Input!A11)</f>
        <v>Schroder Active Portfolio 10</v>
      </c>
      <c r="B10" s="6">
        <f>IFERROR(IF(A10="","",SUM('Asset Allocation'!I10)),0)</f>
        <v>0</v>
      </c>
      <c r="C10" s="6">
        <f>IFERROR(IF(A10="","",SUM('Asset Allocation'!L10)),0)</f>
        <v>0</v>
      </c>
      <c r="D10" s="6">
        <f>IFERROR(IF(A10="","",SUM('Asset Allocation'!R10,'Asset Allocation'!K10)),0)</f>
        <v>0</v>
      </c>
      <c r="E10" s="6">
        <f>IFERROR(IF(A10="","",SUM('Asset Allocation'!M10)),0)</f>
        <v>0</v>
      </c>
      <c r="F10" s="6">
        <f>IFERROR(IF(A10="","",SUM('Asset Allocation'!J10)),0)</f>
        <v>0</v>
      </c>
      <c r="G10" s="6">
        <f>IFERROR(IF(A10="","",SUM('Asset Allocation'!P10,'Asset Allocation'!Q10)),0)</f>
        <v>0</v>
      </c>
      <c r="H10" s="6">
        <f>IFERROR(IF(A10="","",SUM('Asset Allocation'!N10)),0)</f>
        <v>0</v>
      </c>
    </row>
    <row r="11" spans="1:8" x14ac:dyDescent="0.25">
      <c r="A11" t="str">
        <f>IF(Input!A12="","",Input!A12)</f>
        <v>Schroder Strategic Index Portfolio 2</v>
      </c>
      <c r="B11" s="6">
        <f>IFERROR(IF(A11="","",SUM('Asset Allocation'!I11)),0)</f>
        <v>0</v>
      </c>
      <c r="C11" s="6">
        <f>IFERROR(IF(A11="","",SUM('Asset Allocation'!L11)),0)</f>
        <v>0</v>
      </c>
      <c r="D11" s="6">
        <f>IFERROR(IF(A11="","",SUM('Asset Allocation'!R11,'Asset Allocation'!K11)),0)</f>
        <v>0</v>
      </c>
      <c r="E11" s="6">
        <f>IFERROR(IF(A11="","",SUM('Asset Allocation'!M11)),0)</f>
        <v>0</v>
      </c>
      <c r="F11" s="6">
        <f>IFERROR(IF(A11="","",SUM('Asset Allocation'!J11)),0)</f>
        <v>0</v>
      </c>
      <c r="G11" s="6">
        <f>IFERROR(IF(A11="","",SUM('Asset Allocation'!P11,'Asset Allocation'!Q11)),0)</f>
        <v>0</v>
      </c>
      <c r="H11" s="6">
        <f>IFERROR(IF(A11="","",SUM('Asset Allocation'!N11)),0)</f>
        <v>0</v>
      </c>
    </row>
    <row r="12" spans="1:8" x14ac:dyDescent="0.25">
      <c r="A12" t="str">
        <f>IF(Input!A13="","",Input!A13)</f>
        <v>Schroder Strategic Index Portfolio 3</v>
      </c>
      <c r="B12" s="6">
        <f>IFERROR(IF(A12="","",SUM('Asset Allocation'!I12)),0)</f>
        <v>0</v>
      </c>
      <c r="C12" s="6">
        <f>IFERROR(IF(A12="","",SUM('Asset Allocation'!L12)),0)</f>
        <v>0</v>
      </c>
      <c r="D12" s="6">
        <f>IFERROR(IF(A12="","",SUM('Asset Allocation'!R12,'Asset Allocation'!K12)),0)</f>
        <v>0</v>
      </c>
      <c r="E12" s="6">
        <f>IFERROR(IF(A12="","",SUM('Asset Allocation'!M12)),0)</f>
        <v>0</v>
      </c>
      <c r="F12" s="6">
        <f>IFERROR(IF(A12="","",SUM('Asset Allocation'!J12)),0)</f>
        <v>0</v>
      </c>
      <c r="G12" s="6">
        <f>IFERROR(IF(A12="","",SUM('Asset Allocation'!P12,'Asset Allocation'!Q12)),0)</f>
        <v>0</v>
      </c>
      <c r="H12" s="6">
        <f>IFERROR(IF(A12="","",SUM('Asset Allocation'!N12)),0)</f>
        <v>0</v>
      </c>
    </row>
    <row r="13" spans="1:8" x14ac:dyDescent="0.25">
      <c r="A13" t="str">
        <f>IF(Input!A14="","",Input!A14)</f>
        <v>Schroder Strategic Index Portfolio 4</v>
      </c>
      <c r="B13" s="6">
        <f>IFERROR(IF(A13="","",SUM('Asset Allocation'!I13)),0)</f>
        <v>0</v>
      </c>
      <c r="C13" s="6">
        <f>IFERROR(IF(A13="","",SUM('Asset Allocation'!L13)),0)</f>
        <v>0</v>
      </c>
      <c r="D13" s="6">
        <f>IFERROR(IF(A13="","",SUM('Asset Allocation'!R13,'Asset Allocation'!K13)),0)</f>
        <v>0</v>
      </c>
      <c r="E13" s="6">
        <f>IFERROR(IF(A13="","",SUM('Asset Allocation'!M13)),0)</f>
        <v>0</v>
      </c>
      <c r="F13" s="6">
        <f>IFERROR(IF(A13="","",SUM('Asset Allocation'!J13)),0)</f>
        <v>0</v>
      </c>
      <c r="G13" s="6">
        <f>IFERROR(IF(A13="","",SUM('Asset Allocation'!P13,'Asset Allocation'!Q13)),0)</f>
        <v>0</v>
      </c>
      <c r="H13" s="6">
        <f>IFERROR(IF(A13="","",SUM('Asset Allocation'!N13)),0)</f>
        <v>0</v>
      </c>
    </row>
    <row r="14" spans="1:8" x14ac:dyDescent="0.25">
      <c r="A14" t="str">
        <f>IF(Input!A15="","",Input!A15)</f>
        <v>Schroder Strategic Index Portfolio 5</v>
      </c>
      <c r="B14" s="6">
        <f>IFERROR(IF(A14="","",SUM('Asset Allocation'!I14)),0)</f>
        <v>0</v>
      </c>
      <c r="C14" s="6">
        <f>IFERROR(IF(A14="","",SUM('Asset Allocation'!L14)),0)</f>
        <v>0</v>
      </c>
      <c r="D14" s="6">
        <f>IFERROR(IF(A14="","",SUM('Asset Allocation'!R14,'Asset Allocation'!K14)),0)</f>
        <v>0</v>
      </c>
      <c r="E14" s="6">
        <f>IFERROR(IF(A14="","",SUM('Asset Allocation'!M14)),0)</f>
        <v>0</v>
      </c>
      <c r="F14" s="6">
        <f>IFERROR(IF(A14="","",SUM('Asset Allocation'!J14)),0)</f>
        <v>0</v>
      </c>
      <c r="G14" s="6">
        <f>IFERROR(IF(A14="","",SUM('Asset Allocation'!P14,'Asset Allocation'!Q14)),0)</f>
        <v>0</v>
      </c>
      <c r="H14" s="6">
        <f>IFERROR(IF(A14="","",SUM('Asset Allocation'!N14)),0)</f>
        <v>0</v>
      </c>
    </row>
    <row r="15" spans="1:8" x14ac:dyDescent="0.25">
      <c r="A15" t="str">
        <f>IF(Input!A16="","",Input!A16)</f>
        <v>Schroder Strategic Index Portfolio 6</v>
      </c>
      <c r="B15" s="6">
        <f>IFERROR(IF(A15="","",SUM('Asset Allocation'!I15)),0)</f>
        <v>0</v>
      </c>
      <c r="C15" s="6">
        <f>IFERROR(IF(A15="","",SUM('Asset Allocation'!L15)),0)</f>
        <v>0</v>
      </c>
      <c r="D15" s="6">
        <f>IFERROR(IF(A15="","",SUM('Asset Allocation'!R15,'Asset Allocation'!K15)),0)</f>
        <v>0</v>
      </c>
      <c r="E15" s="6">
        <f>IFERROR(IF(A15="","",SUM('Asset Allocation'!M15)),0)</f>
        <v>0</v>
      </c>
      <c r="F15" s="6">
        <f>IFERROR(IF(A15="","",SUM('Asset Allocation'!J15)),0)</f>
        <v>0</v>
      </c>
      <c r="G15" s="6">
        <f>IFERROR(IF(A15="","",SUM('Asset Allocation'!P15,'Asset Allocation'!Q15)),0)</f>
        <v>0</v>
      </c>
      <c r="H15" s="6">
        <f>IFERROR(IF(A15="","",SUM('Asset Allocation'!N15)),0)</f>
        <v>0</v>
      </c>
    </row>
    <row r="16" spans="1:8" x14ac:dyDescent="0.25">
      <c r="A16" t="str">
        <f>IF(Input!A17="","",Input!A17)</f>
        <v>Schroder Strategic Index Portfolio 7</v>
      </c>
      <c r="B16" s="6">
        <f>IFERROR(IF(A16="","",SUM('Asset Allocation'!I16)),0)</f>
        <v>0</v>
      </c>
      <c r="C16" s="6">
        <f>IFERROR(IF(A16="","",SUM('Asset Allocation'!L16)),0)</f>
        <v>0</v>
      </c>
      <c r="D16" s="6">
        <f>IFERROR(IF(A16="","",SUM('Asset Allocation'!R16,'Asset Allocation'!K16)),0)</f>
        <v>0</v>
      </c>
      <c r="E16" s="6">
        <f>IFERROR(IF(A16="","",SUM('Asset Allocation'!M16)),0)</f>
        <v>0</v>
      </c>
      <c r="F16" s="6">
        <f>IFERROR(IF(A16="","",SUM('Asset Allocation'!J16)),0)</f>
        <v>0</v>
      </c>
      <c r="G16" s="6">
        <f>IFERROR(IF(A16="","",SUM('Asset Allocation'!P16,'Asset Allocation'!Q16)),0)</f>
        <v>0</v>
      </c>
      <c r="H16" s="6">
        <f>IFERROR(IF(A16="","",SUM('Asset Allocation'!N16)),0)</f>
        <v>0</v>
      </c>
    </row>
    <row r="17" spans="1:8" x14ac:dyDescent="0.25">
      <c r="A17" t="str">
        <f>IF(Input!A18="","",Input!A18)</f>
        <v>Schroder Strategic Index Portfolio 8</v>
      </c>
      <c r="B17" s="6">
        <f>IFERROR(IF(A17="","",SUM('Asset Allocation'!I17)),0)</f>
        <v>0</v>
      </c>
      <c r="C17" s="6">
        <f>IFERROR(IF(A17="","",SUM('Asset Allocation'!L17)),0)</f>
        <v>0</v>
      </c>
      <c r="D17" s="6">
        <f>IFERROR(IF(A17="","",SUM('Asset Allocation'!R17,'Asset Allocation'!K17)),0)</f>
        <v>0</v>
      </c>
      <c r="E17" s="6">
        <f>IFERROR(IF(A17="","",SUM('Asset Allocation'!M17)),0)</f>
        <v>0</v>
      </c>
      <c r="F17" s="6">
        <f>IFERROR(IF(A17="","",SUM('Asset Allocation'!J17)),0)</f>
        <v>0</v>
      </c>
      <c r="G17" s="6">
        <f>IFERROR(IF(A17="","",SUM('Asset Allocation'!P17,'Asset Allocation'!Q17)),0)</f>
        <v>0</v>
      </c>
      <c r="H17" s="6">
        <f>IFERROR(IF(A17="","",SUM('Asset Allocation'!N17)),0)</f>
        <v>0</v>
      </c>
    </row>
    <row r="18" spans="1:8" x14ac:dyDescent="0.25">
      <c r="A18" t="str">
        <f>IF(Input!A19="","",Input!A19)</f>
        <v>Schroder Strategic Index Portfolio 9</v>
      </c>
      <c r="B18" s="6">
        <f>IFERROR(IF(A18="","",SUM('Asset Allocation'!I18)),0)</f>
        <v>0</v>
      </c>
      <c r="C18" s="6">
        <f>IFERROR(IF(A18="","",SUM('Asset Allocation'!L18)),0)</f>
        <v>0</v>
      </c>
      <c r="D18" s="6">
        <f>IFERROR(IF(A18="","",SUM('Asset Allocation'!R18,'Asset Allocation'!K18)),0)</f>
        <v>0</v>
      </c>
      <c r="E18" s="6">
        <f>IFERROR(IF(A18="","",SUM('Asset Allocation'!M18)),0)</f>
        <v>0</v>
      </c>
      <c r="F18" s="6">
        <f>IFERROR(IF(A18="","",SUM('Asset Allocation'!J18)),0)</f>
        <v>0</v>
      </c>
      <c r="G18" s="6">
        <f>IFERROR(IF(A18="","",SUM('Asset Allocation'!P18,'Asset Allocation'!Q18)),0)</f>
        <v>0</v>
      </c>
      <c r="H18" s="6">
        <f>IFERROR(IF(A18="","",SUM('Asset Allocation'!N18)),0)</f>
        <v>0</v>
      </c>
    </row>
    <row r="19" spans="1:8" x14ac:dyDescent="0.25">
      <c r="A19" t="str">
        <f>IF(Input!A20="","",Input!A20)</f>
        <v>Schroder Strategic Index Portfolio 10</v>
      </c>
      <c r="B19" s="6">
        <f>IFERROR(IF(A19="","",SUM('Asset Allocation'!I19)),0)</f>
        <v>0</v>
      </c>
      <c r="C19" s="6">
        <f>IFERROR(IF(A19="","",SUM('Asset Allocation'!L19)),0)</f>
        <v>0</v>
      </c>
      <c r="D19" s="6">
        <f>IFERROR(IF(A19="","",SUM('Asset Allocation'!R19,'Asset Allocation'!K19)),0)</f>
        <v>0</v>
      </c>
      <c r="E19" s="6">
        <f>IFERROR(IF(A19="","",SUM('Asset Allocation'!M19)),0)</f>
        <v>0</v>
      </c>
      <c r="F19" s="6">
        <f>IFERROR(IF(A19="","",SUM('Asset Allocation'!J19)),0)</f>
        <v>0</v>
      </c>
      <c r="G19" s="6">
        <f>IFERROR(IF(A19="","",SUM('Asset Allocation'!P19,'Asset Allocation'!Q19)),0)</f>
        <v>0</v>
      </c>
      <c r="H19" s="6">
        <f>IFERROR(IF(A19="","",SUM('Asset Allocation'!N19)),0)</f>
        <v>0</v>
      </c>
    </row>
    <row r="20" spans="1:8" x14ac:dyDescent="0.25">
      <c r="A20" t="str">
        <f>IF(Input!A21="","",Input!A21)</f>
        <v>Schroder Sustainable Portfolio 3</v>
      </c>
      <c r="B20" s="6">
        <f>IFERROR(IF(A20="","",SUM('Asset Allocation'!I20)),0)</f>
        <v>0</v>
      </c>
      <c r="C20" s="6">
        <f>IFERROR(IF(A20="","",SUM('Asset Allocation'!L20)),0)</f>
        <v>0</v>
      </c>
      <c r="D20" s="6">
        <f>IFERROR(IF(A20="","",SUM('Asset Allocation'!R20,'Asset Allocation'!K20)),0)</f>
        <v>0</v>
      </c>
      <c r="E20" s="6">
        <f>IFERROR(IF(A20="","",SUM('Asset Allocation'!M20)),0)</f>
        <v>0</v>
      </c>
      <c r="F20" s="6">
        <f>IFERROR(IF(A20="","",SUM('Asset Allocation'!J20)),0)</f>
        <v>0</v>
      </c>
      <c r="G20" s="6">
        <f>IFERROR(IF(A20="","",SUM('Asset Allocation'!P20,'Asset Allocation'!Q20)),0)</f>
        <v>0</v>
      </c>
      <c r="H20" s="6">
        <f>IFERROR(IF(A20="","",SUM('Asset Allocation'!N20)),0)</f>
        <v>0</v>
      </c>
    </row>
    <row r="21" spans="1:8" x14ac:dyDescent="0.25">
      <c r="A21" t="str">
        <f>IF(Input!A22="","",Input!A22)</f>
        <v>Schroder Sustainable Portfolio 4</v>
      </c>
      <c r="B21" s="6">
        <f>IFERROR(IF(A21="","",SUM('Asset Allocation'!I21)),0)</f>
        <v>0</v>
      </c>
      <c r="C21" s="6">
        <f>IFERROR(IF(A21="","",SUM('Asset Allocation'!L21)),0)</f>
        <v>0</v>
      </c>
      <c r="D21" s="6">
        <f>IFERROR(IF(A21="","",SUM('Asset Allocation'!R21,'Asset Allocation'!K21)),0)</f>
        <v>0</v>
      </c>
      <c r="E21" s="6">
        <f>IFERROR(IF(A21="","",SUM('Asset Allocation'!M21)),0)</f>
        <v>0</v>
      </c>
      <c r="F21" s="6">
        <f>IFERROR(IF(A21="","",SUM('Asset Allocation'!J21)),0)</f>
        <v>0</v>
      </c>
      <c r="G21" s="6">
        <f>IFERROR(IF(A21="","",SUM('Asset Allocation'!P21,'Asset Allocation'!Q21)),0)</f>
        <v>0</v>
      </c>
      <c r="H21" s="6">
        <f>IFERROR(IF(A21="","",SUM('Asset Allocation'!N21)),0)</f>
        <v>0</v>
      </c>
    </row>
    <row r="22" spans="1:8" x14ac:dyDescent="0.25">
      <c r="A22" t="str">
        <f>IF(Input!A23="","",Input!A23)</f>
        <v>Schroder Sustainable Portfolio 5</v>
      </c>
      <c r="B22" s="6">
        <f>IFERROR(IF(A22="","",SUM('Asset Allocation'!I22)),0)</f>
        <v>0</v>
      </c>
      <c r="C22" s="6">
        <f>IFERROR(IF(A22="","",SUM('Asset Allocation'!L22)),0)</f>
        <v>0</v>
      </c>
      <c r="D22" s="6">
        <f>IFERROR(IF(A22="","",SUM('Asset Allocation'!R22,'Asset Allocation'!K22)),0)</f>
        <v>0</v>
      </c>
      <c r="E22" s="6">
        <f>IFERROR(IF(A22="","",SUM('Asset Allocation'!M22)),0)</f>
        <v>0</v>
      </c>
      <c r="F22" s="6">
        <f>IFERROR(IF(A22="","",SUM('Asset Allocation'!J22)),0)</f>
        <v>0</v>
      </c>
      <c r="G22" s="6">
        <f>IFERROR(IF(A22="","",SUM('Asset Allocation'!P22,'Asset Allocation'!Q22)),0)</f>
        <v>0</v>
      </c>
      <c r="H22" s="6">
        <f>IFERROR(IF(A22="","",SUM('Asset Allocation'!N22)),0)</f>
        <v>0</v>
      </c>
    </row>
    <row r="23" spans="1:8" x14ac:dyDescent="0.25">
      <c r="A23" t="str">
        <f>IF(Input!A24="","",Input!A24)</f>
        <v>Schroder Sustainable Portfolio 6</v>
      </c>
      <c r="B23" s="6">
        <f>IFERROR(IF(A23="","",SUM('Asset Allocation'!I23)),0)</f>
        <v>0</v>
      </c>
      <c r="C23" s="6">
        <f>IFERROR(IF(A23="","",SUM('Asset Allocation'!L23)),0)</f>
        <v>0</v>
      </c>
      <c r="D23" s="6">
        <f>IFERROR(IF(A23="","",SUM('Asset Allocation'!R23,'Asset Allocation'!K23)),0)</f>
        <v>0</v>
      </c>
      <c r="E23" s="6">
        <f>IFERROR(IF(A23="","",SUM('Asset Allocation'!M23)),0)</f>
        <v>0</v>
      </c>
      <c r="F23" s="6">
        <f>IFERROR(IF(A23="","",SUM('Asset Allocation'!J23)),0)</f>
        <v>0</v>
      </c>
      <c r="G23" s="6">
        <f>IFERROR(IF(A23="","",SUM('Asset Allocation'!P23,'Asset Allocation'!Q23)),0)</f>
        <v>0</v>
      </c>
      <c r="H23" s="6">
        <f>IFERROR(IF(A23="","",SUM('Asset Allocation'!N23)),0)</f>
        <v>0</v>
      </c>
    </row>
    <row r="24" spans="1:8" x14ac:dyDescent="0.25">
      <c r="A24" t="str">
        <f>IF(Input!A25="","",Input!A25)</f>
        <v>Schroder Sustainable Portfolio 7</v>
      </c>
      <c r="B24" s="6">
        <f>IFERROR(IF(A24="","",SUM('Asset Allocation'!I24)),0)</f>
        <v>0</v>
      </c>
      <c r="C24" s="6">
        <f>IFERROR(IF(A24="","",SUM('Asset Allocation'!L24)),0)</f>
        <v>0</v>
      </c>
      <c r="D24" s="6">
        <f>IFERROR(IF(A24="","",SUM('Asset Allocation'!R24,'Asset Allocation'!K24)),0)</f>
        <v>0</v>
      </c>
      <c r="E24" s="6">
        <f>IFERROR(IF(A24="","",SUM('Asset Allocation'!M24)),0)</f>
        <v>0</v>
      </c>
      <c r="F24" s="6">
        <f>IFERROR(IF(A24="","",SUM('Asset Allocation'!J24)),0)</f>
        <v>0</v>
      </c>
      <c r="G24" s="6">
        <f>IFERROR(IF(A24="","",SUM('Asset Allocation'!P24,'Asset Allocation'!Q24)),0)</f>
        <v>0</v>
      </c>
      <c r="H24" s="6">
        <f>IFERROR(IF(A24="","",SUM('Asset Allocation'!N24)),0)</f>
        <v>0</v>
      </c>
    </row>
    <row r="25" spans="1:8" x14ac:dyDescent="0.25">
      <c r="A25" t="str">
        <f>IF(Input!A26="","",Input!A26)</f>
        <v>Schroder Sustainable Portfolio 8</v>
      </c>
      <c r="B25" s="6">
        <f>IFERROR(IF(A25="","",SUM('Asset Allocation'!I25)),0)</f>
        <v>0</v>
      </c>
      <c r="C25" s="6">
        <f>IFERROR(IF(A25="","",SUM('Asset Allocation'!L25)),0)</f>
        <v>0</v>
      </c>
      <c r="D25" s="6">
        <f>IFERROR(IF(A25="","",SUM('Asset Allocation'!R25,'Asset Allocation'!K25)),0)</f>
        <v>0</v>
      </c>
      <c r="E25" s="6">
        <f>IFERROR(IF(A25="","",SUM('Asset Allocation'!M25)),0)</f>
        <v>0</v>
      </c>
      <c r="F25" s="6">
        <f>IFERROR(IF(A25="","",SUM('Asset Allocation'!J25)),0)</f>
        <v>0</v>
      </c>
      <c r="G25" s="6">
        <f>IFERROR(IF(A25="","",SUM('Asset Allocation'!P25,'Asset Allocation'!Q25)),0)</f>
        <v>0</v>
      </c>
      <c r="H25" s="6">
        <f>IFERROR(IF(A25="","",SUM('Asset Allocation'!N25)),0)</f>
        <v>0</v>
      </c>
    </row>
    <row r="26" spans="1:8" x14ac:dyDescent="0.25">
      <c r="A26" t="str">
        <f>IF(Input!A27="","",Input!A27)</f>
        <v>Schroder Blended Portfolio 3</v>
      </c>
      <c r="B26" s="6">
        <f>IFERROR(IF(A26="","",SUM('Asset Allocation'!I26)),0)</f>
        <v>0</v>
      </c>
      <c r="C26" s="6">
        <f>IFERROR(IF(A26="","",SUM('Asset Allocation'!L26)),0)</f>
        <v>0</v>
      </c>
      <c r="D26" s="6">
        <f>IFERROR(IF(A26="","",SUM('Asset Allocation'!R26,'Asset Allocation'!K26)),0)</f>
        <v>0</v>
      </c>
      <c r="E26" s="6">
        <f>IFERROR(IF(A26="","",SUM('Asset Allocation'!M26)),0)</f>
        <v>0</v>
      </c>
      <c r="F26" s="6">
        <f>IFERROR(IF(A26="","",SUM('Asset Allocation'!J26)),0)</f>
        <v>0</v>
      </c>
      <c r="G26" s="6">
        <f>IFERROR(IF(A26="","",SUM('Asset Allocation'!P26,'Asset Allocation'!Q26)),0)</f>
        <v>0</v>
      </c>
      <c r="H26" s="6">
        <f>IFERROR(IF(A26="","",SUM('Asset Allocation'!N26)),0)</f>
        <v>0</v>
      </c>
    </row>
    <row r="27" spans="1:8" x14ac:dyDescent="0.25">
      <c r="A27" t="str">
        <f>IF(Input!A28="","",Input!A28)</f>
        <v>Schroder Blended Portfolio 4</v>
      </c>
      <c r="B27" s="6">
        <f>IFERROR(IF(A27="","",SUM('Asset Allocation'!I27)),0)</f>
        <v>0</v>
      </c>
      <c r="C27" s="6">
        <f>IFERROR(IF(A27="","",SUM('Asset Allocation'!L27)),0)</f>
        <v>0</v>
      </c>
      <c r="D27" s="6">
        <f>IFERROR(IF(A27="","",SUM('Asset Allocation'!R27,'Asset Allocation'!K27)),0)</f>
        <v>0</v>
      </c>
      <c r="E27" s="6">
        <f>IFERROR(IF(A27="","",SUM('Asset Allocation'!M27)),0)</f>
        <v>0</v>
      </c>
      <c r="F27" s="6">
        <f>IFERROR(IF(A27="","",SUM('Asset Allocation'!J27)),0)</f>
        <v>0</v>
      </c>
      <c r="G27" s="6">
        <f>IFERROR(IF(A27="","",SUM('Asset Allocation'!P27,'Asset Allocation'!Q27)),0)</f>
        <v>0</v>
      </c>
      <c r="H27" s="6">
        <f>IFERROR(IF(A27="","",SUM('Asset Allocation'!N27)),0)</f>
        <v>0</v>
      </c>
    </row>
    <row r="28" spans="1:8" x14ac:dyDescent="0.25">
      <c r="A28" t="str">
        <f>IF(Input!A29="","",Input!A29)</f>
        <v>Schroder Blended Portfolio 5</v>
      </c>
      <c r="B28" s="6">
        <f>IFERROR(IF(A28="","",SUM('Asset Allocation'!I28)),0)</f>
        <v>0</v>
      </c>
      <c r="C28" s="6">
        <f>IFERROR(IF(A28="","",SUM('Asset Allocation'!L28)),0)</f>
        <v>0</v>
      </c>
      <c r="D28" s="6">
        <f>IFERROR(IF(A28="","",SUM('Asset Allocation'!R28,'Asset Allocation'!K28)),0)</f>
        <v>0</v>
      </c>
      <c r="E28" s="6">
        <f>IFERROR(IF(A28="","",SUM('Asset Allocation'!M28)),0)</f>
        <v>0</v>
      </c>
      <c r="F28" s="6">
        <f>IFERROR(IF(A28="","",SUM('Asset Allocation'!J28)),0)</f>
        <v>0</v>
      </c>
      <c r="G28" s="6">
        <f>IFERROR(IF(A28="","",SUM('Asset Allocation'!P28,'Asset Allocation'!Q28)),0)</f>
        <v>0</v>
      </c>
      <c r="H28" s="6">
        <f>IFERROR(IF(A28="","",SUM('Asset Allocation'!N28)),0)</f>
        <v>0</v>
      </c>
    </row>
    <row r="29" spans="1:8" x14ac:dyDescent="0.25">
      <c r="A29" t="str">
        <f>IF(Input!A30="","",Input!A30)</f>
        <v>Schroder Blended Portfolio 6</v>
      </c>
      <c r="B29" s="6">
        <f>IFERROR(IF(A29="","",SUM('Asset Allocation'!I29)),0)</f>
        <v>0</v>
      </c>
      <c r="C29" s="6">
        <f>IFERROR(IF(A29="","",SUM('Asset Allocation'!L29)),0)</f>
        <v>0</v>
      </c>
      <c r="D29" s="6">
        <f>IFERROR(IF(A29="","",SUM('Asset Allocation'!R29,'Asset Allocation'!K29)),0)</f>
        <v>0</v>
      </c>
      <c r="E29" s="6">
        <f>IFERROR(IF(A29="","",SUM('Asset Allocation'!M29)),0)</f>
        <v>0</v>
      </c>
      <c r="F29" s="6">
        <f>IFERROR(IF(A29="","",SUM('Asset Allocation'!J29)),0)</f>
        <v>0</v>
      </c>
      <c r="G29" s="6">
        <f>IFERROR(IF(A29="","",SUM('Asset Allocation'!P29,'Asset Allocation'!Q29)),0)</f>
        <v>0</v>
      </c>
      <c r="H29" s="6">
        <f>IFERROR(IF(A29="","",SUM('Asset Allocation'!N29)),0)</f>
        <v>0</v>
      </c>
    </row>
    <row r="30" spans="1:8" x14ac:dyDescent="0.25">
      <c r="A30" t="str">
        <f>IF(Input!A31="","",Input!A31)</f>
        <v>Schroder Blended Portfolio 7</v>
      </c>
      <c r="B30" s="6">
        <f>IFERROR(IF(A30="","",SUM('Asset Allocation'!I30)),0)</f>
        <v>0</v>
      </c>
      <c r="C30" s="6">
        <f>IFERROR(IF(A30="","",SUM('Asset Allocation'!L30)),0)</f>
        <v>0</v>
      </c>
      <c r="D30" s="6">
        <f>IFERROR(IF(A30="","",SUM('Asset Allocation'!R30,'Asset Allocation'!K30)),0)</f>
        <v>0</v>
      </c>
      <c r="E30" s="6">
        <f>IFERROR(IF(A30="","",SUM('Asset Allocation'!M30)),0)</f>
        <v>0</v>
      </c>
      <c r="F30" s="6">
        <f>IFERROR(IF(A30="","",SUM('Asset Allocation'!J30)),0)</f>
        <v>0</v>
      </c>
      <c r="G30" s="6">
        <f>IFERROR(IF(A30="","",SUM('Asset Allocation'!P30,'Asset Allocation'!Q30)),0)</f>
        <v>0</v>
      </c>
      <c r="H30" s="6">
        <f>IFERROR(IF(A30="","",SUM('Asset Allocation'!N30)),0)</f>
        <v>0</v>
      </c>
    </row>
    <row r="31" spans="1:8" x14ac:dyDescent="0.25">
      <c r="A31" t="str">
        <f>IF(Input!A32="","",Input!A32)</f>
        <v>Schroder Blended Portfolio 8</v>
      </c>
      <c r="B31" s="6">
        <f>IFERROR(IF(A31="","",SUM('Asset Allocation'!I31)),0)</f>
        <v>0</v>
      </c>
      <c r="C31" s="6">
        <f>IFERROR(IF(A31="","",SUM('Asset Allocation'!L31)),0)</f>
        <v>0</v>
      </c>
      <c r="D31" s="6">
        <f>IFERROR(IF(A31="","",SUM('Asset Allocation'!R31,'Asset Allocation'!K31)),0)</f>
        <v>0</v>
      </c>
      <c r="E31" s="6">
        <f>IFERROR(IF(A31="","",SUM('Asset Allocation'!M31)),0)</f>
        <v>0</v>
      </c>
      <c r="F31" s="6">
        <f>IFERROR(IF(A31="","",SUM('Asset Allocation'!J31)),0)</f>
        <v>0</v>
      </c>
      <c r="G31" s="6">
        <f>IFERROR(IF(A31="","",SUM('Asset Allocation'!P31,'Asset Allocation'!Q31)),0)</f>
        <v>0</v>
      </c>
      <c r="H31" s="6">
        <f>IFERROR(IF(A31="","",SUM('Asset Allocation'!N31)),0)</f>
        <v>0</v>
      </c>
    </row>
    <row r="32" spans="1:8" x14ac:dyDescent="0.25">
      <c r="A32" t="str">
        <f>IF(Input!A33="","",Input!A33)</f>
        <v>Schroder Income Portfolio</v>
      </c>
      <c r="B32" s="6">
        <f>IFERROR(IF(A32="","",SUM('Asset Allocation'!I32)),0)</f>
        <v>0</v>
      </c>
      <c r="C32" s="6">
        <f>IFERROR(IF(A32="","",SUM('Asset Allocation'!L32)),0)</f>
        <v>0</v>
      </c>
      <c r="D32" s="6">
        <f>IFERROR(IF(A32="","",SUM('Asset Allocation'!R32,'Asset Allocation'!K32)),0)</f>
        <v>0</v>
      </c>
      <c r="E32" s="6">
        <f>IFERROR(IF(A32="","",SUM('Asset Allocation'!M32)),0)</f>
        <v>0</v>
      </c>
      <c r="F32" s="6">
        <f>IFERROR(IF(A32="","",SUM('Asset Allocation'!J32)),0)</f>
        <v>0</v>
      </c>
      <c r="G32" s="6">
        <f>IFERROR(IF(A32="","",SUM('Asset Allocation'!P32,'Asset Allocation'!Q32)),0)</f>
        <v>0</v>
      </c>
      <c r="H32" s="6">
        <f>IFERROR(IF(A32="","",SUM('Asset Allocation'!N32)),0)</f>
        <v>0</v>
      </c>
    </row>
    <row r="33" spans="1:8" x14ac:dyDescent="0.25">
      <c r="A33" t="str">
        <f>IF(Input!A34="","",Input!A34)</f>
        <v>Schroder Managed Defensive Fund</v>
      </c>
      <c r="B33" s="6">
        <f>IFERROR(IF(A33="","",SUM('Asset Allocation'!I33)),0)</f>
        <v>0</v>
      </c>
      <c r="C33" s="6">
        <f>IFERROR(IF(A33="","",SUM('Asset Allocation'!L33)),0)</f>
        <v>0</v>
      </c>
      <c r="D33" s="6">
        <f>IFERROR(IF(A33="","",SUM('Asset Allocation'!R33,'Asset Allocation'!K33)),0)</f>
        <v>0</v>
      </c>
      <c r="E33" s="6">
        <f>IFERROR(IF(A33="","",SUM('Asset Allocation'!M33)),0)</f>
        <v>0</v>
      </c>
      <c r="F33" s="6">
        <f>IFERROR(IF(A33="","",SUM('Asset Allocation'!J33)),0)</f>
        <v>0</v>
      </c>
      <c r="G33" s="6">
        <f>IFERROR(IF(A33="","",SUM('Asset Allocation'!P33,'Asset Allocation'!Q33)),0)</f>
        <v>0</v>
      </c>
      <c r="H33" s="6">
        <f>IFERROR(IF(A33="","",SUM('Asset Allocation'!N33)),0)</f>
        <v>0</v>
      </c>
    </row>
    <row r="34" spans="1:8" x14ac:dyDescent="0.25">
      <c r="A34" t="str">
        <f>IF(Input!A35="","",Input!A35)</f>
        <v>Schroder Global Multi-Asset Cautious Portfolio</v>
      </c>
      <c r="B34" s="6">
        <f>IFERROR(IF(A34="","",SUM('Asset Allocation'!I34)),0)</f>
        <v>0</v>
      </c>
      <c r="C34" s="6">
        <f>IFERROR(IF(A34="","",SUM('Asset Allocation'!L34)),0)</f>
        <v>0</v>
      </c>
      <c r="D34" s="6">
        <f>IFERROR(IF(A34="","",SUM('Asset Allocation'!R34,'Asset Allocation'!K34)),0)</f>
        <v>0</v>
      </c>
      <c r="E34" s="6">
        <f>IFERROR(IF(A34="","",SUM('Asset Allocation'!M34)),0)</f>
        <v>0</v>
      </c>
      <c r="F34" s="6">
        <f>IFERROR(IF(A34="","",SUM('Asset Allocation'!J34)),0)</f>
        <v>0</v>
      </c>
      <c r="G34" s="6">
        <f>IFERROR(IF(A34="","",SUM('Asset Allocation'!P34,'Asset Allocation'!Q34)),0)</f>
        <v>0</v>
      </c>
      <c r="H34" s="6">
        <f>IFERROR(IF(A34="","",SUM('Asset Allocation'!N34)),0)</f>
        <v>0</v>
      </c>
    </row>
    <row r="35" spans="1:8" x14ac:dyDescent="0.25">
      <c r="A35" t="str">
        <f>IF(Input!A36="","",Input!A36)</f>
        <v>Schroder Global Multi-Asset Moderately Cautious Portfolio</v>
      </c>
      <c r="B35" s="6">
        <f>IFERROR(IF(A35="","",SUM('Asset Allocation'!I35)),0)</f>
        <v>0</v>
      </c>
      <c r="C35" s="6">
        <f>IFERROR(IF(A35="","",SUM('Asset Allocation'!L35)),0)</f>
        <v>0</v>
      </c>
      <c r="D35" s="6">
        <f>IFERROR(IF(A35="","",SUM('Asset Allocation'!R35,'Asset Allocation'!K35)),0)</f>
        <v>0</v>
      </c>
      <c r="E35" s="6">
        <f>IFERROR(IF(A35="","",SUM('Asset Allocation'!M35)),0)</f>
        <v>0</v>
      </c>
      <c r="F35" s="6">
        <f>IFERROR(IF(A35="","",SUM('Asset Allocation'!J35)),0)</f>
        <v>0</v>
      </c>
      <c r="G35" s="6">
        <f>IFERROR(IF(A35="","",SUM('Asset Allocation'!P35,'Asset Allocation'!Q35)),0)</f>
        <v>0</v>
      </c>
      <c r="H35" s="6">
        <f>IFERROR(IF(A35="","",SUM('Asset Allocation'!N35)),0)</f>
        <v>0</v>
      </c>
    </row>
    <row r="36" spans="1:8" x14ac:dyDescent="0.25">
      <c r="A36" t="str">
        <f>IF(Input!A37="","",Input!A37)</f>
        <v>Schroder Schroder Global Multi-Asset Balanced Portfolio</v>
      </c>
      <c r="B36" s="6">
        <f>IFERROR(IF(A36="","",SUM('Asset Allocation'!I36)),0)</f>
        <v>0</v>
      </c>
      <c r="C36" s="6">
        <f>IFERROR(IF(A36="","",SUM('Asset Allocation'!L36)),0)</f>
        <v>0</v>
      </c>
      <c r="D36" s="6">
        <f>IFERROR(IF(A36="","",SUM('Asset Allocation'!R36,'Asset Allocation'!K36)),0)</f>
        <v>0</v>
      </c>
      <c r="E36" s="6">
        <f>IFERROR(IF(A36="","",SUM('Asset Allocation'!M36)),0)</f>
        <v>0</v>
      </c>
      <c r="F36" s="6">
        <f>IFERROR(IF(A36="","",SUM('Asset Allocation'!J36)),0)</f>
        <v>0</v>
      </c>
      <c r="G36" s="6">
        <f>IFERROR(IF(A36="","",SUM('Asset Allocation'!P36,'Asset Allocation'!Q36)),0)</f>
        <v>0</v>
      </c>
      <c r="H36" s="6">
        <f>IFERROR(IF(A36="","",SUM('Asset Allocation'!N36)),0)</f>
        <v>0</v>
      </c>
    </row>
    <row r="37" spans="1:8" x14ac:dyDescent="0.25">
      <c r="A37" t="str">
        <f>IF(Input!A38="","",Input!A38)</f>
        <v>Schroder Global Multi-Asset Growth Portfolio</v>
      </c>
      <c r="B37" s="6">
        <f>IFERROR(IF(A37="","",SUM('Asset Allocation'!I37)),0)</f>
        <v>0</v>
      </c>
      <c r="C37" s="6">
        <f>IFERROR(IF(A37="","",SUM('Asset Allocation'!L37)),0)</f>
        <v>0</v>
      </c>
      <c r="D37" s="6">
        <f>IFERROR(IF(A37="","",SUM('Asset Allocation'!R37,'Asset Allocation'!K37)),0)</f>
        <v>0</v>
      </c>
      <c r="E37" s="6">
        <f>IFERROR(IF(A37="","",SUM('Asset Allocation'!M37)),0)</f>
        <v>0</v>
      </c>
      <c r="F37" s="6">
        <f>IFERROR(IF(A37="","",SUM('Asset Allocation'!J37)),0)</f>
        <v>0</v>
      </c>
      <c r="G37" s="6">
        <f>IFERROR(IF(A37="","",SUM('Asset Allocation'!P37,'Asset Allocation'!Q37)),0)</f>
        <v>0</v>
      </c>
      <c r="H37" s="6">
        <f>IFERROR(IF(A37="","",SUM('Asset Allocation'!N37)),0)</f>
        <v>0</v>
      </c>
    </row>
    <row r="38" spans="1:8" x14ac:dyDescent="0.25">
      <c r="A38" t="str">
        <f>IF(Input!A39="","",Input!A39)</f>
        <v>Schroder Global Multi-Asset Adventurous Portfolio</v>
      </c>
      <c r="B38" s="6">
        <f>IFERROR(IF(A38="","",SUM('Asset Allocation'!I38)),0)</f>
        <v>0</v>
      </c>
      <c r="C38" s="6">
        <f>IFERROR(IF(A38="","",SUM('Asset Allocation'!L38)),0)</f>
        <v>0</v>
      </c>
      <c r="D38" s="6">
        <f>IFERROR(IF(A38="","",SUM('Asset Allocation'!R38,'Asset Allocation'!K38)),0)</f>
        <v>0</v>
      </c>
      <c r="E38" s="6">
        <f>IFERROR(IF(A38="","",SUM('Asset Allocation'!M38)),0)</f>
        <v>0</v>
      </c>
      <c r="F38" s="6">
        <f>IFERROR(IF(A38="","",SUM('Asset Allocation'!J38)),0)</f>
        <v>0</v>
      </c>
      <c r="G38" s="6">
        <f>IFERROR(IF(A38="","",SUM('Asset Allocation'!P38,'Asset Allocation'!Q38)),0)</f>
        <v>0</v>
      </c>
      <c r="H38" s="6">
        <f>IFERROR(IF(A38="","",SUM('Asset Allocation'!N38)),0)</f>
        <v>0</v>
      </c>
    </row>
    <row r="39" spans="1:8" x14ac:dyDescent="0.25">
      <c r="A39" t="str">
        <f>IF(Input!A40="","",Input!A40)</f>
        <v/>
      </c>
      <c r="B39" s="6" t="str">
        <f>IFERROR(IF(A39="","",SUM('Asset Allocation'!I39)),0)</f>
        <v/>
      </c>
      <c r="C39" s="6" t="str">
        <f>IFERROR(IF(A39="","",SUM('Asset Allocation'!L39)),0)</f>
        <v/>
      </c>
      <c r="D39" s="6" t="str">
        <f>IFERROR(IF(A39="","",SUM('Asset Allocation'!R39,'Asset Allocation'!K39)),0)</f>
        <v/>
      </c>
      <c r="E39" s="6" t="str">
        <f>IFERROR(IF(A39="","",SUM('Asset Allocation'!M39)),0)</f>
        <v/>
      </c>
      <c r="F39" s="6" t="str">
        <f>IFERROR(IF(A39="","",SUM('Asset Allocation'!J39)),0)</f>
        <v/>
      </c>
      <c r="G39" s="6" t="str">
        <f>IFERROR(IF(A39="","",SUM('Asset Allocation'!P39,'Asset Allocation'!Q39)),0)</f>
        <v/>
      </c>
      <c r="H39" s="6" t="str">
        <f>IFERROR(IF(A39="","",SUM('Asset Allocation'!N39)),0)</f>
        <v/>
      </c>
    </row>
    <row r="40" spans="1:8" x14ac:dyDescent="0.25">
      <c r="A40" t="str">
        <f>IF(Input!A41="","",Input!A41)</f>
        <v/>
      </c>
      <c r="B40" s="6" t="str">
        <f>IFERROR(IF(A40="","",SUM('Asset Allocation'!I40)),0)</f>
        <v/>
      </c>
      <c r="C40" s="6" t="str">
        <f>IFERROR(IF(A40="","",SUM('Asset Allocation'!L40)),0)</f>
        <v/>
      </c>
      <c r="D40" s="6" t="str">
        <f>IFERROR(IF(A40="","",SUM('Asset Allocation'!R40,'Asset Allocation'!K40)),0)</f>
        <v/>
      </c>
      <c r="E40" s="6" t="str">
        <f>IFERROR(IF(A40="","",SUM('Asset Allocation'!M40)),0)</f>
        <v/>
      </c>
      <c r="F40" s="6" t="str">
        <f>IFERROR(IF(A40="","",SUM('Asset Allocation'!J40)),0)</f>
        <v/>
      </c>
      <c r="G40" s="6" t="str">
        <f>IFERROR(IF(A40="","",SUM('Asset Allocation'!P40,'Asset Allocation'!Q40)),0)</f>
        <v/>
      </c>
      <c r="H40" s="6" t="str">
        <f>IFERROR(IF(A40="","",SUM('Asset Allocation'!N40)),0)</f>
        <v/>
      </c>
    </row>
    <row r="41" spans="1:8" x14ac:dyDescent="0.25">
      <c r="A41" t="str">
        <f>IF(Input!A42="","",Input!A42)</f>
        <v/>
      </c>
      <c r="B41" s="6" t="str">
        <f>IFERROR(IF(A41="","",SUM('Asset Allocation'!I41)),0)</f>
        <v/>
      </c>
      <c r="C41" s="6" t="str">
        <f>IFERROR(IF(A41="","",SUM('Asset Allocation'!L41)),0)</f>
        <v/>
      </c>
      <c r="D41" s="6" t="str">
        <f>IFERROR(IF(A41="","",SUM('Asset Allocation'!R41,'Asset Allocation'!K41)),0)</f>
        <v/>
      </c>
      <c r="E41" s="6" t="str">
        <f>IFERROR(IF(A41="","",SUM('Asset Allocation'!M41)),0)</f>
        <v/>
      </c>
      <c r="F41" s="6" t="str">
        <f>IFERROR(IF(A41="","",SUM('Asset Allocation'!J41)),0)</f>
        <v/>
      </c>
      <c r="G41" s="6" t="str">
        <f>IFERROR(IF(A41="","",SUM('Asset Allocation'!P41,'Asset Allocation'!Q41)),0)</f>
        <v/>
      </c>
      <c r="H41" s="6" t="str">
        <f>IFERROR(IF(A41="","",SUM('Asset Allocation'!N41)),0)</f>
        <v/>
      </c>
    </row>
    <row r="42" spans="1:8" x14ac:dyDescent="0.25">
      <c r="A42" t="str">
        <f>IF(Input!A43="","",Input!A43)</f>
        <v/>
      </c>
      <c r="B42" s="6" t="str">
        <f>IFERROR(IF(A42="","",SUM('Asset Allocation'!I42)),0)</f>
        <v/>
      </c>
      <c r="C42" s="6" t="str">
        <f>IFERROR(IF(A42="","",SUM('Asset Allocation'!L42)),0)</f>
        <v/>
      </c>
      <c r="D42" s="6" t="str">
        <f>IFERROR(IF(A42="","",SUM('Asset Allocation'!R42,'Asset Allocation'!K42)),0)</f>
        <v/>
      </c>
      <c r="E42" s="6" t="str">
        <f>IFERROR(IF(A42="","",SUM('Asset Allocation'!M42)),0)</f>
        <v/>
      </c>
      <c r="F42" s="6" t="str">
        <f>IFERROR(IF(A42="","",SUM('Asset Allocation'!J42)),0)</f>
        <v/>
      </c>
      <c r="G42" s="6" t="str">
        <f>IFERROR(IF(A42="","",SUM('Asset Allocation'!P42,'Asset Allocation'!Q42)),0)</f>
        <v/>
      </c>
      <c r="H42" s="6" t="str">
        <f>IFERROR(IF(A42="","",SUM('Asset Allocation'!N42)),0)</f>
        <v/>
      </c>
    </row>
    <row r="43" spans="1:8" x14ac:dyDescent="0.25">
      <c r="A43" t="str">
        <f>IF(Input!A44="","",Input!A44)</f>
        <v/>
      </c>
      <c r="B43" s="6" t="str">
        <f>IFERROR(IF(A43="","",SUM('Asset Allocation'!I43)),0)</f>
        <v/>
      </c>
      <c r="C43" s="6" t="str">
        <f>IFERROR(IF(A43="","",SUM('Asset Allocation'!L43)),0)</f>
        <v/>
      </c>
      <c r="D43" s="6" t="str">
        <f>IFERROR(IF(A43="","",SUM('Asset Allocation'!R43,'Asset Allocation'!K43)),0)</f>
        <v/>
      </c>
      <c r="E43" s="6" t="str">
        <f>IFERROR(IF(A43="","",SUM('Asset Allocation'!M43)),0)</f>
        <v/>
      </c>
      <c r="F43" s="6" t="str">
        <f>IFERROR(IF(A43="","",SUM('Asset Allocation'!J43)),0)</f>
        <v/>
      </c>
      <c r="G43" s="6" t="str">
        <f>IFERROR(IF(A43="","",SUM('Asset Allocation'!P43,'Asset Allocation'!Q43)),0)</f>
        <v/>
      </c>
      <c r="H43" s="6" t="str">
        <f>IFERROR(IF(A43="","",SUM('Asset Allocation'!N43)),0)</f>
        <v/>
      </c>
    </row>
    <row r="44" spans="1:8" x14ac:dyDescent="0.25">
      <c r="A44" t="str">
        <f>IF(Input!A45="","",Input!A45)</f>
        <v/>
      </c>
      <c r="B44" s="6" t="str">
        <f>IFERROR(IF(A44="","",SUM('Asset Allocation'!I44)),0)</f>
        <v/>
      </c>
      <c r="C44" s="6" t="str">
        <f>IFERROR(IF(A44="","",SUM('Asset Allocation'!L44)),0)</f>
        <v/>
      </c>
      <c r="D44" s="6" t="str">
        <f>IFERROR(IF(A44="","",SUM('Asset Allocation'!R44,'Asset Allocation'!K44)),0)</f>
        <v/>
      </c>
      <c r="E44" s="6" t="str">
        <f>IFERROR(IF(A44="","",SUM('Asset Allocation'!M44)),0)</f>
        <v/>
      </c>
      <c r="F44" s="6" t="str">
        <f>IFERROR(IF(A44="","",SUM('Asset Allocation'!J44)),0)</f>
        <v/>
      </c>
      <c r="G44" s="6" t="str">
        <f>IFERROR(IF(A44="","",SUM('Asset Allocation'!P44,'Asset Allocation'!Q44)),0)</f>
        <v/>
      </c>
      <c r="H44" s="6" t="str">
        <f>IFERROR(IF(A44="","",SUM('Asset Allocation'!N44)),0)</f>
        <v/>
      </c>
    </row>
    <row r="45" spans="1:8" x14ac:dyDescent="0.25">
      <c r="A45" t="str">
        <f>IF(Input!A46="","",Input!A46)</f>
        <v/>
      </c>
      <c r="B45" s="6" t="str">
        <f>IFERROR(IF(A45="","",SUM('Asset Allocation'!I45)),0)</f>
        <v/>
      </c>
      <c r="C45" s="6" t="str">
        <f>IFERROR(IF(A45="","",SUM('Asset Allocation'!L45)),0)</f>
        <v/>
      </c>
      <c r="D45" s="6" t="str">
        <f>IFERROR(IF(A45="","",SUM('Asset Allocation'!R45,'Asset Allocation'!K45)),0)</f>
        <v/>
      </c>
      <c r="E45" s="6" t="str">
        <f>IFERROR(IF(A45="","",SUM('Asset Allocation'!M45)),0)</f>
        <v/>
      </c>
      <c r="F45" s="6" t="str">
        <f>IFERROR(IF(A45="","",SUM('Asset Allocation'!J45)),0)</f>
        <v/>
      </c>
      <c r="G45" s="6" t="str">
        <f>IFERROR(IF(A45="","",SUM('Asset Allocation'!P45,'Asset Allocation'!Q45)),0)</f>
        <v/>
      </c>
      <c r="H45" s="6" t="str">
        <f>IFERROR(IF(A45="","",SUM('Asset Allocation'!N45)),0)</f>
        <v/>
      </c>
    </row>
    <row r="46" spans="1:8" x14ac:dyDescent="0.25">
      <c r="A46" t="str">
        <f>IF(Input!A47="","",Input!A47)</f>
        <v/>
      </c>
      <c r="B46" s="6" t="str">
        <f>IFERROR(IF(A46="","",SUM('Asset Allocation'!I46)),0)</f>
        <v/>
      </c>
      <c r="C46" s="6" t="str">
        <f>IFERROR(IF(A46="","",SUM('Asset Allocation'!L46)),0)</f>
        <v/>
      </c>
      <c r="D46" s="6" t="str">
        <f>IFERROR(IF(A46="","",SUM('Asset Allocation'!R46,'Asset Allocation'!K46)),0)</f>
        <v/>
      </c>
      <c r="E46" s="6" t="str">
        <f>IFERROR(IF(A46="","",SUM('Asset Allocation'!M46)),0)</f>
        <v/>
      </c>
      <c r="F46" s="6" t="str">
        <f>IFERROR(IF(A46="","",SUM('Asset Allocation'!J46)),0)</f>
        <v/>
      </c>
      <c r="G46" s="6" t="str">
        <f>IFERROR(IF(A46="","",SUM('Asset Allocation'!P46,'Asset Allocation'!Q46)),0)</f>
        <v/>
      </c>
      <c r="H46" s="6" t="str">
        <f>IFERROR(IF(A46="","",SUM('Asset Allocation'!N46)),0)</f>
        <v/>
      </c>
    </row>
    <row r="47" spans="1:8" x14ac:dyDescent="0.25">
      <c r="A47" t="str">
        <f>IF(Input!A48="","",Input!A48)</f>
        <v/>
      </c>
      <c r="B47" s="6" t="str">
        <f>IFERROR(IF(A47="","",SUM('Asset Allocation'!I47)),0)</f>
        <v/>
      </c>
      <c r="C47" s="6" t="str">
        <f>IFERROR(IF(A47="","",SUM('Asset Allocation'!L47)),0)</f>
        <v/>
      </c>
      <c r="D47" s="6" t="str">
        <f>IFERROR(IF(A47="","",SUM('Asset Allocation'!R47,'Asset Allocation'!K47)),0)</f>
        <v/>
      </c>
      <c r="E47" s="6" t="str">
        <f>IFERROR(IF(A47="","",SUM('Asset Allocation'!M47)),0)</f>
        <v/>
      </c>
      <c r="F47" s="6" t="str">
        <f>IFERROR(IF(A47="","",SUM('Asset Allocation'!J47)),0)</f>
        <v/>
      </c>
      <c r="G47" s="6" t="str">
        <f>IFERROR(IF(A47="","",SUM('Asset Allocation'!P47,'Asset Allocation'!Q47)),0)</f>
        <v/>
      </c>
      <c r="H47" s="6" t="str">
        <f>IFERROR(IF(A47="","",SUM('Asset Allocation'!N47)),0)</f>
        <v/>
      </c>
    </row>
    <row r="48" spans="1:8" x14ac:dyDescent="0.25">
      <c r="A48" t="str">
        <f>IF(Input!A49="","",Input!A49)</f>
        <v/>
      </c>
      <c r="B48" s="6" t="str">
        <f>IFERROR(IF(A48="","",SUM('Asset Allocation'!I48)),0)</f>
        <v/>
      </c>
      <c r="C48" s="6" t="str">
        <f>IFERROR(IF(A48="","",SUM('Asset Allocation'!L48)),0)</f>
        <v/>
      </c>
      <c r="D48" s="6" t="str">
        <f>IFERROR(IF(A48="","",SUM('Asset Allocation'!R48,'Asset Allocation'!K48)),0)</f>
        <v/>
      </c>
      <c r="E48" s="6" t="str">
        <f>IFERROR(IF(A48="","",SUM('Asset Allocation'!M48)),0)</f>
        <v/>
      </c>
      <c r="F48" s="6" t="str">
        <f>IFERROR(IF(A48="","",SUM('Asset Allocation'!J48)),0)</f>
        <v/>
      </c>
      <c r="G48" s="6" t="str">
        <f>IFERROR(IF(A48="","",SUM('Asset Allocation'!P48,'Asset Allocation'!Q48)),0)</f>
        <v/>
      </c>
      <c r="H48" s="6" t="str">
        <f>IFERROR(IF(A48="","",SUM('Asset Allocation'!N48)),0)</f>
        <v/>
      </c>
    </row>
    <row r="49" spans="1:8" x14ac:dyDescent="0.25">
      <c r="A49" t="str">
        <f>IF(Input!A50="","",Input!A50)</f>
        <v/>
      </c>
      <c r="B49" s="6" t="str">
        <f>IFERROR(IF(A49="","",SUM('Asset Allocation'!I49)),0)</f>
        <v/>
      </c>
      <c r="C49" s="6" t="str">
        <f>IFERROR(IF(A49="","",SUM('Asset Allocation'!L49)),0)</f>
        <v/>
      </c>
      <c r="D49" s="6" t="str">
        <f>IFERROR(IF(A49="","",SUM('Asset Allocation'!R49,'Asset Allocation'!K49)),0)</f>
        <v/>
      </c>
      <c r="E49" s="6" t="str">
        <f>IFERROR(IF(A49="","",SUM('Asset Allocation'!M49)),0)</f>
        <v/>
      </c>
      <c r="F49" s="6" t="str">
        <f>IFERROR(IF(A49="","",SUM('Asset Allocation'!J49)),0)</f>
        <v/>
      </c>
      <c r="G49" s="6" t="str">
        <f>IFERROR(IF(A49="","",SUM('Asset Allocation'!P49,'Asset Allocation'!Q49)),0)</f>
        <v/>
      </c>
      <c r="H49" s="6" t="str">
        <f>IFERROR(IF(A49="","",SUM('Asset Allocation'!N49)),0)</f>
        <v/>
      </c>
    </row>
    <row r="50" spans="1:8" x14ac:dyDescent="0.25">
      <c r="A50" t="str">
        <f>IF(Input!A51="","",Input!A51)</f>
        <v/>
      </c>
      <c r="B50" s="6" t="str">
        <f>IFERROR(IF(A50="","",SUM('Asset Allocation'!I50)),0)</f>
        <v/>
      </c>
      <c r="C50" s="6" t="str">
        <f>IFERROR(IF(A50="","",SUM('Asset Allocation'!L50)),0)</f>
        <v/>
      </c>
      <c r="D50" s="6" t="str">
        <f>IFERROR(IF(A50="","",SUM('Asset Allocation'!R50,'Asset Allocation'!K50)),0)</f>
        <v/>
      </c>
      <c r="E50" s="6" t="str">
        <f>IFERROR(IF(A50="","",SUM('Asset Allocation'!M50)),0)</f>
        <v/>
      </c>
      <c r="F50" s="6" t="str">
        <f>IFERROR(IF(A50="","",SUM('Asset Allocation'!J50)),0)</f>
        <v/>
      </c>
      <c r="G50" s="6" t="str">
        <f>IFERROR(IF(A50="","",SUM('Asset Allocation'!P50,'Asset Allocation'!Q50)),0)</f>
        <v/>
      </c>
      <c r="H50" s="6" t="str">
        <f>IFERROR(IF(A50="","",SUM('Asset Allocation'!N50)),0)</f>
        <v/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4" tint="0.79998168889431442"/>
  </sheetPr>
  <dimension ref="A1:H50"/>
  <sheetViews>
    <sheetView workbookViewId="0">
      <selection activeCell="J1" sqref="J1:J1048576"/>
    </sheetView>
  </sheetViews>
  <sheetFormatPr defaultRowHeight="15" x14ac:dyDescent="0.25"/>
  <sheetData>
    <row r="1" spans="1:8" x14ac:dyDescent="0.25">
      <c r="B1" t="s">
        <v>11</v>
      </c>
      <c r="C1" t="s">
        <v>16</v>
      </c>
      <c r="D1" t="s">
        <v>13</v>
      </c>
      <c r="E1" t="s">
        <v>12</v>
      </c>
      <c r="F1" t="s">
        <v>14</v>
      </c>
      <c r="G1" t="s">
        <v>15</v>
      </c>
      <c r="H1" t="s">
        <v>19</v>
      </c>
    </row>
    <row r="2" spans="1:8" x14ac:dyDescent="0.25">
      <c r="A2" t="str">
        <f>IF(Input!A3="","",Input!A3)</f>
        <v>Schroder Active Portfolio 2</v>
      </c>
      <c r="H2">
        <f>IFERROR(IF(A2="","",SUM('Asset Allocation'!#REF!)/'Broad Asset Allocation'!C2),0)</f>
        <v>0</v>
      </c>
    </row>
    <row r="3" spans="1:8" x14ac:dyDescent="0.25">
      <c r="A3" t="str">
        <f>IF(Input!A4="","",Input!A4)</f>
        <v>Schroder Active Portfolio 3</v>
      </c>
      <c r="H3">
        <f>IFERROR(IF(A3="","",SUM('Asset Allocation'!#REF!)/'Broad Asset Allocation'!C3),0)</f>
        <v>0</v>
      </c>
    </row>
    <row r="4" spans="1:8" x14ac:dyDescent="0.25">
      <c r="A4" t="str">
        <f>IF(Input!A5="","",Input!A5)</f>
        <v>Schroder Active Portfolio 4</v>
      </c>
      <c r="H4">
        <f>IFERROR(IF(A4="","",SUM('Asset Allocation'!#REF!)/'Broad Asset Allocation'!C4),0)</f>
        <v>0</v>
      </c>
    </row>
    <row r="5" spans="1:8" x14ac:dyDescent="0.25">
      <c r="A5" t="str">
        <f>IF(Input!A6="","",Input!A6)</f>
        <v>Schroder Active Portfolio 5</v>
      </c>
      <c r="H5">
        <f>IFERROR(IF(A5="","",SUM('Asset Allocation'!#REF!)/'Broad Asset Allocation'!C5),0)</f>
        <v>0</v>
      </c>
    </row>
    <row r="6" spans="1:8" x14ac:dyDescent="0.25">
      <c r="A6" t="str">
        <f>IF(Input!A7="","",Input!A7)</f>
        <v>Schroder Active Portfolio 6</v>
      </c>
      <c r="H6">
        <f>IFERROR(IF(A6="","",SUM('Asset Allocation'!#REF!)/'Broad Asset Allocation'!C6),0)</f>
        <v>0</v>
      </c>
    </row>
    <row r="7" spans="1:8" x14ac:dyDescent="0.25">
      <c r="A7" t="str">
        <f>IF(Input!A8="","",Input!A8)</f>
        <v>Schroder Active Portfolio 7</v>
      </c>
      <c r="H7">
        <f>IFERROR(IF(A7="","",SUM('Asset Allocation'!#REF!)/'Broad Asset Allocation'!C7),0)</f>
        <v>0</v>
      </c>
    </row>
    <row r="8" spans="1:8" x14ac:dyDescent="0.25">
      <c r="A8" t="str">
        <f>IF(Input!A9="","",Input!A9)</f>
        <v>Schroder Active Portfolio 8</v>
      </c>
      <c r="H8">
        <f>IFERROR(IF(A8="","",SUM('Asset Allocation'!#REF!)/'Broad Asset Allocation'!C8),0)</f>
        <v>0</v>
      </c>
    </row>
    <row r="9" spans="1:8" x14ac:dyDescent="0.25">
      <c r="A9" t="str">
        <f>IF(Input!A10="","",Input!A10)</f>
        <v>Schroder Active Portfolio 9</v>
      </c>
      <c r="H9">
        <f>IFERROR(IF(A9="","",SUM('Asset Allocation'!#REF!)/'Broad Asset Allocation'!C9),0)</f>
        <v>0</v>
      </c>
    </row>
    <row r="10" spans="1:8" x14ac:dyDescent="0.25">
      <c r="A10" t="str">
        <f>IF(Input!A11="","",Input!A11)</f>
        <v>Schroder Active Portfolio 10</v>
      </c>
      <c r="H10">
        <f>IFERROR(IF(A10="","",SUM('Asset Allocation'!#REF!)/'Broad Asset Allocation'!C10),0)</f>
        <v>0</v>
      </c>
    </row>
    <row r="11" spans="1:8" x14ac:dyDescent="0.25">
      <c r="A11" t="str">
        <f>IF(Input!A12="","",Input!A12)</f>
        <v>Schroder Strategic Index Portfolio 2</v>
      </c>
      <c r="H11">
        <f>IFERROR(IF(A11="","",SUM('Asset Allocation'!#REF!)/'Broad Asset Allocation'!C11),0)</f>
        <v>0</v>
      </c>
    </row>
    <row r="12" spans="1:8" x14ac:dyDescent="0.25">
      <c r="A12" t="str">
        <f>IF(Input!A13="","",Input!A13)</f>
        <v>Schroder Strategic Index Portfolio 3</v>
      </c>
      <c r="H12">
        <f>IFERROR(IF(A12="","",SUM('Asset Allocation'!#REF!)/'Broad Asset Allocation'!C12),0)</f>
        <v>0</v>
      </c>
    </row>
    <row r="13" spans="1:8" x14ac:dyDescent="0.25">
      <c r="A13" t="str">
        <f>IF(Input!A14="","",Input!A14)</f>
        <v>Schroder Strategic Index Portfolio 4</v>
      </c>
      <c r="H13">
        <f>IFERROR(IF(A13="","",SUM('Asset Allocation'!#REF!)/'Broad Asset Allocation'!C13),0)</f>
        <v>0</v>
      </c>
    </row>
    <row r="14" spans="1:8" x14ac:dyDescent="0.25">
      <c r="A14" t="str">
        <f>IF(Input!A15="","",Input!A15)</f>
        <v>Schroder Strategic Index Portfolio 5</v>
      </c>
      <c r="H14">
        <f>IFERROR(IF(A14="","",SUM('Asset Allocation'!#REF!)/'Broad Asset Allocation'!C14),0)</f>
        <v>0</v>
      </c>
    </row>
    <row r="15" spans="1:8" x14ac:dyDescent="0.25">
      <c r="A15" t="str">
        <f>IF(Input!A16="","",Input!A16)</f>
        <v>Schroder Strategic Index Portfolio 6</v>
      </c>
      <c r="H15">
        <f>IFERROR(IF(A15="","",SUM('Asset Allocation'!#REF!)/'Broad Asset Allocation'!C15),0)</f>
        <v>0</v>
      </c>
    </row>
    <row r="16" spans="1:8" x14ac:dyDescent="0.25">
      <c r="A16" t="str">
        <f>IF(Input!A17="","",Input!A17)</f>
        <v>Schroder Strategic Index Portfolio 7</v>
      </c>
      <c r="H16">
        <f>IFERROR(IF(A16="","",SUM('Asset Allocation'!#REF!)/'Broad Asset Allocation'!C16),0)</f>
        <v>0</v>
      </c>
    </row>
    <row r="17" spans="1:8" x14ac:dyDescent="0.25">
      <c r="A17" t="str">
        <f>IF(Input!A18="","",Input!A18)</f>
        <v>Schroder Strategic Index Portfolio 8</v>
      </c>
      <c r="H17">
        <f>IFERROR(IF(A17="","",SUM('Asset Allocation'!#REF!)/'Broad Asset Allocation'!C17),0)</f>
        <v>0</v>
      </c>
    </row>
    <row r="18" spans="1:8" x14ac:dyDescent="0.25">
      <c r="A18" t="str">
        <f>IF(Input!A19="","",Input!A19)</f>
        <v>Schroder Strategic Index Portfolio 9</v>
      </c>
      <c r="H18">
        <f>IFERROR(IF(A18="","",SUM('Asset Allocation'!#REF!)/'Broad Asset Allocation'!C18),0)</f>
        <v>0</v>
      </c>
    </row>
    <row r="19" spans="1:8" x14ac:dyDescent="0.25">
      <c r="A19" t="str">
        <f>IF(Input!A20="","",Input!A20)</f>
        <v>Schroder Strategic Index Portfolio 10</v>
      </c>
      <c r="H19">
        <f>IFERROR(IF(A19="","",SUM('Asset Allocation'!#REF!)/'Broad Asset Allocation'!C19),0)</f>
        <v>0</v>
      </c>
    </row>
    <row r="20" spans="1:8" x14ac:dyDescent="0.25">
      <c r="A20" t="str">
        <f>IF(Input!A21="","",Input!A21)</f>
        <v>Schroder Sustainable Portfolio 3</v>
      </c>
      <c r="H20">
        <f>IFERROR(IF(A20="","",SUM('Asset Allocation'!#REF!)/'Broad Asset Allocation'!C20),0)</f>
        <v>0</v>
      </c>
    </row>
    <row r="21" spans="1:8" x14ac:dyDescent="0.25">
      <c r="A21" t="str">
        <f>IF(Input!A22="","",Input!A22)</f>
        <v>Schroder Sustainable Portfolio 4</v>
      </c>
      <c r="H21">
        <f>IFERROR(IF(A21="","",SUM('Asset Allocation'!#REF!)/'Broad Asset Allocation'!C21),0)</f>
        <v>0</v>
      </c>
    </row>
    <row r="22" spans="1:8" x14ac:dyDescent="0.25">
      <c r="A22" t="str">
        <f>IF(Input!A23="","",Input!A23)</f>
        <v>Schroder Sustainable Portfolio 5</v>
      </c>
      <c r="H22">
        <f>IFERROR(IF(A22="","",SUM('Asset Allocation'!#REF!)/'Broad Asset Allocation'!C22),0)</f>
        <v>0</v>
      </c>
    </row>
    <row r="23" spans="1:8" x14ac:dyDescent="0.25">
      <c r="A23" t="str">
        <f>IF(Input!A24="","",Input!A24)</f>
        <v>Schroder Sustainable Portfolio 6</v>
      </c>
      <c r="H23">
        <f>IFERROR(IF(A23="","",SUM('Asset Allocation'!#REF!)/'Broad Asset Allocation'!C23),0)</f>
        <v>0</v>
      </c>
    </row>
    <row r="24" spans="1:8" x14ac:dyDescent="0.25">
      <c r="A24" t="str">
        <f>IF(Input!A25="","",Input!A25)</f>
        <v>Schroder Sustainable Portfolio 7</v>
      </c>
      <c r="H24">
        <f>IFERROR(IF(A24="","",SUM('Asset Allocation'!#REF!)/'Broad Asset Allocation'!C24),0)</f>
        <v>0</v>
      </c>
    </row>
    <row r="25" spans="1:8" x14ac:dyDescent="0.25">
      <c r="A25" t="str">
        <f>IF(Input!A26="","",Input!A26)</f>
        <v>Schroder Sustainable Portfolio 8</v>
      </c>
      <c r="H25">
        <f>IFERROR(IF(A25="","",SUM('Asset Allocation'!#REF!)/'Broad Asset Allocation'!C25),0)</f>
        <v>0</v>
      </c>
    </row>
    <row r="26" spans="1:8" x14ac:dyDescent="0.25">
      <c r="A26" t="str">
        <f>IF(Input!A27="","",Input!A27)</f>
        <v>Schroder Blended Portfolio 3</v>
      </c>
      <c r="H26">
        <f>IFERROR(IF(A26="","",SUM('Asset Allocation'!#REF!)/'Broad Asset Allocation'!C26),0)</f>
        <v>0</v>
      </c>
    </row>
    <row r="27" spans="1:8" x14ac:dyDescent="0.25">
      <c r="A27" t="str">
        <f>IF(Input!A28="","",Input!A28)</f>
        <v>Schroder Blended Portfolio 4</v>
      </c>
      <c r="H27">
        <f>IFERROR(IF(A27="","",SUM('Asset Allocation'!#REF!)/'Broad Asset Allocation'!C27),0)</f>
        <v>0</v>
      </c>
    </row>
    <row r="28" spans="1:8" x14ac:dyDescent="0.25">
      <c r="A28" t="str">
        <f>IF(Input!A29="","",Input!A29)</f>
        <v>Schroder Blended Portfolio 5</v>
      </c>
      <c r="H28">
        <f>IFERROR(IF(A28="","",SUM('Asset Allocation'!#REF!)/'Broad Asset Allocation'!C28),0)</f>
        <v>0</v>
      </c>
    </row>
    <row r="29" spans="1:8" x14ac:dyDescent="0.25">
      <c r="A29" t="str">
        <f>IF(Input!A30="","",Input!A30)</f>
        <v>Schroder Blended Portfolio 6</v>
      </c>
      <c r="H29">
        <f>IFERROR(IF(A29="","",SUM('Asset Allocation'!#REF!)/'Broad Asset Allocation'!C29),0)</f>
        <v>0</v>
      </c>
    </row>
    <row r="30" spans="1:8" x14ac:dyDescent="0.25">
      <c r="A30" t="str">
        <f>IF(Input!A31="","",Input!A31)</f>
        <v>Schroder Blended Portfolio 7</v>
      </c>
      <c r="H30">
        <f>IFERROR(IF(A30="","",SUM('Asset Allocation'!#REF!)/'Broad Asset Allocation'!C30),0)</f>
        <v>0</v>
      </c>
    </row>
    <row r="31" spans="1:8" x14ac:dyDescent="0.25">
      <c r="A31" t="str">
        <f>IF(Input!A32="","",Input!A32)</f>
        <v>Schroder Blended Portfolio 8</v>
      </c>
      <c r="H31">
        <f>IFERROR(IF(A31="","",SUM('Asset Allocation'!#REF!)/'Broad Asset Allocation'!C31),0)</f>
        <v>0</v>
      </c>
    </row>
    <row r="32" spans="1:8" x14ac:dyDescent="0.25">
      <c r="A32" t="str">
        <f>IF(Input!A33="","",Input!A33)</f>
        <v>Schroder Income Portfolio</v>
      </c>
      <c r="H32">
        <f>IFERROR(IF(A32="","",SUM('Asset Allocation'!#REF!)/'Broad Asset Allocation'!C32),0)</f>
        <v>0</v>
      </c>
    </row>
    <row r="33" spans="1:8" x14ac:dyDescent="0.25">
      <c r="A33" t="str">
        <f>IF(Input!A34="","",Input!A34)</f>
        <v>Schroder Managed Defensive Fund</v>
      </c>
      <c r="H33">
        <f>IFERROR(IF(A33="","",SUM('Asset Allocation'!#REF!)/'Broad Asset Allocation'!C33),0)</f>
        <v>0</v>
      </c>
    </row>
    <row r="34" spans="1:8" x14ac:dyDescent="0.25">
      <c r="A34" t="str">
        <f>IF(Input!A35="","",Input!A35)</f>
        <v>Schroder Global Multi-Asset Cautious Portfolio</v>
      </c>
      <c r="H34">
        <f>IFERROR(IF(A34="","",SUM('Asset Allocation'!#REF!)/'Broad Asset Allocation'!C34),0)</f>
        <v>0</v>
      </c>
    </row>
    <row r="35" spans="1:8" x14ac:dyDescent="0.25">
      <c r="A35" t="str">
        <f>IF(Input!A36="","",Input!A36)</f>
        <v>Schroder Global Multi-Asset Moderately Cautious Portfolio</v>
      </c>
      <c r="H35">
        <f>IFERROR(IF(A35="","",SUM('Asset Allocation'!#REF!)/'Broad Asset Allocation'!C35),0)</f>
        <v>0</v>
      </c>
    </row>
    <row r="36" spans="1:8" x14ac:dyDescent="0.25">
      <c r="A36" t="str">
        <f>IF(Input!A37="","",Input!A37)</f>
        <v>Schroder Schroder Global Multi-Asset Balanced Portfolio</v>
      </c>
      <c r="H36">
        <f>IFERROR(IF(A36="","",SUM('Asset Allocation'!#REF!)/'Broad Asset Allocation'!C36),0)</f>
        <v>0</v>
      </c>
    </row>
    <row r="37" spans="1:8" x14ac:dyDescent="0.25">
      <c r="A37" t="str">
        <f>IF(Input!A38="","",Input!A38)</f>
        <v>Schroder Global Multi-Asset Growth Portfolio</v>
      </c>
      <c r="H37">
        <f>IFERROR(IF(A37="","",SUM('Asset Allocation'!#REF!)/'Broad Asset Allocation'!C37),0)</f>
        <v>0</v>
      </c>
    </row>
    <row r="38" spans="1:8" x14ac:dyDescent="0.25">
      <c r="A38" t="str">
        <f>IF(Input!A39="","",Input!A39)</f>
        <v>Schroder Global Multi-Asset Adventurous Portfolio</v>
      </c>
      <c r="H38">
        <f>IFERROR(IF(A38="","",SUM('Asset Allocation'!#REF!)/'Broad Asset Allocation'!C38),0)</f>
        <v>0</v>
      </c>
    </row>
    <row r="39" spans="1:8" x14ac:dyDescent="0.25">
      <c r="A39" t="str">
        <f>IF(Input!A40="","",Input!A40)</f>
        <v/>
      </c>
      <c r="H39" t="str">
        <f>IFERROR(IF(A39="","",SUM('Asset Allocation'!#REF!)/'Broad Asset Allocation'!C39),0)</f>
        <v/>
      </c>
    </row>
    <row r="40" spans="1:8" x14ac:dyDescent="0.25">
      <c r="A40" t="str">
        <f>IF(Input!A41="","",Input!A41)</f>
        <v/>
      </c>
      <c r="H40" t="str">
        <f>IFERROR(IF(A40="","",SUM('Asset Allocation'!#REF!)/'Broad Asset Allocation'!C40),0)</f>
        <v/>
      </c>
    </row>
    <row r="41" spans="1:8" x14ac:dyDescent="0.25">
      <c r="A41" t="str">
        <f>IF(Input!A42="","",Input!A42)</f>
        <v/>
      </c>
      <c r="H41" t="str">
        <f>IFERROR(IF(A41="","",SUM('Asset Allocation'!#REF!)/'Broad Asset Allocation'!C41),0)</f>
        <v/>
      </c>
    </row>
    <row r="42" spans="1:8" x14ac:dyDescent="0.25">
      <c r="A42" t="str">
        <f>IF(Input!A43="","",Input!A43)</f>
        <v/>
      </c>
      <c r="H42" t="str">
        <f>IFERROR(IF(A42="","",SUM('Asset Allocation'!#REF!)/'Broad Asset Allocation'!C42),0)</f>
        <v/>
      </c>
    </row>
    <row r="43" spans="1:8" x14ac:dyDescent="0.25">
      <c r="A43" t="str">
        <f>IF(Input!A44="","",Input!A44)</f>
        <v/>
      </c>
      <c r="H43" t="str">
        <f>IFERROR(IF(A43="","",SUM('Asset Allocation'!#REF!)/'Broad Asset Allocation'!C43),0)</f>
        <v/>
      </c>
    </row>
    <row r="44" spans="1:8" x14ac:dyDescent="0.25">
      <c r="A44" t="str">
        <f>IF(Input!A45="","",Input!A45)</f>
        <v/>
      </c>
      <c r="H44" t="str">
        <f>IFERROR(IF(A44="","",SUM('Asset Allocation'!#REF!)/'Broad Asset Allocation'!C44),0)</f>
        <v/>
      </c>
    </row>
    <row r="45" spans="1:8" x14ac:dyDescent="0.25">
      <c r="A45" t="str">
        <f>IF(Input!A46="","",Input!A46)</f>
        <v/>
      </c>
      <c r="H45" t="str">
        <f>IFERROR(IF(A45="","",SUM('Asset Allocation'!#REF!)/'Broad Asset Allocation'!C45),0)</f>
        <v/>
      </c>
    </row>
    <row r="46" spans="1:8" x14ac:dyDescent="0.25">
      <c r="A46" t="str">
        <f>IF(Input!A47="","",Input!A47)</f>
        <v/>
      </c>
      <c r="H46" t="str">
        <f>IFERROR(IF(A46="","",SUM('Asset Allocation'!#REF!)/'Broad Asset Allocation'!C46),0)</f>
        <v/>
      </c>
    </row>
    <row r="47" spans="1:8" x14ac:dyDescent="0.25">
      <c r="A47" t="str">
        <f>IF(Input!A48="","",Input!A48)</f>
        <v/>
      </c>
      <c r="H47" t="str">
        <f>IFERROR(IF(A47="","",SUM('Asset Allocation'!#REF!)/'Broad Asset Allocation'!C47),0)</f>
        <v/>
      </c>
    </row>
    <row r="48" spans="1:8" x14ac:dyDescent="0.25">
      <c r="A48" t="str">
        <f>IF(Input!A49="","",Input!A49)</f>
        <v/>
      </c>
      <c r="H48" t="str">
        <f>IFERROR(IF(A48="","",SUM('Asset Allocation'!#REF!)/'Broad Asset Allocation'!C48),0)</f>
        <v/>
      </c>
    </row>
    <row r="49" spans="1:8" x14ac:dyDescent="0.25">
      <c r="A49" t="str">
        <f>IF(Input!A50="","",Input!A50)</f>
        <v/>
      </c>
      <c r="H49" t="str">
        <f>IFERROR(IF(A49="","",SUM('Asset Allocation'!#REF!)/'Broad Asset Allocation'!C49),0)</f>
        <v/>
      </c>
    </row>
    <row r="50" spans="1:8" x14ac:dyDescent="0.25">
      <c r="A50" t="str">
        <f>IF(Input!A51="","",Input!A51)</f>
        <v/>
      </c>
      <c r="H50" t="str">
        <f>IFERROR(IF(A50="","",SUM('Asset Allocation'!#REF!)/'Broad Asset Allocation'!C50),0)</f>
        <v/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34</vt:i4>
      </vt:variant>
    </vt:vector>
  </HeadingPairs>
  <TitlesOfParts>
    <vt:vector size="34" baseType="lpstr">
      <vt:lpstr>Notes</vt:lpstr>
      <vt:lpstr>Input</vt:lpstr>
      <vt:lpstr>Additional Information</vt:lpstr>
      <vt:lpstr>Asset Allocation</vt:lpstr>
      <vt:lpstr>PDF Scraping</vt:lpstr>
      <vt:lpstr>Dates</vt:lpstr>
      <vt:lpstr>Performance and Fees</vt:lpstr>
      <vt:lpstr>Broad Asset Allocation</vt:lpstr>
      <vt:lpstr>Equity Regional Allocation</vt:lpstr>
      <vt:lpstr>Bond Allocation</vt:lpstr>
      <vt:lpstr>1 Month Performance</vt:lpstr>
      <vt:lpstr>1 Year Performance</vt:lpstr>
      <vt:lpstr>Total Fee</vt:lpstr>
      <vt:lpstr>Equity</vt:lpstr>
      <vt:lpstr>Bonds</vt:lpstr>
      <vt:lpstr>Direct Property</vt:lpstr>
      <vt:lpstr>Direct Commodities</vt:lpstr>
      <vt:lpstr>Absolute Return</vt:lpstr>
      <vt:lpstr>Cash</vt:lpstr>
      <vt:lpstr>No Data</vt:lpstr>
      <vt:lpstr>United States</vt:lpstr>
      <vt:lpstr>United Kingdom</vt:lpstr>
      <vt:lpstr>Europe ex UK</vt:lpstr>
      <vt:lpstr>Japan</vt:lpstr>
      <vt:lpstr>Pacific ex Japan</vt:lpstr>
      <vt:lpstr>Emerging Markets</vt:lpstr>
      <vt:lpstr>Global Equity</vt:lpstr>
      <vt:lpstr>Government Bonds</vt:lpstr>
      <vt:lpstr>Inflation Linked</vt:lpstr>
      <vt:lpstr>Investment Grade</vt:lpstr>
      <vt:lpstr> High Yield</vt:lpstr>
      <vt:lpstr>Emerging Market Debt USD</vt:lpstr>
      <vt:lpstr>Emerging Market Debt Local</vt:lpstr>
      <vt:lpstr>Strategic Bond Fund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26</dc:creator>
  <cp:lastModifiedBy>380678602042</cp:lastModifiedBy>
  <dcterms:created xsi:type="dcterms:W3CDTF">2023-07-09T20:52:37Z</dcterms:created>
  <dcterms:modified xsi:type="dcterms:W3CDTF">2023-09-18T07:18:04Z</dcterms:modified>
</cp:coreProperties>
</file>