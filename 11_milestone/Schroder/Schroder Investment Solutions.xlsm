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2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<sst xmlns="http://schemas.openxmlformats.org/spreadsheetml/2006/main" count="237" uniqueCount="194">
  <si>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</si>
  <si>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</si>
  <si>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</si>
  <si>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</si>
  <si>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</si>
  <si>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</si>
  <si>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</si>
  <si>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</si>
  <si>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</si>
  <si>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</si>
  <si>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</si>
  <si>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</si>
  <si>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</si>
  <si>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</si>
  <si>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</si>
  <si>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</si>
  <si>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</si>
  <si>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</si>
  <si>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</si>
  <si>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</si>
  <si>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</si>
  <si>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</si>
  <si>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</si>
  <si>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</si>
  <si>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</si>
  <si>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</si>
  <si>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</si>
  <si>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</si>
  <si>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</si>
  <si>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</si>
  <si>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</si>
  <si>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</si>
  <si>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</si>
  <si>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</si>
  <si>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</si>
  <si>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</si>
  <si>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</si>
  <si>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</si>
  <si>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</si>
  <si>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</si>
  <si>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</si>
  <si>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</si>
  <si>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</si>
  <si>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</si>
  <si>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</si>
  <si>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</si>
  <si>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</si>
  <si>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</si>
  <si>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</si>
  <si>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</si>
  <si>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</si>
  <si>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</si>
  <si>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</si>
  <si>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</si>
  <si>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</si>
  <si>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</si>
  <si>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</si>
  <si>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</si>
  <si>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</si>
  <si>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</si>
  <si>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</si>
  <si>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</si>
  <si>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</si>
  <si>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</si>
  <si>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</si>
  <si>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</si>
  <si>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</si>
  <si>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</si>
  <si>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</si>
  <si>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</si>
  <si>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</si>
  <si>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</si>
  <si>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</si>
  <si>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</si>
  <si>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</si>
  <si>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</si>
  <si>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</si>
  <si>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</si>
  <si>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</si>
  <si>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</si>
  <si>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</si>
  <si>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</si>
  <si>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</si>
  <si>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</si>
  <si>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</si>
  <si>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</si>
  <si>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</si>
  <si>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</si>
  <si>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</si>
  <si>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</si>
  <si>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</si>
  <si>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</si>
  <si>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</si>
  <si>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</si>
  <si>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</si>
  <si>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</si>
  <si>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</si>
  <si>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</si>
  <si>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</si>
  <si>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</si>
  <si>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</si>
  <si>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</si>
  <si>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</si>
  <si>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</si>
  <si>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</si>
  <si>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</si>
  <si>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</si>
  <si>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</si>
  <si>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</si>
  <si>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</si>
  <si>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</si>
  <si>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</si>
  <si>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</si>
  <si>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</si>
  <si>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</si>
  <si>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</si>
  <si>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</si>
  <si>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</si>
  <si>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</si>
  <si>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</si>
  <si>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</si>
  <si>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</si>
  <si>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</si>
  <si>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</si>
  <si>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</si>
  <si>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</si>
  <si>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</si>
  <si>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</si>
  <si>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</si>
  <si>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</si>
  <si>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</si>
  <si>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</si>
  <si>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</si>
  <si>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</si>
  <si>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</si>
  <si>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</si>
  <si>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</si>
  <si>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</si>
  <si>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</si>
  <si>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</si>
  <si>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</si>
  <si>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</si>
  <si>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</si>
  <si>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</si>
  <si>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</si>
  <si>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</si>
  <si>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</si>
  <si>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</si>
  <si>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</si>
  <si>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</si>
  <si>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</si>
  <si>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</si>
  <si>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</si>
  <si>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</si>
  <si>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</si>
  <si>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</si>
  <si>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</si>
  <si>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</si>
  <si>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</si>
  <si>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</si>
  <si>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</si>
  <si>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</si>
  <si>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</si>
  <si>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</si>
  <si>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</si>
  <si>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</si>
  <si>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</si>
  <si>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</si>
  <si>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</si>
  <si>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</si>
  <si>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</si>
  <si>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</si>
  <si>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</si>
  <si>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</si>
  <si>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</si>
  <si>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</si>
  <si>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https://api.schroders.com/document-store/id/43a8c565-1eea-456b-817b-84782a271d3a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</si>
  <si>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</si>
  <si>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</si>
  <si>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</si>
  <si>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</si>
  <si>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</si>
  <si>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</si>
  <si>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</si>
  <si>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</si>
  <si>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</si>
  <si>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</si>
  <si>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https://api.schroders.com/document-store/id/166acb72-9ded-46b7-8110-1c8f8b625cfc</t>
  </si>
  <si>
    <t>https://api.schroders.com/document-store/id/a10c2154-e5f3-4ccf-aba1-e2822b02d893/</t>
  </si>
  <si>
    <t>https://api.schroders.com/document-store/id/F5AF7CA7-1F6C-4D89-A4AD-37BA7741843C/</t>
  </si>
  <si>
    <t>https://api.schroders.com/document-store/id/cdf6c64a-02b5-4b87-b02d-cba2387a3889</t>
  </si>
  <si>
    <t>https://api.schroders.com/document-store/id/ad258552-2159-481d-a69f-c97f3f6f8015</t>
  </si>
  <si>
    <t>https://api.schroders.com/document-store/id/c4d7f349-e581-4bee-af6f-9938c81be72b</t>
  </si>
  <si>
    <t>https://api.schroders.com/document-store/id/3ab45624-6a05-4559-8eaa-0f3c877a91e7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</si>
</sst>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23" sqref="G2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A39" sqref="A3:A39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34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35</v>
      </c>
      <c r="B5" t="str">
        <f>'PDF Scraping'!D4</f>
        <v>https://api.schroders.com/document-store/id/29f336b5-c5e8-4019-91f6-8d42047a0e29</v>
      </c>
    </row>
    <row r="6" spans="1:10" x14ac:dyDescent="0.25">
      <c r="A6" t="s">
        <v>36</v>
      </c>
      <c r="B6" t="str">
        <f>'PDF Scraping'!D5</f>
        <v>https://api.schroders.com/document-store/id/a831b089-14de-49f0-bc92-0160809a2b5f</v>
      </c>
    </row>
    <row r="7" spans="1:10" x14ac:dyDescent="0.25">
      <c r="A7" t="s">
        <v>37</v>
      </c>
      <c r="B7" t="str">
        <f>'PDF Scraping'!D6</f>
        <v>https://api.schroders.com/document-store/id/a5fea81f-c377-4586-b67d-c83915c0873e</v>
      </c>
    </row>
    <row r="8" spans="1:10" x14ac:dyDescent="0.25">
      <c r="A8" t="s">
        <v>38</v>
      </c>
      <c r="B8" t="str">
        <f>'PDF Scraping'!D7</f>
        <v>https://api.schroders.com/document-store/id/e0f19e3e-8b62-4ee7-97cb-8999c1c21480</v>
      </c>
    </row>
    <row r="9" spans="1:10" x14ac:dyDescent="0.25">
      <c r="A9" t="s">
        <v>39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40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41</v>
      </c>
      <c r="B11">
        <f>'PDF Scraping'!D10</f>
        <v>0</v>
      </c>
    </row>
    <row r="12" spans="1:10" x14ac:dyDescent="0.25">
      <c r="A12" t="s">
        <v>51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52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53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54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55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56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57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58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59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69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70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71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72</v>
      </c>
      <c r="B24">
        <f>'PDF Scraping'!D23</f>
        <v>0</v>
      </c>
    </row>
    <row r="25" spans="1:2" x14ac:dyDescent="0.25">
      <c r="A25" t="s">
        <v>73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74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80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81</v>
      </c>
      <c r="B28">
        <f>'PDF Scraping'!D27</f>
        <v>0</v>
      </c>
    </row>
    <row r="29" spans="1:2" x14ac:dyDescent="0.25">
      <c r="A29" t="s">
        <v>82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83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84</v>
      </c>
      <c r="B31">
        <f>'PDF Scraping'!D30</f>
        <v>0</v>
      </c>
    </row>
    <row r="32" spans="1:2" x14ac:dyDescent="0.25">
      <c r="A32" t="s">
        <v>85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92</v>
      </c>
      <c r="B33" t="str">
        <f>'PDF Scraping'!D32</f>
        <v>https://api.schroders.com/document-store/id/a10c2154-e5f3-4ccf-aba1-e2822b02d893/</v>
      </c>
    </row>
    <row r="34" spans="1:2" x14ac:dyDescent="0.25">
      <c r="A34" t="s">
        <v>94</v>
      </c>
      <c r="B34" t="str">
        <f>'PDF Scraping'!D33</f>
        <v>https://api.schroders.com/document-store/id/F5AF7CA7-1F6C-4D89-A4AD-37BA7741843C/</v>
      </c>
    </row>
    <row r="35" spans="1:2" x14ac:dyDescent="0.25">
      <c r="A35" t="s">
        <v>96</v>
      </c>
      <c r="B35" t="str">
        <f>'PDF Scraping'!D34</f>
        <v>https://api.schroders.com/document-store/id/cdf6c64a-02b5-4b87-b02d-cba2387a3889</v>
      </c>
    </row>
    <row r="36" spans="1:2" x14ac:dyDescent="0.25">
      <c r="A36" t="s">
        <v>98</v>
      </c>
      <c r="B36">
        <f>'PDF Scraping'!D35</f>
        <v>0</v>
      </c>
    </row>
    <row r="37" spans="1:2" x14ac:dyDescent="0.25">
      <c r="A37" t="s">
        <v>100</v>
      </c>
      <c r="B37" t="str">
        <f>'PDF Scraping'!D36</f>
        <v>https://api.schroders.com/document-store/id/ad258552-2159-481d-a69f-c97f3f6f8015</v>
      </c>
    </row>
    <row r="38" spans="1:2" x14ac:dyDescent="0.25">
      <c r="A38" t="s">
        <v>102</v>
      </c>
      <c r="B38" t="str">
        <f>'PDF Scraping'!D37</f>
        <v>https://api.schroders.com/document-store/id/c4d7f349-e581-4bee-af6f-9938c81be72b</v>
      </c>
    </row>
    <row r="39" spans="1:2" x14ac:dyDescent="0.25">
      <c r="A39" t="s">
        <v>104</v>
      </c>
      <c r="B39" t="str">
        <f>'PDF Scraping'!D38</f>
        <v>https://api.schroders.com/document-store/id/3ab45624-6a05-4559-8eaa-0f3c877a91e7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workbookViewId="0"/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tabSelected="1" topLeftCell="B1" zoomScale="70" zoomScaleNormal="70" workbookViewId="0">
      <selection activeCell="C23" sqref="C23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33</v>
      </c>
      <c r="D2" s="8" t="s">
        <v>162</v>
      </c>
    </row>
    <row r="3" spans="1:5" x14ac:dyDescent="0.25">
      <c r="A3" t="str">
        <f>IF(Input!A4="","",Input!A4)</f>
        <v>Schroder Active Portfolio 3</v>
      </c>
      <c r="B3" t="s">
        <v>43</v>
      </c>
      <c r="C3" t="s">
        <v>34</v>
      </c>
      <c r="D3" s="10" t="s">
        <v>163</v>
      </c>
    </row>
    <row r="4" spans="1:5" x14ac:dyDescent="0.25">
      <c r="A4" t="str">
        <f>IF(Input!A5="","",Input!A5)</f>
        <v>Schroder Active Portfolio 4</v>
      </c>
      <c r="B4" t="s">
        <v>44</v>
      </c>
      <c r="C4" t="s">
        <v>35</v>
      </c>
      <c r="D4" s="8" t="s">
        <v>164</v>
      </c>
    </row>
    <row r="5" spans="1:5" x14ac:dyDescent="0.25">
      <c r="A5" t="str">
        <f>IF(Input!A6="","",Input!A6)</f>
        <v>Schroder Active Portfolio 5</v>
      </c>
      <c r="B5" t="s">
        <v>45</v>
      </c>
      <c r="C5" t="s">
        <v>36</v>
      </c>
      <c r="D5" s="8" t="s">
        <v>165</v>
      </c>
    </row>
    <row r="6" spans="1:5" x14ac:dyDescent="0.25">
      <c r="A6" t="str">
        <f>IF(Input!A7="","",Input!A7)</f>
        <v>Schroder Active Portfolio 6</v>
      </c>
      <c r="B6" t="s">
        <v>46</v>
      </c>
      <c r="C6" t="s">
        <v>37</v>
      </c>
      <c r="D6" s="8" t="s">
        <v>166</v>
      </c>
    </row>
    <row r="7" spans="1:5" x14ac:dyDescent="0.25">
      <c r="A7" t="str">
        <f>IF(Input!A8="","",Input!A8)</f>
        <v>Schroder Active Portfolio 7</v>
      </c>
      <c r="B7" t="s">
        <v>47</v>
      </c>
      <c r="C7" s="10" t="s">
        <v>38</v>
      </c>
      <c r="D7" s="8" t="s">
        <v>167</v>
      </c>
    </row>
    <row r="8" spans="1:5" x14ac:dyDescent="0.25">
      <c r="A8" t="str">
        <f>IF(Input!A9="","",Input!A9)</f>
        <v>Schroder Active Portfolio 8</v>
      </c>
      <c r="B8" t="s">
        <v>48</v>
      </c>
      <c r="C8" s="10" t="s">
        <v>39</v>
      </c>
      <c r="D8" s="8" t="s">
        <v>168</v>
      </c>
    </row>
    <row r="9" spans="1:5" x14ac:dyDescent="0.25">
      <c r="A9" t="str">
        <f>IF(Input!A10="","",Input!A10)</f>
        <v>Schroder Active Portfolio 9</v>
      </c>
      <c r="B9" t="s">
        <v>49</v>
      </c>
      <c r="C9" t="s">
        <v>40</v>
      </c>
      <c r="D9" s="8" t="s">
        <v>169</v>
      </c>
    </row>
    <row r="10" spans="1:5" x14ac:dyDescent="0.25">
      <c r="A10" t="str">
        <f>IF(Input!A11="","",Input!A11)</f>
        <v>Schroder Active Portfolio 10</v>
      </c>
      <c r="B10" t="s">
        <v>50</v>
      </c>
      <c r="C10" t="s">
        <v>41</v>
      </c>
    </row>
    <row r="11" spans="1:5" x14ac:dyDescent="0.25">
      <c r="A11" t="str">
        <f>IF(Input!A12="","",Input!A12)</f>
        <v>Schroder Strategic Index Portfolio 2</v>
      </c>
      <c r="B11" t="s">
        <v>60</v>
      </c>
      <c r="C11" s="11" t="s">
        <v>51</v>
      </c>
      <c r="D11" s="8" t="s">
        <v>170</v>
      </c>
    </row>
    <row r="12" spans="1:5" x14ac:dyDescent="0.25">
      <c r="A12" t="str">
        <f>IF(Input!A13="","",Input!A13)</f>
        <v>Schroder Strategic Index Portfolio 3</v>
      </c>
      <c r="B12" t="s">
        <v>61</v>
      </c>
      <c r="C12" t="s">
        <v>52</v>
      </c>
      <c r="D12" s="8" t="s">
        <v>171</v>
      </c>
    </row>
    <row r="13" spans="1:5" x14ac:dyDescent="0.25">
      <c r="A13" t="str">
        <f>IF(Input!A14="","",Input!A14)</f>
        <v>Schroder Strategic Index Portfolio 4</v>
      </c>
      <c r="B13" t="s">
        <v>62</v>
      </c>
      <c r="C13" t="s">
        <v>53</v>
      </c>
      <c r="D13" s="8" t="s">
        <v>172</v>
      </c>
    </row>
    <row r="14" spans="1:5" x14ac:dyDescent="0.25">
      <c r="A14" t="str">
        <f>IF(Input!A15="","",Input!A15)</f>
        <v>Schroder Strategic Index Portfolio 5</v>
      </c>
      <c r="B14" t="s">
        <v>63</v>
      </c>
      <c r="C14" t="s">
        <v>54</v>
      </c>
      <c r="D14" s="8" t="s">
        <v>173</v>
      </c>
    </row>
    <row r="15" spans="1:5" x14ac:dyDescent="0.25">
      <c r="A15" t="str">
        <f>IF(Input!A16="","",Input!A16)</f>
        <v>Schroder Strategic Index Portfolio 6</v>
      </c>
      <c r="B15" t="s">
        <v>64</v>
      </c>
      <c r="C15" t="s">
        <v>55</v>
      </c>
      <c r="D15" s="8" t="s">
        <v>174</v>
      </c>
    </row>
    <row r="16" spans="1:5" x14ac:dyDescent="0.25">
      <c r="A16" t="str">
        <f>IF(Input!A17="","",Input!A17)</f>
        <v>Schroder Strategic Index Portfolio 7</v>
      </c>
      <c r="B16" t="s">
        <v>65</v>
      </c>
      <c r="C16" t="s">
        <v>56</v>
      </c>
      <c r="D16" s="8" t="s">
        <v>175</v>
      </c>
    </row>
    <row r="17" spans="1:4" x14ac:dyDescent="0.25">
      <c r="A17" t="str">
        <f>IF(Input!A18="","",Input!A18)</f>
        <v>Schroder Strategic Index Portfolio 8</v>
      </c>
      <c r="B17" t="s">
        <v>66</v>
      </c>
      <c r="C17" t="s">
        <v>57</v>
      </c>
      <c r="D17" s="8" t="s">
        <v>176</v>
      </c>
    </row>
    <row r="18" spans="1:4" x14ac:dyDescent="0.25">
      <c r="A18" t="str">
        <f>IF(Input!A19="","",Input!A19)</f>
        <v>Schroder Strategic Index Portfolio 9</v>
      </c>
      <c r="B18" t="s">
        <v>67</v>
      </c>
      <c r="C18" t="s">
        <v>58</v>
      </c>
      <c r="D18" s="8" t="s">
        <v>177</v>
      </c>
    </row>
    <row r="19" spans="1:4" x14ac:dyDescent="0.25">
      <c r="A19" t="str">
        <f>IF(Input!A20="","",Input!A20)</f>
        <v>Schroder Strategic Index Portfolio 10</v>
      </c>
      <c r="B19" t="s">
        <v>68</v>
      </c>
      <c r="C19" t="s">
        <v>59</v>
      </c>
      <c r="D19" s="8" t="s">
        <v>178</v>
      </c>
    </row>
    <row r="20" spans="1:4" x14ac:dyDescent="0.25">
      <c r="A20" t="str">
        <f>IF(Input!A21="","",Input!A21)</f>
        <v>Schroder Sustainable Portfolio 3</v>
      </c>
      <c r="B20" t="s">
        <v>75</v>
      </c>
      <c r="C20" t="s">
        <v>69</v>
      </c>
      <c r="D20" s="10" t="s">
        <v>179</v>
      </c>
    </row>
    <row r="21" spans="1:4" x14ac:dyDescent="0.25">
      <c r="A21" t="str">
        <f>IF(Input!A22="","",Input!A22)</f>
        <v>Schroder Sustainable Portfolio 4</v>
      </c>
      <c r="B21" t="s">
        <v>76</v>
      </c>
      <c r="C21" t="s">
        <v>70</v>
      </c>
      <c r="D21" s="10" t="s">
        <v>180</v>
      </c>
    </row>
    <row r="22" spans="1:4" x14ac:dyDescent="0.25">
      <c r="A22" t="str">
        <f>IF(Input!A23="","",Input!A23)</f>
        <v>Schroder Sustainable Portfolio 5</v>
      </c>
      <c r="B22" s="4" t="s">
        <v>159</v>
      </c>
      <c r="C22" t="s">
        <v>71</v>
      </c>
      <c r="D22" s="8" t="s">
        <v>181</v>
      </c>
    </row>
    <row r="23" spans="1:4" x14ac:dyDescent="0.25">
      <c r="A23" t="str">
        <f>IF(Input!A24="","",Input!A24)</f>
        <v>Schroder Sustainable Portfolio 6</v>
      </c>
      <c r="B23" t="s">
        <v>77</v>
      </c>
      <c r="C23" t="s">
        <v>72</v>
      </c>
    </row>
    <row r="24" spans="1:4" x14ac:dyDescent="0.25">
      <c r="A24" t="str">
        <f>IF(Input!A25="","",Input!A25)</f>
        <v>Schroder Sustainable Portfolio 7</v>
      </c>
      <c r="B24" t="s">
        <v>78</v>
      </c>
      <c r="C24" t="s">
        <v>73</v>
      </c>
      <c r="D24" s="10" t="s">
        <v>182</v>
      </c>
    </row>
    <row r="25" spans="1:4" x14ac:dyDescent="0.25">
      <c r="A25" t="str">
        <f>IF(Input!A26="","",Input!A26)</f>
        <v>Schroder Sustainable Portfolio 8</v>
      </c>
      <c r="B25" t="s">
        <v>79</v>
      </c>
      <c r="C25" t="s">
        <v>74</v>
      </c>
      <c r="D25" s="8" t="s">
        <v>183</v>
      </c>
    </row>
    <row r="26" spans="1:4" x14ac:dyDescent="0.25">
      <c r="A26" t="str">
        <f>IF(Input!A27="","",Input!A27)</f>
        <v>Schroder Blended Portfolio 3</v>
      </c>
      <c r="B26" t="s">
        <v>86</v>
      </c>
      <c r="C26" t="s">
        <v>80</v>
      </c>
      <c r="D26" s="8" t="s">
        <v>184</v>
      </c>
    </row>
    <row r="27" spans="1:4" x14ac:dyDescent="0.25">
      <c r="A27" t="str">
        <f>IF(Input!A28="","",Input!A28)</f>
        <v>Schroder Blended Portfolio 4</v>
      </c>
      <c r="B27" t="s">
        <v>87</v>
      </c>
      <c r="C27" t="s">
        <v>81</v>
      </c>
    </row>
    <row r="28" spans="1:4" x14ac:dyDescent="0.25">
      <c r="A28" t="str">
        <f>IF(Input!A29="","",Input!A29)</f>
        <v>Schroder Blended Portfolio 5</v>
      </c>
      <c r="B28" t="s">
        <v>88</v>
      </c>
      <c r="C28" t="s">
        <v>82</v>
      </c>
      <c r="D28" s="8" t="s">
        <v>185</v>
      </c>
    </row>
    <row r="29" spans="1:4" x14ac:dyDescent="0.25">
      <c r="A29" t="str">
        <f>IF(Input!A30="","",Input!A30)</f>
        <v>Schroder Blended Portfolio 6</v>
      </c>
      <c r="B29" t="s">
        <v>89</v>
      </c>
      <c r="C29" t="s">
        <v>83</v>
      </c>
      <c r="D29" s="8" t="s">
        <v>186</v>
      </c>
    </row>
    <row r="30" spans="1:4" x14ac:dyDescent="0.25">
      <c r="A30" t="str">
        <f>IF(Input!A31="","",Input!A31)</f>
        <v>Schroder Blended Portfolio 7</v>
      </c>
      <c r="B30" t="s">
        <v>90</v>
      </c>
      <c r="C30" t="s">
        <v>84</v>
      </c>
    </row>
    <row r="31" spans="1:4" x14ac:dyDescent="0.25">
      <c r="A31" t="str">
        <f>IF(Input!A32="","",Input!A32)</f>
        <v>Schroder Blended Portfolio 8</v>
      </c>
      <c r="B31" t="s">
        <v>91</v>
      </c>
      <c r="C31" t="s">
        <v>85</v>
      </c>
      <c r="D31" s="8" t="s">
        <v>187</v>
      </c>
    </row>
    <row r="32" spans="1:4" x14ac:dyDescent="0.25">
      <c r="A32" t="str">
        <f>IF(Input!A33="","",Input!A33)</f>
        <v>Schroder Income Portfolio</v>
      </c>
      <c r="B32" t="s">
        <v>93</v>
      </c>
      <c r="C32" t="s">
        <v>160</v>
      </c>
      <c r="D32" s="8" t="s">
        <v>188</v>
      </c>
    </row>
    <row r="33" spans="1:4" x14ac:dyDescent="0.25">
      <c r="A33" t="str">
        <f>IF(Input!A34="","",Input!A34)</f>
        <v>Schroder Managed Defensive Fund</v>
      </c>
      <c r="B33" t="s">
        <v>95</v>
      </c>
      <c r="C33" t="s">
        <v>161</v>
      </c>
      <c r="D33" s="10" t="s">
        <v>189</v>
      </c>
    </row>
    <row r="34" spans="1:4" x14ac:dyDescent="0.25">
      <c r="A34" t="str">
        <f>IF(Input!A35="","",Input!A35)</f>
        <v>Schroder Global Multi-Asset Cautious Portfolio</v>
      </c>
      <c r="B34" t="s">
        <v>97</v>
      </c>
      <c r="C34" t="s">
        <v>96</v>
      </c>
      <c r="D34" s="8" t="s">
        <v>190</v>
      </c>
    </row>
    <row r="35" spans="1:4" x14ac:dyDescent="0.25">
      <c r="A35" t="str">
        <f>IF(Input!A36="","",Input!A36)</f>
        <v>Schroder Global Multi-Asset Moderately Cautious Portfolio</v>
      </c>
      <c r="B35" t="s">
        <v>99</v>
      </c>
      <c r="C35" t="s">
        <v>98</v>
      </c>
    </row>
    <row r="36" spans="1:4" x14ac:dyDescent="0.25">
      <c r="A36" t="str">
        <f>IF(Input!A37="","",Input!A37)</f>
        <v>Schroder Schroder Global Multi-Asset Balanced Portfolio</v>
      </c>
      <c r="B36" t="s">
        <v>101</v>
      </c>
      <c r="C36" t="s">
        <v>100</v>
      </c>
      <c r="D36" s="8" t="s">
        <v>191</v>
      </c>
    </row>
    <row r="37" spans="1:4" x14ac:dyDescent="0.25">
      <c r="A37" t="str">
        <f>IF(Input!A38="","",Input!A38)</f>
        <v>Schroder Global Multi-Asset Growth Portfolio</v>
      </c>
      <c r="B37" t="s">
        <v>103</v>
      </c>
      <c r="C37" t="s">
        <v>102</v>
      </c>
      <c r="D37" s="8" t="s">
        <v>192</v>
      </c>
    </row>
    <row r="38" spans="1:4" x14ac:dyDescent="0.25">
      <c r="A38" t="str">
        <f>IF(Input!A39="","",Input!A39)</f>
        <v>Schroder Global Multi-Asset Adventurous Portfolio</v>
      </c>
      <c r="B38" t="s">
        <v>105</v>
      </c>
      <c r="C38" t="s">
        <v>104</v>
      </c>
      <c r="D38" s="8" t="s">
        <v>193</v>
      </c>
    </row>
    <row r="39" spans="1:4" x14ac:dyDescent="0.25">
      <c r="A39" t="str">
        <f>IF(Input!A41="","",Input!A41)</f>
        <v/>
      </c>
    </row>
    <row r="40" spans="1:4" x14ac:dyDescent="0.25">
      <c r="A40" t="str">
        <f>IF(Input!A42="","",Input!A42)</f>
        <v/>
      </c>
    </row>
    <row r="41" spans="1:4" x14ac:dyDescent="0.25">
      <c r="A41" t="str">
        <f>IF(Input!A43="","",Input!A43)</f>
        <v/>
      </c>
    </row>
    <row r="42" spans="1:4" x14ac:dyDescent="0.25">
      <c r="A42" t="str">
        <f>IF(Input!A44="","",Input!A44)</f>
        <v/>
      </c>
    </row>
    <row r="43" spans="1:4" x14ac:dyDescent="0.25">
      <c r="A43" t="str">
        <f>IF(Input!A45="","",Input!A45)</f>
        <v/>
      </c>
    </row>
    <row r="44" spans="1:4" x14ac:dyDescent="0.25">
      <c r="A44" t="str">
        <f>IF(Input!A46="","",Input!A46)</f>
        <v/>
      </c>
    </row>
    <row r="45" spans="1:4" x14ac:dyDescent="0.25">
      <c r="A45" t="str">
        <f>IF(Input!A47="","",Input!A47)</f>
        <v/>
      </c>
    </row>
    <row r="46" spans="1:4" x14ac:dyDescent="0.25">
      <c r="A46" t="str">
        <f>IF(Input!A48="","",Input!A48)</f>
        <v/>
      </c>
    </row>
    <row r="47" spans="1:4" x14ac:dyDescent="0.25">
      <c r="A47" t="str">
        <f>IF(Input!A49="","",Input!A49)</f>
        <v/>
      </c>
    </row>
    <row r="48" spans="1:4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conditionalFormatting sqref="D2:D38">
    <cfRule type="duplicateValues" dxfId="1" priority="2"/>
    <cfRule type="duplicateValues" dxfId="0" priority="1"/>
  </conditionalFormatting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2023-09-04T07:35:51Z</dcterms:modified>
</cp:coreProperties>
</file>