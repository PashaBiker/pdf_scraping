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-105" yWindow="-105" windowWidth="19425" windowHeight="1030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9" i="35" l="1"/>
  <c r="A40" i="35"/>
  <c r="A41" i="35"/>
  <c r="B35" i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4" i="7" l="1"/>
  <c r="B4" i="7"/>
  <c r="E4" i="7"/>
  <c r="G4" i="7"/>
  <c r="C4" i="7"/>
  <c r="D4" i="7"/>
  <c r="F4" i="7"/>
  <c r="H20" i="7"/>
  <c r="B20" i="7"/>
  <c r="G20" i="7"/>
  <c r="C20" i="7"/>
  <c r="D20" i="7"/>
  <c r="E20" i="7"/>
  <c r="F20" i="7"/>
  <c r="B36" i="7"/>
  <c r="C36" i="7"/>
  <c r="D36" i="7"/>
  <c r="H36" i="7"/>
  <c r="E36" i="7"/>
  <c r="F36" i="7"/>
  <c r="G36" i="7"/>
  <c r="D5" i="7"/>
  <c r="H5" i="7"/>
  <c r="E5" i="7"/>
  <c r="F5" i="7"/>
  <c r="G5" i="7"/>
  <c r="B5" i="7"/>
  <c r="C5" i="7"/>
  <c r="D13" i="7"/>
  <c r="H13" i="7"/>
  <c r="E13" i="7"/>
  <c r="F13" i="7"/>
  <c r="G13" i="7"/>
  <c r="B13" i="7"/>
  <c r="C13" i="7"/>
  <c r="D21" i="7"/>
  <c r="H21" i="7"/>
  <c r="E21" i="7"/>
  <c r="F21" i="7"/>
  <c r="G21" i="7"/>
  <c r="B21" i="7"/>
  <c r="C21" i="7"/>
  <c r="H29" i="7"/>
  <c r="B29" i="7"/>
  <c r="C29" i="7"/>
  <c r="D29" i="7"/>
  <c r="E29" i="7"/>
  <c r="F29" i="7"/>
  <c r="G29" i="7"/>
  <c r="E37" i="7"/>
  <c r="F37" i="7"/>
  <c r="H37" i="7"/>
  <c r="B37" i="7"/>
  <c r="G37" i="7"/>
  <c r="C37" i="7"/>
  <c r="D37" i="7"/>
  <c r="H12" i="7"/>
  <c r="B12" i="7"/>
  <c r="G12" i="7"/>
  <c r="C12" i="7"/>
  <c r="D12" i="7"/>
  <c r="E12" i="7"/>
  <c r="F12" i="7"/>
  <c r="C14" i="7"/>
  <c r="H14" i="7"/>
  <c r="B14" i="7"/>
  <c r="G14" i="7"/>
  <c r="F14" i="7"/>
  <c r="D14" i="7"/>
  <c r="E14" i="7"/>
  <c r="G22" i="7"/>
  <c r="C22" i="7"/>
  <c r="H22" i="7"/>
  <c r="B22" i="7"/>
  <c r="E22" i="7"/>
  <c r="F22" i="7"/>
  <c r="D22" i="7"/>
  <c r="C30" i="7"/>
  <c r="D30" i="7"/>
  <c r="G30" i="7"/>
  <c r="H30" i="7"/>
  <c r="E30" i="7"/>
  <c r="F30" i="7"/>
  <c r="B30" i="7"/>
  <c r="D38" i="7"/>
  <c r="B38" i="7"/>
  <c r="C38" i="7"/>
  <c r="H38" i="7"/>
  <c r="E38" i="7"/>
  <c r="F38" i="7"/>
  <c r="G38" i="7"/>
  <c r="E16" i="7"/>
  <c r="F16" i="7"/>
  <c r="H16" i="7"/>
  <c r="B16" i="7"/>
  <c r="C16" i="7"/>
  <c r="D16" i="7"/>
  <c r="G16" i="7"/>
  <c r="H28" i="7"/>
  <c r="G28" i="7"/>
  <c r="C28" i="7"/>
  <c r="B28" i="7"/>
  <c r="D28" i="7"/>
  <c r="E28" i="7"/>
  <c r="F28" i="7"/>
  <c r="G6" i="7"/>
  <c r="H6" i="7"/>
  <c r="B6" i="7"/>
  <c r="C6" i="7"/>
  <c r="F6" i="7"/>
  <c r="D6" i="7"/>
  <c r="E6" i="7"/>
  <c r="B7" i="7"/>
  <c r="C7" i="7"/>
  <c r="F7" i="7"/>
  <c r="G7" i="7"/>
  <c r="D7" i="7"/>
  <c r="H7" i="7"/>
  <c r="E7" i="7"/>
  <c r="B15" i="7"/>
  <c r="C15" i="7"/>
  <c r="G15" i="7"/>
  <c r="D15" i="7"/>
  <c r="H15" i="7"/>
  <c r="E15" i="7"/>
  <c r="F15" i="7"/>
  <c r="B23" i="7"/>
  <c r="C23" i="7"/>
  <c r="D23" i="7"/>
  <c r="H23" i="7"/>
  <c r="E23" i="7"/>
  <c r="F23" i="7"/>
  <c r="G23" i="7"/>
  <c r="E31" i="7"/>
  <c r="F31" i="7"/>
  <c r="G31" i="7"/>
  <c r="H31" i="7"/>
  <c r="D31" i="7"/>
  <c r="B31" i="7"/>
  <c r="C31" i="7"/>
  <c r="G32" i="7"/>
  <c r="H32" i="7"/>
  <c r="B32" i="7"/>
  <c r="C32" i="7"/>
  <c r="D32" i="7"/>
  <c r="E32" i="7"/>
  <c r="F32" i="7"/>
  <c r="H9" i="7"/>
  <c r="B9" i="7"/>
  <c r="C9" i="7"/>
  <c r="D9" i="7"/>
  <c r="F9" i="7"/>
  <c r="E9" i="7"/>
  <c r="G9" i="7"/>
  <c r="D17" i="7"/>
  <c r="B17" i="7"/>
  <c r="C17" i="7"/>
  <c r="G17" i="7"/>
  <c r="F17" i="7"/>
  <c r="H17" i="7"/>
  <c r="E17" i="7"/>
  <c r="D25" i="7"/>
  <c r="H25" i="7"/>
  <c r="B25" i="7"/>
  <c r="C25" i="7"/>
  <c r="G25" i="7"/>
  <c r="E25" i="7"/>
  <c r="F25" i="7"/>
  <c r="G33" i="7"/>
  <c r="E33" i="7"/>
  <c r="D33" i="7"/>
  <c r="C33" i="7"/>
  <c r="B33" i="7"/>
  <c r="F33" i="7"/>
  <c r="H33" i="7"/>
  <c r="E8" i="7"/>
  <c r="F8" i="7"/>
  <c r="H8" i="7"/>
  <c r="B8" i="7"/>
  <c r="C8" i="7"/>
  <c r="D8" i="7"/>
  <c r="G8" i="7"/>
  <c r="G2" i="7"/>
  <c r="F2" i="7"/>
  <c r="C2" i="7"/>
  <c r="E2" i="7"/>
  <c r="D2" i="7"/>
  <c r="B2" i="7"/>
  <c r="H2" i="7"/>
  <c r="G10" i="7"/>
  <c r="C10" i="7"/>
  <c r="D10" i="7"/>
  <c r="E10" i="7"/>
  <c r="F10" i="7"/>
  <c r="H10" i="7"/>
  <c r="B10" i="7"/>
  <c r="G18" i="7"/>
  <c r="C18" i="7"/>
  <c r="D18" i="7"/>
  <c r="E18" i="7"/>
  <c r="F18" i="7"/>
  <c r="H18" i="7"/>
  <c r="B18" i="7"/>
  <c r="C26" i="7"/>
  <c r="D26" i="7"/>
  <c r="E26" i="7"/>
  <c r="F26" i="7"/>
  <c r="G26" i="7"/>
  <c r="B26" i="7"/>
  <c r="H26" i="7"/>
  <c r="D34" i="7"/>
  <c r="H34" i="7"/>
  <c r="E34" i="7"/>
  <c r="F34" i="7"/>
  <c r="G34" i="7"/>
  <c r="B34" i="7"/>
  <c r="C34" i="7"/>
  <c r="E24" i="7"/>
  <c r="F24" i="7"/>
  <c r="H24" i="7"/>
  <c r="C24" i="7"/>
  <c r="G24" i="7"/>
  <c r="D24" i="7"/>
  <c r="B24" i="7"/>
  <c r="F3" i="7"/>
  <c r="G3" i="7"/>
  <c r="B3" i="7"/>
  <c r="C3" i="7"/>
  <c r="D3" i="7"/>
  <c r="H3" i="7"/>
  <c r="E3" i="7"/>
  <c r="F11" i="7"/>
  <c r="G11" i="7"/>
  <c r="B11" i="7"/>
  <c r="D11" i="7"/>
  <c r="E11" i="7"/>
  <c r="H11" i="7"/>
  <c r="C11" i="7"/>
  <c r="F19" i="7"/>
  <c r="G19" i="7"/>
  <c r="B19" i="7"/>
  <c r="E19" i="7"/>
  <c r="H19" i="7"/>
  <c r="C19" i="7"/>
  <c r="D19" i="7"/>
  <c r="E27" i="7"/>
  <c r="F27" i="7"/>
  <c r="G27" i="7"/>
  <c r="H27" i="7"/>
  <c r="B27" i="7"/>
  <c r="C27" i="7"/>
  <c r="D27" i="7"/>
  <c r="H35" i="7"/>
  <c r="B35" i="7"/>
  <c r="G35" i="7"/>
  <c r="C35" i="7"/>
  <c r="E35" i="7"/>
  <c r="F35" i="7"/>
  <c r="D35" i="7"/>
  <c r="C19" i="4"/>
  <c r="E19" i="4"/>
  <c r="D19" i="4"/>
  <c r="F19" i="4"/>
  <c r="G19" i="4"/>
  <c r="B19" i="4"/>
  <c r="B4" i="4"/>
  <c r="F4" i="4"/>
  <c r="G4" i="4"/>
  <c r="E4" i="4"/>
  <c r="C4" i="4"/>
  <c r="D4" i="4"/>
  <c r="B20" i="4"/>
  <c r="F20" i="4"/>
  <c r="G20" i="4"/>
  <c r="E20" i="4"/>
  <c r="C20" i="4"/>
  <c r="D20" i="4"/>
  <c r="D21" i="4"/>
  <c r="B21" i="4"/>
  <c r="C21" i="4"/>
  <c r="E21" i="4"/>
  <c r="G21" i="4"/>
  <c r="F21" i="4"/>
  <c r="G15" i="4"/>
  <c r="B15" i="4"/>
  <c r="C15" i="4"/>
  <c r="E15" i="4"/>
  <c r="F15" i="4"/>
  <c r="D15" i="4"/>
  <c r="E8" i="4"/>
  <c r="C8" i="4"/>
  <c r="D8" i="4"/>
  <c r="B8" i="4"/>
  <c r="F8" i="4"/>
  <c r="G8" i="4"/>
  <c r="E32" i="4"/>
  <c r="C32" i="4"/>
  <c r="D32" i="4"/>
  <c r="B32" i="4"/>
  <c r="F32" i="4"/>
  <c r="G32" i="4"/>
  <c r="C3" i="4"/>
  <c r="E3" i="4"/>
  <c r="F3" i="4"/>
  <c r="D3" i="4"/>
  <c r="G3" i="4"/>
  <c r="B3" i="4"/>
  <c r="B36" i="4"/>
  <c r="F36" i="4"/>
  <c r="G36" i="4"/>
  <c r="E36" i="4"/>
  <c r="C36" i="4"/>
  <c r="D36" i="4"/>
  <c r="C29" i="4"/>
  <c r="B29" i="4"/>
  <c r="D29" i="4"/>
  <c r="E29" i="4"/>
  <c r="F29" i="4"/>
  <c r="G29" i="4"/>
  <c r="D16" i="4"/>
  <c r="C16" i="4"/>
  <c r="E16" i="4"/>
  <c r="B16" i="4"/>
  <c r="F16" i="4"/>
  <c r="G16" i="4"/>
  <c r="E24" i="4"/>
  <c r="C24" i="4"/>
  <c r="D24" i="4"/>
  <c r="B24" i="4"/>
  <c r="F24" i="4"/>
  <c r="G24" i="4"/>
  <c r="E9" i="4"/>
  <c r="G9" i="4"/>
  <c r="F9" i="4"/>
  <c r="C9" i="4"/>
  <c r="B9" i="4"/>
  <c r="D9" i="4"/>
  <c r="E17" i="4"/>
  <c r="F17" i="4"/>
  <c r="G17" i="4"/>
  <c r="D17" i="4"/>
  <c r="B17" i="4"/>
  <c r="C17" i="4"/>
  <c r="E25" i="4"/>
  <c r="G25" i="4"/>
  <c r="F25" i="4"/>
  <c r="C25" i="4"/>
  <c r="D25" i="4"/>
  <c r="B25" i="4"/>
  <c r="E33" i="4"/>
  <c r="G33" i="4"/>
  <c r="F33" i="4"/>
  <c r="D33" i="4"/>
  <c r="B33" i="4"/>
  <c r="C33" i="4"/>
  <c r="C11" i="4"/>
  <c r="F11" i="4"/>
  <c r="D11" i="4"/>
  <c r="E11" i="4"/>
  <c r="G11" i="4"/>
  <c r="B11" i="4"/>
  <c r="C27" i="4"/>
  <c r="F27" i="4"/>
  <c r="D27" i="4"/>
  <c r="E27" i="4"/>
  <c r="G27" i="4"/>
  <c r="B27" i="4"/>
  <c r="B28" i="4"/>
  <c r="F28" i="4"/>
  <c r="G28" i="4"/>
  <c r="D28" i="4"/>
  <c r="C28" i="4"/>
  <c r="E28" i="4"/>
  <c r="C13" i="4"/>
  <c r="B13" i="4"/>
  <c r="D13" i="4"/>
  <c r="E13" i="4"/>
  <c r="F13" i="4"/>
  <c r="G13" i="4"/>
  <c r="C37" i="4"/>
  <c r="B37" i="4"/>
  <c r="D37" i="4"/>
  <c r="E37" i="4"/>
  <c r="G37" i="4"/>
  <c r="F37" i="4"/>
  <c r="G7" i="4"/>
  <c r="B7" i="4"/>
  <c r="F7" i="4"/>
  <c r="C7" i="4"/>
  <c r="D7" i="4"/>
  <c r="E7" i="4"/>
  <c r="G31" i="4"/>
  <c r="F31" i="4"/>
  <c r="B31" i="4"/>
  <c r="C31" i="4"/>
  <c r="E31" i="4"/>
  <c r="D31" i="4"/>
  <c r="B2" i="4"/>
  <c r="D2" i="4"/>
  <c r="F2" i="4"/>
  <c r="C2" i="4"/>
  <c r="E2" i="4"/>
  <c r="G2" i="4"/>
  <c r="C10" i="4"/>
  <c r="D10" i="4"/>
  <c r="G10" i="4"/>
  <c r="E10" i="4"/>
  <c r="B10" i="4"/>
  <c r="F10" i="4"/>
  <c r="C18" i="4"/>
  <c r="G18" i="4"/>
  <c r="D18" i="4"/>
  <c r="B18" i="4"/>
  <c r="F18" i="4"/>
  <c r="E18" i="4"/>
  <c r="G26" i="4"/>
  <c r="C26" i="4"/>
  <c r="D26" i="4"/>
  <c r="B26" i="4"/>
  <c r="E26" i="4"/>
  <c r="F26" i="4"/>
  <c r="C34" i="4"/>
  <c r="D34" i="4"/>
  <c r="F34" i="4"/>
  <c r="E34" i="4"/>
  <c r="B34" i="4"/>
  <c r="G34" i="4"/>
  <c r="C35" i="4"/>
  <c r="F35" i="4"/>
  <c r="D35" i="4"/>
  <c r="E35" i="4"/>
  <c r="G35" i="4"/>
  <c r="B35" i="4"/>
  <c r="B12" i="4"/>
  <c r="F12" i="4"/>
  <c r="G12" i="4"/>
  <c r="D12" i="4"/>
  <c r="E12" i="4"/>
  <c r="C12" i="4"/>
  <c r="B5" i="4"/>
  <c r="C5" i="4"/>
  <c r="D5" i="4"/>
  <c r="E5" i="4"/>
  <c r="G5" i="4"/>
  <c r="F5" i="4"/>
  <c r="D6" i="4"/>
  <c r="B6" i="4"/>
  <c r="F6" i="4"/>
  <c r="C6" i="4"/>
  <c r="E6" i="4"/>
  <c r="G6" i="4"/>
  <c r="D14" i="4"/>
  <c r="G14" i="4"/>
  <c r="E14" i="4"/>
  <c r="B14" i="4"/>
  <c r="F14" i="4"/>
  <c r="C14" i="4"/>
  <c r="D22" i="4"/>
  <c r="B22" i="4"/>
  <c r="F22" i="4"/>
  <c r="E22" i="4"/>
  <c r="G22" i="4"/>
  <c r="C22" i="4"/>
  <c r="D30" i="4"/>
  <c r="E30" i="4"/>
  <c r="B30" i="4"/>
  <c r="G30" i="4"/>
  <c r="F30" i="4"/>
  <c r="C30" i="4"/>
  <c r="D38" i="4"/>
  <c r="B38" i="4"/>
  <c r="G38" i="4"/>
  <c r="C38" i="4"/>
  <c r="E38" i="4"/>
  <c r="F38" i="4"/>
  <c r="G23" i="4"/>
  <c r="B23" i="4"/>
  <c r="F23" i="4"/>
  <c r="C23" i="4"/>
  <c r="D23" i="4"/>
  <c r="E23" i="4"/>
  <c r="G36" i="31"/>
  <c r="F36" i="31"/>
  <c r="E36" i="31"/>
  <c r="B36" i="31"/>
  <c r="C36" i="31"/>
  <c r="D36" i="31"/>
  <c r="B5" i="31"/>
  <c r="C5" i="31"/>
  <c r="E5" i="31"/>
  <c r="F5" i="31"/>
  <c r="D5" i="31"/>
  <c r="G5" i="31"/>
  <c r="B29" i="31"/>
  <c r="C29" i="31"/>
  <c r="E29" i="31"/>
  <c r="F29" i="31"/>
  <c r="D29" i="31"/>
  <c r="G29" i="31"/>
  <c r="F16" i="31"/>
  <c r="C16" i="31"/>
  <c r="E16" i="31"/>
  <c r="G16" i="31"/>
  <c r="B16" i="31"/>
  <c r="D16" i="31"/>
  <c r="G17" i="31"/>
  <c r="B17" i="31"/>
  <c r="C17" i="31"/>
  <c r="F17" i="31"/>
  <c r="D17" i="31"/>
  <c r="E17" i="31"/>
  <c r="B33" i="31"/>
  <c r="C33" i="31"/>
  <c r="D33" i="31"/>
  <c r="E33" i="31"/>
  <c r="F33" i="31"/>
  <c r="G33" i="31"/>
  <c r="F12" i="31"/>
  <c r="G12" i="31"/>
  <c r="D12" i="31"/>
  <c r="B12" i="31"/>
  <c r="C12" i="31"/>
  <c r="E12" i="31"/>
  <c r="C28" i="31"/>
  <c r="E28" i="31"/>
  <c r="F28" i="31"/>
  <c r="B28" i="31"/>
  <c r="D28" i="31"/>
  <c r="G28" i="31"/>
  <c r="B21" i="31"/>
  <c r="C21" i="31"/>
  <c r="E21" i="31"/>
  <c r="D21" i="31"/>
  <c r="F21" i="31"/>
  <c r="G21" i="31"/>
  <c r="C8" i="31"/>
  <c r="F8" i="31"/>
  <c r="B8" i="31"/>
  <c r="D8" i="31"/>
  <c r="E8" i="31"/>
  <c r="G8" i="31"/>
  <c r="E32" i="31"/>
  <c r="F32" i="31"/>
  <c r="C32" i="31"/>
  <c r="D32" i="31"/>
  <c r="G32" i="31"/>
  <c r="B32" i="31"/>
  <c r="G9" i="31"/>
  <c r="B9" i="31"/>
  <c r="C9" i="31"/>
  <c r="F9" i="31"/>
  <c r="D9" i="31"/>
  <c r="E9" i="31"/>
  <c r="B25" i="31"/>
  <c r="C25" i="31"/>
  <c r="F25" i="31"/>
  <c r="G25" i="31"/>
  <c r="D25" i="31"/>
  <c r="E25" i="31"/>
  <c r="D2" i="31"/>
  <c r="E2" i="31"/>
  <c r="C10" i="31"/>
  <c r="D10" i="31"/>
  <c r="B10" i="31"/>
  <c r="E10" i="31"/>
  <c r="G10" i="31"/>
  <c r="F10" i="31"/>
  <c r="D18" i="31"/>
  <c r="C18" i="31"/>
  <c r="E18" i="31"/>
  <c r="G18" i="31"/>
  <c r="B18" i="31"/>
  <c r="F18" i="31"/>
  <c r="C26" i="31"/>
  <c r="D26" i="31"/>
  <c r="B26" i="31"/>
  <c r="E26" i="31"/>
  <c r="F26" i="31"/>
  <c r="G26" i="31"/>
  <c r="D34" i="31"/>
  <c r="E34" i="31"/>
  <c r="G34" i="31"/>
  <c r="B34" i="31"/>
  <c r="F34" i="31"/>
  <c r="C34" i="31"/>
  <c r="B37" i="31"/>
  <c r="C37" i="31"/>
  <c r="E37" i="31"/>
  <c r="F37" i="31"/>
  <c r="D37" i="31"/>
  <c r="G37" i="31"/>
  <c r="E24" i="31"/>
  <c r="G24" i="31"/>
  <c r="C24" i="31"/>
  <c r="B24" i="31"/>
  <c r="D24" i="31"/>
  <c r="F24" i="31"/>
  <c r="B3" i="31"/>
  <c r="F3" i="31"/>
  <c r="G3" i="31"/>
  <c r="D3" i="31"/>
  <c r="C3" i="31"/>
  <c r="E3" i="31"/>
  <c r="F11" i="31"/>
  <c r="G11" i="31"/>
  <c r="C11" i="31"/>
  <c r="E11" i="31"/>
  <c r="B11" i="31"/>
  <c r="D11" i="31"/>
  <c r="F19" i="31"/>
  <c r="G19" i="31"/>
  <c r="B19" i="31"/>
  <c r="C19" i="31"/>
  <c r="D19" i="31"/>
  <c r="E19" i="31"/>
  <c r="D27" i="31"/>
  <c r="F27" i="31"/>
  <c r="G27" i="31"/>
  <c r="B27" i="31"/>
  <c r="E27" i="31"/>
  <c r="C27" i="31"/>
  <c r="F35" i="31"/>
  <c r="E35" i="31"/>
  <c r="G35" i="31"/>
  <c r="B35" i="31"/>
  <c r="C35" i="31"/>
  <c r="D35" i="31"/>
  <c r="E4" i="31"/>
  <c r="G4" i="31"/>
  <c r="B4" i="31"/>
  <c r="C4" i="31"/>
  <c r="D4" i="31"/>
  <c r="F4" i="31"/>
  <c r="G20" i="31"/>
  <c r="F20" i="31"/>
  <c r="D20" i="31"/>
  <c r="E20" i="31"/>
  <c r="B20" i="31"/>
  <c r="C20" i="31"/>
  <c r="B13" i="31"/>
  <c r="C13" i="31"/>
  <c r="E13" i="31"/>
  <c r="G13" i="31"/>
  <c r="D13" i="31"/>
  <c r="F13" i="31"/>
  <c r="B6" i="31"/>
  <c r="D6" i="31"/>
  <c r="C6" i="31"/>
  <c r="E6" i="31"/>
  <c r="F6" i="31"/>
  <c r="G6" i="31"/>
  <c r="D14" i="31"/>
  <c r="E14" i="31"/>
  <c r="B14" i="31"/>
  <c r="F14" i="31"/>
  <c r="G14" i="31"/>
  <c r="C14" i="31"/>
  <c r="B22" i="31"/>
  <c r="D22" i="31"/>
  <c r="E22" i="31"/>
  <c r="C22" i="31"/>
  <c r="F22" i="31"/>
  <c r="G22" i="31"/>
  <c r="D30" i="31"/>
  <c r="C30" i="31"/>
  <c r="E30" i="31"/>
  <c r="F30" i="31"/>
  <c r="G30" i="31"/>
  <c r="B30" i="31"/>
  <c r="B38" i="31"/>
  <c r="D38" i="31"/>
  <c r="E38" i="31"/>
  <c r="C38" i="31"/>
  <c r="F38" i="31"/>
  <c r="G38" i="31"/>
  <c r="E7" i="31"/>
  <c r="F7" i="31"/>
  <c r="G7" i="31"/>
  <c r="B7" i="31"/>
  <c r="C7" i="31"/>
  <c r="D7" i="31"/>
  <c r="E15" i="31"/>
  <c r="F15" i="31"/>
  <c r="G15" i="31"/>
  <c r="B15" i="31"/>
  <c r="C15" i="31"/>
  <c r="D15" i="31"/>
  <c r="F23" i="31"/>
  <c r="G23" i="31"/>
  <c r="B23" i="31"/>
  <c r="C23" i="31"/>
  <c r="D23" i="31"/>
  <c r="E23" i="31"/>
  <c r="D31" i="31"/>
  <c r="E31" i="31"/>
  <c r="F31" i="31"/>
  <c r="G31" i="31"/>
  <c r="C31" i="31"/>
  <c r="B31" i="31"/>
  <c r="C39" i="31"/>
  <c r="F39" i="31"/>
  <c r="G39" i="31"/>
  <c r="D39" i="31"/>
  <c r="B39" i="31"/>
  <c r="E39" i="31"/>
  <c r="B43" i="7"/>
  <c r="C43" i="7"/>
  <c r="D43" i="7"/>
  <c r="E43" i="7"/>
  <c r="F43" i="7"/>
  <c r="G43" i="7"/>
  <c r="H43" i="7"/>
  <c r="B50" i="8"/>
  <c r="D50" i="8"/>
  <c r="F50" i="8"/>
  <c r="H50" i="8"/>
  <c r="D46" i="31"/>
  <c r="C46" i="31"/>
  <c r="E46" i="31"/>
  <c r="F46" i="31"/>
  <c r="G46" i="31"/>
  <c r="B46" i="31"/>
  <c r="C44" i="7"/>
  <c r="D44" i="7"/>
  <c r="E44" i="7"/>
  <c r="B44" i="7"/>
  <c r="F44" i="7"/>
  <c r="G44" i="7"/>
  <c r="H44" i="7"/>
  <c r="D43" i="8"/>
  <c r="F43" i="8"/>
  <c r="H43" i="8"/>
  <c r="B43" i="8"/>
  <c r="F47" i="31"/>
  <c r="G47" i="31"/>
  <c r="B47" i="31"/>
  <c r="E47" i="31"/>
  <c r="C47" i="31"/>
  <c r="D47" i="31"/>
  <c r="D46" i="4"/>
  <c r="E46" i="4"/>
  <c r="B46" i="4"/>
  <c r="F46" i="4"/>
  <c r="G46" i="4"/>
  <c r="C46" i="4"/>
  <c r="D45" i="7"/>
  <c r="E45" i="7"/>
  <c r="F45" i="7"/>
  <c r="C45" i="7"/>
  <c r="G45" i="7"/>
  <c r="H45" i="7"/>
  <c r="B45" i="7"/>
  <c r="B40" i="31"/>
  <c r="C40" i="31"/>
  <c r="D40" i="31"/>
  <c r="E40" i="31"/>
  <c r="F40" i="31"/>
  <c r="G40" i="31"/>
  <c r="G48" i="31"/>
  <c r="B48" i="31"/>
  <c r="C48" i="31"/>
  <c r="D48" i="31"/>
  <c r="E48" i="31"/>
  <c r="F48" i="31"/>
  <c r="G39" i="4"/>
  <c r="F39" i="4"/>
  <c r="B39" i="4"/>
  <c r="C39" i="4"/>
  <c r="D39" i="4"/>
  <c r="E39" i="4"/>
  <c r="G47" i="4"/>
  <c r="B47" i="4"/>
  <c r="C47" i="4"/>
  <c r="D47" i="4"/>
  <c r="E47" i="4"/>
  <c r="F47" i="4"/>
  <c r="E46" i="7"/>
  <c r="F46" i="7"/>
  <c r="G46" i="7"/>
  <c r="D46" i="7"/>
  <c r="H46" i="7"/>
  <c r="B46" i="7"/>
  <c r="C46" i="7"/>
  <c r="D45" i="8"/>
  <c r="F45" i="8"/>
  <c r="H45" i="8"/>
  <c r="B45" i="8"/>
  <c r="B41" i="31"/>
  <c r="C41" i="31"/>
  <c r="D41" i="31"/>
  <c r="F41" i="31"/>
  <c r="E41" i="31"/>
  <c r="G41" i="31"/>
  <c r="B49" i="31"/>
  <c r="C49" i="31"/>
  <c r="D49" i="31"/>
  <c r="E49" i="31"/>
  <c r="F49" i="31"/>
  <c r="G49" i="31"/>
  <c r="C40" i="4"/>
  <c r="D40" i="4"/>
  <c r="F40" i="4"/>
  <c r="E40" i="4"/>
  <c r="B40" i="4"/>
  <c r="G40" i="4"/>
  <c r="C48" i="4"/>
  <c r="D48" i="4"/>
  <c r="E48" i="4"/>
  <c r="B48" i="4"/>
  <c r="F48" i="4"/>
  <c r="G48" i="4"/>
  <c r="F39" i="7"/>
  <c r="G39" i="7"/>
  <c r="H39" i="7"/>
  <c r="B39" i="7"/>
  <c r="E39" i="7"/>
  <c r="C39" i="7"/>
  <c r="D39" i="7"/>
  <c r="F47" i="7"/>
  <c r="E47" i="7"/>
  <c r="G47" i="7"/>
  <c r="H47" i="7"/>
  <c r="B47" i="7"/>
  <c r="C47" i="7"/>
  <c r="D47" i="7"/>
  <c r="B46" i="8"/>
  <c r="D46" i="8"/>
  <c r="F46" i="8"/>
  <c r="H46" i="8"/>
  <c r="D42" i="31"/>
  <c r="E42" i="31"/>
  <c r="F42" i="31"/>
  <c r="G42" i="31"/>
  <c r="C42" i="31"/>
  <c r="B42" i="31"/>
  <c r="D47" i="8"/>
  <c r="F47" i="8"/>
  <c r="H47" i="8"/>
  <c r="B47" i="8"/>
  <c r="D50" i="31"/>
  <c r="E50" i="31"/>
  <c r="F50" i="31"/>
  <c r="G50" i="31"/>
  <c r="C50" i="31"/>
  <c r="B50" i="31"/>
  <c r="E41" i="4"/>
  <c r="F41" i="4"/>
  <c r="G41" i="4"/>
  <c r="B41" i="4"/>
  <c r="C41" i="4"/>
  <c r="D41" i="4"/>
  <c r="E49" i="4"/>
  <c r="F49" i="4"/>
  <c r="G49" i="4"/>
  <c r="B49" i="4"/>
  <c r="C49" i="4"/>
  <c r="D49" i="4"/>
  <c r="G40" i="7"/>
  <c r="F40" i="7"/>
  <c r="H40" i="7"/>
  <c r="B40" i="7"/>
  <c r="C40" i="7"/>
  <c r="D40" i="7"/>
  <c r="E40" i="7"/>
  <c r="G48" i="7"/>
  <c r="H48" i="7"/>
  <c r="B48" i="7"/>
  <c r="C48" i="7"/>
  <c r="D48" i="7"/>
  <c r="E48" i="7"/>
  <c r="F48" i="7"/>
  <c r="D39" i="8"/>
  <c r="F39" i="8"/>
  <c r="B39" i="8"/>
  <c r="H39" i="8"/>
  <c r="F43" i="31"/>
  <c r="B43" i="31"/>
  <c r="E43" i="31"/>
  <c r="G43" i="31"/>
  <c r="C43" i="31"/>
  <c r="D43" i="31"/>
  <c r="G42" i="4"/>
  <c r="C42" i="4"/>
  <c r="D42" i="4"/>
  <c r="E42" i="4"/>
  <c r="B42" i="4"/>
  <c r="F42" i="4"/>
  <c r="C50" i="4"/>
  <c r="D50" i="4"/>
  <c r="E50" i="4"/>
  <c r="B50" i="4"/>
  <c r="F50" i="4"/>
  <c r="G50" i="4"/>
  <c r="H41" i="7"/>
  <c r="B41" i="7"/>
  <c r="G41" i="7"/>
  <c r="C41" i="7"/>
  <c r="D41" i="7"/>
  <c r="E41" i="7"/>
  <c r="F41" i="7"/>
  <c r="H49" i="7"/>
  <c r="B49" i="7"/>
  <c r="G49" i="7"/>
  <c r="C49" i="7"/>
  <c r="D49" i="7"/>
  <c r="E49" i="7"/>
  <c r="F49" i="7"/>
  <c r="B40" i="8"/>
  <c r="D40" i="8"/>
  <c r="F40" i="8"/>
  <c r="H40" i="8"/>
  <c r="B48" i="8"/>
  <c r="D48" i="8"/>
  <c r="F48" i="8"/>
  <c r="H48" i="8"/>
  <c r="B44" i="31"/>
  <c r="C44" i="31"/>
  <c r="D44" i="31"/>
  <c r="G44" i="31"/>
  <c r="E44" i="31"/>
  <c r="F44" i="31"/>
  <c r="C43" i="4"/>
  <c r="B43" i="4"/>
  <c r="D43" i="4"/>
  <c r="E43" i="4"/>
  <c r="F43" i="4"/>
  <c r="G43" i="4"/>
  <c r="B42" i="7"/>
  <c r="C42" i="7"/>
  <c r="D42" i="7"/>
  <c r="E42" i="7"/>
  <c r="F42" i="7"/>
  <c r="G42" i="7"/>
  <c r="H42" i="7"/>
  <c r="H50" i="7"/>
  <c r="B50" i="7"/>
  <c r="C50" i="7"/>
  <c r="E50" i="7"/>
  <c r="D50" i="7"/>
  <c r="F50" i="7"/>
  <c r="G50" i="7"/>
  <c r="D41" i="8"/>
  <c r="B41" i="8"/>
  <c r="F41" i="8"/>
  <c r="H41" i="8"/>
  <c r="D49" i="8"/>
  <c r="F49" i="8"/>
  <c r="H49" i="8"/>
  <c r="B49" i="8"/>
  <c r="B44" i="4"/>
  <c r="F44" i="4"/>
  <c r="G44" i="4"/>
  <c r="C44" i="4"/>
  <c r="E44" i="4"/>
  <c r="D44" i="4"/>
  <c r="D42" i="8"/>
  <c r="B42" i="8"/>
  <c r="F42" i="8"/>
  <c r="H42" i="8"/>
  <c r="B45" i="4"/>
  <c r="C45" i="4"/>
  <c r="D45" i="4"/>
  <c r="E45" i="4"/>
  <c r="F45" i="4"/>
  <c r="G45" i="4"/>
  <c r="B45" i="31"/>
  <c r="C45" i="31"/>
  <c r="D45" i="31"/>
  <c r="E45" i="31"/>
  <c r="F45" i="31"/>
  <c r="G45" i="31"/>
  <c r="B44" i="8"/>
  <c r="D44" i="8"/>
  <c r="F44" i="8"/>
  <c r="H44" i="8"/>
  <c r="G2" i="31"/>
  <c r="F2" i="31"/>
  <c r="C2" i="31"/>
  <c r="B2" i="31"/>
  <c r="B1" i="38" a="1"/>
  <c r="B1" i="38" s="1"/>
  <c r="B1" i="39" a="1"/>
  <c r="B1" i="39" s="1"/>
  <c r="B1" i="37" a="1"/>
  <c r="B1" i="37" s="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5" i="8" l="1"/>
  <c r="F35" i="8"/>
  <c r="D35" i="8"/>
  <c r="D31" i="8"/>
  <c r="B31" i="8"/>
  <c r="F31" i="8"/>
  <c r="B33" i="8"/>
  <c r="F33" i="8"/>
  <c r="D33" i="8"/>
  <c r="B25" i="8"/>
  <c r="D25" i="8"/>
  <c r="F25" i="8"/>
  <c r="B8" i="8"/>
  <c r="D8" i="8"/>
  <c r="F8" i="8"/>
  <c r="B22" i="8"/>
  <c r="D22" i="8"/>
  <c r="F22" i="8"/>
  <c r="B18" i="8"/>
  <c r="F18" i="8"/>
  <c r="D18" i="8"/>
  <c r="B27" i="8"/>
  <c r="F27" i="8"/>
  <c r="D27" i="8"/>
  <c r="B29" i="8"/>
  <c r="F29" i="8"/>
  <c r="D29" i="8"/>
  <c r="F23" i="8"/>
  <c r="D23" i="8"/>
  <c r="B23" i="8"/>
  <c r="B38" i="8"/>
  <c r="D38" i="8"/>
  <c r="F38" i="8"/>
  <c r="F14" i="8"/>
  <c r="B14" i="8"/>
  <c r="D14" i="8"/>
  <c r="B6" i="8"/>
  <c r="F6" i="8"/>
  <c r="D6" i="8"/>
  <c r="D5" i="8"/>
  <c r="B5" i="8"/>
  <c r="F5" i="8"/>
  <c r="B26" i="8"/>
  <c r="F26" i="8"/>
  <c r="D26" i="8"/>
  <c r="F2" i="8"/>
  <c r="B2" i="8"/>
  <c r="D2" i="8"/>
  <c r="B16" i="8"/>
  <c r="D16" i="8"/>
  <c r="F16" i="8"/>
  <c r="B32" i="8"/>
  <c r="F32" i="8"/>
  <c r="D32" i="8"/>
  <c r="F36" i="8"/>
  <c r="D36" i="8"/>
  <c r="B36" i="8"/>
  <c r="D21" i="8"/>
  <c r="F21" i="8"/>
  <c r="B21" i="8"/>
  <c r="D12" i="8"/>
  <c r="B12" i="8"/>
  <c r="F12" i="8"/>
  <c r="B17" i="8"/>
  <c r="F17" i="8"/>
  <c r="D17" i="8"/>
  <c r="B9" i="8"/>
  <c r="F9" i="8"/>
  <c r="D9" i="8"/>
  <c r="B24" i="8"/>
  <c r="D24" i="8"/>
  <c r="F24" i="8"/>
  <c r="B34" i="8"/>
  <c r="D34" i="8"/>
  <c r="F34" i="8"/>
  <c r="B13" i="8"/>
  <c r="D13" i="8"/>
  <c r="F13" i="8"/>
  <c r="B3" i="8"/>
  <c r="D3" i="8"/>
  <c r="F3" i="8"/>
  <c r="B15" i="8"/>
  <c r="D15" i="8"/>
  <c r="F15" i="8"/>
  <c r="B4" i="8"/>
  <c r="F4" i="8"/>
  <c r="D4" i="8"/>
  <c r="B30" i="8"/>
  <c r="D30" i="8"/>
  <c r="F30" i="8"/>
  <c r="F7" i="8"/>
  <c r="B7" i="8"/>
  <c r="D7" i="8"/>
  <c r="B10" i="8"/>
  <c r="F10" i="8"/>
  <c r="D10" i="8"/>
  <c r="B37" i="8"/>
  <c r="F37" i="8"/>
  <c r="D37" i="8"/>
  <c r="F28" i="8"/>
  <c r="B28" i="8"/>
  <c r="D28" i="8"/>
  <c r="B11" i="8"/>
  <c r="D11" i="8"/>
  <c r="F11" i="8"/>
  <c r="B20" i="8"/>
  <c r="F20" i="8"/>
  <c r="D20" i="8"/>
  <c r="B19" i="8"/>
  <c r="F19" i="8"/>
  <c r="D19" i="8"/>
  <c r="H35" i="4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H13" i="8" l="1"/>
  <c r="H31" i="8"/>
  <c r="H28" i="8"/>
  <c r="H26" i="8"/>
  <c r="H18" i="8"/>
  <c r="H6" i="8"/>
  <c r="H19" i="8"/>
  <c r="H27" i="8"/>
  <c r="H8" i="8"/>
  <c r="H36" i="8"/>
  <c r="H33" i="8"/>
  <c r="H5" i="8"/>
  <c r="H34" i="8"/>
  <c r="H16" i="8"/>
  <c r="H20" i="8"/>
  <c r="H21" i="8"/>
  <c r="H30" i="8"/>
  <c r="H29" i="8"/>
  <c r="H7" i="8"/>
  <c r="H3" i="8"/>
  <c r="H22" i="8"/>
  <c r="H11" i="8"/>
  <c r="H4" i="8"/>
  <c r="H2" i="8"/>
  <c r="H38" i="8"/>
  <c r="H10" i="8"/>
  <c r="H24" i="8"/>
  <c r="H12" i="8"/>
  <c r="H32" i="8"/>
  <c r="H23" i="8"/>
  <c r="H37" i="8"/>
  <c r="H15" i="8"/>
  <c r="H9" i="8"/>
  <c r="H14" i="8"/>
  <c r="H35" i="8"/>
  <c r="H17" i="8"/>
  <c r="H25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<sst xmlns="http://schemas.openxmlformats.org/spreadsheetml/2006/main" count="297" uniqueCount="226">
  <si>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</si>
  <si>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</si>
  <si>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</si>
  <si>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</si>
  <si>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</si>
  <si>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</si>
  <si>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</si>
  <si>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</si>
  <si>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</si>
  <si>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</si>
  <si>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</si>
  <si>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</si>
  <si>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</si>
  <si>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</si>
  <si>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</si>
  <si>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</si>
  <si>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</si>
  <si>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</si>
  <si>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</si>
  <si>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</si>
  <si>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</si>
  <si>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</si>
  <si>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</si>
  <si>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</si>
  <si>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</si>
  <si>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</si>
  <si>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</si>
  <si>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</si>
  <si>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</si>
  <si>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</si>
  <si>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</si>
  <si>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</si>
  <si>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</si>
  <si>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</si>
  <si>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</si>
  <si>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</si>
  <si>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</si>
  <si>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</si>
  <si>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</si>
  <si>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</si>
  <si>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</si>
  <si>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</si>
  <si>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</si>
  <si>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</si>
  <si>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</si>
  <si>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</si>
  <si>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</si>
  <si>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</si>
  <si>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</si>
  <si>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</si>
  <si>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</si>
  <si>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</si>
  <si>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</si>
  <si>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</si>
  <si>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</si>
  <si>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</si>
  <si>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</si>
  <si>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</si>
  <si>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</si>
  <si>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</si>
  <si>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</si>
  <si>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</si>
  <si>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</si>
  <si>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</si>
  <si>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</si>
  <si>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</si>
  <si>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</si>
  <si>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</si>
  <si>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</si>
  <si>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</si>
  <si>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</si>
  <si>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</si>
  <si>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https://www.schroders.com/en-gb/uk/intermediary/investment-solutions/fund-centre/#/fund/SCHDR_F000016P37/schroder-sustainable-portfolio-5/-/profile/?__returnURL=%2Ffund%2Fsearch%2Ffilter%3FcurrentPageParam%3D4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</si>
  <si>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</si>
  <si>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</si>
  <si>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</si>
  <si>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</si>
  <si>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</si>
  <si>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</si>
  <si>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</si>
  <si>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</si>
  <si>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</si>
  <si>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</si>
  <si>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</si>
  <si>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</si>
  <si>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</si>
  <si>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</si>
  <si>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</si>
  <si>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</si>
  <si>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</si>
  <si>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</si>
  <si>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</si>
  <si>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</si>
  <si>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</si>
  <si>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</si>
  <si>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</si>
  <si>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</si>
  <si>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</si>
  <si>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</si>
  <si>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</si>
  <si>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</si>
  <si>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</si>
  <si>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OCF (Incl MPS Fee)</t>
  </si>
  <si>
    <t>Model portfolio fee</t>
  </si>
  <si>
    <t>1 month</t>
  </si>
  <si>
    <t>1 year</t>
  </si>
  <si>
    <t>Annual Management Charge</t>
  </si>
  <si>
    <t>Emerging Market Debt</t>
  </si>
  <si>
    <t>Unclassified</t>
  </si>
  <si>
    <t>Asset class Absolute Return</t>
  </si>
  <si>
    <t>Asset class Aggregate Bonds</t>
  </si>
  <si>
    <t>Asset class Alternatives</t>
  </si>
  <si>
    <t>Asset class Asia Pacific ex Japan Equity</t>
  </si>
  <si>
    <t>Asset class Bond</t>
  </si>
  <si>
    <t>Asset class Cash</t>
  </si>
  <si>
    <t>Asset class Commodities</t>
  </si>
  <si>
    <t>Asset class Convertible</t>
  </si>
  <si>
    <t>Asset class Derivatives</t>
  </si>
  <si>
    <t>Asset class Emerging Market Debt  Bonds</t>
  </si>
  <si>
    <t>Asset class Emerging Market Debt Bonds</t>
  </si>
  <si>
    <t>Asset class Emerging Market Equity</t>
  </si>
  <si>
    <t>Asset class Europe Equity</t>
  </si>
  <si>
    <t>Asset class Global Equity</t>
  </si>
  <si>
    <t>Asset class Government bonds</t>
  </si>
  <si>
    <t>Asset class Hedge Funds</t>
  </si>
  <si>
    <t>Asset class Investment Grade Bonds</t>
  </si>
  <si>
    <t>Asset class Japan Equity</t>
  </si>
  <si>
    <t>Asset class Liquid Assets</t>
  </si>
  <si>
    <t>Asset class Other Equity</t>
  </si>
  <si>
    <t>Asset class Other</t>
  </si>
  <si>
    <t>Asset class Preferred</t>
  </si>
  <si>
    <t>Asset class Property</t>
  </si>
  <si>
    <t>Asset class Stock</t>
  </si>
  <si>
    <t>Asset class UK Equity</t>
  </si>
  <si>
    <t>Asset class USA Equity</t>
  </si>
  <si>
    <t>Region Africa</t>
  </si>
  <si>
    <t>Region Americas</t>
  </si>
  <si>
    <t>Region Asia - Developed</t>
  </si>
  <si>
    <t>Region Asia - Emerging</t>
  </si>
  <si>
    <t>Region Australasia</t>
  </si>
  <si>
    <t>Region Canada</t>
  </si>
  <si>
    <t>Region Developed country</t>
  </si>
  <si>
    <t>Region Emerging Market</t>
  </si>
  <si>
    <t>Region Europe (excluding UK)</t>
  </si>
  <si>
    <t>Region Europe - Emerging</t>
  </si>
  <si>
    <t>Region Europe - ex euro</t>
  </si>
  <si>
    <t>Region Europe ex-UK/Middle East</t>
  </si>
  <si>
    <t>Region Eurozone</t>
  </si>
  <si>
    <t>Region Global</t>
  </si>
  <si>
    <t>Region Japan</t>
  </si>
  <si>
    <t>Region Latin America</t>
  </si>
  <si>
    <t>Region Liquid Assets</t>
  </si>
  <si>
    <t>Region Middle East</t>
  </si>
  <si>
    <t>Region Other</t>
  </si>
  <si>
    <t>Region Pacific ex-Japan</t>
  </si>
  <si>
    <t>Region United Kingdom</t>
  </si>
  <si>
    <t>Region United States</t>
  </si>
  <si>
    <t>Sector Basic materials</t>
  </si>
  <si>
    <t>Sector Cash &amp; equivalents</t>
  </si>
  <si>
    <t>Sector Communication Services</t>
  </si>
  <si>
    <t>Sector Consumer cyclical</t>
  </si>
  <si>
    <t>Sector Consumer defensive</t>
  </si>
  <si>
    <t>Sector Corporate</t>
  </si>
  <si>
    <t>Sector Energy</t>
  </si>
  <si>
    <t>Sector Financial services</t>
  </si>
  <si>
    <t>Sector Government</t>
  </si>
  <si>
    <t>Sector Healthcare</t>
  </si>
  <si>
    <t>Sector Industrials</t>
  </si>
  <si>
    <t>Sector Other</t>
  </si>
  <si>
    <t>Sector Real estate</t>
  </si>
  <si>
    <t>Sector Securitized</t>
  </si>
  <si>
    <t>Sector Technology</t>
  </si>
  <si>
    <t>Sector Utilities</t>
  </si>
  <si>
    <t>Top 10 holdings Other</t>
  </si>
  <si>
    <t>Currency Other</t>
  </si>
  <si>
    <t>Top 10 holdings Cash</t>
  </si>
  <si>
    <t>Top 10 holdings Bond</t>
  </si>
  <si>
    <t>Top 5 holdings Other</t>
  </si>
  <si>
    <t>3 years</t>
  </si>
  <si>
    <t>5 years</t>
  </si>
  <si>
    <t>1 Year Performance</t>
  </si>
  <si>
    <t>3 Year Performance</t>
  </si>
  <si>
    <t>5 Year Performance</t>
  </si>
  <si>
    <t>High Yield</t>
  </si>
  <si>
    <t>Income Portfolio</t>
  </si>
  <si>
    <t>Managed Defensive Fund</t>
  </si>
  <si>
    <t>Schroder Global Multi-Asset Balanced Portfolio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</si>
  <si>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</si>
  <si>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</si>
  <si>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</si>
  <si>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</si>
  <si>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</si>
  <si>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</si>
  <si>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</si>
  <si>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</si>
  <si>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</si>
  <si>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</si>
  <si>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</si>
  <si>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</si>
  <si>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</si>
  <si>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</si>
  <si>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</si>
  <si>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</si>
  <si>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</si>
  <si>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</si>
  <si>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</si>
  <si>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</si>
  <si>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</si>
  <si>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</si>
  <si>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</si>
  <si>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</si>
  <si>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https://api.schroders.com/document-store/id/9c43dd3d-bb7e-4d3b-beaf-745bc9ab62e2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</si>
  <si>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</si>
  <si>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</si>
  <si>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https://api.schroders.com/document-store/id/855eed1e-56ce-4f73-b26f-f831f91a38a3</t>
  </si>
  <si>
    <t>https://api.schroders.com/document-store/id/166acb72-9ded-46b7-8110-1c8f8b625cfc</t>
  </si>
  <si>
    <t>https://api.schroders.com/document-store/id/19EA9860-3061-43EC-AA78-3F661DBD7CE8/</t>
  </si>
  <si>
    <t>https://api.schroders.com/document-store/SISCo-Schroder-Managed-Defensive-Fund-F-Acc-FMR-UKEN.pdf</t>
  </si>
  <si>
    <t>https://api.schroders.com/document-store/id/29a5c2e7-f3e9-4eec-a6da-fdd2f5a03764</t>
  </si>
  <si>
    <t>https://api.schroders.com/document-store/id/2fe0d208-7d7f-40cd-86c5-57b5da3fd8eb</t>
  </si>
  <si>
    <t>https://api.schroders.com/document-store/id/d4081afe-9aa0-4e2c-962a-8618e5af4b1f</t>
  </si>
  <si>
    <t>https://api.schroders.com/document-store/id/bf5b7394-15a9-4f0f-9007-61a4104737c9</t>
  </si>
  <si>
    <t>https://api.schroders.com/document-store/id/114ca7bc-261a-444f-b1d0-6fd6b90230b8</t>
  </si>
  <si>
    <t>https://api.schroders.com/document-store/id/43a8c565-1eea-456b-817b-84782a271d3a</t>
  </si>
  <si>
    <t>31.08.2023</t>
  </si>
  <si>
    <t>30.09.2023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</si>
</sst>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2" borderId="0" xfId="2" applyNumberFormat="1" applyFont="1" applyFill="1"/>
    <xf numFmtId="164" fontId="0" fillId="0" borderId="0" xfId="0" applyNumberFormat="1"/>
  </cellXfs>
  <cellStyles count="3">
    <cellStyle name="Гиперссылка" xfId="1" builtinId="8"/>
    <cellStyle name="Обычный" xfId="0" builtinId="0"/>
    <cellStyle name="Процентный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3" sqref="H3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B6" sqref="B6"/>
    </sheetView>
  </sheetViews>
  <sheetFormatPr defaultRowHeight="15" x14ac:dyDescent="0.25"/>
  <cols>
    <col min="1" max="1" width="50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29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30</v>
      </c>
      <c r="B5" t="str">
        <f>'PDF Scraping'!D4</f>
        <v>https://api.schroders.com/document-store/id/29f336b5-c5e8-4019-91f6-8d42047a0e29</v>
      </c>
    </row>
    <row r="6" spans="1:10" x14ac:dyDescent="0.25">
      <c r="A6" t="s">
        <v>31</v>
      </c>
      <c r="B6" t="str">
        <f>'PDF Scraping'!D5</f>
        <v>https://api.schroders.com/document-store/id/a831b089-14de-49f0-bc92-0160809a2b5f</v>
      </c>
    </row>
    <row r="7" spans="1:10" x14ac:dyDescent="0.25">
      <c r="A7" t="s">
        <v>32</v>
      </c>
      <c r="B7" t="str">
        <f>'PDF Scraping'!D6</f>
        <v>https://api.schroders.com/document-store/id/a5fea81f-c377-4586-b67d-c83915c0873e</v>
      </c>
    </row>
    <row r="8" spans="1:10" x14ac:dyDescent="0.25">
      <c r="A8" t="s">
        <v>33</v>
      </c>
      <c r="B8" t="str">
        <f>'PDF Scraping'!D7</f>
        <v>https://api.schroders.com/document-store/id/e0f19e3e-8b62-4ee7-97cb-8999c1c21480</v>
      </c>
    </row>
    <row r="9" spans="1:10" x14ac:dyDescent="0.25">
      <c r="A9" t="s">
        <v>34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35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36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46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47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48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49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50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51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52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53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54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64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65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66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67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68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69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76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77</v>
      </c>
      <c r="B28" t="str">
        <f>'PDF Scraping'!D27</f>
        <v>https://api.schroders.com/document-store/id/9c43dd3d-bb7e-4d3b-beaf-745bc9ab62e2</v>
      </c>
    </row>
    <row r="29" spans="1:2" x14ac:dyDescent="0.25">
      <c r="A29" t="s">
        <v>78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79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80</v>
      </c>
      <c r="B31" t="str">
        <f>'PDF Scraping'!D30</f>
        <v>https://api.schroders.com/document-store/id/855eed1e-56ce-4f73-b26f-f831f91a38a3</v>
      </c>
    </row>
    <row r="32" spans="1:2" x14ac:dyDescent="0.25">
      <c r="A32" t="s">
        <v>81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88</v>
      </c>
      <c r="B33" t="str">
        <f>'PDF Scraping'!D32</f>
        <v>https://api.schroders.com/document-store/id/19EA9860-3061-43EC-AA78-3F661DBD7CE8/</v>
      </c>
    </row>
    <row r="34" spans="1:2" x14ac:dyDescent="0.25">
      <c r="A34" t="s">
        <v>90</v>
      </c>
      <c r="B34" t="str">
        <f>'PDF Scraping'!D33</f>
        <v>https://api.schroders.com/document-store/SISCo-Schroder-Managed-Defensive-Fund-F-Acc-FMR-UKEN.pdf</v>
      </c>
    </row>
    <row r="35" spans="1:2" x14ac:dyDescent="0.25">
      <c r="A35" t="s">
        <v>92</v>
      </c>
      <c r="B35" t="str">
        <f>'PDF Scraping'!D34</f>
        <v>https://api.schroders.com/document-store/id/29a5c2e7-f3e9-4eec-a6da-fdd2f5a03764</v>
      </c>
    </row>
    <row r="36" spans="1:2" x14ac:dyDescent="0.25">
      <c r="A36" t="s">
        <v>94</v>
      </c>
      <c r="B36" t="str">
        <f>'PDF Scraping'!D35</f>
        <v>https://api.schroders.com/document-store/id/2fe0d208-7d7f-40cd-86c5-57b5da3fd8eb</v>
      </c>
    </row>
    <row r="37" spans="1:2" x14ac:dyDescent="0.25">
      <c r="A37" t="s">
        <v>186</v>
      </c>
      <c r="B37" t="str">
        <f>'PDF Scraping'!D36</f>
        <v>https://api.schroders.com/document-store/id/d4081afe-9aa0-4e2c-962a-8618e5af4b1f</v>
      </c>
    </row>
    <row r="38" spans="1:2" x14ac:dyDescent="0.25">
      <c r="A38" t="s">
        <v>98</v>
      </c>
      <c r="B38" t="str">
        <f>'PDF Scraping'!D37</f>
        <v>https://api.schroders.com/document-store/id/bf5b7394-15a9-4f0f-9007-61a4104737c9</v>
      </c>
    </row>
    <row r="39" spans="1:2" x14ac:dyDescent="0.25">
      <c r="A39" t="s">
        <v>100</v>
      </c>
      <c r="B39" t="str">
        <f>'PDF Scraping'!D38</f>
        <v>https://api.schroders.com/document-store/id/114ca7bc-261a-444f-b1d0-6fd6b90230b8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opLeftCell="B1" zoomScaleNormal="100" workbookViewId="0">
      <selection activeCell="B1" sqref="B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8" x14ac:dyDescent="0.25">
      <c r="B1" t="s">
        <v>22</v>
      </c>
      <c r="C1" t="s">
        <v>102</v>
      </c>
      <c r="D1" t="s">
        <v>103</v>
      </c>
      <c r="E1" t="s">
        <v>104</v>
      </c>
      <c r="F1" t="s">
        <v>105</v>
      </c>
      <c r="G1" t="s">
        <v>178</v>
      </c>
      <c r="H1" t="s">
        <v>179</v>
      </c>
    </row>
    <row r="2" spans="1:8" x14ac:dyDescent="0.25">
      <c r="A2" t="str">
        <f>IF(Input!A3="","",Input!A3)</f>
        <v>Schroder Active Portfolio 2</v>
      </c>
      <c r="B2" s="1" t="s">
        <v>224</v>
      </c>
      <c r="C2" s="11">
        <v>5.3E-3</v>
      </c>
      <c r="D2" s="11">
        <v>1.5E-3</v>
      </c>
      <c r="E2" s="11">
        <v>-2E-3</v>
      </c>
      <c r="F2" s="11">
        <v>8.0000000000000002E-3</v>
      </c>
      <c r="G2" s="11">
        <v>3.0000000000000001E-3</v>
      </c>
      <c r="H2" s="11">
        <v>4.5999999999999999E-2</v>
      </c>
    </row>
    <row r="3" spans="1:8" x14ac:dyDescent="0.25">
      <c r="A3" t="str">
        <f>IF(Input!A4="","",Input!A4)</f>
        <v>Schroder Active Portfolio 3</v>
      </c>
      <c r="B3" s="1" t="s">
        <v>224</v>
      </c>
      <c r="C3" s="11">
        <v>6.6E-3</v>
      </c>
      <c r="D3" s="11">
        <v>1.5E-3</v>
      </c>
      <c r="E3" s="11">
        <v>-5.0000000000000001E-3</v>
      </c>
      <c r="F3" s="11">
        <v>4.0000000000000001E-3</v>
      </c>
      <c r="G3" s="11">
        <v>1.8000000000000002E-2</v>
      </c>
      <c r="H3" s="11">
        <v>0.09</v>
      </c>
    </row>
    <row r="4" spans="1:8" x14ac:dyDescent="0.25">
      <c r="A4" t="str">
        <f>IF(Input!A5="","",Input!A5)</f>
        <v>Schroder Active Portfolio 4</v>
      </c>
      <c r="B4" s="1" t="s">
        <v>224</v>
      </c>
      <c r="C4" s="11">
        <v>7.3000000000000001E-3</v>
      </c>
      <c r="D4" s="11">
        <v>1.5E-3</v>
      </c>
      <c r="E4" s="11">
        <v>-6.9999999999999993E-3</v>
      </c>
      <c r="F4" s="11">
        <v>9.0000000000000011E-3</v>
      </c>
      <c r="G4" s="11">
        <v>5.2000000000000005E-2</v>
      </c>
      <c r="H4" s="11">
        <v>0.11599999999999999</v>
      </c>
    </row>
    <row r="5" spans="1:8" x14ac:dyDescent="0.25">
      <c r="A5" t="str">
        <f>IF(Input!A6="","",Input!A6)</f>
        <v>Schroder Active Portfolio 5</v>
      </c>
      <c r="B5" s="1" t="s">
        <v>224</v>
      </c>
      <c r="C5" s="11">
        <v>7.7000000000000002E-3</v>
      </c>
      <c r="D5" s="11">
        <v>1.5E-3</v>
      </c>
      <c r="E5" s="11">
        <v>-8.0000000000000002E-3</v>
      </c>
      <c r="F5" s="11">
        <v>1.3000000000000001E-2</v>
      </c>
      <c r="G5" s="11">
        <v>8.1000000000000003E-2</v>
      </c>
      <c r="H5" s="11">
        <v>0.14099999999999999</v>
      </c>
    </row>
    <row r="6" spans="1:8" x14ac:dyDescent="0.25">
      <c r="A6" t="str">
        <f>IF(Input!A7="","",Input!A7)</f>
        <v>Schroder Active Portfolio 6</v>
      </c>
      <c r="B6" s="1" t="s">
        <v>224</v>
      </c>
      <c r="C6" s="11">
        <v>8.1000000000000013E-3</v>
      </c>
      <c r="D6" s="11">
        <v>1.5E-3</v>
      </c>
      <c r="E6" s="11">
        <v>-9.0000000000000011E-3</v>
      </c>
      <c r="F6" s="11">
        <v>1.9E-2</v>
      </c>
      <c r="G6" s="11">
        <v>0.11900000000000001</v>
      </c>
      <c r="H6" s="11">
        <v>0.20199999999999999</v>
      </c>
    </row>
    <row r="7" spans="1:8" x14ac:dyDescent="0.25">
      <c r="A7" t="str">
        <f>IF(Input!A8="","",Input!A8)</f>
        <v>Schroder Active Portfolio 7</v>
      </c>
      <c r="B7" s="1" t="s">
        <v>224</v>
      </c>
      <c r="C7" s="11">
        <v>8.3000000000000001E-3</v>
      </c>
      <c r="D7" s="11">
        <v>1.5E-3</v>
      </c>
      <c r="E7" s="11">
        <v>-1.1000000000000001E-2</v>
      </c>
      <c r="F7" s="11">
        <v>2.6000000000000002E-2</v>
      </c>
      <c r="G7" s="11">
        <v>0.14800000000000002</v>
      </c>
      <c r="H7" s="11">
        <v>0.26700000000000002</v>
      </c>
    </row>
    <row r="8" spans="1:8" x14ac:dyDescent="0.25">
      <c r="A8" t="str">
        <f>IF(Input!A9="","",Input!A9)</f>
        <v>Schroder Active Portfolio 8</v>
      </c>
      <c r="B8" s="1" t="s">
        <v>224</v>
      </c>
      <c r="C8" s="11">
        <v>8.5000000000000006E-3</v>
      </c>
      <c r="D8" s="11">
        <v>1.5E-3</v>
      </c>
      <c r="E8" s="11">
        <v>-1.3000000000000001E-2</v>
      </c>
      <c r="F8" s="11">
        <v>3.2000000000000001E-2</v>
      </c>
      <c r="G8" s="11">
        <v>0.17399999999999999</v>
      </c>
      <c r="H8" s="11">
        <v>0.315</v>
      </c>
    </row>
    <row r="9" spans="1:8" x14ac:dyDescent="0.25">
      <c r="A9" t="str">
        <f>IF(Input!A10="","",Input!A10)</f>
        <v>Schroder Active Portfolio 9</v>
      </c>
      <c r="B9" s="1" t="s">
        <v>224</v>
      </c>
      <c r="C9" s="11">
        <v>8.6999999999999994E-3</v>
      </c>
      <c r="D9" s="11">
        <v>1.5E-3</v>
      </c>
      <c r="E9" s="11">
        <v>-1.6E-2</v>
      </c>
      <c r="F9" s="11">
        <v>3.9E-2</v>
      </c>
      <c r="G9" s="11">
        <v>0.17899999999999999</v>
      </c>
      <c r="H9" s="11">
        <v>0.36</v>
      </c>
    </row>
    <row r="10" spans="1:8" x14ac:dyDescent="0.25">
      <c r="A10" t="str">
        <f>IF(Input!A11="","",Input!A11)</f>
        <v>Schroder Active Portfolio 10</v>
      </c>
      <c r="B10" s="1" t="s">
        <v>224</v>
      </c>
      <c r="C10" s="11">
        <v>9.0000000000000011E-3</v>
      </c>
      <c r="D10" s="11">
        <v>1.5E-3</v>
      </c>
      <c r="E10" s="11">
        <v>-2.2000000000000002E-2</v>
      </c>
      <c r="F10" s="11">
        <v>1.4999999999999999E-2</v>
      </c>
      <c r="G10" s="11">
        <v>0.13300000000000001</v>
      </c>
      <c r="H10" s="11">
        <v>0.26500000000000001</v>
      </c>
    </row>
    <row r="11" spans="1:8" x14ac:dyDescent="0.25">
      <c r="A11" t="str">
        <f>IF(Input!A12="","",Input!A12)</f>
        <v>Schroder Strategic Index Portfolio 2</v>
      </c>
      <c r="B11" s="1" t="s">
        <v>224</v>
      </c>
      <c r="C11" s="11">
        <v>2.3999999999999998E-3</v>
      </c>
      <c r="D11" s="11">
        <v>1.5E-3</v>
      </c>
      <c r="E11" s="11">
        <v>-2E-3</v>
      </c>
      <c r="F11" s="11">
        <v>6.9999999999999993E-3</v>
      </c>
      <c r="G11" s="11">
        <v>-2.5000000000000001E-2</v>
      </c>
      <c r="H11" s="11">
        <v>3.5000000000000003E-2</v>
      </c>
    </row>
    <row r="12" spans="1:8" x14ac:dyDescent="0.25">
      <c r="A12" t="str">
        <f>IF(Input!A13="","",Input!A13)</f>
        <v>Schroder Strategic Index Portfolio 3</v>
      </c>
      <c r="B12" s="1" t="s">
        <v>224</v>
      </c>
      <c r="C12" s="11">
        <v>2.3999999999999998E-3</v>
      </c>
      <c r="D12" s="11">
        <v>1.5E-3</v>
      </c>
      <c r="E12" s="11">
        <v>-6.0000000000000001E-3</v>
      </c>
      <c r="F12" s="11">
        <v>3.0000000000000001E-3</v>
      </c>
      <c r="G12" s="11">
        <v>-1.4999999999999999E-2</v>
      </c>
      <c r="H12" s="11">
        <v>6.2E-2</v>
      </c>
    </row>
    <row r="13" spans="1:8" x14ac:dyDescent="0.25">
      <c r="A13" t="str">
        <f>IF(Input!A14="","",Input!A14)</f>
        <v>Schroder Strategic Index Portfolio 4</v>
      </c>
      <c r="B13" s="1" t="s">
        <v>224</v>
      </c>
      <c r="C13" s="11">
        <v>2.3999999999999998E-3</v>
      </c>
      <c r="D13" s="11">
        <v>1.5E-3</v>
      </c>
      <c r="E13" s="11">
        <v>-8.0000000000000002E-3</v>
      </c>
      <c r="F13" s="11">
        <v>1.1000000000000001E-2</v>
      </c>
      <c r="G13" s="11">
        <v>3.5000000000000003E-2</v>
      </c>
      <c r="H13" s="11">
        <v>0.106</v>
      </c>
    </row>
    <row r="14" spans="1:8" x14ac:dyDescent="0.25">
      <c r="A14" t="str">
        <f>IF(Input!A15="","",Input!A15)</f>
        <v>Schroder Strategic Index Portfolio 5</v>
      </c>
      <c r="B14" s="1" t="s">
        <v>224</v>
      </c>
      <c r="C14" s="11">
        <v>2.5000000000000001E-3</v>
      </c>
      <c r="D14" s="11">
        <v>1.5E-3</v>
      </c>
      <c r="E14" s="11">
        <v>-9.0000000000000011E-3</v>
      </c>
      <c r="F14" s="11">
        <v>1.7000000000000001E-2</v>
      </c>
      <c r="G14" s="11">
        <v>7.2000000000000008E-2</v>
      </c>
      <c r="H14" s="11">
        <v>0.14699999999999999</v>
      </c>
    </row>
    <row r="15" spans="1:8" x14ac:dyDescent="0.25">
      <c r="A15" t="str">
        <f>IF(Input!A16="","",Input!A16)</f>
        <v>Schroder Strategic Index Portfolio 6</v>
      </c>
      <c r="B15" s="1" t="s">
        <v>224</v>
      </c>
      <c r="C15" s="11">
        <v>2.5000000000000001E-3</v>
      </c>
      <c r="D15" s="11">
        <v>1.5E-3</v>
      </c>
      <c r="E15" s="11">
        <v>-1.1000000000000001E-2</v>
      </c>
      <c r="F15" s="11">
        <v>2.5000000000000001E-2</v>
      </c>
      <c r="G15" s="11">
        <v>0.12300000000000001</v>
      </c>
      <c r="H15" s="11">
        <v>0.19600000000000001</v>
      </c>
    </row>
    <row r="16" spans="1:8" x14ac:dyDescent="0.25">
      <c r="A16" t="str">
        <f>IF(Input!A17="","",Input!A17)</f>
        <v>Schroder Strategic Index Portfolio 7</v>
      </c>
      <c r="B16" s="1" t="s">
        <v>224</v>
      </c>
      <c r="C16" s="11">
        <v>2.5000000000000001E-3</v>
      </c>
      <c r="D16" s="11">
        <v>1.5E-3</v>
      </c>
      <c r="E16" s="11">
        <v>-1.2E-2</v>
      </c>
      <c r="F16" s="11">
        <v>3.2000000000000001E-2</v>
      </c>
      <c r="G16" s="11">
        <v>0.17899999999999999</v>
      </c>
      <c r="H16" s="11">
        <v>0.24100000000000002</v>
      </c>
    </row>
    <row r="17" spans="1:8" x14ac:dyDescent="0.25">
      <c r="A17" t="str">
        <f>IF(Input!A18="","",Input!A18)</f>
        <v>Schroder Strategic Index Portfolio 8</v>
      </c>
      <c r="B17" s="1" t="s">
        <v>224</v>
      </c>
      <c r="C17" s="11">
        <v>2.5000000000000001E-3</v>
      </c>
      <c r="D17" s="11">
        <v>1.5E-3</v>
      </c>
      <c r="E17" s="11">
        <v>-1.4999999999999999E-2</v>
      </c>
      <c r="F17" s="11">
        <v>3.7000000000000005E-2</v>
      </c>
      <c r="G17" s="11">
        <v>0.22600000000000001</v>
      </c>
      <c r="H17" s="11">
        <v>0.28800000000000003</v>
      </c>
    </row>
    <row r="18" spans="1:8" x14ac:dyDescent="0.25">
      <c r="A18" t="str">
        <f>IF(Input!A19="","",Input!A19)</f>
        <v>Schroder Strategic Index Portfolio 9</v>
      </c>
      <c r="B18" s="1" t="s">
        <v>224</v>
      </c>
      <c r="C18" s="11">
        <v>2.5999999999999999E-3</v>
      </c>
      <c r="D18" s="11">
        <v>1.5E-3</v>
      </c>
      <c r="E18" s="11">
        <v>-1.9E-2</v>
      </c>
      <c r="F18" s="11">
        <v>3.5000000000000003E-2</v>
      </c>
      <c r="G18" s="11">
        <v>0.214</v>
      </c>
      <c r="H18" s="11">
        <v>0.28100000000000003</v>
      </c>
    </row>
    <row r="19" spans="1:8" x14ac:dyDescent="0.25">
      <c r="A19" t="str">
        <f>IF(Input!A20="","",Input!A20)</f>
        <v>Schroder Strategic Index Portfolio 10</v>
      </c>
      <c r="B19" s="1" t="s">
        <v>224</v>
      </c>
      <c r="C19" s="11">
        <v>2.7000000000000001E-3</v>
      </c>
      <c r="D19" s="11">
        <v>1.5E-3</v>
      </c>
      <c r="E19" s="11">
        <v>-2.6000000000000002E-2</v>
      </c>
      <c r="F19" s="11">
        <v>2E-3</v>
      </c>
      <c r="G19" s="11">
        <v>0.14800000000000002</v>
      </c>
      <c r="H19" s="11">
        <v>0.23199999999999998</v>
      </c>
    </row>
    <row r="20" spans="1:8" x14ac:dyDescent="0.25">
      <c r="A20" t="str">
        <f>IF(Input!A21="","",Input!A21)</f>
        <v>Schroder Sustainable Portfolio 3</v>
      </c>
      <c r="B20" s="1" t="s">
        <v>224</v>
      </c>
      <c r="C20" s="11">
        <v>6.1999999999999998E-3</v>
      </c>
      <c r="D20" s="11">
        <v>1.5E-3</v>
      </c>
      <c r="E20" s="11">
        <v>-6.0000000000000001E-3</v>
      </c>
      <c r="F20" s="11">
        <v>-5.0000000000000001E-3</v>
      </c>
      <c r="G20" s="11">
        <v>-1E-3</v>
      </c>
      <c r="H20" s="11">
        <v>0.10199999999999999</v>
      </c>
    </row>
    <row r="21" spans="1:8" x14ac:dyDescent="0.25">
      <c r="A21" t="str">
        <f>IF(Input!A22="","",Input!A22)</f>
        <v>Schroder Sustainable Portfolio 4</v>
      </c>
      <c r="B21" s="1" t="s">
        <v>224</v>
      </c>
      <c r="C21" s="11">
        <v>6.9999999999999993E-3</v>
      </c>
      <c r="D21" s="11">
        <v>1.5E-3</v>
      </c>
      <c r="E21" s="11">
        <v>-1.1000000000000001E-2</v>
      </c>
      <c r="F21" s="11">
        <v>-3.0000000000000001E-3</v>
      </c>
      <c r="G21" s="11">
        <v>0</v>
      </c>
      <c r="H21" s="11">
        <v>0</v>
      </c>
    </row>
    <row r="22" spans="1:8" x14ac:dyDescent="0.25">
      <c r="A22" t="str">
        <f>IF(Input!A23="","",Input!A23)</f>
        <v>Schroder Sustainable Portfolio 5</v>
      </c>
      <c r="B22" s="1" t="s">
        <v>224</v>
      </c>
      <c r="C22" s="11">
        <v>7.4000000000000003E-3</v>
      </c>
      <c r="D22" s="11">
        <v>1.5E-3</v>
      </c>
      <c r="E22" s="11">
        <v>-1.3999999999999999E-2</v>
      </c>
      <c r="F22" s="11">
        <v>-1E-3</v>
      </c>
      <c r="G22" s="11">
        <v>5.2999999999999999E-2</v>
      </c>
      <c r="H22" s="11">
        <v>0.16899999999999998</v>
      </c>
    </row>
    <row r="23" spans="1:8" x14ac:dyDescent="0.25">
      <c r="A23" t="str">
        <f>IF(Input!A24="","",Input!A24)</f>
        <v>Schroder Sustainable Portfolio 6</v>
      </c>
      <c r="B23" s="1" t="s">
        <v>224</v>
      </c>
      <c r="C23" s="11">
        <v>7.9000000000000008E-3</v>
      </c>
      <c r="D23" s="11">
        <v>1.5E-3</v>
      </c>
      <c r="E23" s="11">
        <v>-1.7000000000000001E-2</v>
      </c>
      <c r="F23" s="11">
        <v>3.0000000000000001E-3</v>
      </c>
      <c r="G23" s="11">
        <v>0</v>
      </c>
      <c r="H23" s="11">
        <v>0</v>
      </c>
    </row>
    <row r="24" spans="1:8" x14ac:dyDescent="0.25">
      <c r="A24" t="str">
        <f>IF(Input!A25="","",Input!A25)</f>
        <v>Schroder Sustainable Portfolio 7</v>
      </c>
      <c r="B24" s="1" t="s">
        <v>224</v>
      </c>
      <c r="C24" s="11">
        <v>8.3000000000000001E-3</v>
      </c>
      <c r="D24" s="11">
        <v>1.5E-3</v>
      </c>
      <c r="E24" s="11">
        <v>-2.1000000000000001E-2</v>
      </c>
      <c r="F24" s="11">
        <v>6.9999999999999993E-3</v>
      </c>
      <c r="G24" s="11">
        <v>0.11</v>
      </c>
      <c r="H24" s="11">
        <v>0.247</v>
      </c>
    </row>
    <row r="25" spans="1:8" x14ac:dyDescent="0.25">
      <c r="A25" t="str">
        <f>IF(Input!A26="","",Input!A26)</f>
        <v>Schroder Sustainable Portfolio 8</v>
      </c>
      <c r="B25" s="7" t="s">
        <v>224</v>
      </c>
      <c r="C25" s="11">
        <v>8.6E-3</v>
      </c>
      <c r="D25" s="11">
        <v>1.5E-3</v>
      </c>
      <c r="E25" s="11">
        <v>-2.5000000000000001E-2</v>
      </c>
      <c r="F25" s="11">
        <v>1.1000000000000001E-2</v>
      </c>
      <c r="G25" s="11">
        <v>0</v>
      </c>
      <c r="H25" s="11">
        <v>0</v>
      </c>
    </row>
    <row r="26" spans="1:8" x14ac:dyDescent="0.25">
      <c r="A26" t="str">
        <f>IF(Input!A27="","",Input!A27)</f>
        <v>Schroder Blended Portfolio 3</v>
      </c>
      <c r="B26" s="7" t="s">
        <v>225</v>
      </c>
      <c r="C26" s="11">
        <v>5.3E-3</v>
      </c>
      <c r="D26" s="11">
        <v>0</v>
      </c>
      <c r="E26" s="11">
        <v>-0.01</v>
      </c>
      <c r="F26" s="11">
        <v>1.9E-2</v>
      </c>
      <c r="G26" s="11">
        <v>6.0000000000000001E-3</v>
      </c>
      <c r="H26" s="11">
        <v>0</v>
      </c>
    </row>
    <row r="27" spans="1:8" x14ac:dyDescent="0.25">
      <c r="A27" t="str">
        <f>IF(Input!A28="","",Input!A28)</f>
        <v>Schroder Blended Portfolio 4</v>
      </c>
      <c r="B27" s="7" t="s">
        <v>225</v>
      </c>
      <c r="C27" s="11">
        <v>5.8999999999999999E-3</v>
      </c>
      <c r="D27" s="11">
        <v>0</v>
      </c>
      <c r="E27" s="11">
        <v>-9.0000000000000011E-3</v>
      </c>
      <c r="F27" s="11">
        <v>2.8999999999999998E-2</v>
      </c>
      <c r="G27" s="11">
        <v>5.7999999999999996E-2</v>
      </c>
      <c r="H27" s="11">
        <v>0</v>
      </c>
    </row>
    <row r="28" spans="1:8" x14ac:dyDescent="0.25">
      <c r="A28" t="str">
        <f>IF(Input!A29="","",Input!A29)</f>
        <v>Schroder Blended Portfolio 5</v>
      </c>
      <c r="B28" s="7" t="s">
        <v>225</v>
      </c>
      <c r="C28" s="11">
        <v>6.0999999999999995E-3</v>
      </c>
      <c r="D28" s="11">
        <v>0</v>
      </c>
      <c r="E28" s="11">
        <v>-8.0000000000000002E-3</v>
      </c>
      <c r="F28" s="11">
        <v>3.6000000000000004E-2</v>
      </c>
      <c r="G28" s="11">
        <v>9.1999999999999998E-2</v>
      </c>
      <c r="H28" s="11">
        <v>0</v>
      </c>
    </row>
    <row r="29" spans="1:8" x14ac:dyDescent="0.25">
      <c r="A29" t="str">
        <f>IF(Input!A30="","",Input!A30)</f>
        <v>Schroder Blended Portfolio 6</v>
      </c>
      <c r="B29" s="7" t="s">
        <v>225</v>
      </c>
      <c r="C29" s="11">
        <v>6.4000000000000003E-3</v>
      </c>
      <c r="D29" s="11">
        <v>0</v>
      </c>
      <c r="E29" s="11">
        <v>-6.9999999999999993E-3</v>
      </c>
      <c r="F29" s="11">
        <v>4.5999999999999999E-2</v>
      </c>
      <c r="G29" s="11">
        <v>0.13699999999999998</v>
      </c>
      <c r="H29" s="11">
        <v>0</v>
      </c>
    </row>
    <row r="30" spans="1:8" x14ac:dyDescent="0.25">
      <c r="A30" t="str">
        <f>IF(Input!A31="","",Input!A31)</f>
        <v>Schroder Blended Portfolio 7</v>
      </c>
      <c r="B30" s="7" t="s">
        <v>225</v>
      </c>
      <c r="C30" s="11">
        <v>6.5000000000000006E-3</v>
      </c>
      <c r="D30" s="11">
        <v>0</v>
      </c>
      <c r="E30" s="11">
        <v>-6.0000000000000001E-3</v>
      </c>
      <c r="F30" s="11">
        <v>5.5E-2</v>
      </c>
      <c r="G30" s="11">
        <v>0.19899999999999998</v>
      </c>
      <c r="H30" s="11">
        <v>0</v>
      </c>
    </row>
    <row r="31" spans="1:8" x14ac:dyDescent="0.25">
      <c r="A31" t="str">
        <f>IF(Input!A32="","",Input!A32)</f>
        <v>Schroder Blended Portfolio 8</v>
      </c>
      <c r="B31" s="7" t="s">
        <v>225</v>
      </c>
      <c r="C31" s="11">
        <v>6.5000000000000006E-3</v>
      </c>
      <c r="D31" s="11">
        <v>0</v>
      </c>
      <c r="E31" s="11">
        <v>-5.0000000000000001E-3</v>
      </c>
      <c r="F31" s="11">
        <v>6.3E-2</v>
      </c>
      <c r="G31" s="11">
        <v>0.22</v>
      </c>
      <c r="H31" s="11">
        <v>0</v>
      </c>
    </row>
    <row r="32" spans="1:8" x14ac:dyDescent="0.25">
      <c r="A32" t="str">
        <f>IF(Input!A33="","",Input!A33)</f>
        <v>Schroder Income Portfolio</v>
      </c>
      <c r="B32" s="7" t="s">
        <v>225</v>
      </c>
      <c r="C32" s="11">
        <v>7.6E-3</v>
      </c>
      <c r="D32" s="11">
        <v>0</v>
      </c>
      <c r="E32" s="11">
        <v>-5.0000000000000001E-3</v>
      </c>
      <c r="F32" s="11">
        <v>5.0999999999999997E-2</v>
      </c>
      <c r="G32" s="11">
        <v>0.19800000000000001</v>
      </c>
      <c r="H32" s="11">
        <v>0.115</v>
      </c>
    </row>
    <row r="33" spans="1:8" x14ac:dyDescent="0.25">
      <c r="A33" t="str">
        <f>IF(Input!A34="","",Input!A34)</f>
        <v>Schroder Managed Defensive Fund</v>
      </c>
      <c r="B33" s="7" t="s">
        <v>225</v>
      </c>
      <c r="C33" s="11">
        <v>1.9E-3</v>
      </c>
      <c r="D33" s="11">
        <v>0</v>
      </c>
      <c r="E33" s="11">
        <v>-8.0000000000000002E-3</v>
      </c>
      <c r="F33" s="11">
        <v>2.2000000000000002E-2</v>
      </c>
      <c r="G33" s="11">
        <v>-1E-3</v>
      </c>
      <c r="H33" s="11">
        <v>4.7E-2</v>
      </c>
    </row>
    <row r="34" spans="1:8" x14ac:dyDescent="0.25">
      <c r="A34" t="str">
        <f>IF(Input!A35="","",Input!A35)</f>
        <v>Schroder Global Multi-Asset Cautious Portfolio</v>
      </c>
      <c r="B34" s="7" t="s">
        <v>225</v>
      </c>
      <c r="C34" s="11">
        <v>2E-3</v>
      </c>
      <c r="D34" s="11">
        <v>0</v>
      </c>
      <c r="E34" s="11">
        <v>-1.6E-2</v>
      </c>
      <c r="F34" s="11">
        <v>2.7999999999999997E-2</v>
      </c>
      <c r="G34" s="11">
        <v>-2.3E-2</v>
      </c>
      <c r="H34" s="11">
        <v>4.7E-2</v>
      </c>
    </row>
    <row r="35" spans="1:8" x14ac:dyDescent="0.25">
      <c r="A35" t="str">
        <f>IF(Input!A36="","",Input!A36)</f>
        <v>Schroder Global Multi-Asset Moderately Cautious Portfolio</v>
      </c>
      <c r="B35" t="s">
        <v>225</v>
      </c>
      <c r="C35" s="11">
        <v>2E-3</v>
      </c>
      <c r="D35" s="11">
        <v>0</v>
      </c>
      <c r="E35" s="11">
        <v>-1.3999999999999999E-2</v>
      </c>
      <c r="F35" s="11">
        <v>4.2000000000000003E-2</v>
      </c>
      <c r="G35" s="11">
        <v>3.3000000000000002E-2</v>
      </c>
      <c r="H35" s="11">
        <v>7.400000000000001E-2</v>
      </c>
    </row>
    <row r="36" spans="1:8" x14ac:dyDescent="0.25">
      <c r="A36" t="str">
        <f>IF(Input!A37="","",Input!A37)</f>
        <v>Schroder Global Multi-Asset Balanced Portfolio</v>
      </c>
      <c r="B36" t="s">
        <v>225</v>
      </c>
      <c r="C36" s="11">
        <v>2E-3</v>
      </c>
      <c r="D36" s="11">
        <v>0</v>
      </c>
      <c r="E36" s="11">
        <v>-1.2E-2</v>
      </c>
      <c r="F36" s="11">
        <v>5.5999999999999994E-2</v>
      </c>
      <c r="G36" s="11">
        <v>7.8E-2</v>
      </c>
      <c r="H36" s="11">
        <v>0.10199999999999999</v>
      </c>
    </row>
    <row r="37" spans="1:8" x14ac:dyDescent="0.25">
      <c r="A37" t="str">
        <f>IF(Input!A38="","",Input!A38)</f>
        <v>Schroder Global Multi-Asset Growth Portfolio</v>
      </c>
      <c r="B37" t="s">
        <v>225</v>
      </c>
      <c r="C37" s="11">
        <v>2E-3</v>
      </c>
      <c r="D37" s="11">
        <v>0</v>
      </c>
      <c r="E37" s="11">
        <v>-9.0000000000000011E-3</v>
      </c>
      <c r="F37" s="11">
        <v>7.2000000000000008E-2</v>
      </c>
      <c r="G37" s="11">
        <v>0.13300000000000001</v>
      </c>
      <c r="H37" s="11">
        <v>0.13500000000000001</v>
      </c>
    </row>
    <row r="38" spans="1:8" x14ac:dyDescent="0.25">
      <c r="A38" t="str">
        <f>IF(Input!A39="","",Input!A39)</f>
        <v>Schroder Global Multi-Asset Adventurous Portfolio</v>
      </c>
      <c r="B38" t="s">
        <v>225</v>
      </c>
      <c r="C38" s="11">
        <v>2E-3</v>
      </c>
      <c r="D38" s="11">
        <v>0</v>
      </c>
      <c r="E38" s="11">
        <v>-6.0000000000000001E-3</v>
      </c>
      <c r="F38" s="11">
        <v>8.5999999999999993E-2</v>
      </c>
      <c r="G38" s="11">
        <v>0.19399999999999998</v>
      </c>
      <c r="H38" s="11">
        <v>0.17499999999999999</v>
      </c>
    </row>
    <row r="39" spans="1:8" x14ac:dyDescent="0.25">
      <c r="A39" t="str">
        <f>IF(Input!A40="","",Input!A40)</f>
        <v/>
      </c>
    </row>
    <row r="40" spans="1:8" x14ac:dyDescent="0.25">
      <c r="A40" t="str">
        <f>IF(Input!A41="","",Input!A41)</f>
        <v/>
      </c>
    </row>
    <row r="41" spans="1:8" x14ac:dyDescent="0.25">
      <c r="A41" t="str">
        <f>IF(Input!A42="","",Input!A42)</f>
        <v/>
      </c>
    </row>
    <row r="42" spans="1:8" x14ac:dyDescent="0.25">
      <c r="A42" t="str">
        <f>IF(Input!A43="","",Input!A43)</f>
        <v/>
      </c>
    </row>
    <row r="43" spans="1:8" x14ac:dyDescent="0.25">
      <c r="A43" t="str">
        <f>IF(Input!A44="","",Input!A44)</f>
        <v/>
      </c>
    </row>
    <row r="44" spans="1:8" x14ac:dyDescent="0.25">
      <c r="A44" t="str">
        <f>IF(Input!A45="","",Input!A45)</f>
        <v/>
      </c>
    </row>
    <row r="45" spans="1:8" x14ac:dyDescent="0.25">
      <c r="A45" t="str">
        <f>IF(Input!A46="","",Input!A46)</f>
        <v/>
      </c>
    </row>
    <row r="46" spans="1:8" x14ac:dyDescent="0.25">
      <c r="A46" t="str">
        <f>IF(Input!A47="","",Input!A47)</f>
        <v/>
      </c>
    </row>
    <row r="47" spans="1:8" x14ac:dyDescent="0.25">
      <c r="A47" t="str">
        <f>IF(Input!A48="","",Input!A48)</f>
        <v/>
      </c>
    </row>
    <row r="48" spans="1: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R132"/>
  <sheetViews>
    <sheetView tabSelected="1" workbookViewId="0">
      <selection activeCell="E29" sqref="E29"/>
    </sheetView>
  </sheetViews>
  <sheetFormatPr defaultRowHeight="15" x14ac:dyDescent="0.25"/>
  <cols>
    <col min="1" max="1" width="50.42578125" bestFit="1" customWidth="1"/>
    <col min="2" max="2" width="23.85546875" bestFit="1" customWidth="1"/>
    <col min="3" max="3" width="24.28515625" bestFit="1" customWidth="1"/>
    <col min="4" max="4" width="20.140625" bestFit="1" customWidth="1"/>
    <col min="5" max="5" width="32.85546875" bestFit="1" customWidth="1"/>
    <col min="6" max="6" width="14.5703125" bestFit="1" customWidth="1"/>
    <col min="7" max="7" width="14.140625" bestFit="1" customWidth="1"/>
    <col min="8" max="8" width="21.42578125" bestFit="1" customWidth="1"/>
    <col min="9" max="9" width="19.85546875" bestFit="1" customWidth="1"/>
    <col min="10" max="10" width="19.42578125" bestFit="1" customWidth="1"/>
    <col min="11" max="11" width="35.42578125" bestFit="1" customWidth="1"/>
    <col min="12" max="12" width="34.85546875" bestFit="1" customWidth="1"/>
    <col min="13" max="13" width="30.42578125" bestFit="1" customWidth="1"/>
    <col min="14" max="14" width="22" bestFit="1" customWidth="1"/>
    <col min="15" max="15" width="21.42578125" bestFit="1" customWidth="1"/>
    <col min="16" max="16" width="26.5703125" bestFit="1" customWidth="1"/>
    <col min="17" max="17" width="21.140625" bestFit="1" customWidth="1"/>
    <col min="18" max="18" width="31.140625" bestFit="1" customWidth="1"/>
    <col min="19" max="19" width="20.7109375" bestFit="1" customWidth="1"/>
    <col min="20" max="20" width="21.140625" bestFit="1" customWidth="1"/>
    <col min="21" max="21" width="20.7109375" bestFit="1" customWidth="1"/>
    <col min="22" max="22" width="15" bestFit="1" customWidth="1"/>
    <col min="23" max="23" width="18.140625" bestFit="1" customWidth="1"/>
    <col min="24" max="24" width="17.42578125" bestFit="1" customWidth="1"/>
    <col min="25" max="25" width="14.5703125" bestFit="1" customWidth="1"/>
    <col min="26" max="26" width="18.140625" bestFit="1" customWidth="1"/>
    <col min="27" max="27" width="19.28515625" bestFit="1" customWidth="1"/>
    <col min="28" max="28" width="11.7109375" bestFit="1" customWidth="1"/>
    <col min="29" max="29" width="14.5703125" bestFit="1" customWidth="1"/>
    <col min="30" max="30" width="21.140625" bestFit="1" customWidth="1"/>
    <col min="31" max="31" width="19.85546875" bestFit="1" customWidth="1"/>
    <col min="32" max="32" width="16.140625" bestFit="1" customWidth="1"/>
    <col min="33" max="33" width="13.28515625" bestFit="1" customWidth="1"/>
    <col min="34" max="34" width="22.85546875" bestFit="1" customWidth="1"/>
    <col min="35" max="35" width="21.42578125" bestFit="1" customWidth="1"/>
    <col min="36" max="36" width="25.5703125" bestFit="1" customWidth="1"/>
    <col min="37" max="37" width="22.42578125" bestFit="1" customWidth="1"/>
    <col min="38" max="38" width="20.85546875" bestFit="1" customWidth="1"/>
    <col min="39" max="39" width="29.140625" bestFit="1" customWidth="1"/>
    <col min="40" max="40" width="14.85546875" bestFit="1" customWidth="1"/>
    <col min="41" max="41" width="12.28515625" bestFit="1" customWidth="1"/>
    <col min="42" max="42" width="11.7109375" bestFit="1" customWidth="1"/>
    <col min="43" max="43" width="18.42578125" bestFit="1" customWidth="1"/>
    <col min="44" max="44" width="17.85546875" bestFit="1" customWidth="1"/>
    <col min="45" max="45" width="16.7109375" bestFit="1" customWidth="1"/>
    <col min="46" max="46" width="11.7109375" bestFit="1" customWidth="1"/>
    <col min="47" max="47" width="20.140625" bestFit="1" customWidth="1"/>
    <col min="48" max="48" width="20.42578125" bestFit="1" customWidth="1"/>
    <col min="49" max="49" width="18.140625" bestFit="1" customWidth="1"/>
    <col min="50" max="50" width="19" bestFit="1" customWidth="1"/>
    <col min="51" max="51" width="22.5703125" bestFit="1" customWidth="1"/>
    <col min="52" max="52" width="27.140625" bestFit="1" customWidth="1"/>
    <col min="53" max="53" width="21.42578125" bestFit="1" customWidth="1"/>
    <col min="54" max="54" width="23.7109375" bestFit="1" customWidth="1"/>
    <col min="55" max="55" width="15" bestFit="1" customWidth="1"/>
    <col min="56" max="56" width="12.140625" bestFit="1" customWidth="1"/>
    <col min="57" max="57" width="20.85546875" bestFit="1" customWidth="1"/>
    <col min="58" max="58" width="17.140625" bestFit="1" customWidth="1"/>
    <col min="59" max="59" width="15.5703125" bestFit="1" customWidth="1"/>
    <col min="60" max="60" width="15.28515625" bestFit="1" customWidth="1"/>
    <col min="61" max="61" width="11.28515625" bestFit="1" customWidth="1"/>
    <col min="62" max="63" width="15.5703125" bestFit="1" customWidth="1"/>
    <col min="64" max="64" width="16" bestFit="1" customWidth="1"/>
    <col min="65" max="65" width="12.5703125" bestFit="1" customWidth="1"/>
    <col min="66" max="66" width="19.42578125" bestFit="1" customWidth="1"/>
    <col min="67" max="67" width="13.5703125" bestFit="1" customWidth="1"/>
    <col min="68" max="68" width="18.5703125" bestFit="1" customWidth="1"/>
    <col min="69" max="69" width="18.85546875" bestFit="1" customWidth="1"/>
    <col min="70" max="70" width="18.42578125" bestFit="1" customWidth="1"/>
  </cols>
  <sheetData>
    <row r="1" spans="1:70" x14ac:dyDescent="0.25">
      <c r="B1" t="s">
        <v>109</v>
      </c>
      <c r="C1" s="8" t="s">
        <v>110</v>
      </c>
      <c r="D1" t="s">
        <v>111</v>
      </c>
      <c r="E1" t="s">
        <v>112</v>
      </c>
      <c r="F1" s="8" t="s">
        <v>113</v>
      </c>
      <c r="G1" t="s">
        <v>114</v>
      </c>
      <c r="H1" t="s">
        <v>115</v>
      </c>
      <c r="I1" s="8" t="s">
        <v>116</v>
      </c>
      <c r="J1" t="s">
        <v>117</v>
      </c>
      <c r="K1" s="8" t="s">
        <v>118</v>
      </c>
      <c r="L1" s="8" t="s">
        <v>119</v>
      </c>
      <c r="M1" t="s">
        <v>120</v>
      </c>
      <c r="N1" t="s">
        <v>121</v>
      </c>
      <c r="O1" t="s">
        <v>122</v>
      </c>
      <c r="P1" s="8" t="s">
        <v>123</v>
      </c>
      <c r="Q1" t="s">
        <v>124</v>
      </c>
      <c r="R1" s="8" t="s">
        <v>125</v>
      </c>
      <c r="S1" t="s">
        <v>126</v>
      </c>
      <c r="T1" t="s">
        <v>127</v>
      </c>
      <c r="U1" t="s">
        <v>128</v>
      </c>
      <c r="V1" t="s">
        <v>129</v>
      </c>
      <c r="W1" t="s">
        <v>130</v>
      </c>
      <c r="X1" t="s">
        <v>131</v>
      </c>
      <c r="Y1" t="s">
        <v>132</v>
      </c>
      <c r="Z1" t="s">
        <v>133</v>
      </c>
      <c r="AA1" t="s">
        <v>134</v>
      </c>
      <c r="AB1" t="s">
        <v>135</v>
      </c>
      <c r="AC1" t="s">
        <v>136</v>
      </c>
      <c r="AD1" t="s">
        <v>137</v>
      </c>
      <c r="AE1" t="s">
        <v>138</v>
      </c>
      <c r="AF1" t="s">
        <v>139</v>
      </c>
      <c r="AG1" t="s">
        <v>140</v>
      </c>
      <c r="AH1" t="s">
        <v>141</v>
      </c>
      <c r="AI1" t="s">
        <v>142</v>
      </c>
      <c r="AJ1" t="s">
        <v>143</v>
      </c>
      <c r="AK1" t="s">
        <v>144</v>
      </c>
      <c r="AL1" t="s">
        <v>145</v>
      </c>
      <c r="AM1" t="s">
        <v>146</v>
      </c>
      <c r="AN1" t="s">
        <v>147</v>
      </c>
      <c r="AO1" t="s">
        <v>148</v>
      </c>
      <c r="AP1" t="s">
        <v>149</v>
      </c>
      <c r="AQ1" t="s">
        <v>150</v>
      </c>
      <c r="AR1" t="s">
        <v>151</v>
      </c>
      <c r="AS1" t="s">
        <v>152</v>
      </c>
      <c r="AT1" t="s">
        <v>153</v>
      </c>
      <c r="AU1" t="s">
        <v>154</v>
      </c>
      <c r="AV1" t="s">
        <v>155</v>
      </c>
      <c r="AW1" t="s">
        <v>156</v>
      </c>
      <c r="AX1" t="s">
        <v>157</v>
      </c>
      <c r="AY1" t="s">
        <v>158</v>
      </c>
      <c r="AZ1" t="s">
        <v>159</v>
      </c>
      <c r="BA1" t="s">
        <v>160</v>
      </c>
      <c r="BB1" t="s">
        <v>161</v>
      </c>
      <c r="BC1" t="s">
        <v>162</v>
      </c>
      <c r="BD1" t="s">
        <v>163</v>
      </c>
      <c r="BE1" t="s">
        <v>164</v>
      </c>
      <c r="BF1" t="s">
        <v>165</v>
      </c>
      <c r="BG1" t="s">
        <v>166</v>
      </c>
      <c r="BH1" t="s">
        <v>167</v>
      </c>
      <c r="BI1" t="s">
        <v>168</v>
      </c>
      <c r="BJ1" t="s">
        <v>169</v>
      </c>
      <c r="BK1" t="s">
        <v>170</v>
      </c>
      <c r="BL1" t="s">
        <v>171</v>
      </c>
      <c r="BM1" t="s">
        <v>172</v>
      </c>
      <c r="BN1" t="s">
        <v>173</v>
      </c>
      <c r="BO1" t="s">
        <v>174</v>
      </c>
      <c r="BP1" t="s">
        <v>175</v>
      </c>
      <c r="BQ1" t="s">
        <v>176</v>
      </c>
      <c r="BR1" t="s">
        <v>177</v>
      </c>
    </row>
    <row r="2" spans="1:70" x14ac:dyDescent="0.25">
      <c r="A2" t="str">
        <f>IF(Input!A3="","",Input!A3)</f>
        <v>Schroder Active Portfolio 2</v>
      </c>
      <c r="B2" s="5"/>
      <c r="C2" s="5"/>
      <c r="D2" s="5"/>
      <c r="E2" s="5"/>
      <c r="F2" s="11">
        <v>0.49700000000000005</v>
      </c>
      <c r="G2" s="11">
        <v>0.28199999999999997</v>
      </c>
      <c r="H2" s="5"/>
      <c r="I2" s="11">
        <v>1E-3</v>
      </c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11">
        <v>7.2999999999999995E-2</v>
      </c>
      <c r="W2" s="11">
        <v>0</v>
      </c>
      <c r="Y2" s="11">
        <v>0.14699999999999999</v>
      </c>
      <c r="AD2" s="11">
        <v>5.0000000000000001E-3</v>
      </c>
      <c r="AE2" s="11">
        <v>5.0000000000000001E-3</v>
      </c>
      <c r="AF2" s="11">
        <v>2E-3</v>
      </c>
      <c r="AG2" s="11">
        <v>2E-3</v>
      </c>
      <c r="AH2" s="11">
        <v>0.14000000000000001</v>
      </c>
      <c r="AI2" s="11">
        <v>6.0000000000000001E-3</v>
      </c>
      <c r="AL2" s="11">
        <v>6.9999999999999993E-3</v>
      </c>
      <c r="AN2" s="11">
        <v>1.9E-2</v>
      </c>
      <c r="AP2" s="11">
        <v>1.1000000000000001E-2</v>
      </c>
      <c r="AQ2" s="11">
        <v>1E-3</v>
      </c>
      <c r="AT2" s="11">
        <v>1E-3</v>
      </c>
      <c r="AV2" s="11">
        <v>3.7999999999999999E-2</v>
      </c>
      <c r="AW2" s="11">
        <v>5.7000000000000002E-2</v>
      </c>
      <c r="AY2" s="11">
        <v>0.23300000000000001</v>
      </c>
      <c r="AZ2" s="11">
        <v>1.1000000000000001E-2</v>
      </c>
      <c r="BA2" s="11">
        <v>8.0000000000000002E-3</v>
      </c>
      <c r="BB2" s="11">
        <v>1.2E-2</v>
      </c>
      <c r="BC2" s="11">
        <v>0.109</v>
      </c>
      <c r="BE2" s="11">
        <v>0.02</v>
      </c>
      <c r="BF2" s="11">
        <v>0.38600000000000001</v>
      </c>
      <c r="BG2" s="11">
        <v>1.3999999999999999E-2</v>
      </c>
      <c r="BH2" s="11">
        <v>2.2000000000000002E-2</v>
      </c>
      <c r="BI2" s="11">
        <v>2.3E-2</v>
      </c>
      <c r="BJ2" s="11">
        <v>2.2000000000000002E-2</v>
      </c>
      <c r="BK2" s="11">
        <v>0.03</v>
      </c>
      <c r="BL2" s="11">
        <v>1.8000000000000002E-2</v>
      </c>
      <c r="BN2" s="11">
        <v>0.2</v>
      </c>
      <c r="BO2" s="11">
        <v>4.0000000000000001E-3</v>
      </c>
    </row>
    <row r="3" spans="1:70" x14ac:dyDescent="0.25">
      <c r="A3" t="str">
        <f>IF(Input!A4="","",Input!A4)</f>
        <v>Schroder Active Portfolio 3</v>
      </c>
      <c r="B3" s="5"/>
      <c r="C3" s="5"/>
      <c r="D3" s="5"/>
      <c r="E3" s="5"/>
      <c r="F3" s="11">
        <v>0.58599999999999997</v>
      </c>
      <c r="G3" s="11">
        <v>7.2000000000000008E-2</v>
      </c>
      <c r="H3" s="5"/>
      <c r="I3" s="11">
        <v>1E-3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V3" s="11">
        <v>9.0999999999999998E-2</v>
      </c>
      <c r="W3" s="11">
        <v>1E-3</v>
      </c>
      <c r="Y3" s="11">
        <v>0.249</v>
      </c>
      <c r="AD3" s="11">
        <v>8.0000000000000002E-3</v>
      </c>
      <c r="AE3" s="11">
        <v>8.0000000000000002E-3</v>
      </c>
      <c r="AF3" s="11">
        <v>2E-3</v>
      </c>
      <c r="AG3" s="11">
        <v>3.0000000000000001E-3</v>
      </c>
      <c r="AH3" s="11">
        <v>0.23699999999999999</v>
      </c>
      <c r="AI3" s="11">
        <v>1.1000000000000001E-2</v>
      </c>
      <c r="AL3" s="11">
        <v>1.2E-2</v>
      </c>
      <c r="AN3" s="11">
        <v>3.3000000000000002E-2</v>
      </c>
      <c r="AP3" s="11">
        <v>1.8000000000000002E-2</v>
      </c>
      <c r="AQ3" s="11">
        <v>2E-3</v>
      </c>
      <c r="AT3" s="11">
        <v>1E-3</v>
      </c>
      <c r="AV3" s="11">
        <v>6.3E-2</v>
      </c>
      <c r="AW3" s="11">
        <v>9.6999999999999989E-2</v>
      </c>
      <c r="AY3" s="11">
        <v>0.06</v>
      </c>
      <c r="AZ3" s="11">
        <v>1.9E-2</v>
      </c>
      <c r="BA3" s="11">
        <v>1.4999999999999999E-2</v>
      </c>
      <c r="BB3" s="11">
        <v>2.1000000000000001E-2</v>
      </c>
      <c r="BC3" s="11">
        <v>0.14899999999999999</v>
      </c>
      <c r="BE3" s="11">
        <v>3.5000000000000003E-2</v>
      </c>
      <c r="BF3" s="11">
        <v>0.42100000000000004</v>
      </c>
      <c r="BG3" s="11">
        <v>2.5000000000000001E-2</v>
      </c>
      <c r="BH3" s="11">
        <v>3.7999999999999999E-2</v>
      </c>
      <c r="BI3" s="11">
        <v>3.7000000000000005E-2</v>
      </c>
      <c r="BJ3" s="11">
        <v>2.8999999999999998E-2</v>
      </c>
      <c r="BK3" s="11">
        <v>1.6E-2</v>
      </c>
      <c r="BL3" s="11">
        <v>3.3000000000000002E-2</v>
      </c>
      <c r="BN3" s="11">
        <v>0.312</v>
      </c>
      <c r="BO3" s="11">
        <v>6.9999999999999993E-3</v>
      </c>
    </row>
    <row r="4" spans="1:70" x14ac:dyDescent="0.25">
      <c r="A4" t="str">
        <f>IF(Input!A5="","",Input!A5)</f>
        <v>Schroder Active Portfolio 4</v>
      </c>
      <c r="B4" s="5"/>
      <c r="C4" s="5"/>
      <c r="D4" s="5"/>
      <c r="E4" s="5"/>
      <c r="F4" s="11">
        <v>0.43700000000000006</v>
      </c>
      <c r="G4" s="11">
        <v>4.2000000000000003E-2</v>
      </c>
      <c r="H4" s="5"/>
      <c r="I4" s="11">
        <v>1E-3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V4" s="11">
        <v>0.107</v>
      </c>
      <c r="W4" s="11">
        <v>1E-3</v>
      </c>
      <c r="Y4" s="11">
        <v>0.41299999999999998</v>
      </c>
      <c r="AD4" s="11">
        <v>1.3000000000000001E-2</v>
      </c>
      <c r="AE4" s="11">
        <v>1.4999999999999999E-2</v>
      </c>
      <c r="AF4" s="11">
        <v>3.0000000000000001E-3</v>
      </c>
      <c r="AG4" s="11">
        <v>4.0000000000000001E-3</v>
      </c>
      <c r="AH4" s="11">
        <v>0.39100000000000001</v>
      </c>
      <c r="AI4" s="11">
        <v>2.1000000000000001E-2</v>
      </c>
      <c r="AL4" s="11">
        <v>2.2000000000000002E-2</v>
      </c>
      <c r="AN4" s="11">
        <v>5.5E-2</v>
      </c>
      <c r="AP4" s="11">
        <v>0.03</v>
      </c>
      <c r="AQ4" s="11">
        <v>3.0000000000000001E-3</v>
      </c>
      <c r="AT4" s="11">
        <v>2E-3</v>
      </c>
      <c r="AV4" s="11">
        <v>0.10300000000000001</v>
      </c>
      <c r="AW4" s="11">
        <v>0.161</v>
      </c>
      <c r="AX4" s="11">
        <v>2.2000000000000002E-2</v>
      </c>
      <c r="AY4" s="11">
        <v>3.6000000000000004E-2</v>
      </c>
      <c r="AZ4" s="11">
        <v>3.2000000000000001E-2</v>
      </c>
      <c r="BA4" s="11">
        <v>2.6000000000000002E-2</v>
      </c>
      <c r="BB4" s="11">
        <v>3.6000000000000004E-2</v>
      </c>
      <c r="BC4" s="11">
        <v>0.12300000000000001</v>
      </c>
      <c r="BE4" s="11">
        <v>0.06</v>
      </c>
      <c r="BF4" s="11">
        <v>0.3</v>
      </c>
      <c r="BG4" s="11">
        <v>4.4000000000000004E-2</v>
      </c>
      <c r="BH4" s="11">
        <v>6.6000000000000003E-2</v>
      </c>
      <c r="BI4" s="11">
        <v>4.9000000000000002E-2</v>
      </c>
      <c r="BJ4" s="11">
        <v>3.5000000000000003E-2</v>
      </c>
      <c r="BL4" s="11">
        <v>5.7999999999999996E-2</v>
      </c>
      <c r="BN4" s="11">
        <v>0.44</v>
      </c>
      <c r="BO4" s="11">
        <v>5.0000000000000001E-3</v>
      </c>
    </row>
    <row r="5" spans="1:70" x14ac:dyDescent="0.25">
      <c r="A5" t="str">
        <f>IF(Input!A6="","",Input!A6)</f>
        <v>Schroder Active Portfolio 5</v>
      </c>
      <c r="B5" s="5"/>
      <c r="C5" s="5"/>
      <c r="D5" s="5"/>
      <c r="E5" s="5"/>
      <c r="F5" s="11">
        <v>0.34799999999999998</v>
      </c>
      <c r="G5" s="11">
        <v>3.9E-2</v>
      </c>
      <c r="H5" s="5"/>
      <c r="I5" s="11">
        <v>1E-3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V5" s="11">
        <v>0.107</v>
      </c>
      <c r="W5" s="11">
        <v>1E-3</v>
      </c>
      <c r="Y5" s="11">
        <v>0.504</v>
      </c>
      <c r="AD5" s="11">
        <v>1.7000000000000001E-2</v>
      </c>
      <c r="AE5" s="11">
        <v>2.2000000000000002E-2</v>
      </c>
      <c r="AF5" s="11">
        <v>3.0000000000000001E-3</v>
      </c>
      <c r="AG5" s="11">
        <v>5.0000000000000001E-3</v>
      </c>
      <c r="AH5" s="11">
        <v>0.47399999999999998</v>
      </c>
      <c r="AI5" s="11">
        <v>2.8999999999999998E-2</v>
      </c>
      <c r="AL5" s="11">
        <v>2.6000000000000002E-2</v>
      </c>
      <c r="AN5" s="11">
        <v>6.7000000000000004E-2</v>
      </c>
      <c r="AP5" s="11">
        <v>3.7000000000000005E-2</v>
      </c>
      <c r="AQ5" s="11">
        <v>5.0000000000000001E-3</v>
      </c>
      <c r="AT5" s="11">
        <v>3.0000000000000001E-3</v>
      </c>
      <c r="AV5" s="11">
        <v>0.124</v>
      </c>
      <c r="AW5" s="11">
        <v>0.19600000000000001</v>
      </c>
      <c r="AX5" s="11">
        <v>2.7000000000000003E-2</v>
      </c>
      <c r="AY5" s="11">
        <v>3.4000000000000002E-2</v>
      </c>
      <c r="AZ5" s="11">
        <v>0.04</v>
      </c>
      <c r="BA5" s="11">
        <v>3.3000000000000002E-2</v>
      </c>
      <c r="BB5" s="11">
        <v>4.4999999999999998E-2</v>
      </c>
      <c r="BC5" s="11">
        <v>0.11699999999999999</v>
      </c>
      <c r="BE5" s="11">
        <v>7.400000000000001E-2</v>
      </c>
      <c r="BF5" s="11">
        <v>0.218</v>
      </c>
      <c r="BG5" s="11">
        <v>5.4000000000000006E-2</v>
      </c>
      <c r="BH5" s="11">
        <v>8.199999999999999E-2</v>
      </c>
      <c r="BI5" s="11">
        <v>5.5E-2</v>
      </c>
      <c r="BJ5" s="11">
        <v>3.6000000000000004E-2</v>
      </c>
      <c r="BL5" s="11">
        <v>7.2999999999999995E-2</v>
      </c>
      <c r="BN5" s="11">
        <v>0.48700000000000004</v>
      </c>
      <c r="BO5" s="11">
        <v>5.0000000000000001E-3</v>
      </c>
    </row>
    <row r="6" spans="1:70" x14ac:dyDescent="0.25">
      <c r="A6" t="str">
        <f>IF(Input!A7="","",Input!A7)</f>
        <v>Schroder Active Portfolio 6</v>
      </c>
      <c r="B6" s="5"/>
      <c r="C6" s="5"/>
      <c r="D6" s="5"/>
      <c r="E6" s="5"/>
      <c r="F6" s="11">
        <v>0.22399999999999998</v>
      </c>
      <c r="G6" s="11">
        <v>3.2000000000000001E-2</v>
      </c>
      <c r="H6" s="5"/>
      <c r="I6" s="11">
        <v>1E-3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V6" s="11">
        <v>0.10300000000000001</v>
      </c>
      <c r="W6" s="11">
        <v>0</v>
      </c>
      <c r="Y6" s="11">
        <v>0.64</v>
      </c>
      <c r="AB6" s="11">
        <v>3.0000000000000001E-3</v>
      </c>
      <c r="AD6" s="11">
        <v>2.5000000000000001E-2</v>
      </c>
      <c r="AE6" s="11">
        <v>3.4000000000000002E-2</v>
      </c>
      <c r="AG6" s="11">
        <v>5.0000000000000001E-3</v>
      </c>
      <c r="AH6" s="11">
        <v>0.59299999999999997</v>
      </c>
      <c r="AI6" s="11">
        <v>4.5999999999999999E-2</v>
      </c>
      <c r="AL6" s="11">
        <v>3.3000000000000002E-2</v>
      </c>
      <c r="AN6" s="11">
        <v>8.4000000000000005E-2</v>
      </c>
      <c r="AP6" s="11">
        <v>4.4999999999999998E-2</v>
      </c>
      <c r="AQ6" s="11">
        <v>8.0000000000000002E-3</v>
      </c>
      <c r="AT6" s="11">
        <v>4.0000000000000001E-3</v>
      </c>
      <c r="AV6" s="11">
        <v>0.153</v>
      </c>
      <c r="AW6" s="11">
        <v>0.24399999999999999</v>
      </c>
      <c r="AX6" s="11">
        <v>3.4000000000000002E-2</v>
      </c>
      <c r="AY6" s="5"/>
      <c r="AZ6" s="11">
        <v>5.0999999999999997E-2</v>
      </c>
      <c r="BA6" s="11">
        <v>4.4999999999999998E-2</v>
      </c>
      <c r="BB6" s="11">
        <v>5.7000000000000002E-2</v>
      </c>
      <c r="BC6" s="11">
        <v>7.9000000000000001E-2</v>
      </c>
      <c r="BE6" s="11">
        <v>9.8000000000000004E-2</v>
      </c>
      <c r="BF6" s="11">
        <v>0.13600000000000001</v>
      </c>
      <c r="BG6" s="11">
        <v>6.9000000000000006E-2</v>
      </c>
      <c r="BH6" s="11">
        <v>0.10400000000000001</v>
      </c>
      <c r="BI6" s="11">
        <v>5.7999999999999996E-2</v>
      </c>
      <c r="BJ6" s="11">
        <v>3.5000000000000003E-2</v>
      </c>
      <c r="BL6" s="11">
        <v>9.6999999999999989E-2</v>
      </c>
      <c r="BM6" s="11">
        <v>3.1E-2</v>
      </c>
      <c r="BN6" s="11">
        <v>0.47100000000000003</v>
      </c>
      <c r="BO6" s="11">
        <v>3.0000000000000001E-3</v>
      </c>
    </row>
    <row r="7" spans="1:70" x14ac:dyDescent="0.25">
      <c r="A7" t="str">
        <f>IF(Input!A8="","",Input!A8)</f>
        <v>Schroder Active Portfolio 7</v>
      </c>
      <c r="B7" s="5"/>
      <c r="C7" s="5"/>
      <c r="D7" s="5"/>
      <c r="E7" s="5"/>
      <c r="F7" s="11">
        <v>0.11599999999999999</v>
      </c>
      <c r="G7" s="11">
        <v>3.9E-2</v>
      </c>
      <c r="H7" s="5"/>
      <c r="I7" s="11">
        <v>0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V7" s="11">
        <v>9.4E-2</v>
      </c>
      <c r="W7" s="11">
        <v>0</v>
      </c>
      <c r="Y7" s="11">
        <v>0.75099999999999989</v>
      </c>
      <c r="AB7" s="11">
        <v>4.0000000000000001E-3</v>
      </c>
      <c r="AD7" s="11">
        <v>3.4000000000000002E-2</v>
      </c>
      <c r="AE7" s="11">
        <v>4.8000000000000001E-2</v>
      </c>
      <c r="AG7" s="11">
        <v>5.0000000000000001E-3</v>
      </c>
      <c r="AH7" s="11">
        <v>0.68599999999999994</v>
      </c>
      <c r="AI7" s="11">
        <v>6.4000000000000001E-2</v>
      </c>
      <c r="AL7" s="11">
        <v>3.9E-2</v>
      </c>
      <c r="AN7" s="11">
        <v>9.8000000000000004E-2</v>
      </c>
      <c r="AP7" s="11">
        <v>5.2000000000000005E-2</v>
      </c>
      <c r="AQ7" s="11">
        <v>1.1000000000000001E-2</v>
      </c>
      <c r="AT7" s="11">
        <v>5.0000000000000001E-3</v>
      </c>
      <c r="AV7" s="11">
        <v>0.17499999999999999</v>
      </c>
      <c r="AW7" s="11">
        <v>0.27899999999999997</v>
      </c>
      <c r="AX7" s="11">
        <v>0.04</v>
      </c>
      <c r="AY7" s="11">
        <v>3.6000000000000004E-2</v>
      </c>
      <c r="AZ7" s="11">
        <v>6.0999999999999999E-2</v>
      </c>
      <c r="BA7" s="11">
        <v>5.4000000000000006E-2</v>
      </c>
      <c r="BB7" s="11">
        <v>6.7000000000000004E-2</v>
      </c>
      <c r="BC7" s="11">
        <v>3.7999999999999999E-2</v>
      </c>
      <c r="BE7" s="11">
        <v>0.11800000000000001</v>
      </c>
      <c r="BF7" s="11">
        <v>7.400000000000001E-2</v>
      </c>
      <c r="BG7" s="11">
        <v>8.1000000000000003E-2</v>
      </c>
      <c r="BH7" s="11">
        <v>0.12300000000000001</v>
      </c>
      <c r="BI7" s="11">
        <v>6.2E-2</v>
      </c>
      <c r="BL7" s="11">
        <v>0.11599999999999999</v>
      </c>
      <c r="BM7" s="11">
        <v>3.5000000000000003E-2</v>
      </c>
      <c r="BN7" s="11">
        <v>0.436</v>
      </c>
      <c r="BO7" s="11">
        <v>2E-3</v>
      </c>
    </row>
    <row r="8" spans="1:70" x14ac:dyDescent="0.25">
      <c r="A8" t="str">
        <f>IF(Input!A9="","",Input!A9)</f>
        <v>Schroder Active Portfolio 8</v>
      </c>
      <c r="B8" s="5"/>
      <c r="C8" s="5"/>
      <c r="D8" s="5"/>
      <c r="E8" s="5"/>
      <c r="F8" s="11">
        <v>2.6000000000000002E-2</v>
      </c>
      <c r="G8" s="11">
        <v>4.2999999999999997E-2</v>
      </c>
      <c r="H8" s="5"/>
      <c r="I8" s="11">
        <v>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V8" s="11">
        <v>6.0999999999999999E-2</v>
      </c>
      <c r="W8" s="5"/>
      <c r="Y8" s="11">
        <v>0.86900000000000011</v>
      </c>
      <c r="AB8" s="11">
        <v>5.0000000000000001E-3</v>
      </c>
      <c r="AD8" s="11">
        <v>4.7E-2</v>
      </c>
      <c r="AE8" s="11">
        <v>6.9000000000000006E-2</v>
      </c>
      <c r="AG8" s="11">
        <v>5.0000000000000001E-3</v>
      </c>
      <c r="AH8" s="11">
        <v>0.77700000000000002</v>
      </c>
      <c r="AI8" s="11">
        <v>9.1999999999999998E-2</v>
      </c>
      <c r="AL8" s="11">
        <v>4.4000000000000004E-2</v>
      </c>
      <c r="AN8" s="11">
        <v>0.11199999999999999</v>
      </c>
      <c r="AP8" s="11">
        <v>5.9000000000000004E-2</v>
      </c>
      <c r="AQ8" s="11">
        <v>1.4999999999999999E-2</v>
      </c>
      <c r="AT8" s="11">
        <v>6.9999999999999993E-3</v>
      </c>
      <c r="AV8" s="11">
        <v>0.19500000000000001</v>
      </c>
      <c r="AW8" s="11">
        <v>0.311</v>
      </c>
      <c r="AX8" s="11">
        <v>4.4999999999999998E-2</v>
      </c>
      <c r="AY8" s="11">
        <v>4.0999999999999995E-2</v>
      </c>
      <c r="AZ8" s="11">
        <v>7.0000000000000007E-2</v>
      </c>
      <c r="BA8" s="11">
        <v>6.6000000000000003E-2</v>
      </c>
      <c r="BB8" s="11">
        <v>7.5999999999999998E-2</v>
      </c>
      <c r="BD8" s="11">
        <v>2.5000000000000001E-2</v>
      </c>
      <c r="BE8" s="11">
        <v>0.14099999999999999</v>
      </c>
      <c r="BF8" s="5"/>
      <c r="BG8" s="11">
        <v>9.1999999999999998E-2</v>
      </c>
      <c r="BH8" s="11">
        <v>0.14199999999999999</v>
      </c>
      <c r="BI8" s="11">
        <v>2.8999999999999998E-2</v>
      </c>
      <c r="BJ8" s="11">
        <v>3.4000000000000002E-2</v>
      </c>
      <c r="BL8" s="11">
        <v>0.13900000000000001</v>
      </c>
      <c r="BM8" s="11">
        <v>3.7999999999999999E-2</v>
      </c>
      <c r="BN8" s="11">
        <v>0.34799999999999998</v>
      </c>
    </row>
    <row r="9" spans="1:70" x14ac:dyDescent="0.25">
      <c r="A9" t="str">
        <f>IF(Input!A10="","",Input!A10)</f>
        <v>Schroder Active Portfolio 9</v>
      </c>
      <c r="B9" s="5"/>
      <c r="C9" s="5"/>
      <c r="D9" s="5"/>
      <c r="E9" s="5"/>
      <c r="F9" s="11">
        <v>0</v>
      </c>
      <c r="G9" s="11">
        <v>4.2000000000000003E-2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V9" s="11">
        <v>6.9999999999999993E-3</v>
      </c>
      <c r="Y9" s="11">
        <v>0.95099999999999996</v>
      </c>
      <c r="AB9" s="11">
        <v>9.0000000000000011E-3</v>
      </c>
      <c r="AD9" s="11">
        <v>7.6999999999999999E-2</v>
      </c>
      <c r="AE9" s="11">
        <v>0.122</v>
      </c>
      <c r="AG9" s="11">
        <v>5.0000000000000001E-3</v>
      </c>
      <c r="AH9" s="11">
        <v>0.78799999999999992</v>
      </c>
      <c r="AI9" s="11">
        <v>0.16300000000000001</v>
      </c>
      <c r="AL9" s="11">
        <v>4.4000000000000004E-2</v>
      </c>
      <c r="AN9" s="11">
        <v>0.115</v>
      </c>
      <c r="AP9" s="11">
        <v>5.7999999999999996E-2</v>
      </c>
      <c r="AQ9" s="11">
        <v>2.7000000000000003E-2</v>
      </c>
      <c r="AT9" s="11">
        <v>9.0000000000000011E-3</v>
      </c>
      <c r="AV9" s="11">
        <v>0.18899999999999997</v>
      </c>
      <c r="AW9" s="11">
        <v>0.29499999999999998</v>
      </c>
      <c r="AX9" s="11">
        <v>4.9000000000000002E-2</v>
      </c>
      <c r="AY9" s="11">
        <v>4.0999999999999995E-2</v>
      </c>
      <c r="AZ9" s="11">
        <v>7.6999999999999999E-2</v>
      </c>
      <c r="BA9" s="11">
        <v>8.3000000000000004E-2</v>
      </c>
      <c r="BB9" s="11">
        <v>8.1000000000000003E-2</v>
      </c>
      <c r="BD9" s="11">
        <v>2.6000000000000002E-2</v>
      </c>
      <c r="BE9" s="11">
        <v>0.17199999999999999</v>
      </c>
      <c r="BG9" s="11">
        <v>9.4E-2</v>
      </c>
      <c r="BH9" s="11">
        <v>0.152</v>
      </c>
      <c r="BI9" s="11">
        <v>1E-3</v>
      </c>
      <c r="BJ9" s="11">
        <v>1.2E-2</v>
      </c>
      <c r="BL9" s="11">
        <v>0.16500000000000001</v>
      </c>
      <c r="BM9" s="11">
        <v>3.7000000000000005E-2</v>
      </c>
      <c r="BN9" s="11">
        <v>0.28699999999999998</v>
      </c>
    </row>
    <row r="10" spans="1:70" x14ac:dyDescent="0.25">
      <c r="A10" t="str">
        <f>IF(Input!A11="","",Input!A11)</f>
        <v>Schroder Active Portfolio 10</v>
      </c>
      <c r="B10" s="5"/>
      <c r="C10" s="5"/>
      <c r="D10" s="5"/>
      <c r="E10" s="5"/>
      <c r="F10" s="11">
        <v>1E-3</v>
      </c>
      <c r="G10" s="11">
        <v>0.04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V10" s="11">
        <v>5.0000000000000001E-3</v>
      </c>
      <c r="Y10" s="11">
        <v>0.95499999999999996</v>
      </c>
      <c r="AB10" s="11">
        <v>1.6E-2</v>
      </c>
      <c r="AD10" s="11">
        <v>0.128</v>
      </c>
      <c r="AE10" s="11">
        <v>0.20899999999999999</v>
      </c>
      <c r="AH10" s="11">
        <v>0.67599999999999993</v>
      </c>
      <c r="AI10" s="11">
        <v>0.27899999999999997</v>
      </c>
      <c r="AK10" s="11">
        <v>6.9999999999999993E-3</v>
      </c>
      <c r="AL10" s="11">
        <v>3.4000000000000002E-2</v>
      </c>
      <c r="AN10" s="11">
        <v>0.10099999999999999</v>
      </c>
      <c r="AP10" s="11">
        <v>4.4999999999999998E-2</v>
      </c>
      <c r="AQ10" s="11">
        <v>4.5999999999999999E-2</v>
      </c>
      <c r="AT10" s="11">
        <v>1.4999999999999999E-2</v>
      </c>
      <c r="AV10" s="11">
        <v>0.14599999999999999</v>
      </c>
      <c r="AW10" s="11">
        <v>0.20699999999999999</v>
      </c>
      <c r="AX10" s="11">
        <v>4.4999999999999998E-2</v>
      </c>
      <c r="AY10" s="11">
        <v>3.9E-2</v>
      </c>
      <c r="AZ10" s="11">
        <v>7.4999999999999997E-2</v>
      </c>
      <c r="BA10" s="11">
        <v>0.1</v>
      </c>
      <c r="BB10" s="11">
        <v>7.400000000000001E-2</v>
      </c>
      <c r="BD10" s="11">
        <v>2.5000000000000001E-2</v>
      </c>
      <c r="BE10" s="11">
        <v>0.19899999999999998</v>
      </c>
      <c r="BG10" s="11">
        <v>7.400000000000001E-2</v>
      </c>
      <c r="BH10" s="11">
        <v>0.14000000000000001</v>
      </c>
      <c r="BI10" s="11">
        <v>1E-3</v>
      </c>
      <c r="BJ10" s="11">
        <v>1.1000000000000001E-2</v>
      </c>
      <c r="BL10" s="11">
        <v>0.18100000000000002</v>
      </c>
      <c r="BM10" s="11">
        <v>2.7999999999999997E-2</v>
      </c>
      <c r="BN10" s="11">
        <v>0.19399999999999998</v>
      </c>
    </row>
    <row r="11" spans="1:70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11">
        <v>0.55399999999999994</v>
      </c>
      <c r="G11" s="11">
        <v>0.28600000000000003</v>
      </c>
      <c r="H11" s="5"/>
      <c r="I11" s="11">
        <v>0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V11" s="11">
        <v>3.0000000000000001E-3</v>
      </c>
      <c r="W11" s="11">
        <v>0</v>
      </c>
      <c r="Y11" s="11">
        <v>0.156</v>
      </c>
      <c r="AD11" s="11">
        <v>6.0000000000000001E-3</v>
      </c>
      <c r="AE11" s="11">
        <v>5.0000000000000001E-3</v>
      </c>
      <c r="AF11" s="11">
        <v>2E-3</v>
      </c>
      <c r="AG11" s="11">
        <v>2E-3</v>
      </c>
      <c r="AH11" s="11">
        <v>0.14699999999999999</v>
      </c>
      <c r="AI11" s="11">
        <v>8.0000000000000002E-3</v>
      </c>
      <c r="AL11" s="11">
        <v>9.0000000000000011E-3</v>
      </c>
      <c r="AN11" s="11">
        <v>1.4999999999999999E-2</v>
      </c>
      <c r="AP11" s="11">
        <v>1.2E-2</v>
      </c>
      <c r="AQ11" s="11">
        <v>1E-3</v>
      </c>
      <c r="AT11" s="11">
        <v>2E-3</v>
      </c>
      <c r="AV11" s="11">
        <v>3.2000000000000001E-2</v>
      </c>
      <c r="AW11" s="11">
        <v>7.0000000000000007E-2</v>
      </c>
      <c r="AY11" s="11">
        <v>0.23800000000000002</v>
      </c>
      <c r="AZ11" s="11">
        <v>9.0000000000000011E-3</v>
      </c>
      <c r="BA11" s="11">
        <v>1.4999999999999999E-2</v>
      </c>
      <c r="BB11" s="11">
        <v>1.3000000000000001E-2</v>
      </c>
      <c r="BC11" s="11">
        <v>0.21600000000000003</v>
      </c>
      <c r="BE11" s="11">
        <v>2.1000000000000001E-2</v>
      </c>
      <c r="BF11" s="11">
        <v>0.34700000000000003</v>
      </c>
      <c r="BG11" s="11">
        <v>1.7000000000000001E-2</v>
      </c>
      <c r="BH11" s="11">
        <v>1.6E-2</v>
      </c>
      <c r="BI11" s="11">
        <v>2.1000000000000001E-2</v>
      </c>
      <c r="BJ11" s="11">
        <v>2.3E-2</v>
      </c>
      <c r="BK11" s="11">
        <v>2.3E-2</v>
      </c>
      <c r="BL11" s="11">
        <v>2.3E-2</v>
      </c>
      <c r="BN11" s="11">
        <v>1.9E-2</v>
      </c>
      <c r="BP11" s="11">
        <v>2.1000000000000001E-2</v>
      </c>
    </row>
    <row r="12" spans="1:70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11">
        <v>0.65300000000000002</v>
      </c>
      <c r="G12" s="11">
        <v>0.08</v>
      </c>
      <c r="H12" s="5"/>
      <c r="I12" s="11">
        <v>1E-3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V12" s="11">
        <v>5.0000000000000001E-3</v>
      </c>
      <c r="W12" s="11">
        <v>0</v>
      </c>
      <c r="Y12" s="11">
        <v>0.26100000000000001</v>
      </c>
      <c r="AD12" s="11">
        <v>9.0000000000000011E-3</v>
      </c>
      <c r="AE12" s="11">
        <v>9.0000000000000011E-3</v>
      </c>
      <c r="AF12" s="11">
        <v>3.0000000000000001E-3</v>
      </c>
      <c r="AG12" s="11">
        <v>3.0000000000000001E-3</v>
      </c>
      <c r="AH12" s="11">
        <v>0.24600000000000002</v>
      </c>
      <c r="AI12" s="11">
        <v>1.3000000000000001E-2</v>
      </c>
      <c r="AL12" s="11">
        <v>1.4999999999999999E-2</v>
      </c>
      <c r="AN12" s="11">
        <v>2.5000000000000001E-2</v>
      </c>
      <c r="AP12" s="11">
        <v>0.02</v>
      </c>
      <c r="AQ12" s="11">
        <v>2E-3</v>
      </c>
      <c r="AT12" s="11">
        <v>3.0000000000000001E-3</v>
      </c>
      <c r="AV12" s="11">
        <v>5.2000000000000005E-2</v>
      </c>
      <c r="AW12" s="11">
        <v>0.11800000000000001</v>
      </c>
      <c r="AY12" s="11">
        <v>6.9000000000000006E-2</v>
      </c>
      <c r="AZ12" s="11">
        <v>1.4999999999999999E-2</v>
      </c>
      <c r="BA12" s="11">
        <v>2.6000000000000002E-2</v>
      </c>
      <c r="BB12" s="11">
        <v>2.2000000000000002E-2</v>
      </c>
      <c r="BC12" s="11">
        <v>0.29899999999999999</v>
      </c>
      <c r="BD12" s="11">
        <v>1.3999999999999999E-2</v>
      </c>
      <c r="BE12" s="11">
        <v>3.5000000000000003E-2</v>
      </c>
      <c r="BF12" s="11">
        <v>0.35600000000000004</v>
      </c>
      <c r="BG12" s="11">
        <v>2.8999999999999998E-2</v>
      </c>
      <c r="BH12" s="11">
        <v>2.7000000000000003E-2</v>
      </c>
      <c r="BI12" s="11">
        <v>2.6000000000000002E-2</v>
      </c>
      <c r="BJ12" s="11">
        <v>3.1E-2</v>
      </c>
      <c r="BL12" s="11">
        <v>4.0999999999999995E-2</v>
      </c>
      <c r="BN12" s="11">
        <v>3.3000000000000002E-2</v>
      </c>
      <c r="BP12" s="11">
        <v>2.1000000000000001E-2</v>
      </c>
    </row>
    <row r="13" spans="1:70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11">
        <v>0.51900000000000002</v>
      </c>
      <c r="G13" s="11">
        <v>4.5999999999999999E-2</v>
      </c>
      <c r="H13" s="5"/>
      <c r="I13" s="11">
        <v>1E-3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V13" s="11">
        <v>6.9999999999999993E-3</v>
      </c>
      <c r="W13" s="11">
        <v>0</v>
      </c>
      <c r="Y13" s="11">
        <v>0.42799999999999999</v>
      </c>
      <c r="AD13" s="11">
        <v>1.3000000000000001E-2</v>
      </c>
      <c r="AE13" s="11">
        <v>1.6E-2</v>
      </c>
      <c r="AF13" s="11">
        <v>4.0000000000000001E-3</v>
      </c>
      <c r="AG13" s="11">
        <v>5.0000000000000001E-3</v>
      </c>
      <c r="AH13" s="11">
        <v>0.40299999999999997</v>
      </c>
      <c r="AI13" s="11">
        <v>2.2000000000000002E-2</v>
      </c>
      <c r="AL13" s="11">
        <v>2.4E-2</v>
      </c>
      <c r="AN13" s="11">
        <v>4.0999999999999995E-2</v>
      </c>
      <c r="AP13" s="11">
        <v>3.2000000000000001E-2</v>
      </c>
      <c r="AQ13" s="11">
        <v>3.0000000000000001E-3</v>
      </c>
      <c r="AT13" s="11">
        <v>4.0000000000000001E-3</v>
      </c>
      <c r="AV13" s="11">
        <v>8.5999999999999993E-2</v>
      </c>
      <c r="AW13" s="11">
        <v>0.19600000000000001</v>
      </c>
      <c r="AY13" s="11">
        <v>4.0999999999999995E-2</v>
      </c>
      <c r="AZ13" s="11">
        <v>2.6000000000000002E-2</v>
      </c>
      <c r="BA13" s="11">
        <v>4.4000000000000004E-2</v>
      </c>
      <c r="BB13" s="11">
        <v>3.7000000000000005E-2</v>
      </c>
      <c r="BC13" s="11">
        <v>0.26700000000000002</v>
      </c>
      <c r="BD13" s="11">
        <v>2.4E-2</v>
      </c>
      <c r="BE13" s="11">
        <v>0.06</v>
      </c>
      <c r="BF13" s="11">
        <v>0.253</v>
      </c>
      <c r="BG13" s="11">
        <v>4.9000000000000002E-2</v>
      </c>
      <c r="BH13" s="11">
        <v>4.5999999999999999E-2</v>
      </c>
      <c r="BI13" s="11">
        <v>3.6000000000000004E-2</v>
      </c>
      <c r="BJ13" s="11">
        <v>3.7999999999999999E-2</v>
      </c>
      <c r="BL13" s="11">
        <v>7.0000000000000007E-2</v>
      </c>
      <c r="BN13" s="11">
        <v>4.0999999999999995E-2</v>
      </c>
    </row>
    <row r="14" spans="1:70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11">
        <v>0.43</v>
      </c>
      <c r="G14" s="11">
        <v>4.0999999999999995E-2</v>
      </c>
      <c r="H14" s="5"/>
      <c r="I14" s="11">
        <v>1E-3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V14" s="11">
        <v>8.0000000000000002E-3</v>
      </c>
      <c r="W14" s="11">
        <v>0</v>
      </c>
      <c r="Y14" s="11">
        <v>0.52</v>
      </c>
      <c r="AD14" s="11">
        <v>1.7000000000000001E-2</v>
      </c>
      <c r="AE14" s="11">
        <v>2.2000000000000002E-2</v>
      </c>
      <c r="AF14" s="11">
        <v>4.0000000000000001E-3</v>
      </c>
      <c r="AG14" s="11">
        <v>5.0000000000000001E-3</v>
      </c>
      <c r="AH14" s="11">
        <v>0.48700000000000004</v>
      </c>
      <c r="AI14" s="11">
        <v>3.1E-2</v>
      </c>
      <c r="AL14" s="11">
        <v>2.8999999999999998E-2</v>
      </c>
      <c r="AN14" s="11">
        <v>4.9000000000000002E-2</v>
      </c>
      <c r="AP14" s="11">
        <v>3.9E-2</v>
      </c>
      <c r="AQ14" s="11">
        <v>4.0000000000000001E-3</v>
      </c>
      <c r="AT14" s="11">
        <v>6.0000000000000001E-3</v>
      </c>
      <c r="AV14" s="11">
        <v>0.105</v>
      </c>
      <c r="AW14" s="11">
        <v>0.23699999999999999</v>
      </c>
      <c r="AY14" s="11">
        <v>3.7999999999999999E-2</v>
      </c>
      <c r="AZ14" s="11">
        <v>3.2000000000000001E-2</v>
      </c>
      <c r="BA14" s="11">
        <v>5.4000000000000006E-2</v>
      </c>
      <c r="BB14" s="11">
        <v>4.4999999999999998E-2</v>
      </c>
      <c r="BC14" s="11">
        <v>0.25600000000000001</v>
      </c>
      <c r="BD14" s="11">
        <v>2.8999999999999998E-2</v>
      </c>
      <c r="BE14" s="11">
        <v>7.400000000000001E-2</v>
      </c>
      <c r="BF14" s="11">
        <v>0.17300000000000001</v>
      </c>
      <c r="BG14" s="11">
        <v>0.06</v>
      </c>
      <c r="BH14" s="11">
        <v>5.5999999999999994E-2</v>
      </c>
      <c r="BI14" s="11">
        <v>4.2000000000000003E-2</v>
      </c>
      <c r="BJ14" s="11">
        <v>0.04</v>
      </c>
      <c r="BL14" s="11">
        <v>8.5999999999999993E-2</v>
      </c>
      <c r="BN14" s="11">
        <v>3.6000000000000004E-2</v>
      </c>
    </row>
    <row r="15" spans="1:70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11">
        <v>0.30499999999999999</v>
      </c>
      <c r="G15" s="11">
        <v>2.8999999999999998E-2</v>
      </c>
      <c r="H15" s="5"/>
      <c r="I15" s="11">
        <v>0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V15" s="11">
        <v>9.0000000000000011E-3</v>
      </c>
      <c r="W15" s="11">
        <v>0</v>
      </c>
      <c r="Y15" s="11">
        <v>0.65700000000000003</v>
      </c>
      <c r="AD15" s="11">
        <v>2.4E-2</v>
      </c>
      <c r="AE15" s="11">
        <v>3.5000000000000003E-2</v>
      </c>
      <c r="AG15" s="11">
        <v>6.9999999999999993E-3</v>
      </c>
      <c r="AH15" s="11">
        <v>0.60599999999999998</v>
      </c>
      <c r="AI15" s="11">
        <v>4.7E-2</v>
      </c>
      <c r="AL15" s="11">
        <v>3.5000000000000003E-2</v>
      </c>
      <c r="AN15" s="11">
        <v>0.06</v>
      </c>
      <c r="AP15" s="11">
        <v>4.7E-2</v>
      </c>
      <c r="AQ15" s="11">
        <v>6.0000000000000001E-3</v>
      </c>
      <c r="AS15" s="11">
        <v>6.0000000000000001E-3</v>
      </c>
      <c r="AT15" s="11">
        <v>9.0000000000000011E-3</v>
      </c>
      <c r="AV15" s="11">
        <v>0.129</v>
      </c>
      <c r="AW15" s="11">
        <v>0.29600000000000004</v>
      </c>
      <c r="AX15" s="11">
        <v>3.3000000000000002E-2</v>
      </c>
      <c r="AZ15" s="11">
        <v>4.2000000000000003E-2</v>
      </c>
      <c r="BA15" s="11">
        <v>7.0000000000000007E-2</v>
      </c>
      <c r="BB15" s="11">
        <v>5.7000000000000002E-2</v>
      </c>
      <c r="BC15" s="11">
        <v>0.192</v>
      </c>
      <c r="BD15" s="11">
        <v>3.7000000000000005E-2</v>
      </c>
      <c r="BE15" s="11">
        <v>9.6000000000000002E-2</v>
      </c>
      <c r="BF15" s="11">
        <v>0.113</v>
      </c>
      <c r="BG15" s="11">
        <v>7.5999999999999998E-2</v>
      </c>
      <c r="BH15" s="11">
        <v>7.0999999999999994E-2</v>
      </c>
      <c r="BI15" s="11">
        <v>4.7E-2</v>
      </c>
      <c r="BJ15" s="11">
        <v>4.0999999999999995E-2</v>
      </c>
      <c r="BL15" s="11">
        <v>0.11199999999999999</v>
      </c>
      <c r="BP15" s="11">
        <v>2.1000000000000001E-2</v>
      </c>
    </row>
    <row r="16" spans="1:70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11">
        <v>0.192</v>
      </c>
      <c r="G16" s="11">
        <v>0.03</v>
      </c>
      <c r="H16" s="5"/>
      <c r="I16" s="11">
        <v>0</v>
      </c>
      <c r="J16" s="5"/>
      <c r="K16" s="5"/>
      <c r="L16" s="5"/>
      <c r="M16" s="5"/>
      <c r="N16" s="5"/>
      <c r="O16" s="5"/>
      <c r="Q16" s="5"/>
      <c r="R16" s="5"/>
      <c r="S16" s="5"/>
      <c r="T16" s="5"/>
      <c r="V16" s="11">
        <v>9.0000000000000011E-3</v>
      </c>
      <c r="W16" s="11">
        <v>0</v>
      </c>
      <c r="Y16" s="11">
        <v>0.76900000000000002</v>
      </c>
      <c r="AD16" s="11">
        <v>3.2000000000000001E-2</v>
      </c>
      <c r="AE16" s="11">
        <v>4.8000000000000001E-2</v>
      </c>
      <c r="AG16" s="11">
        <v>8.0000000000000002E-3</v>
      </c>
      <c r="AH16" s="11">
        <v>0.69900000000000007</v>
      </c>
      <c r="AI16" s="11">
        <v>6.6000000000000003E-2</v>
      </c>
      <c r="AL16" s="11">
        <v>4.0999999999999995E-2</v>
      </c>
      <c r="AN16" s="11">
        <v>6.9000000000000006E-2</v>
      </c>
      <c r="AP16" s="11">
        <v>5.2999999999999999E-2</v>
      </c>
      <c r="AQ16" s="11">
        <v>9.0000000000000011E-3</v>
      </c>
      <c r="AS16" s="11">
        <v>8.0000000000000002E-3</v>
      </c>
      <c r="AT16" s="11">
        <v>1.1000000000000001E-2</v>
      </c>
      <c r="AV16" s="11">
        <v>0.14699999999999999</v>
      </c>
      <c r="AW16" s="11">
        <v>0.34</v>
      </c>
      <c r="AX16" s="11">
        <v>0.04</v>
      </c>
      <c r="AZ16" s="11">
        <v>0.05</v>
      </c>
      <c r="BA16" s="11">
        <v>8.3000000000000004E-2</v>
      </c>
      <c r="BB16" s="11">
        <v>6.7000000000000004E-2</v>
      </c>
      <c r="BC16" s="11">
        <v>0.11800000000000001</v>
      </c>
      <c r="BD16" s="11">
        <v>4.4000000000000004E-2</v>
      </c>
      <c r="BE16" s="11">
        <v>0.114</v>
      </c>
      <c r="BF16" s="11">
        <v>7.2999999999999995E-2</v>
      </c>
      <c r="BG16" s="11">
        <v>8.8000000000000009E-2</v>
      </c>
      <c r="BH16" s="11">
        <v>8.3000000000000004E-2</v>
      </c>
      <c r="BI16" s="11">
        <v>5.0999999999999997E-2</v>
      </c>
      <c r="BJ16" s="11">
        <v>4.0999999999999995E-2</v>
      </c>
      <c r="BL16" s="11">
        <v>0.13300000000000001</v>
      </c>
      <c r="BP16" s="11">
        <v>2.1000000000000001E-2</v>
      </c>
    </row>
    <row r="17" spans="1:70" x14ac:dyDescent="0.25">
      <c r="A17" t="str">
        <f>IF(Input!A18="","",Input!A18)</f>
        <v>Schroder Strategic Index Portfolio 8</v>
      </c>
      <c r="B17" s="5"/>
      <c r="C17" s="5"/>
      <c r="D17" s="5"/>
      <c r="F17" s="11">
        <v>7.400000000000001E-2</v>
      </c>
      <c r="G17" s="11">
        <v>3.1E-2</v>
      </c>
      <c r="H17" s="5"/>
      <c r="I17" s="11">
        <v>0</v>
      </c>
      <c r="J17" s="5"/>
      <c r="K17" s="5"/>
      <c r="L17" s="5"/>
      <c r="M17" s="5"/>
      <c r="N17" s="5"/>
      <c r="O17" s="5"/>
      <c r="P17" s="5"/>
      <c r="Q17" s="5"/>
      <c r="R17" s="5"/>
      <c r="T17" s="5"/>
      <c r="V17" s="11">
        <v>0.01</v>
      </c>
      <c r="W17" s="11">
        <v>0</v>
      </c>
      <c r="Y17" s="11">
        <v>0.88500000000000001</v>
      </c>
      <c r="Z17" s="5"/>
      <c r="AB17" s="5"/>
      <c r="AD17" s="11">
        <v>4.4000000000000004E-2</v>
      </c>
      <c r="AE17" s="11">
        <v>6.9000000000000006E-2</v>
      </c>
      <c r="AG17" s="11">
        <v>9.0000000000000011E-3</v>
      </c>
      <c r="AH17" s="11">
        <v>0.78599999999999992</v>
      </c>
      <c r="AI17" s="11">
        <v>9.5000000000000001E-2</v>
      </c>
      <c r="AL17" s="11">
        <v>4.4999999999999998E-2</v>
      </c>
      <c r="AN17" s="11">
        <v>7.6999999999999999E-2</v>
      </c>
      <c r="AP17" s="11">
        <v>5.7999999999999996E-2</v>
      </c>
      <c r="AQ17" s="11">
        <v>1.3000000000000001E-2</v>
      </c>
      <c r="AS17" s="11">
        <v>1.1000000000000001E-2</v>
      </c>
      <c r="AT17" s="11">
        <v>1.3000000000000001E-2</v>
      </c>
      <c r="AV17" s="11">
        <v>0.16399999999999998</v>
      </c>
      <c r="AW17" s="11">
        <v>0.37799999999999995</v>
      </c>
      <c r="AX17" s="11">
        <v>4.7E-2</v>
      </c>
      <c r="AZ17" s="11">
        <v>0.06</v>
      </c>
      <c r="BA17" s="11">
        <v>9.6999999999999989E-2</v>
      </c>
      <c r="BB17" s="11">
        <v>7.5999999999999998E-2</v>
      </c>
      <c r="BC17" s="11">
        <v>3.6000000000000004E-2</v>
      </c>
      <c r="BD17" s="11">
        <v>5.0999999999999997E-2</v>
      </c>
      <c r="BE17" s="11">
        <v>0.13400000000000001</v>
      </c>
      <c r="BF17" s="11">
        <v>3.9E-2</v>
      </c>
      <c r="BG17" s="11">
        <v>0.1</v>
      </c>
      <c r="BH17" s="11">
        <v>9.5000000000000001E-2</v>
      </c>
      <c r="BI17" s="11">
        <v>5.5E-2</v>
      </c>
      <c r="BJ17" s="11">
        <v>4.2000000000000003E-2</v>
      </c>
      <c r="BL17" s="11">
        <v>0.156</v>
      </c>
      <c r="BP17" s="11">
        <v>2.1000000000000001E-2</v>
      </c>
    </row>
    <row r="18" spans="1:70" x14ac:dyDescent="0.25">
      <c r="A18" t="str">
        <f>IF(Input!A19="","",Input!A19)</f>
        <v>Schroder Strategic Index Portfolio 9</v>
      </c>
      <c r="B18" s="5"/>
      <c r="C18" s="5"/>
      <c r="D18" s="5"/>
      <c r="F18" s="11">
        <v>0</v>
      </c>
      <c r="G18" s="11">
        <v>3.1E-2</v>
      </c>
      <c r="H18" s="5"/>
      <c r="I18" s="11">
        <v>0</v>
      </c>
      <c r="J18" s="5"/>
      <c r="K18" s="5"/>
      <c r="L18" s="5"/>
      <c r="M18" s="5"/>
      <c r="N18" s="5"/>
      <c r="O18" s="5"/>
      <c r="Q18" s="5"/>
      <c r="R18" s="5"/>
      <c r="T18" s="5"/>
      <c r="U18" s="5"/>
      <c r="V18" s="11">
        <v>9.0000000000000011E-3</v>
      </c>
      <c r="W18" s="11">
        <v>0</v>
      </c>
      <c r="Y18" s="11">
        <v>0.95900000000000007</v>
      </c>
      <c r="Z18" s="5"/>
      <c r="AD18" s="11">
        <v>7.0999999999999994E-2</v>
      </c>
      <c r="AE18" s="11">
        <v>0.12300000000000001</v>
      </c>
      <c r="AG18" s="11">
        <v>9.0000000000000011E-3</v>
      </c>
      <c r="AH18" s="11">
        <v>0.78599999999999992</v>
      </c>
      <c r="AI18" s="11">
        <v>0.16899999999999998</v>
      </c>
      <c r="AL18" s="11">
        <v>4.2000000000000003E-2</v>
      </c>
      <c r="AN18" s="11">
        <v>7.400000000000001E-2</v>
      </c>
      <c r="AP18" s="11">
        <v>5.5E-2</v>
      </c>
      <c r="AQ18" s="11">
        <v>2.3E-2</v>
      </c>
      <c r="AS18" s="11">
        <v>1.8000000000000002E-2</v>
      </c>
      <c r="AT18" s="11">
        <v>1.9E-2</v>
      </c>
      <c r="AV18" s="11">
        <v>0.156</v>
      </c>
      <c r="AW18" s="11">
        <v>0.36399999999999999</v>
      </c>
      <c r="AX18" s="11">
        <v>5.5999999999999994E-2</v>
      </c>
      <c r="AY18" s="11">
        <v>3.1E-2</v>
      </c>
      <c r="AZ18" s="11">
        <v>7.0999999999999994E-2</v>
      </c>
      <c r="BA18" s="11">
        <v>0.111</v>
      </c>
      <c r="BB18" s="11">
        <v>8.1000000000000003E-2</v>
      </c>
      <c r="BD18" s="11">
        <v>5.4000000000000006E-2</v>
      </c>
      <c r="BE18" s="11">
        <v>0.156</v>
      </c>
      <c r="BG18" s="11">
        <v>0.10199999999999999</v>
      </c>
      <c r="BH18" s="11">
        <v>0.10099999999999999</v>
      </c>
      <c r="BI18" s="11">
        <v>1E-3</v>
      </c>
      <c r="BJ18" s="11">
        <v>0.02</v>
      </c>
      <c r="BL18" s="11">
        <v>0.17800000000000002</v>
      </c>
      <c r="BM18" s="11">
        <v>2.7000000000000003E-2</v>
      </c>
      <c r="BR18" s="11">
        <v>0.13100000000000001</v>
      </c>
    </row>
    <row r="19" spans="1:70" x14ac:dyDescent="0.25">
      <c r="A19" t="str">
        <f>IF(Input!A20="","",Input!A20)</f>
        <v>Schroder Strategic Index Portfolio 10</v>
      </c>
      <c r="B19" s="5"/>
      <c r="C19" s="5"/>
      <c r="D19" s="5"/>
      <c r="E19" s="5"/>
      <c r="F19" s="11">
        <v>0</v>
      </c>
      <c r="G19" s="11">
        <v>0.03</v>
      </c>
      <c r="H19" s="5"/>
      <c r="I19" s="11">
        <v>0</v>
      </c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V19" s="11">
        <v>6.9999999999999993E-3</v>
      </c>
      <c r="W19" s="11">
        <v>0</v>
      </c>
      <c r="X19" s="5"/>
      <c r="Y19" s="11">
        <v>0.96200000000000008</v>
      </c>
      <c r="AB19" s="11">
        <v>1.4999999999999999E-2</v>
      </c>
      <c r="AD19" s="11">
        <v>0.121</v>
      </c>
      <c r="AE19" s="11">
        <v>0.21600000000000003</v>
      </c>
      <c r="AH19" s="11">
        <v>0.66299999999999992</v>
      </c>
      <c r="AI19" s="11">
        <v>0.29499999999999998</v>
      </c>
      <c r="AL19" s="11">
        <v>3.2000000000000001E-2</v>
      </c>
      <c r="AN19" s="11">
        <v>5.7000000000000002E-2</v>
      </c>
      <c r="AP19" s="11">
        <v>4.0999999999999995E-2</v>
      </c>
      <c r="AQ19" s="11">
        <v>3.9E-2</v>
      </c>
      <c r="AS19" s="11">
        <v>3.1E-2</v>
      </c>
      <c r="AT19" s="11">
        <v>2.4E-2</v>
      </c>
      <c r="AV19" s="11">
        <v>0.115</v>
      </c>
      <c r="AW19" s="11">
        <v>0.26899999999999996</v>
      </c>
      <c r="AX19" s="11">
        <v>6.2E-2</v>
      </c>
      <c r="AY19" s="11">
        <v>0.03</v>
      </c>
      <c r="AZ19" s="11">
        <v>7.8E-2</v>
      </c>
      <c r="BA19" s="11">
        <v>0.11599999999999999</v>
      </c>
      <c r="BB19" s="11">
        <v>7.4999999999999997E-2</v>
      </c>
      <c r="BD19" s="11">
        <v>5.2999999999999999E-2</v>
      </c>
      <c r="BE19" s="11">
        <v>0.17</v>
      </c>
      <c r="BG19" s="11">
        <v>8.5000000000000006E-2</v>
      </c>
      <c r="BH19" s="11">
        <v>9.0999999999999998E-2</v>
      </c>
      <c r="BI19" s="11">
        <v>0</v>
      </c>
      <c r="BJ19" s="11">
        <v>0.02</v>
      </c>
      <c r="BL19" s="11">
        <v>0.182</v>
      </c>
      <c r="BM19" s="11">
        <v>2.6000000000000002E-2</v>
      </c>
      <c r="BR19" s="11">
        <v>8.8000000000000009E-2</v>
      </c>
    </row>
    <row r="20" spans="1:70" x14ac:dyDescent="0.25">
      <c r="A20" t="str">
        <f>IF(Input!A21="","",Input!A21)</f>
        <v>Schroder Sustainable Portfolio 3</v>
      </c>
      <c r="B20" s="5"/>
      <c r="C20" s="5"/>
      <c r="D20" s="5"/>
      <c r="E20" s="5"/>
      <c r="F20" s="11">
        <v>0.56100000000000005</v>
      </c>
      <c r="G20" s="11">
        <v>0.10199999999999999</v>
      </c>
      <c r="H20" s="5"/>
      <c r="I20" s="11">
        <v>1E-3</v>
      </c>
      <c r="J20" s="5"/>
      <c r="K20" s="5"/>
      <c r="L20" s="5"/>
      <c r="M20" s="5"/>
      <c r="N20" s="5"/>
      <c r="O20" s="5"/>
      <c r="P20" s="5"/>
      <c r="Q20" s="5"/>
      <c r="R20" s="5"/>
      <c r="T20" s="5"/>
      <c r="V20" s="11">
        <v>8.900000000000001E-2</v>
      </c>
      <c r="W20" s="11">
        <v>0</v>
      </c>
      <c r="X20" s="5"/>
      <c r="Y20" s="11">
        <v>0.247</v>
      </c>
      <c r="AB20" s="5"/>
      <c r="AD20" s="11">
        <v>6.9999999999999993E-3</v>
      </c>
      <c r="AE20" s="11">
        <v>1.3000000000000001E-2</v>
      </c>
      <c r="AF20" s="11">
        <v>3.0000000000000001E-3</v>
      </c>
      <c r="AG20" s="11">
        <v>3.0000000000000001E-3</v>
      </c>
      <c r="AH20" s="11">
        <v>0.23300000000000001</v>
      </c>
      <c r="AI20" s="11">
        <v>1.3999999999999999E-2</v>
      </c>
      <c r="AL20" s="11">
        <v>1.3999999999999999E-2</v>
      </c>
      <c r="AN20" s="11">
        <v>3.9E-2</v>
      </c>
      <c r="AP20" s="11">
        <v>1.4999999999999999E-2</v>
      </c>
      <c r="AQ20" s="11">
        <v>1E-3</v>
      </c>
      <c r="AT20" s="11">
        <v>0</v>
      </c>
      <c r="AV20" s="11">
        <v>2.4E-2</v>
      </c>
      <c r="AW20" s="11">
        <v>0.128</v>
      </c>
      <c r="AY20" s="11">
        <v>7.0000000000000007E-2</v>
      </c>
      <c r="AZ20" s="11">
        <v>0.02</v>
      </c>
      <c r="BA20" s="11">
        <v>1.7000000000000001E-2</v>
      </c>
      <c r="BC20" s="11">
        <v>0.159</v>
      </c>
      <c r="BE20" s="11">
        <v>2.5000000000000001E-2</v>
      </c>
      <c r="BF20" s="11">
        <v>0.38799999999999996</v>
      </c>
      <c r="BG20" s="11">
        <v>2.2000000000000002E-2</v>
      </c>
      <c r="BH20" s="11">
        <v>0.05</v>
      </c>
      <c r="BI20" s="11">
        <v>0.04</v>
      </c>
      <c r="BJ20" s="11">
        <v>2.7000000000000003E-2</v>
      </c>
      <c r="BK20" s="11">
        <v>2.3E-2</v>
      </c>
      <c r="BL20" s="11">
        <v>4.7E-2</v>
      </c>
      <c r="BM20" s="5"/>
      <c r="BN20" s="11">
        <v>0.23</v>
      </c>
    </row>
    <row r="21" spans="1:70" x14ac:dyDescent="0.25">
      <c r="A21" t="str">
        <f>IF(Input!A22="","",Input!A22)</f>
        <v>Schroder Sustainable Portfolio 4</v>
      </c>
      <c r="B21" s="5"/>
      <c r="C21" s="5"/>
      <c r="D21" s="5"/>
      <c r="E21" s="5"/>
      <c r="F21" s="11">
        <v>0.41799999999999998</v>
      </c>
      <c r="G21" s="11">
        <v>6.6000000000000003E-2</v>
      </c>
      <c r="H21" s="5"/>
      <c r="I21" s="11">
        <v>1E-3</v>
      </c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V21" s="11">
        <v>0.10400000000000001</v>
      </c>
      <c r="W21" s="11">
        <v>0</v>
      </c>
      <c r="X21" s="5"/>
      <c r="Y21" s="11">
        <v>0.41200000000000003</v>
      </c>
      <c r="AD21" s="11">
        <v>1.7000000000000001E-2</v>
      </c>
      <c r="AE21" s="11">
        <v>2.8999999999999998E-2</v>
      </c>
      <c r="AF21" s="11">
        <v>5.0000000000000001E-3</v>
      </c>
      <c r="AG21" s="11">
        <v>4.0000000000000001E-3</v>
      </c>
      <c r="AH21" s="11">
        <v>0.377</v>
      </c>
      <c r="AI21" s="11">
        <v>3.4000000000000002E-2</v>
      </c>
      <c r="AL21" s="11">
        <v>2.3E-2</v>
      </c>
      <c r="AN21" s="11">
        <v>6.3E-2</v>
      </c>
      <c r="AP21" s="11">
        <v>2.4E-2</v>
      </c>
      <c r="AQ21" s="11">
        <v>3.0000000000000001E-3</v>
      </c>
      <c r="AT21" s="11">
        <v>2E-3</v>
      </c>
      <c r="AV21" s="11">
        <v>3.9E-2</v>
      </c>
      <c r="AW21" s="11">
        <v>0.20300000000000001</v>
      </c>
      <c r="AX21" s="11">
        <v>0.02</v>
      </c>
      <c r="AY21" s="11">
        <v>4.2999999999999997E-2</v>
      </c>
      <c r="AZ21" s="11">
        <v>3.4000000000000002E-2</v>
      </c>
      <c r="BA21" s="11">
        <v>3.2000000000000001E-2</v>
      </c>
      <c r="BC21" s="11">
        <v>0.13100000000000001</v>
      </c>
      <c r="BE21" s="11">
        <v>4.4000000000000004E-2</v>
      </c>
      <c r="BF21" s="11">
        <v>0.27399999999999997</v>
      </c>
      <c r="BG21" s="11">
        <v>3.7000000000000005E-2</v>
      </c>
      <c r="BH21" s="11">
        <v>8.4000000000000005E-2</v>
      </c>
      <c r="BI21" s="11">
        <v>0.06</v>
      </c>
      <c r="BJ21" s="11">
        <v>3.2000000000000001E-2</v>
      </c>
      <c r="BL21" s="11">
        <v>8.3000000000000004E-2</v>
      </c>
      <c r="BM21" s="11">
        <v>0.02</v>
      </c>
      <c r="BN21" s="11">
        <v>0.27300000000000002</v>
      </c>
    </row>
    <row r="22" spans="1:70" x14ac:dyDescent="0.25">
      <c r="A22" t="str">
        <f>IF(Input!A23="","",Input!A23)</f>
        <v>Schroder Sustainable Portfolio 5</v>
      </c>
      <c r="B22" s="5"/>
      <c r="C22" s="5"/>
      <c r="D22" s="5"/>
      <c r="F22" s="11">
        <v>0.33</v>
      </c>
      <c r="G22" s="11">
        <v>6.0999999999999999E-2</v>
      </c>
      <c r="H22" s="5"/>
      <c r="I22" s="11">
        <v>1E-3</v>
      </c>
      <c r="J22" s="5"/>
      <c r="K22" s="5"/>
      <c r="L22" s="5"/>
      <c r="M22" s="5"/>
      <c r="N22" s="5"/>
      <c r="O22" s="5"/>
      <c r="Q22" s="5"/>
      <c r="R22" s="5"/>
      <c r="T22" s="5"/>
      <c r="U22" s="5"/>
      <c r="V22" s="11">
        <v>0.10400000000000001</v>
      </c>
      <c r="W22" s="11">
        <v>0</v>
      </c>
      <c r="Y22" s="11">
        <v>0.504</v>
      </c>
      <c r="Z22" s="5"/>
      <c r="AD22" s="11">
        <v>2.2000000000000002E-2</v>
      </c>
      <c r="AE22" s="11">
        <v>3.9E-2</v>
      </c>
      <c r="AF22" s="11">
        <v>5.0000000000000001E-3</v>
      </c>
      <c r="AG22" s="11">
        <v>4.0000000000000001E-3</v>
      </c>
      <c r="AH22" s="11">
        <v>0.45799999999999996</v>
      </c>
      <c r="AI22" s="11">
        <v>4.5999999999999999E-2</v>
      </c>
      <c r="AL22" s="11">
        <v>2.8999999999999998E-2</v>
      </c>
      <c r="AN22" s="11">
        <v>7.6999999999999999E-2</v>
      </c>
      <c r="AP22" s="11">
        <v>2.8999999999999998E-2</v>
      </c>
      <c r="AQ22" s="11">
        <v>4.0000000000000001E-3</v>
      </c>
      <c r="AT22" s="11">
        <v>3.0000000000000001E-3</v>
      </c>
      <c r="AV22" s="11">
        <v>4.7E-2</v>
      </c>
      <c r="AW22" s="11">
        <v>0.245</v>
      </c>
      <c r="AX22" s="11">
        <v>2.4E-2</v>
      </c>
      <c r="AY22" s="11">
        <v>0.04</v>
      </c>
      <c r="AZ22" s="11">
        <v>4.2000000000000003E-2</v>
      </c>
      <c r="BA22" s="11">
        <v>0.04</v>
      </c>
      <c r="BC22" s="11">
        <v>0.125</v>
      </c>
      <c r="BE22" s="11">
        <v>5.5999999999999994E-2</v>
      </c>
      <c r="BF22" s="11">
        <v>0.193</v>
      </c>
      <c r="BG22" s="11">
        <v>4.5999999999999999E-2</v>
      </c>
      <c r="BH22" s="11">
        <v>0.10400000000000001</v>
      </c>
      <c r="BI22" s="11">
        <v>6.4000000000000001E-2</v>
      </c>
      <c r="BJ22" s="11">
        <v>3.3000000000000002E-2</v>
      </c>
      <c r="BL22" s="11">
        <v>0.10300000000000001</v>
      </c>
      <c r="BM22" s="11">
        <v>2.4E-2</v>
      </c>
      <c r="BN22" s="11">
        <v>0.28499999999999998</v>
      </c>
    </row>
    <row r="23" spans="1:70" x14ac:dyDescent="0.25">
      <c r="A23" t="str">
        <f>IF(Input!A24="","",Input!A24)</f>
        <v>Schroder Sustainable Portfolio 6</v>
      </c>
      <c r="B23" s="5"/>
      <c r="C23" s="5"/>
      <c r="D23" s="5"/>
      <c r="F23" s="11">
        <v>0.21199999999999999</v>
      </c>
      <c r="G23" s="11">
        <v>4.5999999999999999E-2</v>
      </c>
      <c r="H23" s="5"/>
      <c r="I23" s="11">
        <v>0</v>
      </c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V23" s="11">
        <v>9.8000000000000004E-2</v>
      </c>
      <c r="W23" s="11">
        <v>0</v>
      </c>
      <c r="Y23" s="11">
        <v>0.64200000000000002</v>
      </c>
      <c r="AB23" s="5"/>
      <c r="AD23" s="11">
        <v>2.8999999999999998E-2</v>
      </c>
      <c r="AE23" s="11">
        <v>5.2999999999999999E-2</v>
      </c>
      <c r="AF23" s="11">
        <v>6.0000000000000001E-3</v>
      </c>
      <c r="AG23" s="11">
        <v>4.0000000000000001E-3</v>
      </c>
      <c r="AH23" s="11">
        <v>0.57999999999999996</v>
      </c>
      <c r="AI23" s="11">
        <v>6.2E-2</v>
      </c>
      <c r="AL23" s="11">
        <v>3.7000000000000005E-2</v>
      </c>
      <c r="AN23" s="11">
        <v>9.8000000000000004E-2</v>
      </c>
      <c r="AP23" s="11">
        <v>3.6000000000000004E-2</v>
      </c>
      <c r="AQ23" s="11">
        <v>6.0000000000000001E-3</v>
      </c>
      <c r="AT23" s="11">
        <v>4.0000000000000001E-3</v>
      </c>
      <c r="AV23" s="11">
        <v>0.06</v>
      </c>
      <c r="AW23" s="11">
        <v>0.308</v>
      </c>
      <c r="AX23" s="11">
        <v>3.1E-2</v>
      </c>
      <c r="AY23" s="11">
        <v>3.2000000000000001E-2</v>
      </c>
      <c r="AZ23" s="11">
        <v>5.4000000000000006E-2</v>
      </c>
      <c r="BA23" s="11">
        <v>5.2999999999999999E-2</v>
      </c>
      <c r="BC23" s="11">
        <v>8.4000000000000005E-2</v>
      </c>
      <c r="BE23" s="11">
        <v>7.2999999999999995E-2</v>
      </c>
      <c r="BF23" s="11">
        <v>0.11900000000000001</v>
      </c>
      <c r="BG23" s="11">
        <v>0.06</v>
      </c>
      <c r="BH23" s="11">
        <v>0.13400000000000001</v>
      </c>
      <c r="BI23" s="11">
        <v>6.2E-2</v>
      </c>
      <c r="BJ23" s="11">
        <v>3.2000000000000001E-2</v>
      </c>
      <c r="BL23" s="11">
        <v>0.13400000000000001</v>
      </c>
      <c r="BM23" s="11">
        <v>0.03</v>
      </c>
      <c r="BN23" s="11">
        <v>0.25600000000000001</v>
      </c>
    </row>
    <row r="24" spans="1:70" x14ac:dyDescent="0.25">
      <c r="A24" t="str">
        <f>IF(Input!A25="","",Input!A25)</f>
        <v>Schroder Sustainable Portfolio 7</v>
      </c>
      <c r="B24" s="5"/>
      <c r="C24" s="5"/>
      <c r="D24" s="5"/>
      <c r="E24" s="5"/>
      <c r="F24" s="11">
        <v>0.111</v>
      </c>
      <c r="G24" s="11">
        <v>4.4000000000000004E-2</v>
      </c>
      <c r="H24" s="5"/>
      <c r="I24" s="11">
        <v>0</v>
      </c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V24" s="11">
        <v>8.900000000000001E-2</v>
      </c>
      <c r="W24" s="5"/>
      <c r="Y24" s="11">
        <v>0.75599999999999989</v>
      </c>
      <c r="AD24" s="11">
        <v>3.7999999999999999E-2</v>
      </c>
      <c r="AE24" s="11">
        <v>6.8000000000000005E-2</v>
      </c>
      <c r="AF24" s="11">
        <v>6.9999999999999993E-3</v>
      </c>
      <c r="AG24" s="11">
        <v>4.0000000000000001E-3</v>
      </c>
      <c r="AH24" s="11">
        <v>0.67500000000000004</v>
      </c>
      <c r="AI24" s="11">
        <v>0.08</v>
      </c>
      <c r="AL24" s="11">
        <v>4.2999999999999997E-2</v>
      </c>
      <c r="AN24" s="11">
        <v>0.114</v>
      </c>
      <c r="AP24" s="11">
        <v>4.2000000000000003E-2</v>
      </c>
      <c r="AQ24" s="11">
        <v>8.0000000000000002E-3</v>
      </c>
      <c r="AT24" s="11">
        <v>6.0000000000000001E-3</v>
      </c>
      <c r="AV24" s="11">
        <v>6.9000000000000006E-2</v>
      </c>
      <c r="AW24" s="11">
        <v>0.35600000000000004</v>
      </c>
      <c r="AX24" s="11">
        <v>3.7000000000000005E-2</v>
      </c>
      <c r="AY24" s="11">
        <v>3.5000000000000003E-2</v>
      </c>
      <c r="AZ24" s="11">
        <v>6.5000000000000002E-2</v>
      </c>
      <c r="BA24" s="11">
        <v>6.4000000000000001E-2</v>
      </c>
      <c r="BC24" s="11">
        <v>0.04</v>
      </c>
      <c r="BE24" s="11">
        <v>8.8000000000000009E-2</v>
      </c>
      <c r="BF24" s="11">
        <v>6.7000000000000004E-2</v>
      </c>
      <c r="BG24" s="11">
        <v>7.0999999999999994E-2</v>
      </c>
      <c r="BH24" s="11">
        <v>0.158</v>
      </c>
      <c r="BI24" s="11">
        <v>5.9000000000000004E-2</v>
      </c>
      <c r="BJ24" s="11">
        <v>3.2000000000000001E-2</v>
      </c>
      <c r="BL24" s="11">
        <v>0.16</v>
      </c>
      <c r="BM24" s="11">
        <v>3.4000000000000002E-2</v>
      </c>
      <c r="BN24" s="11">
        <v>0.24</v>
      </c>
    </row>
    <row r="25" spans="1:70" x14ac:dyDescent="0.25">
      <c r="A25" t="str">
        <f>IF(Input!A26="","",Input!A26)</f>
        <v>Schroder Sustainable Portfolio 8</v>
      </c>
      <c r="C25" s="5"/>
      <c r="D25" s="5"/>
      <c r="E25" s="5"/>
      <c r="F25" s="11">
        <v>2.7000000000000003E-2</v>
      </c>
      <c r="G25" s="11">
        <v>4.0999999999999995E-2</v>
      </c>
      <c r="H25" s="5"/>
      <c r="I25" s="11">
        <v>0</v>
      </c>
      <c r="K25" s="5"/>
      <c r="L25" s="5"/>
      <c r="N25" s="5"/>
      <c r="O25" s="5"/>
      <c r="P25" s="5"/>
      <c r="R25" s="5"/>
      <c r="U25" s="5"/>
      <c r="V25" s="11">
        <v>5.5E-2</v>
      </c>
      <c r="W25" s="5"/>
      <c r="Y25" s="11">
        <v>0.877</v>
      </c>
      <c r="AB25" s="5"/>
      <c r="AD25" s="11">
        <v>5.0999999999999997E-2</v>
      </c>
      <c r="AE25" s="11">
        <v>8.900000000000001E-2</v>
      </c>
      <c r="AF25" s="11">
        <v>8.0000000000000002E-3</v>
      </c>
      <c r="AG25" s="11">
        <v>4.0000000000000001E-3</v>
      </c>
      <c r="AH25" s="11">
        <v>0.77</v>
      </c>
      <c r="AI25" s="11">
        <v>0.107</v>
      </c>
      <c r="AL25" s="11">
        <v>4.9000000000000002E-2</v>
      </c>
      <c r="AN25" s="11">
        <v>0.129</v>
      </c>
      <c r="AP25" s="11">
        <v>4.8000000000000001E-2</v>
      </c>
      <c r="AQ25" s="11">
        <v>1.2E-2</v>
      </c>
      <c r="AT25" s="11">
        <v>8.0000000000000002E-3</v>
      </c>
      <c r="AV25" s="11">
        <v>7.6999999999999999E-2</v>
      </c>
      <c r="AW25" s="11">
        <v>0.40100000000000002</v>
      </c>
      <c r="AX25" s="11">
        <v>4.2999999999999997E-2</v>
      </c>
      <c r="AY25" s="11">
        <v>3.7999999999999999E-2</v>
      </c>
      <c r="AZ25" s="11">
        <v>7.4999999999999997E-2</v>
      </c>
      <c r="BA25" s="11">
        <v>7.8E-2</v>
      </c>
      <c r="BB25" s="11">
        <v>3.5000000000000003E-2</v>
      </c>
      <c r="BE25" s="11">
        <v>0.106</v>
      </c>
      <c r="BF25" s="11">
        <v>2.5000000000000001E-2</v>
      </c>
      <c r="BG25" s="11">
        <v>8.199999999999999E-2</v>
      </c>
      <c r="BH25" s="11">
        <v>0.183</v>
      </c>
      <c r="BI25" s="11">
        <v>2.4E-2</v>
      </c>
      <c r="BJ25" s="11">
        <v>3.1E-2</v>
      </c>
      <c r="BL25" s="11">
        <v>0.18899999999999997</v>
      </c>
      <c r="BM25" s="11">
        <v>3.7000000000000005E-2</v>
      </c>
      <c r="BN25" s="11">
        <v>0.13800000000000001</v>
      </c>
    </row>
    <row r="26" spans="1:70" x14ac:dyDescent="0.25">
      <c r="A26" t="str">
        <f>IF(Input!A27="","",Input!A27)</f>
        <v>Schroder Blended Portfolio 3</v>
      </c>
      <c r="B26" s="11">
        <v>2.5000000000000001E-2</v>
      </c>
      <c r="C26" s="11">
        <v>8.6999999999999994E-2</v>
      </c>
      <c r="D26" s="11">
        <v>9.9000000000000005E-2</v>
      </c>
      <c r="E26" s="5"/>
      <c r="H26" s="5"/>
      <c r="K26" s="5"/>
      <c r="L26" s="11">
        <v>3.5000000000000003E-2</v>
      </c>
      <c r="M26" s="11">
        <v>6.9999999999999993E-3</v>
      </c>
      <c r="N26" s="11">
        <v>2.1000000000000001E-2</v>
      </c>
      <c r="O26" s="11">
        <v>5.9000000000000004E-2</v>
      </c>
      <c r="P26" s="11">
        <v>0.315</v>
      </c>
      <c r="R26" s="11">
        <v>4.4000000000000004E-2</v>
      </c>
      <c r="S26" s="11">
        <v>0.01</v>
      </c>
      <c r="T26" s="11">
        <v>0.17399999999999999</v>
      </c>
      <c r="U26" s="11">
        <v>6.9999999999999993E-3</v>
      </c>
      <c r="W26" s="5"/>
      <c r="X26" s="11">
        <v>2.5000000000000001E-2</v>
      </c>
      <c r="Z26" s="11">
        <v>5.0999999999999997E-2</v>
      </c>
      <c r="AA26" s="11">
        <v>3.7999999999999999E-2</v>
      </c>
      <c r="AB26" s="5"/>
      <c r="AC26" s="11">
        <v>3.7999999999999999E-2</v>
      </c>
      <c r="AM26" s="11">
        <v>0.32600000000000001</v>
      </c>
      <c r="AO26" s="11">
        <v>0.46200000000000002</v>
      </c>
      <c r="AP26" s="11">
        <v>0.01</v>
      </c>
      <c r="AR26" s="11">
        <v>2.2000000000000002E-2</v>
      </c>
      <c r="AU26" s="11">
        <v>3.0000000000000001E-3</v>
      </c>
      <c r="AV26" s="11">
        <v>0.13800000000000001</v>
      </c>
    </row>
    <row r="27" spans="1:70" x14ac:dyDescent="0.25">
      <c r="A27" t="str">
        <f>IF(Input!A28="","",Input!A28)</f>
        <v>Schroder Blended Portfolio 4</v>
      </c>
      <c r="B27" s="11">
        <v>0.03</v>
      </c>
      <c r="C27" s="11">
        <v>7.0000000000000007E-2</v>
      </c>
      <c r="D27" s="11">
        <v>0.11800000000000001</v>
      </c>
      <c r="E27" s="5"/>
      <c r="H27" s="5"/>
      <c r="K27" s="5"/>
      <c r="L27" s="11">
        <v>2.8999999999999998E-2</v>
      </c>
      <c r="M27" s="11">
        <v>1.2E-2</v>
      </c>
      <c r="N27" s="11">
        <v>3.7999999999999999E-2</v>
      </c>
      <c r="O27" s="11">
        <v>0.10199999999999999</v>
      </c>
      <c r="P27" s="11">
        <v>0.20399999999999999</v>
      </c>
      <c r="R27" s="11">
        <v>3.6000000000000004E-2</v>
      </c>
      <c r="S27" s="11">
        <v>1.7000000000000001E-2</v>
      </c>
      <c r="T27" s="11">
        <v>0.14000000000000001</v>
      </c>
      <c r="U27" s="11">
        <v>1.2E-2</v>
      </c>
      <c r="W27" s="5"/>
      <c r="X27" s="11">
        <v>2.8999999999999998E-2</v>
      </c>
      <c r="Z27" s="11">
        <v>8.5999999999999993E-2</v>
      </c>
      <c r="AA27" s="11">
        <v>7.0999999999999994E-2</v>
      </c>
      <c r="AB27" s="5"/>
      <c r="AC27" s="11">
        <v>7.0999999999999994E-2</v>
      </c>
      <c r="AM27" s="11">
        <v>0.27300000000000002</v>
      </c>
      <c r="AO27" s="11">
        <v>0.46600000000000003</v>
      </c>
      <c r="AP27" s="11">
        <v>1.7000000000000001E-2</v>
      </c>
      <c r="AR27" s="11">
        <v>0.03</v>
      </c>
      <c r="AU27" s="11">
        <v>6.0000000000000001E-3</v>
      </c>
      <c r="AV27" s="11">
        <v>0.13800000000000001</v>
      </c>
    </row>
    <row r="28" spans="1:70" x14ac:dyDescent="0.25">
      <c r="A28" t="str">
        <f>IF(Input!A29="","",Input!A29)</f>
        <v>Schroder Blended Portfolio 5</v>
      </c>
      <c r="B28" s="11">
        <v>2.8999999999999998E-2</v>
      </c>
      <c r="C28" s="11">
        <v>6.7000000000000004E-2</v>
      </c>
      <c r="D28" s="11">
        <v>0.115</v>
      </c>
      <c r="E28" s="5"/>
      <c r="H28" s="5"/>
      <c r="L28" s="11">
        <v>2.7000000000000003E-2</v>
      </c>
      <c r="M28" s="11">
        <v>1.7000000000000001E-2</v>
      </c>
      <c r="N28" s="11">
        <v>4.8000000000000001E-2</v>
      </c>
      <c r="O28" s="11">
        <v>0.128</v>
      </c>
      <c r="P28" s="11">
        <v>0.126</v>
      </c>
      <c r="R28" s="11">
        <v>3.3000000000000002E-2</v>
      </c>
      <c r="S28" s="11">
        <v>0.02</v>
      </c>
      <c r="T28" s="11">
        <v>0.14400000000000002</v>
      </c>
      <c r="U28" s="11">
        <v>1.6E-2</v>
      </c>
      <c r="W28" s="5"/>
      <c r="X28" s="11">
        <v>2.7999999999999997E-2</v>
      </c>
      <c r="Z28" s="11">
        <v>0.10400000000000001</v>
      </c>
      <c r="AA28" s="11">
        <v>0.09</v>
      </c>
      <c r="AB28" s="5"/>
      <c r="AC28" s="11">
        <v>0.09</v>
      </c>
      <c r="AM28" s="11">
        <v>0.23899999999999999</v>
      </c>
      <c r="AO28" s="11">
        <v>0.45700000000000002</v>
      </c>
      <c r="AP28" s="11">
        <v>0.02</v>
      </c>
      <c r="AR28" s="11">
        <v>3.3000000000000002E-2</v>
      </c>
      <c r="AU28" s="11">
        <v>8.0000000000000002E-3</v>
      </c>
      <c r="AV28" s="11">
        <v>0.151</v>
      </c>
    </row>
    <row r="29" spans="1:70" x14ac:dyDescent="0.25">
      <c r="A29" t="str">
        <f>IF(Input!A30="","",Input!A30)</f>
        <v>Schroder Blended Portfolio 6</v>
      </c>
      <c r="B29" s="11">
        <v>2.7000000000000003E-2</v>
      </c>
      <c r="C29" s="11">
        <v>4.5999999999999999E-2</v>
      </c>
      <c r="D29" s="11">
        <v>0.109</v>
      </c>
      <c r="G29" s="5"/>
      <c r="I29" s="5"/>
      <c r="J29" s="5"/>
      <c r="K29" s="5"/>
      <c r="L29" s="11">
        <v>1.8000000000000002E-2</v>
      </c>
      <c r="M29" s="11">
        <v>2.8999999999999998E-2</v>
      </c>
      <c r="N29" s="11">
        <v>5.7999999999999996E-2</v>
      </c>
      <c r="O29" s="11">
        <v>0.17300000000000001</v>
      </c>
      <c r="P29" s="11">
        <v>7.2999999999999995E-2</v>
      </c>
      <c r="R29" s="11">
        <v>2.4E-2</v>
      </c>
      <c r="S29" s="11">
        <v>2.5000000000000001E-2</v>
      </c>
      <c r="T29" s="11">
        <v>0.11699999999999999</v>
      </c>
      <c r="U29" s="11">
        <v>0.02</v>
      </c>
      <c r="X29" s="11">
        <v>2.6000000000000002E-2</v>
      </c>
      <c r="Z29" s="11">
        <v>0.128</v>
      </c>
      <c r="AA29" s="11">
        <v>0.11199999999999999</v>
      </c>
      <c r="AC29" s="11">
        <v>0.11199999999999999</v>
      </c>
      <c r="AM29" s="11">
        <v>0.20899999999999999</v>
      </c>
      <c r="AO29" s="11">
        <v>0.45500000000000002</v>
      </c>
      <c r="AP29" s="11">
        <v>2.5000000000000001E-2</v>
      </c>
      <c r="AR29" s="11">
        <v>2.5000000000000001E-2</v>
      </c>
      <c r="AU29" s="11">
        <v>1.3000000000000001E-2</v>
      </c>
      <c r="AV29" s="11">
        <v>0.16</v>
      </c>
    </row>
    <row r="30" spans="1:70" x14ac:dyDescent="0.25">
      <c r="A30" t="str">
        <f>IF(Input!A31="","",Input!A31)</f>
        <v>Schroder Blended Portfolio 7</v>
      </c>
      <c r="B30" s="11">
        <v>2.5000000000000001E-2</v>
      </c>
      <c r="C30" s="11">
        <v>2.1000000000000001E-2</v>
      </c>
      <c r="D30" s="11">
        <v>9.8000000000000004E-2</v>
      </c>
      <c r="E30" s="11">
        <v>1.9E-2</v>
      </c>
      <c r="G30" s="5"/>
      <c r="I30" s="5"/>
      <c r="J30" s="5"/>
      <c r="L30" s="5"/>
      <c r="M30" s="11">
        <v>0.04</v>
      </c>
      <c r="N30" s="11">
        <v>6.7000000000000004E-2</v>
      </c>
      <c r="O30" s="11">
        <v>0.21299999999999999</v>
      </c>
      <c r="P30" s="11">
        <v>3.7000000000000005E-2</v>
      </c>
      <c r="R30" s="11">
        <v>1.1000000000000001E-2</v>
      </c>
      <c r="S30" s="11">
        <v>2.8999999999999998E-2</v>
      </c>
      <c r="T30" s="11">
        <v>0.10300000000000001</v>
      </c>
      <c r="U30" s="11">
        <v>2.3E-2</v>
      </c>
      <c r="X30" s="11">
        <v>2.4E-2</v>
      </c>
      <c r="Z30" s="11">
        <v>0.14899999999999999</v>
      </c>
      <c r="AA30" s="11">
        <v>0.13100000000000001</v>
      </c>
      <c r="AC30" s="11">
        <v>0.13100000000000001</v>
      </c>
      <c r="AM30" s="11">
        <v>0.17899999999999999</v>
      </c>
      <c r="AO30" s="11">
        <v>0.439</v>
      </c>
      <c r="AP30" s="11">
        <v>2.8999999999999998E-2</v>
      </c>
      <c r="AR30" s="11">
        <v>2.4E-2</v>
      </c>
      <c r="AU30" s="11">
        <v>1.9E-2</v>
      </c>
      <c r="AV30" s="11">
        <v>0.17899999999999999</v>
      </c>
    </row>
    <row r="31" spans="1:70" x14ac:dyDescent="0.25">
      <c r="A31" t="str">
        <f>IF(Input!A32="","",Input!A32)</f>
        <v>Schroder Blended Portfolio 8</v>
      </c>
      <c r="B31" s="11">
        <v>1.4999999999999999E-2</v>
      </c>
      <c r="C31" s="5"/>
      <c r="D31" s="11">
        <v>6.0999999999999999E-2</v>
      </c>
      <c r="E31" s="11">
        <v>2.7999999999999997E-2</v>
      </c>
      <c r="G31" s="5"/>
      <c r="H31" s="5"/>
      <c r="I31" s="5"/>
      <c r="L31" s="5"/>
      <c r="M31" s="11">
        <v>6.0999999999999999E-2</v>
      </c>
      <c r="N31" s="11">
        <v>7.6999999999999999E-2</v>
      </c>
      <c r="O31" s="11">
        <v>0.25800000000000001</v>
      </c>
      <c r="P31" s="11">
        <v>1.4999999999999999E-2</v>
      </c>
      <c r="Q31" s="5"/>
      <c r="S31" s="11">
        <v>3.3000000000000002E-2</v>
      </c>
      <c r="T31" s="11">
        <v>9.1999999999999998E-2</v>
      </c>
      <c r="U31" s="11">
        <v>2.6000000000000002E-2</v>
      </c>
      <c r="X31" s="11">
        <v>2.3E-2</v>
      </c>
      <c r="Z31" s="11">
        <v>0.16399999999999998</v>
      </c>
      <c r="AA31" s="11">
        <v>0.14699999999999999</v>
      </c>
      <c r="AC31" s="11">
        <v>0.14699999999999999</v>
      </c>
      <c r="AM31" s="11">
        <v>0.159</v>
      </c>
      <c r="AO31" s="11">
        <v>0.42100000000000004</v>
      </c>
      <c r="AP31" s="11">
        <v>3.3000000000000002E-2</v>
      </c>
      <c r="AR31" s="11">
        <v>1.8000000000000002E-2</v>
      </c>
      <c r="AU31" s="11">
        <v>2.7999999999999997E-2</v>
      </c>
      <c r="AV31" s="11">
        <v>0.19399999999999998</v>
      </c>
    </row>
    <row r="32" spans="1:70" x14ac:dyDescent="0.25">
      <c r="A32" t="str">
        <f>IF(Input!A33="","",Input!A33)</f>
        <v>Schroder Income Portfolio</v>
      </c>
      <c r="C32" s="5"/>
      <c r="D32" s="5"/>
      <c r="E32" s="11">
        <v>2E-3</v>
      </c>
      <c r="G32" s="5"/>
      <c r="H32" s="5"/>
      <c r="L32" s="11">
        <v>2.7000000000000003E-2</v>
      </c>
      <c r="M32" s="11">
        <v>3.1E-2</v>
      </c>
      <c r="N32" s="11">
        <v>4.7E-2</v>
      </c>
      <c r="O32" s="11">
        <v>9.8000000000000004E-2</v>
      </c>
      <c r="P32" s="11">
        <v>0.129</v>
      </c>
      <c r="Q32" s="11">
        <v>9.5000000000000001E-2</v>
      </c>
      <c r="R32" s="11">
        <v>0.159</v>
      </c>
      <c r="S32" s="5"/>
      <c r="T32" s="11">
        <v>0.11699999999999999</v>
      </c>
      <c r="V32" s="11">
        <v>5.0999999999999997E-2</v>
      </c>
      <c r="X32" s="11">
        <v>2.8999999999999998E-2</v>
      </c>
      <c r="Z32" s="11">
        <v>0.111</v>
      </c>
      <c r="AA32" s="11">
        <v>0.10400000000000001</v>
      </c>
      <c r="AC32" s="11">
        <v>4.7E-2</v>
      </c>
      <c r="AJ32" s="11">
        <v>4.7E-2</v>
      </c>
      <c r="AM32" s="11">
        <v>0.14899999999999999</v>
      </c>
      <c r="AR32" s="11">
        <v>2.5000000000000001E-2</v>
      </c>
      <c r="AT32" s="11">
        <v>0.433</v>
      </c>
      <c r="AU32" s="11">
        <v>8.0000000000000002E-3</v>
      </c>
      <c r="AV32" s="11">
        <v>0.29100000000000004</v>
      </c>
    </row>
    <row r="33" spans="1:69" x14ac:dyDescent="0.25">
      <c r="A33" t="str">
        <f>IF(Input!A34="","",Input!A34)</f>
        <v>Schroder Managed Defensive Fund</v>
      </c>
      <c r="C33" s="5"/>
      <c r="D33" s="5"/>
      <c r="E33" s="5"/>
      <c r="G33" s="5"/>
      <c r="H33" s="11">
        <v>1.3000000000000001E-2</v>
      </c>
      <c r="J33" s="5"/>
      <c r="L33" s="5"/>
      <c r="M33" s="11">
        <v>6.0000000000000001E-3</v>
      </c>
      <c r="N33" s="11">
        <v>8.0000000000000002E-3</v>
      </c>
      <c r="O33" s="5"/>
      <c r="P33" s="11">
        <v>0.247</v>
      </c>
      <c r="Q33" s="5"/>
      <c r="R33" s="5"/>
      <c r="S33" s="11">
        <v>1.2E-2</v>
      </c>
      <c r="T33" s="11">
        <v>0.61699999999999999</v>
      </c>
      <c r="Z33" s="11">
        <v>6.0000000000000001E-3</v>
      </c>
      <c r="AA33" s="11">
        <v>9.0999999999999998E-2</v>
      </c>
      <c r="BP33" s="11">
        <v>0.59200000000000008</v>
      </c>
      <c r="BQ33" s="11">
        <v>2.4E-2</v>
      </c>
    </row>
    <row r="34" spans="1:69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11">
        <v>0.01</v>
      </c>
      <c r="J34" s="5"/>
      <c r="L34" s="5"/>
      <c r="M34" s="11">
        <v>9.0000000000000011E-3</v>
      </c>
      <c r="N34" s="11">
        <v>5.0000000000000001E-3</v>
      </c>
      <c r="O34" s="11">
        <v>0.16899999999999998</v>
      </c>
      <c r="P34" s="11">
        <v>0.38700000000000001</v>
      </c>
      <c r="Q34" s="5"/>
      <c r="R34" s="11">
        <v>0.33500000000000002</v>
      </c>
      <c r="S34" s="11">
        <v>1.9E-2</v>
      </c>
      <c r="T34" s="11">
        <v>6.9999999999999993E-3</v>
      </c>
      <c r="Z34" s="11">
        <v>5.4000000000000006E-2</v>
      </c>
      <c r="AA34" s="11">
        <v>6.0000000000000001E-3</v>
      </c>
      <c r="BP34" s="5"/>
    </row>
    <row r="35" spans="1:69" x14ac:dyDescent="0.25">
      <c r="A35" t="str">
        <f>IF(Input!A36="","",Input!A36)</f>
        <v>Schroder Global Multi-Asset Moderately Cautious Portfolio</v>
      </c>
      <c r="C35" s="5"/>
      <c r="D35" s="5"/>
      <c r="H35" s="11">
        <v>0.01</v>
      </c>
      <c r="J35" s="5"/>
      <c r="L35" s="5"/>
      <c r="M35" s="11">
        <v>1.1000000000000001E-2</v>
      </c>
      <c r="N35" s="11">
        <v>1.3000000000000001E-2</v>
      </c>
      <c r="O35" s="11">
        <v>0.28300000000000003</v>
      </c>
      <c r="P35" s="11">
        <v>0.254</v>
      </c>
      <c r="R35" s="11">
        <v>0.30399999999999999</v>
      </c>
      <c r="S35" s="11">
        <v>2.4E-2</v>
      </c>
      <c r="T35" s="11">
        <v>3.0000000000000001E-3</v>
      </c>
      <c r="Z35" s="11">
        <v>8.8000000000000009E-2</v>
      </c>
      <c r="AA35" s="11">
        <v>9.0000000000000011E-3</v>
      </c>
    </row>
    <row r="36" spans="1:69" x14ac:dyDescent="0.25">
      <c r="A36" t="str">
        <f>IF(Input!A37="","",Input!A37)</f>
        <v>Schroder Global Multi-Asset Balanced Portfolio</v>
      </c>
      <c r="C36" s="5"/>
      <c r="D36" s="5"/>
      <c r="H36" s="11">
        <v>9.0000000000000011E-3</v>
      </c>
      <c r="J36" s="5"/>
      <c r="L36" s="5"/>
      <c r="M36" s="11">
        <v>1.8000000000000002E-2</v>
      </c>
      <c r="N36" s="11">
        <v>0.02</v>
      </c>
      <c r="O36" s="11">
        <v>0.34</v>
      </c>
      <c r="P36" s="11">
        <v>0.16800000000000001</v>
      </c>
      <c r="R36" s="11">
        <v>0.29499999999999998</v>
      </c>
      <c r="S36" s="11">
        <v>2.7999999999999997E-2</v>
      </c>
      <c r="T36" s="11">
        <v>5.0000000000000001E-3</v>
      </c>
      <c r="Z36" s="11">
        <v>0.10800000000000001</v>
      </c>
      <c r="AA36" s="11">
        <v>1.1000000000000001E-2</v>
      </c>
    </row>
    <row r="37" spans="1:69" x14ac:dyDescent="0.25">
      <c r="A37" t="str">
        <f>IF(Input!A38="","",Input!A38)</f>
        <v>Schroder Global Multi-Asset Growth Portfolio</v>
      </c>
      <c r="C37" s="5"/>
      <c r="D37" s="5"/>
      <c r="H37" s="11">
        <v>0.01</v>
      </c>
      <c r="J37" s="5"/>
      <c r="L37" s="5"/>
      <c r="M37" s="11">
        <v>0.04</v>
      </c>
      <c r="N37" s="11">
        <v>2.7000000000000003E-2</v>
      </c>
      <c r="O37" s="11">
        <v>0.41</v>
      </c>
      <c r="P37" s="11">
        <v>9.1999999999999998E-2</v>
      </c>
      <c r="R37" s="11">
        <v>0.22600000000000001</v>
      </c>
      <c r="S37" s="11">
        <v>3.2000000000000001E-2</v>
      </c>
      <c r="T37" s="11">
        <v>5.0000000000000001E-3</v>
      </c>
      <c r="Z37" s="11">
        <v>0.129</v>
      </c>
      <c r="AA37" s="11">
        <v>2.8999999999999998E-2</v>
      </c>
    </row>
    <row r="38" spans="1:69" x14ac:dyDescent="0.25">
      <c r="A38" t="str">
        <f>IF(Input!A39="","",Input!A39)</f>
        <v>Schroder Global Multi-Asset Adventurous Portfolio</v>
      </c>
      <c r="C38" s="5"/>
      <c r="D38" s="5"/>
      <c r="H38" s="11">
        <v>0.01</v>
      </c>
      <c r="J38" s="5"/>
      <c r="L38" s="5"/>
      <c r="M38" s="11">
        <v>6.9000000000000006E-2</v>
      </c>
      <c r="N38" s="11">
        <v>3.7999999999999999E-2</v>
      </c>
      <c r="O38" s="11">
        <v>0.41799999999999998</v>
      </c>
      <c r="P38" s="11">
        <v>4.8000000000000001E-2</v>
      </c>
      <c r="R38" s="11">
        <v>0.155</v>
      </c>
      <c r="S38" s="11">
        <v>3.9E-2</v>
      </c>
      <c r="T38" s="11">
        <v>9.0000000000000011E-3</v>
      </c>
      <c r="Z38" s="11">
        <v>0.154</v>
      </c>
      <c r="AA38" s="11">
        <v>6.0999999999999999E-2</v>
      </c>
    </row>
    <row r="39" spans="1:69" x14ac:dyDescent="0.25">
      <c r="A39" t="str">
        <f>IF(Input!A40="","",Input!A40)</f>
        <v/>
      </c>
      <c r="C39" s="5"/>
      <c r="D39" s="5"/>
    </row>
    <row r="40" spans="1:69" x14ac:dyDescent="0.25">
      <c r="A40" t="str">
        <f>IF(Input!A41="","",Input!A41)</f>
        <v/>
      </c>
      <c r="C40" s="5"/>
      <c r="D40" s="5"/>
    </row>
    <row r="41" spans="1:69" x14ac:dyDescent="0.25">
      <c r="A41" t="str">
        <f>IF(Input!A42="","",Input!A42)</f>
        <v/>
      </c>
      <c r="C41" s="5"/>
      <c r="D41" s="5"/>
    </row>
    <row r="42" spans="1:69" x14ac:dyDescent="0.25">
      <c r="A42" t="str">
        <f>IF(Input!A43="","",Input!A43)</f>
        <v/>
      </c>
      <c r="C42" s="5"/>
      <c r="D42" s="5"/>
    </row>
    <row r="43" spans="1:69" x14ac:dyDescent="0.25">
      <c r="A43" t="str">
        <f>IF(Input!A44="","",Input!A44)</f>
        <v/>
      </c>
      <c r="C43" s="5"/>
      <c r="D43" s="5"/>
    </row>
    <row r="44" spans="1:69" x14ac:dyDescent="0.25">
      <c r="A44" t="str">
        <f>IF(Input!A45="","",Input!A45)</f>
        <v/>
      </c>
      <c r="C44" s="5"/>
      <c r="D44" s="5"/>
    </row>
    <row r="45" spans="1:69" x14ac:dyDescent="0.25">
      <c r="A45" t="str">
        <f>IF(Input!A46="","",Input!A46)</f>
        <v/>
      </c>
      <c r="C45" s="5"/>
      <c r="D45" s="5"/>
    </row>
    <row r="46" spans="1:69" x14ac:dyDescent="0.25">
      <c r="A46" t="str">
        <f>IF(Input!A47="","",Input!A47)</f>
        <v/>
      </c>
      <c r="C46" s="5"/>
      <c r="D46" s="5"/>
    </row>
    <row r="47" spans="1:69" x14ac:dyDescent="0.25">
      <c r="A47" t="str">
        <f>IF(Input!A48="","",Input!A48)</f>
        <v/>
      </c>
      <c r="C47" s="5"/>
      <c r="D47" s="5"/>
    </row>
    <row r="48" spans="1:69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C1" workbookViewId="0">
      <selection activeCell="H18" sqref="H18"/>
    </sheetView>
  </sheetViews>
  <sheetFormatPr defaultRowHeight="15" x14ac:dyDescent="0.25"/>
  <cols>
    <col min="1" max="1" width="37.140625" customWidth="1"/>
    <col min="3" max="3" width="54.285156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Schroder Active Portfolio 2</v>
      </c>
      <c r="B2" t="s">
        <v>37</v>
      </c>
      <c r="C2" t="s">
        <v>28</v>
      </c>
      <c r="D2" s="8" t="s">
        <v>187</v>
      </c>
    </row>
    <row r="3" spans="1:5" x14ac:dyDescent="0.25">
      <c r="A3" t="str">
        <f>IF(Input!A4="","",Input!A4)</f>
        <v>Schroder Active Portfolio 3</v>
      </c>
      <c r="B3" t="s">
        <v>38</v>
      </c>
      <c r="C3" t="s">
        <v>29</v>
      </c>
      <c r="D3" s="8" t="s">
        <v>188</v>
      </c>
    </row>
    <row r="4" spans="1:5" x14ac:dyDescent="0.25">
      <c r="A4" t="str">
        <f>IF(Input!A5="","",Input!A5)</f>
        <v>Schroder Active Portfolio 4</v>
      </c>
      <c r="B4" t="s">
        <v>39</v>
      </c>
      <c r="C4" t="s">
        <v>30</v>
      </c>
      <c r="D4" s="8" t="s">
        <v>189</v>
      </c>
    </row>
    <row r="5" spans="1:5" x14ac:dyDescent="0.25">
      <c r="A5" t="str">
        <f>IF(Input!A6="","",Input!A6)</f>
        <v>Schroder Active Portfolio 5</v>
      </c>
      <c r="B5" t="s">
        <v>40</v>
      </c>
      <c r="C5" t="s">
        <v>31</v>
      </c>
      <c r="D5" s="8" t="s">
        <v>190</v>
      </c>
    </row>
    <row r="6" spans="1:5" x14ac:dyDescent="0.25">
      <c r="A6" t="str">
        <f>IF(Input!A7="","",Input!A7)</f>
        <v>Schroder Active Portfolio 6</v>
      </c>
      <c r="B6" t="s">
        <v>41</v>
      </c>
      <c r="C6" t="s">
        <v>32</v>
      </c>
      <c r="D6" s="8" t="s">
        <v>191</v>
      </c>
    </row>
    <row r="7" spans="1:5" x14ac:dyDescent="0.25">
      <c r="A7" t="str">
        <f>IF(Input!A8="","",Input!A8)</f>
        <v>Schroder Active Portfolio 7</v>
      </c>
      <c r="B7" t="s">
        <v>42</v>
      </c>
      <c r="C7" t="s">
        <v>33</v>
      </c>
      <c r="D7" s="8" t="s">
        <v>192</v>
      </c>
    </row>
    <row r="8" spans="1:5" x14ac:dyDescent="0.25">
      <c r="A8" t="str">
        <f>IF(Input!A9="","",Input!A9)</f>
        <v>Schroder Active Portfolio 8</v>
      </c>
      <c r="B8" t="s">
        <v>43</v>
      </c>
      <c r="C8" t="s">
        <v>34</v>
      </c>
      <c r="D8" s="8" t="s">
        <v>193</v>
      </c>
    </row>
    <row r="9" spans="1:5" x14ac:dyDescent="0.25">
      <c r="A9" t="str">
        <f>IF(Input!A10="","",Input!A10)</f>
        <v>Schroder Active Portfolio 9</v>
      </c>
      <c r="B9" t="s">
        <v>44</v>
      </c>
      <c r="C9" t="s">
        <v>35</v>
      </c>
      <c r="D9" s="8" t="s">
        <v>194</v>
      </c>
    </row>
    <row r="10" spans="1:5" x14ac:dyDescent="0.25">
      <c r="A10" t="str">
        <f>IF(Input!A11="","",Input!A11)</f>
        <v>Schroder Active Portfolio 10</v>
      </c>
      <c r="B10" t="s">
        <v>45</v>
      </c>
      <c r="C10" t="s">
        <v>36</v>
      </c>
      <c r="D10" s="8" t="s">
        <v>195</v>
      </c>
    </row>
    <row r="11" spans="1:5" x14ac:dyDescent="0.25">
      <c r="A11" t="str">
        <f>IF(Input!A12="","",Input!A12)</f>
        <v>Schroder Strategic Index Portfolio 2</v>
      </c>
      <c r="B11" t="s">
        <v>55</v>
      </c>
      <c r="C11" t="s">
        <v>46</v>
      </c>
      <c r="D11" s="8" t="s">
        <v>196</v>
      </c>
    </row>
    <row r="12" spans="1:5" x14ac:dyDescent="0.25">
      <c r="A12" t="str">
        <f>IF(Input!A13="","",Input!A13)</f>
        <v>Schroder Strategic Index Portfolio 3</v>
      </c>
      <c r="B12" t="s">
        <v>56</v>
      </c>
      <c r="C12" t="s">
        <v>47</v>
      </c>
      <c r="D12" s="8" t="s">
        <v>197</v>
      </c>
    </row>
    <row r="13" spans="1:5" x14ac:dyDescent="0.25">
      <c r="A13" t="str">
        <f>IF(Input!A14="","",Input!A14)</f>
        <v>Schroder Strategic Index Portfolio 4</v>
      </c>
      <c r="B13" t="s">
        <v>57</v>
      </c>
      <c r="C13" t="s">
        <v>48</v>
      </c>
      <c r="D13" s="8" t="s">
        <v>198</v>
      </c>
    </row>
    <row r="14" spans="1:5" x14ac:dyDescent="0.25">
      <c r="A14" t="str">
        <f>IF(Input!A15="","",Input!A15)</f>
        <v>Schroder Strategic Index Portfolio 5</v>
      </c>
      <c r="B14" t="s">
        <v>58</v>
      </c>
      <c r="C14" t="s">
        <v>49</v>
      </c>
      <c r="D14" s="8" t="s">
        <v>199</v>
      </c>
    </row>
    <row r="15" spans="1:5" x14ac:dyDescent="0.25">
      <c r="A15" t="str">
        <f>IF(Input!A16="","",Input!A16)</f>
        <v>Schroder Strategic Index Portfolio 6</v>
      </c>
      <c r="B15" t="s">
        <v>59</v>
      </c>
      <c r="C15" t="s">
        <v>50</v>
      </c>
      <c r="D15" s="8" t="s">
        <v>200</v>
      </c>
    </row>
    <row r="16" spans="1:5" x14ac:dyDescent="0.25">
      <c r="A16" t="str">
        <f>IF(Input!A17="","",Input!A17)</f>
        <v>Schroder Strategic Index Portfolio 7</v>
      </c>
      <c r="B16" t="s">
        <v>60</v>
      </c>
      <c r="C16" t="s">
        <v>51</v>
      </c>
      <c r="D16" s="8" t="s">
        <v>201</v>
      </c>
    </row>
    <row r="17" spans="1:4" x14ac:dyDescent="0.25">
      <c r="A17" t="str">
        <f>IF(Input!A18="","",Input!A18)</f>
        <v>Schroder Strategic Index Portfolio 8</v>
      </c>
      <c r="B17" t="s">
        <v>61</v>
      </c>
      <c r="C17" t="s">
        <v>52</v>
      </c>
      <c r="D17" s="8" t="s">
        <v>223</v>
      </c>
    </row>
    <row r="18" spans="1:4" x14ac:dyDescent="0.25">
      <c r="A18" t="str">
        <f>IF(Input!A19="","",Input!A19)</f>
        <v>Schroder Strategic Index Portfolio 9</v>
      </c>
      <c r="B18" t="s">
        <v>62</v>
      </c>
      <c r="C18" t="s">
        <v>53</v>
      </c>
      <c r="D18" s="8" t="s">
        <v>202</v>
      </c>
    </row>
    <row r="19" spans="1:4" x14ac:dyDescent="0.25">
      <c r="A19" t="str">
        <f>IF(Input!A20="","",Input!A20)</f>
        <v>Schroder Strategic Index Portfolio 10</v>
      </c>
      <c r="B19" t="s">
        <v>63</v>
      </c>
      <c r="C19" t="s">
        <v>54</v>
      </c>
      <c r="D19" s="8" t="s">
        <v>203</v>
      </c>
    </row>
    <row r="20" spans="1:4" x14ac:dyDescent="0.25">
      <c r="A20" t="str">
        <f>IF(Input!A21="","",Input!A21)</f>
        <v>Schroder Sustainable Portfolio 3</v>
      </c>
      <c r="B20" t="s">
        <v>70</v>
      </c>
      <c r="C20" t="s">
        <v>64</v>
      </c>
      <c r="D20" s="8" t="s">
        <v>204</v>
      </c>
    </row>
    <row r="21" spans="1:4" x14ac:dyDescent="0.25">
      <c r="A21" t="str">
        <f>IF(Input!A22="","",Input!A22)</f>
        <v>Schroder Sustainable Portfolio 4</v>
      </c>
      <c r="B21" t="s">
        <v>71</v>
      </c>
      <c r="C21" t="s">
        <v>65</v>
      </c>
      <c r="D21" s="8" t="s">
        <v>205</v>
      </c>
    </row>
    <row r="22" spans="1:4" x14ac:dyDescent="0.25">
      <c r="A22" t="str">
        <f>IF(Input!A23="","",Input!A23)</f>
        <v>Schroder Sustainable Portfolio 5</v>
      </c>
      <c r="B22" t="s">
        <v>72</v>
      </c>
      <c r="C22" t="s">
        <v>66</v>
      </c>
      <c r="D22" s="8" t="s">
        <v>206</v>
      </c>
    </row>
    <row r="23" spans="1:4" x14ac:dyDescent="0.25">
      <c r="A23" t="str">
        <f>IF(Input!A24="","",Input!A24)</f>
        <v>Schroder Sustainable Portfolio 6</v>
      </c>
      <c r="B23" t="s">
        <v>73</v>
      </c>
      <c r="C23" t="s">
        <v>67</v>
      </c>
      <c r="D23" s="8" t="s">
        <v>207</v>
      </c>
    </row>
    <row r="24" spans="1:4" x14ac:dyDescent="0.25">
      <c r="A24" t="str">
        <f>IF(Input!A25="","",Input!A25)</f>
        <v>Schroder Sustainable Portfolio 7</v>
      </c>
      <c r="B24" t="s">
        <v>74</v>
      </c>
      <c r="C24" t="s">
        <v>68</v>
      </c>
      <c r="D24" s="8" t="s">
        <v>208</v>
      </c>
    </row>
    <row r="25" spans="1:4" x14ac:dyDescent="0.25">
      <c r="A25" t="str">
        <f>IF(Input!A26="","",Input!A26)</f>
        <v>Schroder Sustainable Portfolio 8</v>
      </c>
      <c r="B25" t="s">
        <v>75</v>
      </c>
      <c r="C25" t="s">
        <v>69</v>
      </c>
      <c r="D25" s="8" t="s">
        <v>209</v>
      </c>
    </row>
    <row r="26" spans="1:4" x14ac:dyDescent="0.25">
      <c r="A26" t="str">
        <f>IF(Input!A27="","",Input!A27)</f>
        <v>Schroder Blended Portfolio 3</v>
      </c>
      <c r="B26" t="s">
        <v>82</v>
      </c>
      <c r="C26" t="s">
        <v>76</v>
      </c>
      <c r="D26" s="8" t="s">
        <v>210</v>
      </c>
    </row>
    <row r="27" spans="1:4" x14ac:dyDescent="0.25">
      <c r="A27" t="str">
        <f>IF(Input!A28="","",Input!A28)</f>
        <v>Schroder Blended Portfolio 4</v>
      </c>
      <c r="B27" t="s">
        <v>83</v>
      </c>
      <c r="C27" t="s">
        <v>77</v>
      </c>
      <c r="D27" s="8" t="s">
        <v>211</v>
      </c>
    </row>
    <row r="28" spans="1:4" x14ac:dyDescent="0.25">
      <c r="A28" t="str">
        <f>IF(Input!A29="","",Input!A29)</f>
        <v>Schroder Blended Portfolio 5</v>
      </c>
      <c r="B28" t="s">
        <v>84</v>
      </c>
      <c r="C28" t="s">
        <v>78</v>
      </c>
      <c r="D28" s="8" t="s">
        <v>212</v>
      </c>
    </row>
    <row r="29" spans="1:4" x14ac:dyDescent="0.25">
      <c r="A29" t="str">
        <f>IF(Input!A30="","",Input!A30)</f>
        <v>Schroder Blended Portfolio 6</v>
      </c>
      <c r="B29" t="s">
        <v>85</v>
      </c>
      <c r="C29" t="s">
        <v>79</v>
      </c>
      <c r="D29" s="8" t="s">
        <v>213</v>
      </c>
    </row>
    <row r="30" spans="1:4" x14ac:dyDescent="0.25">
      <c r="A30" t="str">
        <f>IF(Input!A31="","",Input!A31)</f>
        <v>Schroder Blended Portfolio 7</v>
      </c>
      <c r="B30" t="s">
        <v>86</v>
      </c>
      <c r="C30" t="s">
        <v>80</v>
      </c>
      <c r="D30" s="8" t="s">
        <v>214</v>
      </c>
    </row>
    <row r="31" spans="1:4" x14ac:dyDescent="0.25">
      <c r="A31" t="str">
        <f>IF(Input!A32="","",Input!A32)</f>
        <v>Schroder Blended Portfolio 8</v>
      </c>
      <c r="B31" t="s">
        <v>87</v>
      </c>
      <c r="C31" t="s">
        <v>81</v>
      </c>
      <c r="D31" s="8" t="s">
        <v>215</v>
      </c>
    </row>
    <row r="32" spans="1:4" x14ac:dyDescent="0.25">
      <c r="A32" t="str">
        <f>IF(Input!A33="","",Input!A33)</f>
        <v>Schroder Income Portfolio</v>
      </c>
      <c r="B32" t="s">
        <v>89</v>
      </c>
      <c r="C32" t="s">
        <v>184</v>
      </c>
      <c r="D32" s="8" t="s">
        <v>216</v>
      </c>
    </row>
    <row r="33" spans="1:4" x14ac:dyDescent="0.25">
      <c r="A33" t="str">
        <f>IF(Input!A34="","",Input!A34)</f>
        <v>Schroder Managed Defensive Fund</v>
      </c>
      <c r="B33" t="s">
        <v>91</v>
      </c>
      <c r="C33" t="s">
        <v>185</v>
      </c>
      <c r="D33" s="8" t="s">
        <v>217</v>
      </c>
    </row>
    <row r="34" spans="1:4" x14ac:dyDescent="0.25">
      <c r="A34" t="str">
        <f>IF(Input!A35="","",Input!A35)</f>
        <v>Schroder Global Multi-Asset Cautious Portfolio</v>
      </c>
      <c r="B34" t="s">
        <v>93</v>
      </c>
      <c r="C34" t="s">
        <v>92</v>
      </c>
      <c r="D34" s="8" t="s">
        <v>218</v>
      </c>
    </row>
    <row r="35" spans="1:4" x14ac:dyDescent="0.25">
      <c r="A35" t="str">
        <f>IF(Input!A36="","",Input!A36)</f>
        <v>Schroder Global Multi-Asset Moderately Cautious Portfolio</v>
      </c>
      <c r="B35" t="s">
        <v>95</v>
      </c>
      <c r="C35" t="s">
        <v>94</v>
      </c>
      <c r="D35" s="8" t="s">
        <v>219</v>
      </c>
    </row>
    <row r="36" spans="1:4" x14ac:dyDescent="0.25">
      <c r="A36" t="str">
        <f>IF(Input!A37="","",Input!A37)</f>
        <v>Schroder Global Multi-Asset Balanced Portfolio</v>
      </c>
      <c r="B36" t="s">
        <v>97</v>
      </c>
      <c r="C36" t="s">
        <v>96</v>
      </c>
      <c r="D36" s="8" t="s">
        <v>220</v>
      </c>
    </row>
    <row r="37" spans="1:4" x14ac:dyDescent="0.25">
      <c r="A37" t="str">
        <f>IF(Input!A38="","",Input!A38)</f>
        <v>Schroder Global Multi-Asset Growth Portfolio</v>
      </c>
      <c r="B37" t="s">
        <v>99</v>
      </c>
      <c r="C37" t="s">
        <v>98</v>
      </c>
      <c r="D37" s="8" t="s">
        <v>221</v>
      </c>
    </row>
    <row r="38" spans="1:4" x14ac:dyDescent="0.25">
      <c r="A38" t="str">
        <f>IF(Input!A39="","",Input!A39)</f>
        <v>Schroder Global Multi-Asset Adventurous Portfolio</v>
      </c>
      <c r="B38" t="s">
        <v>101</v>
      </c>
      <c r="C38" t="s">
        <v>100</v>
      </c>
      <c r="D38" s="8" t="s">
        <v>222</v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conditionalFormatting sqref="D17">
    <cfRule type="duplicateValues" dxfId="3" priority="1"/>
    <cfRule type="duplicateValues" dxfId="2" priority="2"/>
    <cfRule type="duplicateValues" dxfId="1" priority="3"/>
    <cfRule type="duplicateValues" dxfId="0" priority="4"/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A22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Schroder Active Portfolio 2</v>
      </c>
      <c r="B2" s="1">
        <f>IF(A2="","",EOMONTH(DATE(YEAR(IF(A2="","",SUBSTITUTE('Additional Information'!B2,".","/"))),MONTH(IF(A2="","",SUBSTITUTE('Additional Information'!B2,".","/"))),DAY(IF(A2="","",SUBSTITUTE('Additional Information'!B2,".","/")))),0))</f>
        <v>45169</v>
      </c>
    </row>
    <row r="3" spans="1:2" x14ac:dyDescent="0.25">
      <c r="A3" t="str">
        <f>IF(Input!A4="","",Input!A4)</f>
        <v>Schroder Active Portfolio 3</v>
      </c>
      <c r="B3" s="1">
        <f>IF(A3="","",EOMONTH(DATE(YEAR(IF(A3="","",SUBSTITUTE('Additional Information'!B3,".","/"))),MONTH(IF(A3="","",SUBSTITUTE('Additional Information'!B3,".","/"))),DAY(IF(A3="","",SUBSTITUTE('Additional Information'!B3,".","/")))),0))</f>
        <v>45169</v>
      </c>
    </row>
    <row r="4" spans="1:2" x14ac:dyDescent="0.25">
      <c r="A4" t="str">
        <f>IF(Input!A5="","",Input!A5)</f>
        <v>Schroder Active Portfolio 4</v>
      </c>
      <c r="B4" s="1">
        <f>IF(A4="","",EOMONTH(DATE(YEAR(IF(A4="","",SUBSTITUTE('Additional Information'!B4,".","/"))),MONTH(IF(A4="","",SUBSTITUTE('Additional Information'!B4,".","/"))),DAY(IF(A4="","",SUBSTITUTE('Additional Information'!B4,".","/")))),0))</f>
        <v>45169</v>
      </c>
    </row>
    <row r="5" spans="1:2" x14ac:dyDescent="0.25">
      <c r="A5" t="str">
        <f>IF(Input!A6="","",Input!A6)</f>
        <v>Schroder Active Portfolio 5</v>
      </c>
      <c r="B5" s="1">
        <f>IF(A5="","",EOMONTH(DATE(YEAR(IF(A5="","",SUBSTITUTE('Additional Information'!B5,".","/"))),MONTH(IF(A5="","",SUBSTITUTE('Additional Information'!B5,".","/"))),DAY(IF(A5="","",SUBSTITUTE('Additional Information'!B5,".","/")))),0))</f>
        <v>45169</v>
      </c>
    </row>
    <row r="6" spans="1:2" x14ac:dyDescent="0.25">
      <c r="A6" t="str">
        <f>IF(Input!A7="","",Input!A7)</f>
        <v>Schroder Active Portfolio 6</v>
      </c>
      <c r="B6" s="1">
        <f>IF(A6="","",EOMONTH(DATE(YEAR(IF(A6="","",SUBSTITUTE('Additional Information'!B6,".","/"))),MONTH(IF(A6="","",SUBSTITUTE('Additional Information'!B6,".","/"))),DAY(IF(A6="","",SUBSTITUTE('Additional Information'!B6,".","/")))),0))</f>
        <v>45169</v>
      </c>
    </row>
    <row r="7" spans="1:2" x14ac:dyDescent="0.25">
      <c r="A7" t="str">
        <f>IF(Input!A8="","",Input!A8)</f>
        <v>Schroder Active Portfolio 7</v>
      </c>
      <c r="B7" s="1">
        <f>IF(A7="","",EOMONTH(DATE(YEAR(IF(A7="","",SUBSTITUTE('Additional Information'!B7,".","/"))),MONTH(IF(A7="","",SUBSTITUTE('Additional Information'!B7,".","/"))),DAY(IF(A7="","",SUBSTITUTE('Additional Information'!B7,".","/")))),0))</f>
        <v>45169</v>
      </c>
    </row>
    <row r="8" spans="1:2" x14ac:dyDescent="0.25">
      <c r="A8" t="str">
        <f>IF(Input!A9="","",Input!A9)</f>
        <v>Schroder Active Portfolio 8</v>
      </c>
      <c r="B8" s="1">
        <f>IF(A8="","",EOMONTH(DATE(YEAR(IF(A8="","",SUBSTITUTE('Additional Information'!B8,".","/"))),MONTH(IF(A8="","",SUBSTITUTE('Additional Information'!B8,".","/"))),DAY(IF(A8="","",SUBSTITUTE('Additional Information'!B8,".","/")))),0))</f>
        <v>45169</v>
      </c>
    </row>
    <row r="9" spans="1:2" x14ac:dyDescent="0.25">
      <c r="A9" t="str">
        <f>IF(Input!A10="","",Input!A10)</f>
        <v>Schroder Active Portfolio 9</v>
      </c>
      <c r="B9" s="1">
        <f>IF(A9="","",EOMONTH(DATE(YEAR(IF(A9="","",SUBSTITUTE('Additional Information'!B9,".","/"))),MONTH(IF(A9="","",SUBSTITUTE('Additional Information'!B9,".","/"))),DAY(IF(A9="","",SUBSTITUTE('Additional Information'!B9,".","/")))),0))</f>
        <v>45169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IF(A10="","",EOMONTH(DATE(YEAR(IF(A10="","",SUBSTITUTE('Additional Information'!B10,".","/"))),MONTH(IF(A10="","",SUBSTITUTE('Additional Information'!B10,".","/"))),DAY(IF(A10="","",SUBSTITUTE('Additional Information'!B10,".","/")))),0))</f>
        <v>45169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IF(A11="","",EOMONTH(DATE(YEAR(IF(A11="","",SUBSTITUTE('Additional Information'!B11,".","/"))),MONTH(IF(A11="","",SUBSTITUTE('Additional Information'!B11,".","/"))),DAY(IF(A11="","",SUBSTITUTE('Additional Information'!B11,".","/")))),0))</f>
        <v>45169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IF(A12="","",EOMONTH(DATE(YEAR(IF(A12="","",SUBSTITUTE('Additional Information'!B12,".","/"))),MONTH(IF(A12="","",SUBSTITUTE('Additional Information'!B12,".","/"))),DAY(IF(A12="","",SUBSTITUTE('Additional Information'!B12,".","/")))),0))</f>
        <v>45169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IF(A13="","",EOMONTH(DATE(YEAR(IF(A13="","",SUBSTITUTE('Additional Information'!B13,".","/"))),MONTH(IF(A13="","",SUBSTITUTE('Additional Information'!B13,".","/"))),DAY(IF(A13="","",SUBSTITUTE('Additional Information'!B13,".","/")))),0))</f>
        <v>45169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IF(A14="","",EOMONTH(DATE(YEAR(IF(A14="","",SUBSTITUTE('Additional Information'!B14,".","/"))),MONTH(IF(A14="","",SUBSTITUTE('Additional Information'!B14,".","/"))),DAY(IF(A14="","",SUBSTITUTE('Additional Information'!B14,".","/")))),0))</f>
        <v>45169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IF(A15="","",EOMONTH(DATE(YEAR(IF(A15="","",SUBSTITUTE('Additional Information'!B15,".","/"))),MONTH(IF(A15="","",SUBSTITUTE('Additional Information'!B15,".","/"))),DAY(IF(A15="","",SUBSTITUTE('Additional Information'!B15,".","/")))),0))</f>
        <v>45169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IF(A16="","",EOMONTH(DATE(YEAR(IF(A16="","",SUBSTITUTE('Additional Information'!B16,".","/"))),MONTH(IF(A16="","",SUBSTITUTE('Additional Information'!B16,".","/"))),DAY(IF(A16="","",SUBSTITUTE('Additional Information'!B16,".","/")))),0))</f>
        <v>45169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IF(A17="","",EOMONTH(DATE(YEAR(IF(A17="","",SUBSTITUTE('Additional Information'!B17,".","/"))),MONTH(IF(A17="","",SUBSTITUTE('Additional Information'!B17,".","/"))),DAY(IF(A17="","",SUBSTITUTE('Additional Information'!B17,".","/")))),0))</f>
        <v>45169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IF(A18="","",EOMONTH(DATE(YEAR(IF(A18="","",SUBSTITUTE('Additional Information'!B18,".","/"))),MONTH(IF(A18="","",SUBSTITUTE('Additional Information'!B18,".","/"))),DAY(IF(A18="","",SUBSTITUTE('Additional Information'!B18,".","/")))),0))</f>
        <v>45169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IF(A19="","",EOMONTH(DATE(YEAR(IF(A19="","",SUBSTITUTE('Additional Information'!B19,".","/"))),MONTH(IF(A19="","",SUBSTITUTE('Additional Information'!B19,".","/"))),DAY(IF(A19="","",SUBSTITUTE('Additional Information'!B19,".","/")))),0))</f>
        <v>45169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IF(A20="","",EOMONTH(DATE(YEAR(IF(A20="","",SUBSTITUTE('Additional Information'!B20,".","/"))),MONTH(IF(A20="","",SUBSTITUTE('Additional Information'!B20,".","/"))),DAY(IF(A20="","",SUBSTITUTE('Additional Information'!B20,".","/")))),0))</f>
        <v>45169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IF(A21="","",EOMONTH(DATE(YEAR(IF(A21="","",SUBSTITUTE('Additional Information'!B21,".","/"))),MONTH(IF(A21="","",SUBSTITUTE('Additional Information'!B21,".","/"))),DAY(IF(A21="","",SUBSTITUTE('Additional Information'!B21,".","/")))),0))</f>
        <v>45169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IF(A22="","",EOMONTH(DATE(YEAR(IF(A22="","",SUBSTITUTE('Additional Information'!B22,".","/"))),MONTH(IF(A22="","",SUBSTITUTE('Additional Information'!B22,".","/"))),DAY(IF(A22="","",SUBSTITUTE('Additional Information'!B22,".","/")))),0))</f>
        <v>45169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IF(A23="","",EOMONTH(DATE(YEAR(IF(A23="","",SUBSTITUTE('Additional Information'!B23,".","/"))),MONTH(IF(A23="","",SUBSTITUTE('Additional Information'!B23,".","/"))),DAY(IF(A23="","",SUBSTITUTE('Additional Information'!B23,".","/")))),0))</f>
        <v>45169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IF(A24="","",EOMONTH(DATE(YEAR(IF(A24="","",SUBSTITUTE('Additional Information'!B24,".","/"))),MONTH(IF(A24="","",SUBSTITUTE('Additional Information'!B24,".","/"))),DAY(IF(A24="","",SUBSTITUTE('Additional Information'!B24,".","/")))),0))</f>
        <v>45169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IF(A25="","",EOMONTH(DATE(YEAR(IF(A25="","",SUBSTITUTE('Additional Information'!B25,".","/"))),MONTH(IF(A25="","",SUBSTITUTE('Additional Information'!B25,".","/"))),DAY(IF(A25="","",SUBSTITUTE('Additional Information'!B25,".","/")))),0))</f>
        <v>45169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IF(A26="","",EOMONTH(DATE(YEAR(IF(A26="","",SUBSTITUTE('Additional Information'!B26,".","/"))),MONTH(IF(A26="","",SUBSTITUTE('Additional Information'!B26,".","/"))),DAY(IF(A26="","",SUBSTITUTE('Additional Information'!B26,".","/")))),0))</f>
        <v>45199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IF(A27="","",EOMONTH(DATE(YEAR(IF(A27="","",SUBSTITUTE('Additional Information'!B27,".","/"))),MONTH(IF(A27="","",SUBSTITUTE('Additional Information'!B27,".","/"))),DAY(IF(A27="","",SUBSTITUTE('Additional Information'!B27,".","/")))),0))</f>
        <v>45199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IF(A28="","",EOMONTH(DATE(YEAR(IF(A28="","",SUBSTITUTE('Additional Information'!B28,".","/"))),MONTH(IF(A28="","",SUBSTITUTE('Additional Information'!B28,".","/"))),DAY(IF(A28="","",SUBSTITUTE('Additional Information'!B28,".","/")))),0))</f>
        <v>45199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IF(A29="","",EOMONTH(DATE(YEAR(IF(A29="","",SUBSTITUTE('Additional Information'!B29,".","/"))),MONTH(IF(A29="","",SUBSTITUTE('Additional Information'!B29,".","/"))),DAY(IF(A29="","",SUBSTITUTE('Additional Information'!B29,".","/")))),0))</f>
        <v>45199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IF(A30="","",EOMONTH(DATE(YEAR(IF(A30="","",SUBSTITUTE('Additional Information'!B30,".","/"))),MONTH(IF(A30="","",SUBSTITUTE('Additional Information'!B30,".","/"))),DAY(IF(A30="","",SUBSTITUTE('Additional Information'!B30,".","/")))),0))</f>
        <v>45199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IF(A31="","",EOMONTH(DATE(YEAR(IF(A31="","",SUBSTITUTE('Additional Information'!B31,".","/"))),MONTH(IF(A31="","",SUBSTITUTE('Additional Information'!B31,".","/"))),DAY(IF(A31="","",SUBSTITUTE('Additional Information'!B31,".","/")))),0))</f>
        <v>45199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IF(A32="","",EOMONTH(DATE(YEAR(IF(A32="","",SUBSTITUTE('Additional Information'!B32,".","/"))),MONTH(IF(A32="","",SUBSTITUTE('Additional Information'!B32,".","/"))),DAY(IF(A32="","",SUBSTITUTE('Additional Information'!B32,".","/")))),0))</f>
        <v>45199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IF(A33="","",EOMONTH(DATE(YEAR(IF(A33="","",SUBSTITUTE('Additional Information'!B33,".","/"))),MONTH(IF(A33="","",SUBSTITUTE('Additional Information'!B33,".","/"))),DAY(IF(A33="","",SUBSTITUTE('Additional Information'!B33,".","/")))),0))</f>
        <v>45199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IF(A34="","",EOMONTH(DATE(YEAR(IF(A34="","",SUBSTITUTE('Additional Information'!B34,".","/"))),MONTH(IF(A34="","",SUBSTITUTE('Additional Information'!B34,".","/"))),DAY(IF(A34="","",SUBSTITUTE('Additional Information'!B34,".","/")))),0))</f>
        <v>45199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IF(A35="","",EOMONTH(DATE(YEAR(IF(A35="","",SUBSTITUTE('Additional Information'!B35,".","/"))),MONTH(IF(A35="","",SUBSTITUTE('Additional Information'!B35,".","/"))),DAY(IF(A35="","",SUBSTITUTE('Additional Information'!B35,".","/")))),0))</f>
        <v>45199</v>
      </c>
    </row>
    <row r="36" spans="1:2" x14ac:dyDescent="0.25">
      <c r="A36" t="str">
        <f>IF(Input!A37="","",Input!A37)</f>
        <v>Schroder Global Multi-Asset Balanced Portfolio</v>
      </c>
      <c r="B36" s="1">
        <f>IF(A36="","",EOMONTH(DATE(YEAR(IF(A36="","",SUBSTITUTE('Additional Information'!B36,".","/"))),MONTH(IF(A36="","",SUBSTITUTE('Additional Information'!B36,".","/"))),DAY(IF(A36="","",SUBSTITUTE('Additional Information'!B36,".","/")))),0))</f>
        <v>45199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IF(A37="","",EOMONTH(DATE(YEAR(IF(A37="","",SUBSTITUTE('Additional Information'!B37,".","/"))),MONTH(IF(A37="","",SUBSTITUTE('Additional Information'!B37,".","/"))),DAY(IF(A37="","",SUBSTITUTE('Additional Information'!B37,".","/")))),0))</f>
        <v>45199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IF(A38="","",EOMONTH(DATE(YEAR(IF(A38="","",SUBSTITUTE('Additional Information'!B38,".","/"))),MONTH(IF(A38="","",SUBSTITUTE('Additional Information'!B38,".","/"))),DAY(IF(A38="","",SUBSTITUTE('Additional Information'!B38,".","/")))),0))</f>
        <v>45199</v>
      </c>
    </row>
    <row r="39" spans="1:2" x14ac:dyDescent="0.25">
      <c r="A39" t="str">
        <f>IF(Input!A40="","",Input!A40)</f>
        <v/>
      </c>
      <c r="B39" s="1" t="str">
        <f>IF(A39="","",EOMONTH(DATE(YEAR(IF(A39="","",SUBSTITUTE('Additional Information'!B39,".","/"))),MONTH(IF(A39="","",SUBSTITUTE('Additional Information'!B39,".","/"))),DAY(IF(A39="","",SUBSTITUTE('Additional Information'!B39,".","/")))),0))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IF(A40="","",EOMONTH(DATE(YEAR(IF(A40="","",SUBSTITUTE('Additional Information'!B40,".","/"))),MONTH(IF(A40="","",SUBSTITUTE('Additional Information'!B40,".","/"))),DAY(IF(A40="","",SUBSTITUTE('Additional Information'!B40,".","/")))),0))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IF(A41="","",EOMONTH(DATE(YEAR(IF(A41="","",SUBSTITUTE('Additional Information'!B41,".","/"))),MONTH(IF(A41="","",SUBSTITUTE('Additional Information'!B41,".","/"))),DAY(IF(A41="","",SUBSTITUTE('Additional Information'!B41,".","/")))),0))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IF(A42="","",EOMONTH(DATE(YEAR(IF(A42="","",SUBSTITUTE('Additional Information'!B42,".","/"))),MONTH(IF(A42="","",SUBSTITUTE('Additional Information'!B42,".","/"))),DAY(IF(A42="","",SUBSTITUTE('Additional Information'!B42,".","/")))),0))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IF(A43="","",EOMONTH(DATE(YEAR(IF(A43="","",SUBSTITUTE('Additional Information'!B43,".","/"))),MONTH(IF(A43="","",SUBSTITUTE('Additional Information'!B43,".","/"))),DAY(IF(A43="","",SUBSTITUTE('Additional Information'!B43,".","/")))),0))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IF(A44="","",EOMONTH(DATE(YEAR(IF(A44="","",SUBSTITUTE('Additional Information'!B44,".","/"))),MONTH(IF(A44="","",SUBSTITUTE('Additional Information'!B44,".","/"))),DAY(IF(A44="","",SUBSTITUTE('Additional Information'!B44,".","/")))),0))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IF(A45="","",EOMONTH(DATE(YEAR(IF(A45="","",SUBSTITUTE('Additional Information'!B45,".","/"))),MONTH(IF(A45="","",SUBSTITUTE('Additional Information'!B45,".","/"))),DAY(IF(A45="","",SUBSTITUTE('Additional Information'!B45,".","/")))),0))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IF(A46="","",EOMONTH(DATE(YEAR(IF(A46="","",SUBSTITUTE('Additional Information'!B46,".","/"))),MONTH(IF(A46="","",SUBSTITUTE('Additional Information'!B46,".","/"))),DAY(IF(A46="","",SUBSTITUTE('Additional Information'!B46,".","/")))),0))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IF(A47="","",EOMONTH(DATE(YEAR(IF(A47="","",SUBSTITUTE('Additional Information'!B47,".","/"))),MONTH(IF(A47="","",SUBSTITUTE('Additional Information'!B47,".","/"))),DAY(IF(A47="","",SUBSTITUTE('Additional Information'!B47,".","/")))),0))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IF(A48="","",EOMONTH(DATE(YEAR(IF(A48="","",SUBSTITUTE('Additional Information'!B48,".","/"))),MONTH(IF(A48="","",SUBSTITUTE('Additional Information'!B48,".","/"))),DAY(IF(A48="","",SUBSTITUTE('Additional Information'!B48,".","/")))),0))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IF(A49="","",EOMONTH(DATE(YEAR(IF(A49="","",SUBSTITUTE('Additional Information'!B49,".","/"))),MONTH(IF(A49="","",SUBSTITUTE('Additional Information'!B49,".","/"))),DAY(IF(A49="","",SUBSTITUTE('Additional Information'!B49,".","/")))),0))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IF(A50="","",EOMONTH(DATE(YEAR(IF(A50="","",SUBSTITUTE('Additional Information'!B50,".","/"))),MONTH(IF(A50="","",SUBSTITUTE('Additional Information'!B50,".","/"))),DAY(IF(A50="","",SUBSTITUTE('Additional Information'!B50,".","/")))),0))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topLeftCell="A19" workbookViewId="0">
      <selection activeCell="I1" sqref="I1:I1048576"/>
    </sheetView>
  </sheetViews>
  <sheetFormatPr defaultRowHeight="15" x14ac:dyDescent="0.25"/>
  <cols>
    <col min="1" max="1" width="50.42578125" bestFit="1" customWidth="1"/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180</v>
      </c>
      <c r="D1" t="s">
        <v>18</v>
      </c>
      <c r="E1" t="s">
        <v>106</v>
      </c>
      <c r="F1" t="s">
        <v>181</v>
      </c>
      <c r="G1" t="s">
        <v>182</v>
      </c>
    </row>
    <row r="2" spans="1:7" x14ac:dyDescent="0.25">
      <c r="A2" t="str">
        <f>IF(Input!A3="","",Input!A3)</f>
        <v>Schroder Active Portfolio 2</v>
      </c>
      <c r="B2">
        <f>IF(A2="","",'Additional Information'!E2)</f>
        <v>-2E-3</v>
      </c>
      <c r="C2">
        <f>IF(A2="","",'Additional Information'!F2)</f>
        <v>8.0000000000000002E-3</v>
      </c>
      <c r="D2" s="5">
        <f>IF(A2="","",IF('Additional Information'!C2="","",SUM('Additional Information'!C2)))</f>
        <v>5.3E-3</v>
      </c>
      <c r="E2">
        <f>IF(A2="","",IF('Additional Information'!D2="","",SUM('Additional Information'!D2)))</f>
        <v>1.5E-3</v>
      </c>
      <c r="F2">
        <f>IF(A2="","",IF('Additional Information'!G2="","",'Additional Information'!G2))</f>
        <v>3.0000000000000001E-3</v>
      </c>
      <c r="G2">
        <f>IF(A2="","",IF('Additional Information'!H2="","",'Additional Information'!H2))</f>
        <v>4.5999999999999999E-2</v>
      </c>
    </row>
    <row r="3" spans="1:7" x14ac:dyDescent="0.25">
      <c r="A3" t="str">
        <f>IF(Input!A4="","",Input!A4)</f>
        <v>Schroder Active Portfolio 3</v>
      </c>
      <c r="B3">
        <f>IF(A3="","",'Additional Information'!E3)</f>
        <v>-5.0000000000000001E-3</v>
      </c>
      <c r="C3">
        <f>IF(A3="","",'Additional Information'!F3)</f>
        <v>4.0000000000000001E-3</v>
      </c>
      <c r="D3" s="5">
        <f>IF(A3="","",IF('Additional Information'!C3="","",SUM('Additional Information'!C3)))</f>
        <v>6.6E-3</v>
      </c>
      <c r="E3">
        <f>IF(A3="","",IF('Additional Information'!D3="","",SUM('Additional Information'!D3)))</f>
        <v>1.5E-3</v>
      </c>
      <c r="F3">
        <f>IF(A3="","",IF('Additional Information'!G3="","",'Additional Information'!G3))</f>
        <v>1.8000000000000002E-2</v>
      </c>
      <c r="G3">
        <f>IF(A3="","",IF('Additional Information'!H3="","",'Additional Information'!H3))</f>
        <v>0.09</v>
      </c>
    </row>
    <row r="4" spans="1:7" x14ac:dyDescent="0.25">
      <c r="A4" t="str">
        <f>IF(Input!A5="","",Input!A5)</f>
        <v>Schroder Active Portfolio 4</v>
      </c>
      <c r="B4">
        <f>IF(A4="","",'Additional Information'!E4)</f>
        <v>-6.9999999999999993E-3</v>
      </c>
      <c r="C4">
        <f>IF(A4="","",'Additional Information'!F4)</f>
        <v>9.0000000000000011E-3</v>
      </c>
      <c r="D4" s="5">
        <f>IF(A4="","",IF('Additional Information'!C4="","",SUM('Additional Information'!C4)))</f>
        <v>7.3000000000000001E-3</v>
      </c>
      <c r="E4">
        <f>IF(A4="","",IF('Additional Information'!D4="","",SUM('Additional Information'!D4)))</f>
        <v>1.5E-3</v>
      </c>
      <c r="F4">
        <f>IF(A4="","",IF('Additional Information'!G4="","",'Additional Information'!G4))</f>
        <v>5.2000000000000005E-2</v>
      </c>
      <c r="G4">
        <f>IF(A4="","",IF('Additional Information'!H4="","",'Additional Information'!H4))</f>
        <v>0.11599999999999999</v>
      </c>
    </row>
    <row r="5" spans="1:7" x14ac:dyDescent="0.25">
      <c r="A5" t="str">
        <f>IF(Input!A6="","",Input!A6)</f>
        <v>Schroder Active Portfolio 5</v>
      </c>
      <c r="B5">
        <f>IF(A5="","",'Additional Information'!E5)</f>
        <v>-8.0000000000000002E-3</v>
      </c>
      <c r="C5">
        <f>IF(A5="","",'Additional Information'!F5)</f>
        <v>1.3000000000000001E-2</v>
      </c>
      <c r="D5" s="5">
        <f>IF(A5="","",IF('Additional Information'!C5="","",SUM('Additional Information'!C5)))</f>
        <v>7.7000000000000002E-3</v>
      </c>
      <c r="E5">
        <f>IF(A5="","",IF('Additional Information'!D5="","",SUM('Additional Information'!D5)))</f>
        <v>1.5E-3</v>
      </c>
      <c r="F5">
        <f>IF(A5="","",IF('Additional Information'!G5="","",'Additional Information'!G5))</f>
        <v>8.1000000000000003E-2</v>
      </c>
      <c r="G5">
        <f>IF(A5="","",IF('Additional Information'!H5="","",'Additional Information'!H5))</f>
        <v>0.14099999999999999</v>
      </c>
    </row>
    <row r="6" spans="1:7" x14ac:dyDescent="0.25">
      <c r="A6" t="str">
        <f>IF(Input!A7="","",Input!A7)</f>
        <v>Schroder Active Portfolio 6</v>
      </c>
      <c r="B6">
        <f>IF(A6="","",'Additional Information'!E6)</f>
        <v>-9.0000000000000011E-3</v>
      </c>
      <c r="C6">
        <f>IF(A6="","",'Additional Information'!F6)</f>
        <v>1.9E-2</v>
      </c>
      <c r="D6" s="5">
        <f>IF(A6="","",IF('Additional Information'!C6="","",SUM('Additional Information'!C6)))</f>
        <v>8.1000000000000013E-3</v>
      </c>
      <c r="E6">
        <f>IF(A6="","",IF('Additional Information'!D6="","",SUM('Additional Information'!D6)))</f>
        <v>1.5E-3</v>
      </c>
      <c r="F6">
        <f>IF(A6="","",IF('Additional Information'!G6="","",'Additional Information'!G6))</f>
        <v>0.11900000000000001</v>
      </c>
      <c r="G6">
        <f>IF(A6="","",IF('Additional Information'!H6="","",'Additional Information'!H6))</f>
        <v>0.20199999999999999</v>
      </c>
    </row>
    <row r="7" spans="1:7" x14ac:dyDescent="0.25">
      <c r="A7" t="str">
        <f>IF(Input!A8="","",Input!A8)</f>
        <v>Schroder Active Portfolio 7</v>
      </c>
      <c r="B7">
        <f>IF(A7="","",'Additional Information'!E7)</f>
        <v>-1.1000000000000001E-2</v>
      </c>
      <c r="C7">
        <f>IF(A7="","",'Additional Information'!F7)</f>
        <v>2.6000000000000002E-2</v>
      </c>
      <c r="D7" s="5">
        <f>IF(A7="","",IF('Additional Information'!C7="","",SUM('Additional Information'!C7)))</f>
        <v>8.3000000000000001E-3</v>
      </c>
      <c r="E7">
        <f>IF(A7="","",IF('Additional Information'!D7="","",SUM('Additional Information'!D7)))</f>
        <v>1.5E-3</v>
      </c>
      <c r="F7">
        <f>IF(A7="","",IF('Additional Information'!G7="","",'Additional Information'!G7))</f>
        <v>0.14800000000000002</v>
      </c>
      <c r="G7">
        <f>IF(A7="","",IF('Additional Information'!H7="","",'Additional Information'!H7))</f>
        <v>0.26700000000000002</v>
      </c>
    </row>
    <row r="8" spans="1:7" x14ac:dyDescent="0.25">
      <c r="A8" t="str">
        <f>IF(Input!A9="","",Input!A9)</f>
        <v>Schroder Active Portfolio 8</v>
      </c>
      <c r="B8">
        <f>IF(A8="","",'Additional Information'!E8)</f>
        <v>-1.3000000000000001E-2</v>
      </c>
      <c r="C8">
        <f>IF(A8="","",'Additional Information'!F8)</f>
        <v>3.2000000000000001E-2</v>
      </c>
      <c r="D8" s="5">
        <f>IF(A8="","",IF('Additional Information'!C8="","",SUM('Additional Information'!C8)))</f>
        <v>8.5000000000000006E-3</v>
      </c>
      <c r="E8">
        <f>IF(A8="","",IF('Additional Information'!D8="","",SUM('Additional Information'!D8)))</f>
        <v>1.5E-3</v>
      </c>
      <c r="F8">
        <f>IF(A8="","",IF('Additional Information'!G8="","",'Additional Information'!G8))</f>
        <v>0.17399999999999999</v>
      </c>
      <c r="G8">
        <f>IF(A8="","",IF('Additional Information'!H8="","",'Additional Information'!H8))</f>
        <v>0.315</v>
      </c>
    </row>
    <row r="9" spans="1:7" x14ac:dyDescent="0.25">
      <c r="A9" t="str">
        <f>IF(Input!A10="","",Input!A10)</f>
        <v>Schroder Active Portfolio 9</v>
      </c>
      <c r="B9">
        <f>IF(A9="","",'Additional Information'!E9)</f>
        <v>-1.6E-2</v>
      </c>
      <c r="C9">
        <f>IF(A9="","",'Additional Information'!F9)</f>
        <v>3.9E-2</v>
      </c>
      <c r="D9" s="5">
        <f>IF(A9="","",IF('Additional Information'!C9="","",SUM('Additional Information'!C9)))</f>
        <v>8.6999999999999994E-3</v>
      </c>
      <c r="E9">
        <f>IF(A9="","",IF('Additional Information'!D9="","",SUM('Additional Information'!D9)))</f>
        <v>1.5E-3</v>
      </c>
      <c r="F9">
        <f>IF(A9="","",IF('Additional Information'!G9="","",'Additional Information'!G9))</f>
        <v>0.17899999999999999</v>
      </c>
      <c r="G9">
        <f>IF(A9="","",IF('Additional Information'!H9="","",'Additional Information'!H9))</f>
        <v>0.36</v>
      </c>
    </row>
    <row r="10" spans="1:7" x14ac:dyDescent="0.25">
      <c r="A10" t="str">
        <f>IF(Input!A11="","",Input!A11)</f>
        <v>Schroder Active Portfolio 10</v>
      </c>
      <c r="B10">
        <f>IF(A10="","",'Additional Information'!E10)</f>
        <v>-2.2000000000000002E-2</v>
      </c>
      <c r="C10">
        <f>IF(A10="","",'Additional Information'!F10)</f>
        <v>1.4999999999999999E-2</v>
      </c>
      <c r="D10" s="5">
        <f>IF(A10="","",IF('Additional Information'!C10="","",SUM('Additional Information'!C10)))</f>
        <v>9.0000000000000011E-3</v>
      </c>
      <c r="E10">
        <f>IF(A10="","",IF('Additional Information'!D10="","",SUM('Additional Information'!D10)))</f>
        <v>1.5E-3</v>
      </c>
      <c r="F10">
        <f>IF(A10="","",IF('Additional Information'!G10="","",'Additional Information'!G10))</f>
        <v>0.13300000000000001</v>
      </c>
      <c r="G10">
        <f>IF(A10="","",IF('Additional Information'!H10="","",'Additional Information'!H10))</f>
        <v>0.26500000000000001</v>
      </c>
    </row>
    <row r="11" spans="1:7" x14ac:dyDescent="0.25">
      <c r="A11" t="str">
        <f>IF(Input!A12="","",Input!A12)</f>
        <v>Schroder Strategic Index Portfolio 2</v>
      </c>
      <c r="B11">
        <f>IF(A11="","",'Additional Information'!E11)</f>
        <v>-2E-3</v>
      </c>
      <c r="C11">
        <f>IF(A11="","",'Additional Information'!F11)</f>
        <v>6.9999999999999993E-3</v>
      </c>
      <c r="D11" s="5">
        <f>IF(A11="","",IF('Additional Information'!C11="","",SUM('Additional Information'!C11)))</f>
        <v>2.3999999999999998E-3</v>
      </c>
      <c r="E11">
        <f>IF(A11="","",IF('Additional Information'!D11="","",SUM('Additional Information'!D11)))</f>
        <v>1.5E-3</v>
      </c>
      <c r="F11">
        <f>IF(A11="","",IF('Additional Information'!G11="","",'Additional Information'!G11))</f>
        <v>-2.5000000000000001E-2</v>
      </c>
      <c r="G11">
        <f>IF(A11="","",IF('Additional Information'!H11="","",'Additional Information'!H11))</f>
        <v>3.5000000000000003E-2</v>
      </c>
    </row>
    <row r="12" spans="1:7" x14ac:dyDescent="0.25">
      <c r="A12" t="str">
        <f>IF(Input!A13="","",Input!A13)</f>
        <v>Schroder Strategic Index Portfolio 3</v>
      </c>
      <c r="B12">
        <f>IF(A12="","",'Additional Information'!E12)</f>
        <v>-6.0000000000000001E-3</v>
      </c>
      <c r="C12">
        <f>IF(A12="","",'Additional Information'!F12)</f>
        <v>3.0000000000000001E-3</v>
      </c>
      <c r="D12" s="5">
        <f>IF(A12="","",IF('Additional Information'!C12="","",SUM('Additional Information'!C12)))</f>
        <v>2.3999999999999998E-3</v>
      </c>
      <c r="E12">
        <f>IF(A12="","",IF('Additional Information'!D12="","",SUM('Additional Information'!D12)))</f>
        <v>1.5E-3</v>
      </c>
      <c r="F12">
        <f>IF(A12="","",IF('Additional Information'!G12="","",'Additional Information'!G12))</f>
        <v>-1.4999999999999999E-2</v>
      </c>
      <c r="G12">
        <f>IF(A12="","",IF('Additional Information'!H12="","",'Additional Information'!H12))</f>
        <v>6.2E-2</v>
      </c>
    </row>
    <row r="13" spans="1:7" x14ac:dyDescent="0.25">
      <c r="A13" t="str">
        <f>IF(Input!A14="","",Input!A14)</f>
        <v>Schroder Strategic Index Portfolio 4</v>
      </c>
      <c r="B13">
        <f>IF(A13="","",'Additional Information'!E13)</f>
        <v>-8.0000000000000002E-3</v>
      </c>
      <c r="C13">
        <f>IF(A13="","",'Additional Information'!F13)</f>
        <v>1.1000000000000001E-2</v>
      </c>
      <c r="D13" s="5">
        <f>IF(A13="","",IF('Additional Information'!C13="","",SUM('Additional Information'!C13)))</f>
        <v>2.3999999999999998E-3</v>
      </c>
      <c r="E13">
        <f>IF(A13="","",IF('Additional Information'!D13="","",SUM('Additional Information'!D13)))</f>
        <v>1.5E-3</v>
      </c>
      <c r="F13">
        <f>IF(A13="","",IF('Additional Information'!G13="","",'Additional Information'!G13))</f>
        <v>3.5000000000000003E-2</v>
      </c>
      <c r="G13">
        <f>IF(A13="","",IF('Additional Information'!H13="","",'Additional Information'!H13))</f>
        <v>0.106</v>
      </c>
    </row>
    <row r="14" spans="1:7" x14ac:dyDescent="0.25">
      <c r="A14" t="str">
        <f>IF(Input!A15="","",Input!A15)</f>
        <v>Schroder Strategic Index Portfolio 5</v>
      </c>
      <c r="B14">
        <f>IF(A14="","",'Additional Information'!E14)</f>
        <v>-9.0000000000000011E-3</v>
      </c>
      <c r="C14">
        <f>IF(A14="","",'Additional Information'!F14)</f>
        <v>1.7000000000000001E-2</v>
      </c>
      <c r="D14" s="5">
        <f>IF(A14="","",IF('Additional Information'!C14="","",SUM('Additional Information'!C14)))</f>
        <v>2.5000000000000001E-3</v>
      </c>
      <c r="E14">
        <f>IF(A14="","",IF('Additional Information'!D14="","",SUM('Additional Information'!D14)))</f>
        <v>1.5E-3</v>
      </c>
      <c r="F14">
        <f>IF(A14="","",IF('Additional Information'!G14="","",'Additional Information'!G14))</f>
        <v>7.2000000000000008E-2</v>
      </c>
      <c r="G14">
        <f>IF(A14="","",IF('Additional Information'!H14="","",'Additional Information'!H14))</f>
        <v>0.14699999999999999</v>
      </c>
    </row>
    <row r="15" spans="1:7" x14ac:dyDescent="0.25">
      <c r="A15" t="str">
        <f>IF(Input!A16="","",Input!A16)</f>
        <v>Schroder Strategic Index Portfolio 6</v>
      </c>
      <c r="B15">
        <f>IF(A15="","",'Additional Information'!E15)</f>
        <v>-1.1000000000000001E-2</v>
      </c>
      <c r="C15">
        <f>IF(A15="","",'Additional Information'!F15)</f>
        <v>2.5000000000000001E-2</v>
      </c>
      <c r="D15" s="5">
        <f>IF(A15="","",IF('Additional Information'!C15="","",SUM('Additional Information'!C15)))</f>
        <v>2.5000000000000001E-3</v>
      </c>
      <c r="E15">
        <f>IF(A15="","",IF('Additional Information'!D15="","",SUM('Additional Information'!D15)))</f>
        <v>1.5E-3</v>
      </c>
      <c r="F15">
        <f>IF(A15="","",IF('Additional Information'!G15="","",'Additional Information'!G15))</f>
        <v>0.12300000000000001</v>
      </c>
      <c r="G15">
        <f>IF(A15="","",IF('Additional Information'!H15="","",'Additional Information'!H15))</f>
        <v>0.19600000000000001</v>
      </c>
    </row>
    <row r="16" spans="1:7" x14ac:dyDescent="0.25">
      <c r="A16" t="str">
        <f>IF(Input!A17="","",Input!A17)</f>
        <v>Schroder Strategic Index Portfolio 7</v>
      </c>
      <c r="B16">
        <f>IF(A16="","",'Additional Information'!E16)</f>
        <v>-1.2E-2</v>
      </c>
      <c r="C16">
        <f>IF(A16="","",'Additional Information'!F16)</f>
        <v>3.2000000000000001E-2</v>
      </c>
      <c r="D16" s="5">
        <f>IF(A16="","",IF('Additional Information'!C16="","",SUM('Additional Information'!C16)))</f>
        <v>2.5000000000000001E-3</v>
      </c>
      <c r="E16">
        <f>IF(A16="","",IF('Additional Information'!D16="","",SUM('Additional Information'!D16)))</f>
        <v>1.5E-3</v>
      </c>
      <c r="F16">
        <f>IF(A16="","",IF('Additional Information'!G16="","",'Additional Information'!G16))</f>
        <v>0.17899999999999999</v>
      </c>
      <c r="G16">
        <f>IF(A16="","",IF('Additional Information'!H16="","",'Additional Information'!H16))</f>
        <v>0.24100000000000002</v>
      </c>
    </row>
    <row r="17" spans="1:7" x14ac:dyDescent="0.25">
      <c r="A17" t="str">
        <f>IF(Input!A18="","",Input!A18)</f>
        <v>Schroder Strategic Index Portfolio 8</v>
      </c>
      <c r="B17">
        <f>IF(A17="","",'Additional Information'!E17)</f>
        <v>-1.4999999999999999E-2</v>
      </c>
      <c r="C17">
        <f>IF(A17="","",'Additional Information'!F17)</f>
        <v>3.7000000000000005E-2</v>
      </c>
      <c r="D17" s="5">
        <f>IF(A17="","",IF('Additional Information'!C17="","",SUM('Additional Information'!C17)))</f>
        <v>2.5000000000000001E-3</v>
      </c>
      <c r="E17">
        <f>IF(A17="","",IF('Additional Information'!D17="","",SUM('Additional Information'!D17)))</f>
        <v>1.5E-3</v>
      </c>
      <c r="F17">
        <f>IF(A17="","",IF('Additional Information'!G17="","",'Additional Information'!G17))</f>
        <v>0.22600000000000001</v>
      </c>
      <c r="G17">
        <f>IF(A17="","",IF('Additional Information'!H17="","",'Additional Information'!H17))</f>
        <v>0.28800000000000003</v>
      </c>
    </row>
    <row r="18" spans="1:7" x14ac:dyDescent="0.25">
      <c r="A18" t="str">
        <f>IF(Input!A19="","",Input!A19)</f>
        <v>Schroder Strategic Index Portfolio 9</v>
      </c>
      <c r="B18">
        <f>IF(A18="","",'Additional Information'!E18)</f>
        <v>-1.9E-2</v>
      </c>
      <c r="C18">
        <f>IF(A18="","",'Additional Information'!F18)</f>
        <v>3.5000000000000003E-2</v>
      </c>
      <c r="D18" s="5">
        <f>IF(A18="","",IF('Additional Information'!C18="","",SUM('Additional Information'!C18)))</f>
        <v>2.5999999999999999E-3</v>
      </c>
      <c r="E18">
        <f>IF(A18="","",IF('Additional Information'!D18="","",SUM('Additional Information'!D18)))</f>
        <v>1.5E-3</v>
      </c>
      <c r="F18">
        <f>IF(A18="","",IF('Additional Information'!G18="","",'Additional Information'!G18))</f>
        <v>0.214</v>
      </c>
      <c r="G18">
        <f>IF(A18="","",IF('Additional Information'!H18="","",'Additional Information'!H18))</f>
        <v>0.28100000000000003</v>
      </c>
    </row>
    <row r="19" spans="1:7" x14ac:dyDescent="0.25">
      <c r="A19" t="str">
        <f>IF(Input!A20="","",Input!A20)</f>
        <v>Schroder Strategic Index Portfolio 10</v>
      </c>
      <c r="B19">
        <f>IF(A19="","",'Additional Information'!E19)</f>
        <v>-2.6000000000000002E-2</v>
      </c>
      <c r="C19">
        <f>IF(A19="","",'Additional Information'!F19)</f>
        <v>2E-3</v>
      </c>
      <c r="D19" s="5">
        <f>IF(A19="","",IF('Additional Information'!C19="","",SUM('Additional Information'!C19)))</f>
        <v>2.7000000000000001E-3</v>
      </c>
      <c r="E19">
        <f>IF(A19="","",IF('Additional Information'!D19="","",SUM('Additional Information'!D19)))</f>
        <v>1.5E-3</v>
      </c>
      <c r="F19">
        <f>IF(A19="","",IF('Additional Information'!G19="","",'Additional Information'!G19))</f>
        <v>0.14800000000000002</v>
      </c>
      <c r="G19">
        <f>IF(A19="","",IF('Additional Information'!H19="","",'Additional Information'!H19))</f>
        <v>0.23199999999999998</v>
      </c>
    </row>
    <row r="20" spans="1:7" x14ac:dyDescent="0.25">
      <c r="A20" t="str">
        <f>IF(Input!A21="","",Input!A21)</f>
        <v>Schroder Sustainable Portfolio 3</v>
      </c>
      <c r="B20">
        <f>IF(A20="","",'Additional Information'!E20)</f>
        <v>-6.0000000000000001E-3</v>
      </c>
      <c r="C20">
        <f>IF(A20="","",'Additional Information'!F20)</f>
        <v>-5.0000000000000001E-3</v>
      </c>
      <c r="D20" s="5">
        <f>IF(A20="","",IF('Additional Information'!C20="","",SUM('Additional Information'!C20)))</f>
        <v>6.1999999999999998E-3</v>
      </c>
      <c r="E20">
        <f>IF(A20="","",IF('Additional Information'!D20="","",SUM('Additional Information'!D20)))</f>
        <v>1.5E-3</v>
      </c>
      <c r="F20">
        <f>IF(A20="","",IF('Additional Information'!G20="","",'Additional Information'!G20))</f>
        <v>-1E-3</v>
      </c>
      <c r="G20">
        <f>IF(A20="","",IF('Additional Information'!H20="","",'Additional Information'!H20))</f>
        <v>0.10199999999999999</v>
      </c>
    </row>
    <row r="21" spans="1:7" x14ac:dyDescent="0.25">
      <c r="A21" t="str">
        <f>IF(Input!A22="","",Input!A22)</f>
        <v>Schroder Sustainable Portfolio 4</v>
      </c>
      <c r="B21">
        <f>IF(A21="","",'Additional Information'!E21)</f>
        <v>-1.1000000000000001E-2</v>
      </c>
      <c r="C21">
        <f>IF(A21="","",'Additional Information'!F21)</f>
        <v>-3.0000000000000001E-3</v>
      </c>
      <c r="D21" s="5">
        <f>IF(A21="","",IF('Additional Information'!C21="","",SUM('Additional Information'!C21)))</f>
        <v>6.9999999999999993E-3</v>
      </c>
      <c r="E21">
        <f>IF(A21="","",IF('Additional Information'!D21="","",SUM('Additional Information'!D21)))</f>
        <v>1.5E-3</v>
      </c>
      <c r="F21">
        <f>IF(A21="","",IF('Additional Information'!G21="","",'Additional Information'!G21))</f>
        <v>0</v>
      </c>
      <c r="G21">
        <f>IF(A21="","",IF('Additional Information'!H21="","",'Additional Information'!H21))</f>
        <v>0</v>
      </c>
    </row>
    <row r="22" spans="1:7" x14ac:dyDescent="0.25">
      <c r="A22" t="str">
        <f>IF(Input!A23="","",Input!A23)</f>
        <v>Schroder Sustainable Portfolio 5</v>
      </c>
      <c r="B22">
        <f>IF(A22="","",'Additional Information'!E22)</f>
        <v>-1.3999999999999999E-2</v>
      </c>
      <c r="C22">
        <f>IF(A22="","",'Additional Information'!F22)</f>
        <v>-1E-3</v>
      </c>
      <c r="D22" s="5">
        <f>IF(A22="","",IF('Additional Information'!C22="","",SUM('Additional Information'!C22)))</f>
        <v>7.4000000000000003E-3</v>
      </c>
      <c r="E22">
        <f>IF(A22="","",IF('Additional Information'!D22="","",SUM('Additional Information'!D22)))</f>
        <v>1.5E-3</v>
      </c>
      <c r="F22">
        <f>IF(A22="","",IF('Additional Information'!G22="","",'Additional Information'!G22))</f>
        <v>5.2999999999999999E-2</v>
      </c>
      <c r="G22">
        <f>IF(A22="","",IF('Additional Information'!H22="","",'Additional Information'!H22))</f>
        <v>0.16899999999999998</v>
      </c>
    </row>
    <row r="23" spans="1:7" x14ac:dyDescent="0.25">
      <c r="A23" t="str">
        <f>IF(Input!A24="","",Input!A24)</f>
        <v>Schroder Sustainable Portfolio 6</v>
      </c>
      <c r="B23">
        <f>IF(A23="","",'Additional Information'!E23)</f>
        <v>-1.7000000000000001E-2</v>
      </c>
      <c r="C23">
        <f>IF(A23="","",'Additional Information'!F23)</f>
        <v>3.0000000000000001E-3</v>
      </c>
      <c r="D23" s="5">
        <f>IF(A23="","",IF('Additional Information'!C23="","",SUM('Additional Information'!C23)))</f>
        <v>7.9000000000000008E-3</v>
      </c>
      <c r="E23">
        <f>IF(A23="","",IF('Additional Information'!D23="","",SUM('Additional Information'!D23)))</f>
        <v>1.5E-3</v>
      </c>
      <c r="F23">
        <f>IF(A23="","",IF('Additional Information'!G23="","",'Additional Information'!G23))</f>
        <v>0</v>
      </c>
      <c r="G23">
        <f>IF(A23="","",IF('Additional Information'!H23="","",'Additional Information'!H23))</f>
        <v>0</v>
      </c>
    </row>
    <row r="24" spans="1:7" x14ac:dyDescent="0.25">
      <c r="A24" t="str">
        <f>IF(Input!A25="","",Input!A25)</f>
        <v>Schroder Sustainable Portfolio 7</v>
      </c>
      <c r="B24">
        <f>IF(A24="","",'Additional Information'!E24)</f>
        <v>-2.1000000000000001E-2</v>
      </c>
      <c r="C24">
        <f>IF(A24="","",'Additional Information'!F24)</f>
        <v>6.9999999999999993E-3</v>
      </c>
      <c r="D24" s="5">
        <f>IF(A24="","",IF('Additional Information'!C24="","",SUM('Additional Information'!C24)))</f>
        <v>8.3000000000000001E-3</v>
      </c>
      <c r="E24">
        <f>IF(A24="","",IF('Additional Information'!D24="","",SUM('Additional Information'!D24)))</f>
        <v>1.5E-3</v>
      </c>
      <c r="F24">
        <f>IF(A24="","",IF('Additional Information'!G24="","",'Additional Information'!G24))</f>
        <v>0.11</v>
      </c>
      <c r="G24">
        <f>IF(A24="","",IF('Additional Information'!H24="","",'Additional Information'!H24))</f>
        <v>0.247</v>
      </c>
    </row>
    <row r="25" spans="1:7" x14ac:dyDescent="0.25">
      <c r="A25" t="str">
        <f>IF(Input!A26="","",Input!A26)</f>
        <v>Schroder Sustainable Portfolio 8</v>
      </c>
      <c r="B25">
        <f>IF(A25="","",'Additional Information'!E25)</f>
        <v>-2.5000000000000001E-2</v>
      </c>
      <c r="C25">
        <f>IF(A25="","",'Additional Information'!F25)</f>
        <v>1.1000000000000001E-2</v>
      </c>
      <c r="D25" s="5">
        <f>IF(A25="","",IF('Additional Information'!C25="","",SUM('Additional Information'!C25)))</f>
        <v>8.6E-3</v>
      </c>
      <c r="E25">
        <f>IF(A25="","",IF('Additional Information'!D25="","",SUM('Additional Information'!D25)))</f>
        <v>1.5E-3</v>
      </c>
      <c r="F25">
        <f>IF(A25="","",IF('Additional Information'!G25="","",'Additional Information'!G25))</f>
        <v>0</v>
      </c>
      <c r="G25">
        <f>IF(A25="","",IF('Additional Information'!H25="","",'Additional Information'!H25))</f>
        <v>0</v>
      </c>
    </row>
    <row r="26" spans="1:7" x14ac:dyDescent="0.25">
      <c r="A26" t="str">
        <f>IF(Input!A27="","",Input!A27)</f>
        <v>Schroder Blended Portfolio 3</v>
      </c>
      <c r="B26">
        <f>IF(A26="","",'Additional Information'!E26)</f>
        <v>-0.01</v>
      </c>
      <c r="C26">
        <f>IF(A26="","",'Additional Information'!F26)</f>
        <v>1.9E-2</v>
      </c>
      <c r="D26" s="5">
        <f>IF(A26="","",IF('Additional Information'!C26="","",SUM('Additional Information'!C26)))</f>
        <v>5.3E-3</v>
      </c>
      <c r="E26">
        <f>IF(A26="","",IF('Additional Information'!D26="","",SUM('Additional Information'!D26)))</f>
        <v>0</v>
      </c>
      <c r="F26">
        <f>IF(A26="","",IF('Additional Information'!G26="","",'Additional Information'!G26))</f>
        <v>6.0000000000000001E-3</v>
      </c>
      <c r="G26">
        <f>IF(A26="","",IF('Additional Information'!H26="","",'Additional Information'!H26))</f>
        <v>0</v>
      </c>
    </row>
    <row r="27" spans="1:7" x14ac:dyDescent="0.25">
      <c r="A27" t="str">
        <f>IF(Input!A28="","",Input!A28)</f>
        <v>Schroder Blended Portfolio 4</v>
      </c>
      <c r="B27">
        <f>IF(A27="","",'Additional Information'!E27)</f>
        <v>-9.0000000000000011E-3</v>
      </c>
      <c r="C27">
        <f>IF(A27="","",'Additional Information'!F27)</f>
        <v>2.8999999999999998E-2</v>
      </c>
      <c r="D27" s="5">
        <f>IF(A27="","",IF('Additional Information'!C27="","",SUM('Additional Information'!C27)))</f>
        <v>5.8999999999999999E-3</v>
      </c>
      <c r="E27">
        <f>IF(A27="","",IF('Additional Information'!D27="","",SUM('Additional Information'!D27)))</f>
        <v>0</v>
      </c>
      <c r="F27">
        <f>IF(A27="","",IF('Additional Information'!G27="","",'Additional Information'!G27))</f>
        <v>5.7999999999999996E-2</v>
      </c>
      <c r="G27">
        <f>IF(A27="","",IF('Additional Information'!H27="","",'Additional Information'!H27))</f>
        <v>0</v>
      </c>
    </row>
    <row r="28" spans="1:7" x14ac:dyDescent="0.25">
      <c r="A28" t="str">
        <f>IF(Input!A29="","",Input!A29)</f>
        <v>Schroder Blended Portfolio 5</v>
      </c>
      <c r="B28">
        <f>IF(A28="","",'Additional Information'!E28)</f>
        <v>-8.0000000000000002E-3</v>
      </c>
      <c r="C28">
        <f>IF(A28="","",'Additional Information'!F28)</f>
        <v>3.6000000000000004E-2</v>
      </c>
      <c r="D28" s="5">
        <f>IF(A28="","",IF('Additional Information'!C28="","",SUM('Additional Information'!C28)))</f>
        <v>6.0999999999999995E-3</v>
      </c>
      <c r="E28">
        <f>IF(A28="","",IF('Additional Information'!D28="","",SUM('Additional Information'!D28)))</f>
        <v>0</v>
      </c>
      <c r="F28">
        <f>IF(A28="","",IF('Additional Information'!G28="","",'Additional Information'!G28))</f>
        <v>9.1999999999999998E-2</v>
      </c>
      <c r="G28">
        <f>IF(A28="","",IF('Additional Information'!H28="","",'Additional Information'!H28))</f>
        <v>0</v>
      </c>
    </row>
    <row r="29" spans="1:7" x14ac:dyDescent="0.25">
      <c r="A29" t="str">
        <f>IF(Input!A30="","",Input!A30)</f>
        <v>Schroder Blended Portfolio 6</v>
      </c>
      <c r="B29">
        <f>IF(A29="","",'Additional Information'!E29)</f>
        <v>-6.9999999999999993E-3</v>
      </c>
      <c r="C29">
        <f>IF(A29="","",'Additional Information'!F29)</f>
        <v>4.5999999999999999E-2</v>
      </c>
      <c r="D29" s="5">
        <f>IF(A29="","",IF('Additional Information'!C29="","",SUM('Additional Information'!C29)))</f>
        <v>6.4000000000000003E-3</v>
      </c>
      <c r="E29">
        <f>IF(A29="","",IF('Additional Information'!D29="","",SUM('Additional Information'!D29)))</f>
        <v>0</v>
      </c>
      <c r="F29">
        <f>IF(A29="","",IF('Additional Information'!G29="","",'Additional Information'!G29))</f>
        <v>0.13699999999999998</v>
      </c>
      <c r="G29">
        <f>IF(A29="","",IF('Additional Information'!H29="","",'Additional Information'!H29))</f>
        <v>0</v>
      </c>
    </row>
    <row r="30" spans="1:7" x14ac:dyDescent="0.25">
      <c r="A30" t="str">
        <f>IF(Input!A31="","",Input!A31)</f>
        <v>Schroder Blended Portfolio 7</v>
      </c>
      <c r="B30">
        <f>IF(A30="","",'Additional Information'!E30)</f>
        <v>-6.0000000000000001E-3</v>
      </c>
      <c r="C30">
        <f>IF(A30="","",'Additional Information'!F30)</f>
        <v>5.5E-2</v>
      </c>
      <c r="D30" s="5">
        <f>IF(A30="","",IF('Additional Information'!C30="","",SUM('Additional Information'!C30)))</f>
        <v>6.5000000000000006E-3</v>
      </c>
      <c r="E30">
        <f>IF(A30="","",IF('Additional Information'!D30="","",SUM('Additional Information'!D30)))</f>
        <v>0</v>
      </c>
      <c r="F30">
        <f>IF(A30="","",IF('Additional Information'!G30="","",'Additional Information'!G30))</f>
        <v>0.19899999999999998</v>
      </c>
      <c r="G30">
        <f>IF(A30="","",IF('Additional Information'!H30="","",'Additional Information'!H30))</f>
        <v>0</v>
      </c>
    </row>
    <row r="31" spans="1:7" x14ac:dyDescent="0.25">
      <c r="A31" t="str">
        <f>IF(Input!A32="","",Input!A32)</f>
        <v>Schroder Blended Portfolio 8</v>
      </c>
      <c r="B31">
        <f>IF(A31="","",'Additional Information'!E31)</f>
        <v>-5.0000000000000001E-3</v>
      </c>
      <c r="C31">
        <f>IF(A31="","",'Additional Information'!F31)</f>
        <v>6.3E-2</v>
      </c>
      <c r="D31" s="5">
        <f>IF(A31="","",IF('Additional Information'!C31="","",SUM('Additional Information'!C31)))</f>
        <v>6.5000000000000006E-3</v>
      </c>
      <c r="E31">
        <f>IF(A31="","",IF('Additional Information'!D31="","",SUM('Additional Information'!D31)))</f>
        <v>0</v>
      </c>
      <c r="F31">
        <f>IF(A31="","",IF('Additional Information'!G31="","",'Additional Information'!G31))</f>
        <v>0.22</v>
      </c>
      <c r="G31">
        <f>IF(A31="","",IF('Additional Information'!H31="","",'Additional Information'!H31))</f>
        <v>0</v>
      </c>
    </row>
    <row r="32" spans="1:7" x14ac:dyDescent="0.25">
      <c r="A32" t="str">
        <f>IF(Input!A33="","",Input!A33)</f>
        <v>Schroder Income Portfolio</v>
      </c>
      <c r="B32">
        <f>IF(A32="","",'Additional Information'!E32)</f>
        <v>-5.0000000000000001E-3</v>
      </c>
      <c r="C32">
        <f>IF(A32="","",'Additional Information'!F32)</f>
        <v>5.0999999999999997E-2</v>
      </c>
      <c r="D32" s="5">
        <f>IF(A32="","",IF('Additional Information'!C32="","",SUM('Additional Information'!C32)))</f>
        <v>7.6E-3</v>
      </c>
      <c r="E32">
        <f>IF(A32="","",IF('Additional Information'!D32="","",SUM('Additional Information'!D32)))</f>
        <v>0</v>
      </c>
      <c r="F32">
        <f>IF(A32="","",IF('Additional Information'!G32="","",'Additional Information'!G32))</f>
        <v>0.19800000000000001</v>
      </c>
      <c r="G32">
        <f>IF(A32="","",IF('Additional Information'!H32="","",'Additional Information'!H32))</f>
        <v>0.115</v>
      </c>
    </row>
    <row r="33" spans="1:7" x14ac:dyDescent="0.25">
      <c r="A33" t="str">
        <f>IF(Input!A34="","",Input!A34)</f>
        <v>Schroder Managed Defensive Fund</v>
      </c>
      <c r="B33">
        <f>IF(A33="","",'Additional Information'!E33)</f>
        <v>-8.0000000000000002E-3</v>
      </c>
      <c r="C33">
        <f>IF(A33="","",'Additional Information'!F33)</f>
        <v>2.2000000000000002E-2</v>
      </c>
      <c r="D33" s="5">
        <f>IF(A33="","",IF('Additional Information'!C33="","",SUM('Additional Information'!C33)))</f>
        <v>1.9E-3</v>
      </c>
      <c r="E33">
        <f>IF(A33="","",IF('Additional Information'!D33="","",SUM('Additional Information'!D33)))</f>
        <v>0</v>
      </c>
      <c r="F33">
        <f>IF(A33="","",IF('Additional Information'!G33="","",'Additional Information'!G33))</f>
        <v>-1E-3</v>
      </c>
      <c r="G33">
        <f>IF(A33="","",IF('Additional Information'!H33="","",'Additional Information'!H33))</f>
        <v>4.7E-2</v>
      </c>
    </row>
    <row r="34" spans="1:7" x14ac:dyDescent="0.25">
      <c r="A34" t="str">
        <f>IF(Input!A35="","",Input!A35)</f>
        <v>Schroder Global Multi-Asset Cautious Portfolio</v>
      </c>
      <c r="B34">
        <f>IF(A34="","",'Additional Information'!E34)</f>
        <v>-1.6E-2</v>
      </c>
      <c r="C34">
        <f>IF(A34="","",'Additional Information'!F34)</f>
        <v>2.7999999999999997E-2</v>
      </c>
      <c r="D34" s="5">
        <f>IF(A34="","",IF('Additional Information'!C34="","",SUM('Additional Information'!C34)))</f>
        <v>2E-3</v>
      </c>
      <c r="E34">
        <f>IF(A34="","",IF('Additional Information'!D34="","",SUM('Additional Information'!D34)))</f>
        <v>0</v>
      </c>
      <c r="F34">
        <f>IF(A34="","",IF('Additional Information'!G34="","",'Additional Information'!G34))</f>
        <v>-2.3E-2</v>
      </c>
      <c r="G34">
        <f>IF(A34="","",IF('Additional Information'!H34="","",'Additional Information'!H34))</f>
        <v>4.7E-2</v>
      </c>
    </row>
    <row r="35" spans="1:7" x14ac:dyDescent="0.25">
      <c r="A35" t="str">
        <f>IF(Input!A36="","",Input!A36)</f>
        <v>Schroder Global Multi-Asset Moderately Cautious Portfolio</v>
      </c>
      <c r="B35">
        <f>IF(A35="","",'Additional Information'!E35)</f>
        <v>-1.3999999999999999E-2</v>
      </c>
      <c r="C35">
        <f>IF(A35="","",'Additional Information'!F35)</f>
        <v>4.2000000000000003E-2</v>
      </c>
      <c r="D35" s="5">
        <f>IF(A35="","",IF('Additional Information'!C35="","",SUM('Additional Information'!C35)))</f>
        <v>2E-3</v>
      </c>
      <c r="E35">
        <f>IF(A35="","",IF('Additional Information'!D35="","",SUM('Additional Information'!D35)))</f>
        <v>0</v>
      </c>
      <c r="F35">
        <f>IF(A35="","",IF('Additional Information'!G35="","",'Additional Information'!G35))</f>
        <v>3.3000000000000002E-2</v>
      </c>
      <c r="G35">
        <f>IF(A35="","",IF('Additional Information'!H35="","",'Additional Information'!H35))</f>
        <v>7.400000000000001E-2</v>
      </c>
    </row>
    <row r="36" spans="1:7" x14ac:dyDescent="0.25">
      <c r="A36" t="str">
        <f>IF(Input!A37="","",Input!A37)</f>
        <v>Schroder Global Multi-Asset Balanced Portfolio</v>
      </c>
      <c r="B36">
        <f>IF(A36="","",'Additional Information'!E36)</f>
        <v>-1.2E-2</v>
      </c>
      <c r="C36">
        <f>IF(A36="","",'Additional Information'!F36)</f>
        <v>5.5999999999999994E-2</v>
      </c>
      <c r="D36" s="5">
        <f>IF(A36="","",IF('Additional Information'!C36="","",SUM('Additional Information'!C36)))</f>
        <v>2E-3</v>
      </c>
      <c r="E36">
        <f>IF(A36="","",IF('Additional Information'!D36="","",SUM('Additional Information'!D36)))</f>
        <v>0</v>
      </c>
      <c r="F36">
        <f>IF(A36="","",IF('Additional Information'!G36="","",'Additional Information'!G36))</f>
        <v>7.8E-2</v>
      </c>
      <c r="G36">
        <f>IF(A36="","",IF('Additional Information'!H36="","",'Additional Information'!H36))</f>
        <v>0.10199999999999999</v>
      </c>
    </row>
    <row r="37" spans="1:7" x14ac:dyDescent="0.25">
      <c r="A37" t="str">
        <f>IF(Input!A38="","",Input!A38)</f>
        <v>Schroder Global Multi-Asset Growth Portfolio</v>
      </c>
      <c r="B37">
        <f>IF(A37="","",'Additional Information'!E37)</f>
        <v>-9.0000000000000011E-3</v>
      </c>
      <c r="C37">
        <f>IF(A37="","",'Additional Information'!F37)</f>
        <v>7.2000000000000008E-2</v>
      </c>
      <c r="D37" s="5">
        <f>IF(A37="","",IF('Additional Information'!C37="","",SUM('Additional Information'!C37)))</f>
        <v>2E-3</v>
      </c>
      <c r="E37">
        <f>IF(A37="","",IF('Additional Information'!D37="","",SUM('Additional Information'!D37)))</f>
        <v>0</v>
      </c>
      <c r="F37">
        <f>IF(A37="","",IF('Additional Information'!G37="","",'Additional Information'!G37))</f>
        <v>0.13300000000000001</v>
      </c>
      <c r="G37">
        <f>IF(A37="","",IF('Additional Information'!H37="","",'Additional Information'!H37))</f>
        <v>0.13500000000000001</v>
      </c>
    </row>
    <row r="38" spans="1:7" x14ac:dyDescent="0.25">
      <c r="A38" t="str">
        <f>IF(Input!A39="","",Input!A39)</f>
        <v>Schroder Global Multi-Asset Adventurous Portfolio</v>
      </c>
      <c r="B38">
        <f>IF(A38="","",'Additional Information'!E38)</f>
        <v>-6.0000000000000001E-3</v>
      </c>
      <c r="C38">
        <f>IF(A38="","",'Additional Information'!F38)</f>
        <v>8.5999999999999993E-2</v>
      </c>
      <c r="D38" s="5">
        <f>IF(A38="","",IF('Additional Information'!C38="","",SUM('Additional Information'!C38)))</f>
        <v>2E-3</v>
      </c>
      <c r="E38">
        <f>IF(A38="","",IF('Additional Information'!D38="","",SUM('Additional Information'!D38)))</f>
        <v>0</v>
      </c>
      <c r="F38">
        <f>IF(A38="","",IF('Additional Information'!G38="","",'Additional Information'!G38))</f>
        <v>0.19399999999999998</v>
      </c>
      <c r="G38">
        <f>IF(A38="","",IF('Additional Information'!H38="","",'Additional Information'!H38))</f>
        <v>0.17499999999999999</v>
      </c>
    </row>
    <row r="39" spans="1:7" x14ac:dyDescent="0.25">
      <c r="A39" t="str">
        <f>IF(Input!A40="","",Input!A40)</f>
        <v/>
      </c>
      <c r="B39" t="str">
        <f>IF(A39="","",'Additional Information'!E39)</f>
        <v/>
      </c>
      <c r="C39" t="str">
        <f>IF(A39="","",'Additional Information'!F39)</f>
        <v/>
      </c>
      <c r="D39" s="5" t="str">
        <f>IF(A39="","",IF('Additional Information'!C39="","",SUM('Additional Information'!C39)))</f>
        <v/>
      </c>
      <c r="E39" t="str">
        <f>IF(A39="","",IF('Additional Information'!D39="","",SUM('Additional Information'!D39)))</f>
        <v/>
      </c>
      <c r="F39" t="str">
        <f>IF(A39="","",IF('Additional Information'!G39="","",'Additional Information'!G39))</f>
        <v/>
      </c>
      <c r="G39" t="str">
        <f>IF(A39="","",IF('Additional Information'!H39="","",'Additional Information'!H39))</f>
        <v/>
      </c>
    </row>
    <row r="40" spans="1:7" x14ac:dyDescent="0.25">
      <c r="A40" t="str">
        <f>IF(Input!A41="","",Input!A41)</f>
        <v/>
      </c>
      <c r="B40" t="str">
        <f>IF(A40="","",'Additional Information'!E40)</f>
        <v/>
      </c>
      <c r="C40" t="str">
        <f>IF(A40="","",'Additional Information'!F40)</f>
        <v/>
      </c>
      <c r="D40" s="5" t="str">
        <f>IF(A40="","",IF('Additional Information'!C40="","",SUM('Additional Information'!C40)))</f>
        <v/>
      </c>
      <c r="E40" t="str">
        <f>IF(A40="","",IF('Additional Information'!D40="","",SUM('Additional Information'!D40)))</f>
        <v/>
      </c>
      <c r="F40" t="str">
        <f>IF(A40="","",IF('Additional Information'!G40="","",'Additional Information'!G40))</f>
        <v/>
      </c>
      <c r="G40" t="str">
        <f>IF(A40="","",IF('Additional Information'!H40="","",'Additional Information'!H40))</f>
        <v/>
      </c>
    </row>
    <row r="41" spans="1:7" x14ac:dyDescent="0.25">
      <c r="A41" t="str">
        <f>IF(Input!A42="","",Input!A42)</f>
        <v/>
      </c>
      <c r="B41" t="str">
        <f>IF(A41="","",'Additional Information'!E41)</f>
        <v/>
      </c>
      <c r="C41" t="str">
        <f>IF(A41="","",'Additional Information'!F41)</f>
        <v/>
      </c>
      <c r="D41" s="5" t="str">
        <f>IF(A41="","",IF('Additional Information'!C41="","",SUM('Additional Information'!C41)))</f>
        <v/>
      </c>
      <c r="E41" t="str">
        <f>IF(A41="","",IF('Additional Information'!D41="","",SUM('Additional Information'!D41)))</f>
        <v/>
      </c>
      <c r="F41" t="str">
        <f>IF(A41="","",IF('Additional Information'!G41="","",'Additional Information'!G41))</f>
        <v/>
      </c>
      <c r="G41" t="str">
        <f>IF(A41="","",IF('Additional Information'!H41="","",'Additional Information'!H41))</f>
        <v/>
      </c>
    </row>
    <row r="42" spans="1:7" x14ac:dyDescent="0.25">
      <c r="A42" t="str">
        <f>IF(Input!A43="","",Input!A43)</f>
        <v/>
      </c>
      <c r="B42" t="str">
        <f>IF(A42="","",'Additional Information'!E42)</f>
        <v/>
      </c>
      <c r="C42" t="str">
        <f>IF(A42="","",'Additional Information'!F42)</f>
        <v/>
      </c>
      <c r="D42" s="5" t="str">
        <f>IF(A42="","",IF('Additional Information'!C42="","",SUM('Additional Information'!C42)))</f>
        <v/>
      </c>
      <c r="E42" t="str">
        <f>IF(A42="","",IF('Additional Information'!D42="","",SUM('Additional Information'!D42)))</f>
        <v/>
      </c>
      <c r="F42" t="str">
        <f>IF(A42="","",IF('Additional Information'!G42="","",'Additional Information'!G42))</f>
        <v/>
      </c>
      <c r="G42" t="str">
        <f>IF(A42="","",IF('Additional Information'!H42="","",'Additional Information'!H42))</f>
        <v/>
      </c>
    </row>
    <row r="43" spans="1:7" x14ac:dyDescent="0.25">
      <c r="A43" t="str">
        <f>IF(Input!A44="","",Input!A44)</f>
        <v/>
      </c>
      <c r="B43" t="str">
        <f>IF(A43="","",'Additional Information'!E43)</f>
        <v/>
      </c>
      <c r="C43" t="str">
        <f>IF(A43="","",'Additional Information'!F43)</f>
        <v/>
      </c>
      <c r="D43" s="5" t="str">
        <f>IF(A43="","",IF('Additional Information'!C43="","",SUM('Additional Information'!C43)))</f>
        <v/>
      </c>
      <c r="E43" t="str">
        <f>IF(A43="","",IF('Additional Information'!D43="","",SUM('Additional Information'!D43)))</f>
        <v/>
      </c>
      <c r="F43" t="str">
        <f>IF(A43="","",IF('Additional Information'!G43="","",'Additional Information'!G43))</f>
        <v/>
      </c>
      <c r="G43" t="str">
        <f>IF(A43="","",IF('Additional Information'!H43="","",'Additional Information'!H43))</f>
        <v/>
      </c>
    </row>
    <row r="44" spans="1:7" x14ac:dyDescent="0.25">
      <c r="A44" t="str">
        <f>IF(Input!A45="","",Input!A45)</f>
        <v/>
      </c>
      <c r="B44" t="str">
        <f>IF(A44="","",'Additional Information'!E44)</f>
        <v/>
      </c>
      <c r="C44" t="str">
        <f>IF(A44="","",'Additional Information'!F44)</f>
        <v/>
      </c>
      <c r="D44" s="5" t="str">
        <f>IF(A44="","",IF('Additional Information'!C44="","",SUM('Additional Information'!C44)))</f>
        <v/>
      </c>
      <c r="E44" t="str">
        <f>IF(A44="","",IF('Additional Information'!D44="","",SUM('Additional Information'!D44)))</f>
        <v/>
      </c>
      <c r="F44" t="str">
        <f>IF(A44="","",IF('Additional Information'!G44="","",'Additional Information'!G44))</f>
        <v/>
      </c>
      <c r="G44" t="str">
        <f>IF(A44="","",IF('Additional Information'!H44="","",'Additional Information'!H44))</f>
        <v/>
      </c>
    </row>
    <row r="45" spans="1:7" x14ac:dyDescent="0.25">
      <c r="A45" t="str">
        <f>IF(Input!A46="","",Input!A46)</f>
        <v/>
      </c>
      <c r="B45" t="str">
        <f>IF(A45="","",'Additional Information'!E45)</f>
        <v/>
      </c>
      <c r="C45" t="str">
        <f>IF(A45="","",'Additional Information'!F45)</f>
        <v/>
      </c>
      <c r="D45" s="5" t="str">
        <f>IF(A45="","",IF('Additional Information'!C45="","",SUM('Additional Information'!C45)))</f>
        <v/>
      </c>
      <c r="E45" t="str">
        <f>IF(A45="","",IF('Additional Information'!D45="","",SUM('Additional Information'!D45)))</f>
        <v/>
      </c>
      <c r="F45" t="str">
        <f>IF(A45="","",IF('Additional Information'!G45="","",'Additional Information'!G45))</f>
        <v/>
      </c>
      <c r="G45" t="str">
        <f>IF(A45="","",IF('Additional Information'!H45="","",'Additional Information'!H45))</f>
        <v/>
      </c>
    </row>
    <row r="46" spans="1:7" x14ac:dyDescent="0.25">
      <c r="A46" t="str">
        <f>IF(Input!A47="","",Input!A47)</f>
        <v/>
      </c>
      <c r="B46" t="str">
        <f>IF(A46="","",'Additional Information'!E46)</f>
        <v/>
      </c>
      <c r="C46" t="str">
        <f>IF(A46="","",'Additional Information'!F46)</f>
        <v/>
      </c>
      <c r="D46" s="5" t="str">
        <f>IF(A46="","",IF('Additional Information'!C46="","",SUM('Additional Information'!C46)))</f>
        <v/>
      </c>
      <c r="E46" t="str">
        <f>IF(A46="","",IF('Additional Information'!D46="","",SUM('Additional Information'!D46)))</f>
        <v/>
      </c>
      <c r="F46" t="str">
        <f>IF(A46="","",IF('Additional Information'!G46="","",'Additional Information'!G46))</f>
        <v/>
      </c>
      <c r="G46" t="str">
        <f>IF(A46="","",IF('Additional Information'!H46="","",'Additional Information'!H46))</f>
        <v/>
      </c>
    </row>
    <row r="47" spans="1:7" x14ac:dyDescent="0.25">
      <c r="A47" t="str">
        <f>IF(Input!A48="","",Input!A48)</f>
        <v/>
      </c>
      <c r="B47" t="str">
        <f>IF(A47="","",'Additional Information'!E47)</f>
        <v/>
      </c>
      <c r="C47" t="str">
        <f>IF(A47="","",'Additional Information'!F47)</f>
        <v/>
      </c>
      <c r="D47" s="5" t="str">
        <f>IF(A47="","",IF('Additional Information'!C47="","",SUM('Additional Information'!C47)))</f>
        <v/>
      </c>
      <c r="E47" t="str">
        <f>IF(A47="","",IF('Additional Information'!D47="","",SUM('Additional Information'!D47)))</f>
        <v/>
      </c>
      <c r="F47" t="str">
        <f>IF(A47="","",IF('Additional Information'!G47="","",'Additional Information'!G47))</f>
        <v/>
      </c>
      <c r="G47" t="str">
        <f>IF(A47="","",IF('Additional Information'!H47="","",'Additional Information'!H47))</f>
        <v/>
      </c>
    </row>
    <row r="48" spans="1:7" x14ac:dyDescent="0.25">
      <c r="A48" t="str">
        <f>IF(Input!A49="","",Input!A49)</f>
        <v/>
      </c>
      <c r="B48" t="str">
        <f>IF(A48="","",'Additional Information'!E48)</f>
        <v/>
      </c>
      <c r="C48" t="str">
        <f>IF(A48="","",'Additional Information'!F48)</f>
        <v/>
      </c>
      <c r="D48" s="5" t="str">
        <f>IF(A48="","",IF('Additional Information'!C48="","",SUM('Additional Information'!C48)))</f>
        <v/>
      </c>
      <c r="E48" t="str">
        <f>IF(A48="","",IF('Additional Information'!D48="","",SUM('Additional Information'!D48)))</f>
        <v/>
      </c>
      <c r="F48" t="str">
        <f>IF(A48="","",IF('Additional Information'!G48="","",'Additional Information'!G48))</f>
        <v/>
      </c>
      <c r="G48" t="str">
        <f>IF(A48="","",IF('Additional Information'!H48="","",'Additional Information'!H48))</f>
        <v/>
      </c>
    </row>
    <row r="49" spans="1:7" x14ac:dyDescent="0.25">
      <c r="A49" t="str">
        <f>IF(Input!A50="","",Input!A50)</f>
        <v/>
      </c>
      <c r="B49" t="str">
        <f>IF(A49="","",'Additional Information'!E49)</f>
        <v/>
      </c>
      <c r="C49" t="str">
        <f>IF(A49="","",'Additional Information'!F49)</f>
        <v/>
      </c>
      <c r="D49" s="5" t="str">
        <f>IF(A49="","",IF('Additional Information'!C49="","",SUM('Additional Information'!C49)))</f>
        <v/>
      </c>
      <c r="E49" t="str">
        <f>IF(A49="","",IF('Additional Information'!D49="","",SUM('Additional Information'!D49)))</f>
        <v/>
      </c>
      <c r="F49" t="str">
        <f>IF(A49="","",IF('Additional Information'!G49="","",'Additional Information'!G49))</f>
        <v/>
      </c>
      <c r="G49" t="str">
        <f>IF(A49="","",IF('Additional Information'!H49="","",'Additional Information'!H49))</f>
        <v/>
      </c>
    </row>
    <row r="50" spans="1:7" x14ac:dyDescent="0.25">
      <c r="A50" t="str">
        <f>IF(Input!A51="","",Input!A51)</f>
        <v/>
      </c>
      <c r="B50" t="str">
        <f>IF(A50="","",'Additional Information'!E50)</f>
        <v/>
      </c>
      <c r="C50" t="str">
        <f>IF(A50="","",'Additional Information'!F50)</f>
        <v/>
      </c>
      <c r="D50" s="5" t="str">
        <f>IF(A50="","",IF('Additional Information'!C50="","",SUM('Additional Information'!C50)))</f>
        <v/>
      </c>
      <c r="E50" t="str">
        <f>IF(A50="","",IF('Additional Information'!D50="","",SUM('Additional Information'!D50)))</f>
        <v/>
      </c>
      <c r="F50" t="str">
        <f>IF(A50="","",IF('Additional Information'!G50="","",'Additional Information'!G50))</f>
        <v/>
      </c>
      <c r="G50" t="str">
        <f>IF(A50="","",IF('Additional Information'!H50="","",'Additional Information'!H50))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I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9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9" x14ac:dyDescent="0.25">
      <c r="A2" t="str">
        <f>IF(Input!A3="","",Input!A3)</f>
        <v>Schroder Active Portfolio 2</v>
      </c>
      <c r="B2">
        <f>IF(A2="","",SUM('Asset Allocation'!W2,'Asset Allocation'!Y2,'Asset Allocation'!E2,'Asset Allocation'!M2,'Asset Allocation'!N2,'Asset Allocation'!O2,'Asset Allocation'!S2,'Asset Allocation'!U2,'Asset Allocation'!Z2,'Asset Allocation'!AA2,))</f>
        <v>0.14699999999999999</v>
      </c>
      <c r="C2">
        <f>IF(A2="","",SUM('Asset Allocation'!C2,'Asset Allocation'!F2,'Asset Allocation'!I2,'Asset Allocation'!K2,'Asset Allocation'!L2,'Asset Allocation'!P2,'Asset Allocation'!R2))</f>
        <v>0.49800000000000005</v>
      </c>
      <c r="D2">
        <f>IF(A2="","",SUM('Asset Allocation'!X2))</f>
        <v>0</v>
      </c>
      <c r="E2">
        <f>IF(A2="","",SUM('Asset Allocation'!H2))</f>
        <v>0</v>
      </c>
      <c r="F2">
        <f>IF(A2="","",SUM('Asset Allocation'!B2,'Asset Allocation'!D2,'Asset Allocation'!J2,'Asset Allocation'!Q2))</f>
        <v>0</v>
      </c>
      <c r="G2">
        <f>IF(A2="","",SUM('Asset Allocation'!G2))</f>
        <v>0.28199999999999997</v>
      </c>
      <c r="H2">
        <f t="shared" ref="H2:H50" si="0">IF(A2="","",1-SUM(B2:G2))</f>
        <v>7.2999999999999954E-2</v>
      </c>
      <c r="I2" s="5"/>
    </row>
    <row r="3" spans="1:9" x14ac:dyDescent="0.25">
      <c r="A3" t="str">
        <f>IF(Input!A4="","",Input!A4)</f>
        <v>Schroder Active Portfolio 3</v>
      </c>
      <c r="B3">
        <f>IF(A3="","",SUM('Asset Allocation'!W3,'Asset Allocation'!Y3,'Asset Allocation'!E3,'Asset Allocation'!M3,'Asset Allocation'!N3,'Asset Allocation'!O3,'Asset Allocation'!S3,'Asset Allocation'!U3,'Asset Allocation'!Z3,'Asset Allocation'!AA3,))</f>
        <v>0.25</v>
      </c>
      <c r="C3">
        <f>IF(A3="","",SUM('Asset Allocation'!C3,'Asset Allocation'!F3,'Asset Allocation'!I3,'Asset Allocation'!K3,'Asset Allocation'!L3,'Asset Allocation'!P3,'Asset Allocation'!R3))</f>
        <v>0.58699999999999997</v>
      </c>
      <c r="D3">
        <f>IF(A3="","",SUM('Asset Allocation'!X3))</f>
        <v>0</v>
      </c>
      <c r="E3">
        <f>IF(A3="","",SUM('Asset Allocation'!H3))</f>
        <v>0</v>
      </c>
      <c r="F3">
        <f>IF(A3="","",SUM('Asset Allocation'!B3,'Asset Allocation'!D3,'Asset Allocation'!J3,'Asset Allocation'!Q3))</f>
        <v>0</v>
      </c>
      <c r="G3">
        <f>IF(A3="","",SUM('Asset Allocation'!G3,'Asset Allocation'!T3))</f>
        <v>7.2000000000000008E-2</v>
      </c>
      <c r="H3">
        <f t="shared" si="0"/>
        <v>9.099999999999997E-2</v>
      </c>
      <c r="I3" s="5"/>
    </row>
    <row r="4" spans="1:9" x14ac:dyDescent="0.25">
      <c r="A4" t="str">
        <f>IF(Input!A5="","",Input!A5)</f>
        <v>Schroder Active Portfolio 4</v>
      </c>
      <c r="B4">
        <f>IF(A4="","",SUM('Asset Allocation'!W4,'Asset Allocation'!Y4,'Asset Allocation'!E4,'Asset Allocation'!M4,'Asset Allocation'!N4,'Asset Allocation'!O4,'Asset Allocation'!S4,'Asset Allocation'!U4,'Asset Allocation'!Z4,'Asset Allocation'!AA4,))</f>
        <v>0.41399999999999998</v>
      </c>
      <c r="C4">
        <f>IF(A4="","",SUM('Asset Allocation'!C4,'Asset Allocation'!F4,'Asset Allocation'!I4,'Asset Allocation'!K4,'Asset Allocation'!L4,'Asset Allocation'!P4,'Asset Allocation'!R4))</f>
        <v>0.43800000000000006</v>
      </c>
      <c r="D4">
        <f>IF(A4="","",SUM('Asset Allocation'!X4))</f>
        <v>0</v>
      </c>
      <c r="E4">
        <f>IF(A4="","",SUM('Asset Allocation'!H4))</f>
        <v>0</v>
      </c>
      <c r="F4">
        <f>IF(A4="","",SUM('Asset Allocation'!B4,'Asset Allocation'!D4,'Asset Allocation'!J4,'Asset Allocation'!Q4))</f>
        <v>0</v>
      </c>
      <c r="G4">
        <f>IF(A4="","",SUM('Asset Allocation'!G4,'Asset Allocation'!T4))</f>
        <v>4.2000000000000003E-2</v>
      </c>
      <c r="H4">
        <f t="shared" si="0"/>
        <v>0.10599999999999987</v>
      </c>
      <c r="I4" s="5"/>
    </row>
    <row r="5" spans="1:9" x14ac:dyDescent="0.25">
      <c r="A5" t="str">
        <f>IF(Input!A6="","",Input!A6)</f>
        <v>Schroder Active Portfolio 5</v>
      </c>
      <c r="B5">
        <f>IF(A5="","",SUM('Asset Allocation'!W5,'Asset Allocation'!Y5,'Asset Allocation'!E5,'Asset Allocation'!M5,'Asset Allocation'!N5,'Asset Allocation'!O5,'Asset Allocation'!S5,'Asset Allocation'!U5,'Asset Allocation'!Z5,'Asset Allocation'!AA5,))</f>
        <v>0.505</v>
      </c>
      <c r="C5">
        <f>IF(A5="","",SUM('Asset Allocation'!C5,'Asset Allocation'!F5,'Asset Allocation'!I5,'Asset Allocation'!K5,'Asset Allocation'!L5,'Asset Allocation'!P5,'Asset Allocation'!R5))</f>
        <v>0.34899999999999998</v>
      </c>
      <c r="D5">
        <f>IF(A5="","",SUM('Asset Allocation'!X5))</f>
        <v>0</v>
      </c>
      <c r="E5">
        <f>IF(A5="","",SUM('Asset Allocation'!H5))</f>
        <v>0</v>
      </c>
      <c r="F5">
        <f>IF(A5="","",SUM('Asset Allocation'!B5,'Asset Allocation'!D5,'Asset Allocation'!J5,'Asset Allocation'!Q5))</f>
        <v>0</v>
      </c>
      <c r="G5">
        <f>IF(A5="","",SUM('Asset Allocation'!G5,'Asset Allocation'!T5))</f>
        <v>3.9E-2</v>
      </c>
      <c r="H5">
        <f t="shared" si="0"/>
        <v>0.10699999999999998</v>
      </c>
      <c r="I5" s="5"/>
    </row>
    <row r="6" spans="1:9" x14ac:dyDescent="0.25">
      <c r="A6" t="str">
        <f>IF(Input!A7="","",Input!A7)</f>
        <v>Schroder Active Portfolio 6</v>
      </c>
      <c r="B6">
        <f>IF(A6="","",SUM('Asset Allocation'!W6,'Asset Allocation'!Y6,'Asset Allocation'!E6,'Asset Allocation'!M6,'Asset Allocation'!N6,'Asset Allocation'!O6,'Asset Allocation'!S6,'Asset Allocation'!U6,'Asset Allocation'!Z6,'Asset Allocation'!AA6,))</f>
        <v>0.64</v>
      </c>
      <c r="C6">
        <f>IF(A6="","",SUM('Asset Allocation'!C6,'Asset Allocation'!F6,'Asset Allocation'!I6,'Asset Allocation'!K6,'Asset Allocation'!L6,'Asset Allocation'!P6,'Asset Allocation'!R6))</f>
        <v>0.22499999999999998</v>
      </c>
      <c r="D6">
        <f>IF(A6="","",SUM('Asset Allocation'!X6))</f>
        <v>0</v>
      </c>
      <c r="E6">
        <f>IF(A6="","",SUM('Asset Allocation'!H6))</f>
        <v>0</v>
      </c>
      <c r="F6">
        <f>IF(A6="","",SUM('Asset Allocation'!B6,'Asset Allocation'!D6,'Asset Allocation'!J6,'Asset Allocation'!Q6))</f>
        <v>0</v>
      </c>
      <c r="G6">
        <f>IF(A6="","",SUM('Asset Allocation'!G6,'Asset Allocation'!T6))</f>
        <v>3.2000000000000001E-2</v>
      </c>
      <c r="H6">
        <f t="shared" si="0"/>
        <v>0.10299999999999998</v>
      </c>
      <c r="I6" s="5"/>
    </row>
    <row r="7" spans="1:9" x14ac:dyDescent="0.25">
      <c r="A7" t="str">
        <f>IF(Input!A8="","",Input!A8)</f>
        <v>Schroder Active Portfolio 7</v>
      </c>
      <c r="B7">
        <f>IF(A7="","",SUM('Asset Allocation'!W7,'Asset Allocation'!Y7,'Asset Allocation'!E7,'Asset Allocation'!M7,'Asset Allocation'!N7,'Asset Allocation'!O7,'Asset Allocation'!S7,'Asset Allocation'!U7,'Asset Allocation'!Z7,'Asset Allocation'!AA7,))</f>
        <v>0.75099999999999989</v>
      </c>
      <c r="C7">
        <f>IF(A7="","",SUM('Asset Allocation'!C7,'Asset Allocation'!F7,'Asset Allocation'!I7,'Asset Allocation'!K7,'Asset Allocation'!L7,'Asset Allocation'!P7,'Asset Allocation'!R7))</f>
        <v>0.11599999999999999</v>
      </c>
      <c r="D7">
        <f>IF(A7="","",SUM('Asset Allocation'!X7))</f>
        <v>0</v>
      </c>
      <c r="E7">
        <f>IF(A7="","",SUM('Asset Allocation'!H7))</f>
        <v>0</v>
      </c>
      <c r="F7">
        <f>IF(A7="","",SUM('Asset Allocation'!B7,'Asset Allocation'!D7,'Asset Allocation'!J7,'Asset Allocation'!Q7))</f>
        <v>0</v>
      </c>
      <c r="G7">
        <f>IF(A7="","",SUM('Asset Allocation'!G7,'Asset Allocation'!T7))</f>
        <v>3.9E-2</v>
      </c>
      <c r="H7">
        <f t="shared" si="0"/>
        <v>9.4000000000000083E-2</v>
      </c>
      <c r="I7" s="5"/>
    </row>
    <row r="8" spans="1:9" x14ac:dyDescent="0.25">
      <c r="A8" t="str">
        <f>IF(Input!A9="","",Input!A9)</f>
        <v>Schroder Active Portfolio 8</v>
      </c>
      <c r="B8">
        <f>IF(A8="","",SUM('Asset Allocation'!W8,'Asset Allocation'!Y8,'Asset Allocation'!E8,'Asset Allocation'!M8,'Asset Allocation'!N8,'Asset Allocation'!O8,'Asset Allocation'!S8,'Asset Allocation'!U8,'Asset Allocation'!Z8,'Asset Allocation'!AA8,))</f>
        <v>0.86900000000000011</v>
      </c>
      <c r="C8">
        <f>IF(A8="","",SUM('Asset Allocation'!C8,'Asset Allocation'!F8,'Asset Allocation'!I8,'Asset Allocation'!K8,'Asset Allocation'!L8,'Asset Allocation'!P8,'Asset Allocation'!R8))</f>
        <v>2.6000000000000002E-2</v>
      </c>
      <c r="D8">
        <f>IF(A8="","",SUM('Asset Allocation'!X8))</f>
        <v>0</v>
      </c>
      <c r="E8">
        <f>IF(A8="","",SUM('Asset Allocation'!H8))</f>
        <v>0</v>
      </c>
      <c r="F8">
        <f>IF(A8="","",SUM('Asset Allocation'!B8,'Asset Allocation'!D8,'Asset Allocation'!J8,'Asset Allocation'!Q8))</f>
        <v>0</v>
      </c>
      <c r="G8">
        <f>IF(A8="","",SUM('Asset Allocation'!G8,'Asset Allocation'!T8))</f>
        <v>4.2999999999999997E-2</v>
      </c>
      <c r="H8">
        <f t="shared" si="0"/>
        <v>6.1999999999999833E-2</v>
      </c>
      <c r="I8" s="5"/>
    </row>
    <row r="9" spans="1:9" x14ac:dyDescent="0.25">
      <c r="A9" t="str">
        <f>IF(Input!A10="","",Input!A10)</f>
        <v>Schroder Active Portfolio 9</v>
      </c>
      <c r="B9">
        <f>IF(A9="","",SUM('Asset Allocation'!W9,'Asset Allocation'!Y9,'Asset Allocation'!E9,'Asset Allocation'!M9,'Asset Allocation'!N9,'Asset Allocation'!O9,'Asset Allocation'!S9,'Asset Allocation'!U9,'Asset Allocation'!Z9,'Asset Allocation'!AA9,))</f>
        <v>0.95099999999999996</v>
      </c>
      <c r="C9">
        <f>IF(A9="","",SUM('Asset Allocation'!C9,'Asset Allocation'!F9,'Asset Allocation'!I9,'Asset Allocation'!K9,'Asset Allocation'!L9,'Asset Allocation'!P9,'Asset Allocation'!R9))</f>
        <v>0</v>
      </c>
      <c r="D9">
        <f>IF(A9="","",SUM('Asset Allocation'!X9))</f>
        <v>0</v>
      </c>
      <c r="E9">
        <f>IF(A9="","",SUM('Asset Allocation'!H9))</f>
        <v>0</v>
      </c>
      <c r="F9">
        <f>IF(A9="","",SUM('Asset Allocation'!B9,'Asset Allocation'!D9,'Asset Allocation'!J9,'Asset Allocation'!Q9))</f>
        <v>0</v>
      </c>
      <c r="G9">
        <f>IF(A9="","",SUM('Asset Allocation'!G9,'Asset Allocation'!T9))</f>
        <v>4.2000000000000003E-2</v>
      </c>
      <c r="H9">
        <f t="shared" si="0"/>
        <v>7.0000000000000062E-3</v>
      </c>
      <c r="I9" s="5"/>
    </row>
    <row r="10" spans="1:9" x14ac:dyDescent="0.25">
      <c r="A10" t="str">
        <f>IF(Input!A11="","",Input!A11)</f>
        <v>Schroder Active Portfolio 10</v>
      </c>
      <c r="B10">
        <f>IF(A10="","",SUM('Asset Allocation'!W10,'Asset Allocation'!Y10,'Asset Allocation'!E10,'Asset Allocation'!M10,'Asset Allocation'!N10,'Asset Allocation'!O10,'Asset Allocation'!S10,'Asset Allocation'!U10,'Asset Allocation'!Z10,'Asset Allocation'!AA10,))</f>
        <v>0.95499999999999996</v>
      </c>
      <c r="C10">
        <f>IF(A10="","",SUM('Asset Allocation'!C10,'Asset Allocation'!F10,'Asset Allocation'!I10,'Asset Allocation'!K10,'Asset Allocation'!L10,'Asset Allocation'!P10,'Asset Allocation'!R10))</f>
        <v>1E-3</v>
      </c>
      <c r="D10">
        <f>IF(A10="","",SUM('Asset Allocation'!X10))</f>
        <v>0</v>
      </c>
      <c r="E10">
        <f>IF(A10="","",SUM('Asset Allocation'!H10))</f>
        <v>0</v>
      </c>
      <c r="F10">
        <f>IF(A10="","",SUM('Asset Allocation'!B10,'Asset Allocation'!D10,'Asset Allocation'!J10,'Asset Allocation'!Q10))</f>
        <v>0</v>
      </c>
      <c r="G10">
        <f>IF(A10="","",SUM('Asset Allocation'!G10,'Asset Allocation'!T10))</f>
        <v>0.04</v>
      </c>
      <c r="H10">
        <f t="shared" si="0"/>
        <v>4.0000000000000036E-3</v>
      </c>
      <c r="I10" s="5"/>
    </row>
    <row r="11" spans="1:9" x14ac:dyDescent="0.25">
      <c r="A11" t="str">
        <f>IF(Input!A12="","",Input!A12)</f>
        <v>Schroder Strategic Index Portfolio 2</v>
      </c>
      <c r="B11">
        <f>IF(A11="","",SUM('Asset Allocation'!W11,'Asset Allocation'!Y11,'Asset Allocation'!E11,'Asset Allocation'!M11,'Asset Allocation'!N11,'Asset Allocation'!O11,'Asset Allocation'!S11,'Asset Allocation'!U11,'Asset Allocation'!Z11,'Asset Allocation'!AA11,))</f>
        <v>0.156</v>
      </c>
      <c r="C11">
        <f>IF(A11="","",SUM('Asset Allocation'!C11,'Asset Allocation'!F11,'Asset Allocation'!I11,'Asset Allocation'!K11,'Asset Allocation'!L11,'Asset Allocation'!P11,'Asset Allocation'!R11))</f>
        <v>0.55399999999999994</v>
      </c>
      <c r="D11">
        <f>IF(A11="","",SUM('Asset Allocation'!X11))</f>
        <v>0</v>
      </c>
      <c r="E11">
        <f>IF(A11="","",SUM('Asset Allocation'!H11))</f>
        <v>0</v>
      </c>
      <c r="F11">
        <f>IF(A11="","",SUM('Asset Allocation'!B11,'Asset Allocation'!D11,'Asset Allocation'!J11,'Asset Allocation'!Q11))</f>
        <v>0</v>
      </c>
      <c r="G11">
        <f>IF(A11="","",SUM('Asset Allocation'!G11,'Asset Allocation'!T11))</f>
        <v>0.28600000000000003</v>
      </c>
      <c r="H11">
        <f t="shared" si="0"/>
        <v>4.0000000000000036E-3</v>
      </c>
      <c r="I11" s="5"/>
    </row>
    <row r="12" spans="1:9" x14ac:dyDescent="0.25">
      <c r="A12" t="str">
        <f>IF(Input!A13="","",Input!A13)</f>
        <v>Schroder Strategic Index Portfolio 3</v>
      </c>
      <c r="B12">
        <f>IF(A12="","",SUM('Asset Allocation'!W12,'Asset Allocation'!Y12,'Asset Allocation'!E12,'Asset Allocation'!M12,'Asset Allocation'!N12,'Asset Allocation'!O12,'Asset Allocation'!S12,'Asset Allocation'!U12,'Asset Allocation'!Z12,'Asset Allocation'!AA12,))</f>
        <v>0.26100000000000001</v>
      </c>
      <c r="C12">
        <f>IF(A12="","",SUM('Asset Allocation'!C12,'Asset Allocation'!F12,'Asset Allocation'!I12,'Asset Allocation'!K12,'Asset Allocation'!L12,'Asset Allocation'!P12,'Asset Allocation'!R12))</f>
        <v>0.65400000000000003</v>
      </c>
      <c r="D12">
        <f>IF(A12="","",SUM('Asset Allocation'!X12))</f>
        <v>0</v>
      </c>
      <c r="E12">
        <f>IF(A12="","",SUM('Asset Allocation'!H12))</f>
        <v>0</v>
      </c>
      <c r="F12">
        <f>IF(A12="","",SUM('Asset Allocation'!B12,'Asset Allocation'!D12,'Asset Allocation'!J12,'Asset Allocation'!Q12))</f>
        <v>0</v>
      </c>
      <c r="G12">
        <f>IF(A12="","",SUM('Asset Allocation'!G12,'Asset Allocation'!T12))</f>
        <v>0.08</v>
      </c>
      <c r="H12">
        <f t="shared" si="0"/>
        <v>5.0000000000000044E-3</v>
      </c>
      <c r="I12" s="5"/>
    </row>
    <row r="13" spans="1:9" x14ac:dyDescent="0.25">
      <c r="A13" t="str">
        <f>IF(Input!A14="","",Input!A14)</f>
        <v>Schroder Strategic Index Portfolio 4</v>
      </c>
      <c r="B13">
        <f>IF(A13="","",SUM('Asset Allocation'!W13,'Asset Allocation'!Y13,'Asset Allocation'!E13,'Asset Allocation'!M13,'Asset Allocation'!N13,'Asset Allocation'!O13,'Asset Allocation'!S13,'Asset Allocation'!U13,'Asset Allocation'!Z13,'Asset Allocation'!AA13,))</f>
        <v>0.42799999999999999</v>
      </c>
      <c r="C13">
        <f>IF(A13="","",SUM('Asset Allocation'!C13,'Asset Allocation'!F13,'Asset Allocation'!I13,'Asset Allocation'!K13,'Asset Allocation'!L13,'Asset Allocation'!P13,'Asset Allocation'!R13))</f>
        <v>0.52</v>
      </c>
      <c r="D13">
        <f>IF(A13="","",SUM('Asset Allocation'!X13))</f>
        <v>0</v>
      </c>
      <c r="E13">
        <f>IF(A13="","",SUM('Asset Allocation'!H13))</f>
        <v>0</v>
      </c>
      <c r="F13">
        <f>IF(A13="","",SUM('Asset Allocation'!B13,'Asset Allocation'!D13,'Asset Allocation'!J13,'Asset Allocation'!Q13))</f>
        <v>0</v>
      </c>
      <c r="G13">
        <f>IF(A13="","",SUM('Asset Allocation'!G13,'Asset Allocation'!T13))</f>
        <v>4.5999999999999999E-2</v>
      </c>
      <c r="H13">
        <f t="shared" si="0"/>
        <v>6.0000000000000053E-3</v>
      </c>
      <c r="I13" s="5"/>
    </row>
    <row r="14" spans="1:9" x14ac:dyDescent="0.25">
      <c r="A14" t="str">
        <f>IF(Input!A15="","",Input!A15)</f>
        <v>Schroder Strategic Index Portfolio 5</v>
      </c>
      <c r="B14">
        <f>IF(A14="","",SUM('Asset Allocation'!W14,'Asset Allocation'!Y14,'Asset Allocation'!E14,'Asset Allocation'!M14,'Asset Allocation'!N14,'Asset Allocation'!O14,'Asset Allocation'!S14,'Asset Allocation'!U14,'Asset Allocation'!Z14,'Asset Allocation'!AA14,))</f>
        <v>0.52</v>
      </c>
      <c r="C14">
        <f>IF(A14="","",SUM('Asset Allocation'!C14,'Asset Allocation'!F14,'Asset Allocation'!I14,'Asset Allocation'!K14,'Asset Allocation'!L14,'Asset Allocation'!P14,'Asset Allocation'!R14))</f>
        <v>0.43099999999999999</v>
      </c>
      <c r="D14">
        <f>IF(A14="","",SUM('Asset Allocation'!X14))</f>
        <v>0</v>
      </c>
      <c r="E14">
        <f>IF(A14="","",SUM('Asset Allocation'!H14))</f>
        <v>0</v>
      </c>
      <c r="F14">
        <f>IF(A14="","",SUM('Asset Allocation'!B14,'Asset Allocation'!D14,'Asset Allocation'!J14,'Asset Allocation'!Q14))</f>
        <v>0</v>
      </c>
      <c r="G14">
        <f>IF(A14="","",SUM('Asset Allocation'!G14,'Asset Allocation'!T14))</f>
        <v>4.0999999999999995E-2</v>
      </c>
      <c r="H14">
        <f t="shared" si="0"/>
        <v>7.9999999999998961E-3</v>
      </c>
      <c r="I14" s="5"/>
    </row>
    <row r="15" spans="1:9" x14ac:dyDescent="0.25">
      <c r="A15" t="str">
        <f>IF(Input!A16="","",Input!A16)</f>
        <v>Schroder Strategic Index Portfolio 6</v>
      </c>
      <c r="B15">
        <f>IF(A15="","",SUM('Asset Allocation'!W15,'Asset Allocation'!Y15,'Asset Allocation'!E15,'Asset Allocation'!M15,'Asset Allocation'!N15,'Asset Allocation'!O15,'Asset Allocation'!S15,'Asset Allocation'!U15,'Asset Allocation'!Z15,'Asset Allocation'!AA15,))</f>
        <v>0.65700000000000003</v>
      </c>
      <c r="C15">
        <f>IF(A15="","",SUM('Asset Allocation'!C15,'Asset Allocation'!F15,'Asset Allocation'!I15,'Asset Allocation'!K15,'Asset Allocation'!L15,'Asset Allocation'!P15,'Asset Allocation'!R15))</f>
        <v>0.30499999999999999</v>
      </c>
      <c r="D15">
        <f>IF(A15="","",SUM('Asset Allocation'!X15))</f>
        <v>0</v>
      </c>
      <c r="E15">
        <f>IF(A15="","",SUM('Asset Allocation'!H15))</f>
        <v>0</v>
      </c>
      <c r="F15">
        <f>IF(A15="","",SUM('Asset Allocation'!B15,'Asset Allocation'!D15,'Asset Allocation'!J15,'Asset Allocation'!Q15))</f>
        <v>0</v>
      </c>
      <c r="G15">
        <f>IF(A15="","",SUM('Asset Allocation'!G15,'Asset Allocation'!T15))</f>
        <v>2.8999999999999998E-2</v>
      </c>
      <c r="H15">
        <f t="shared" si="0"/>
        <v>9.000000000000008E-3</v>
      </c>
      <c r="I15" s="5"/>
    </row>
    <row r="16" spans="1:9" x14ac:dyDescent="0.25">
      <c r="A16" t="str">
        <f>IF(Input!A17="","",Input!A17)</f>
        <v>Schroder Strategic Index Portfolio 7</v>
      </c>
      <c r="B16">
        <f>IF(A16="","",SUM('Asset Allocation'!W16,'Asset Allocation'!Y16,'Asset Allocation'!E16,'Asset Allocation'!M16,'Asset Allocation'!N16,'Asset Allocation'!O16,'Asset Allocation'!S16,'Asset Allocation'!U16,'Asset Allocation'!Z16,'Asset Allocation'!AA16,))</f>
        <v>0.76900000000000002</v>
      </c>
      <c r="C16">
        <f>IF(A16="","",SUM('Asset Allocation'!C16,'Asset Allocation'!F16,'Asset Allocation'!I16,'Asset Allocation'!K16,'Asset Allocation'!L16,'Asset Allocation'!P16,'Asset Allocation'!R16))</f>
        <v>0.192</v>
      </c>
      <c r="D16">
        <f>IF(A16="","",SUM('Asset Allocation'!X16))</f>
        <v>0</v>
      </c>
      <c r="E16">
        <f>IF(A16="","",SUM('Asset Allocation'!H16))</f>
        <v>0</v>
      </c>
      <c r="F16">
        <f>IF(A16="","",SUM('Asset Allocation'!B16,'Asset Allocation'!D16,'Asset Allocation'!J16,'Asset Allocation'!Q16))</f>
        <v>0</v>
      </c>
      <c r="G16">
        <f>IF(A16="","",SUM('Asset Allocation'!G16,'Asset Allocation'!T16))</f>
        <v>0.03</v>
      </c>
      <c r="H16">
        <f t="shared" si="0"/>
        <v>8.999999999999897E-3</v>
      </c>
      <c r="I16" s="5"/>
    </row>
    <row r="17" spans="1:9" x14ac:dyDescent="0.25">
      <c r="A17" t="str">
        <f>IF(Input!A18="","",Input!A18)</f>
        <v>Schroder Strategic Index Portfolio 8</v>
      </c>
      <c r="B17">
        <f>IF(A17="","",SUM('Asset Allocation'!W17,'Asset Allocation'!Y17,'Asset Allocation'!E17,'Asset Allocation'!M17,'Asset Allocation'!N17,'Asset Allocation'!O17,'Asset Allocation'!S17,'Asset Allocation'!U17,'Asset Allocation'!Z17,'Asset Allocation'!AA17,))</f>
        <v>0.88500000000000001</v>
      </c>
      <c r="C17">
        <f>IF(A17="","",SUM('Asset Allocation'!C17,'Asset Allocation'!F17,'Asset Allocation'!I17,'Asset Allocation'!K17,'Asset Allocation'!L17,'Asset Allocation'!P17,'Asset Allocation'!R17))</f>
        <v>7.400000000000001E-2</v>
      </c>
      <c r="D17">
        <f>IF(A17="","",SUM('Asset Allocation'!X17))</f>
        <v>0</v>
      </c>
      <c r="E17">
        <f>IF(A17="","",SUM('Asset Allocation'!H17))</f>
        <v>0</v>
      </c>
      <c r="F17">
        <f>IF(A17="","",SUM('Asset Allocation'!B17,'Asset Allocation'!D17,'Asset Allocation'!J17,'Asset Allocation'!Q17))</f>
        <v>0</v>
      </c>
      <c r="G17">
        <f>IF(A17="","",SUM('Asset Allocation'!G17,'Asset Allocation'!T17))</f>
        <v>3.1E-2</v>
      </c>
      <c r="H17">
        <f t="shared" si="0"/>
        <v>9.9999999999998979E-3</v>
      </c>
      <c r="I17" s="5"/>
    </row>
    <row r="18" spans="1:9" x14ac:dyDescent="0.25">
      <c r="A18" t="str">
        <f>IF(Input!A19="","",Input!A19)</f>
        <v>Schroder Strategic Index Portfolio 9</v>
      </c>
      <c r="B18">
        <f>IF(A18="","",SUM('Asset Allocation'!W18,'Asset Allocation'!Y18,'Asset Allocation'!E18,'Asset Allocation'!M18,'Asset Allocation'!N18,'Asset Allocation'!O18,'Asset Allocation'!S18,'Asset Allocation'!U18,'Asset Allocation'!Z18,'Asset Allocation'!AA18,))</f>
        <v>0.95900000000000007</v>
      </c>
      <c r="C18">
        <f>IF(A18="","",SUM('Asset Allocation'!C18,'Asset Allocation'!F18,'Asset Allocation'!I18,'Asset Allocation'!K18,'Asset Allocation'!L18,'Asset Allocation'!P18,'Asset Allocation'!R18))</f>
        <v>0</v>
      </c>
      <c r="D18">
        <f>IF(A18="","",SUM('Asset Allocation'!X18))</f>
        <v>0</v>
      </c>
      <c r="E18">
        <f>IF(A18="","",SUM('Asset Allocation'!H18))</f>
        <v>0</v>
      </c>
      <c r="F18">
        <f>IF(A18="","",SUM('Asset Allocation'!B18,'Asset Allocation'!D18,'Asset Allocation'!J18,'Asset Allocation'!Q18))</f>
        <v>0</v>
      </c>
      <c r="G18">
        <f>IF(A18="","",SUM('Asset Allocation'!G18,'Asset Allocation'!T18))</f>
        <v>3.1E-2</v>
      </c>
      <c r="H18">
        <f t="shared" si="0"/>
        <v>9.9999999999998979E-3</v>
      </c>
      <c r="I18" s="5"/>
    </row>
    <row r="19" spans="1:9" x14ac:dyDescent="0.25">
      <c r="A19" t="str">
        <f>IF(Input!A20="","",Input!A20)</f>
        <v>Schroder Strategic Index Portfolio 10</v>
      </c>
      <c r="B19">
        <f>IF(A19="","",SUM('Asset Allocation'!W19,'Asset Allocation'!Y19,'Asset Allocation'!E19,'Asset Allocation'!M19,'Asset Allocation'!N19,'Asset Allocation'!O19,'Asset Allocation'!S19,'Asset Allocation'!U19,'Asset Allocation'!Z19,'Asset Allocation'!AA19,))</f>
        <v>0.96200000000000008</v>
      </c>
      <c r="C19">
        <f>IF(A19="","",SUM('Asset Allocation'!C19,'Asset Allocation'!F19,'Asset Allocation'!I19,'Asset Allocation'!K19,'Asset Allocation'!L19,'Asset Allocation'!P19,'Asset Allocation'!R19))</f>
        <v>0</v>
      </c>
      <c r="D19">
        <f>IF(A19="","",SUM('Asset Allocation'!X19))</f>
        <v>0</v>
      </c>
      <c r="E19">
        <f>IF(A19="","",SUM('Asset Allocation'!H19))</f>
        <v>0</v>
      </c>
      <c r="F19">
        <f>IF(A19="","",SUM('Asset Allocation'!B19,'Asset Allocation'!D19,'Asset Allocation'!J19,'Asset Allocation'!Q19))</f>
        <v>0</v>
      </c>
      <c r="G19">
        <f>IF(A19="","",SUM('Asset Allocation'!G19,'Asset Allocation'!T19))</f>
        <v>0.03</v>
      </c>
      <c r="H19">
        <f t="shared" si="0"/>
        <v>7.9999999999998961E-3</v>
      </c>
      <c r="I19" s="5"/>
    </row>
    <row r="20" spans="1:9" x14ac:dyDescent="0.25">
      <c r="A20" t="str">
        <f>IF(Input!A21="","",Input!A21)</f>
        <v>Schroder Sustainable Portfolio 3</v>
      </c>
      <c r="B20">
        <f>IF(A20="","",SUM('Asset Allocation'!W20,'Asset Allocation'!Y20,'Asset Allocation'!E20,'Asset Allocation'!M20,'Asset Allocation'!N20,'Asset Allocation'!O20,'Asset Allocation'!S20,'Asset Allocation'!U20,'Asset Allocation'!Z20,'Asset Allocation'!AA20,))</f>
        <v>0.247</v>
      </c>
      <c r="C20">
        <f>IF(A20="","",SUM('Asset Allocation'!C20,'Asset Allocation'!F20,'Asset Allocation'!I20,'Asset Allocation'!K20,'Asset Allocation'!L20,'Asset Allocation'!P20,'Asset Allocation'!R20))</f>
        <v>0.56200000000000006</v>
      </c>
      <c r="D20">
        <f>IF(A20="","",SUM('Asset Allocation'!X20))</f>
        <v>0</v>
      </c>
      <c r="E20">
        <f>IF(A20="","",SUM('Asset Allocation'!H20))</f>
        <v>0</v>
      </c>
      <c r="F20">
        <f>IF(A20="","",SUM('Asset Allocation'!B20,'Asset Allocation'!D20,'Asset Allocation'!J20,'Asset Allocation'!Q20))</f>
        <v>0</v>
      </c>
      <c r="G20">
        <f>IF(A20="","",SUM('Asset Allocation'!G20,'Asset Allocation'!T20))</f>
        <v>0.10199999999999999</v>
      </c>
      <c r="H20">
        <f t="shared" si="0"/>
        <v>8.8999999999999968E-2</v>
      </c>
      <c r="I20" s="5"/>
    </row>
    <row r="21" spans="1:9" x14ac:dyDescent="0.25">
      <c r="A21" t="str">
        <f>IF(Input!A22="","",Input!A22)</f>
        <v>Schroder Sustainable Portfolio 4</v>
      </c>
      <c r="B21">
        <f>IF(A21="","",SUM('Asset Allocation'!W21,'Asset Allocation'!Y21,'Asset Allocation'!E21,'Asset Allocation'!M21,'Asset Allocation'!N21,'Asset Allocation'!O21,'Asset Allocation'!S21,'Asset Allocation'!U21,'Asset Allocation'!Z21,'Asset Allocation'!AA21,))</f>
        <v>0.41200000000000003</v>
      </c>
      <c r="C21">
        <f>IF(A21="","",SUM('Asset Allocation'!C21,'Asset Allocation'!F21,'Asset Allocation'!I21,'Asset Allocation'!K21,'Asset Allocation'!L21,'Asset Allocation'!P21,'Asset Allocation'!R21))</f>
        <v>0.41899999999999998</v>
      </c>
      <c r="D21">
        <f>IF(A21="","",SUM('Asset Allocation'!X21))</f>
        <v>0</v>
      </c>
      <c r="E21">
        <f>IF(A21="","",SUM('Asset Allocation'!H21))</f>
        <v>0</v>
      </c>
      <c r="F21">
        <f>IF(A21="","",SUM('Asset Allocation'!B21,'Asset Allocation'!D21,'Asset Allocation'!J21,'Asset Allocation'!Q21))</f>
        <v>0</v>
      </c>
      <c r="G21">
        <f>IF(A21="","",SUM('Asset Allocation'!G21,'Asset Allocation'!T21))</f>
        <v>6.6000000000000003E-2</v>
      </c>
      <c r="H21">
        <f t="shared" si="0"/>
        <v>0.10299999999999998</v>
      </c>
      <c r="I21" s="5"/>
    </row>
    <row r="22" spans="1:9" x14ac:dyDescent="0.25">
      <c r="A22" t="str">
        <f>IF(Input!A23="","",Input!A23)</f>
        <v>Schroder Sustainable Portfolio 5</v>
      </c>
      <c r="B22">
        <f>IF(A22="","",SUM('Asset Allocation'!W22,'Asset Allocation'!Y22,'Asset Allocation'!E22,'Asset Allocation'!M22,'Asset Allocation'!N22,'Asset Allocation'!O22,'Asset Allocation'!S22,'Asset Allocation'!U22,'Asset Allocation'!Z22,'Asset Allocation'!AA22,))</f>
        <v>0.504</v>
      </c>
      <c r="C22">
        <f>IF(A22="","",SUM('Asset Allocation'!C22,'Asset Allocation'!F22,'Asset Allocation'!I22,'Asset Allocation'!K22,'Asset Allocation'!L22,'Asset Allocation'!P22,'Asset Allocation'!R22))</f>
        <v>0.33100000000000002</v>
      </c>
      <c r="D22">
        <f>IF(A22="","",SUM('Asset Allocation'!X22))</f>
        <v>0</v>
      </c>
      <c r="E22">
        <f>IF(A22="","",SUM('Asset Allocation'!H22))</f>
        <v>0</v>
      </c>
      <c r="F22">
        <f>IF(A22="","",SUM('Asset Allocation'!B22,'Asset Allocation'!D22,'Asset Allocation'!J22,'Asset Allocation'!Q22))</f>
        <v>0</v>
      </c>
      <c r="G22">
        <f>IF(A22="","",SUM('Asset Allocation'!G22,'Asset Allocation'!T22))</f>
        <v>6.0999999999999999E-2</v>
      </c>
      <c r="H22">
        <f t="shared" si="0"/>
        <v>0.10400000000000009</v>
      </c>
      <c r="I22" s="5"/>
    </row>
    <row r="23" spans="1:9" x14ac:dyDescent="0.25">
      <c r="A23" t="str">
        <f>IF(Input!A24="","",Input!A24)</f>
        <v>Schroder Sustainable Portfolio 6</v>
      </c>
      <c r="B23">
        <f>IF(A23="","",SUM('Asset Allocation'!W23,'Asset Allocation'!Y23,'Asset Allocation'!E23,'Asset Allocation'!M23,'Asset Allocation'!N23,'Asset Allocation'!O23,'Asset Allocation'!S23,'Asset Allocation'!U23,'Asset Allocation'!Z23,'Asset Allocation'!AA23,))</f>
        <v>0.64200000000000002</v>
      </c>
      <c r="C23">
        <f>IF(A23="","",SUM('Asset Allocation'!C23,'Asset Allocation'!F23,'Asset Allocation'!I23,'Asset Allocation'!K23,'Asset Allocation'!L23,'Asset Allocation'!P23,'Asset Allocation'!R23))</f>
        <v>0.21199999999999999</v>
      </c>
      <c r="D23">
        <f>IF(A23="","",SUM('Asset Allocation'!X23))</f>
        <v>0</v>
      </c>
      <c r="E23">
        <f>IF(A23="","",SUM('Asset Allocation'!H23))</f>
        <v>0</v>
      </c>
      <c r="F23">
        <f>IF(A23="","",SUM('Asset Allocation'!B23,'Asset Allocation'!D23,'Asset Allocation'!J23,'Asset Allocation'!Q23))</f>
        <v>0</v>
      </c>
      <c r="G23">
        <f>IF(A23="","",SUM('Asset Allocation'!G23,'Asset Allocation'!T23))</f>
        <v>4.5999999999999999E-2</v>
      </c>
      <c r="H23">
        <f t="shared" si="0"/>
        <v>9.9999999999999978E-2</v>
      </c>
      <c r="I23" s="5"/>
    </row>
    <row r="24" spans="1:9" x14ac:dyDescent="0.25">
      <c r="A24" t="str">
        <f>IF(Input!A25="","",Input!A25)</f>
        <v>Schroder Sustainable Portfolio 7</v>
      </c>
      <c r="B24">
        <f>IF(A24="","",SUM('Asset Allocation'!W24,'Asset Allocation'!Y24,'Asset Allocation'!E24,'Asset Allocation'!M24,'Asset Allocation'!N24,'Asset Allocation'!O24,'Asset Allocation'!S24,'Asset Allocation'!U24,'Asset Allocation'!Z24,'Asset Allocation'!AA24,))</f>
        <v>0.75599999999999989</v>
      </c>
      <c r="C24">
        <f>IF(A24="","",SUM('Asset Allocation'!C24,'Asset Allocation'!F24,'Asset Allocation'!I24,'Asset Allocation'!K24,'Asset Allocation'!L24,'Asset Allocation'!P24,'Asset Allocation'!R24))</f>
        <v>0.111</v>
      </c>
      <c r="D24">
        <f>IF(A24="","",SUM('Asset Allocation'!X24))</f>
        <v>0</v>
      </c>
      <c r="E24">
        <f>IF(A24="","",SUM('Asset Allocation'!H24))</f>
        <v>0</v>
      </c>
      <c r="F24">
        <f>IF(A24="","",SUM('Asset Allocation'!B24,'Asset Allocation'!D24,'Asset Allocation'!J24,'Asset Allocation'!Q24))</f>
        <v>0</v>
      </c>
      <c r="G24">
        <f>IF(A24="","",SUM('Asset Allocation'!G24,'Asset Allocation'!T24))</f>
        <v>4.4000000000000004E-2</v>
      </c>
      <c r="H24">
        <f t="shared" si="0"/>
        <v>8.9000000000000079E-2</v>
      </c>
      <c r="I24" s="5"/>
    </row>
    <row r="25" spans="1:9" x14ac:dyDescent="0.25">
      <c r="A25" t="str">
        <f>IF(Input!A26="","",Input!A26)</f>
        <v>Schroder Sustainable Portfolio 8</v>
      </c>
      <c r="B25">
        <f>IF(A25="","",SUM('Asset Allocation'!W25,'Asset Allocation'!Y25,'Asset Allocation'!E25,'Asset Allocation'!M25,'Asset Allocation'!N25,'Asset Allocation'!O25,'Asset Allocation'!S25,'Asset Allocation'!U25,'Asset Allocation'!Z25,'Asset Allocation'!AA25,))</f>
        <v>0.877</v>
      </c>
      <c r="C25">
        <f>IF(A25="","",SUM('Asset Allocation'!C25,'Asset Allocation'!F25,'Asset Allocation'!I25,'Asset Allocation'!K25,'Asset Allocation'!L25,'Asset Allocation'!P25,'Asset Allocation'!R25))</f>
        <v>2.7000000000000003E-2</v>
      </c>
      <c r="D25">
        <f>IF(A25="","",SUM('Asset Allocation'!X25))</f>
        <v>0</v>
      </c>
      <c r="E25">
        <f>IF(A25="","",SUM('Asset Allocation'!H25))</f>
        <v>0</v>
      </c>
      <c r="F25">
        <f>IF(A25="","",SUM('Asset Allocation'!B25,'Asset Allocation'!D25,'Asset Allocation'!J25,'Asset Allocation'!Q25))</f>
        <v>0</v>
      </c>
      <c r="G25">
        <f>IF(A25="","",SUM('Asset Allocation'!G25,'Asset Allocation'!T25))</f>
        <v>4.0999999999999995E-2</v>
      </c>
      <c r="H25">
        <f t="shared" si="0"/>
        <v>5.4999999999999938E-2</v>
      </c>
      <c r="I25" s="5"/>
    </row>
    <row r="26" spans="1:9" x14ac:dyDescent="0.25">
      <c r="A26" t="str">
        <f>IF(Input!A27="","",Input!A27)</f>
        <v>Schroder Blended Portfolio 3</v>
      </c>
      <c r="B26">
        <f>IF(A26="","",SUM('Asset Allocation'!W26,'Asset Allocation'!Y26,'Asset Allocation'!E26,'Asset Allocation'!M26,'Asset Allocation'!N26,'Asset Allocation'!O26,'Asset Allocation'!S26,'Asset Allocation'!U26,'Asset Allocation'!Z26,'Asset Allocation'!AA26,))</f>
        <v>0.193</v>
      </c>
      <c r="C26">
        <f>IF(A26="","",SUM('Asset Allocation'!C26,'Asset Allocation'!F26,'Asset Allocation'!I26,'Asset Allocation'!K26,'Asset Allocation'!L26,'Asset Allocation'!P26,'Asset Allocation'!R26))</f>
        <v>0.48099999999999998</v>
      </c>
      <c r="D26">
        <f>IF(A26="","",SUM('Asset Allocation'!X26))</f>
        <v>2.5000000000000001E-2</v>
      </c>
      <c r="E26">
        <f>IF(A26="","",SUM('Asset Allocation'!H26))</f>
        <v>0</v>
      </c>
      <c r="F26">
        <f>IF(A26="","",SUM('Asset Allocation'!B26,'Asset Allocation'!D26,'Asset Allocation'!J26,'Asset Allocation'!Q26))</f>
        <v>0.124</v>
      </c>
      <c r="G26">
        <f>IF(A26="","",SUM('Asset Allocation'!G26,'Asset Allocation'!T26))</f>
        <v>0.17399999999999999</v>
      </c>
      <c r="H26">
        <f t="shared" si="0"/>
        <v>3.0000000000001137E-3</v>
      </c>
      <c r="I26" s="5"/>
    </row>
    <row r="27" spans="1:9" x14ac:dyDescent="0.25">
      <c r="A27" t="str">
        <f>IF(Input!A28="","",Input!A28)</f>
        <v>Schroder Blended Portfolio 4</v>
      </c>
      <c r="B27">
        <f>IF(A27="","",SUM('Asset Allocation'!W27,'Asset Allocation'!Y27,'Asset Allocation'!E27,'Asset Allocation'!M27,'Asset Allocation'!N27,'Asset Allocation'!O27,'Asset Allocation'!S27,'Asset Allocation'!U27,'Asset Allocation'!Z27,'Asset Allocation'!AA27,))</f>
        <v>0.33800000000000002</v>
      </c>
      <c r="C27">
        <f>IF(A27="","",SUM('Asset Allocation'!C27,'Asset Allocation'!F27,'Asset Allocation'!I27,'Asset Allocation'!K27,'Asset Allocation'!L27,'Asset Allocation'!P27,'Asset Allocation'!R27))</f>
        <v>0.33899999999999997</v>
      </c>
      <c r="D27">
        <f>IF(A27="","",SUM('Asset Allocation'!X27))</f>
        <v>2.8999999999999998E-2</v>
      </c>
      <c r="E27">
        <f>IF(A27="","",SUM('Asset Allocation'!H27))</f>
        <v>0</v>
      </c>
      <c r="F27">
        <f>IF(A27="","",SUM('Asset Allocation'!B27,'Asset Allocation'!D27,'Asset Allocation'!J27,'Asset Allocation'!Q27))</f>
        <v>0.14800000000000002</v>
      </c>
      <c r="G27">
        <f>IF(A27="","",SUM('Asset Allocation'!G27,'Asset Allocation'!T27))</f>
        <v>0.14000000000000001</v>
      </c>
      <c r="H27">
        <f t="shared" si="0"/>
        <v>5.9999999999998943E-3</v>
      </c>
      <c r="I27" s="5"/>
    </row>
    <row r="28" spans="1:9" x14ac:dyDescent="0.25">
      <c r="A28" t="str">
        <f>IF(Input!A29="","",Input!A29)</f>
        <v>Schroder Blended Portfolio 5</v>
      </c>
      <c r="B28">
        <f>IF(A28="","",SUM('Asset Allocation'!W28,'Asset Allocation'!Y28,'Asset Allocation'!E28,'Asset Allocation'!M28,'Asset Allocation'!N28,'Asset Allocation'!O28,'Asset Allocation'!S28,'Asset Allocation'!U28,'Asset Allocation'!Z28,'Asset Allocation'!AA28,))</f>
        <v>0.42299999999999993</v>
      </c>
      <c r="C28">
        <f>IF(A28="","",SUM('Asset Allocation'!C28,'Asset Allocation'!F28,'Asset Allocation'!I28,'Asset Allocation'!K28,'Asset Allocation'!L28,'Asset Allocation'!P28,'Asset Allocation'!R28))</f>
        <v>0.253</v>
      </c>
      <c r="D28">
        <f>IF(A28="","",SUM('Asset Allocation'!X28))</f>
        <v>2.7999999999999997E-2</v>
      </c>
      <c r="E28">
        <f>IF(A28="","",SUM('Asset Allocation'!H28))</f>
        <v>0</v>
      </c>
      <c r="F28">
        <f>IF(A28="","",SUM('Asset Allocation'!B28,'Asset Allocation'!D28,'Asset Allocation'!J28,'Asset Allocation'!Q28))</f>
        <v>0.14400000000000002</v>
      </c>
      <c r="G28">
        <f>IF(A28="","",SUM('Asset Allocation'!G28,'Asset Allocation'!T28))</f>
        <v>0.14400000000000002</v>
      </c>
      <c r="H28">
        <f t="shared" si="0"/>
        <v>8.0000000000000071E-3</v>
      </c>
      <c r="I28" s="5"/>
    </row>
    <row r="29" spans="1:9" x14ac:dyDescent="0.25">
      <c r="A29" t="str">
        <f>IF(Input!A30="","",Input!A30)</f>
        <v>Schroder Blended Portfolio 6</v>
      </c>
      <c r="B29">
        <f>IF(A29="","",SUM('Asset Allocation'!W29,'Asset Allocation'!Y29,'Asset Allocation'!E29,'Asset Allocation'!M29,'Asset Allocation'!N29,'Asset Allocation'!O29,'Asset Allocation'!S29,'Asset Allocation'!U29,'Asset Allocation'!Z29,'Asset Allocation'!AA29,))</f>
        <v>0.54500000000000004</v>
      </c>
      <c r="C29">
        <f>IF(A29="","",SUM('Asset Allocation'!C29,'Asset Allocation'!F29,'Asset Allocation'!I29,'Asset Allocation'!K29,'Asset Allocation'!L29,'Asset Allocation'!P29,'Asset Allocation'!R29))</f>
        <v>0.161</v>
      </c>
      <c r="D29">
        <f>IF(A29="","",SUM('Asset Allocation'!X29))</f>
        <v>2.6000000000000002E-2</v>
      </c>
      <c r="E29">
        <f>IF(A29="","",SUM('Asset Allocation'!H29))</f>
        <v>0</v>
      </c>
      <c r="F29">
        <f>IF(A29="","",SUM('Asset Allocation'!B29,'Asset Allocation'!D29,'Asset Allocation'!J29,'Asset Allocation'!Q29))</f>
        <v>0.13600000000000001</v>
      </c>
      <c r="G29">
        <f>IF(A29="","",SUM('Asset Allocation'!G29,'Asset Allocation'!T29))</f>
        <v>0.11699999999999999</v>
      </c>
      <c r="H29">
        <f t="shared" si="0"/>
        <v>1.4999999999999902E-2</v>
      </c>
      <c r="I29" s="5"/>
    </row>
    <row r="30" spans="1:9" x14ac:dyDescent="0.25">
      <c r="A30" t="str">
        <f>IF(Input!A31="","",Input!A31)</f>
        <v>Schroder Blended Portfolio 7</v>
      </c>
      <c r="B30">
        <f>IF(A30="","",SUM('Asset Allocation'!W30,'Asset Allocation'!Y30,'Asset Allocation'!E30,'Asset Allocation'!M30,'Asset Allocation'!N30,'Asset Allocation'!O30,'Asset Allocation'!S30,'Asset Allocation'!U30,'Asset Allocation'!Z30,'Asset Allocation'!AA30,))</f>
        <v>0.67100000000000004</v>
      </c>
      <c r="C30">
        <f>IF(A30="","",SUM('Asset Allocation'!C30,'Asset Allocation'!F30,'Asset Allocation'!I30,'Asset Allocation'!K30,'Asset Allocation'!L30,'Asset Allocation'!P30,'Asset Allocation'!R30))</f>
        <v>6.9000000000000006E-2</v>
      </c>
      <c r="D30">
        <f>IF(A30="","",SUM('Asset Allocation'!X30))</f>
        <v>2.4E-2</v>
      </c>
      <c r="E30">
        <f>IF(A30="","",SUM('Asset Allocation'!H30))</f>
        <v>0</v>
      </c>
      <c r="F30">
        <f>IF(A30="","",SUM('Asset Allocation'!B30,'Asset Allocation'!D30,'Asset Allocation'!J30,'Asset Allocation'!Q30))</f>
        <v>0.123</v>
      </c>
      <c r="G30">
        <f>IF(A30="","",SUM('Asset Allocation'!G30,'Asset Allocation'!T30))</f>
        <v>0.10300000000000001</v>
      </c>
      <c r="H30">
        <f t="shared" si="0"/>
        <v>1.0000000000000009E-2</v>
      </c>
      <c r="I30" s="5"/>
    </row>
    <row r="31" spans="1:9" x14ac:dyDescent="0.25">
      <c r="A31" t="str">
        <f>IF(Input!A32="","",Input!A32)</f>
        <v>Schroder Blended Portfolio 8</v>
      </c>
      <c r="B31">
        <f>IF(A31="","",SUM('Asset Allocation'!W31,'Asset Allocation'!Y31,'Asset Allocation'!E31,'Asset Allocation'!M31,'Asset Allocation'!N31,'Asset Allocation'!O31,'Asset Allocation'!S31,'Asset Allocation'!U31,'Asset Allocation'!Z31,'Asset Allocation'!AA31,))</f>
        <v>0.79400000000000004</v>
      </c>
      <c r="C31">
        <f>IF(A31="","",SUM('Asset Allocation'!C31,'Asset Allocation'!F31,'Asset Allocation'!I31,'Asset Allocation'!K31,'Asset Allocation'!L31,'Asset Allocation'!P31,'Asset Allocation'!R31))</f>
        <v>1.4999999999999999E-2</v>
      </c>
      <c r="D31">
        <f>IF(A31="","",SUM('Asset Allocation'!X31))</f>
        <v>2.3E-2</v>
      </c>
      <c r="E31">
        <f>IF(A31="","",SUM('Asset Allocation'!H31))</f>
        <v>0</v>
      </c>
      <c r="F31">
        <f>IF(A31="","",SUM('Asset Allocation'!B31,'Asset Allocation'!D31,'Asset Allocation'!J31,'Asset Allocation'!Q31))</f>
        <v>7.5999999999999998E-2</v>
      </c>
      <c r="G31">
        <f>IF(A31="","",SUM('Asset Allocation'!G31,'Asset Allocation'!T31))</f>
        <v>9.1999999999999998E-2</v>
      </c>
      <c r="H31">
        <f t="shared" si="0"/>
        <v>0</v>
      </c>
      <c r="I31" s="5"/>
    </row>
    <row r="32" spans="1:9" x14ac:dyDescent="0.25">
      <c r="A32" t="str">
        <f>IF(Input!A33="","",Input!A33)</f>
        <v>Schroder Income Portfolio</v>
      </c>
      <c r="B32">
        <f>IF(A32="","",SUM('Asset Allocation'!W32,'Asset Allocation'!Y32,'Asset Allocation'!E32,'Asset Allocation'!M32,'Asset Allocation'!N32,'Asset Allocation'!O32,'Asset Allocation'!S32,'Asset Allocation'!U32,'Asset Allocation'!Z32,'Asset Allocation'!AA32,))</f>
        <v>0.39300000000000002</v>
      </c>
      <c r="C32">
        <f>IF(A32="","",SUM('Asset Allocation'!C32,'Asset Allocation'!F32,'Asset Allocation'!I32,'Asset Allocation'!K32,'Asset Allocation'!L32,'Asset Allocation'!P32,'Asset Allocation'!R32))</f>
        <v>0.315</v>
      </c>
      <c r="D32">
        <f>IF(A32="","",SUM('Asset Allocation'!X32))</f>
        <v>2.8999999999999998E-2</v>
      </c>
      <c r="E32">
        <f>IF(A32="","",SUM('Asset Allocation'!H32))</f>
        <v>0</v>
      </c>
      <c r="F32">
        <f>IF(A32="","",SUM('Asset Allocation'!B32,'Asset Allocation'!D32,'Asset Allocation'!J32,'Asset Allocation'!Q32))</f>
        <v>9.5000000000000001E-2</v>
      </c>
      <c r="G32">
        <f>IF(A32="","",SUM('Asset Allocation'!G32,'Asset Allocation'!T32))</f>
        <v>0.11699999999999999</v>
      </c>
      <c r="H32">
        <f t="shared" si="0"/>
        <v>5.1000000000000045E-2</v>
      </c>
      <c r="I32" s="5"/>
    </row>
    <row r="33" spans="1:9" x14ac:dyDescent="0.25">
      <c r="A33" t="str">
        <f>IF(Input!A34="","",Input!A34)</f>
        <v>Schroder Managed Defensive Fund</v>
      </c>
      <c r="B33">
        <f>IF(A33="","",SUM('Asset Allocation'!W33,'Asset Allocation'!Y33,'Asset Allocation'!E33,'Asset Allocation'!M33,'Asset Allocation'!N33,'Asset Allocation'!O33,'Asset Allocation'!S33,'Asset Allocation'!U33,'Asset Allocation'!Z33,'Asset Allocation'!AA33,))</f>
        <v>0.123</v>
      </c>
      <c r="C33">
        <f>IF(A33="","",SUM('Asset Allocation'!C33,'Asset Allocation'!F33,'Asset Allocation'!I33,'Asset Allocation'!K33,'Asset Allocation'!L33,'Asset Allocation'!P33,'Asset Allocation'!R33))</f>
        <v>0.247</v>
      </c>
      <c r="D33">
        <f>IF(A33="","",SUM('Asset Allocation'!X33))</f>
        <v>0</v>
      </c>
      <c r="E33">
        <f>IF(A33="","",SUM('Asset Allocation'!H33))</f>
        <v>1.3000000000000001E-2</v>
      </c>
      <c r="F33">
        <f>IF(A33="","",SUM('Asset Allocation'!B33,'Asset Allocation'!D33,'Asset Allocation'!J33,'Asset Allocation'!Q33))</f>
        <v>0</v>
      </c>
      <c r="G33">
        <f>IF(A33="","",SUM('Asset Allocation'!G33,'Asset Allocation'!T33))</f>
        <v>0.61699999999999999</v>
      </c>
      <c r="H33">
        <f t="shared" si="0"/>
        <v>0</v>
      </c>
      <c r="I33" s="5"/>
    </row>
    <row r="34" spans="1:9" x14ac:dyDescent="0.25">
      <c r="A34" t="str">
        <f>IF(Input!A35="","",Input!A35)</f>
        <v>Schroder Global Multi-Asset Cautious Portfolio</v>
      </c>
      <c r="B34">
        <f>IF(A34="","",SUM('Asset Allocation'!W34,'Asset Allocation'!Y34,'Asset Allocation'!E34,'Asset Allocation'!M34,'Asset Allocation'!N34,'Asset Allocation'!O34,'Asset Allocation'!S34,'Asset Allocation'!U34,'Asset Allocation'!Z34,'Asset Allocation'!AA34,))</f>
        <v>0.26200000000000001</v>
      </c>
      <c r="C34">
        <f>IF(A34="","",SUM('Asset Allocation'!C34,'Asset Allocation'!F34,'Asset Allocation'!I34,'Asset Allocation'!K34,'Asset Allocation'!L34,'Asset Allocation'!P34,'Asset Allocation'!R34))</f>
        <v>0.72199999999999998</v>
      </c>
      <c r="D34">
        <f>IF(A34="","",SUM('Asset Allocation'!X34))</f>
        <v>0</v>
      </c>
      <c r="E34">
        <f>IF(A34="","",SUM('Asset Allocation'!H34))</f>
        <v>0.01</v>
      </c>
      <c r="F34">
        <f>IF(A34="","",SUM('Asset Allocation'!B34,'Asset Allocation'!D34,'Asset Allocation'!J34,'Asset Allocation'!Q34))</f>
        <v>0</v>
      </c>
      <c r="G34">
        <f>IF(A34="","",SUM('Asset Allocation'!G34,'Asset Allocation'!T34))</f>
        <v>6.9999999999999993E-3</v>
      </c>
      <c r="H34">
        <f t="shared" si="0"/>
        <v>-9.9999999999988987E-4</v>
      </c>
      <c r="I34" s="5"/>
    </row>
    <row r="35" spans="1:9" x14ac:dyDescent="0.25">
      <c r="A35" t="str">
        <f>IF(Input!A36="","",Input!A36)</f>
        <v>Schroder Global Multi-Asset Moderately Cautious Portfolio</v>
      </c>
      <c r="B35">
        <f>IF(A35="","",SUM('Asset Allocation'!W35,'Asset Allocation'!Y35,'Asset Allocation'!E35,'Asset Allocation'!M35,'Asset Allocation'!N35,'Asset Allocation'!O35,'Asset Allocation'!S35,'Asset Allocation'!U35,'Asset Allocation'!Z35,'Asset Allocation'!AA35,))</f>
        <v>0.4280000000000001</v>
      </c>
      <c r="C35">
        <f>IF(A35="","",SUM('Asset Allocation'!C35,'Asset Allocation'!F35,'Asset Allocation'!I35,'Asset Allocation'!K35,'Asset Allocation'!L35,'Asset Allocation'!P35,'Asset Allocation'!R35))</f>
        <v>0.55800000000000005</v>
      </c>
      <c r="D35">
        <f>IF(A35="","",SUM('Asset Allocation'!X35))</f>
        <v>0</v>
      </c>
      <c r="E35">
        <f>IF(A35="","",SUM('Asset Allocation'!H35))</f>
        <v>0.01</v>
      </c>
      <c r="F35">
        <f>IF(A35="","",SUM('Asset Allocation'!B35,'Asset Allocation'!D35,'Asset Allocation'!J35,'Asset Allocation'!Q35))</f>
        <v>0</v>
      </c>
      <c r="G35">
        <f>IF(A35="","",SUM('Asset Allocation'!G35,'Asset Allocation'!T35))</f>
        <v>3.0000000000000001E-3</v>
      </c>
      <c r="H35">
        <f t="shared" si="0"/>
        <v>9.9999999999977884E-4</v>
      </c>
      <c r="I35" s="5"/>
    </row>
    <row r="36" spans="1:9" x14ac:dyDescent="0.25">
      <c r="A36" t="str">
        <f>IF(Input!A37="","",Input!A37)</f>
        <v>Schroder Global Multi-Asset Balanced Portfolio</v>
      </c>
      <c r="B36">
        <f>IF(A36="","",SUM('Asset Allocation'!W36,'Asset Allocation'!Y36,'Asset Allocation'!E36,'Asset Allocation'!M36,'Asset Allocation'!N36,'Asset Allocation'!O36,'Asset Allocation'!S36,'Asset Allocation'!U36,'Asset Allocation'!Z36,'Asset Allocation'!AA36,))</f>
        <v>0.52500000000000002</v>
      </c>
      <c r="C36">
        <f>IF(A36="","",SUM('Asset Allocation'!C36,'Asset Allocation'!F36,'Asset Allocation'!I36,'Asset Allocation'!K36,'Asset Allocation'!L36,'Asset Allocation'!P36,'Asset Allocation'!R36))</f>
        <v>0.46299999999999997</v>
      </c>
      <c r="D36">
        <f>IF(A36="","",SUM('Asset Allocation'!X36))</f>
        <v>0</v>
      </c>
      <c r="E36">
        <f>IF(A36="","",SUM('Asset Allocation'!H36))</f>
        <v>9.0000000000000011E-3</v>
      </c>
      <c r="F36">
        <f>IF(A36="","",SUM('Asset Allocation'!B36,'Asset Allocation'!D36,'Asset Allocation'!J36,'Asset Allocation'!Q36))</f>
        <v>0</v>
      </c>
      <c r="G36">
        <f>IF(A36="","",SUM('Asset Allocation'!G36,'Asset Allocation'!T36))</f>
        <v>5.0000000000000001E-3</v>
      </c>
      <c r="H36">
        <f t="shared" si="0"/>
        <v>-2.0000000000000018E-3</v>
      </c>
      <c r="I36" s="5"/>
    </row>
    <row r="37" spans="1:9" x14ac:dyDescent="0.25">
      <c r="A37" t="str">
        <f>IF(Input!A38="","",Input!A38)</f>
        <v>Schroder Global Multi-Asset Growth Portfolio</v>
      </c>
      <c r="B37">
        <f>IF(A37="","",SUM('Asset Allocation'!W37,'Asset Allocation'!Y37,'Asset Allocation'!E37,'Asset Allocation'!M37,'Asset Allocation'!N37,'Asset Allocation'!O37,'Asset Allocation'!S37,'Asset Allocation'!U37,'Asset Allocation'!Z37,'Asset Allocation'!AA37,))</f>
        <v>0.66700000000000004</v>
      </c>
      <c r="C37">
        <f>IF(A37="","",SUM('Asset Allocation'!C37,'Asset Allocation'!F37,'Asset Allocation'!I37,'Asset Allocation'!K37,'Asset Allocation'!L37,'Asset Allocation'!P37,'Asset Allocation'!R37))</f>
        <v>0.318</v>
      </c>
      <c r="D37">
        <f>IF(A37="","",SUM('Asset Allocation'!X37))</f>
        <v>0</v>
      </c>
      <c r="E37">
        <f>IF(A37="","",SUM('Asset Allocation'!H37))</f>
        <v>0.01</v>
      </c>
      <c r="F37">
        <f>IF(A37="","",SUM('Asset Allocation'!B37,'Asset Allocation'!D37,'Asset Allocation'!J37,'Asset Allocation'!Q37))</f>
        <v>0</v>
      </c>
      <c r="G37">
        <f>IF(A37="","",SUM('Asset Allocation'!G37,'Asset Allocation'!T37))</f>
        <v>5.0000000000000001E-3</v>
      </c>
      <c r="H37">
        <f t="shared" si="0"/>
        <v>0</v>
      </c>
      <c r="I37" s="5"/>
    </row>
    <row r="38" spans="1:9" x14ac:dyDescent="0.25">
      <c r="A38" t="str">
        <f>IF(Input!A39="","",Input!A39)</f>
        <v>Schroder Global Multi-Asset Adventurous Portfolio</v>
      </c>
      <c r="B38">
        <f>IF(A38="","",SUM('Asset Allocation'!W38,'Asset Allocation'!Y38,'Asset Allocation'!E38,'Asset Allocation'!M38,'Asset Allocation'!N38,'Asset Allocation'!O38,'Asset Allocation'!S38,'Asset Allocation'!U38,'Asset Allocation'!Z38,'Asset Allocation'!AA38,))</f>
        <v>0.77900000000000014</v>
      </c>
      <c r="C38">
        <f>IF(A38="","",SUM('Asset Allocation'!C38,'Asset Allocation'!F38,'Asset Allocation'!I38,'Asset Allocation'!K38,'Asset Allocation'!L38,'Asset Allocation'!P38,'Asset Allocation'!R38))</f>
        <v>0.20300000000000001</v>
      </c>
      <c r="D38">
        <f>IF(A38="","",SUM('Asset Allocation'!X38))</f>
        <v>0</v>
      </c>
      <c r="E38">
        <f>IF(A38="","",SUM('Asset Allocation'!H38))</f>
        <v>0.01</v>
      </c>
      <c r="F38">
        <f>IF(A38="","",SUM('Asset Allocation'!B38,'Asset Allocation'!D38,'Asset Allocation'!J38,'Asset Allocation'!Q38))</f>
        <v>0</v>
      </c>
      <c r="G38">
        <f>IF(A38="","",SUM('Asset Allocation'!G38,'Asset Allocation'!T38))</f>
        <v>9.0000000000000011E-3</v>
      </c>
      <c r="H38">
        <f t="shared" si="0"/>
        <v>-1.0000000000001119E-3</v>
      </c>
      <c r="I38" s="5"/>
    </row>
    <row r="39" spans="1:9" x14ac:dyDescent="0.25">
      <c r="A39" t="str">
        <f>IF(Input!A40="","",Input!A40)</f>
        <v/>
      </c>
      <c r="B39" t="str">
        <f>IF(A39="","",SUM('Asset Allocation'!W39,'Asset Allocation'!Y39,'Asset Allocation'!E39,'Asset Allocation'!M39,'Asset Allocation'!N39,'Asset Allocation'!O39,'Asset Allocation'!S39,'Asset Allocation'!U39,'Asset Allocation'!Z39,'Asset Allocation'!AA39,))</f>
        <v/>
      </c>
      <c r="C39" t="str">
        <f>IF(A39="","",SUM('Asset Allocation'!C39,'Asset Allocation'!F39,'Asset Allocation'!I39,'Asset Allocation'!K39,'Asset Allocation'!L39,'Asset Allocation'!P39,'Asset Allocation'!R39))</f>
        <v/>
      </c>
      <c r="D39" t="str">
        <f>IF(A39="","",SUM('Asset Allocation'!X39))</f>
        <v/>
      </c>
      <c r="E39" t="str">
        <f>IF(A39="","",SUM('Asset Allocation'!H39))</f>
        <v/>
      </c>
      <c r="F39" t="str">
        <f>IF(A39="","",SUM('Asset Allocation'!B39,'Asset Allocation'!D39,'Asset Allocation'!J39,'Asset Allocation'!Q39))</f>
        <v/>
      </c>
      <c r="G39" t="str">
        <f>IF(A39="","",SUM('Asset Allocation'!G39,'Asset Allocation'!T39))</f>
        <v/>
      </c>
      <c r="H39" t="str">
        <f t="shared" si="0"/>
        <v/>
      </c>
    </row>
    <row r="40" spans="1:9" x14ac:dyDescent="0.25">
      <c r="A40" t="str">
        <f>IF(Input!A41="","",Input!A41)</f>
        <v/>
      </c>
      <c r="B40" t="str">
        <f>IF(A40="","",SUM('Asset Allocation'!W40,'Asset Allocation'!Y40,'Asset Allocation'!E40,'Asset Allocation'!M40,'Asset Allocation'!N40,'Asset Allocation'!O40,'Asset Allocation'!S40,'Asset Allocation'!U40,'Asset Allocation'!Z40,'Asset Allocation'!AA40,))</f>
        <v/>
      </c>
      <c r="C40" t="str">
        <f>IF(A40="","",SUM('Asset Allocation'!C40,'Asset Allocation'!F40,'Asset Allocation'!I40,'Asset Allocation'!K40,'Asset Allocation'!L40,'Asset Allocation'!P40,'Asset Allocation'!R40))</f>
        <v/>
      </c>
      <c r="D40" t="str">
        <f>IF(A40="","",SUM('Asset Allocation'!X40))</f>
        <v/>
      </c>
      <c r="E40" t="str">
        <f>IF(A40="","",SUM('Asset Allocation'!H40))</f>
        <v/>
      </c>
      <c r="F40" t="str">
        <f>IF(A40="","",SUM('Asset Allocation'!B40,'Asset Allocation'!D40,'Asset Allocation'!J40,'Asset Allocation'!Q40))</f>
        <v/>
      </c>
      <c r="G40" t="str">
        <f>IF(A40="","",SUM('Asset Allocation'!G40,'Asset Allocation'!T40))</f>
        <v/>
      </c>
      <c r="H40" t="str">
        <f t="shared" si="0"/>
        <v/>
      </c>
    </row>
    <row r="41" spans="1:9" x14ac:dyDescent="0.25">
      <c r="A41" t="str">
        <f>IF(Input!A42="","",Input!A42)</f>
        <v/>
      </c>
      <c r="B41" t="str">
        <f>IF(A41="","",SUM('Asset Allocation'!W41,'Asset Allocation'!Y41,'Asset Allocation'!E41,'Asset Allocation'!M41,'Asset Allocation'!N41,'Asset Allocation'!O41,'Asset Allocation'!S41,'Asset Allocation'!U41,'Asset Allocation'!Z41,'Asset Allocation'!AA41,))</f>
        <v/>
      </c>
      <c r="C41" t="str">
        <f>IF(A41="","",SUM('Asset Allocation'!C41,'Asset Allocation'!F41,'Asset Allocation'!I41,'Asset Allocation'!K41,'Asset Allocation'!L41,'Asset Allocation'!P41,'Asset Allocation'!R41))</f>
        <v/>
      </c>
      <c r="D41" t="str">
        <f>IF(A41="","",SUM('Asset Allocation'!X41))</f>
        <v/>
      </c>
      <c r="E41" t="str">
        <f>IF(A41="","",SUM('Asset Allocation'!H41))</f>
        <v/>
      </c>
      <c r="F41" t="str">
        <f>IF(A41="","",SUM('Asset Allocation'!B41,'Asset Allocation'!D41,'Asset Allocation'!J41,'Asset Allocation'!Q41))</f>
        <v/>
      </c>
      <c r="G41" t="str">
        <f>IF(A41="","",SUM('Asset Allocation'!G41,'Asset Allocation'!T41))</f>
        <v/>
      </c>
      <c r="H41" t="str">
        <f t="shared" si="0"/>
        <v/>
      </c>
    </row>
    <row r="42" spans="1:9" x14ac:dyDescent="0.25">
      <c r="A42" t="str">
        <f>IF(Input!A43="","",Input!A43)</f>
        <v/>
      </c>
      <c r="B42" t="str">
        <f>IF(A42="","",SUM('Asset Allocation'!W42,'Asset Allocation'!Y42,'Asset Allocation'!E42,'Asset Allocation'!M42,'Asset Allocation'!N42,'Asset Allocation'!O42,'Asset Allocation'!S42,'Asset Allocation'!U42,'Asset Allocation'!Z42,'Asset Allocation'!AA42,))</f>
        <v/>
      </c>
      <c r="C42" t="str">
        <f>IF(A42="","",SUM('Asset Allocation'!C42,'Asset Allocation'!F42,'Asset Allocation'!I42,'Asset Allocation'!K42,'Asset Allocation'!L42,'Asset Allocation'!P42,'Asset Allocation'!R42))</f>
        <v/>
      </c>
      <c r="D42" t="str">
        <f>IF(A42="","",SUM('Asset Allocation'!X42))</f>
        <v/>
      </c>
      <c r="E42" t="str">
        <f>IF(A42="","",SUM('Asset Allocation'!H42))</f>
        <v/>
      </c>
      <c r="F42" t="str">
        <f>IF(A42="","",SUM('Asset Allocation'!B42,'Asset Allocation'!D42,'Asset Allocation'!J42,'Asset Allocation'!Q42))</f>
        <v/>
      </c>
      <c r="G42" t="str">
        <f>IF(A42="","",SUM('Asset Allocation'!G42,'Asset Allocation'!T42))</f>
        <v/>
      </c>
      <c r="H42" t="str">
        <f t="shared" si="0"/>
        <v/>
      </c>
    </row>
    <row r="43" spans="1:9" x14ac:dyDescent="0.25">
      <c r="A43" t="str">
        <f>IF(Input!A44="","",Input!A44)</f>
        <v/>
      </c>
      <c r="B43" t="str">
        <f>IF(A43="","",SUM('Asset Allocation'!W43,'Asset Allocation'!Y43,'Asset Allocation'!E43,'Asset Allocation'!M43,'Asset Allocation'!N43,'Asset Allocation'!O43,'Asset Allocation'!S43,'Asset Allocation'!U43,'Asset Allocation'!Z43,'Asset Allocation'!AA43,))</f>
        <v/>
      </c>
      <c r="C43" t="str">
        <f>IF(A43="","",SUM('Asset Allocation'!C43,'Asset Allocation'!F43,'Asset Allocation'!I43,'Asset Allocation'!K43,'Asset Allocation'!L43,'Asset Allocation'!P43,'Asset Allocation'!R43))</f>
        <v/>
      </c>
      <c r="D43" t="str">
        <f>IF(A43="","",SUM('Asset Allocation'!X43))</f>
        <v/>
      </c>
      <c r="E43" t="str">
        <f>IF(A43="","",SUM('Asset Allocation'!H43))</f>
        <v/>
      </c>
      <c r="F43" t="str">
        <f>IF(A43="","",SUM('Asset Allocation'!B43,'Asset Allocation'!D43,'Asset Allocation'!J43,'Asset Allocation'!Q43))</f>
        <v/>
      </c>
      <c r="G43" t="str">
        <f>IF(A43="","",SUM('Asset Allocation'!G43,'Asset Allocation'!T43))</f>
        <v/>
      </c>
      <c r="H43" t="str">
        <f t="shared" si="0"/>
        <v/>
      </c>
    </row>
    <row r="44" spans="1:9" x14ac:dyDescent="0.25">
      <c r="A44" t="str">
        <f>IF(Input!A45="","",Input!A45)</f>
        <v/>
      </c>
      <c r="B44" t="str">
        <f>IF(A44="","",SUM('Asset Allocation'!W44,'Asset Allocation'!Y44,'Asset Allocation'!E44,'Asset Allocation'!M44,'Asset Allocation'!N44,'Asset Allocation'!O44,'Asset Allocation'!S44,'Asset Allocation'!U44,'Asset Allocation'!Z44,'Asset Allocation'!AA44,))</f>
        <v/>
      </c>
      <c r="C44" t="str">
        <f>IF(A44="","",SUM('Asset Allocation'!C44,'Asset Allocation'!F44,'Asset Allocation'!I44,'Asset Allocation'!K44,'Asset Allocation'!L44,'Asset Allocation'!P44,'Asset Allocation'!R44))</f>
        <v/>
      </c>
      <c r="D44" t="str">
        <f>IF(A44="","",SUM('Asset Allocation'!X44))</f>
        <v/>
      </c>
      <c r="E44" t="str">
        <f>IF(A44="","",SUM('Asset Allocation'!H44))</f>
        <v/>
      </c>
      <c r="F44" t="str">
        <f>IF(A44="","",SUM('Asset Allocation'!B44,'Asset Allocation'!D44,'Asset Allocation'!J44,'Asset Allocation'!Q44))</f>
        <v/>
      </c>
      <c r="G44" t="str">
        <f>IF(A44="","",SUM('Asset Allocation'!G44,'Asset Allocation'!T44))</f>
        <v/>
      </c>
      <c r="H44" t="str">
        <f t="shared" si="0"/>
        <v/>
      </c>
    </row>
    <row r="45" spans="1:9" x14ac:dyDescent="0.25">
      <c r="A45" t="str">
        <f>IF(Input!A46="","",Input!A46)</f>
        <v/>
      </c>
      <c r="B45" t="str">
        <f>IF(A45="","",SUM('Asset Allocation'!W45,'Asset Allocation'!Y45,'Asset Allocation'!E45,'Asset Allocation'!M45,'Asset Allocation'!N45,'Asset Allocation'!O45,'Asset Allocation'!S45,'Asset Allocation'!U45,'Asset Allocation'!Z45,'Asset Allocation'!AA45,))</f>
        <v/>
      </c>
      <c r="C45" t="str">
        <f>IF(A45="","",SUM('Asset Allocation'!C45,'Asset Allocation'!F45,'Asset Allocation'!I45,'Asset Allocation'!K45,'Asset Allocation'!L45,'Asset Allocation'!P45,'Asset Allocation'!R45))</f>
        <v/>
      </c>
      <c r="D45" t="str">
        <f>IF(A45="","",SUM('Asset Allocation'!X45))</f>
        <v/>
      </c>
      <c r="E45" t="str">
        <f>IF(A45="","",SUM('Asset Allocation'!H45))</f>
        <v/>
      </c>
      <c r="F45" t="str">
        <f>IF(A45="","",SUM('Asset Allocation'!B45,'Asset Allocation'!D45,'Asset Allocation'!J45,'Asset Allocation'!Q45))</f>
        <v/>
      </c>
      <c r="G45" t="str">
        <f>IF(A45="","",SUM('Asset Allocation'!G45,'Asset Allocation'!T45))</f>
        <v/>
      </c>
      <c r="H45" t="str">
        <f t="shared" si="0"/>
        <v/>
      </c>
    </row>
    <row r="46" spans="1:9" x14ac:dyDescent="0.25">
      <c r="A46" t="str">
        <f>IF(Input!A47="","",Input!A47)</f>
        <v/>
      </c>
      <c r="B46" t="str">
        <f>IF(A46="","",SUM('Asset Allocation'!W46,'Asset Allocation'!Y46,'Asset Allocation'!E46,'Asset Allocation'!M46,'Asset Allocation'!N46,'Asset Allocation'!O46,'Asset Allocation'!S46,'Asset Allocation'!U46,'Asset Allocation'!Z46,'Asset Allocation'!AA46,))</f>
        <v/>
      </c>
      <c r="C46" t="str">
        <f>IF(A46="","",SUM('Asset Allocation'!C46,'Asset Allocation'!F46,'Asset Allocation'!I46,'Asset Allocation'!K46,'Asset Allocation'!L46,'Asset Allocation'!P46,'Asset Allocation'!R46))</f>
        <v/>
      </c>
      <c r="D46" t="str">
        <f>IF(A46="","",SUM('Asset Allocation'!X46))</f>
        <v/>
      </c>
      <c r="E46" t="str">
        <f>IF(A46="","",SUM('Asset Allocation'!H46))</f>
        <v/>
      </c>
      <c r="F46" t="str">
        <f>IF(A46="","",SUM('Asset Allocation'!B46,'Asset Allocation'!D46,'Asset Allocation'!J46,'Asset Allocation'!Q46))</f>
        <v/>
      </c>
      <c r="G46" t="str">
        <f>IF(A46="","",SUM('Asset Allocation'!G46,'Asset Allocation'!T46))</f>
        <v/>
      </c>
      <c r="H46" t="str">
        <f t="shared" si="0"/>
        <v/>
      </c>
    </row>
    <row r="47" spans="1:9" x14ac:dyDescent="0.25">
      <c r="A47" t="str">
        <f>IF(Input!A48="","",Input!A48)</f>
        <v/>
      </c>
      <c r="B47" t="str">
        <f>IF(A47="","",SUM('Asset Allocation'!W47,'Asset Allocation'!Y47,'Asset Allocation'!E47,'Asset Allocation'!M47,'Asset Allocation'!N47,'Asset Allocation'!O47,'Asset Allocation'!S47,'Asset Allocation'!U47,'Asset Allocation'!Z47,'Asset Allocation'!AA47,))</f>
        <v/>
      </c>
      <c r="C47" t="str">
        <f>IF(A47="","",SUM('Asset Allocation'!C47,'Asset Allocation'!F47,'Asset Allocation'!I47,'Asset Allocation'!K47,'Asset Allocation'!L47,'Asset Allocation'!P47,'Asset Allocation'!R47))</f>
        <v/>
      </c>
      <c r="D47" t="str">
        <f>IF(A47="","",SUM('Asset Allocation'!X47))</f>
        <v/>
      </c>
      <c r="E47" t="str">
        <f>IF(A47="","",SUM('Asset Allocation'!H47))</f>
        <v/>
      </c>
      <c r="F47" t="str">
        <f>IF(A47="","",SUM('Asset Allocation'!B47,'Asset Allocation'!D47,'Asset Allocation'!J47,'Asset Allocation'!Q47))</f>
        <v/>
      </c>
      <c r="G47" t="str">
        <f>IF(A47="","",SUM('Asset Allocation'!G47,'Asset Allocation'!T47))</f>
        <v/>
      </c>
      <c r="H47" t="str">
        <f t="shared" si="0"/>
        <v/>
      </c>
    </row>
    <row r="48" spans="1:9" x14ac:dyDescent="0.25">
      <c r="A48" t="str">
        <f>IF(Input!A49="","",Input!A49)</f>
        <v/>
      </c>
      <c r="B48" t="str">
        <f>IF(A48="","",SUM('Asset Allocation'!W48,'Asset Allocation'!Y48,'Asset Allocation'!E48,'Asset Allocation'!M48,'Asset Allocation'!N48,'Asset Allocation'!O48,'Asset Allocation'!S48,'Asset Allocation'!U48,'Asset Allocation'!Z48,'Asset Allocation'!AA48,))</f>
        <v/>
      </c>
      <c r="C48" t="str">
        <f>IF(A48="","",SUM('Asset Allocation'!C48,'Asset Allocation'!F48,'Asset Allocation'!I48,'Asset Allocation'!K48,'Asset Allocation'!L48,'Asset Allocation'!P48,'Asset Allocation'!R48))</f>
        <v/>
      </c>
      <c r="D48" t="str">
        <f>IF(A48="","",SUM('Asset Allocation'!X48))</f>
        <v/>
      </c>
      <c r="E48" t="str">
        <f>IF(A48="","",SUM('Asset Allocation'!H48))</f>
        <v/>
      </c>
      <c r="F48" t="str">
        <f>IF(A48="","",SUM('Asset Allocation'!B48,'Asset Allocation'!D48,'Asset Allocation'!J48,'Asset Allocation'!Q48))</f>
        <v/>
      </c>
      <c r="G48" t="str">
        <f>IF(A48="","",SUM('Asset Allocation'!G48,'Asset Allocation'!T48))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Allocation'!W49,'Asset Allocation'!Y49,'Asset Allocation'!E49,'Asset Allocation'!M49,'Asset Allocation'!N49,'Asset Allocation'!O49,'Asset Allocation'!S49,'Asset Allocation'!U49,'Asset Allocation'!Z49,'Asset Allocation'!AA49,))</f>
        <v/>
      </c>
      <c r="C49" t="str">
        <f>IF(A49="","",SUM('Asset Allocation'!C49,'Asset Allocation'!F49,'Asset Allocation'!I49,'Asset Allocation'!K49,'Asset Allocation'!L49,'Asset Allocation'!P49,'Asset Allocation'!R49))</f>
        <v/>
      </c>
      <c r="D49" t="str">
        <f>IF(A49="","",SUM('Asset Allocation'!X49))</f>
        <v/>
      </c>
      <c r="E49" t="str">
        <f>IF(A49="","",SUM('Asset Allocation'!H49))</f>
        <v/>
      </c>
      <c r="F49" t="str">
        <f>IF(A49="","",SUM('Asset Allocation'!B49,'Asset Allocation'!D49,'Asset Allocation'!J49,'Asset Allocation'!Q49))</f>
        <v/>
      </c>
      <c r="G49" t="str">
        <f>IF(A49="","",SUM('Asset Allocation'!G49,'Asset Allocation'!T49))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Allocation'!W50,'Asset Allocation'!Y50,'Asset Allocation'!E50,'Asset Allocation'!M50,'Asset Allocation'!N50,'Asset Allocation'!O50,'Asset Allocation'!S50,'Asset Allocation'!U50,'Asset Allocation'!Z50,'Asset Allocation'!AA50,))</f>
        <v/>
      </c>
      <c r="C50" t="str">
        <f>IF(A50="","",SUM('Asset Allocation'!C50,'Asset Allocation'!F50,'Asset Allocation'!I50,'Asset Allocation'!K50,'Asset Allocation'!L50,'Asset Allocation'!P50,'Asset Allocation'!R50))</f>
        <v/>
      </c>
      <c r="D50" t="str">
        <f>IF(A50="","",SUM('Asset Allocation'!X50))</f>
        <v/>
      </c>
      <c r="E50" t="str">
        <f>IF(A50="","",SUM('Asset Allocation'!H50))</f>
        <v/>
      </c>
      <c r="F50" t="str">
        <f>IF(A50="","",SUM('Asset Allocation'!B50,'Asset Allocation'!D50,'Asset Allocation'!J50,'Asset Allocation'!Q50))</f>
        <v/>
      </c>
      <c r="G50" t="str">
        <f>IF(A50="","",SUM('Asset Allocation'!G50,'Asset Allocation'!T50))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32.42578125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Schroder Active Portfolio 2</v>
      </c>
      <c r="B2" s="6">
        <f>IFERROR(IF(A2="","",SUM('Asset Allocation'!AW2,'Asset Allocation'!AG2,'Asset Allocation'!AC2)/SUM('Asset Allocation'!AI2:AW2,'Asset Allocation'!AB2:AG2)),0)</f>
        <v>0.38311688311688308</v>
      </c>
      <c r="C2" s="6">
        <f>IFERROR(IF(A2="","",SUM('Asset Allocation'!AV2)/SUM('Asset Allocation'!AI2:AW2,'Asset Allocation'!AB2:AG2)),0)</f>
        <v>0.2467532467532467</v>
      </c>
      <c r="D2" s="6">
        <f>IFERROR(IF(A2="","",SUM('Asset Allocation'!AJ2,'Asset Allocation'!AL2,'Asset Allocation'!AM2,'Asset Allocation'!AN2)/SUM('Asset Allocation'!AI2:AW2,'Asset Allocation'!AB2:AG2)),0)</f>
        <v>0.1688311688311688</v>
      </c>
      <c r="E2" s="6">
        <f>IFERROR(IF(A2="","",SUM('Asset Allocation'!AP2)/SUM('Asset Allocation'!AI2:AW2,'Asset Allocation'!AB2:AG2)),0)</f>
        <v>7.1428571428571425E-2</v>
      </c>
      <c r="F2" s="6">
        <f>IFERROR(IF(A2="","",SUM('Asset Allocation'!AD2,'Asset Allocation'!AF2,'Asset Allocation'!AU2)/SUM('Asset Allocation'!AI2:AW2,'Asset Allocation'!AB2:AG2)),0)</f>
        <v>4.5454545454545449E-2</v>
      </c>
      <c r="G2" s="6">
        <f>IFERROR(IF(A2="","",SUM('Asset Allocation'!AB2,'Asset Allocation'!AE2,'Asset Allocation'!AI2,'Asset Allocation'!AK2,'Asset Allocation'!AQ2,'Asset Allocation'!AS2)/SUM('Asset Allocation'!AI2:AW2,'Asset Allocation'!AB2:AG2)),0)</f>
        <v>7.7922077922077906E-2</v>
      </c>
      <c r="H2" s="6">
        <f>IFERROR(IF(A2="","",SUM('Asset Allocation'!AO2,'Asset Allocation'!AT2,'Asset Allocation'!AR2)/SUM('Asset Allocation'!AI2:AW2,'Asset Allocation'!AB2:AG2)),0)</f>
        <v>6.4935064935064922E-3</v>
      </c>
    </row>
    <row r="3" spans="1:8" x14ac:dyDescent="0.25">
      <c r="A3" t="str">
        <f>IF(Input!A4="","",Input!A4)</f>
        <v>Schroder Active Portfolio 3</v>
      </c>
      <c r="B3" s="6">
        <f>IFERROR(IF(A3="","",SUM('Asset Allocation'!AW3,'Asset Allocation'!AG3,'Asset Allocation'!AC3)/SUM('Asset Allocation'!AI3:AW3,'Asset Allocation'!AB3:AG3)),0)</f>
        <v>0.38759689922480617</v>
      </c>
      <c r="C3" s="6">
        <f>IFERROR(IF(A3="","",SUM('Asset Allocation'!AV3)/SUM('Asset Allocation'!AI3:AW3,'Asset Allocation'!AB3:AG3)),0)</f>
        <v>0.2441860465116279</v>
      </c>
      <c r="D3" s="6">
        <f>IFERROR(IF(A3="","",SUM('Asset Allocation'!AJ3,'Asset Allocation'!AL3,'Asset Allocation'!AM3,'Asset Allocation'!AN3)/SUM('Asset Allocation'!AI3:AW3,'Asset Allocation'!AB3:AG3)),0)</f>
        <v>0.17441860465116277</v>
      </c>
      <c r="E3" s="6">
        <f>IFERROR(IF(A3="","",SUM('Asset Allocation'!AP3)/SUM('Asset Allocation'!AI3:AW3,'Asset Allocation'!AB3:AG3)),0)</f>
        <v>6.9767441860465129E-2</v>
      </c>
      <c r="F3" s="6">
        <f>IFERROR(IF(A3="","",SUM('Asset Allocation'!AD3,'Asset Allocation'!AF3,'Asset Allocation'!AU3)/SUM('Asset Allocation'!AI3:AW3,'Asset Allocation'!AB3:AG3)),0)</f>
        <v>3.875968992248062E-2</v>
      </c>
      <c r="G3" s="6">
        <f>IFERROR(IF(A3="","",SUM('Asset Allocation'!AB3,'Asset Allocation'!AE3,'Asset Allocation'!AI3,'Asset Allocation'!AK3,'Asset Allocation'!AQ3,'Asset Allocation'!AS3)/SUM('Asset Allocation'!AI3:AW3,'Asset Allocation'!AB3:AG3)),0)</f>
        <v>8.1395348837209322E-2</v>
      </c>
      <c r="H3" s="6">
        <f>IFERROR(IF(A3="","",SUM('Asset Allocation'!AO3,'Asset Allocation'!AT3,'Asset Allocation'!AR3)/SUM('Asset Allocation'!AI3:AW3,'Asset Allocation'!AB3:AG3)),0)</f>
        <v>3.875968992248062E-3</v>
      </c>
    </row>
    <row r="4" spans="1:8" x14ac:dyDescent="0.25">
      <c r="A4" t="str">
        <f>IF(Input!A5="","",Input!A5)</f>
        <v>Schroder Active Portfolio 4</v>
      </c>
      <c r="B4" s="6">
        <f>IFERROR(IF(A4="","",SUM('Asset Allocation'!AW4,'Asset Allocation'!AG4,'Asset Allocation'!AC4)/SUM('Asset Allocation'!AI4:AW4,'Asset Allocation'!AB4:AG4)),0)</f>
        <v>0.38194444444444442</v>
      </c>
      <c r="C4" s="6">
        <f>IFERROR(IF(A4="","",SUM('Asset Allocation'!AV4)/SUM('Asset Allocation'!AI4:AW4,'Asset Allocation'!AB4:AG4)),0)</f>
        <v>0.23842592592592593</v>
      </c>
      <c r="D4" s="6">
        <f>IFERROR(IF(A4="","",SUM('Asset Allocation'!AJ4,'Asset Allocation'!AL4,'Asset Allocation'!AM4,'Asset Allocation'!AN4)/SUM('Asset Allocation'!AI4:AW4,'Asset Allocation'!AB4:AG4)),0)</f>
        <v>0.17824074074074073</v>
      </c>
      <c r="E4" s="6">
        <f>IFERROR(IF(A4="","",SUM('Asset Allocation'!AP4)/SUM('Asset Allocation'!AI4:AW4,'Asset Allocation'!AB4:AG4)),0)</f>
        <v>6.9444444444444434E-2</v>
      </c>
      <c r="F4" s="6">
        <f>IFERROR(IF(A4="","",SUM('Asset Allocation'!AD4,'Asset Allocation'!AF4,'Asset Allocation'!AU4)/SUM('Asset Allocation'!AI4:AW4,'Asset Allocation'!AB4:AG4)),0)</f>
        <v>3.7037037037037035E-2</v>
      </c>
      <c r="G4" s="6">
        <f>IFERROR(IF(A4="","",SUM('Asset Allocation'!AB4,'Asset Allocation'!AE4,'Asset Allocation'!AI4,'Asset Allocation'!AK4,'Asset Allocation'!AQ4,'Asset Allocation'!AS4)/SUM('Asset Allocation'!AI4:AW4,'Asset Allocation'!AB4:AG4)),0)</f>
        <v>9.0277777777777776E-2</v>
      </c>
      <c r="H4" s="6">
        <f>IFERROR(IF(A4="","",SUM('Asset Allocation'!AO4,'Asset Allocation'!AT4,'Asset Allocation'!AR4)/SUM('Asset Allocation'!AI4:AW4,'Asset Allocation'!AB4:AG4)),0)</f>
        <v>4.6296296296296294E-3</v>
      </c>
    </row>
    <row r="5" spans="1:8" x14ac:dyDescent="0.25">
      <c r="A5" t="str">
        <f>IF(Input!A6="","",Input!A6)</f>
        <v>Schroder Active Portfolio 5</v>
      </c>
      <c r="B5" s="6">
        <f>IFERROR(IF(A5="","",SUM('Asset Allocation'!AW5,'Asset Allocation'!AG5,'Asset Allocation'!AC5)/SUM('Asset Allocation'!AI5:AW5,'Asset Allocation'!AB5:AG5)),0)</f>
        <v>0.37640449438202245</v>
      </c>
      <c r="C5" s="6">
        <f>IFERROR(IF(A5="","",SUM('Asset Allocation'!AV5)/SUM('Asset Allocation'!AI5:AW5,'Asset Allocation'!AB5:AG5)),0)</f>
        <v>0.23220973782771534</v>
      </c>
      <c r="D5" s="6">
        <f>IFERROR(IF(A5="","",SUM('Asset Allocation'!AJ5,'Asset Allocation'!AL5,'Asset Allocation'!AM5,'Asset Allocation'!AN5)/SUM('Asset Allocation'!AI5:AW5,'Asset Allocation'!AB5:AG5)),0)</f>
        <v>0.1741573033707865</v>
      </c>
      <c r="E5" s="6">
        <f>IFERROR(IF(A5="","",SUM('Asset Allocation'!AP5)/SUM('Asset Allocation'!AI5:AW5,'Asset Allocation'!AB5:AG5)),0)</f>
        <v>6.9288389513108617E-2</v>
      </c>
      <c r="F5" s="6">
        <f>IFERROR(IF(A5="","",SUM('Asset Allocation'!AD5,'Asset Allocation'!AF5,'Asset Allocation'!AU5)/SUM('Asset Allocation'!AI5:AW5,'Asset Allocation'!AB5:AG5)),0)</f>
        <v>3.7453183520599252E-2</v>
      </c>
      <c r="G5" s="6">
        <f>IFERROR(IF(A5="","",SUM('Asset Allocation'!AB5,'Asset Allocation'!AE5,'Asset Allocation'!AI5,'Asset Allocation'!AK5,'Asset Allocation'!AQ5,'Asset Allocation'!AS5)/SUM('Asset Allocation'!AI5:AW5,'Asset Allocation'!AB5:AG5)),0)</f>
        <v>0.1048689138576779</v>
      </c>
      <c r="H5" s="6">
        <f>IFERROR(IF(A5="","",SUM('Asset Allocation'!AO5,'Asset Allocation'!AT5,'Asset Allocation'!AR5)/SUM('Asset Allocation'!AI5:AW5,'Asset Allocation'!AB5:AG5)),0)</f>
        <v>5.6179775280898875E-3</v>
      </c>
    </row>
    <row r="6" spans="1:8" x14ac:dyDescent="0.25">
      <c r="A6" t="str">
        <f>IF(Input!A7="","",Input!A7)</f>
        <v>Schroder Active Portfolio 6</v>
      </c>
      <c r="B6" s="6">
        <f>IFERROR(IF(A6="","",SUM('Asset Allocation'!AW6,'Asset Allocation'!AG6,'Asset Allocation'!AC6)/SUM('Asset Allocation'!AI6:AW6,'Asset Allocation'!AB6:AG6)),0)</f>
        <v>0.36403508771929821</v>
      </c>
      <c r="C6" s="6">
        <f>IFERROR(IF(A6="","",SUM('Asset Allocation'!AV6)/SUM('Asset Allocation'!AI6:AW6,'Asset Allocation'!AB6:AG6)),0)</f>
        <v>0.22368421052631576</v>
      </c>
      <c r="D6" s="6">
        <f>IFERROR(IF(A6="","",SUM('Asset Allocation'!AJ6,'Asset Allocation'!AL6,'Asset Allocation'!AM6,'Asset Allocation'!AN6)/SUM('Asset Allocation'!AI6:AW6,'Asset Allocation'!AB6:AG6)),0)</f>
        <v>0.17105263157894737</v>
      </c>
      <c r="E6" s="6">
        <f>IFERROR(IF(A6="","",SUM('Asset Allocation'!AP6)/SUM('Asset Allocation'!AI6:AW6,'Asset Allocation'!AB6:AG6)),0)</f>
        <v>6.5789473684210523E-2</v>
      </c>
      <c r="F6" s="6">
        <f>IFERROR(IF(A6="","",SUM('Asset Allocation'!AD6,'Asset Allocation'!AF6,'Asset Allocation'!AU6)/SUM('Asset Allocation'!AI6:AW6,'Asset Allocation'!AB6:AG6)),0)</f>
        <v>3.6549707602339179E-2</v>
      </c>
      <c r="G6" s="6">
        <f>IFERROR(IF(A6="","",SUM('Asset Allocation'!AB6,'Asset Allocation'!AE6,'Asset Allocation'!AI6,'Asset Allocation'!AK6,'Asset Allocation'!AQ6,'Asset Allocation'!AS6)/SUM('Asset Allocation'!AI6:AW6,'Asset Allocation'!AB6:AG6)),0)</f>
        <v>0.1330409356725146</v>
      </c>
      <c r="H6" s="6">
        <f>IFERROR(IF(A6="","",SUM('Asset Allocation'!AO6,'Asset Allocation'!AT6,'Asset Allocation'!AR6)/SUM('Asset Allocation'!AI6:AW6,'Asset Allocation'!AB6:AG6)),0)</f>
        <v>5.8479532163742687E-3</v>
      </c>
    </row>
    <row r="7" spans="1:8" x14ac:dyDescent="0.25">
      <c r="A7" t="str">
        <f>IF(Input!A8="","",Input!A8)</f>
        <v>Schroder Active Portfolio 7</v>
      </c>
      <c r="B7" s="6">
        <f>IFERROR(IF(A7="","",SUM('Asset Allocation'!AW7,'Asset Allocation'!AG7,'Asset Allocation'!AC7)/SUM('Asset Allocation'!AI7:AW7,'Asset Allocation'!AB7:AG7)),0)</f>
        <v>0.34889434889434884</v>
      </c>
      <c r="C7" s="6">
        <f>IFERROR(IF(A7="","",SUM('Asset Allocation'!AV7)/SUM('Asset Allocation'!AI7:AW7,'Asset Allocation'!AB7:AG7)),0)</f>
        <v>0.21498771498771496</v>
      </c>
      <c r="D7" s="6">
        <f>IFERROR(IF(A7="","",SUM('Asset Allocation'!AJ7,'Asset Allocation'!AL7,'Asset Allocation'!AM7,'Asset Allocation'!AN7)/SUM('Asset Allocation'!AI7:AW7,'Asset Allocation'!AB7:AG7)),0)</f>
        <v>0.16830466830466831</v>
      </c>
      <c r="E7" s="6">
        <f>IFERROR(IF(A7="","",SUM('Asset Allocation'!AP7)/SUM('Asset Allocation'!AI7:AW7,'Asset Allocation'!AB7:AG7)),0)</f>
        <v>6.3882063882063883E-2</v>
      </c>
      <c r="F7" s="6">
        <f>IFERROR(IF(A7="","",SUM('Asset Allocation'!AD7,'Asset Allocation'!AF7,'Asset Allocation'!AU7)/SUM('Asset Allocation'!AI7:AW7,'Asset Allocation'!AB7:AG7)),0)</f>
        <v>4.1769041769041768E-2</v>
      </c>
      <c r="G7" s="6">
        <f>IFERROR(IF(A7="","",SUM('Asset Allocation'!AB7,'Asset Allocation'!AE7,'Asset Allocation'!AI7,'Asset Allocation'!AK7,'Asset Allocation'!AQ7,'Asset Allocation'!AS7)/SUM('Asset Allocation'!AI7:AW7,'Asset Allocation'!AB7:AG7)),0)</f>
        <v>0.15601965601965601</v>
      </c>
      <c r="H7" s="6">
        <f>IFERROR(IF(A7="","",SUM('Asset Allocation'!AO7,'Asset Allocation'!AT7,'Asset Allocation'!AR7)/SUM('Asset Allocation'!AI7:AW7,'Asset Allocation'!AB7:AG7)),0)</f>
        <v>6.1425061425061421E-3</v>
      </c>
    </row>
    <row r="8" spans="1:8" x14ac:dyDescent="0.25">
      <c r="A8" t="str">
        <f>IF(Input!A9="","",Input!A9)</f>
        <v>Schroder Active Portfolio 8</v>
      </c>
      <c r="B8" s="6">
        <f>IFERROR(IF(A8="","",SUM('Asset Allocation'!AW8,'Asset Allocation'!AG8,'Asset Allocation'!AC8)/SUM('Asset Allocation'!AI8:AW8,'Asset Allocation'!AB8:AG8)),0)</f>
        <v>0.32882414151925082</v>
      </c>
      <c r="C8" s="6">
        <f>IFERROR(IF(A8="","",SUM('Asset Allocation'!AV8)/SUM('Asset Allocation'!AI8:AW8,'Asset Allocation'!AB8:AG8)),0)</f>
        <v>0.2029136316337149</v>
      </c>
      <c r="D8" s="6">
        <f>IFERROR(IF(A8="","",SUM('Asset Allocation'!AJ8,'Asset Allocation'!AL8,'Asset Allocation'!AM8,'Asset Allocation'!AN8)/SUM('Asset Allocation'!AI8:AW8,'Asset Allocation'!AB8:AG8)),0)</f>
        <v>0.16233090530697192</v>
      </c>
      <c r="E8" s="6">
        <f>IFERROR(IF(A8="","",SUM('Asset Allocation'!AP8)/SUM('Asset Allocation'!AI8:AW8,'Asset Allocation'!AB8:AG8)),0)</f>
        <v>6.1394380853277843E-2</v>
      </c>
      <c r="F8" s="6">
        <f>IFERROR(IF(A8="","",SUM('Asset Allocation'!AD8,'Asset Allocation'!AF8,'Asset Allocation'!AU8)/SUM('Asset Allocation'!AI8:AW8,'Asset Allocation'!AB8:AG8)),0)</f>
        <v>4.8907388137356921E-2</v>
      </c>
      <c r="G8" s="6">
        <f>IFERROR(IF(A8="","",SUM('Asset Allocation'!AB8,'Asset Allocation'!AE8,'Asset Allocation'!AI8,'Asset Allocation'!AK8,'Asset Allocation'!AQ8,'Asset Allocation'!AS8)/SUM('Asset Allocation'!AI8:AW8,'Asset Allocation'!AB8:AG8)),0)</f>
        <v>0.18834547346514047</v>
      </c>
      <c r="H8" s="6">
        <f>IFERROR(IF(A8="","",SUM('Asset Allocation'!AO8,'Asset Allocation'!AT8,'Asset Allocation'!AR8)/SUM('Asset Allocation'!AI8:AW8,'Asset Allocation'!AB8:AG8)),0)</f>
        <v>7.2840790842872002E-3</v>
      </c>
    </row>
    <row r="9" spans="1:8" x14ac:dyDescent="0.25">
      <c r="A9" t="str">
        <f>IF(Input!A10="","",Input!A10)</f>
        <v>Schroder Active Portfolio 9</v>
      </c>
      <c r="B9" s="6">
        <f>IFERROR(IF(A9="","",SUM('Asset Allocation'!AW9,'Asset Allocation'!AG9,'Asset Allocation'!AC9)/SUM('Asset Allocation'!AI9:AW9,'Asset Allocation'!AB9:AG9)),0)</f>
        <v>0.26954177897574128</v>
      </c>
      <c r="C9" s="6">
        <f>IFERROR(IF(A9="","",SUM('Asset Allocation'!AV9)/SUM('Asset Allocation'!AI9:AW9,'Asset Allocation'!AB9:AG9)),0)</f>
        <v>0.169811320754717</v>
      </c>
      <c r="D9" s="6">
        <f>IFERROR(IF(A9="","",SUM('Asset Allocation'!AJ9,'Asset Allocation'!AL9,'Asset Allocation'!AM9,'Asset Allocation'!AN9)/SUM('Asset Allocation'!AI9:AW9,'Asset Allocation'!AB9:AG9)),0)</f>
        <v>0.14285714285714288</v>
      </c>
      <c r="E9" s="6">
        <f>IFERROR(IF(A9="","",SUM('Asset Allocation'!AP9)/SUM('Asset Allocation'!AI9:AW9,'Asset Allocation'!AB9:AG9)),0)</f>
        <v>5.2111410601976646E-2</v>
      </c>
      <c r="F9" s="6">
        <f>IFERROR(IF(A9="","",SUM('Asset Allocation'!AD9,'Asset Allocation'!AF9,'Asset Allocation'!AU9)/SUM('Asset Allocation'!AI9:AW9,'Asset Allocation'!AB9:AG9)),0)</f>
        <v>6.9182389937106931E-2</v>
      </c>
      <c r="G9" s="6">
        <f>IFERROR(IF(A9="","",SUM('Asset Allocation'!AB9,'Asset Allocation'!AE9,'Asset Allocation'!AI9,'Asset Allocation'!AK9,'Asset Allocation'!AQ9,'Asset Allocation'!AS9)/SUM('Asset Allocation'!AI9:AW9,'Asset Allocation'!AB9:AG9)),0)</f>
        <v>0.28840970350404327</v>
      </c>
      <c r="H9" s="6">
        <f>IFERROR(IF(A9="","",SUM('Asset Allocation'!AO9,'Asset Allocation'!AT9,'Asset Allocation'!AR9)/SUM('Asset Allocation'!AI9:AW9,'Asset Allocation'!AB9:AG9)),0)</f>
        <v>8.0862533692722394E-3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Allocation'!AW10,'Asset Allocation'!AG10,'Asset Allocation'!AC10)/SUM('Asset Allocation'!AI10:AW10,'Asset Allocation'!AB10:AG10)),0)</f>
        <v>0.16788321167883211</v>
      </c>
      <c r="C10" s="6">
        <f>IFERROR(IF(A10="","",SUM('Asset Allocation'!AV10)/SUM('Asset Allocation'!AI10:AW10,'Asset Allocation'!AB10:AG10)),0)</f>
        <v>0.1184103811841038</v>
      </c>
      <c r="D10" s="6">
        <f>IFERROR(IF(A10="","",SUM('Asset Allocation'!AJ10,'Asset Allocation'!AL10,'Asset Allocation'!AM10,'Asset Allocation'!AN10)/SUM('Asset Allocation'!AI10:AW10,'Asset Allocation'!AB10:AG10)),0)</f>
        <v>0.10948905109489052</v>
      </c>
      <c r="E10" s="6">
        <f>IFERROR(IF(A10="","",SUM('Asset Allocation'!AP10)/SUM('Asset Allocation'!AI10:AW10,'Asset Allocation'!AB10:AG10)),0)</f>
        <v>3.6496350364963501E-2</v>
      </c>
      <c r="F10" s="6">
        <f>IFERROR(IF(A10="","",SUM('Asset Allocation'!AD10,'Asset Allocation'!AF10,'Asset Allocation'!AU10)/SUM('Asset Allocation'!AI10:AW10,'Asset Allocation'!AB10:AG10)),0)</f>
        <v>0.1038118410381184</v>
      </c>
      <c r="G10" s="6">
        <f>IFERROR(IF(A10="","",SUM('Asset Allocation'!AB10,'Asset Allocation'!AE10,'Asset Allocation'!AI10,'Asset Allocation'!AK10,'Asset Allocation'!AQ10,'Asset Allocation'!AS10)/SUM('Asset Allocation'!AI10:AW10,'Asset Allocation'!AB10:AG10)),0)</f>
        <v>0.45174371451743717</v>
      </c>
      <c r="H10" s="6">
        <f>IFERROR(IF(A10="","",SUM('Asset Allocation'!AO10,'Asset Allocation'!AT10,'Asset Allocation'!AR10)/SUM('Asset Allocation'!AI10:AW10,'Asset Allocation'!AB10:AG10)),0)</f>
        <v>1.21654501216545E-2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Allocation'!AW11,'Asset Allocation'!AG11,'Asset Allocation'!AC11)/SUM('Asset Allocation'!AI11:AW11,'Asset Allocation'!AB11:AG11)),0)</f>
        <v>0.43902439024390238</v>
      </c>
      <c r="C11" s="6">
        <f>IFERROR(IF(A11="","",SUM('Asset Allocation'!AV11)/SUM('Asset Allocation'!AI11:AW11,'Asset Allocation'!AB11:AG11)),0)</f>
        <v>0.19512195121951215</v>
      </c>
      <c r="D11" s="6">
        <f>IFERROR(IF(A11="","",SUM('Asset Allocation'!AJ11,'Asset Allocation'!AL11,'Asset Allocation'!AM11,'Asset Allocation'!AN11)/SUM('Asset Allocation'!AI11:AW11,'Asset Allocation'!AB11:AG11)),0)</f>
        <v>0.14634146341463411</v>
      </c>
      <c r="E11" s="6">
        <f>IFERROR(IF(A11="","",SUM('Asset Allocation'!AP11)/SUM('Asset Allocation'!AI11:AW11,'Asset Allocation'!AB11:AG11)),0)</f>
        <v>7.3170731707317055E-2</v>
      </c>
      <c r="F11" s="6">
        <f>IFERROR(IF(A11="","",SUM('Asset Allocation'!AD11,'Asset Allocation'!AF11,'Asset Allocation'!AU11)/SUM('Asset Allocation'!AI11:AW11,'Asset Allocation'!AB11:AG11)),0)</f>
        <v>4.8780487804878037E-2</v>
      </c>
      <c r="G11" s="6">
        <f>IFERROR(IF(A11="","",SUM('Asset Allocation'!AB11,'Asset Allocation'!AE11,'Asset Allocation'!AI11,'Asset Allocation'!AK11,'Asset Allocation'!AQ11,'Asset Allocation'!AS11)/SUM('Asset Allocation'!AI11:AW11,'Asset Allocation'!AB11:AG11)),0)</f>
        <v>8.5365853658536578E-2</v>
      </c>
      <c r="H11" s="6">
        <f>IFERROR(IF(A11="","",SUM('Asset Allocation'!AO11,'Asset Allocation'!AT11,'Asset Allocation'!AR11)/SUM('Asset Allocation'!AI11:AW11,'Asset Allocation'!AB11:AG11)),0)</f>
        <v>1.2195121951219509E-2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Allocation'!AW12,'Asset Allocation'!AG12,'Asset Allocation'!AC12)/SUM('Asset Allocation'!AI12:AW12,'Asset Allocation'!AB12:AG12)),0)</f>
        <v>0.44485294117647062</v>
      </c>
      <c r="C12" s="6">
        <f>IFERROR(IF(A12="","",SUM('Asset Allocation'!AV12)/SUM('Asset Allocation'!AI12:AW12,'Asset Allocation'!AB12:AG12)),0)</f>
        <v>0.19117647058823531</v>
      </c>
      <c r="D12" s="6">
        <f>IFERROR(IF(A12="","",SUM('Asset Allocation'!AJ12,'Asset Allocation'!AL12,'Asset Allocation'!AM12,'Asset Allocation'!AN12)/SUM('Asset Allocation'!AI12:AW12,'Asset Allocation'!AB12:AG12)),0)</f>
        <v>0.14705882352941177</v>
      </c>
      <c r="E12" s="6">
        <f>IFERROR(IF(A12="","",SUM('Asset Allocation'!AP12)/SUM('Asset Allocation'!AI12:AW12,'Asset Allocation'!AB12:AG12)),0)</f>
        <v>7.3529411764705885E-2</v>
      </c>
      <c r="F12" s="6">
        <f>IFERROR(IF(A12="","",SUM('Asset Allocation'!AD12,'Asset Allocation'!AF12,'Asset Allocation'!AU12)/SUM('Asset Allocation'!AI12:AW12,'Asset Allocation'!AB12:AG12)),0)</f>
        <v>4.4117647058823525E-2</v>
      </c>
      <c r="G12" s="6">
        <f>IFERROR(IF(A12="","",SUM('Asset Allocation'!AB12,'Asset Allocation'!AE12,'Asset Allocation'!AI12,'Asset Allocation'!AK12,'Asset Allocation'!AQ12,'Asset Allocation'!AS12)/SUM('Asset Allocation'!AI12:AW12,'Asset Allocation'!AB12:AG12)),0)</f>
        <v>8.8235294117647051E-2</v>
      </c>
      <c r="H12" s="6">
        <f>IFERROR(IF(A12="","",SUM('Asset Allocation'!AO12,'Asset Allocation'!AT12,'Asset Allocation'!AR12)/SUM('Asset Allocation'!AI12:AW12,'Asset Allocation'!AB12:AG12)),0)</f>
        <v>1.1029411764705881E-2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Allocation'!AW13,'Asset Allocation'!AG13,'Asset Allocation'!AC13)/SUM('Asset Allocation'!AI13:AW13,'Asset Allocation'!AB13:AG13)),0)</f>
        <v>0.45067264573991028</v>
      </c>
      <c r="C13" s="6">
        <f>IFERROR(IF(A13="","",SUM('Asset Allocation'!AV13)/SUM('Asset Allocation'!AI13:AW13,'Asset Allocation'!AB13:AG13)),0)</f>
        <v>0.19282511210762326</v>
      </c>
      <c r="D13" s="6">
        <f>IFERROR(IF(A13="","",SUM('Asset Allocation'!AJ13,'Asset Allocation'!AL13,'Asset Allocation'!AM13,'Asset Allocation'!AN13)/SUM('Asset Allocation'!AI13:AW13,'Asset Allocation'!AB13:AG13)),0)</f>
        <v>0.14573991031390132</v>
      </c>
      <c r="E13" s="6">
        <f>IFERROR(IF(A13="","",SUM('Asset Allocation'!AP13)/SUM('Asset Allocation'!AI13:AW13,'Asset Allocation'!AB13:AG13)),0)</f>
        <v>7.1748878923766801E-2</v>
      </c>
      <c r="F13" s="6">
        <f>IFERROR(IF(A13="","",SUM('Asset Allocation'!AD13,'Asset Allocation'!AF13,'Asset Allocation'!AU13)/SUM('Asset Allocation'!AI13:AW13,'Asset Allocation'!AB13:AG13)),0)</f>
        <v>3.811659192825112E-2</v>
      </c>
      <c r="G13" s="6">
        <f>IFERROR(IF(A13="","",SUM('Asset Allocation'!AB13,'Asset Allocation'!AE13,'Asset Allocation'!AI13,'Asset Allocation'!AK13,'Asset Allocation'!AQ13,'Asset Allocation'!AS13)/SUM('Asset Allocation'!AI13:AW13,'Asset Allocation'!AB13:AG13)),0)</f>
        <v>9.1928251121076235E-2</v>
      </c>
      <c r="H13" s="6">
        <f>IFERROR(IF(A13="","",SUM('Asset Allocation'!AO13,'Asset Allocation'!AT13,'Asset Allocation'!AR13)/SUM('Asset Allocation'!AI13:AW13,'Asset Allocation'!AB13:AG13)),0)</f>
        <v>8.9686098654708502E-3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Allocation'!AW14,'Asset Allocation'!AG14,'Asset Allocation'!AC14)/SUM('Asset Allocation'!AI14:AW14,'Asset Allocation'!AB14:AG14)),0)</f>
        <v>0.44160583941605835</v>
      </c>
      <c r="C14" s="6">
        <f>IFERROR(IF(A14="","",SUM('Asset Allocation'!AV14)/SUM('Asset Allocation'!AI14:AW14,'Asset Allocation'!AB14:AG14)),0)</f>
        <v>0.19160583941605838</v>
      </c>
      <c r="D14" s="6">
        <f>IFERROR(IF(A14="","",SUM('Asset Allocation'!AJ14,'Asset Allocation'!AL14,'Asset Allocation'!AM14,'Asset Allocation'!AN14)/SUM('Asset Allocation'!AI14:AW14,'Asset Allocation'!AB14:AG14)),0)</f>
        <v>0.14233576642335766</v>
      </c>
      <c r="E14" s="6">
        <f>IFERROR(IF(A14="","",SUM('Asset Allocation'!AP14)/SUM('Asset Allocation'!AI14:AW14,'Asset Allocation'!AB14:AG14)),0)</f>
        <v>7.1167883211678828E-2</v>
      </c>
      <c r="F14" s="6">
        <f>IFERROR(IF(A14="","",SUM('Asset Allocation'!AD14,'Asset Allocation'!AF14,'Asset Allocation'!AU14)/SUM('Asset Allocation'!AI14:AW14,'Asset Allocation'!AB14:AG14)),0)</f>
        <v>3.8321167883211681E-2</v>
      </c>
      <c r="G14" s="6">
        <f>IFERROR(IF(A14="","",SUM('Asset Allocation'!AB14,'Asset Allocation'!AE14,'Asset Allocation'!AI14,'Asset Allocation'!AK14,'Asset Allocation'!AQ14,'Asset Allocation'!AS14)/SUM('Asset Allocation'!AI14:AW14,'Asset Allocation'!AB14:AG14)),0)</f>
        <v>0.104014598540146</v>
      </c>
      <c r="H14" s="6">
        <f>IFERROR(IF(A14="","",SUM('Asset Allocation'!AO14,'Asset Allocation'!AT14,'Asset Allocation'!AR14)/SUM('Asset Allocation'!AI14:AW14,'Asset Allocation'!AB14:AG14)),0)</f>
        <v>1.094890510948905E-2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Allocation'!AW15,'Asset Allocation'!AG15,'Asset Allocation'!AC15)/SUM('Asset Allocation'!AI15:AW15,'Asset Allocation'!AB15:AG15)),0)</f>
        <v>0.43223965763195438</v>
      </c>
      <c r="C15" s="6">
        <f>IFERROR(IF(A15="","",SUM('Asset Allocation'!AV15)/SUM('Asset Allocation'!AI15:AW15,'Asset Allocation'!AB15:AG15)),0)</f>
        <v>0.18402282453637658</v>
      </c>
      <c r="D15" s="6">
        <f>IFERROR(IF(A15="","",SUM('Asset Allocation'!AJ15,'Asset Allocation'!AL15,'Asset Allocation'!AM15,'Asset Allocation'!AN15)/SUM('Asset Allocation'!AI15:AW15,'Asset Allocation'!AB15:AG15)),0)</f>
        <v>0.13552068473609127</v>
      </c>
      <c r="E15" s="6">
        <f>IFERROR(IF(A15="","",SUM('Asset Allocation'!AP15)/SUM('Asset Allocation'!AI15:AW15,'Asset Allocation'!AB15:AG15)),0)</f>
        <v>6.7047075606276735E-2</v>
      </c>
      <c r="F15" s="6">
        <f>IFERROR(IF(A15="","",SUM('Asset Allocation'!AD15,'Asset Allocation'!AF15,'Asset Allocation'!AU15)/SUM('Asset Allocation'!AI15:AW15,'Asset Allocation'!AB15:AG15)),0)</f>
        <v>3.4236804564907269E-2</v>
      </c>
      <c r="G15" s="6">
        <f>IFERROR(IF(A15="","",SUM('Asset Allocation'!AB15,'Asset Allocation'!AE15,'Asset Allocation'!AI15,'Asset Allocation'!AK15,'Asset Allocation'!AQ15,'Asset Allocation'!AS15)/SUM('Asset Allocation'!AI15:AW15,'Asset Allocation'!AB15:AG15)),0)</f>
        <v>0.1340941512125535</v>
      </c>
      <c r="H15" s="6">
        <f>IFERROR(IF(A15="","",SUM('Asset Allocation'!AO15,'Asset Allocation'!AT15,'Asset Allocation'!AR15)/SUM('Asset Allocation'!AI15:AW15,'Asset Allocation'!AB15:AG15)),0)</f>
        <v>1.2838801711840228E-2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Allocation'!AW16,'Asset Allocation'!AG16,'Asset Allocation'!AC16)/SUM('Asset Allocation'!AI16:AW16,'Asset Allocation'!AB16:AG16)),0)</f>
        <v>0.41826923076923078</v>
      </c>
      <c r="C16" s="6">
        <f>IFERROR(IF(A16="","",SUM('Asset Allocation'!AV16)/SUM('Asset Allocation'!AI16:AW16,'Asset Allocation'!AB16:AG16)),0)</f>
        <v>0.17668269230769229</v>
      </c>
      <c r="D16" s="6">
        <f>IFERROR(IF(A16="","",SUM('Asset Allocation'!AJ16,'Asset Allocation'!AL16,'Asset Allocation'!AM16,'Asset Allocation'!AN16)/SUM('Asset Allocation'!AI16:AW16,'Asset Allocation'!AB16:AG16)),0)</f>
        <v>0.13221153846153846</v>
      </c>
      <c r="E16" s="6">
        <f>IFERROR(IF(A16="","",SUM('Asset Allocation'!AP16)/SUM('Asset Allocation'!AI16:AW16,'Asset Allocation'!AB16:AG16)),0)</f>
        <v>6.3701923076923073E-2</v>
      </c>
      <c r="F16" s="6">
        <f>IFERROR(IF(A16="","",SUM('Asset Allocation'!AD16,'Asset Allocation'!AF16,'Asset Allocation'!AU16)/SUM('Asset Allocation'!AI16:AW16,'Asset Allocation'!AB16:AG16)),0)</f>
        <v>3.8461538461538457E-2</v>
      </c>
      <c r="G16" s="6">
        <f>IFERROR(IF(A16="","",SUM('Asset Allocation'!AB16,'Asset Allocation'!AE16,'Asset Allocation'!AI16,'Asset Allocation'!AK16,'Asset Allocation'!AQ16,'Asset Allocation'!AS16)/SUM('Asset Allocation'!AI16:AW16,'Asset Allocation'!AB16:AG16)),0)</f>
        <v>0.15745192307692307</v>
      </c>
      <c r="H16" s="6">
        <f>IFERROR(IF(A16="","",SUM('Asset Allocation'!AO16,'Asset Allocation'!AT16,'Asset Allocation'!AR16)/SUM('Asset Allocation'!AI16:AW16,'Asset Allocation'!AB16:AG16)),0)</f>
        <v>1.3221153846153846E-2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Allocation'!AW17,'Asset Allocation'!AG17,'Asset Allocation'!AC17)/SUM('Asset Allocation'!AI17:AW17,'Asset Allocation'!AB17:AG17)),0)</f>
        <v>0.39651639344262285</v>
      </c>
      <c r="C17" s="6">
        <f>IFERROR(IF(A17="","",SUM('Asset Allocation'!AV17)/SUM('Asset Allocation'!AI17:AW17,'Asset Allocation'!AB17:AG17)),0)</f>
        <v>0.16803278688524587</v>
      </c>
      <c r="D17" s="6">
        <f>IFERROR(IF(A17="","",SUM('Asset Allocation'!AJ17,'Asset Allocation'!AL17,'Asset Allocation'!AM17,'Asset Allocation'!AN17)/SUM('Asset Allocation'!AI17:AW17,'Asset Allocation'!AB17:AG17)),0)</f>
        <v>0.12499999999999999</v>
      </c>
      <c r="E17" s="6">
        <f>IFERROR(IF(A17="","",SUM('Asset Allocation'!AP17)/SUM('Asset Allocation'!AI17:AW17,'Asset Allocation'!AB17:AG17)),0)</f>
        <v>5.9426229508196711E-2</v>
      </c>
      <c r="F17" s="6">
        <f>IFERROR(IF(A17="","",SUM('Asset Allocation'!AD17,'Asset Allocation'!AF17,'Asset Allocation'!AU17)/SUM('Asset Allocation'!AI17:AW17,'Asset Allocation'!AB17:AG17)),0)</f>
        <v>4.5081967213114756E-2</v>
      </c>
      <c r="G17" s="6">
        <f>IFERROR(IF(A17="","",SUM('Asset Allocation'!AB17,'Asset Allocation'!AE17,'Asset Allocation'!AI17,'Asset Allocation'!AK17,'Asset Allocation'!AQ17,'Asset Allocation'!AS17)/SUM('Asset Allocation'!AI17:AW17,'Asset Allocation'!AB17:AG17)),0)</f>
        <v>0.19262295081967215</v>
      </c>
      <c r="H17" s="6">
        <f>IFERROR(IF(A17="","",SUM('Asset Allocation'!AO17,'Asset Allocation'!AT17,'Asset Allocation'!AR17)/SUM('Asset Allocation'!AI17:AW17,'Asset Allocation'!AB17:AG17)),0)</f>
        <v>1.331967213114754E-2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Allocation'!AW18,'Asset Allocation'!AG18,'Asset Allocation'!AC18)/SUM('Asset Allocation'!AI18:AW18,'Asset Allocation'!AB18:AG18)),0)</f>
        <v>0.3321460373998219</v>
      </c>
      <c r="C18" s="6">
        <f>IFERROR(IF(A18="","",SUM('Asset Allocation'!AV18)/SUM('Asset Allocation'!AI18:AW18,'Asset Allocation'!AB18:AG18)),0)</f>
        <v>0.13891362422083706</v>
      </c>
      <c r="D18" s="6">
        <f>IFERROR(IF(A18="","",SUM('Asset Allocation'!AJ18,'Asset Allocation'!AL18,'Asset Allocation'!AM18,'Asset Allocation'!AN18)/SUM('Asset Allocation'!AI18:AW18,'Asset Allocation'!AB18:AG18)),0)</f>
        <v>0.10329474621549423</v>
      </c>
      <c r="E18" s="6">
        <f>IFERROR(IF(A18="","",SUM('Asset Allocation'!AP18)/SUM('Asset Allocation'!AI18:AW18,'Asset Allocation'!AB18:AG18)),0)</f>
        <v>4.8975957257346395E-2</v>
      </c>
      <c r="F18" s="6">
        <f>IFERROR(IF(A18="","",SUM('Asset Allocation'!AD18,'Asset Allocation'!AF18,'Asset Allocation'!AU18)/SUM('Asset Allocation'!AI18:AW18,'Asset Allocation'!AB18:AG18)),0)</f>
        <v>6.3223508459483518E-2</v>
      </c>
      <c r="G18" s="6">
        <f>IFERROR(IF(A18="","",SUM('Asset Allocation'!AB18,'Asset Allocation'!AE18,'Asset Allocation'!AI18,'Asset Allocation'!AK18,'Asset Allocation'!AQ18,'Asset Allocation'!AS18)/SUM('Asset Allocation'!AI18:AW18,'Asset Allocation'!AB18:AG18)),0)</f>
        <v>0.2965271593944791</v>
      </c>
      <c r="H18" s="6">
        <f>IFERROR(IF(A18="","",SUM('Asset Allocation'!AO18,'Asset Allocation'!AT18,'Asset Allocation'!AR18)/SUM('Asset Allocation'!AI18:AW18,'Asset Allocation'!AB18:AG18)),0)</f>
        <v>1.6918967052537846E-2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Allocation'!AW19,'Asset Allocation'!AG19,'Asset Allocation'!AC19)/SUM('Asset Allocation'!AI19:AW19,'Asset Allocation'!AB19:AG19)),0)</f>
        <v>0.21434262948207175</v>
      </c>
      <c r="C19" s="6">
        <f>IFERROR(IF(A19="","",SUM('Asset Allocation'!AV19)/SUM('Asset Allocation'!AI19:AW19,'Asset Allocation'!AB19:AG19)),0)</f>
        <v>9.1633466135458197E-2</v>
      </c>
      <c r="D19" s="6">
        <f>IFERROR(IF(A19="","",SUM('Asset Allocation'!AJ19,'Asset Allocation'!AL19,'Asset Allocation'!AM19,'Asset Allocation'!AN19)/SUM('Asset Allocation'!AI19:AW19,'Asset Allocation'!AB19:AG19)),0)</f>
        <v>7.0916334661354594E-2</v>
      </c>
      <c r="E19" s="6">
        <f>IFERROR(IF(A19="","",SUM('Asset Allocation'!AP19)/SUM('Asset Allocation'!AI19:AW19,'Asset Allocation'!AB19:AG19)),0)</f>
        <v>3.2669322709163354E-2</v>
      </c>
      <c r="F19" s="6">
        <f>IFERROR(IF(A19="","",SUM('Asset Allocation'!AD19,'Asset Allocation'!AF19,'Asset Allocation'!AU19)/SUM('Asset Allocation'!AI19:AW19,'Asset Allocation'!AB19:AG19)),0)</f>
        <v>9.6414342629482092E-2</v>
      </c>
      <c r="G19" s="6">
        <f>IFERROR(IF(A19="","",SUM('Asset Allocation'!AB19,'Asset Allocation'!AE19,'Asset Allocation'!AI19,'Asset Allocation'!AK19,'Asset Allocation'!AQ19,'Asset Allocation'!AS19)/SUM('Asset Allocation'!AI19:AW19,'Asset Allocation'!AB19:AG19)),0)</f>
        <v>0.47490039840637471</v>
      </c>
      <c r="H19" s="6">
        <f>IFERROR(IF(A19="","",SUM('Asset Allocation'!AO19,'Asset Allocation'!AT19,'Asset Allocation'!AR19)/SUM('Asset Allocation'!AI19:AW19,'Asset Allocation'!AB19:AG19)),0)</f>
        <v>1.9123505976095623E-2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Allocation'!AW20,'Asset Allocation'!AG20,'Asset Allocation'!AC20)/SUM('Asset Allocation'!AI20:AW20,'Asset Allocation'!AB20:AG20)),0)</f>
        <v>0.50191570881226055</v>
      </c>
      <c r="C20" s="6">
        <f>IFERROR(IF(A20="","",SUM('Asset Allocation'!AV20)/SUM('Asset Allocation'!AI20:AW20,'Asset Allocation'!AB20:AG20)),0)</f>
        <v>9.1954022988505746E-2</v>
      </c>
      <c r="D20" s="6">
        <f>IFERROR(IF(A20="","",SUM('Asset Allocation'!AJ20,'Asset Allocation'!AL20,'Asset Allocation'!AM20,'Asset Allocation'!AN20)/SUM('Asset Allocation'!AI20:AW20,'Asset Allocation'!AB20:AG20)),0)</f>
        <v>0.20306513409961685</v>
      </c>
      <c r="E20" s="6">
        <f>IFERROR(IF(A20="","",SUM('Asset Allocation'!AP20)/SUM('Asset Allocation'!AI20:AW20,'Asset Allocation'!AB20:AG20)),0)</f>
        <v>5.7471264367816084E-2</v>
      </c>
      <c r="F20" s="6">
        <f>IFERROR(IF(A20="","",SUM('Asset Allocation'!AD20,'Asset Allocation'!AF20,'Asset Allocation'!AU20)/SUM('Asset Allocation'!AI20:AW20,'Asset Allocation'!AB20:AG20)),0)</f>
        <v>3.8314176245210718E-2</v>
      </c>
      <c r="G20" s="6">
        <f>IFERROR(IF(A20="","",SUM('Asset Allocation'!AB20,'Asset Allocation'!AE20,'Asset Allocation'!AI20,'Asset Allocation'!AK20,'Asset Allocation'!AQ20,'Asset Allocation'!AS20)/SUM('Asset Allocation'!AI20:AW20,'Asset Allocation'!AB20:AG20)),0)</f>
        <v>0.10727969348659004</v>
      </c>
      <c r="H20" s="6">
        <f>IFERROR(IF(A20="","",SUM('Asset Allocation'!AO20,'Asset Allocation'!AT20,'Asset Allocation'!AR20)/SUM('Asset Allocation'!AI20:AW20,'Asset Allocation'!AB20:AG20)),0)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Allocation'!AW21,'Asset Allocation'!AG21,'Asset Allocation'!AC21)/SUM('Asset Allocation'!AI21:AW21,'Asset Allocation'!AB21:AG21)),0)</f>
        <v>0.46412556053811654</v>
      </c>
      <c r="C21" s="6">
        <f>IFERROR(IF(A21="","",SUM('Asset Allocation'!AV21)/SUM('Asset Allocation'!AI21:AW21,'Asset Allocation'!AB21:AG21)),0)</f>
        <v>8.7443946188340796E-2</v>
      </c>
      <c r="D21" s="6">
        <f>IFERROR(IF(A21="","",SUM('Asset Allocation'!AJ21,'Asset Allocation'!AL21,'Asset Allocation'!AM21,'Asset Allocation'!AN21)/SUM('Asset Allocation'!AI21:AW21,'Asset Allocation'!AB21:AG21)),0)</f>
        <v>0.19282511210762326</v>
      </c>
      <c r="E21" s="6">
        <f>IFERROR(IF(A21="","",SUM('Asset Allocation'!AP21)/SUM('Asset Allocation'!AI21:AW21,'Asset Allocation'!AB21:AG21)),0)</f>
        <v>5.3811659192825108E-2</v>
      </c>
      <c r="F21" s="6">
        <f>IFERROR(IF(A21="","",SUM('Asset Allocation'!AD21,'Asset Allocation'!AF21,'Asset Allocation'!AU21)/SUM('Asset Allocation'!AI21:AW21,'Asset Allocation'!AB21:AG21)),0)</f>
        <v>4.9327354260089683E-2</v>
      </c>
      <c r="G21" s="6">
        <f>IFERROR(IF(A21="","",SUM('Asset Allocation'!AB21,'Asset Allocation'!AE21,'Asset Allocation'!AI21,'Asset Allocation'!AK21,'Asset Allocation'!AQ21,'Asset Allocation'!AS21)/SUM('Asset Allocation'!AI21:AW21,'Asset Allocation'!AB21:AG21)),0)</f>
        <v>0.14798206278026904</v>
      </c>
      <c r="H21" s="6">
        <f>IFERROR(IF(A21="","",SUM('Asset Allocation'!AO21,'Asset Allocation'!AT21,'Asset Allocation'!AR21)/SUM('Asset Allocation'!AI21:AW21,'Asset Allocation'!AB21:AG21)),0)</f>
        <v>4.4843049327354251E-3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Allocation'!AW22,'Asset Allocation'!AG22,'Asset Allocation'!AC22)/SUM('Asset Allocation'!AI22:AW22,'Asset Allocation'!AB22:AG22)),0)</f>
        <v>0.4527272727272727</v>
      </c>
      <c r="C22" s="6">
        <f>IFERROR(IF(A22="","",SUM('Asset Allocation'!AV22)/SUM('Asset Allocation'!AI22:AW22,'Asset Allocation'!AB22:AG22)),0)</f>
        <v>8.545454545454545E-2</v>
      </c>
      <c r="D22" s="6">
        <f>IFERROR(IF(A22="","",SUM('Asset Allocation'!AJ22,'Asset Allocation'!AL22,'Asset Allocation'!AM22,'Asset Allocation'!AN22)/SUM('Asset Allocation'!AI22:AW22,'Asset Allocation'!AB22:AG22)),0)</f>
        <v>0.19272727272727272</v>
      </c>
      <c r="E22" s="6">
        <f>IFERROR(IF(A22="","",SUM('Asset Allocation'!AP22)/SUM('Asset Allocation'!AI22:AW22,'Asset Allocation'!AB22:AG22)),0)</f>
        <v>5.272727272727272E-2</v>
      </c>
      <c r="F22" s="6">
        <f>IFERROR(IF(A22="","",SUM('Asset Allocation'!AD22,'Asset Allocation'!AF22,'Asset Allocation'!AU22)/SUM('Asset Allocation'!AI22:AW22,'Asset Allocation'!AB22:AG22)),0)</f>
        <v>4.9090909090909095E-2</v>
      </c>
      <c r="G22" s="6">
        <f>IFERROR(IF(A22="","",SUM('Asset Allocation'!AB22,'Asset Allocation'!AE22,'Asset Allocation'!AI22,'Asset Allocation'!AK22,'Asset Allocation'!AQ22,'Asset Allocation'!AS22)/SUM('Asset Allocation'!AI22:AW22,'Asset Allocation'!AB22:AG22)),0)</f>
        <v>0.16181818181818181</v>
      </c>
      <c r="H22" s="6">
        <f>IFERROR(IF(A22="","",SUM('Asset Allocation'!AO22,'Asset Allocation'!AT22,'Asset Allocation'!AR22)/SUM('Asset Allocation'!AI22:AW22,'Asset Allocation'!AB22:AG22)),0)</f>
        <v>5.4545454545454541E-3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Allocation'!AW23,'Asset Allocation'!AG23,'Asset Allocation'!AC23)/SUM('Asset Allocation'!AI23:AW23,'Asset Allocation'!AB23:AG23)),0)</f>
        <v>0.44381223328591746</v>
      </c>
      <c r="C23" s="6">
        <f>IFERROR(IF(A23="","",SUM('Asset Allocation'!AV23)/SUM('Asset Allocation'!AI23:AW23,'Asset Allocation'!AB23:AG23)),0)</f>
        <v>8.5348506401137975E-2</v>
      </c>
      <c r="D23" s="6">
        <f>IFERROR(IF(A23="","",SUM('Asset Allocation'!AJ23,'Asset Allocation'!AL23,'Asset Allocation'!AM23,'Asset Allocation'!AN23)/SUM('Asset Allocation'!AI23:AW23,'Asset Allocation'!AB23:AG23)),0)</f>
        <v>0.19203413940256045</v>
      </c>
      <c r="E23" s="6">
        <f>IFERROR(IF(A23="","",SUM('Asset Allocation'!AP23)/SUM('Asset Allocation'!AI23:AW23,'Asset Allocation'!AB23:AG23)),0)</f>
        <v>5.1209103840682786E-2</v>
      </c>
      <c r="F23" s="6">
        <f>IFERROR(IF(A23="","",SUM('Asset Allocation'!AD23,'Asset Allocation'!AF23,'Asset Allocation'!AU23)/SUM('Asset Allocation'!AI23:AW23,'Asset Allocation'!AB23:AG23)),0)</f>
        <v>4.9786628733997147E-2</v>
      </c>
      <c r="G23" s="6">
        <f>IFERROR(IF(A23="","",SUM('Asset Allocation'!AB23,'Asset Allocation'!AE23,'Asset Allocation'!AI23,'Asset Allocation'!AK23,'Asset Allocation'!AQ23,'Asset Allocation'!AS23)/SUM('Asset Allocation'!AI23:AW23,'Asset Allocation'!AB23:AG23)),0)</f>
        <v>0.17211948790896156</v>
      </c>
      <c r="H23" s="6">
        <f>IFERROR(IF(A23="","",SUM('Asset Allocation'!AO23,'Asset Allocation'!AT23,'Asset Allocation'!AR23)/SUM('Asset Allocation'!AI23:AW23,'Asset Allocation'!AB23:AG23)),0)</f>
        <v>5.6899004267425314E-3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Allocation'!AW24,'Asset Allocation'!AG24,'Asset Allocation'!AC24)/SUM('Asset Allocation'!AI24:AW24,'Asset Allocation'!AB24:AG24)),0)</f>
        <v>0.43113772455089822</v>
      </c>
      <c r="C24" s="6">
        <f>IFERROR(IF(A24="","",SUM('Asset Allocation'!AV24)/SUM('Asset Allocation'!AI24:AW24,'Asset Allocation'!AB24:AG24)),0)</f>
        <v>8.263473053892216E-2</v>
      </c>
      <c r="D24" s="6">
        <f>IFERROR(IF(A24="","",SUM('Asset Allocation'!AJ24,'Asset Allocation'!AL24,'Asset Allocation'!AM24,'Asset Allocation'!AN24)/SUM('Asset Allocation'!AI24:AW24,'Asset Allocation'!AB24:AG24)),0)</f>
        <v>0.18802395209580836</v>
      </c>
      <c r="E24" s="6">
        <f>IFERROR(IF(A24="","",SUM('Asset Allocation'!AP24)/SUM('Asset Allocation'!AI24:AW24,'Asset Allocation'!AB24:AG24)),0)</f>
        <v>5.0299401197604787E-2</v>
      </c>
      <c r="F24" s="6">
        <f>IFERROR(IF(A24="","",SUM('Asset Allocation'!AD24,'Asset Allocation'!AF24,'Asset Allocation'!AU24)/SUM('Asset Allocation'!AI24:AW24,'Asset Allocation'!AB24:AG24)),0)</f>
        <v>5.389221556886227E-2</v>
      </c>
      <c r="G24" s="6">
        <f>IFERROR(IF(A24="","",SUM('Asset Allocation'!AB24,'Asset Allocation'!AE24,'Asset Allocation'!AI24,'Asset Allocation'!AK24,'Asset Allocation'!AQ24,'Asset Allocation'!AS24)/SUM('Asset Allocation'!AI24:AW24,'Asset Allocation'!AB24:AG24)),0)</f>
        <v>0.18682634730538925</v>
      </c>
      <c r="H24" s="6">
        <f>IFERROR(IF(A24="","",SUM('Asset Allocation'!AO24,'Asset Allocation'!AT24,'Asset Allocation'!AR24)/SUM('Asset Allocation'!AI24:AW24,'Asset Allocation'!AB24:AG24)),0)</f>
        <v>7.18562874251497E-3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Allocation'!AW25,'Asset Allocation'!AG25,'Asset Allocation'!AC25)/SUM('Asset Allocation'!AI25:AW25,'Asset Allocation'!AB25:AG25)),0)</f>
        <v>0.41200406917599186</v>
      </c>
      <c r="C25" s="6">
        <f>IFERROR(IF(A25="","",SUM('Asset Allocation'!AV25)/SUM('Asset Allocation'!AI25:AW25,'Asset Allocation'!AB25:AG25)),0)</f>
        <v>7.8331637843336716E-2</v>
      </c>
      <c r="D25" s="6">
        <f>IFERROR(IF(A25="","",SUM('Asset Allocation'!AJ25,'Asset Allocation'!AL25,'Asset Allocation'!AM25,'Asset Allocation'!AN25)/SUM('Asset Allocation'!AI25:AW25,'Asset Allocation'!AB25:AG25)),0)</f>
        <v>0.18107833163784331</v>
      </c>
      <c r="E25" s="6">
        <f>IFERROR(IF(A25="","",SUM('Asset Allocation'!AP25)/SUM('Asset Allocation'!AI25:AW25,'Asset Allocation'!AB25:AG25)),0)</f>
        <v>4.8830111902339775E-2</v>
      </c>
      <c r="F25" s="6">
        <f>IFERROR(IF(A25="","",SUM('Asset Allocation'!AD25,'Asset Allocation'!AF25,'Asset Allocation'!AU25)/SUM('Asset Allocation'!AI25:AW25,'Asset Allocation'!AB25:AG25)),0)</f>
        <v>6.0020345879959303E-2</v>
      </c>
      <c r="G25" s="6">
        <f>IFERROR(IF(A25="","",SUM('Asset Allocation'!AB25,'Asset Allocation'!AE25,'Asset Allocation'!AI25,'Asset Allocation'!AK25,'Asset Allocation'!AQ25,'Asset Allocation'!AS25)/SUM('Asset Allocation'!AI25:AW25,'Asset Allocation'!AB25:AG25)),0)</f>
        <v>0.2115971515768057</v>
      </c>
      <c r="H25" s="6">
        <f>IFERROR(IF(A25="","",SUM('Asset Allocation'!AO25,'Asset Allocation'!AT25,'Asset Allocation'!AR25)/SUM('Asset Allocation'!AI25:AW25,'Asset Allocation'!AB25:AG25)),0)</f>
        <v>8.1383519837232958E-3</v>
      </c>
    </row>
    <row r="26" spans="1:8" x14ac:dyDescent="0.25">
      <c r="A26" t="str">
        <f>IF(Input!A27="","",Input!A27)</f>
        <v>Schroder Blended Portfolio 3</v>
      </c>
      <c r="B26" s="10">
        <f>IFERROR(IF(A26="","",SUM('Asset Allocation'!AW26,'Asset Allocation'!AG26,'Asset Allocation'!AC26)/SUM('Asset Allocation'!AI26:AW26,'Asset Allocation'!AB26:AG26)),0)</f>
        <v>3.8038038038038034E-2</v>
      </c>
      <c r="C26" s="10">
        <f>IFERROR(IF(A26="","",SUM('Asset Allocation'!AV26)),0)</f>
        <v>0.13800000000000001</v>
      </c>
      <c r="D26" s="10">
        <f>IFERROR(IF(A26="","",SUM('Asset Allocation'!AJ26,'Asset Allocation'!AL26,'Asset Allocation'!AM26,'Asset Allocation'!AN26)),0)</f>
        <v>0.32600000000000001</v>
      </c>
      <c r="E26" s="10">
        <f>IFERROR(IF(A26="","",SUM('Asset Allocation'!AP26)),0)</f>
        <v>0.01</v>
      </c>
      <c r="F26" s="10">
        <f>IFERROR(IF(A26="","",SUM('Asset Allocation'!AD26,'Asset Allocation'!AF26,'Asset Allocation'!AU26)),0)</f>
        <v>3.0000000000000001E-3</v>
      </c>
      <c r="G26" s="10">
        <f>IFERROR(IF(A26="","",SUM('Asset Allocation'!AB26,'Asset Allocation'!AE26,'Asset Allocation'!AI26,'Asset Allocation'!AK26,'Asset Allocation'!AQ26)),0)</f>
        <v>0</v>
      </c>
      <c r="H26" s="10">
        <f>IFERROR(IF(A26="","",SUM('Asset Allocation'!AO26,'Asset Allocation'!AT26,'Asset Allocation'!AR26)),0)</f>
        <v>0.48400000000000004</v>
      </c>
    </row>
    <row r="27" spans="1:8" x14ac:dyDescent="0.25">
      <c r="A27" t="str">
        <f>IF(Input!A28="","",Input!A28)</f>
        <v>Schroder Blended Portfolio 4</v>
      </c>
      <c r="B27" s="10">
        <f>IFERROR(IF(A27="","",SUM('Asset Allocation'!AW27,'Asset Allocation'!AG27,'Asset Allocation'!AC27)/SUM('Asset Allocation'!AI27:AW27,'Asset Allocation'!AB27:AG27)),0)</f>
        <v>7.0929070929070914E-2</v>
      </c>
      <c r="C27" s="10">
        <f>IFERROR(IF(A27="","",SUM('Asset Allocation'!AV27)),0)</f>
        <v>0.13800000000000001</v>
      </c>
      <c r="D27" s="10">
        <f>IFERROR(IF(A27="","",SUM('Asset Allocation'!AJ27,'Asset Allocation'!AL27,'Asset Allocation'!AM27,'Asset Allocation'!AN27)),0)</f>
        <v>0.27300000000000002</v>
      </c>
      <c r="E27" s="10">
        <f>IFERROR(IF(A27="","",SUM('Asset Allocation'!AP27)),0)</f>
        <v>1.7000000000000001E-2</v>
      </c>
      <c r="F27" s="10">
        <f>IFERROR(IF(A27="","",SUM('Asset Allocation'!AD27,'Asset Allocation'!AF27,'Asset Allocation'!AU27)),0)</f>
        <v>6.0000000000000001E-3</v>
      </c>
      <c r="G27" s="10">
        <f>IFERROR(IF(A27="","",SUM('Asset Allocation'!AB27,'Asset Allocation'!AE27,'Asset Allocation'!AI27,'Asset Allocation'!AK27,'Asset Allocation'!AQ27)),0)</f>
        <v>0</v>
      </c>
      <c r="H27" s="10">
        <f>IFERROR(IF(A27="","",SUM('Asset Allocation'!AO27,'Asset Allocation'!AT27,'Asset Allocation'!AR27)),0)</f>
        <v>0.496</v>
      </c>
    </row>
    <row r="28" spans="1:8" x14ac:dyDescent="0.25">
      <c r="A28" t="str">
        <f>IF(Input!A29="","",Input!A29)</f>
        <v>Schroder Blended Portfolio 5</v>
      </c>
      <c r="B28" s="10">
        <f>IFERROR(IF(A28="","",SUM('Asset Allocation'!AW28,'Asset Allocation'!AG28,'Asset Allocation'!AC28)/SUM('Asset Allocation'!AI28:AW28,'Asset Allocation'!AB28:AG28)),0)</f>
        <v>9.0180360721442879E-2</v>
      </c>
      <c r="C28" s="10">
        <f>IFERROR(IF(A28="","",SUM('Asset Allocation'!AV28)),0)</f>
        <v>0.151</v>
      </c>
      <c r="D28" s="10">
        <f>IFERROR(IF(A28="","",SUM('Asset Allocation'!AJ28,'Asset Allocation'!AL28,'Asset Allocation'!AM28,'Asset Allocation'!AN28)),0)</f>
        <v>0.23899999999999999</v>
      </c>
      <c r="E28" s="10">
        <f>IFERROR(IF(A28="","",SUM('Asset Allocation'!AP28)),0)</f>
        <v>0.02</v>
      </c>
      <c r="F28" s="10">
        <f>IFERROR(IF(A28="","",SUM('Asset Allocation'!AD28,'Asset Allocation'!AF28,'Asset Allocation'!AU28)),0)</f>
        <v>8.0000000000000002E-3</v>
      </c>
      <c r="G28" s="10">
        <f>IFERROR(IF(A28="","",SUM('Asset Allocation'!AB28,'Asset Allocation'!AE28,'Asset Allocation'!AI28,'Asset Allocation'!AK28,'Asset Allocation'!AQ28)),0)</f>
        <v>0</v>
      </c>
      <c r="H28" s="10">
        <f>IFERROR(IF(A28="","",SUM('Asset Allocation'!AO28,'Asset Allocation'!AT28,'Asset Allocation'!AR28)),0)</f>
        <v>0.49</v>
      </c>
    </row>
    <row r="29" spans="1:8" x14ac:dyDescent="0.25">
      <c r="A29" t="str">
        <f>IF(Input!A30="","",Input!A30)</f>
        <v>Schroder Blended Portfolio 6</v>
      </c>
      <c r="B29" s="10">
        <f>IFERROR(IF(A29="","",SUM('Asset Allocation'!AW29,'Asset Allocation'!AG29,'Asset Allocation'!AC29)/SUM('Asset Allocation'!AI29:AW29,'Asset Allocation'!AB29:AG29)),0)</f>
        <v>0.11211211211211208</v>
      </c>
      <c r="C29" s="10">
        <f>IFERROR(IF(A29="","",SUM('Asset Allocation'!AV29)),0)</f>
        <v>0.16</v>
      </c>
      <c r="D29" s="10">
        <f>IFERROR(IF(A29="","",SUM('Asset Allocation'!AJ29,'Asset Allocation'!AL29,'Asset Allocation'!AM29,'Asset Allocation'!AN29)),0)</f>
        <v>0.20899999999999999</v>
      </c>
      <c r="E29" s="10">
        <f>IFERROR(IF(A29="","",SUM('Asset Allocation'!AP29)),0)</f>
        <v>2.5000000000000001E-2</v>
      </c>
      <c r="F29" s="10">
        <f>IFERROR(IF(A29="","",SUM('Asset Allocation'!AD29,'Asset Allocation'!AF29,'Asset Allocation'!AU29)),0)</f>
        <v>1.3000000000000001E-2</v>
      </c>
      <c r="G29" s="10">
        <f>IFERROR(IF(A29="","",SUM('Asset Allocation'!AB29,'Asset Allocation'!AE29,'Asset Allocation'!AI29,'Asset Allocation'!AK29,'Asset Allocation'!AQ29)),0)</f>
        <v>0</v>
      </c>
      <c r="H29" s="10">
        <f>IFERROR(IF(A29="","",SUM('Asset Allocation'!AO29,'Asset Allocation'!AT29,'Asset Allocation'!AR29)),0)</f>
        <v>0.48000000000000004</v>
      </c>
    </row>
    <row r="30" spans="1:8" x14ac:dyDescent="0.25">
      <c r="A30" t="str">
        <f>IF(Input!A31="","",Input!A31)</f>
        <v>Schroder Blended Portfolio 7</v>
      </c>
      <c r="B30" s="10">
        <f>IFERROR(IF(A30="","",SUM('Asset Allocation'!AW30,'Asset Allocation'!AG30,'Asset Allocation'!AC30)/SUM('Asset Allocation'!AI30:AW30,'Asset Allocation'!AB30:AG30)),0)</f>
        <v>0.13100000000000001</v>
      </c>
      <c r="C30" s="10">
        <f>IFERROR(IF(A30="","",SUM('Asset Allocation'!AV30)),0)</f>
        <v>0.17899999999999999</v>
      </c>
      <c r="D30" s="10">
        <f>IFERROR(IF(A30="","",SUM('Asset Allocation'!AJ30,'Asset Allocation'!AL30,'Asset Allocation'!AM30,'Asset Allocation'!AN30)),0)</f>
        <v>0.17899999999999999</v>
      </c>
      <c r="E30" s="10">
        <f>IFERROR(IF(A30="","",SUM('Asset Allocation'!AP30)),0)</f>
        <v>2.8999999999999998E-2</v>
      </c>
      <c r="F30" s="10">
        <f>IFERROR(IF(A30="","",SUM('Asset Allocation'!AD30,'Asset Allocation'!AF30,'Asset Allocation'!AU30)),0)</f>
        <v>1.9E-2</v>
      </c>
      <c r="G30" s="10">
        <f>IFERROR(IF(A30="","",SUM('Asset Allocation'!AB30,'Asset Allocation'!AE30,'Asset Allocation'!AI30,'Asset Allocation'!AK30,'Asset Allocation'!AQ30)),0)</f>
        <v>0</v>
      </c>
      <c r="H30" s="10">
        <f>IFERROR(IF(A30="","",SUM('Asset Allocation'!AO30,'Asset Allocation'!AT30,'Asset Allocation'!AR30)),0)</f>
        <v>0.46300000000000002</v>
      </c>
    </row>
    <row r="31" spans="1:8" x14ac:dyDescent="0.25">
      <c r="A31" t="str">
        <f>IF(Input!A32="","",Input!A32)</f>
        <v>Schroder Blended Portfolio 8</v>
      </c>
      <c r="B31" s="10">
        <f>IFERROR(IF(A31="","",SUM('Asset Allocation'!AW31,'Asset Allocation'!AG31,'Asset Allocation'!AC31)/SUM('Asset Allocation'!AI31:AW31,'Asset Allocation'!AB31:AG31)),0)</f>
        <v>0.14699999999999999</v>
      </c>
      <c r="C31" s="10">
        <f>IFERROR(IF(A31="","",SUM('Asset Allocation'!AV31)),0)</f>
        <v>0.19399999999999998</v>
      </c>
      <c r="D31" s="10">
        <f>IFERROR(IF(A31="","",SUM('Asset Allocation'!AJ31,'Asset Allocation'!AL31,'Asset Allocation'!AM31,'Asset Allocation'!AN31)),0)</f>
        <v>0.159</v>
      </c>
      <c r="E31" s="10">
        <f>IFERROR(IF(A31="","",SUM('Asset Allocation'!AP31)),0)</f>
        <v>3.3000000000000002E-2</v>
      </c>
      <c r="F31" s="10">
        <f>IFERROR(IF(A31="","",SUM('Asset Allocation'!AD31,'Asset Allocation'!AF31,'Asset Allocation'!AU31)),0)</f>
        <v>2.7999999999999997E-2</v>
      </c>
      <c r="G31" s="10">
        <f>IFERROR(IF(A31="","",SUM('Asset Allocation'!AB31,'Asset Allocation'!AE31,'Asset Allocation'!AI31,'Asset Allocation'!AK31,'Asset Allocation'!AQ31)),0)</f>
        <v>0</v>
      </c>
      <c r="H31" s="10">
        <f>IFERROR(IF(A31="","",SUM('Asset Allocation'!AO31,'Asset Allocation'!AT31,'Asset Allocation'!AR31)),0)</f>
        <v>0.43900000000000006</v>
      </c>
    </row>
    <row r="32" spans="1:8" x14ac:dyDescent="0.25">
      <c r="A32" t="str">
        <f>IF(Input!A33="","",Input!A33)</f>
        <v>Schroder Income Portfolio</v>
      </c>
      <c r="B32" s="10">
        <f>IFERROR(IF(A32="","",SUM('Asset Allocation'!AW32,'Asset Allocation'!AG32,'Asset Allocation'!AC32)/SUM('Asset Allocation'!AI32:AW32,'Asset Allocation'!AB32:AG32)),0)</f>
        <v>4.7E-2</v>
      </c>
      <c r="C32" s="10">
        <f>IFERROR(IF(A32="","",SUM('Asset Allocation'!AV32)),0)</f>
        <v>0.29100000000000004</v>
      </c>
      <c r="D32" s="10">
        <f>IFERROR(IF(A32="","",SUM('Asset Allocation'!AJ32,'Asset Allocation'!AL32,'Asset Allocation'!AM32,'Asset Allocation'!AN32)),0)</f>
        <v>0.19600000000000001</v>
      </c>
      <c r="E32" s="10">
        <f>IFERROR(IF(A32="","",SUM('Asset Allocation'!AP32)),0)</f>
        <v>0</v>
      </c>
      <c r="F32" s="10">
        <f>IFERROR(IF(A32="","",SUM('Asset Allocation'!AD32,'Asset Allocation'!AF32,'Asset Allocation'!AU32)),0)</f>
        <v>8.0000000000000002E-3</v>
      </c>
      <c r="G32" s="10">
        <f>IFERROR(IF(A32="","",SUM('Asset Allocation'!AB32,'Asset Allocation'!AE32,'Asset Allocation'!AI32,'Asset Allocation'!AK32,'Asset Allocation'!AQ32)),0)</f>
        <v>0</v>
      </c>
      <c r="H32" s="10">
        <f>IFERROR(IF(A32="","",SUM('Asset Allocation'!AO32,'Asset Allocation'!AT32,'Asset Allocation'!AR32)),0)</f>
        <v>0.45800000000000002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Allocation'!AW33,'Asset Allocation'!AG33,'Asset Allocation'!AC33)/SUM('Asset Allocation'!AI33:AW33,'Asset Allocation'!AB33:AG33)),0)</f>
        <v>0</v>
      </c>
      <c r="C33" s="6">
        <f>IFERROR(IF(A33="","",SUM('Asset Allocation'!AV33)/SUM('Asset Allocation'!AI33:AW33,'Asset Allocation'!AB33:AG33)),0)</f>
        <v>0</v>
      </c>
      <c r="D33" s="6">
        <f>IFERROR(IF(A33="","",SUM('Asset Allocation'!AJ33,'Asset Allocation'!AL33,'Asset Allocation'!AM33,'Asset Allocation'!AN33)/SUM('Asset Allocation'!AI33:AW33,'Asset Allocation'!AB33:AG33)),0)</f>
        <v>0</v>
      </c>
      <c r="E33" s="6">
        <f>IFERROR(IF(A33="","",SUM('Asset Allocation'!AP33)/SUM('Asset Allocation'!AI33:AW33,'Asset Allocation'!AB33:AG33)),0)</f>
        <v>0</v>
      </c>
      <c r="F33" s="6">
        <f>IFERROR(IF(A33="","",SUM('Asset Allocation'!AD33,'Asset Allocation'!AF33,'Asset Allocation'!AU33)/SUM('Asset Allocation'!AI33:AW33,'Asset Allocation'!AB33:AG33)),0)</f>
        <v>0</v>
      </c>
      <c r="G33" s="6">
        <f>IFERROR(IF(A33="","",SUM('Asset Allocation'!AB33,'Asset Allocation'!AE33,'Asset Allocation'!AI33,'Asset Allocation'!AK33,'Asset Allocation'!AQ33,'Asset Allocation'!AS33)/SUM('Asset Allocation'!AI33:AW33,'Asset Allocation'!AB33:AG33)),0)</f>
        <v>0</v>
      </c>
      <c r="H33" s="6">
        <f>IFERROR(IF(A33="","",SUM('Asset Allocation'!AO33,'Asset Allocation'!AT33,'Asset Allocation'!AR33)/SUM('Asset Allocation'!AI33:AW33,'Asset Allocation'!AB33:AG33)),0)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Allocation'!AW34,'Asset Allocation'!AG34,'Asset Allocation'!AC34)/SUM('Asset Allocation'!AI34:AW34,'Asset Allocation'!AB34:AG34)),0)</f>
        <v>0</v>
      </c>
      <c r="C34" s="6">
        <f>IFERROR(IF(A34="","",SUM('Asset Allocation'!AV34)/SUM('Asset Allocation'!AI34:AW34,'Asset Allocation'!AB34:AG34)),0)</f>
        <v>0</v>
      </c>
      <c r="D34" s="6">
        <f>IFERROR(IF(A34="","",SUM('Asset Allocation'!AJ34,'Asset Allocation'!AL34,'Asset Allocation'!AM34,'Asset Allocation'!AN34)/SUM('Asset Allocation'!AI34:AW34,'Asset Allocation'!AB34:AG34)),0)</f>
        <v>0</v>
      </c>
      <c r="E34" s="6">
        <f>IFERROR(IF(A34="","",SUM('Asset Allocation'!AP34)/SUM('Asset Allocation'!AI34:AW34,'Asset Allocation'!AB34:AG34)),0)</f>
        <v>0</v>
      </c>
      <c r="F34" s="6">
        <f>IFERROR(IF(A34="","",SUM('Asset Allocation'!AD34,'Asset Allocation'!AF34,'Asset Allocation'!AU34)/SUM('Asset Allocation'!AI34:AW34,'Asset Allocation'!AB34:AG34)),0)</f>
        <v>0</v>
      </c>
      <c r="G34" s="6">
        <f>IFERROR(IF(A34="","",SUM('Asset Allocation'!AB34,'Asset Allocation'!AE34,'Asset Allocation'!AI34,'Asset Allocation'!AK34,'Asset Allocation'!AQ34,'Asset Allocation'!AS34)/SUM('Asset Allocation'!AI34:AW34,'Asset Allocation'!AB34:AG34)),0)</f>
        <v>0</v>
      </c>
      <c r="H34" s="6">
        <f>IFERROR(IF(A34="","",SUM('Asset Allocation'!AO34,'Asset Allocation'!AT34,'Asset Allocation'!AR34)/SUM('Asset Allocation'!AI34:AW34,'Asset Allocation'!AB34:AG34)),0)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Allocation'!AW35,'Asset Allocation'!AG35,'Asset Allocation'!AC35)/SUM('Asset Allocation'!AI35:AW35,'Asset Allocation'!AB35:AG35)),0)</f>
        <v>0</v>
      </c>
      <c r="C35" s="6">
        <f>IFERROR(IF(A35="","",SUM('Asset Allocation'!AV35)/SUM('Asset Allocation'!AI35:AW35,'Asset Allocation'!AB35:AG35)),0)</f>
        <v>0</v>
      </c>
      <c r="D35" s="6">
        <f>IFERROR(IF(A35="","",SUM('Asset Allocation'!AJ35,'Asset Allocation'!AL35,'Asset Allocation'!AM35,'Asset Allocation'!AN35)/SUM('Asset Allocation'!AI35:AW35,'Asset Allocation'!AB35:AG35)),0)</f>
        <v>0</v>
      </c>
      <c r="E35" s="6">
        <f>IFERROR(IF(A35="","",SUM('Asset Allocation'!AP35)/SUM('Asset Allocation'!AI35:AW35,'Asset Allocation'!AB35:AG35)),0)</f>
        <v>0</v>
      </c>
      <c r="F35" s="6">
        <f>IFERROR(IF(A35="","",SUM('Asset Allocation'!AD35,'Asset Allocation'!AF35,'Asset Allocation'!AU35)/SUM('Asset Allocation'!AI35:AW35,'Asset Allocation'!AB35:AG35)),0)</f>
        <v>0</v>
      </c>
      <c r="G35" s="6">
        <f>IFERROR(IF(A35="","",SUM('Asset Allocation'!AB35,'Asset Allocation'!AE35,'Asset Allocation'!AI35,'Asset Allocation'!AK35,'Asset Allocation'!AQ35,'Asset Allocation'!AS35)/SUM('Asset Allocation'!AI35:AW35,'Asset Allocation'!AB35:AG35)),0)</f>
        <v>0</v>
      </c>
      <c r="H35" s="6">
        <f>IFERROR(IF(A35="","",SUM('Asset Allocation'!AO35,'Asset Allocation'!AT35,'Asset Allocation'!AR35)/SUM('Asset Allocation'!AI35:AW35,'Asset Allocation'!AB35:AG35)),0)</f>
        <v>0</v>
      </c>
    </row>
    <row r="36" spans="1:8" x14ac:dyDescent="0.25">
      <c r="A36" t="str">
        <f>IF(Input!A37="","",Input!A37)</f>
        <v>Schroder Global Multi-Asset Balanced Portfolio</v>
      </c>
      <c r="B36" s="6">
        <f>IFERROR(IF(A36="","",SUM('Asset Allocation'!AW36,'Asset Allocation'!AG36,'Asset Allocation'!AC36)/SUM('Asset Allocation'!AI36:AW36,'Asset Allocation'!AB36:AG36)),0)</f>
        <v>0</v>
      </c>
      <c r="C36" s="6">
        <f>IFERROR(IF(A36="","",SUM('Asset Allocation'!AV36)/SUM('Asset Allocation'!AI36:AW36,'Asset Allocation'!AB36:AG36)),0)</f>
        <v>0</v>
      </c>
      <c r="D36" s="6">
        <f>IFERROR(IF(A36="","",SUM('Asset Allocation'!AJ36,'Asset Allocation'!AL36,'Asset Allocation'!AM36,'Asset Allocation'!AN36)/SUM('Asset Allocation'!AI36:AW36,'Asset Allocation'!AB36:AG36)),0)</f>
        <v>0</v>
      </c>
      <c r="E36" s="6">
        <f>IFERROR(IF(A36="","",SUM('Asset Allocation'!AP36)/SUM('Asset Allocation'!AI36:AW36,'Asset Allocation'!AB36:AG36)),0)</f>
        <v>0</v>
      </c>
      <c r="F36" s="6">
        <f>IFERROR(IF(A36="","",SUM('Asset Allocation'!AD36,'Asset Allocation'!AF36,'Asset Allocation'!AU36)/SUM('Asset Allocation'!AI36:AW36,'Asset Allocation'!AB36:AG36)),0)</f>
        <v>0</v>
      </c>
      <c r="G36" s="6">
        <f>IFERROR(IF(A36="","",SUM('Asset Allocation'!AB36,'Asset Allocation'!AE36,'Asset Allocation'!AI36,'Asset Allocation'!AK36,'Asset Allocation'!AQ36,'Asset Allocation'!AS36)/SUM('Asset Allocation'!AI36:AW36,'Asset Allocation'!AB36:AG36)),0)</f>
        <v>0</v>
      </c>
      <c r="H36" s="6">
        <f>IFERROR(IF(A36="","",SUM('Asset Allocation'!AO36,'Asset Allocation'!AT36,'Asset Allocation'!AR36)/SUM('Asset Allocation'!AI36:AW36,'Asset Allocation'!AB36:AG36)),0)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Allocation'!AW37,'Asset Allocation'!AG37,'Asset Allocation'!AC37)/SUM('Asset Allocation'!AI37:AW37,'Asset Allocation'!AB37:AG37)),0)</f>
        <v>0</v>
      </c>
      <c r="C37" s="6">
        <f>IFERROR(IF(A37="","",SUM('Asset Allocation'!AV37)/SUM('Asset Allocation'!AI37:AW37,'Asset Allocation'!AB37:AG37)),0)</f>
        <v>0</v>
      </c>
      <c r="D37" s="6">
        <f>IFERROR(IF(A37="","",SUM('Asset Allocation'!AJ37,'Asset Allocation'!AL37,'Asset Allocation'!AM37,'Asset Allocation'!AN37)/SUM('Asset Allocation'!AI37:AW37,'Asset Allocation'!AB37:AG37)),0)</f>
        <v>0</v>
      </c>
      <c r="E37" s="6">
        <f>IFERROR(IF(A37="","",SUM('Asset Allocation'!AP37)/SUM('Asset Allocation'!AI37:AW37,'Asset Allocation'!AB37:AG37)),0)</f>
        <v>0</v>
      </c>
      <c r="F37" s="6">
        <f>IFERROR(IF(A37="","",SUM('Asset Allocation'!AD37,'Asset Allocation'!AF37,'Asset Allocation'!AU37)/SUM('Asset Allocation'!AI37:AW37,'Asset Allocation'!AB37:AG37)),0)</f>
        <v>0</v>
      </c>
      <c r="G37" s="6">
        <f>IFERROR(IF(A37="","",SUM('Asset Allocation'!AB37,'Asset Allocation'!AE37,'Asset Allocation'!AI37,'Asset Allocation'!AK37,'Asset Allocation'!AQ37,'Asset Allocation'!AS37)/SUM('Asset Allocation'!AI37:AW37,'Asset Allocation'!AB37:AG37)),0)</f>
        <v>0</v>
      </c>
      <c r="H37" s="6">
        <f>IFERROR(IF(A37="","",SUM('Asset Allocation'!AO37,'Asset Allocation'!AT37,'Asset Allocation'!AR37)/SUM('Asset Allocation'!AI37:AW37,'Asset Allocation'!AB37:AG37)),0)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Allocation'!AW38,'Asset Allocation'!AG38,'Asset Allocation'!AC38)/SUM('Asset Allocation'!AI38:AW38,'Asset Allocation'!AB38:AG38)),0)</f>
        <v>0</v>
      </c>
      <c r="C38" s="6">
        <f>IFERROR(IF(A38="","",SUM('Asset Allocation'!AV38)/SUM('Asset Allocation'!AI38:AW38,'Asset Allocation'!AB38:AG38)),0)</f>
        <v>0</v>
      </c>
      <c r="D38" s="6">
        <f>IFERROR(IF(A38="","",SUM('Asset Allocation'!AJ38,'Asset Allocation'!AL38,'Asset Allocation'!AM38,'Asset Allocation'!AN38)/SUM('Asset Allocation'!AI38:AW38,'Asset Allocation'!AB38:AG38)),0)</f>
        <v>0</v>
      </c>
      <c r="E38" s="6">
        <f>IFERROR(IF(A38="","",SUM('Asset Allocation'!AP38)/SUM('Asset Allocation'!AI38:AW38,'Asset Allocation'!AB38:AG38)),0)</f>
        <v>0</v>
      </c>
      <c r="F38" s="6">
        <f>IFERROR(IF(A38="","",SUM('Asset Allocation'!AD38,'Asset Allocation'!AF38,'Asset Allocation'!AU38)/SUM('Asset Allocation'!AI38:AW38,'Asset Allocation'!AB38:AG38)),0)</f>
        <v>0</v>
      </c>
      <c r="G38" s="6">
        <f>IFERROR(IF(A38="","",SUM('Asset Allocation'!AB38,'Asset Allocation'!AE38,'Asset Allocation'!AI38,'Asset Allocation'!AK38,'Asset Allocation'!AQ38,'Asset Allocation'!AS38)/SUM('Asset Allocation'!AI38:AW38,'Asset Allocation'!AB38:AG38)),0)</f>
        <v>0</v>
      </c>
      <c r="H38" s="6">
        <f>IFERROR(IF(A38="","",SUM('Asset Allocation'!AO38,'Asset Allocation'!AT38,'Asset Allocation'!AR38)/SUM('Asset Allocation'!AI38:AW38,'Asset Allocation'!AB38:AG38)),0)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Allocation'!AW39,'Asset Allocation'!AG39,'Asset Allocation'!AC39)/SUM('Asset Allocation'!AI39:AW39,'Asset Allocation'!AB39:AG39)),0)</f>
        <v/>
      </c>
      <c r="C39" s="6" t="str">
        <f>IFERROR(IF(A39="","",SUM('Asset Allocation'!AV39)/SUM('Asset Allocation'!AI39:AW39,'Asset Allocation'!AB39:AG39)),0)</f>
        <v/>
      </c>
      <c r="D39" s="6" t="str">
        <f>IFERROR(IF(A39="","",SUM('Asset Allocation'!AJ39,'Asset Allocation'!AL39,'Asset Allocation'!AM39,'Asset Allocation'!AN39)/SUM('Asset Allocation'!AI39:AW39,'Asset Allocation'!AB39:AG39)),0)</f>
        <v/>
      </c>
      <c r="E39" s="6" t="str">
        <f>IFERROR(IF(A39="","",SUM('Asset Allocation'!AP39)/SUM('Asset Allocation'!AI39:AW39,'Asset Allocation'!AB39:AG39)),0)</f>
        <v/>
      </c>
      <c r="F39" s="6" t="str">
        <f>IFERROR(IF(A39="","",SUM('Asset Allocation'!AD39,'Asset Allocation'!AF39,'Asset Allocation'!AU39)/SUM('Asset Allocation'!AI39:AW39,'Asset Allocation'!AB39:AG39)),0)</f>
        <v/>
      </c>
      <c r="G39" s="6" t="str">
        <f>IFERROR(IF(A39="","",SUM('Asset Allocation'!AB39,'Asset Allocation'!AE39,'Asset Allocation'!AI39,'Asset Allocation'!AK39,'Asset Allocation'!AQ39)/SUM('Asset Allocation'!AI39:AW39,'Asset Allocation'!AB39:AG39)),0)</f>
        <v/>
      </c>
      <c r="H39" s="6" t="str">
        <f>IFERROR(IF(A39="","",SUM('Asset Allocation'!AO39,'Asset Allocation'!AT39)/SUM('Asset Allocation'!AI39:AW39,'Asset Allocation'!AB39:AG39)),0)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Allocation'!AW40,'Asset Allocation'!AG40,'Asset Allocation'!AC40)/SUM('Asset Allocation'!AI40:AW40,'Asset Allocation'!AB40:AG40)),0)</f>
        <v/>
      </c>
      <c r="C40" s="6" t="str">
        <f>IFERROR(IF(A40="","",SUM('Asset Allocation'!AV40)/SUM('Asset Allocation'!AI40:AW40,'Asset Allocation'!AB40:AG40)),0)</f>
        <v/>
      </c>
      <c r="D40" s="6" t="str">
        <f>IFERROR(IF(A40="","",SUM('Asset Allocation'!AJ40,'Asset Allocation'!AL40,'Asset Allocation'!AM40,'Asset Allocation'!AN40)/SUM('Asset Allocation'!AI40:AW40,'Asset Allocation'!AB40:AG40)),0)</f>
        <v/>
      </c>
      <c r="E40" s="6" t="str">
        <f>IFERROR(IF(A40="","",SUM('Asset Allocation'!AP40)/SUM('Asset Allocation'!AI40:AW40,'Asset Allocation'!AB40:AG40)),0)</f>
        <v/>
      </c>
      <c r="F40" s="6" t="str">
        <f>IFERROR(IF(A40="","",SUM('Asset Allocation'!AD40,'Asset Allocation'!AF40,'Asset Allocation'!AU40)/SUM('Asset Allocation'!AI40:AW40,'Asset Allocation'!AB40:AG40)),0)</f>
        <v/>
      </c>
      <c r="G40" s="6" t="str">
        <f>IFERROR(IF(A40="","",SUM('Asset Allocation'!AB40,'Asset Allocation'!AE40,'Asset Allocation'!AI40,'Asset Allocation'!AK40,'Asset Allocation'!AQ40)/SUM('Asset Allocation'!AI40:AW40,'Asset Allocation'!AB40:AG40)),0)</f>
        <v/>
      </c>
      <c r="H40" s="6" t="str">
        <f>IFERROR(IF(A40="","",SUM('Asset Allocation'!AO40,'Asset Allocation'!AT40)/SUM('Asset Allocation'!AI40:AW40,'Asset Allocation'!AB40:AG40)),0)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Allocation'!AW41,'Asset Allocation'!AG41,'Asset Allocation'!AC41)/SUM('Asset Allocation'!AI41:AW41,'Asset Allocation'!AB41:AG41)),0)</f>
        <v/>
      </c>
      <c r="C41" s="6" t="str">
        <f>IFERROR(IF(A41="","",SUM('Asset Allocation'!AV41)/SUM('Asset Allocation'!AI41:AW41,'Asset Allocation'!AB41:AG41)),0)</f>
        <v/>
      </c>
      <c r="D41" s="6" t="str">
        <f>IFERROR(IF(A41="","",SUM('Asset Allocation'!AJ41,'Asset Allocation'!AL41,'Asset Allocation'!AM41,'Asset Allocation'!AN41)/SUM('Asset Allocation'!AI41:AW41,'Asset Allocation'!AB41:AG41)),0)</f>
        <v/>
      </c>
      <c r="E41" s="6" t="str">
        <f>IFERROR(IF(A41="","",SUM('Asset Allocation'!AP41)/SUM('Asset Allocation'!AI41:AW41,'Asset Allocation'!AB41:AG41)),0)</f>
        <v/>
      </c>
      <c r="F41" s="6" t="str">
        <f>IFERROR(IF(A41="","",SUM('Asset Allocation'!AD41,'Asset Allocation'!AF41,'Asset Allocation'!AU41)/SUM('Asset Allocation'!AI41:AW41,'Asset Allocation'!AB41:AG41)),0)</f>
        <v/>
      </c>
      <c r="G41" s="6" t="str">
        <f>IFERROR(IF(A41="","",SUM('Asset Allocation'!AB41,'Asset Allocation'!AE41,'Asset Allocation'!AI41,'Asset Allocation'!AK41,'Asset Allocation'!AQ41)/SUM('Asset Allocation'!AI41:AW41,'Asset Allocation'!AB41:AG41)),0)</f>
        <v/>
      </c>
      <c r="H41" s="6" t="str">
        <f>IFERROR(IF(A41="","",SUM('Asset Allocation'!AO41,'Asset Allocation'!AT41)/SUM('Asset Allocation'!AI41:AW41,'Asset Allocation'!AB41:AG41)),0)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Allocation'!AW42,'Asset Allocation'!AG42,'Asset Allocation'!AC42)/SUM('Asset Allocation'!AI42:AW42,'Asset Allocation'!AB42:AG42)),0)</f>
        <v/>
      </c>
      <c r="C42" s="6" t="str">
        <f>IFERROR(IF(A42="","",SUM('Asset Allocation'!AV42)/SUM('Asset Allocation'!AI42:AW42,'Asset Allocation'!AB42:AG42)),0)</f>
        <v/>
      </c>
      <c r="D42" s="6" t="str">
        <f>IFERROR(IF(A42="","",SUM('Asset Allocation'!AJ42,'Asset Allocation'!AL42,'Asset Allocation'!AM42,'Asset Allocation'!AN42)/SUM('Asset Allocation'!AI42:AW42,'Asset Allocation'!AB42:AG42)),0)</f>
        <v/>
      </c>
      <c r="E42" s="6" t="str">
        <f>IFERROR(IF(A42="","",SUM('Asset Allocation'!AP42)/SUM('Asset Allocation'!AI42:AW42,'Asset Allocation'!AB42:AG42)),0)</f>
        <v/>
      </c>
      <c r="F42" s="6" t="str">
        <f>IFERROR(IF(A42="","",SUM('Asset Allocation'!AD42,'Asset Allocation'!AF42,'Asset Allocation'!AU42)/SUM('Asset Allocation'!AI42:AW42,'Asset Allocation'!AB42:AG42)),0)</f>
        <v/>
      </c>
      <c r="G42" s="6" t="str">
        <f>IFERROR(IF(A42="","",SUM('Asset Allocation'!AB42,'Asset Allocation'!AE42,'Asset Allocation'!AI42,'Asset Allocation'!AK42,'Asset Allocation'!AQ42)/SUM('Asset Allocation'!AI42:AW42,'Asset Allocation'!AB42:AG42)),0)</f>
        <v/>
      </c>
      <c r="H42" s="6" t="str">
        <f>IFERROR(IF(A42="","",SUM('Asset Allocation'!AO42,'Asset Allocation'!AT42)/SUM('Asset Allocation'!AI42:AW42,'Asset Allocation'!AB42:AG42)),0)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Allocation'!AW43,'Asset Allocation'!AG43,'Asset Allocation'!AC43)/SUM('Asset Allocation'!AI43:AW43,'Asset Allocation'!AB43:AG43)),0)</f>
        <v/>
      </c>
      <c r="C43" s="6" t="str">
        <f>IFERROR(IF(A43="","",SUM('Asset Allocation'!AV43)/SUM('Asset Allocation'!AI43:AW43,'Asset Allocation'!AB43:AG43)),0)</f>
        <v/>
      </c>
      <c r="D43" s="6" t="str">
        <f>IFERROR(IF(A43="","",SUM('Asset Allocation'!AJ43,'Asset Allocation'!AL43,'Asset Allocation'!AM43,'Asset Allocation'!AN43)/SUM('Asset Allocation'!AI43:AW43,'Asset Allocation'!AB43:AG43)),0)</f>
        <v/>
      </c>
      <c r="E43" s="6" t="str">
        <f>IFERROR(IF(A43="","",SUM('Asset Allocation'!AP43)/SUM('Asset Allocation'!AI43:AW43,'Asset Allocation'!AB43:AG43)),0)</f>
        <v/>
      </c>
      <c r="F43" s="6" t="str">
        <f>IFERROR(IF(A43="","",SUM('Asset Allocation'!AD43,'Asset Allocation'!AF43,'Asset Allocation'!AU43)/SUM('Asset Allocation'!AI43:AW43,'Asset Allocation'!AB43:AG43)),0)</f>
        <v/>
      </c>
      <c r="G43" s="6" t="str">
        <f>IFERROR(IF(A43="","",SUM('Asset Allocation'!AB43,'Asset Allocation'!AE43,'Asset Allocation'!AI43,'Asset Allocation'!AK43,'Asset Allocation'!AQ43)/SUM('Asset Allocation'!AI43:AW43,'Asset Allocation'!AB43:AG43)),0)</f>
        <v/>
      </c>
      <c r="H43" s="6" t="str">
        <f>IFERROR(IF(A43="","",SUM('Asset Allocation'!AO43,'Asset Allocation'!AT43)/SUM('Asset Allocation'!AI43:AW43,'Asset Allocation'!AB43:AG43)),0)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Allocation'!AW44,'Asset Allocation'!AG44,'Asset Allocation'!AC44)/SUM('Asset Allocation'!AI44:AW44,'Asset Allocation'!AB44:AG44)),0)</f>
        <v/>
      </c>
      <c r="C44" s="6" t="str">
        <f>IFERROR(IF(A44="","",SUM('Asset Allocation'!AV44)/SUM('Asset Allocation'!AI44:AW44,'Asset Allocation'!AB44:AG44)),0)</f>
        <v/>
      </c>
      <c r="D44" s="6" t="str">
        <f>IFERROR(IF(A44="","",SUM('Asset Allocation'!AJ44,'Asset Allocation'!AL44,'Asset Allocation'!AM44,'Asset Allocation'!AN44)/SUM('Asset Allocation'!AI44:AW44,'Asset Allocation'!AB44:AG44)),0)</f>
        <v/>
      </c>
      <c r="E44" s="6" t="str">
        <f>IFERROR(IF(A44="","",SUM('Asset Allocation'!AP44)/SUM('Asset Allocation'!AI44:AW44,'Asset Allocation'!AB44:AG44)),0)</f>
        <v/>
      </c>
      <c r="F44" s="6" t="str">
        <f>IFERROR(IF(A44="","",SUM('Asset Allocation'!AD44,'Asset Allocation'!AF44,'Asset Allocation'!AU44)/SUM('Asset Allocation'!AI44:AW44,'Asset Allocation'!AB44:AG44)),0)</f>
        <v/>
      </c>
      <c r="G44" s="6" t="str">
        <f>IFERROR(IF(A44="","",SUM('Asset Allocation'!AB44,'Asset Allocation'!AE44,'Asset Allocation'!AI44,'Asset Allocation'!AK44,'Asset Allocation'!AQ44)/SUM('Asset Allocation'!AI44:AW44,'Asset Allocation'!AB44:AG44)),0)</f>
        <v/>
      </c>
      <c r="H44" s="6" t="str">
        <f>IFERROR(IF(A44="","",SUM('Asset Allocation'!AO44,'Asset Allocation'!AT44)/SUM('Asset Allocation'!AI44:AW44,'Asset Allocation'!AB44:AG44)),0)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Allocation'!AW45,'Asset Allocation'!AG45,'Asset Allocation'!AC45)/SUM('Asset Allocation'!AI45:AW45,'Asset Allocation'!AB45:AG45)),0)</f>
        <v/>
      </c>
      <c r="C45" s="6" t="str">
        <f>IFERROR(IF(A45="","",SUM('Asset Allocation'!AV45)/SUM('Asset Allocation'!AI45:AW45,'Asset Allocation'!AB45:AG45)),0)</f>
        <v/>
      </c>
      <c r="D45" s="6" t="str">
        <f>IFERROR(IF(A45="","",SUM('Asset Allocation'!AJ45,'Asset Allocation'!AL45,'Asset Allocation'!AM45,'Asset Allocation'!AN45)/SUM('Asset Allocation'!AI45:AW45,'Asset Allocation'!AB45:AG45)),0)</f>
        <v/>
      </c>
      <c r="E45" s="6" t="str">
        <f>IFERROR(IF(A45="","",SUM('Asset Allocation'!AP45)/SUM('Asset Allocation'!AI45:AW45,'Asset Allocation'!AB45:AG45)),0)</f>
        <v/>
      </c>
      <c r="F45" s="6" t="str">
        <f>IFERROR(IF(A45="","",SUM('Asset Allocation'!AD45,'Asset Allocation'!AF45,'Asset Allocation'!AU45)/SUM('Asset Allocation'!AI45:AW45,'Asset Allocation'!AB45:AG45)),0)</f>
        <v/>
      </c>
      <c r="G45" s="6" t="str">
        <f>IFERROR(IF(A45="","",SUM('Asset Allocation'!AB45,'Asset Allocation'!AE45,'Asset Allocation'!AI45,'Asset Allocation'!AK45,'Asset Allocation'!AQ45)/SUM('Asset Allocation'!AI45:AW45,'Asset Allocation'!AB45:AG45)),0)</f>
        <v/>
      </c>
      <c r="H45" s="6" t="str">
        <f>IFERROR(IF(A45="","",SUM('Asset Allocation'!AO45,'Asset Allocation'!AT45)/SUM('Asset Allocation'!AI45:AW45,'Asset Allocation'!AB45:AG45)),0)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Allocation'!AW46,'Asset Allocation'!AG46,'Asset Allocation'!AC46)/SUM('Asset Allocation'!AI46:AW46,'Asset Allocation'!AB46:AG46)),0)</f>
        <v/>
      </c>
      <c r="C46" s="6" t="str">
        <f>IFERROR(IF(A46="","",SUM('Asset Allocation'!AV46)/SUM('Asset Allocation'!AI46:AW46,'Asset Allocation'!AB46:AG46)),0)</f>
        <v/>
      </c>
      <c r="D46" s="6" t="str">
        <f>IFERROR(IF(A46="","",SUM('Asset Allocation'!AJ46,'Asset Allocation'!AL46,'Asset Allocation'!AM46,'Asset Allocation'!AN46)/SUM('Asset Allocation'!AI46:AW46,'Asset Allocation'!AB46:AG46)),0)</f>
        <v/>
      </c>
      <c r="E46" s="6" t="str">
        <f>IFERROR(IF(A46="","",SUM('Asset Allocation'!AP46)/SUM('Asset Allocation'!AI46:AW46,'Asset Allocation'!AB46:AG46)),0)</f>
        <v/>
      </c>
      <c r="F46" s="6" t="str">
        <f>IFERROR(IF(A46="","",SUM('Asset Allocation'!AD46,'Asset Allocation'!AF46,'Asset Allocation'!AU46)/SUM('Asset Allocation'!AI46:AW46,'Asset Allocation'!AB46:AG46)),0)</f>
        <v/>
      </c>
      <c r="G46" s="6" t="str">
        <f>IFERROR(IF(A46="","",SUM('Asset Allocation'!AB46,'Asset Allocation'!AE46,'Asset Allocation'!AI46,'Asset Allocation'!AK46,'Asset Allocation'!AQ46)/SUM('Asset Allocation'!AI46:AW46,'Asset Allocation'!AB46:AG46)),0)</f>
        <v/>
      </c>
      <c r="H46" s="6" t="str">
        <f>IFERROR(IF(A46="","",SUM('Asset Allocation'!AO46,'Asset Allocation'!AT46)/SUM('Asset Allocation'!AI46:AW46,'Asset Allocation'!AB46:AG46)),0)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Allocation'!AW47,'Asset Allocation'!AG47,'Asset Allocation'!AC47)/SUM('Asset Allocation'!AI47:AW47,'Asset Allocation'!AB47:AG47)),0)</f>
        <v/>
      </c>
      <c r="C47" s="6" t="str">
        <f>IFERROR(IF(A47="","",SUM('Asset Allocation'!AV47)/SUM('Asset Allocation'!AI47:AW47,'Asset Allocation'!AB47:AG47)),0)</f>
        <v/>
      </c>
      <c r="D47" s="6" t="str">
        <f>IFERROR(IF(A47="","",SUM('Asset Allocation'!AJ47,'Asset Allocation'!AL47,'Asset Allocation'!AM47,'Asset Allocation'!AN47)/SUM('Asset Allocation'!AI47:AW47,'Asset Allocation'!AB47:AG47)),0)</f>
        <v/>
      </c>
      <c r="E47" s="6" t="str">
        <f>IFERROR(IF(A47="","",SUM('Asset Allocation'!AP47)/SUM('Asset Allocation'!AI47:AW47,'Asset Allocation'!AB47:AG47)),0)</f>
        <v/>
      </c>
      <c r="F47" s="6" t="str">
        <f>IFERROR(IF(A47="","",SUM('Asset Allocation'!AD47,'Asset Allocation'!AF47,'Asset Allocation'!AU47)/SUM('Asset Allocation'!AI47:AW47,'Asset Allocation'!AB47:AG47)),0)</f>
        <v/>
      </c>
      <c r="G47" s="6" t="str">
        <f>IFERROR(IF(A47="","",SUM('Asset Allocation'!AB47,'Asset Allocation'!AE47,'Asset Allocation'!AI47,'Asset Allocation'!AK47,'Asset Allocation'!AQ47)/SUM('Asset Allocation'!AI47:AW47,'Asset Allocation'!AB47:AG47)),0)</f>
        <v/>
      </c>
      <c r="H47" s="6" t="str">
        <f>IFERROR(IF(A47="","",SUM('Asset Allocation'!AO47,'Asset Allocation'!AT47)/SUM('Asset Allocation'!AI47:AW47,'Asset Allocation'!AB47:AG47)),0)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Allocation'!AW48,'Asset Allocation'!AG48,'Asset Allocation'!AC48)/SUM('Asset Allocation'!AI48:AW48,'Asset Allocation'!AB48:AG48)),0)</f>
        <v/>
      </c>
      <c r="C48" s="6" t="str">
        <f>IFERROR(IF(A48="","",SUM('Asset Allocation'!AV48)/SUM('Asset Allocation'!AI48:AW48,'Asset Allocation'!AB48:AG48)),0)</f>
        <v/>
      </c>
      <c r="D48" s="6" t="str">
        <f>IFERROR(IF(A48="","",SUM('Asset Allocation'!AJ48,'Asset Allocation'!AL48,'Asset Allocation'!AM48,'Asset Allocation'!AN48)/SUM('Asset Allocation'!AI48:AW48,'Asset Allocation'!AB48:AG48)),0)</f>
        <v/>
      </c>
      <c r="E48" s="6" t="str">
        <f>IFERROR(IF(A48="","",SUM('Asset Allocation'!AP48)/SUM('Asset Allocation'!AI48:AW48,'Asset Allocation'!AB48:AG48)),0)</f>
        <v/>
      </c>
      <c r="F48" s="6" t="str">
        <f>IFERROR(IF(A48="","",SUM('Asset Allocation'!AD48,'Asset Allocation'!AF48,'Asset Allocation'!AU48)/SUM('Asset Allocation'!AI48:AW48,'Asset Allocation'!AB48:AG48)),0)</f>
        <v/>
      </c>
      <c r="G48" s="6" t="str">
        <f>IFERROR(IF(A48="","",SUM('Asset Allocation'!AB48,'Asset Allocation'!AE48,'Asset Allocation'!AI48,'Asset Allocation'!AK48,'Asset Allocation'!AQ48)/SUM('Asset Allocation'!AI48:AW48,'Asset Allocation'!AB48:AG48)),0)</f>
        <v/>
      </c>
      <c r="H48" s="6" t="str">
        <f>IFERROR(IF(A48="","",SUM('Asset Allocation'!AO48,'Asset Allocation'!AT48)/SUM('Asset Allocation'!AI48:AW48,'Asset Allocation'!AB48:AG48)),0)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Allocation'!AW49,'Asset Allocation'!AG49,'Asset Allocation'!AC49)/SUM('Asset Allocation'!AI49:AW49,'Asset Allocation'!AB49:AG49)),0)</f>
        <v/>
      </c>
      <c r="C49" s="6" t="str">
        <f>IFERROR(IF(A49="","",SUM('Asset Allocation'!AV49)/SUM('Asset Allocation'!AI49:AW49,'Asset Allocation'!AB49:AG49)),0)</f>
        <v/>
      </c>
      <c r="D49" s="6" t="str">
        <f>IFERROR(IF(A49="","",SUM('Asset Allocation'!AJ49,'Asset Allocation'!AL49,'Asset Allocation'!AM49,'Asset Allocation'!AN49)/SUM('Asset Allocation'!AI49:AW49,'Asset Allocation'!AB49:AG49)),0)</f>
        <v/>
      </c>
      <c r="E49" s="6" t="str">
        <f>IFERROR(IF(A49="","",SUM('Asset Allocation'!AP49)/SUM('Asset Allocation'!AI49:AW49,'Asset Allocation'!AB49:AG49)),0)</f>
        <v/>
      </c>
      <c r="F49" s="6" t="str">
        <f>IFERROR(IF(A49="","",SUM('Asset Allocation'!AD49,'Asset Allocation'!AF49,'Asset Allocation'!AU49)/SUM('Asset Allocation'!AI49:AW49,'Asset Allocation'!AB49:AG49)),0)</f>
        <v/>
      </c>
      <c r="G49" s="6" t="str">
        <f>IFERROR(IF(A49="","",SUM('Asset Allocation'!AB49,'Asset Allocation'!AE49,'Asset Allocation'!AI49,'Asset Allocation'!AK49,'Asset Allocation'!AQ49)/SUM('Asset Allocation'!AI49:AW49,'Asset Allocation'!AB49:AG49)),0)</f>
        <v/>
      </c>
      <c r="H49" s="6" t="str">
        <f>IFERROR(IF(A49="","",SUM('Asset Allocation'!AO49,'Asset Allocation'!AT49)/SUM('Asset Allocation'!AI49:AW49,'Asset Allocation'!AB49:AG49)),0)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Allocation'!AW50,'Asset Allocation'!AG50,'Asset Allocation'!AC50)/SUM('Asset Allocation'!AI50:AW50,'Asset Allocation'!AB50:AG50)),0)</f>
        <v/>
      </c>
      <c r="C50" s="6" t="str">
        <f>IFERROR(IF(A50="","",SUM('Asset Allocation'!AV50)/SUM('Asset Allocation'!AI50:AW50,'Asset Allocation'!AB50:AG50)),0)</f>
        <v/>
      </c>
      <c r="D50" s="6" t="str">
        <f>IFERROR(IF(A50="","",SUM('Asset Allocation'!AJ50,'Asset Allocation'!AL50,'Asset Allocation'!AM50,'Asset Allocation'!AN50)/SUM('Asset Allocation'!AI50:AW50,'Asset Allocation'!AB50:AG50)),0)</f>
        <v/>
      </c>
      <c r="E50" s="6" t="str">
        <f>IFERROR(IF(A50="","",SUM('Asset Allocation'!AP50)/SUM('Asset Allocation'!AI50:AW50,'Asset Allocation'!AB50:AG50)),0)</f>
        <v/>
      </c>
      <c r="F50" s="6" t="str">
        <f>IFERROR(IF(A50="","",SUM('Asset Allocation'!AD50,'Asset Allocation'!AF50,'Asset Allocation'!AU50)/SUM('Asset Allocation'!AI50:AW50,'Asset Allocation'!AB50:AG50)),0)</f>
        <v/>
      </c>
      <c r="G50" s="6" t="str">
        <f>IFERROR(IF(A50="","",SUM('Asset Allocation'!AB50,'Asset Allocation'!AE50,'Asset Allocation'!AI50,'Asset Allocation'!AK50,'Asset Allocation'!AQ50)/SUM('Asset Allocation'!AI50:AW50,'Asset Allocation'!AB50:AG50)),0)</f>
        <v/>
      </c>
      <c r="H50" s="6" t="str">
        <f>IFERROR(IF(A50="","",SUM('Asset Allocation'!AO50,'Asset Allocation'!AT50)/SUM('Asset Allocation'!AI50:AW50,'Asset Allocation'!AB50:AG50)),0)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183</v>
      </c>
      <c r="F1" t="s">
        <v>107</v>
      </c>
      <c r="G1" t="s">
        <v>16</v>
      </c>
      <c r="H1" t="s">
        <v>108</v>
      </c>
    </row>
    <row r="2" spans="1:8" x14ac:dyDescent="0.25">
      <c r="A2" t="str">
        <f>IF(Input!A3="","",Input!A3)</f>
        <v>Schroder Active Portfolio 2</v>
      </c>
      <c r="B2">
        <f>IFERROR(IF(A2="","",SUM(('Asset Allocation'!C2*0.5),'Asset Allocation'!P2)/'Broad Asset Allocation'!C2),0)</f>
        <v>0</v>
      </c>
      <c r="D2">
        <f>IFERROR(IF(A2="","",SUM(('Asset Allocation'!C2*0.5),'Asset Allocation'!R2)/'Broad Asset Allocation'!C2),0)</f>
        <v>0</v>
      </c>
      <c r="F2">
        <f>IFERROR(IF(A2="","",SUM('Asset Allocation'!K2,'Asset Allocation'!L2)/'Broad Asset Allocation'!C2),0)</f>
        <v>0</v>
      </c>
      <c r="H2">
        <f>IFERROR(IF(A2="","",1-SUM(B2:G2)),0)</f>
        <v>1</v>
      </c>
    </row>
    <row r="3" spans="1:8" x14ac:dyDescent="0.25">
      <c r="A3" t="str">
        <f>IF(Input!A4="","",Input!A4)</f>
        <v>Schroder Active Portfolio 3</v>
      </c>
      <c r="B3">
        <f>IFERROR(IF(A3="","",SUM(('Asset Allocation'!C3*0.5),'Asset Allocation'!P3)/'Broad Asset Allocation'!C3),0)</f>
        <v>0</v>
      </c>
      <c r="D3">
        <f>IFERROR(IF(A3="","",SUM(('Asset Allocation'!C3*0.5),'Asset Allocation'!R3)/'Broad Asset Allocation'!C3),0)</f>
        <v>0</v>
      </c>
      <c r="F3">
        <f>IFERROR(IF(A3="","",SUM('Asset Allocation'!K3,'Asset Allocation'!L3)/'Broad Asset Allocation'!C3),0)</f>
        <v>0</v>
      </c>
      <c r="H3">
        <f t="shared" ref="H3:H50" si="0">IFERROR(IF(A3="","",1-SUM(B3:G3)),0)</f>
        <v>1</v>
      </c>
    </row>
    <row r="4" spans="1:8" x14ac:dyDescent="0.25">
      <c r="A4" t="str">
        <f>IF(Input!A5="","",Input!A5)</f>
        <v>Schroder Active Portfolio 4</v>
      </c>
      <c r="B4">
        <f>IFERROR(IF(A4="","",SUM(('Asset Allocation'!C4*0.5),'Asset Allocation'!P4)/'Broad Asset Allocation'!C4),0)</f>
        <v>0</v>
      </c>
      <c r="D4">
        <f>IFERROR(IF(A4="","",SUM(('Asset Allocation'!C4*0.5),'Asset Allocation'!R4)/'Broad Asset Allocation'!C4),0)</f>
        <v>0</v>
      </c>
      <c r="F4">
        <f>IFERROR(IF(A4="","",SUM('Asset Allocation'!K4,'Asset Allocation'!L4)/'Broad Asset Allocation'!C4),0)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IFERROR(IF(A5="","",SUM(('Asset Allocation'!C5*0.5),'Asset Allocation'!P5)/'Broad Asset Allocation'!C5),0)</f>
        <v>0</v>
      </c>
      <c r="D5">
        <f>IFERROR(IF(A5="","",SUM(('Asset Allocation'!C5*0.5),'Asset Allocation'!R5)/'Broad Asset Allocation'!C5),0)</f>
        <v>0</v>
      </c>
      <c r="F5">
        <f>IFERROR(IF(A5="","",SUM('Asset Allocation'!K5,'Asset Allocation'!L5)/'Broad Asset Allocation'!C5),0)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IFERROR(IF(A6="","",SUM(('Asset Allocation'!C6*0.5),'Asset Allocation'!P6)/'Broad Asset Allocation'!C6),0)</f>
        <v>0</v>
      </c>
      <c r="D6">
        <f>IFERROR(IF(A6="","",SUM(('Asset Allocation'!C6*0.5),'Asset Allocation'!R6)/'Broad Asset Allocation'!C6),0)</f>
        <v>0</v>
      </c>
      <c r="F6">
        <f>IFERROR(IF(A6="","",SUM('Asset Allocation'!K6,'Asset Allocation'!L6)/'Broad Asset Allocation'!C6),0)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IFERROR(IF(A7="","",SUM(('Asset Allocation'!C7*0.5),'Asset Allocation'!P7)/'Broad Asset Allocation'!C7),0)</f>
        <v>0</v>
      </c>
      <c r="D7">
        <f>IFERROR(IF(A7="","",SUM(('Asset Allocation'!C7*0.5),'Asset Allocation'!R7)/'Broad Asset Allocation'!C7),0)</f>
        <v>0</v>
      </c>
      <c r="F7">
        <f>IFERROR(IF(A7="","",SUM('Asset Allocation'!K7,'Asset Allocation'!L7)/'Broad Asset Allocation'!C7),0)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IFERROR(IF(A8="","",SUM(('Asset Allocation'!C8*0.5),'Asset Allocation'!P8)/'Broad Asset Allocation'!C8),0)</f>
        <v>0</v>
      </c>
      <c r="D8">
        <f>IFERROR(IF(A8="","",SUM(('Asset Allocation'!C8*0.5),'Asset Allocation'!R8)/'Broad Asset Allocation'!C8),0)</f>
        <v>0</v>
      </c>
      <c r="F8">
        <f>IFERROR(IF(A8="","",SUM('Asset Allocation'!K8,'Asset Allocation'!L8)/'Broad Asset Allocation'!C8),0)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IFERROR(IF(A9="","",SUM(('Asset Allocation'!C9*0.5),'Asset Allocation'!P9)/'Broad Asset Allocation'!C9),0)</f>
        <v>0</v>
      </c>
      <c r="D9">
        <f>IFERROR(IF(A9="","",SUM(('Asset Allocation'!C9*0.5),'Asset Allocation'!R9)/'Broad Asset Allocation'!C9),0)</f>
        <v>0</v>
      </c>
      <c r="F9">
        <f>IFERROR(IF(A9="","",SUM('Asset Allocation'!K9,'Asset Allocation'!L9)/'Broad Asset Allocation'!C9),0)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IFERROR(IF(A10="","",SUM(('Asset Allocation'!C10*0.5),'Asset Allocation'!P10)/'Broad Asset Allocation'!C10),0)</f>
        <v>0</v>
      </c>
      <c r="D10">
        <f>IFERROR(IF(A10="","",SUM(('Asset Allocation'!C10*0.5),'Asset Allocation'!R10)/'Broad Asset Allocation'!C10),0)</f>
        <v>0</v>
      </c>
      <c r="F10">
        <f>IFERROR(IF(A10="","",SUM('Asset Allocation'!K10,'Asset Allocation'!L10)/'Broad Asset Allocation'!C10),0)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IFERROR(IF(A11="","",SUM(('Asset Allocation'!C11*0.5),'Asset Allocation'!P11)/'Broad Asset Allocation'!C11),0)</f>
        <v>0</v>
      </c>
      <c r="D11">
        <f>IFERROR(IF(A11="","",SUM(('Asset Allocation'!C11*0.5),'Asset Allocation'!R11)/'Broad Asset Allocation'!C11),0)</f>
        <v>0</v>
      </c>
      <c r="F11">
        <f>IFERROR(IF(A11="","",SUM('Asset Allocation'!K11,'Asset Allocation'!L11)/'Broad Asset Allocation'!C11),0)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IFERROR(IF(A12="","",SUM(('Asset Allocation'!C12*0.5),'Asset Allocation'!P12)/'Broad Asset Allocation'!C12),0)</f>
        <v>0</v>
      </c>
      <c r="D12">
        <f>IFERROR(IF(A12="","",SUM(('Asset Allocation'!C12*0.5),'Asset Allocation'!R12)/'Broad Asset Allocation'!C12),0)</f>
        <v>0</v>
      </c>
      <c r="F12">
        <f>IFERROR(IF(A12="","",SUM('Asset Allocation'!K12,'Asset Allocation'!L12)/'Broad Asset Allocation'!C12),0)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IFERROR(IF(A13="","",SUM(('Asset Allocation'!C13*0.5),'Asset Allocation'!P13)/'Broad Asset Allocation'!C13),0)</f>
        <v>0</v>
      </c>
      <c r="D13">
        <f>IFERROR(IF(A13="","",SUM(('Asset Allocation'!C13*0.5),'Asset Allocation'!R13)/'Broad Asset Allocation'!C13),0)</f>
        <v>0</v>
      </c>
      <c r="F13">
        <f>IFERROR(IF(A13="","",SUM('Asset Allocation'!K13,'Asset Allocation'!L13)/'Broad Asset Allocation'!C13),0)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IFERROR(IF(A14="","",SUM(('Asset Allocation'!C14*0.5),'Asset Allocation'!P14)/'Broad Asset Allocation'!C14),0)</f>
        <v>0</v>
      </c>
      <c r="D14">
        <f>IFERROR(IF(A14="","",SUM(('Asset Allocation'!C14*0.5),'Asset Allocation'!R14)/'Broad Asset Allocation'!C14),0)</f>
        <v>0</v>
      </c>
      <c r="F14">
        <f>IFERROR(IF(A14="","",SUM('Asset Allocation'!K14,'Asset Allocation'!L14)/'Broad Asset Allocation'!C14),0)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IFERROR(IF(A15="","",SUM(('Asset Allocation'!C15*0.5),'Asset Allocation'!P15)/'Broad Asset Allocation'!C15),0)</f>
        <v>0</v>
      </c>
      <c r="D15">
        <f>IFERROR(IF(A15="","",SUM(('Asset Allocation'!C15*0.5),'Asset Allocation'!R15)/'Broad Asset Allocation'!C15),0)</f>
        <v>0</v>
      </c>
      <c r="F15">
        <f>IFERROR(IF(A15="","",SUM('Asset Allocation'!K15,'Asset Allocation'!L15)/'Broad Asset Allocation'!C15),0)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IFERROR(IF(A16="","",SUM(('Asset Allocation'!C16*0.5),'Asset Allocation'!P16)/'Broad Asset Allocation'!C16),0)</f>
        <v>0</v>
      </c>
      <c r="D16">
        <f>IFERROR(IF(A16="","",SUM(('Asset Allocation'!C16*0.5),'Asset Allocation'!R16)/'Broad Asset Allocation'!C16),0)</f>
        <v>0</v>
      </c>
      <c r="F16">
        <f>IFERROR(IF(A16="","",SUM('Asset Allocation'!K16,'Asset Allocation'!L16)/'Broad Asset Allocation'!C16),0)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IFERROR(IF(A17="","",SUM(('Asset Allocation'!C17*0.5),'Asset Allocation'!P17)/'Broad Asset Allocation'!C17),0)</f>
        <v>0</v>
      </c>
      <c r="D17">
        <f>IFERROR(IF(A17="","",SUM(('Asset Allocation'!C17*0.5),'Asset Allocation'!R17)/'Broad Asset Allocation'!C17),0)</f>
        <v>0</v>
      </c>
      <c r="F17">
        <f>IFERROR(IF(A17="","",SUM('Asset Allocation'!K17,'Asset Allocation'!L17)/'Broad Asset Allocation'!C17),0)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IFERROR(IF(A18="","",SUM(('Asset Allocation'!C18*0.5),'Asset Allocation'!P18)/'Broad Asset Allocation'!C18),0)</f>
        <v>0</v>
      </c>
      <c r="D18">
        <f>IFERROR(IF(A18="","",SUM(('Asset Allocation'!C18*0.5),'Asset Allocation'!R18)/'Broad Asset Allocation'!C18),0)</f>
        <v>0</v>
      </c>
      <c r="F18">
        <f>IFERROR(IF(A18="","",SUM('Asset Allocation'!K18,'Asset Allocation'!L18)/'Broad Asset Allocation'!C18),0)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IFERROR(IF(A19="","",SUM(('Asset Allocation'!C19*0.5),'Asset Allocation'!P19)/'Broad Asset Allocation'!C19),0)</f>
        <v>0</v>
      </c>
      <c r="D19">
        <f>IFERROR(IF(A19="","",SUM(('Asset Allocation'!C19*0.5),'Asset Allocation'!R19)/'Broad Asset Allocation'!C19),0)</f>
        <v>0</v>
      </c>
      <c r="F19">
        <f>IFERROR(IF(A19="","",SUM('Asset Allocation'!K19,'Asset Allocation'!L19)/'Broad Asset Allocation'!C19),0)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IFERROR(IF(A20="","",SUM(('Asset Allocation'!C20*0.5),'Asset Allocation'!P20)/'Broad Asset Allocation'!C20),0)</f>
        <v>0</v>
      </c>
      <c r="D20">
        <f>IFERROR(IF(A20="","",SUM(('Asset Allocation'!C20*0.5),'Asset Allocation'!R20)/'Broad Asset Allocation'!C20),0)</f>
        <v>0</v>
      </c>
      <c r="F20">
        <f>IFERROR(IF(A20="","",SUM('Asset Allocation'!K20,'Asset Allocation'!L20)/'Broad Asset Allocation'!C20),0)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IFERROR(IF(A21="","",SUM(('Asset Allocation'!C21*0.5),'Asset Allocation'!P21)/'Broad Asset Allocation'!C21),0)</f>
        <v>0</v>
      </c>
      <c r="D21">
        <f>IFERROR(IF(A21="","",SUM(('Asset Allocation'!C21*0.5),'Asset Allocation'!R21)/'Broad Asset Allocation'!C21),0)</f>
        <v>0</v>
      </c>
      <c r="F21">
        <f>IFERROR(IF(A21="","",SUM('Asset Allocation'!K21,'Asset Allocation'!L21)/'Broad Asset Allocation'!C21),0)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IFERROR(IF(A22="","",SUM(('Asset Allocation'!C22*0.5),'Asset Allocation'!P22)/'Broad Asset Allocation'!C22),0)</f>
        <v>0</v>
      </c>
      <c r="D22">
        <f>IFERROR(IF(A22="","",SUM(('Asset Allocation'!C22*0.5),'Asset Allocation'!R22)/'Broad Asset Allocation'!C22),0)</f>
        <v>0</v>
      </c>
      <c r="F22">
        <f>IFERROR(IF(A22="","",SUM('Asset Allocation'!K22,'Asset Allocation'!L22)/'Broad Asset Allocation'!C22),0)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IFERROR(IF(A23="","",SUM(('Asset Allocation'!C23*0.5),'Asset Allocation'!P23)/'Broad Asset Allocation'!C23),0)</f>
        <v>0</v>
      </c>
      <c r="D23">
        <f>IFERROR(IF(A23="","",SUM(('Asset Allocation'!C23*0.5),'Asset Allocation'!R23)/'Broad Asset Allocation'!C23),0)</f>
        <v>0</v>
      </c>
      <c r="F23">
        <f>IFERROR(IF(A23="","",SUM('Asset Allocation'!K23,'Asset Allocation'!L23)/'Broad Asset Allocation'!C23),0)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IFERROR(IF(A24="","",SUM(('Asset Allocation'!C24*0.5),'Asset Allocation'!P24)/'Broad Asset Allocation'!C24),0)</f>
        <v>0</v>
      </c>
      <c r="D24">
        <f>IFERROR(IF(A24="","",SUM(('Asset Allocation'!C24*0.5),'Asset Allocation'!R24)/'Broad Asset Allocation'!C24),0)</f>
        <v>0</v>
      </c>
      <c r="F24">
        <f>IFERROR(IF(A24="","",SUM('Asset Allocation'!K24,'Asset Allocation'!L24)/'Broad Asset Allocation'!C24),0)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IFERROR(IF(A25="","",SUM(('Asset Allocation'!C25*0.5),'Asset Allocation'!P25)/'Broad Asset Allocation'!C25),0)</f>
        <v>0</v>
      </c>
      <c r="D25">
        <f>IFERROR(IF(A25="","",SUM(('Asset Allocation'!C25*0.5),'Asset Allocation'!R25)/'Broad Asset Allocation'!C25),0)</f>
        <v>0</v>
      </c>
      <c r="F25">
        <f>IFERROR(IF(A25="","",SUM('Asset Allocation'!K25,'Asset Allocation'!L25)/'Broad Asset Allocation'!C25),0)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IFERROR(IF(A26="","",SUM(('Asset Allocation'!C26*0.5),'Asset Allocation'!P26)/'Broad Asset Allocation'!C26),0)</f>
        <v>0.74532224532224534</v>
      </c>
      <c r="D26">
        <f>IFERROR(IF(A26="","",SUM(('Asset Allocation'!C26*0.5),'Asset Allocation'!R26)/'Broad Asset Allocation'!C26),0)</f>
        <v>0.1819126819126819</v>
      </c>
      <c r="F26">
        <f>IFERROR(IF(A26="","",SUM('Asset Allocation'!K26,'Asset Allocation'!L26)/'Broad Asset Allocation'!C26),0)</f>
        <v>7.2765072765072769E-2</v>
      </c>
      <c r="H26">
        <f t="shared" si="0"/>
        <v>0</v>
      </c>
    </row>
    <row r="27" spans="1:8" x14ac:dyDescent="0.25">
      <c r="A27" t="str">
        <f>IF(Input!A28="","",Input!A28)</f>
        <v>Schroder Blended Portfolio 4</v>
      </c>
      <c r="B27">
        <f>IFERROR(IF(A27="","",SUM(('Asset Allocation'!C27*0.5),'Asset Allocation'!P27)/'Broad Asset Allocation'!C27),0)</f>
        <v>0.70501474926253693</v>
      </c>
      <c r="D27">
        <f>IFERROR(IF(A27="","",SUM(('Asset Allocation'!C27*0.5),'Asset Allocation'!R27)/'Broad Asset Allocation'!C27),0)</f>
        <v>0.20943952802359886</v>
      </c>
      <c r="F27">
        <f>IFERROR(IF(A27="","",SUM('Asset Allocation'!K27,'Asset Allocation'!L27)/'Broad Asset Allocation'!C27),0)</f>
        <v>8.5545722713864306E-2</v>
      </c>
      <c r="H27">
        <f t="shared" si="0"/>
        <v>-2.2204460492503131E-16</v>
      </c>
    </row>
    <row r="28" spans="1:8" x14ac:dyDescent="0.25">
      <c r="A28" t="str">
        <f>IF(Input!A29="","",Input!A29)</f>
        <v>Schroder Blended Portfolio 5</v>
      </c>
      <c r="B28">
        <f>IFERROR(IF(A28="","",SUM(('Asset Allocation'!C28*0.5),'Asset Allocation'!P28)/'Broad Asset Allocation'!C28),0)</f>
        <v>0.63043478260869568</v>
      </c>
      <c r="D28">
        <f>IFERROR(IF(A28="","",SUM(('Asset Allocation'!C28*0.5),'Asset Allocation'!R28)/'Broad Asset Allocation'!C28),0)</f>
        <v>0.26284584980237158</v>
      </c>
      <c r="F28">
        <f>IFERROR(IF(A28="","",SUM('Asset Allocation'!K28,'Asset Allocation'!L28)/'Broad Asset Allocation'!C28),0)</f>
        <v>0.10671936758893281</v>
      </c>
      <c r="H28">
        <f t="shared" si="0"/>
        <v>0</v>
      </c>
    </row>
    <row r="29" spans="1:8" x14ac:dyDescent="0.25">
      <c r="A29" t="str">
        <f>IF(Input!A30="","",Input!A30)</f>
        <v>Schroder Blended Portfolio 6</v>
      </c>
      <c r="B29">
        <f>IFERROR(IF(A29="","",SUM(('Asset Allocation'!C29*0.5),'Asset Allocation'!P29)/'Broad Asset Allocation'!C29),0)</f>
        <v>0.59627329192546585</v>
      </c>
      <c r="D29">
        <f>IFERROR(IF(A29="","",SUM(('Asset Allocation'!C29*0.5),'Asset Allocation'!R29)/'Broad Asset Allocation'!C29),0)</f>
        <v>0.29192546583850931</v>
      </c>
      <c r="F29">
        <f>IFERROR(IF(A29="","",SUM('Asset Allocation'!K29,'Asset Allocation'!L29)/'Broad Asset Allocation'!C29),0)</f>
        <v>0.11180124223602486</v>
      </c>
      <c r="H29">
        <f t="shared" si="0"/>
        <v>0</v>
      </c>
    </row>
    <row r="30" spans="1:8" x14ac:dyDescent="0.25">
      <c r="A30" t="str">
        <f>IF(Input!A31="","",Input!A31)</f>
        <v>Schroder Blended Portfolio 7</v>
      </c>
      <c r="B30">
        <f>IFERROR(IF(A30="","",SUM(('Asset Allocation'!C30*0.5),'Asset Allocation'!P30)/'Broad Asset Allocation'!C30),0)</f>
        <v>0.68840579710144933</v>
      </c>
      <c r="D30">
        <f>IFERROR(IF(A30="","",SUM(('Asset Allocation'!C30*0.5),'Asset Allocation'!R30)/'Broad Asset Allocation'!C30),0)</f>
        <v>0.31159420289855072</v>
      </c>
      <c r="F30">
        <f>IFERROR(IF(A30="","",SUM('Asset Allocation'!K30,'Asset Allocation'!L30)/'Broad Asset Allocation'!C30),0)</f>
        <v>0</v>
      </c>
      <c r="H30">
        <f t="shared" si="0"/>
        <v>0</v>
      </c>
    </row>
    <row r="31" spans="1:8" x14ac:dyDescent="0.25">
      <c r="A31" t="str">
        <f>IF(Input!A32="","",Input!A32)</f>
        <v>Schroder Blended Portfolio 8</v>
      </c>
      <c r="B31">
        <f>IFERROR(IF(A31="","",SUM(('Asset Allocation'!C31*0.5),'Asset Allocation'!P31)/'Broad Asset Allocation'!C31),0)</f>
        <v>1</v>
      </c>
      <c r="D31">
        <f>IFERROR(IF(A31="","",SUM(('Asset Allocation'!C31*0.5),'Asset Allocation'!R31)/'Broad Asset Allocation'!C31),0)</f>
        <v>0</v>
      </c>
      <c r="F31">
        <f>IFERROR(IF(A31="","",SUM('Asset Allocation'!K31,'Asset Allocation'!L31)/'Broad Asset Allocation'!C31),0)</f>
        <v>0</v>
      </c>
      <c r="H31">
        <f t="shared" si="0"/>
        <v>0</v>
      </c>
    </row>
    <row r="32" spans="1:8" x14ac:dyDescent="0.25">
      <c r="A32" t="str">
        <f>IF(Input!A33="","",Input!A33)</f>
        <v>Schroder Income Portfolio</v>
      </c>
      <c r="B32">
        <f>IFERROR(IF(A32="","",SUM(('Asset Allocation'!C32*0.5),'Asset Allocation'!P32)/'Broad Asset Allocation'!C32),0)</f>
        <v>0.40952380952380951</v>
      </c>
      <c r="D32">
        <f>IFERROR(IF(A32="","",SUM(('Asset Allocation'!C32*0.5),'Asset Allocation'!R32)/'Broad Asset Allocation'!C32),0)</f>
        <v>0.50476190476190474</v>
      </c>
      <c r="F32">
        <f>IFERROR(IF(A32="","",SUM('Asset Allocation'!K32,'Asset Allocation'!L32)/'Broad Asset Allocation'!C32),0)</f>
        <v>8.5714285714285729E-2</v>
      </c>
      <c r="H32">
        <f t="shared" si="0"/>
        <v>0</v>
      </c>
    </row>
    <row r="33" spans="1:8" x14ac:dyDescent="0.25">
      <c r="A33" t="str">
        <f>IF(Input!A34="","",Input!A34)</f>
        <v>Schroder Managed Defensive Fund</v>
      </c>
      <c r="B33">
        <f>IFERROR(IF(A33="","",SUM(('Asset Allocation'!C33*0.5),'Asset Allocation'!P33)/'Broad Asset Allocation'!C33),0)</f>
        <v>1</v>
      </c>
      <c r="D33">
        <f>IFERROR(IF(A33="","",SUM(('Asset Allocation'!C33*0.5),'Asset Allocation'!R33)/'Broad Asset Allocation'!C33),0)</f>
        <v>0</v>
      </c>
      <c r="F33">
        <f>IFERROR(IF(A33="","",SUM('Asset Allocation'!K33,'Asset Allocation'!L33)/'Broad Asset Allocation'!C33),0)</f>
        <v>0</v>
      </c>
      <c r="H33">
        <f t="shared" si="0"/>
        <v>0</v>
      </c>
    </row>
    <row r="34" spans="1:8" x14ac:dyDescent="0.25">
      <c r="A34" t="str">
        <f>IF(Input!A35="","",Input!A35)</f>
        <v>Schroder Global Multi-Asset Cautious Portfolio</v>
      </c>
      <c r="B34">
        <f>IFERROR(IF(A34="","",SUM(('Asset Allocation'!C34*0.5),'Asset Allocation'!P34)/'Broad Asset Allocation'!C34),0)</f>
        <v>0.53601108033240996</v>
      </c>
      <c r="D34">
        <f>IFERROR(IF(A34="","",SUM(('Asset Allocation'!C34*0.5),'Asset Allocation'!R34)/'Broad Asset Allocation'!C34),0)</f>
        <v>0.46398891966759009</v>
      </c>
      <c r="F34">
        <f>IFERROR(IF(A34="","",SUM('Asset Allocation'!K34,'Asset Allocation'!L34)/'Broad Asset Allocation'!C34),0)</f>
        <v>0</v>
      </c>
      <c r="H34">
        <f t="shared" si="0"/>
        <v>0</v>
      </c>
    </row>
    <row r="35" spans="1:8" x14ac:dyDescent="0.25">
      <c r="A35" t="str">
        <f>IF(Input!A36="","",Input!A36)</f>
        <v>Schroder Global Multi-Asset Moderately Cautious Portfolio</v>
      </c>
      <c r="B35">
        <f>IFERROR(IF(A35="","",SUM(('Asset Allocation'!C35*0.5),'Asset Allocation'!P35)/'Broad Asset Allocation'!C35),0)</f>
        <v>0.45519713261648742</v>
      </c>
      <c r="D35">
        <f>IFERROR(IF(A35="","",SUM(('Asset Allocation'!C35*0.5),'Asset Allocation'!R35)/'Broad Asset Allocation'!C35),0)</f>
        <v>0.54480286738351247</v>
      </c>
      <c r="F35">
        <f>IFERROR(IF(A35="","",SUM('Asset Allocation'!K35,'Asset Allocation'!L35)/'Broad Asset Allocation'!C35),0)</f>
        <v>0</v>
      </c>
      <c r="H35">
        <f t="shared" si="0"/>
        <v>1.1102230246251565E-16</v>
      </c>
    </row>
    <row r="36" spans="1:8" x14ac:dyDescent="0.25">
      <c r="A36" t="str">
        <f>IF(Input!A37="","",Input!A37)</f>
        <v>Schroder Global Multi-Asset Balanced Portfolio</v>
      </c>
      <c r="B36">
        <f>IFERROR(IF(A36="","",SUM(('Asset Allocation'!C36*0.5),'Asset Allocation'!P36)/'Broad Asset Allocation'!C36),0)</f>
        <v>0.36285097192224625</v>
      </c>
      <c r="D36">
        <f>IFERROR(IF(A36="","",SUM(('Asset Allocation'!C36*0.5),'Asset Allocation'!R36)/'Broad Asset Allocation'!C36),0)</f>
        <v>0.63714902807775375</v>
      </c>
      <c r="F36">
        <f>IFERROR(IF(A36="","",SUM('Asset Allocation'!K36,'Asset Allocation'!L36)/'Broad Asset Allocation'!C36),0)</f>
        <v>0</v>
      </c>
      <c r="H36">
        <f t="shared" si="0"/>
        <v>0</v>
      </c>
    </row>
    <row r="37" spans="1:8" x14ac:dyDescent="0.25">
      <c r="A37" t="str">
        <f>IF(Input!A38="","",Input!A38)</f>
        <v>Schroder Global Multi-Asset Growth Portfolio</v>
      </c>
      <c r="B37">
        <f>IFERROR(IF(A37="","",SUM(('Asset Allocation'!C37*0.5),'Asset Allocation'!P37)/'Broad Asset Allocation'!C37),0)</f>
        <v>0.28930817610062892</v>
      </c>
      <c r="D37">
        <f>IFERROR(IF(A37="","",SUM(('Asset Allocation'!C37*0.5),'Asset Allocation'!R37)/'Broad Asset Allocation'!C37),0)</f>
        <v>0.71069182389937113</v>
      </c>
      <c r="F37">
        <f>IFERROR(IF(A37="","",SUM('Asset Allocation'!K37,'Asset Allocation'!L37)/'Broad Asset Allocation'!C37),0)</f>
        <v>0</v>
      </c>
      <c r="H37">
        <f t="shared" si="0"/>
        <v>0</v>
      </c>
    </row>
    <row r="38" spans="1:8" x14ac:dyDescent="0.25">
      <c r="A38" t="str">
        <f>IF(Input!A39="","",Input!A39)</f>
        <v>Schroder Global Multi-Asset Adventurous Portfolio</v>
      </c>
      <c r="B38">
        <f>IFERROR(IF(A38="","",SUM(('Asset Allocation'!C38*0.5),'Asset Allocation'!P38)/'Broad Asset Allocation'!C38),0)</f>
        <v>0.23645320197044334</v>
      </c>
      <c r="D38">
        <f>IFERROR(IF(A38="","",SUM(('Asset Allocation'!C38*0.5),'Asset Allocation'!R38)/'Broad Asset Allocation'!C38),0)</f>
        <v>0.76354679802955661</v>
      </c>
      <c r="F38">
        <f>IFERROR(IF(A38="","",SUM('Asset Allocation'!K38,'Asset Allocation'!L38)/'Broad Asset Allocation'!C38),0)</f>
        <v>0</v>
      </c>
      <c r="H38">
        <f t="shared" si="0"/>
        <v>0</v>
      </c>
    </row>
    <row r="39" spans="1:8" x14ac:dyDescent="0.25">
      <c r="A39" t="str">
        <f>IF(Input!A40="","",Input!A40)</f>
        <v/>
      </c>
      <c r="B39" t="str">
        <f>IFERROR(IF(A39="","",SUM(('Asset Allocation'!C39*0.5),'Asset Allocation'!P39)/'Broad Asset Allocation'!C39),0)</f>
        <v/>
      </c>
      <c r="D39" t="str">
        <f>IFERROR(IF(A39="","",SUM(('Asset Allocation'!C39*0.5),'Asset Allocation'!R39)/'Broad Asset Allocation'!C39),0)</f>
        <v/>
      </c>
      <c r="F39" t="str">
        <f>IFERROR(IF(A39="","",SUM('Asset Allocation'!K39,'Asset Allocation'!L39)/'Broad Asset Allocation'!C39),0)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IFERROR(IF(A40="","",SUM(('Asset Allocation'!C40*0.5),'Asset Allocation'!P40)/'Broad Asset Allocation'!C40),0)</f>
        <v/>
      </c>
      <c r="D40" t="str">
        <f>IFERROR(IF(A40="","",SUM(('Asset Allocation'!C40*0.5),'Asset Allocation'!R40)/'Broad Asset Allocation'!C40),0)</f>
        <v/>
      </c>
      <c r="F40" t="str">
        <f>IFERROR(IF(A40="","",SUM('Asset Allocation'!K40,'Asset Allocation'!L40)/'Broad Asset Allocation'!C40),0)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IFERROR(IF(A41="","",SUM(('Asset Allocation'!C41*0.5),'Asset Allocation'!P41)/'Broad Asset Allocation'!C41),0)</f>
        <v/>
      </c>
      <c r="D41" t="str">
        <f>IFERROR(IF(A41="","",SUM(('Asset Allocation'!C41*0.5),'Asset Allocation'!R41)/'Broad Asset Allocation'!C41),0)</f>
        <v/>
      </c>
      <c r="F41" t="str">
        <f>IFERROR(IF(A41="","",SUM('Asset Allocation'!K41,'Asset Allocation'!L41)/'Broad Asset Allocation'!C41),0)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IFERROR(IF(A42="","",SUM(('Asset Allocation'!C42*0.5),'Asset Allocation'!P42)/'Broad Asset Allocation'!C42),0)</f>
        <v/>
      </c>
      <c r="D42" t="str">
        <f>IFERROR(IF(A42="","",SUM(('Asset Allocation'!C42*0.5),'Asset Allocation'!R42)/'Broad Asset Allocation'!C42),0)</f>
        <v/>
      </c>
      <c r="F42" t="str">
        <f>IFERROR(IF(A42="","",SUM('Asset Allocation'!K42,'Asset Allocation'!L42)/'Broad Asset Allocation'!C42),0)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IFERROR(IF(A43="","",SUM(('Asset Allocation'!C43*0.5),'Asset Allocation'!P43)/'Broad Asset Allocation'!C43),0)</f>
        <v/>
      </c>
      <c r="D43" t="str">
        <f>IFERROR(IF(A43="","",SUM(('Asset Allocation'!C43*0.5),'Asset Allocation'!R43)/'Broad Asset Allocation'!C43),0)</f>
        <v/>
      </c>
      <c r="F43" t="str">
        <f>IFERROR(IF(A43="","",SUM('Asset Allocation'!K43,'Asset Allocation'!L43)/'Broad Asset Allocation'!C43),0)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IFERROR(IF(A44="","",SUM(('Asset Allocation'!C44*0.5),'Asset Allocation'!P44)/'Broad Asset Allocation'!C44),0)</f>
        <v/>
      </c>
      <c r="D44" t="str">
        <f>IFERROR(IF(A44="","",SUM(('Asset Allocation'!C44*0.5),'Asset Allocation'!R44)/'Broad Asset Allocation'!C44),0)</f>
        <v/>
      </c>
      <c r="F44" t="str">
        <f>IFERROR(IF(A44="","",SUM('Asset Allocation'!K44,'Asset Allocation'!L44)/'Broad Asset Allocation'!C44),0)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IFERROR(IF(A45="","",SUM(('Asset Allocation'!C45*0.5),'Asset Allocation'!P45)/'Broad Asset Allocation'!C45),0)</f>
        <v/>
      </c>
      <c r="D45" t="str">
        <f>IFERROR(IF(A45="","",SUM(('Asset Allocation'!C45*0.5),'Asset Allocation'!R45)/'Broad Asset Allocation'!C45),0)</f>
        <v/>
      </c>
      <c r="F45" t="str">
        <f>IFERROR(IF(A45="","",SUM('Asset Allocation'!K45,'Asset Allocation'!L45)/'Broad Asset Allocation'!C45),0)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IFERROR(IF(A46="","",SUM(('Asset Allocation'!C46*0.5),'Asset Allocation'!P46)/'Broad Asset Allocation'!C46),0)</f>
        <v/>
      </c>
      <c r="D46" t="str">
        <f>IFERROR(IF(A46="","",SUM(('Asset Allocation'!C46*0.5),'Asset Allocation'!R46)/'Broad Asset Allocation'!C46),0)</f>
        <v/>
      </c>
      <c r="F46" t="str">
        <f>IFERROR(IF(A46="","",SUM('Asset Allocation'!K46,'Asset Allocation'!L46)/'Broad Asset Allocation'!C46),0)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IFERROR(IF(A47="","",SUM(('Asset Allocation'!C47*0.5),'Asset Allocation'!P47)/'Broad Asset Allocation'!C47),0)</f>
        <v/>
      </c>
      <c r="D47" t="str">
        <f>IFERROR(IF(A47="","",SUM(('Asset Allocation'!C47*0.5),'Asset Allocation'!R47)/'Broad Asset Allocation'!C47),0)</f>
        <v/>
      </c>
      <c r="F47" t="str">
        <f>IFERROR(IF(A47="","",SUM('Asset Allocation'!K47,'Asset Allocation'!L47)/'Broad Asset Allocation'!C47),0)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IFERROR(IF(A48="","",SUM(('Asset Allocation'!C48*0.5),'Asset Allocation'!P48)/'Broad Asset Allocation'!C48),0)</f>
        <v/>
      </c>
      <c r="D48" t="str">
        <f>IFERROR(IF(A48="","",SUM(('Asset Allocation'!C48*0.5),'Asset Allocation'!R48)/'Broad Asset Allocation'!C48),0)</f>
        <v/>
      </c>
      <c r="F48" t="str">
        <f>IFERROR(IF(A48="","",SUM('Asset Allocation'!K48,'Asset Allocation'!L48)/'Broad Asset Allocation'!C48),0)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IFERROR(IF(A49="","",SUM(('Asset Allocation'!C49*0.5),'Asset Allocation'!P49)/'Broad Asset Allocation'!C49),0)</f>
        <v/>
      </c>
      <c r="D49" t="str">
        <f>IFERROR(IF(A49="","",SUM(('Asset Allocation'!C49*0.5),'Asset Allocation'!R49)/'Broad Asset Allocation'!C49),0)</f>
        <v/>
      </c>
      <c r="F49" t="str">
        <f>IFERROR(IF(A49="","",SUM('Asset Allocation'!K49,'Asset Allocation'!L49)/'Broad Asset Allocation'!C49),0)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IFERROR(IF(A50="","",SUM(('Asset Allocation'!C50*0.5),'Asset Allocation'!P50)/'Broad Asset Allocation'!C50),0)</f>
        <v/>
      </c>
      <c r="D50" t="str">
        <f>IFERROR(IF(A50="","",SUM(('Asset Allocation'!C50*0.5),'Asset Allocation'!R50)/'Broad Asset Allocation'!C50),0)</f>
        <v/>
      </c>
      <c r="F50" t="str">
        <f>IFERROR(IF(A50="","",SUM('Asset Allocation'!K50,'Asset Allocation'!L50)/'Broad Asset Allocation'!C50),0)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2023-10-12T20:53:21Z</dcterms:modified>
</cp:coreProperties>
</file>