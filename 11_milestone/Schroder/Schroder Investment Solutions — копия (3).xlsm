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1_milestone\Schroder\"/>
    </mc:Choice>
  </mc:AlternateContent>
  <xr:revisionPtr revIDLastSave="0" documentId="13_ncr:1_{6F82D1D4-1037-4AAC-8818-F9E86B664A12}" xr6:coauthVersionLast="47" xr6:coauthVersionMax="47" xr10:uidLastSave="{00000000-0000-0000-0000-000000000000}"/>
  <bookViews>
    <workbookView xWindow="1900" yWindow="1900" windowWidth="14400" windowHeight="7810" firstSheet="1" activeTab="4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35" l="1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<sst xmlns="http://schemas.openxmlformats.org/spreadsheetml/2006/main" count="205" uniqueCount="162">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</sst>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  <xf numFmtId="0" fontId="0" fillId="4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G23" sqref="G23"/>
    </sheetView>
  </sheetViews>
  <sheetFormatPr defaultRowHeight="14.5" x14ac:dyDescent="0.35"/>
  <sheetData>
    <row r="1" spans="1:17" x14ac:dyDescent="0.35">
      <c r="A1" s="3" t="s">
        <v>25</v>
      </c>
      <c r="H1" s="3" t="s">
        <v>23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39"/>
  <sheetViews>
    <sheetView workbookViewId="0">
      <selection activeCell="A39" sqref="A3:A39"/>
    </sheetView>
  </sheetViews>
  <sheetFormatPr defaultRowHeight="14.5" x14ac:dyDescent="0.35"/>
  <cols>
    <col min="1" max="1" width="54.269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>
        <f>'PDF Scraping'!D2</f>
        <v>0</v>
      </c>
      <c r="J3" s="4"/>
    </row>
    <row r="4" spans="1:10" x14ac:dyDescent="0.35">
      <c r="A4" t="s">
        <v>34</v>
      </c>
      <c r="B4">
        <f>'PDF Scraping'!D3</f>
        <v>0</v>
      </c>
      <c r="J4" s="4"/>
    </row>
    <row r="5" spans="1:10" x14ac:dyDescent="0.35">
      <c r="A5" t="s">
        <v>35</v>
      </c>
      <c r="B5">
        <f>'PDF Scraping'!D4</f>
        <v>0</v>
      </c>
    </row>
    <row r="6" spans="1:10" x14ac:dyDescent="0.35">
      <c r="A6" t="s">
        <v>36</v>
      </c>
      <c r="B6">
        <f>'PDF Scraping'!D5</f>
        <v>0</v>
      </c>
    </row>
    <row r="7" spans="1:10" x14ac:dyDescent="0.35">
      <c r="A7" t="s">
        <v>37</v>
      </c>
      <c r="B7">
        <f>'PDF Scraping'!D6</f>
        <v>0</v>
      </c>
    </row>
    <row r="8" spans="1:10" x14ac:dyDescent="0.35">
      <c r="A8" t="s">
        <v>38</v>
      </c>
      <c r="B8">
        <f>'PDF Scraping'!D7</f>
        <v>0</v>
      </c>
    </row>
    <row r="9" spans="1:10" x14ac:dyDescent="0.35">
      <c r="A9" t="s">
        <v>39</v>
      </c>
      <c r="B9">
        <f>'PDF Scraping'!D8</f>
        <v>0</v>
      </c>
    </row>
    <row r="10" spans="1:10" x14ac:dyDescent="0.35">
      <c r="A10" t="s">
        <v>40</v>
      </c>
      <c r="B10">
        <f>'PDF Scraping'!D9</f>
        <v>0</v>
      </c>
    </row>
    <row r="11" spans="1:10" x14ac:dyDescent="0.35">
      <c r="A11" t="s">
        <v>41</v>
      </c>
      <c r="B11">
        <f>'PDF Scraping'!D10</f>
        <v>0</v>
      </c>
    </row>
    <row r="12" spans="1:10" x14ac:dyDescent="0.35">
      <c r="A12" t="s">
        <v>51</v>
      </c>
      <c r="B12">
        <f>'PDF Scraping'!D11</f>
        <v>0</v>
      </c>
    </row>
    <row r="13" spans="1:10" x14ac:dyDescent="0.35">
      <c r="A13" t="s">
        <v>52</v>
      </c>
      <c r="B13">
        <f>'PDF Scraping'!D12</f>
        <v>0</v>
      </c>
    </row>
    <row r="14" spans="1:10" x14ac:dyDescent="0.35">
      <c r="A14" t="s">
        <v>53</v>
      </c>
      <c r="B14">
        <f>'PDF Scraping'!D13</f>
        <v>0</v>
      </c>
    </row>
    <row r="15" spans="1:10" x14ac:dyDescent="0.35">
      <c r="A15" t="s">
        <v>54</v>
      </c>
      <c r="B15">
        <f>'PDF Scraping'!D14</f>
        <v>0</v>
      </c>
    </row>
    <row r="16" spans="1:10" x14ac:dyDescent="0.35">
      <c r="A16" t="s">
        <v>55</v>
      </c>
      <c r="B16">
        <f>'PDF Scraping'!D15</f>
        <v>0</v>
      </c>
    </row>
    <row r="17" spans="1:2" x14ac:dyDescent="0.35">
      <c r="A17" t="s">
        <v>56</v>
      </c>
      <c r="B17">
        <f>'PDF Scraping'!D16</f>
        <v>0</v>
      </c>
    </row>
    <row r="18" spans="1:2" x14ac:dyDescent="0.35">
      <c r="A18" t="s">
        <v>57</v>
      </c>
      <c r="B18">
        <f>'PDF Scraping'!D17</f>
        <v>0</v>
      </c>
    </row>
    <row r="19" spans="1:2" x14ac:dyDescent="0.35">
      <c r="A19" t="s">
        <v>58</v>
      </c>
      <c r="B19">
        <f>'PDF Scraping'!D18</f>
        <v>0</v>
      </c>
    </row>
    <row r="20" spans="1:2" x14ac:dyDescent="0.35">
      <c r="A20" t="s">
        <v>59</v>
      </c>
      <c r="B20">
        <f>'PDF Scraping'!D19</f>
        <v>0</v>
      </c>
    </row>
    <row r="21" spans="1:2" x14ac:dyDescent="0.35">
      <c r="A21" t="s">
        <v>69</v>
      </c>
      <c r="B21">
        <f>'PDF Scraping'!D20</f>
        <v>0</v>
      </c>
    </row>
    <row r="22" spans="1:2" x14ac:dyDescent="0.35">
      <c r="A22" t="s">
        <v>70</v>
      </c>
      <c r="B22">
        <f>'PDF Scraping'!D21</f>
        <v>0</v>
      </c>
    </row>
    <row r="23" spans="1:2" x14ac:dyDescent="0.35">
      <c r="A23" t="s">
        <v>71</v>
      </c>
      <c r="B23">
        <f>'PDF Scraping'!D22</f>
        <v>0</v>
      </c>
    </row>
    <row r="24" spans="1:2" x14ac:dyDescent="0.35">
      <c r="A24" t="s">
        <v>72</v>
      </c>
      <c r="B24">
        <f>'PDF Scraping'!D23</f>
        <v>0</v>
      </c>
    </row>
    <row r="25" spans="1:2" x14ac:dyDescent="0.35">
      <c r="A25" t="s">
        <v>73</v>
      </c>
      <c r="B25">
        <f>'PDF Scraping'!D24</f>
        <v>0</v>
      </c>
    </row>
    <row r="26" spans="1:2" x14ac:dyDescent="0.35">
      <c r="A26" t="s">
        <v>74</v>
      </c>
      <c r="B26">
        <f>'PDF Scraping'!D25</f>
        <v>0</v>
      </c>
    </row>
    <row r="27" spans="1:2" x14ac:dyDescent="0.35">
      <c r="A27" t="s">
        <v>80</v>
      </c>
      <c r="B27">
        <f>'PDF Scraping'!D26</f>
        <v>0</v>
      </c>
    </row>
    <row r="28" spans="1:2" x14ac:dyDescent="0.35">
      <c r="A28" t="s">
        <v>81</v>
      </c>
      <c r="B28">
        <f>'PDF Scraping'!D27</f>
        <v>0</v>
      </c>
    </row>
    <row r="29" spans="1:2" x14ac:dyDescent="0.35">
      <c r="A29" t="s">
        <v>82</v>
      </c>
      <c r="B29">
        <f>'PDF Scraping'!D28</f>
        <v>0</v>
      </c>
    </row>
    <row r="30" spans="1:2" x14ac:dyDescent="0.35">
      <c r="A30" t="s">
        <v>83</v>
      </c>
      <c r="B30">
        <f>'PDF Scraping'!D29</f>
        <v>0</v>
      </c>
    </row>
    <row r="31" spans="1:2" x14ac:dyDescent="0.35">
      <c r="A31" t="s">
        <v>84</v>
      </c>
      <c r="B31">
        <f>'PDF Scraping'!D30</f>
        <v>0</v>
      </c>
    </row>
    <row r="32" spans="1:2" x14ac:dyDescent="0.35">
      <c r="A32" t="s">
        <v>85</v>
      </c>
      <c r="B32">
        <f>'PDF Scraping'!D31</f>
        <v>0</v>
      </c>
    </row>
    <row r="33" spans="1:2" x14ac:dyDescent="0.35">
      <c r="A33" t="s">
        <v>92</v>
      </c>
      <c r="B33">
        <f>'PDF Scraping'!D32</f>
        <v>0</v>
      </c>
    </row>
    <row r="34" spans="1:2" x14ac:dyDescent="0.35">
      <c r="A34" t="s">
        <v>94</v>
      </c>
      <c r="B34">
        <f>'PDF Scraping'!D33</f>
        <v>0</v>
      </c>
    </row>
    <row r="35" spans="1:2" x14ac:dyDescent="0.35">
      <c r="A35" t="s">
        <v>96</v>
      </c>
      <c r="B35">
        <f>'PDF Scraping'!D34</f>
        <v>0</v>
      </c>
    </row>
    <row r="36" spans="1:2" x14ac:dyDescent="0.35">
      <c r="A36" t="s">
        <v>98</v>
      </c>
      <c r="B36">
        <f>'PDF Scraping'!D35</f>
        <v>0</v>
      </c>
    </row>
    <row r="37" spans="1:2" x14ac:dyDescent="0.35">
      <c r="A37" t="s">
        <v>100</v>
      </c>
      <c r="B37">
        <f>'PDF Scraping'!D36</f>
        <v>0</v>
      </c>
    </row>
    <row r="38" spans="1:2" x14ac:dyDescent="0.35">
      <c r="A38" t="s">
        <v>102</v>
      </c>
      <c r="B38">
        <f>'PDF Scraping'!D37</f>
        <v>0</v>
      </c>
    </row>
    <row r="39" spans="1:2" x14ac:dyDescent="0.35">
      <c r="A39" t="s">
        <v>104</v>
      </c>
      <c r="B39">
        <f>'PDF Scraping'!D38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50"/>
  <sheetViews>
    <sheetView workbookViewId="0">
      <selection activeCell="F2" sqref="F2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7" x14ac:dyDescent="0.3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3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3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3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3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3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3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3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3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3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3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3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3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3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3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3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Schroder Sustainable Portfolio 8</v>
      </c>
      <c r="B25" s="7"/>
      <c r="C25" s="5"/>
    </row>
    <row r="26" spans="1:6" x14ac:dyDescent="0.35">
      <c r="A26" t="str">
        <f>IF(Input!A27="","",Input!A27)</f>
        <v>Schroder Blended Portfolio 3</v>
      </c>
      <c r="B26" s="7"/>
      <c r="C26" s="5"/>
    </row>
    <row r="27" spans="1:6" x14ac:dyDescent="0.35">
      <c r="A27" t="str">
        <f>IF(Input!A28="","",Input!A28)</f>
        <v>Schroder Blended Portfolio 4</v>
      </c>
      <c r="B27" s="7"/>
      <c r="C27" s="5"/>
    </row>
    <row r="28" spans="1:6" x14ac:dyDescent="0.35">
      <c r="A28" t="str">
        <f>IF(Input!A29="","",Input!A29)</f>
        <v>Schroder Blended Portfolio 5</v>
      </c>
      <c r="B28" s="7"/>
      <c r="C28" s="5"/>
    </row>
    <row r="29" spans="1:6" x14ac:dyDescent="0.35">
      <c r="A29" t="str">
        <f>IF(Input!A30="","",Input!A30)</f>
        <v>Schroder Blended Portfolio 6</v>
      </c>
      <c r="B29" s="7"/>
      <c r="C29" s="5"/>
    </row>
    <row r="30" spans="1:6" x14ac:dyDescent="0.35">
      <c r="A30" t="str">
        <f>IF(Input!A31="","",Input!A31)</f>
        <v>Schroder Blended Portfolio 7</v>
      </c>
      <c r="B30" s="7"/>
      <c r="C30" s="5"/>
    </row>
    <row r="31" spans="1:6" x14ac:dyDescent="0.35">
      <c r="A31" t="str">
        <f>IF(Input!A32="","",Input!A32)</f>
        <v>Schroder Blended Portfolio 8</v>
      </c>
      <c r="B31" s="7"/>
      <c r="C31" s="5"/>
    </row>
    <row r="32" spans="1:6" x14ac:dyDescent="0.35">
      <c r="A32" t="str">
        <f>IF(Input!A33="","",Input!A33)</f>
        <v>Schroder Income Portfolio</v>
      </c>
      <c r="B32" s="7"/>
      <c r="C32" s="5"/>
    </row>
    <row r="33" spans="1:3" x14ac:dyDescent="0.35">
      <c r="A33" t="str">
        <f>IF(Input!A34="","",Input!A34)</f>
        <v>Schroder Managed Defensive Fund</v>
      </c>
      <c r="B33" s="7"/>
      <c r="C33" s="5"/>
    </row>
    <row r="34" spans="1:3" x14ac:dyDescent="0.35">
      <c r="A34" t="str">
        <f>IF(Input!A35="","",Input!A35)</f>
        <v>Schroder Global Multi-Asset Cautious Portfolio</v>
      </c>
      <c r="B34" s="7"/>
      <c r="C34" s="5"/>
    </row>
    <row r="35" spans="1:3" x14ac:dyDescent="0.35">
      <c r="A35" t="str">
        <f>IF(Input!A36="","",Input!A36)</f>
        <v>Schroder Global Multi-Asset Moderately Cautious Portfolio</v>
      </c>
    </row>
    <row r="36" spans="1:3" x14ac:dyDescent="0.35">
      <c r="A36" t="str">
        <f>IF(Input!A37="","",Input!A37)</f>
        <v>Schroder Schroder Global Multi-Asset Balanced Portfolio</v>
      </c>
    </row>
    <row r="37" spans="1:3" x14ac:dyDescent="0.35">
      <c r="A37" t="str">
        <f>IF(Input!A38="","",Input!A38)</f>
        <v>Schroder Global Multi-Asset Growth Portfolio</v>
      </c>
    </row>
    <row r="38" spans="1:3" x14ac:dyDescent="0.35">
      <c r="A38" t="str">
        <f>IF(Input!A39="","",Input!A39)</f>
        <v>Schroder Global Multi-Asset Adventurous Portfolio</v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BD132"/>
  <sheetViews>
    <sheetView workbookViewId="0"/>
  </sheetViews>
  <sheetFormatPr defaultRowHeight="14.5" x14ac:dyDescent="0.35"/>
  <cols>
    <col min="1" max="1" width="50.453125" bestFit="1" customWidth="1"/>
    <col min="2" max="2" width="5.1796875" bestFit="1" customWidth="1"/>
    <col min="3" max="3" width="4.81640625" bestFit="1" customWidth="1"/>
    <col min="4" max="4" width="5.1796875" bestFit="1" customWidth="1"/>
    <col min="5" max="5" width="5.54296875" bestFit="1" customWidth="1"/>
    <col min="6" max="6" width="10.453125" bestFit="1" customWidth="1"/>
    <col min="7" max="7" width="8.7265625" bestFit="1" customWidth="1"/>
    <col min="8" max="8" width="17.1796875" bestFit="1" customWidth="1"/>
    <col min="9" max="9" width="11.54296875" bestFit="1" customWidth="1"/>
    <col min="10" max="10" width="10.7265625" bestFit="1" customWidth="1"/>
    <col min="11" max="11" width="14.81640625" bestFit="1" customWidth="1"/>
    <col min="12" max="12" width="11.81640625" bestFit="1" customWidth="1"/>
    <col min="13" max="13" width="8.7265625" bestFit="1" customWidth="1"/>
    <col min="14" max="14" width="21.54296875" bestFit="1" customWidth="1"/>
    <col min="15" max="15" width="9.81640625" bestFit="1" customWidth="1"/>
    <col min="16" max="16" width="8" bestFit="1" customWidth="1"/>
    <col min="17" max="17" width="14.453125" bestFit="1" customWidth="1"/>
    <col min="18" max="18" width="25.453125" bestFit="1" customWidth="1"/>
    <col min="19" max="19" width="12.453125" bestFit="1" customWidth="1"/>
    <col min="20" max="20" width="11.26953125" bestFit="1" customWidth="1"/>
    <col min="21" max="21" width="20.81640625" bestFit="1" customWidth="1"/>
    <col min="22" max="22" width="11.26953125" bestFit="1" customWidth="1"/>
    <col min="23" max="23" width="6.1796875" bestFit="1" customWidth="1"/>
    <col min="24" max="24" width="22.81640625" bestFit="1" customWidth="1"/>
    <col min="25" max="25" width="14.1796875" bestFit="1" customWidth="1"/>
    <col min="26" max="26" width="8.453125" bestFit="1" customWidth="1"/>
    <col min="27" max="27" width="5.54296875" bestFit="1" customWidth="1"/>
    <col min="28" max="28" width="13.81640625" bestFit="1" customWidth="1"/>
    <col min="29" max="29" width="16.54296875" bestFit="1" customWidth="1"/>
    <col min="30" max="30" width="11.81640625" bestFit="1" customWidth="1"/>
    <col min="32" max="32" width="14.7265625" bestFit="1" customWidth="1"/>
    <col min="33" max="33" width="15.1796875" bestFit="1" customWidth="1"/>
    <col min="34" max="34" width="14.81640625" bestFit="1" customWidth="1"/>
    <col min="35" max="35" width="13.54296875" bestFit="1" customWidth="1"/>
    <col min="36" max="36" width="7.1796875" bestFit="1" customWidth="1"/>
    <col min="37" max="37" width="10" bestFit="1" customWidth="1"/>
    <col min="38" max="38" width="12.1796875" bestFit="1" customWidth="1"/>
    <col min="39" max="39" width="10" bestFit="1" customWidth="1"/>
    <col min="40" max="40" width="9.26953125" bestFit="1" customWidth="1"/>
    <col min="41" max="41" width="11.26953125" bestFit="1" customWidth="1"/>
    <col min="42" max="42" width="10.26953125" bestFit="1" customWidth="1"/>
    <col min="43" max="43" width="15.1796875" bestFit="1" customWidth="1"/>
    <col min="44" max="44" width="9.81640625" bestFit="1" customWidth="1"/>
    <col min="45" max="45" width="9.54296875" bestFit="1" customWidth="1"/>
    <col min="46" max="46" width="15.54296875" bestFit="1" customWidth="1"/>
    <col min="47" max="47" width="18" bestFit="1" customWidth="1"/>
    <col min="48" max="48" width="9.81640625" bestFit="1" customWidth="1"/>
    <col min="49" max="49" width="21.453125" bestFit="1" customWidth="1"/>
    <col min="50" max="50" width="16.7265625" bestFit="1" customWidth="1"/>
    <col min="51" max="51" width="6.453125" bestFit="1" customWidth="1"/>
    <col min="52" max="52" width="13.26953125" bestFit="1" customWidth="1"/>
    <col min="53" max="53" width="7" bestFit="1" customWidth="1"/>
    <col min="54" max="54" width="11.54296875" bestFit="1" customWidth="1"/>
    <col min="55" max="55" width="23.453125" bestFit="1" customWidth="1"/>
    <col min="56" max="56" width="11.81640625" bestFit="1" customWidth="1"/>
  </cols>
  <sheetData>
    <row r="1" spans="1:56" x14ac:dyDescent="0.3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3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3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3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3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3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3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3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3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3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3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3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3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3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3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3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>Schroder Global Multi-Asset Moderately Cautious Portfolio</v>
      </c>
      <c r="C35" s="5"/>
      <c r="D35" s="5"/>
    </row>
    <row r="36" spans="1:27" x14ac:dyDescent="0.35">
      <c r="A36" t="str">
        <f>IF(Input!A37="","",Input!A37)</f>
        <v>Schroder Schroder Global Multi-Asset Balanced Portfolio</v>
      </c>
      <c r="C36" s="5"/>
      <c r="D36" s="5"/>
    </row>
    <row r="37" spans="1:27" x14ac:dyDescent="0.35">
      <c r="A37" t="str">
        <f>IF(Input!A38="","",Input!A38)</f>
        <v>Schroder Global Multi-Asset Growth Portfolio</v>
      </c>
      <c r="C37" s="5"/>
      <c r="D37" s="5"/>
    </row>
    <row r="38" spans="1:27" x14ac:dyDescent="0.35">
      <c r="A38" t="str">
        <f>IF(Input!A39="","",Input!A39)</f>
        <v>Schroder Global Multi-Asset Adventurous Portfolio</v>
      </c>
      <c r="C38" s="5"/>
      <c r="D38" s="5"/>
    </row>
    <row r="39" spans="1:27" x14ac:dyDescent="0.35">
      <c r="A39" t="str">
        <f>IF(Input!A40="","",Input!A40)</f>
        <v/>
      </c>
      <c r="C39" s="5"/>
      <c r="D39" s="5"/>
    </row>
    <row r="40" spans="1:27" x14ac:dyDescent="0.35">
      <c r="A40" t="str">
        <f>IF(Input!A41="","",Input!A41)</f>
        <v/>
      </c>
      <c r="C40" s="5"/>
      <c r="D40" s="5"/>
    </row>
    <row r="41" spans="1:27" x14ac:dyDescent="0.35">
      <c r="A41" t="str">
        <f>IF(Input!A42="","",Input!A42)</f>
        <v/>
      </c>
      <c r="C41" s="5"/>
      <c r="D41" s="5"/>
    </row>
    <row r="42" spans="1:27" x14ac:dyDescent="0.35">
      <c r="A42" t="str">
        <f>IF(Input!A43="","",Input!A43)</f>
        <v/>
      </c>
      <c r="C42" s="5"/>
      <c r="D42" s="5"/>
    </row>
    <row r="43" spans="1:27" x14ac:dyDescent="0.35">
      <c r="A43" t="str">
        <f>IF(Input!A44="","",Input!A44)</f>
        <v/>
      </c>
      <c r="C43" s="5"/>
      <c r="D43" s="5"/>
    </row>
    <row r="44" spans="1:27" x14ac:dyDescent="0.35">
      <c r="A44" t="str">
        <f>IF(Input!A45="","",Input!A45)</f>
        <v/>
      </c>
      <c r="C44" s="5"/>
      <c r="D44" s="5"/>
    </row>
    <row r="45" spans="1:27" x14ac:dyDescent="0.35">
      <c r="A45" t="str">
        <f>IF(Input!A46="","",Input!A46)</f>
        <v/>
      </c>
      <c r="C45" s="5"/>
      <c r="D45" s="5"/>
    </row>
    <row r="46" spans="1:27" x14ac:dyDescent="0.35">
      <c r="A46" t="str">
        <f>IF(Input!A47="","",Input!A47)</f>
        <v/>
      </c>
      <c r="C46" s="5"/>
      <c r="D46" s="5"/>
    </row>
    <row r="47" spans="1:27" x14ac:dyDescent="0.35">
      <c r="A47" t="str">
        <f>IF(Input!A48="","",Input!A48)</f>
        <v/>
      </c>
      <c r="C47" s="5"/>
      <c r="D47" s="5"/>
    </row>
    <row r="48" spans="1:27" x14ac:dyDescent="0.35">
      <c r="A48" t="str">
        <f>IF(Input!A49="","",Input!A49)</f>
        <v/>
      </c>
      <c r="C48" s="5"/>
      <c r="D48" s="5"/>
    </row>
    <row r="49" spans="1:4" x14ac:dyDescent="0.35">
      <c r="A49" t="str">
        <f>IF(Input!A50="","",Input!A50)</f>
        <v/>
      </c>
      <c r="C49" s="5"/>
      <c r="D49" s="5"/>
    </row>
    <row r="50" spans="1:4" x14ac:dyDescent="0.35">
      <c r="A50" t="str">
        <f>IF(Input!A51="","",Input!A51)</f>
        <v/>
      </c>
      <c r="C50" s="5"/>
      <c r="D50" s="5"/>
    </row>
    <row r="51" spans="1:4" x14ac:dyDescent="0.35">
      <c r="C51" s="5"/>
      <c r="D51" s="5"/>
    </row>
    <row r="52" spans="1:4" x14ac:dyDescent="0.35">
      <c r="C52" s="5"/>
      <c r="D52" s="5"/>
    </row>
    <row r="53" spans="1:4" x14ac:dyDescent="0.35">
      <c r="C53" s="5"/>
      <c r="D53" s="5"/>
    </row>
    <row r="54" spans="1:4" x14ac:dyDescent="0.35">
      <c r="C54" s="5"/>
      <c r="D54" s="5"/>
    </row>
    <row r="55" spans="1:4" x14ac:dyDescent="0.35">
      <c r="C55" s="5"/>
      <c r="D55" s="5"/>
    </row>
    <row r="56" spans="1:4" x14ac:dyDescent="0.35">
      <c r="C56" s="5"/>
      <c r="D56" s="5"/>
    </row>
    <row r="57" spans="1:4" x14ac:dyDescent="0.35">
      <c r="C57" s="5"/>
      <c r="D57" s="5"/>
    </row>
    <row r="58" spans="1:4" x14ac:dyDescent="0.35">
      <c r="C58" s="5"/>
      <c r="D58" s="5"/>
    </row>
    <row r="59" spans="1:4" x14ac:dyDescent="0.35">
      <c r="C59" s="5"/>
      <c r="D59" s="5"/>
    </row>
    <row r="60" spans="1:4" x14ac:dyDescent="0.35">
      <c r="C60" s="5"/>
      <c r="D60" s="5"/>
    </row>
    <row r="61" spans="1:4" x14ac:dyDescent="0.35">
      <c r="C61" s="5"/>
      <c r="D61" s="5"/>
    </row>
    <row r="62" spans="1:4" x14ac:dyDescent="0.35">
      <c r="C62" s="5"/>
      <c r="D62" s="5"/>
    </row>
    <row r="63" spans="1:4" x14ac:dyDescent="0.35">
      <c r="C63" s="5"/>
      <c r="D63" s="5"/>
    </row>
    <row r="64" spans="1:4" x14ac:dyDescent="0.35">
      <c r="C64" s="5"/>
      <c r="D64" s="5"/>
    </row>
    <row r="65" spans="3:4" x14ac:dyDescent="0.35">
      <c r="C65" s="5"/>
      <c r="D65" s="5"/>
    </row>
    <row r="66" spans="3:4" x14ac:dyDescent="0.35">
      <c r="C66" s="5"/>
      <c r="D66" s="5"/>
    </row>
    <row r="67" spans="3:4" x14ac:dyDescent="0.35">
      <c r="C67" s="5"/>
      <c r="D67" s="5"/>
    </row>
    <row r="68" spans="3:4" x14ac:dyDescent="0.35">
      <c r="C68" s="5"/>
      <c r="D68" s="5"/>
    </row>
    <row r="69" spans="3:4" x14ac:dyDescent="0.35">
      <c r="C69" s="5"/>
      <c r="D69" s="5"/>
    </row>
    <row r="70" spans="3:4" x14ac:dyDescent="0.35">
      <c r="C70" s="5"/>
      <c r="D70" s="5"/>
    </row>
    <row r="71" spans="3:4" x14ac:dyDescent="0.35">
      <c r="C71" s="5"/>
      <c r="D71" s="5"/>
    </row>
    <row r="72" spans="3:4" x14ac:dyDescent="0.35">
      <c r="C72" s="5"/>
      <c r="D72" s="5"/>
    </row>
    <row r="73" spans="3:4" x14ac:dyDescent="0.35">
      <c r="C73" s="5"/>
      <c r="D73" s="5"/>
    </row>
    <row r="74" spans="3:4" x14ac:dyDescent="0.35">
      <c r="C74" s="5"/>
      <c r="D74" s="5"/>
    </row>
    <row r="75" spans="3:4" x14ac:dyDescent="0.35">
      <c r="C75" s="5"/>
      <c r="D75" s="5"/>
    </row>
    <row r="76" spans="3:4" x14ac:dyDescent="0.35">
      <c r="C76" s="5"/>
      <c r="D76" s="5"/>
    </row>
    <row r="77" spans="3:4" x14ac:dyDescent="0.35">
      <c r="C77" s="5"/>
      <c r="D77" s="5"/>
    </row>
    <row r="78" spans="3:4" x14ac:dyDescent="0.35">
      <c r="C78" s="5"/>
      <c r="D78" s="5"/>
    </row>
    <row r="79" spans="3:4" x14ac:dyDescent="0.35">
      <c r="C79" s="5"/>
      <c r="D79" s="5"/>
    </row>
    <row r="80" spans="3:4" x14ac:dyDescent="0.35">
      <c r="C80" s="5"/>
      <c r="D80" s="5"/>
    </row>
    <row r="81" spans="3:4" x14ac:dyDescent="0.35">
      <c r="C81" s="5"/>
      <c r="D81" s="5"/>
    </row>
    <row r="82" spans="3:4" x14ac:dyDescent="0.35">
      <c r="C82" s="5"/>
      <c r="D82" s="5"/>
    </row>
    <row r="83" spans="3:4" x14ac:dyDescent="0.35">
      <c r="C83" s="5"/>
      <c r="D83" s="5"/>
    </row>
    <row r="84" spans="3:4" x14ac:dyDescent="0.35">
      <c r="C84" s="5"/>
      <c r="D84" s="5"/>
    </row>
    <row r="85" spans="3:4" x14ac:dyDescent="0.35">
      <c r="C85" s="5"/>
      <c r="D85" s="5"/>
    </row>
    <row r="86" spans="3:4" x14ac:dyDescent="0.35">
      <c r="C86" s="5"/>
      <c r="D86" s="5"/>
    </row>
    <row r="87" spans="3:4" x14ac:dyDescent="0.35">
      <c r="C87" s="5"/>
      <c r="D87" s="5"/>
    </row>
    <row r="88" spans="3:4" x14ac:dyDescent="0.35">
      <c r="C88" s="5"/>
      <c r="D88" s="5"/>
    </row>
    <row r="89" spans="3:4" x14ac:dyDescent="0.35">
      <c r="C89" s="5"/>
      <c r="D89" s="5"/>
    </row>
    <row r="90" spans="3:4" x14ac:dyDescent="0.35">
      <c r="C90" s="5"/>
      <c r="D90" s="5"/>
    </row>
    <row r="91" spans="3:4" x14ac:dyDescent="0.35">
      <c r="C91" s="5"/>
      <c r="D91" s="5"/>
    </row>
    <row r="92" spans="3:4" x14ac:dyDescent="0.35">
      <c r="C92" s="5"/>
      <c r="D92" s="5"/>
    </row>
    <row r="93" spans="3:4" x14ac:dyDescent="0.35">
      <c r="C93" s="5"/>
      <c r="D93" s="5"/>
    </row>
    <row r="94" spans="3:4" x14ac:dyDescent="0.35">
      <c r="C94" s="5"/>
      <c r="D94" s="5"/>
    </row>
    <row r="95" spans="3:4" x14ac:dyDescent="0.35">
      <c r="C95" s="5"/>
      <c r="D95" s="5"/>
    </row>
    <row r="96" spans="3:4" x14ac:dyDescent="0.35">
      <c r="C96" s="5"/>
      <c r="D96" s="5"/>
    </row>
    <row r="97" spans="3:4" x14ac:dyDescent="0.35">
      <c r="C97" s="5"/>
      <c r="D97" s="5"/>
    </row>
    <row r="98" spans="3:4" x14ac:dyDescent="0.35">
      <c r="C98" s="5"/>
      <c r="D98" s="5"/>
    </row>
    <row r="99" spans="3:4" x14ac:dyDescent="0.35">
      <c r="C99" s="5"/>
      <c r="D99" s="5"/>
    </row>
    <row r="100" spans="3:4" x14ac:dyDescent="0.35">
      <c r="C100" s="5"/>
      <c r="D100" s="5"/>
    </row>
    <row r="101" spans="3:4" x14ac:dyDescent="0.35">
      <c r="C101" s="5"/>
      <c r="D101" s="5"/>
    </row>
    <row r="102" spans="3:4" x14ac:dyDescent="0.35">
      <c r="C102" s="5"/>
      <c r="D102" s="5"/>
    </row>
    <row r="103" spans="3:4" x14ac:dyDescent="0.35">
      <c r="C103" s="5"/>
      <c r="D103" s="5"/>
    </row>
    <row r="104" spans="3:4" x14ac:dyDescent="0.35">
      <c r="C104" s="5"/>
      <c r="D104" s="5"/>
    </row>
    <row r="105" spans="3:4" x14ac:dyDescent="0.35">
      <c r="C105" s="5"/>
      <c r="D105" s="5"/>
    </row>
    <row r="106" spans="3:4" x14ac:dyDescent="0.35">
      <c r="C106" s="5"/>
      <c r="D106" s="5"/>
    </row>
    <row r="107" spans="3:4" x14ac:dyDescent="0.35">
      <c r="C107" s="5"/>
      <c r="D107" s="5"/>
    </row>
    <row r="108" spans="3:4" x14ac:dyDescent="0.35">
      <c r="C108" s="5"/>
      <c r="D108" s="5"/>
    </row>
    <row r="109" spans="3:4" x14ac:dyDescent="0.35">
      <c r="C109" s="5"/>
      <c r="D109" s="5"/>
    </row>
    <row r="110" spans="3:4" x14ac:dyDescent="0.35">
      <c r="C110" s="5"/>
      <c r="D110" s="5"/>
    </row>
    <row r="111" spans="3:4" x14ac:dyDescent="0.35">
      <c r="C111" s="5"/>
      <c r="D111" s="5"/>
    </row>
    <row r="112" spans="3:4" x14ac:dyDescent="0.35">
      <c r="C112" s="5"/>
      <c r="D112" s="5"/>
    </row>
    <row r="113" spans="3:4" x14ac:dyDescent="0.35">
      <c r="C113" s="5"/>
      <c r="D113" s="5"/>
    </row>
    <row r="114" spans="3:4" x14ac:dyDescent="0.35">
      <c r="C114" s="5"/>
      <c r="D114" s="5"/>
    </row>
    <row r="115" spans="3:4" x14ac:dyDescent="0.35">
      <c r="C115" s="5"/>
      <c r="D115" s="5"/>
    </row>
    <row r="116" spans="3:4" x14ac:dyDescent="0.35">
      <c r="C116" s="5"/>
      <c r="D116" s="5"/>
    </row>
    <row r="117" spans="3:4" x14ac:dyDescent="0.35">
      <c r="C117" s="5"/>
      <c r="D117" s="5"/>
    </row>
    <row r="118" spans="3:4" x14ac:dyDescent="0.35">
      <c r="C118" s="5"/>
      <c r="D118" s="5"/>
    </row>
    <row r="119" spans="3:4" x14ac:dyDescent="0.35">
      <c r="C119" s="5"/>
      <c r="D119" s="5"/>
    </row>
    <row r="120" spans="3:4" x14ac:dyDescent="0.35">
      <c r="C120" s="5"/>
      <c r="D120" s="5"/>
    </row>
    <row r="121" spans="3:4" x14ac:dyDescent="0.35">
      <c r="C121" s="5"/>
      <c r="D121" s="5"/>
    </row>
    <row r="122" spans="3:4" x14ac:dyDescent="0.35">
      <c r="C122" s="5"/>
      <c r="D122" s="5"/>
    </row>
    <row r="123" spans="3:4" x14ac:dyDescent="0.35">
      <c r="C123" s="5"/>
      <c r="D123" s="5"/>
    </row>
    <row r="124" spans="3:4" x14ac:dyDescent="0.35">
      <c r="C124" s="5"/>
      <c r="D124" s="5"/>
    </row>
    <row r="125" spans="3:4" x14ac:dyDescent="0.35">
      <c r="C125" s="5"/>
      <c r="D125" s="5"/>
    </row>
    <row r="126" spans="3:4" x14ac:dyDescent="0.35">
      <c r="C126" s="5"/>
      <c r="D126" s="5"/>
    </row>
    <row r="127" spans="3:4" x14ac:dyDescent="0.35">
      <c r="C127" s="5"/>
      <c r="D127" s="5"/>
    </row>
    <row r="128" spans="3:4" x14ac:dyDescent="0.35">
      <c r="C128" s="5"/>
      <c r="D128" s="5"/>
    </row>
    <row r="129" spans="3:4" x14ac:dyDescent="0.35">
      <c r="C129" s="5"/>
      <c r="D129" s="5"/>
    </row>
    <row r="130" spans="3:4" x14ac:dyDescent="0.35">
      <c r="C130" s="5"/>
      <c r="D130" s="5"/>
    </row>
    <row r="131" spans="3:4" x14ac:dyDescent="0.35">
      <c r="C131" s="5"/>
      <c r="D131" s="5"/>
    </row>
    <row r="132" spans="3:4" x14ac:dyDescent="0.3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49"/>
  <sheetViews>
    <sheetView tabSelected="1" topLeftCell="B1" zoomScale="70" zoomScaleNormal="70" workbookViewId="0">
      <selection activeCell="B18" sqref="B18"/>
    </sheetView>
  </sheetViews>
  <sheetFormatPr defaultRowHeight="14.5" x14ac:dyDescent="0.35"/>
  <cols>
    <col min="1" max="1" width="56.54296875" bestFit="1" customWidth="1"/>
    <col min="2" max="2" width="212" bestFit="1" customWidth="1"/>
    <col min="3" max="3" width="56.54296875" bestFit="1" customWidth="1"/>
    <col min="4" max="4" width="99.26953125" style="8" bestFit="1" customWidth="1"/>
  </cols>
  <sheetData>
    <row r="1" spans="1:5" x14ac:dyDescent="0.3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35">
      <c r="A2" t="str">
        <f>IF(Input!A3="","",Input!A3)</f>
        <v>Schroder Active Portfolio 2</v>
      </c>
      <c r="B2" t="s">
        <v>42</v>
      </c>
      <c r="C2" t="s">
        <v>33</v>
      </c>
    </row>
    <row r="3" spans="1:5" x14ac:dyDescent="0.35">
      <c r="A3" t="str">
        <f>IF(Input!A4="","",Input!A4)</f>
        <v>Schroder Active Portfolio 3</v>
      </c>
      <c r="B3" t="s">
        <v>43</v>
      </c>
      <c r="C3" t="s">
        <v>34</v>
      </c>
      <c r="D3" s="10"/>
    </row>
    <row r="4" spans="1:5" x14ac:dyDescent="0.35">
      <c r="A4" t="str">
        <f>IF(Input!A5="","",Input!A5)</f>
        <v>Schroder Active Portfolio 4</v>
      </c>
      <c r="B4" t="s">
        <v>44</v>
      </c>
      <c r="C4" t="s">
        <v>35</v>
      </c>
    </row>
    <row r="5" spans="1:5" x14ac:dyDescent="0.35">
      <c r="A5" t="str">
        <f>IF(Input!A6="","",Input!A6)</f>
        <v>Schroder Active Portfolio 5</v>
      </c>
      <c r="B5" t="s">
        <v>45</v>
      </c>
      <c r="C5" t="s">
        <v>36</v>
      </c>
    </row>
    <row r="6" spans="1:5" x14ac:dyDescent="0.35">
      <c r="A6" t="str">
        <f>IF(Input!A7="","",Input!A7)</f>
        <v>Schroder Active Portfolio 6</v>
      </c>
      <c r="B6" t="s">
        <v>46</v>
      </c>
      <c r="C6" t="s">
        <v>37</v>
      </c>
    </row>
    <row r="7" spans="1:5" x14ac:dyDescent="0.35">
      <c r="A7" t="str">
        <f>IF(Input!A8="","",Input!A8)</f>
        <v>Schroder Active Portfolio 7</v>
      </c>
      <c r="B7" t="s">
        <v>47</v>
      </c>
      <c r="C7" s="10" t="s">
        <v>38</v>
      </c>
    </row>
    <row r="8" spans="1:5" x14ac:dyDescent="0.35">
      <c r="A8" t="str">
        <f>IF(Input!A9="","",Input!A9)</f>
        <v>Schroder Active Portfolio 8</v>
      </c>
      <c r="B8" t="s">
        <v>48</v>
      </c>
      <c r="C8" s="10" t="s">
        <v>39</v>
      </c>
    </row>
    <row r="9" spans="1:5" x14ac:dyDescent="0.35">
      <c r="A9" t="str">
        <f>IF(Input!A10="","",Input!A10)</f>
        <v>Schroder Active Portfolio 9</v>
      </c>
      <c r="B9" t="s">
        <v>49</v>
      </c>
      <c r="C9" t="s">
        <v>40</v>
      </c>
    </row>
    <row r="10" spans="1:5" x14ac:dyDescent="0.35">
      <c r="A10" t="str">
        <f>IF(Input!A11="","",Input!A11)</f>
        <v>Schroder Active Portfolio 10</v>
      </c>
      <c r="B10" t="s">
        <v>50</v>
      </c>
      <c r="C10" t="s">
        <v>41</v>
      </c>
    </row>
    <row r="11" spans="1:5" x14ac:dyDescent="0.35">
      <c r="A11" t="str">
        <f>IF(Input!A12="","",Input!A12)</f>
        <v>Schroder Strategic Index Portfolio 2</v>
      </c>
      <c r="B11" t="s">
        <v>60</v>
      </c>
      <c r="C11" s="11" t="s">
        <v>51</v>
      </c>
    </row>
    <row r="12" spans="1:5" x14ac:dyDescent="0.35">
      <c r="A12" t="str">
        <f>IF(Input!A13="","",Input!A13)</f>
        <v>Schroder Strategic Index Portfolio 3</v>
      </c>
      <c r="B12" t="s">
        <v>61</v>
      </c>
      <c r="C12" t="s">
        <v>52</v>
      </c>
    </row>
    <row r="13" spans="1:5" x14ac:dyDescent="0.35">
      <c r="A13" t="str">
        <f>IF(Input!A14="","",Input!A14)</f>
        <v>Schroder Strategic Index Portfolio 4</v>
      </c>
      <c r="B13" t="s">
        <v>62</v>
      </c>
      <c r="C13" t="s">
        <v>53</v>
      </c>
    </row>
    <row r="14" spans="1:5" x14ac:dyDescent="0.35">
      <c r="A14" t="str">
        <f>IF(Input!A15="","",Input!A15)</f>
        <v>Schroder Strategic Index Portfolio 5</v>
      </c>
      <c r="B14" t="s">
        <v>63</v>
      </c>
      <c r="C14" t="s">
        <v>54</v>
      </c>
    </row>
    <row r="15" spans="1:5" x14ac:dyDescent="0.35">
      <c r="A15" t="str">
        <f>IF(Input!A16="","",Input!A16)</f>
        <v>Schroder Strategic Index Portfolio 6</v>
      </c>
      <c r="B15" t="s">
        <v>64</v>
      </c>
      <c r="C15" t="s">
        <v>55</v>
      </c>
    </row>
    <row r="16" spans="1:5" x14ac:dyDescent="0.35">
      <c r="A16" t="str">
        <f>IF(Input!A17="","",Input!A17)</f>
        <v>Schroder Strategic Index Portfolio 7</v>
      </c>
      <c r="B16" t="s">
        <v>65</v>
      </c>
      <c r="C16" t="s">
        <v>56</v>
      </c>
    </row>
    <row r="17" spans="1:4" x14ac:dyDescent="0.35">
      <c r="A17" t="str">
        <f>IF(Input!A18="","",Input!A18)</f>
        <v>Schroder Strategic Index Portfolio 8</v>
      </c>
      <c r="B17" t="s">
        <v>66</v>
      </c>
      <c r="C17" t="s">
        <v>57</v>
      </c>
    </row>
    <row r="18" spans="1:4" x14ac:dyDescent="0.35">
      <c r="A18" t="str">
        <f>IF(Input!A19="","",Input!A19)</f>
        <v>Schroder Strategic Index Portfolio 9</v>
      </c>
      <c r="B18" t="s">
        <v>67</v>
      </c>
      <c r="C18" t="s">
        <v>58</v>
      </c>
    </row>
    <row r="19" spans="1:4" x14ac:dyDescent="0.35">
      <c r="A19" t="str">
        <f>IF(Input!A20="","",Input!A20)</f>
        <v>Schroder Strategic Index Portfolio 10</v>
      </c>
      <c r="B19" t="s">
        <v>68</v>
      </c>
      <c r="C19" t="s">
        <v>59</v>
      </c>
    </row>
    <row r="20" spans="1:4" x14ac:dyDescent="0.35">
      <c r="A20" t="str">
        <f>IF(Input!A21="","",Input!A21)</f>
        <v>Schroder Sustainable Portfolio 3</v>
      </c>
      <c r="B20" t="s">
        <v>75</v>
      </c>
      <c r="C20" t="s">
        <v>69</v>
      </c>
      <c r="D20" s="10"/>
    </row>
    <row r="21" spans="1:4" x14ac:dyDescent="0.35">
      <c r="A21" t="str">
        <f>IF(Input!A22="","",Input!A22)</f>
        <v>Schroder Sustainable Portfolio 4</v>
      </c>
      <c r="B21" t="s">
        <v>76</v>
      </c>
      <c r="C21" t="s">
        <v>70</v>
      </c>
      <c r="D21" s="10"/>
    </row>
    <row r="22" spans="1:4" x14ac:dyDescent="0.35">
      <c r="A22" t="str">
        <f>IF(Input!A23="","",Input!A23)</f>
        <v>Schroder Sustainable Portfolio 5</v>
      </c>
      <c r="B22" s="4" t="s">
        <v>159</v>
      </c>
      <c r="C22" t="s">
        <v>71</v>
      </c>
    </row>
    <row r="23" spans="1:4" x14ac:dyDescent="0.35">
      <c r="A23" t="str">
        <f>IF(Input!A24="","",Input!A24)</f>
        <v>Schroder Sustainable Portfolio 6</v>
      </c>
      <c r="B23" t="s">
        <v>77</v>
      </c>
      <c r="C23" t="s">
        <v>72</v>
      </c>
    </row>
    <row r="24" spans="1:4" x14ac:dyDescent="0.35">
      <c r="A24" t="str">
        <f>IF(Input!A25="","",Input!A25)</f>
        <v>Schroder Sustainable Portfolio 7</v>
      </c>
      <c r="B24" t="s">
        <v>78</v>
      </c>
      <c r="C24" t="s">
        <v>73</v>
      </c>
      <c r="D24" s="10"/>
    </row>
    <row r="25" spans="1:4" x14ac:dyDescent="0.35">
      <c r="A25" t="str">
        <f>IF(Input!A26="","",Input!A26)</f>
        <v>Schroder Sustainable Portfolio 8</v>
      </c>
      <c r="B25" t="s">
        <v>79</v>
      </c>
      <c r="C25" t="s">
        <v>74</v>
      </c>
    </row>
    <row r="26" spans="1:4" x14ac:dyDescent="0.35">
      <c r="A26" t="str">
        <f>IF(Input!A27="","",Input!A27)</f>
        <v>Schroder Blended Portfolio 3</v>
      </c>
      <c r="B26" t="s">
        <v>86</v>
      </c>
      <c r="C26" t="s">
        <v>80</v>
      </c>
    </row>
    <row r="27" spans="1:4" x14ac:dyDescent="0.35">
      <c r="A27" t="str">
        <f>IF(Input!A28="","",Input!A28)</f>
        <v>Schroder Blended Portfolio 4</v>
      </c>
      <c r="B27" t="s">
        <v>87</v>
      </c>
      <c r="C27" t="s">
        <v>81</v>
      </c>
    </row>
    <row r="28" spans="1:4" x14ac:dyDescent="0.35">
      <c r="A28" t="str">
        <f>IF(Input!A29="","",Input!A29)</f>
        <v>Schroder Blended Portfolio 5</v>
      </c>
      <c r="B28" t="s">
        <v>88</v>
      </c>
      <c r="C28" t="s">
        <v>82</v>
      </c>
    </row>
    <row r="29" spans="1:4" x14ac:dyDescent="0.35">
      <c r="A29" t="str">
        <f>IF(Input!A30="","",Input!A30)</f>
        <v>Schroder Blended Portfolio 6</v>
      </c>
      <c r="B29" t="s">
        <v>89</v>
      </c>
      <c r="C29" t="s">
        <v>83</v>
      </c>
    </row>
    <row r="30" spans="1:4" x14ac:dyDescent="0.35">
      <c r="A30" t="str">
        <f>IF(Input!A31="","",Input!A31)</f>
        <v>Schroder Blended Portfolio 7</v>
      </c>
      <c r="B30" t="s">
        <v>90</v>
      </c>
      <c r="C30" t="s">
        <v>84</v>
      </c>
    </row>
    <row r="31" spans="1:4" x14ac:dyDescent="0.35">
      <c r="A31" t="str">
        <f>IF(Input!A32="","",Input!A32)</f>
        <v>Schroder Blended Portfolio 8</v>
      </c>
      <c r="B31" t="s">
        <v>91</v>
      </c>
      <c r="C31" t="s">
        <v>85</v>
      </c>
    </row>
    <row r="32" spans="1:4" x14ac:dyDescent="0.35">
      <c r="A32" t="str">
        <f>IF(Input!A33="","",Input!A33)</f>
        <v>Schroder Income Portfolio</v>
      </c>
      <c r="B32" s="8" t="s">
        <v>93</v>
      </c>
      <c r="C32" t="s">
        <v>160</v>
      </c>
    </row>
    <row r="33" spans="1:4" x14ac:dyDescent="0.35">
      <c r="A33" t="str">
        <f>IF(Input!A34="","",Input!A34)</f>
        <v>Schroder Managed Defensive Fund</v>
      </c>
      <c r="B33" s="8" t="s">
        <v>95</v>
      </c>
      <c r="C33" t="s">
        <v>161</v>
      </c>
      <c r="D33" s="10"/>
    </row>
    <row r="34" spans="1:4" x14ac:dyDescent="0.35">
      <c r="A34" t="str">
        <f>IF(Input!A35="","",Input!A35)</f>
        <v>Schroder Global Multi-Asset Cautious Portfolio</v>
      </c>
      <c r="B34" s="12" t="s">
        <v>97</v>
      </c>
      <c r="C34" t="s">
        <v>96</v>
      </c>
    </row>
    <row r="35" spans="1:4" x14ac:dyDescent="0.35">
      <c r="A35" t="str">
        <f>IF(Input!A36="","",Input!A36)</f>
        <v>Schroder Global Multi-Asset Moderately Cautious Portfolio</v>
      </c>
      <c r="B35" s="12" t="s">
        <v>99</v>
      </c>
      <c r="C35" t="s">
        <v>98</v>
      </c>
    </row>
    <row r="36" spans="1:4" x14ac:dyDescent="0.35">
      <c r="A36" t="str">
        <f>IF(Input!A37="","",Input!A37)</f>
        <v>Schroder Schroder Global Multi-Asset Balanced Portfolio</v>
      </c>
      <c r="B36" s="12" t="s">
        <v>101</v>
      </c>
      <c r="C36" t="s">
        <v>100</v>
      </c>
    </row>
    <row r="37" spans="1:4" x14ac:dyDescent="0.35">
      <c r="A37" t="str">
        <f>IF(Input!A38="","",Input!A38)</f>
        <v>Schroder Global Multi-Asset Growth Portfolio</v>
      </c>
      <c r="B37" s="12" t="s">
        <v>103</v>
      </c>
      <c r="C37" t="s">
        <v>102</v>
      </c>
    </row>
    <row r="38" spans="1:4" x14ac:dyDescent="0.35">
      <c r="A38" t="str">
        <f>IF(Input!A39="","",Input!A39)</f>
        <v>Schroder Global Multi-Asset Adventurous Portfolio</v>
      </c>
      <c r="B38" s="12" t="s">
        <v>105</v>
      </c>
      <c r="C38" t="s">
        <v>104</v>
      </c>
    </row>
    <row r="39" spans="1:4" x14ac:dyDescent="0.35">
      <c r="A39" t="str">
        <f>IF(Input!A41="","",Input!A41)</f>
        <v/>
      </c>
    </row>
    <row r="40" spans="1:4" x14ac:dyDescent="0.35">
      <c r="A40" t="str">
        <f>IF(Input!A42="","",Input!A42)</f>
        <v/>
      </c>
    </row>
    <row r="41" spans="1:4" x14ac:dyDescent="0.35">
      <c r="A41" t="str">
        <f>IF(Input!A43="","",Input!A43)</f>
        <v/>
      </c>
    </row>
    <row r="42" spans="1:4" x14ac:dyDescent="0.35">
      <c r="A42" t="str">
        <f>IF(Input!A44="","",Input!A44)</f>
        <v/>
      </c>
    </row>
    <row r="43" spans="1:4" x14ac:dyDescent="0.35">
      <c r="A43" t="str">
        <f>IF(Input!A45="","",Input!A45)</f>
        <v/>
      </c>
    </row>
    <row r="44" spans="1:4" x14ac:dyDescent="0.35">
      <c r="A44" t="str">
        <f>IF(Input!A46="","",Input!A46)</f>
        <v/>
      </c>
    </row>
    <row r="45" spans="1:4" x14ac:dyDescent="0.35">
      <c r="A45" t="str">
        <f>IF(Input!A47="","",Input!A47)</f>
        <v/>
      </c>
    </row>
    <row r="46" spans="1:4" x14ac:dyDescent="0.35">
      <c r="A46" t="str">
        <f>IF(Input!A48="","",Input!A48)</f>
        <v/>
      </c>
    </row>
    <row r="47" spans="1:4" x14ac:dyDescent="0.35">
      <c r="A47" t="str">
        <f>IF(Input!A49="","",Input!A49)</f>
        <v/>
      </c>
    </row>
    <row r="48" spans="1:4" x14ac:dyDescent="0.35">
      <c r="A48" t="str">
        <f>IF(Input!A50="","",Input!A50)</f>
        <v/>
      </c>
    </row>
    <row r="49" spans="1:1" x14ac:dyDescent="0.35">
      <c r="A49" t="str">
        <f>IF(Input!A51="","",Input!A51)</f>
        <v/>
      </c>
    </row>
  </sheetData>
  <conditionalFormatting sqref="D2:D38">
    <cfRule type="duplicateValues" dxfId="1" priority="2"/>
    <cfRule type="duplicateValues" dxfId="0" priority="1"/>
  </conditionalFormatting>
  <hyperlinks>
    <hyperlink ref="B22" r:id="rId1" location="/fund/SCHDR_F000016P37/schroder-sustainable-portfolio-5/-/profile/" xr:uid="{00000000-0004-0000-0400-000000000000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26</v>
      </c>
    </row>
    <row r="2" spans="1:2" x14ac:dyDescent="0.3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3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3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3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3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4" x14ac:dyDescent="0.35">
      <c r="B1" t="s">
        <v>24</v>
      </c>
      <c r="C1" t="s">
        <v>21</v>
      </c>
      <c r="D1" t="s">
        <v>22</v>
      </c>
    </row>
    <row r="2" spans="1:4" x14ac:dyDescent="0.3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3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3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3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3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3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3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3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3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3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3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3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3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3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3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3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3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3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3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3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3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3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3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3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3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3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3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3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3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3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3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3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3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3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3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3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3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3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3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3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3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3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3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3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3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3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3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3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3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3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3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3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3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3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3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3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3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3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3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3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3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3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3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3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3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3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3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3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3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3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3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3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3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3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3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3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3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3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3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3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3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3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3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3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3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3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3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3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3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3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3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3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3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3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3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3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3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3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3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3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3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2023-09-16T08:25:20Z</dcterms:modified>
</cp:coreProperties>
</file>