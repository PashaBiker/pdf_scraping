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hroder\"/>
    </mc:Choice>
  </mc:AlternateContent>
  <bookViews>
    <workbookView xWindow="-105" yWindow="-105" windowWidth="19425" windowHeight="1102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S35" i="3" l="1"/>
  <c r="BS36" i="3"/>
  <c r="BS37" i="3"/>
  <c r="BS38" i="3"/>
  <c r="BS3" i="3"/>
  <c r="BS4" i="3"/>
  <c r="BS5" i="3"/>
  <c r="BS6" i="3"/>
  <c r="BS7" i="3"/>
  <c r="BS8" i="3"/>
  <c r="BS9" i="3"/>
  <c r="BS10" i="3"/>
  <c r="BS11" i="3"/>
  <c r="BS12" i="3"/>
  <c r="BS13" i="3"/>
  <c r="BS14" i="3"/>
  <c r="BS15" i="3"/>
  <c r="BS16" i="3"/>
  <c r="BS17" i="3"/>
  <c r="BS18" i="3"/>
  <c r="BS19" i="3"/>
  <c r="BS20" i="3"/>
  <c r="BS21" i="3"/>
  <c r="BS22" i="3"/>
  <c r="BS23" i="3"/>
  <c r="BS24" i="3"/>
  <c r="BS25" i="3"/>
  <c r="BS26" i="3"/>
  <c r="BS27" i="3"/>
  <c r="BS28" i="3"/>
  <c r="BS29" i="3"/>
  <c r="BS30" i="3"/>
  <c r="BS31" i="3"/>
  <c r="BS32" i="3"/>
  <c r="BS33" i="3"/>
  <c r="BS34" i="3"/>
  <c r="BS2" i="3"/>
  <c r="A42" i="35"/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49" i="35"/>
  <c r="A48" i="35"/>
  <c r="A47" i="35"/>
  <c r="A46" i="35"/>
  <c r="A45" i="35"/>
  <c r="A44" i="35"/>
  <c r="A43" i="35"/>
  <c r="A41" i="35"/>
  <c r="A40" i="35"/>
  <c r="A39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<sst xmlns="http://schemas.openxmlformats.org/spreadsheetml/2006/main" count="294" uniqueCount="222">
  <si>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</si>
  <si>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</si>
  <si>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</si>
  <si>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</si>
  <si>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</si>
  <si>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</si>
  <si>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</si>
  <si>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</si>
  <si>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</si>
  <si>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</si>
  <si>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</si>
  <si>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</si>
  <si>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</si>
  <si>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</si>
  <si>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</si>
  <si>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</si>
  <si>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</si>
  <si>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</si>
  <si>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</si>
  <si>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</si>
  <si>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</si>
  <si>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</si>
  <si>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</si>
  <si>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</si>
  <si>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</si>
  <si>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</si>
  <si>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</si>
  <si>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</si>
  <si>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</si>
  <si>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</si>
  <si>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</si>
  <si>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</si>
  <si>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</si>
  <si>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</si>
  <si>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</si>
  <si>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</si>
  <si>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</si>
  <si>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</si>
  <si>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</si>
  <si>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</si>
  <si>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</si>
  <si>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</si>
  <si>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https://www.schroders.com/en-gb/uk/intermediary/investment-solutions/fund-centre/#/fund/SCHDR_F000016OTO/schroder-active-portfolio-3/-/profile/</t>
  </si>
  <si>
    <t>https://www.schroders.com/en-gb/uk/intermediary/investment-solutions/fund-centre/#/fund/SCHDR_F000016OKW/schroder-active-portfolio-4/-/profile/</t>
  </si>
  <si>
    <t>https://www.schroders.com/en-gb/uk/intermediary/investment-solutions/fund-centre/#/fund/SCHDR_F000015KUF/schroder-active-portfolio-5/-/profile/</t>
  </si>
  <si>
    <t>https://www.schroders.com/en-gb/uk/intermediary/investment-solutions/fund-centre/#/fund/SCHDR_F000016P9J/schroder-active-portfolio-6/-/profile/</t>
  </si>
  <si>
    <t>https://www.schroders.com/en-gb/uk/intermediary/investment-solutions/fund-centre/#/fund/SCHDR_F000016P9K/schroder-active-portfolio-7/-/profile/</t>
  </si>
  <si>
    <t>https://www.schroders.com/en-gb/uk/intermediary/investment-solutions/fund-centre/#/fund/SCHDR_F000016P9L/schroder-active-portfolio-8/-/profile/</t>
  </si>
  <si>
    <t>https://www.schroders.com/en-gb/uk/intermediary/investment-solutions/fund-centre/#/fund/SCHDR_F000016P9M/schroder-active-portfolio-9/-/profile/</t>
  </si>
  <si>
    <t>https://www.schroders.com/en-gb/uk/intermediary/investment-solutions/fund-centre/#/fund/SCHDR_F000016P9N/schroder-active-portfolio-10/-/profile/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</si>
  <si>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</si>
  <si>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</si>
  <si>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</si>
  <si>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</si>
  <si>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</si>
  <si>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</si>
  <si>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</si>
  <si>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</si>
  <si>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</si>
  <si>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</si>
  <si>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https://www.schroders.com/en-gb/uk/intermediary/investment-solutions/fund-centre/#/fund/SCHDR_F000016PA6/schroder-strategic-index-portfolio-3/-/profile/</t>
  </si>
  <si>
    <t>https://www.schroders.com/en-gb/uk/intermediary/investment-solutions/fund-centre/#/fund/SCHDR_F000016PA9/schroder-strategic-index-portfolio-4/-/profile/</t>
  </si>
  <si>
    <t>https://www.schroders.com/en-gb/uk/intermediary/investment-solutions/fund-centre/#/fund/SCHDR_F000016PAA/schroder-strategic-index-portfolio-5/-/profile/</t>
  </si>
  <si>
    <t>https://www.schroders.com/en-gb/uk/intermediary/investment-solutions/fund-centre/#/fund/SCHDR_F000016PAC/schroder-strategic-index-portfolio-6/-/profile/</t>
  </si>
  <si>
    <t>https://www.schroders.com/en-gb/uk/intermediary/investment-solutions/fund-centre/#/fund/SCHDR_F000016PAD/schroder-strategic-index-portfolio-7/-/profile/</t>
  </si>
  <si>
    <t>https://www.schroders.com/en-gb/uk/intermediary/investment-solutions/fund-centre/#/fund/SCHDR_F000016PAE/schroder-strategic-index-portfolio-8/-/profile/</t>
  </si>
  <si>
    <t>https://www.schroders.com/en-gb/uk/intermediary/investment-solutions/fund-centre/#/fund/SCHDR_F000016PAF/schroder-strategic-index-portfolio-9/-/profile/</t>
  </si>
  <si>
    <t>https://www.schroders.com/en-gb/uk/intermediary/investment-solutions/fund-centre/#/fund/SCHDR_F000016PAH/schroder-strategic-index-portfolio-10/-/profile/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</si>
  <si>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</si>
  <si>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</si>
  <si>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</si>
  <si>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</si>
  <si>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</si>
  <si>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</si>
  <si>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</si>
  <si>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https://www.schroders.com/en-gb/uk/intermediary/investment-solutions/fund-centre/#/fund/SCHDR_F000016P39/schroder-sustainable-portfolio-4/-/profile/</t>
  </si>
  <si>
    <t>https://www.schroders.com/en-gb/uk/intermediary/investment-solutions/fund-centre/#/fund/SCHDR_F000016P3B/schroder-sustainable-portfolio-6/-/profile/</t>
  </si>
  <si>
    <t>https://www.schroders.com/en-gb/uk/intermediary/investment-solutions/fund-centre/#/fund/SCHDR_F000016P38/schroder-sustainable-portfolio-7/-/profile/</t>
  </si>
  <si>
    <t>https://www.schroders.com/en-gb/uk/intermediary/investment-solutions/fund-centre/#/fund/SCHDR_F000016P3C/schroder-sustainable-portfolio-8/-/profile/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</si>
  <si>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</si>
  <si>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</si>
  <si>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</si>
  <si>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</si>
  <si>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</si>
  <si>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</si>
  <si>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</si>
  <si>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https://www.schroders.com/en-gb/uk/intermediary/investment-solutions/fund-centre/#/fund/SCHDR_F0000150QY/schroder-blended-portfolio-4-f-acc/GB00BF77ZT29/profile/</t>
  </si>
  <si>
    <t>https://www.schroders.com/en-gb/uk/intermediary/investment-solutions/fund-centre/#/fund/SCHDR_F0000150QZ/schroder-blended-portfolio-5-f-acc/GB00BF77ZV41/profile/</t>
  </si>
  <si>
    <t>https://www.schroders.com/en-gb/uk/intermediary/investment-solutions/fund-centre/#/fund/SCHDR_F0000150R0/schroder-blended-portfolio-6-f-acc/GB00BF77ZW57/profile/</t>
  </si>
  <si>
    <t>https://www.schroders.com/en-gb/uk/intermediary/investment-solutions/fund-centre/#/fund/SCHDR_F0000150R1/schroder-blended-portfolio-7-f-acc/GB00BF77ZX64/profile/</t>
  </si>
  <si>
    <t>https://www.schroders.com/en-gb/uk/intermediary/investment-solutions/fund-centre/#/fund/SCHDR_F0000150R2/schroder-blended-portfolio-8-f-acc/GB00BF77ZY71/profile/</t>
  </si>
  <si>
    <t>Schroder Income Portfolio</t>
  </si>
  <si>
    <t>https://www.schroders.com/en-gb/uk/intermediary/investment-solutions/income-portfolio/</t>
  </si>
  <si>
    <t>Schroder Managed Defensive Fund</t>
  </si>
  <si>
    <t>https://www.schroders.com/en-gb/uk/intermediary/investment-solutions/managed-defensive-fund/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</si>
  <si>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</si>
  <si>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</si>
  <si>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</si>
  <si>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</si>
  <si>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</si>
  <si>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</si>
  <si>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</si>
  <si>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</si>
  <si>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</si>
  <si>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</si>
  <si>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OCF (Incl MPS Fee)</t>
  </si>
  <si>
    <t>Model portfolio fee</t>
  </si>
  <si>
    <t>1 month</t>
  </si>
  <si>
    <t>1 year</t>
  </si>
  <si>
    <t>https://www.schroders.com/en-gb/uk/intermediary/investment-solutions/fund-centre/#/fund/SCHDR_F000016P37/schroder-sustainable-portfolio-5/-/profile/</t>
  </si>
  <si>
    <t>Income Portfolio</t>
  </si>
  <si>
    <t>Managed Defensive Fund</t>
  </si>
  <si>
    <t>https://api.schroders.com/document-store/id/07058623-8f5e-45ce-9e4b-85c7ff2cd2ff</t>
  </si>
  <si>
    <t>https://api.schroders.com/document-store/id/d403fd67-a109-49eb-90b1-458db2e6166d</t>
  </si>
  <si>
    <t>https://api.schroders.com/document-store/id/29f336b5-c5e8-4019-91f6-8d42047a0e29</t>
  </si>
  <si>
    <t>https://api.schroders.com/document-store/id/a831b089-14de-49f0-bc92-0160809a2b5f</t>
  </si>
  <si>
    <t>https://api.schroders.com/document-store/id/a5fea81f-c377-4586-b67d-c83915c0873e</t>
  </si>
  <si>
    <t>https://api.schroders.com/document-store/id/e0f19e3e-8b62-4ee7-97cb-8999c1c21480</t>
  </si>
  <si>
    <t>https://api.schroders.com/document-store/id/f606bb94-f674-4a79-9627-9cdabad112a1</t>
  </si>
  <si>
    <t>https://api.schroders.com/document-store/id/c276cc1e-9524-43e2-82f0-147db6323d02</t>
  </si>
  <si>
    <t>https://api.schroders.com/document-store/id/39f1a653-b65a-47c6-97d1-f8a351078430</t>
  </si>
  <si>
    <t>https://api.schroders.com/document-store/id/1396fbce-a5b6-481a-8f89-f9d29f1d6038</t>
  </si>
  <si>
    <t>https://api.schroders.com/document-store/id/15071999-7f12-478d-92b8-9c9c0d5c7d96</t>
  </si>
  <si>
    <t>https://api.schroders.com/document-store/id/c4d9977b-481f-4b59-8eb7-09982e7eee67</t>
  </si>
  <si>
    <t>https://api.schroders.com/document-store/id/a6aff599-175d-40c4-8e53-54ec9cc815c1</t>
  </si>
  <si>
    <t>https://api.schroders.com/document-store/id/597ac067-587d-4b26-ac00-792e240bbfcf</t>
  </si>
  <si>
    <t>https://api.schroders.com/document-store/id/ba6bb2bc-2715-481c-b8bd-88fda4a47022</t>
  </si>
  <si>
    <t>https://api.schroders.com/document-store/id/43a8c565-1eea-456b-817b-84782a271d3a</t>
  </si>
  <si>
    <t>https://api.schroders.com/document-store/id/7f35a0da-d68d-4b24-9230-a90393e1a711</t>
  </si>
  <si>
    <t>https://api.schroders.com/document-store/id/a490b548-fcde-4f86-8a4c-e654282cd094</t>
  </si>
  <si>
    <t>https://api.schroders.com/document-store/id/5267cec0-0b8c-455c-a100-9c6183f7a955</t>
  </si>
  <si>
    <t>https://api.schroders.com/document-store/id/ecd7551d-f231-4359-87a6-26591fc9e3b6</t>
  </si>
  <si>
    <t>https://api.schroders.com/document-store/id/8fdd0d59-36a5-4849-9183-9aef0f154d01</t>
  </si>
  <si>
    <t>https://api.schroders.com/document-store/id/0e41868b-5ee2-4d30-8e83-f2c877d409e4</t>
  </si>
  <si>
    <t>https://api.schroders.com/document-store/id/fb2c5a5d-2d1f-4b53-8ddc-691ff49d0326</t>
  </si>
  <si>
    <t>https://api.schroders.com/document-store/id/8d57406e-6992-44b2-8736-a9fcbe50861b</t>
  </si>
  <si>
    <t>https://api.schroders.com/document-store/id/54508148-f03d-461d-9c89-88e734c8010a</t>
  </si>
  <si>
    <t>https://api.schroders.com/document-store/id/9c43dd3d-bb7e-4d3b-beaf-745bc9ab62e2</t>
  </si>
  <si>
    <t>https://api.schroders.com/document-store/id/77705355-d5c9-4ee9-9889-2c33be0dd63e</t>
  </si>
  <si>
    <t>https://api.schroders.com/document-store/id/988023da-51e2-47e1-979b-83870907a6ca</t>
  </si>
  <si>
    <t>https://api.schroders.com/document-store/id/855eed1e-56ce-4f73-b26f-f831f91a38a3</t>
  </si>
  <si>
    <t>https://api.schroders.com/document-store/id/166acb72-9ded-46b7-8110-1c8f8b625cfc</t>
  </si>
  <si>
    <t>https://api.schroders.com/document-store/SISCo-Schroder-Managed-Defensive-Fund-F-Acc-FMR-UKEN.pdf</t>
  </si>
  <si>
    <t>https://api.schroders.com/document-store/id/29a5c2e7-f3e9-4eec-a6da-fdd2f5a03764</t>
  </si>
  <si>
    <t>https://api.schroders.com/document-store/id/2fe0d208-7d7f-40cd-86c5-57b5da3fd8eb</t>
  </si>
  <si>
    <t>https://api.schroders.com/document-store/id/d4081afe-9aa0-4e2c-962a-8618e5af4b1f</t>
  </si>
  <si>
    <t>https://api.schroders.com/document-store/id/bf5b7394-15a9-4f0f-9007-61a4104737c9</t>
  </si>
  <si>
    <t>https://api.schroders.com/document-store/id/114ca7bc-261a-444f-b1d0-6fd6b90230b8</t>
  </si>
  <si>
    <t>https://api.schroders.com/document-store/id/19EA9860-3061-43EC-AA78-3F661DBD7CE8/</t>
  </si>
  <si>
    <t>Asset class Absolute Return</t>
  </si>
  <si>
    <t>Asset class Aggregate Bonds</t>
  </si>
  <si>
    <t>Asset class Alternatives</t>
  </si>
  <si>
    <t>Asset class Asia Pacific ex Japan Equity</t>
  </si>
  <si>
    <t>Asset class Bond</t>
  </si>
  <si>
    <t>Asset class Cash</t>
  </si>
  <si>
    <t>Asset class Commodities</t>
  </si>
  <si>
    <t>Asset class Convertible</t>
  </si>
  <si>
    <t>Asset class Derivatives</t>
  </si>
  <si>
    <t>Asset class Emerging Market Debt  Bonds</t>
  </si>
  <si>
    <t>Asset class Emerging Market Debt Bonds</t>
  </si>
  <si>
    <t>Asset class Emerging Market Equity</t>
  </si>
  <si>
    <t>Asset class Europe Equity</t>
  </si>
  <si>
    <t>Asset class Global Equity</t>
  </si>
  <si>
    <t>Asset class Government bonds</t>
  </si>
  <si>
    <t>Asset class Hedge Funds</t>
  </si>
  <si>
    <t>Asset class Investment Grade Bonds</t>
  </si>
  <si>
    <t>Asset class Japan Equity</t>
  </si>
  <si>
    <t>Asset class Liquid Assets</t>
  </si>
  <si>
    <t>Asset class Other Equity</t>
  </si>
  <si>
    <t>Asset class Other</t>
  </si>
  <si>
    <t>Asset class Preferred</t>
  </si>
  <si>
    <t>Asset class Property</t>
  </si>
  <si>
    <t>Asset class Stock</t>
  </si>
  <si>
    <t>Asset class UK Equity</t>
  </si>
  <si>
    <t>Asset class USA Equity</t>
  </si>
  <si>
    <t>Region Africa</t>
  </si>
  <si>
    <t>Region Americas</t>
  </si>
  <si>
    <t>Region Asia - Developed</t>
  </si>
  <si>
    <t>Region Asia - Emerging</t>
  </si>
  <si>
    <t>Region Australasia</t>
  </si>
  <si>
    <t>Region Canada</t>
  </si>
  <si>
    <t>Region Developed country</t>
  </si>
  <si>
    <t>Region Emerging Market</t>
  </si>
  <si>
    <t>Region Europe (excluding UK)</t>
  </si>
  <si>
    <t>Region Europe - Emerging</t>
  </si>
  <si>
    <t>Region Europe - ex euro</t>
  </si>
  <si>
    <t>Region Europe ex-UK/Middle East</t>
  </si>
  <si>
    <t>Region Eurozone</t>
  </si>
  <si>
    <t>Region Global</t>
  </si>
  <si>
    <t>Region Japan</t>
  </si>
  <si>
    <t>Region Latin America</t>
  </si>
  <si>
    <t>Region Liquid Assets</t>
  </si>
  <si>
    <t>Region Middle East</t>
  </si>
  <si>
    <t>Region Other</t>
  </si>
  <si>
    <t>Region Pacific ex-Japan</t>
  </si>
  <si>
    <t>Region United Kingdom</t>
  </si>
  <si>
    <t>Region United States</t>
  </si>
  <si>
    <t>Sector Basic materials</t>
  </si>
  <si>
    <t>Sector Cash &amp; equivalents</t>
  </si>
  <si>
    <t>Sector Communication Services</t>
  </si>
  <si>
    <t>Sector Consumer cyclical</t>
  </si>
  <si>
    <t>Sector Consumer defensive</t>
  </si>
  <si>
    <t>Sector Corporate</t>
  </si>
  <si>
    <t>Sector Energy</t>
  </si>
  <si>
    <t>Sector Financial services</t>
  </si>
  <si>
    <t>Sector Government</t>
  </si>
  <si>
    <t>Sector Healthcare</t>
  </si>
  <si>
    <t>Sector Industrials</t>
  </si>
  <si>
    <t>Sector Other</t>
  </si>
  <si>
    <t>Sector Real estate</t>
  </si>
  <si>
    <t>Sector Securitized</t>
  </si>
  <si>
    <t>Sector Technology</t>
  </si>
  <si>
    <t>Sector Utilities</t>
  </si>
  <si>
    <t>3 years</t>
  </si>
  <si>
    <t>5 years</t>
  </si>
  <si>
    <t>31.07.2023</t>
  </si>
  <si>
    <t>31.08.2023</t>
  </si>
  <si>
    <t>Top 10 holdings Other</t>
  </si>
  <si>
    <t>Currency Other</t>
  </si>
  <si>
    <t>Top 10 holdings Cash</t>
  </si>
  <si>
    <t>Top 10 holdings Bond</t>
  </si>
  <si>
    <t>Top 5 holdings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</si>
</sst>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  <xf numFmtId="0" fontId="0" fillId="3" borderId="0" xfId="0" applyFill="1"/>
    <xf numFmtId="10" fontId="0" fillId="3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T17" sqref="T17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workbookViewId="0">
      <selection activeCell="A39" sqref="A3:A39"/>
    </sheetView>
  </sheetViews>
  <sheetFormatPr defaultRowHeight="15" x14ac:dyDescent="0.25"/>
  <cols>
    <col min="1" max="1" width="54.28515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33</v>
      </c>
      <c r="B4" t="str">
        <f>'PDF Scraping'!D3</f>
        <v>https://api.schroders.com/document-store/id/d403fd67-a109-49eb-90b1-458db2e6166d</v>
      </c>
      <c r="J4" s="4"/>
    </row>
    <row r="5" spans="1:10" x14ac:dyDescent="0.25">
      <c r="A5" t="s">
        <v>34</v>
      </c>
      <c r="B5" t="str">
        <f>'PDF Scraping'!D4</f>
        <v>https://api.schroders.com/document-store/id/29f336b5-c5e8-4019-91f6-8d42047a0e29</v>
      </c>
    </row>
    <row r="6" spans="1:10" x14ac:dyDescent="0.25">
      <c r="A6" t="s">
        <v>35</v>
      </c>
      <c r="B6" t="str">
        <f>'PDF Scraping'!D5</f>
        <v>https://api.schroders.com/document-store/id/a831b089-14de-49f0-bc92-0160809a2b5f</v>
      </c>
    </row>
    <row r="7" spans="1:10" x14ac:dyDescent="0.25">
      <c r="A7" t="s">
        <v>36</v>
      </c>
      <c r="B7" t="str">
        <f>'PDF Scraping'!D6</f>
        <v>https://api.schroders.com/document-store/id/a5fea81f-c377-4586-b67d-c83915c0873e</v>
      </c>
    </row>
    <row r="8" spans="1:10" x14ac:dyDescent="0.25">
      <c r="A8" t="s">
        <v>37</v>
      </c>
      <c r="B8" t="str">
        <f>'PDF Scraping'!D7</f>
        <v>https://api.schroders.com/document-store/id/e0f19e3e-8b62-4ee7-97cb-8999c1c21480</v>
      </c>
    </row>
    <row r="9" spans="1:10" x14ac:dyDescent="0.25">
      <c r="A9" t="s">
        <v>38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39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40</v>
      </c>
      <c r="B11" t="str">
        <f>'PDF Scraping'!D10</f>
        <v>https://api.schroders.com/document-store/id/39f1a653-b65a-47c6-97d1-f8a351078430</v>
      </c>
    </row>
    <row r="12" spans="1:10" x14ac:dyDescent="0.25">
      <c r="A12" t="s">
        <v>50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51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52</v>
      </c>
      <c r="B14" t="str">
        <f>'PDF Scraping'!D13</f>
        <v>https://api.schroders.com/document-store/id/c4d9977b-481f-4b59-8eb7-09982e7eee67</v>
      </c>
    </row>
    <row r="15" spans="1:10" x14ac:dyDescent="0.25">
      <c r="A15" t="s">
        <v>53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54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55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56</v>
      </c>
      <c r="B18" t="str">
        <f>'PDF Scraping'!D17</f>
        <v>https://api.schroders.com/document-store/id/43a8c565-1eea-456b-817b-84782a271d3a</v>
      </c>
    </row>
    <row r="19" spans="1:2" x14ac:dyDescent="0.25">
      <c r="A19" t="s">
        <v>57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58</v>
      </c>
      <c r="B20" t="str">
        <f>'PDF Scraping'!D19</f>
        <v>https://api.schroders.com/document-store/id/a490b548-fcde-4f86-8a4c-e654282cd094</v>
      </c>
    </row>
    <row r="21" spans="1:2" x14ac:dyDescent="0.25">
      <c r="A21" t="s">
        <v>68</v>
      </c>
      <c r="B21" t="str">
        <f>'PDF Scraping'!D20</f>
        <v>https://api.schroders.com/document-store/id/5267cec0-0b8c-455c-a100-9c6183f7a955</v>
      </c>
    </row>
    <row r="22" spans="1:2" x14ac:dyDescent="0.25">
      <c r="A22" t="s">
        <v>69</v>
      </c>
      <c r="B22" t="str">
        <f>'PDF Scraping'!D21</f>
        <v>https://api.schroders.com/document-store/id/ecd7551d-f231-4359-87a6-26591fc9e3b6</v>
      </c>
    </row>
    <row r="23" spans="1:2" x14ac:dyDescent="0.25">
      <c r="A23" t="s">
        <v>70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71</v>
      </c>
      <c r="B24" t="str">
        <f>'PDF Scraping'!D23</f>
        <v>https://api.schroders.com/document-store/id/0e41868b-5ee2-4d30-8e83-f2c877d409e4</v>
      </c>
    </row>
    <row r="25" spans="1:2" x14ac:dyDescent="0.25">
      <c r="A25" t="s">
        <v>72</v>
      </c>
      <c r="B25" t="str">
        <f>'PDF Scraping'!D24</f>
        <v>https://api.schroders.com/document-store/id/fb2c5a5d-2d1f-4b53-8ddc-691ff49d0326</v>
      </c>
    </row>
    <row r="26" spans="1:2" x14ac:dyDescent="0.25">
      <c r="A26" t="s">
        <v>73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79</v>
      </c>
      <c r="B27" t="str">
        <f>'PDF Scraping'!D26</f>
        <v>https://api.schroders.com/document-store/id/54508148-f03d-461d-9c89-88e734c8010a</v>
      </c>
    </row>
    <row r="28" spans="1:2" x14ac:dyDescent="0.25">
      <c r="A28" t="s">
        <v>80</v>
      </c>
      <c r="B28" t="str">
        <f>'PDF Scraping'!D27</f>
        <v>https://api.schroders.com/document-store/id/9c43dd3d-bb7e-4d3b-beaf-745bc9ab62e2</v>
      </c>
    </row>
    <row r="29" spans="1:2" x14ac:dyDescent="0.25">
      <c r="A29" t="s">
        <v>81</v>
      </c>
      <c r="B29" t="str">
        <f>'PDF Scraping'!D28</f>
        <v>https://api.schroders.com/document-store/id/77705355-d5c9-4ee9-9889-2c33be0dd63e</v>
      </c>
    </row>
    <row r="30" spans="1:2" x14ac:dyDescent="0.25">
      <c r="A30" t="s">
        <v>82</v>
      </c>
      <c r="B30" t="str">
        <f>'PDF Scraping'!D29</f>
        <v>https://api.schroders.com/document-store/id/988023da-51e2-47e1-979b-83870907a6ca</v>
      </c>
    </row>
    <row r="31" spans="1:2" x14ac:dyDescent="0.25">
      <c r="A31" t="s">
        <v>83</v>
      </c>
      <c r="B31" t="str">
        <f>'PDF Scraping'!D30</f>
        <v>https://api.schroders.com/document-store/id/855eed1e-56ce-4f73-b26f-f831f91a38a3</v>
      </c>
    </row>
    <row r="32" spans="1:2" x14ac:dyDescent="0.25">
      <c r="A32" t="s">
        <v>84</v>
      </c>
      <c r="B32" t="str">
        <f>'PDF Scraping'!D31</f>
        <v>https://api.schroders.com/document-store/id/166acb72-9ded-46b7-8110-1c8f8b625cfc</v>
      </c>
    </row>
    <row r="33" spans="1:2" x14ac:dyDescent="0.25">
      <c r="A33" t="s">
        <v>91</v>
      </c>
      <c r="B33" t="str">
        <f>'PDF Scraping'!D32</f>
        <v>https://api.schroders.com/document-store/id/19EA9860-3061-43EC-AA78-3F661DBD7CE8/</v>
      </c>
    </row>
    <row r="34" spans="1:2" x14ac:dyDescent="0.25">
      <c r="A34" t="s">
        <v>93</v>
      </c>
      <c r="B34" t="str">
        <f>'PDF Scraping'!D33</f>
        <v>https://api.schroders.com/document-store/SISCo-Schroder-Managed-Defensive-Fund-F-Acc-FMR-UKEN.pdf</v>
      </c>
    </row>
    <row r="35" spans="1:2" x14ac:dyDescent="0.25">
      <c r="A35" t="s">
        <v>95</v>
      </c>
      <c r="B35" t="str">
        <f>'PDF Scraping'!D34</f>
        <v>https://api.schroders.com/document-store/id/29a5c2e7-f3e9-4eec-a6da-fdd2f5a03764</v>
      </c>
    </row>
    <row r="36" spans="1:2" x14ac:dyDescent="0.25">
      <c r="A36" t="s">
        <v>97</v>
      </c>
      <c r="B36" t="str">
        <f>'PDF Scraping'!D35</f>
        <v>https://api.schroders.com/document-store/id/2fe0d208-7d7f-40cd-86c5-57b5da3fd8eb</v>
      </c>
    </row>
    <row r="37" spans="1:2" x14ac:dyDescent="0.25">
      <c r="A37" t="s">
        <v>99</v>
      </c>
      <c r="B37" t="str">
        <f>'PDF Scraping'!D36</f>
        <v>https://api.schroders.com/document-store/id/d4081afe-9aa0-4e2c-962a-8618e5af4b1f</v>
      </c>
    </row>
    <row r="38" spans="1:2" x14ac:dyDescent="0.25">
      <c r="A38" t="s">
        <v>101</v>
      </c>
      <c r="B38" t="str">
        <f>'PDF Scraping'!D37</f>
        <v>https://api.schroders.com/document-store/id/bf5b7394-15a9-4f0f-9007-61a4104737c9</v>
      </c>
    </row>
    <row r="39" spans="1:2" x14ac:dyDescent="0.25">
      <c r="A39" t="s">
        <v>103</v>
      </c>
      <c r="B39" t="str">
        <f>'PDF Scraping'!D38</f>
        <v>https://api.schroders.com/document-store/id/114ca7bc-261a-444f-b1d0-6fd6b90230b8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workbookViewId="0">
      <selection activeCell="H8" sqref="H8"/>
    </sheetView>
  </sheetViews>
  <sheetFormatPr defaultRowHeight="15" x14ac:dyDescent="0.25"/>
  <cols>
    <col min="1" max="1" width="54.28515625" bestFit="1" customWidth="1"/>
    <col min="2" max="2" width="5.140625" bestFit="1" customWidth="1"/>
    <col min="3" max="3" width="17.85546875" bestFit="1" customWidth="1"/>
    <col min="4" max="4" width="17.140625" bestFit="1" customWidth="1"/>
    <col min="5" max="5" width="7.85546875" bestFit="1" customWidth="1"/>
    <col min="6" max="6" width="6.42578125" bestFit="1" customWidth="1"/>
    <col min="7" max="8" width="6.7109375" bestFit="1" customWidth="1"/>
  </cols>
  <sheetData>
    <row r="1" spans="1:8" x14ac:dyDescent="0.25">
      <c r="B1" t="s">
        <v>26</v>
      </c>
      <c r="C1" t="s">
        <v>105</v>
      </c>
      <c r="D1" t="s">
        <v>106</v>
      </c>
      <c r="E1" t="s">
        <v>107</v>
      </c>
      <c r="F1" t="s">
        <v>108</v>
      </c>
      <c r="G1" t="s">
        <v>213</v>
      </c>
      <c r="H1" t="s">
        <v>214</v>
      </c>
    </row>
    <row r="2" spans="1:8" x14ac:dyDescent="0.25">
      <c r="A2" t="str">
        <f>IF(Input!A3="","",Input!A3)</f>
        <v>Schroder Active Portfolio 2</v>
      </c>
      <c r="B2" s="1" t="s">
        <v>215</v>
      </c>
      <c r="C2" s="5">
        <v>5.3E-3</v>
      </c>
      <c r="D2" s="5">
        <v>1.5E-3</v>
      </c>
      <c r="E2" s="5">
        <v>5.0000000000000001E-3</v>
      </c>
      <c r="F2" s="5">
        <v>1E-3</v>
      </c>
      <c r="G2" s="5">
        <v>4.0000000000000001E-3</v>
      </c>
      <c r="H2" s="5">
        <v>4.8000000000000001E-2</v>
      </c>
    </row>
    <row r="3" spans="1:8" x14ac:dyDescent="0.25">
      <c r="A3" t="str">
        <f>IF(Input!A4="","",Input!A4)</f>
        <v>Schroder Active Portfolio 3</v>
      </c>
      <c r="B3" s="1" t="s">
        <v>215</v>
      </c>
      <c r="C3" s="5">
        <v>6.6E-3</v>
      </c>
      <c r="D3" s="5">
        <v>1.5E-3</v>
      </c>
      <c r="E3" s="5">
        <v>6.9999999999999993E-3</v>
      </c>
      <c r="F3" s="5">
        <v>-2E-3</v>
      </c>
      <c r="G3" s="5">
        <v>2.7999999999999997E-2</v>
      </c>
      <c r="H3" s="5">
        <v>9.9000000000000005E-2</v>
      </c>
    </row>
    <row r="4" spans="1:8" x14ac:dyDescent="0.25">
      <c r="A4" t="str">
        <f>IF(Input!A5="","",Input!A5)</f>
        <v>Schroder Active Portfolio 4</v>
      </c>
      <c r="B4" s="1" t="s">
        <v>215</v>
      </c>
      <c r="C4" s="5">
        <v>7.3000000000000001E-3</v>
      </c>
      <c r="D4" s="5">
        <v>1.5E-3</v>
      </c>
      <c r="E4" s="5">
        <v>9.0000000000000011E-3</v>
      </c>
      <c r="F4" s="5">
        <v>5.0000000000000001E-3</v>
      </c>
      <c r="G4" s="5">
        <v>7.2999999999999995E-2</v>
      </c>
      <c r="H4" s="5">
        <v>0.13100000000000001</v>
      </c>
    </row>
    <row r="5" spans="1:8" x14ac:dyDescent="0.25">
      <c r="A5" t="str">
        <f>IF(Input!A6="","",Input!A6)</f>
        <v>Schroder Active Portfolio 5</v>
      </c>
      <c r="B5" s="1" t="s">
        <v>215</v>
      </c>
      <c r="C5" s="5">
        <v>7.7000000000000002E-3</v>
      </c>
      <c r="D5" s="5">
        <v>1.5E-3</v>
      </c>
      <c r="E5" s="5">
        <v>1.1000000000000001E-2</v>
      </c>
      <c r="F5" s="5">
        <v>1.1000000000000001E-2</v>
      </c>
      <c r="G5" s="5">
        <v>0.109</v>
      </c>
      <c r="H5" s="5">
        <v>0.157</v>
      </c>
    </row>
    <row r="6" spans="1:8" x14ac:dyDescent="0.25">
      <c r="A6" t="str">
        <f>IF(Input!A7="","",Input!A7)</f>
        <v>Schroder Active Portfolio 6</v>
      </c>
      <c r="B6" s="1" t="s">
        <v>215</v>
      </c>
      <c r="C6" s="5">
        <v>8.1000000000000013E-3</v>
      </c>
      <c r="D6" s="5">
        <v>1.5E-3</v>
      </c>
      <c r="E6" s="5">
        <v>1.3000000000000001E-2</v>
      </c>
      <c r="F6" s="5">
        <v>0.02</v>
      </c>
      <c r="G6" s="5">
        <v>0.156</v>
      </c>
      <c r="H6" s="5">
        <v>0.217</v>
      </c>
    </row>
    <row r="7" spans="1:8" x14ac:dyDescent="0.25">
      <c r="A7" t="str">
        <f>IF(Input!A8="","",Input!A8)</f>
        <v>Schroder Active Portfolio 7</v>
      </c>
      <c r="B7" s="1" t="s">
        <v>215</v>
      </c>
      <c r="C7" s="5">
        <v>8.3000000000000001E-3</v>
      </c>
      <c r="D7" s="5">
        <v>1.5E-3</v>
      </c>
      <c r="E7" s="5">
        <v>1.3999999999999999E-2</v>
      </c>
      <c r="F7" s="5">
        <v>2.8999999999999998E-2</v>
      </c>
      <c r="G7" s="5">
        <v>0.192</v>
      </c>
      <c r="H7" s="5">
        <v>0.28399999999999997</v>
      </c>
    </row>
    <row r="8" spans="1:8" x14ac:dyDescent="0.25">
      <c r="A8" t="str">
        <f>IF(Input!A9="","",Input!A9)</f>
        <v>Schroder Active Portfolio 8</v>
      </c>
      <c r="B8" s="1" t="s">
        <v>215</v>
      </c>
      <c r="C8" s="5">
        <v>8.5000000000000006E-3</v>
      </c>
      <c r="D8" s="5">
        <v>1.5E-3</v>
      </c>
      <c r="E8" s="5">
        <v>1.4999999999999999E-2</v>
      </c>
      <c r="F8" s="5">
        <v>3.9E-2</v>
      </c>
      <c r="G8" s="5">
        <v>0.22600000000000001</v>
      </c>
      <c r="H8" s="5">
        <v>0.32899999999999996</v>
      </c>
    </row>
    <row r="9" spans="1:8" x14ac:dyDescent="0.25">
      <c r="A9" t="str">
        <f>IF(Input!A10="","",Input!A10)</f>
        <v>Schroder Active Portfolio 9</v>
      </c>
      <c r="B9" s="1" t="s">
        <v>215</v>
      </c>
      <c r="C9" s="5">
        <v>8.6999999999999994E-3</v>
      </c>
      <c r="D9" s="5">
        <v>1.5E-3</v>
      </c>
      <c r="E9" s="5">
        <v>1.7000000000000001E-2</v>
      </c>
      <c r="F9" s="5">
        <v>5.5E-2</v>
      </c>
      <c r="G9" s="5">
        <v>0.23800000000000002</v>
      </c>
      <c r="H9" s="5">
        <v>0.375</v>
      </c>
    </row>
    <row r="10" spans="1:8" x14ac:dyDescent="0.25">
      <c r="A10" t="str">
        <f>IF(Input!A11="","",Input!A11)</f>
        <v>Schroder Active Portfolio 10</v>
      </c>
      <c r="B10" s="1" t="s">
        <v>215</v>
      </c>
      <c r="C10" s="5">
        <v>9.0000000000000011E-3</v>
      </c>
      <c r="D10" s="5">
        <v>1.5E-3</v>
      </c>
      <c r="E10" s="5">
        <v>1.8000000000000002E-2</v>
      </c>
      <c r="F10" s="5">
        <v>4.5999999999999999E-2</v>
      </c>
      <c r="G10" s="5">
        <v>0.19699999999999998</v>
      </c>
      <c r="H10" s="5">
        <v>0.27899999999999997</v>
      </c>
    </row>
    <row r="11" spans="1:8" x14ac:dyDescent="0.25">
      <c r="A11" t="str">
        <f>IF(Input!A12="","",Input!A12)</f>
        <v>Schroder Strategic Index Portfolio 2</v>
      </c>
      <c r="B11" s="1" t="s">
        <v>215</v>
      </c>
      <c r="C11" s="5">
        <v>2.3999999999999998E-3</v>
      </c>
      <c r="D11" s="5">
        <v>1.5E-3</v>
      </c>
      <c r="E11" s="5">
        <v>6.0000000000000001E-3</v>
      </c>
      <c r="F11" s="5">
        <v>-5.0000000000000001E-3</v>
      </c>
      <c r="G11" s="5">
        <v>-2.6000000000000002E-2</v>
      </c>
      <c r="H11" s="5">
        <v>3.7999999999999999E-2</v>
      </c>
    </row>
    <row r="12" spans="1:8" x14ac:dyDescent="0.25">
      <c r="A12" t="str">
        <f>IF(Input!A13="","",Input!A13)</f>
        <v>Schroder Strategic Index Portfolio 3</v>
      </c>
      <c r="B12" s="1" t="s">
        <v>215</v>
      </c>
      <c r="C12" s="5">
        <v>2.3999999999999998E-3</v>
      </c>
      <c r="D12" s="5">
        <v>1.5E-3</v>
      </c>
      <c r="E12" s="5">
        <v>8.0000000000000002E-3</v>
      </c>
      <c r="F12" s="5">
        <v>-8.0000000000000002E-3</v>
      </c>
      <c r="G12" s="5">
        <v>-6.9999999999999993E-3</v>
      </c>
      <c r="H12" s="5">
        <v>7.0000000000000007E-2</v>
      </c>
    </row>
    <row r="13" spans="1:8" x14ac:dyDescent="0.25">
      <c r="A13" t="str">
        <f>IF(Input!A14="","",Input!A14)</f>
        <v>Schroder Strategic Index Portfolio 4</v>
      </c>
      <c r="B13" s="1" t="s">
        <v>215</v>
      </c>
      <c r="C13" s="5">
        <v>2.3999999999999998E-3</v>
      </c>
      <c r="D13" s="5">
        <v>1.5E-3</v>
      </c>
      <c r="E13" s="5">
        <v>1.2E-2</v>
      </c>
      <c r="F13" s="5">
        <v>6.9999999999999993E-3</v>
      </c>
      <c r="G13" s="5">
        <v>0.05</v>
      </c>
      <c r="H13" s="5">
        <v>0.11699999999999999</v>
      </c>
    </row>
    <row r="14" spans="1:8" x14ac:dyDescent="0.25">
      <c r="A14" t="str">
        <f>IF(Input!A15="","",Input!A15)</f>
        <v>Schroder Strategic Index Portfolio 5</v>
      </c>
      <c r="B14" s="1" t="s">
        <v>215</v>
      </c>
      <c r="C14" s="5">
        <v>2.5000000000000001E-3</v>
      </c>
      <c r="D14" s="5">
        <v>1.5E-3</v>
      </c>
      <c r="E14" s="5">
        <v>1.4999999999999999E-2</v>
      </c>
      <c r="F14" s="5">
        <v>1.8000000000000002E-2</v>
      </c>
      <c r="G14" s="5">
        <v>9.4E-2</v>
      </c>
      <c r="H14" s="5">
        <v>0.159</v>
      </c>
    </row>
    <row r="15" spans="1:8" x14ac:dyDescent="0.25">
      <c r="A15" t="str">
        <f>IF(Input!A16="","",Input!A16)</f>
        <v>Schroder Strategic Index Portfolio 6</v>
      </c>
      <c r="B15" s="1" t="s">
        <v>215</v>
      </c>
      <c r="C15" s="5">
        <v>2.5000000000000001E-3</v>
      </c>
      <c r="D15" s="5">
        <v>1.5E-3</v>
      </c>
      <c r="E15" s="5">
        <v>1.8000000000000002E-2</v>
      </c>
      <c r="F15" s="5">
        <v>3.3000000000000002E-2</v>
      </c>
      <c r="G15" s="5">
        <v>0.155</v>
      </c>
      <c r="H15" s="5">
        <v>0.20899999999999999</v>
      </c>
    </row>
    <row r="16" spans="1:8" x14ac:dyDescent="0.25">
      <c r="A16" t="str">
        <f>IF(Input!A17="","",Input!A17)</f>
        <v>Schroder Strategic Index Portfolio 7</v>
      </c>
      <c r="B16" s="1" t="s">
        <v>215</v>
      </c>
      <c r="C16" s="5">
        <v>2.5000000000000001E-3</v>
      </c>
      <c r="D16" s="5">
        <v>1.5E-3</v>
      </c>
      <c r="E16" s="5">
        <v>2.1000000000000001E-2</v>
      </c>
      <c r="F16" s="5">
        <v>4.7E-2</v>
      </c>
      <c r="G16" s="5">
        <v>0.223</v>
      </c>
      <c r="H16" s="5">
        <v>0.253</v>
      </c>
    </row>
    <row r="17" spans="1:8" x14ac:dyDescent="0.25">
      <c r="A17" t="str">
        <f>IF(Input!A18="","",Input!A18)</f>
        <v>Schroder Strategic Index Portfolio 8</v>
      </c>
      <c r="B17" s="1" t="s">
        <v>215</v>
      </c>
      <c r="C17" s="5">
        <v>2.5000000000000001E-3</v>
      </c>
      <c r="D17" s="5">
        <v>1.5E-3</v>
      </c>
      <c r="E17" s="5">
        <v>2.4E-2</v>
      </c>
      <c r="F17" s="5">
        <v>0.06</v>
      </c>
      <c r="G17" s="5">
        <v>0.28100000000000003</v>
      </c>
      <c r="H17" s="5">
        <v>0.30099999999999999</v>
      </c>
    </row>
    <row r="18" spans="1:8" x14ac:dyDescent="0.25">
      <c r="A18" t="str">
        <f>IF(Input!A19="","",Input!A19)</f>
        <v>Schroder Strategic Index Portfolio 9</v>
      </c>
      <c r="B18" s="1" t="s">
        <v>215</v>
      </c>
      <c r="C18" s="5">
        <v>2.5999999999999999E-3</v>
      </c>
      <c r="D18" s="5">
        <v>1.5E-3</v>
      </c>
      <c r="E18" s="5">
        <v>2.8999999999999998E-2</v>
      </c>
      <c r="F18" s="5">
        <v>7.0999999999999994E-2</v>
      </c>
      <c r="G18" s="5">
        <v>0.27699999999999997</v>
      </c>
      <c r="H18" s="5">
        <v>0.29499999999999998</v>
      </c>
    </row>
    <row r="19" spans="1:8" x14ac:dyDescent="0.25">
      <c r="A19" t="str">
        <f>IF(Input!A20="","",Input!A20)</f>
        <v>Schroder Strategic Index Portfolio 10</v>
      </c>
      <c r="B19" s="1" t="s">
        <v>215</v>
      </c>
      <c r="C19" s="5">
        <v>2.7000000000000001E-3</v>
      </c>
      <c r="D19" s="5">
        <v>1.5E-3</v>
      </c>
      <c r="E19" s="5">
        <v>3.4000000000000002E-2</v>
      </c>
      <c r="F19" s="5">
        <v>5.4000000000000006E-2</v>
      </c>
      <c r="G19" s="5">
        <v>0.21299999999999999</v>
      </c>
      <c r="H19" s="5">
        <v>0.249</v>
      </c>
    </row>
    <row r="20" spans="1:8" x14ac:dyDescent="0.25">
      <c r="A20" t="str">
        <f>IF(Input!A21="","",Input!A21)</f>
        <v>Schroder Sustainable Portfolio 3</v>
      </c>
      <c r="B20" s="1" t="s">
        <v>215</v>
      </c>
      <c r="C20" s="5">
        <v>6.1999999999999998E-3</v>
      </c>
      <c r="D20" s="5">
        <v>1.5E-3</v>
      </c>
      <c r="E20" s="5">
        <v>6.0000000000000001E-3</v>
      </c>
      <c r="F20" s="5">
        <v>-1.4999999999999999E-2</v>
      </c>
      <c r="G20" s="5">
        <v>8.0000000000000002E-3</v>
      </c>
      <c r="H20" s="5">
        <v>0.113</v>
      </c>
    </row>
    <row r="21" spans="1:8" x14ac:dyDescent="0.25">
      <c r="A21" t="str">
        <f>IF(Input!A22="","",Input!A22)</f>
        <v>Schroder Sustainable Portfolio 4</v>
      </c>
      <c r="B21" s="1" t="s">
        <v>215</v>
      </c>
      <c r="C21" s="5">
        <v>6.9999999999999993E-3</v>
      </c>
      <c r="D21" s="5">
        <v>1.5E-3</v>
      </c>
      <c r="E21" s="5">
        <v>8.0000000000000002E-3</v>
      </c>
      <c r="F21" s="5">
        <v>-6.9999999999999993E-3</v>
      </c>
      <c r="G21" s="5">
        <v>0</v>
      </c>
      <c r="H21" s="5">
        <v>0</v>
      </c>
    </row>
    <row r="22" spans="1:8" x14ac:dyDescent="0.25">
      <c r="A22" t="str">
        <f>IF(Input!A23="","",Input!A23)</f>
        <v>Schroder Sustainable Portfolio 5</v>
      </c>
      <c r="B22" s="1" t="s">
        <v>215</v>
      </c>
      <c r="C22" s="5">
        <v>7.4000000000000003E-3</v>
      </c>
      <c r="D22" s="5">
        <v>1.5E-3</v>
      </c>
      <c r="E22" s="5">
        <v>9.0000000000000011E-3</v>
      </c>
      <c r="F22" s="5">
        <v>-1E-3</v>
      </c>
      <c r="G22" s="5">
        <v>8.1000000000000003E-2</v>
      </c>
      <c r="H22" s="5">
        <v>0.19800000000000001</v>
      </c>
    </row>
    <row r="23" spans="1:8" x14ac:dyDescent="0.25">
      <c r="A23" t="str">
        <f>IF(Input!A24="","",Input!A24)</f>
        <v>Schroder Sustainable Portfolio 6</v>
      </c>
      <c r="B23" s="1" t="s">
        <v>215</v>
      </c>
      <c r="C23" s="5">
        <v>7.9000000000000008E-3</v>
      </c>
      <c r="D23" s="5">
        <v>1.5E-3</v>
      </c>
      <c r="E23" s="5">
        <v>1.1000000000000001E-2</v>
      </c>
      <c r="F23" s="5">
        <v>9.0000000000000011E-3</v>
      </c>
      <c r="G23" s="5">
        <v>0</v>
      </c>
      <c r="H23" s="5">
        <v>0</v>
      </c>
    </row>
    <row r="24" spans="1:8" x14ac:dyDescent="0.25">
      <c r="A24" t="str">
        <f>IF(Input!A25="","",Input!A25)</f>
        <v>Schroder Sustainable Portfolio 7</v>
      </c>
      <c r="B24" s="1" t="s">
        <v>215</v>
      </c>
      <c r="C24" s="5">
        <v>8.3000000000000001E-3</v>
      </c>
      <c r="D24" s="5">
        <v>1.5E-3</v>
      </c>
      <c r="E24" s="5">
        <v>1.1000000000000001E-2</v>
      </c>
      <c r="F24" s="5">
        <v>1.9E-2</v>
      </c>
      <c r="G24" s="5">
        <v>0.16200000000000001</v>
      </c>
      <c r="H24" s="5">
        <v>0.29399999999999998</v>
      </c>
    </row>
    <row r="25" spans="1:8" x14ac:dyDescent="0.25">
      <c r="A25" t="str">
        <f>IF(Input!A26="","",Input!A26)</f>
        <v>Schroder Sustainable Portfolio 8</v>
      </c>
      <c r="B25" s="7" t="s">
        <v>215</v>
      </c>
      <c r="C25" s="5">
        <v>8.6E-3</v>
      </c>
      <c r="D25" s="5">
        <v>1.5E-3</v>
      </c>
      <c r="E25" s="5">
        <v>1.3000000000000001E-2</v>
      </c>
      <c r="F25" s="5">
        <v>3.1E-2</v>
      </c>
      <c r="G25" s="5">
        <v>0</v>
      </c>
      <c r="H25" s="5">
        <v>0</v>
      </c>
    </row>
    <row r="26" spans="1:8" x14ac:dyDescent="0.25">
      <c r="A26" t="str">
        <f>IF(Input!A27="","",Input!A27)</f>
        <v>Schroder Blended Portfolio 3</v>
      </c>
      <c r="B26" s="7" t="s">
        <v>216</v>
      </c>
      <c r="C26" s="5">
        <v>5.3E-3</v>
      </c>
      <c r="D26" s="5">
        <v>0</v>
      </c>
      <c r="E26" s="5">
        <v>-6.0000000000000001E-3</v>
      </c>
      <c r="F26" s="5">
        <v>-6.0000000000000001E-3</v>
      </c>
      <c r="G26" s="5">
        <v>1.6E-2</v>
      </c>
      <c r="H26" s="5">
        <v>0</v>
      </c>
    </row>
    <row r="27" spans="1:8" x14ac:dyDescent="0.25">
      <c r="A27" t="str">
        <f>IF(Input!A28="","",Input!A28)</f>
        <v>Schroder Blended Portfolio 4</v>
      </c>
      <c r="B27" s="7" t="s">
        <v>216</v>
      </c>
      <c r="C27" s="5">
        <v>5.8999999999999999E-3</v>
      </c>
      <c r="D27" s="5">
        <v>0</v>
      </c>
      <c r="E27" s="5">
        <v>-6.9999999999999993E-3</v>
      </c>
      <c r="F27" s="5">
        <v>-2E-3</v>
      </c>
      <c r="G27" s="5">
        <v>6.4000000000000001E-2</v>
      </c>
      <c r="H27" s="5">
        <v>0</v>
      </c>
    </row>
    <row r="28" spans="1:8" x14ac:dyDescent="0.25">
      <c r="A28" t="str">
        <f>IF(Input!A29="","",Input!A29)</f>
        <v>Schroder Blended Portfolio 5</v>
      </c>
      <c r="B28" s="7" t="s">
        <v>216</v>
      </c>
      <c r="C28" s="5">
        <v>6.0999999999999995E-3</v>
      </c>
      <c r="D28" s="5">
        <v>0</v>
      </c>
      <c r="E28" s="5">
        <v>-8.0000000000000002E-3</v>
      </c>
      <c r="F28" s="5">
        <v>2E-3</v>
      </c>
      <c r="G28" s="5">
        <v>9.3000000000000013E-2</v>
      </c>
      <c r="H28" s="5">
        <v>0</v>
      </c>
    </row>
    <row r="29" spans="1:8" x14ac:dyDescent="0.25">
      <c r="A29" t="str">
        <f>IF(Input!A30="","",Input!A30)</f>
        <v>Schroder Blended Portfolio 6</v>
      </c>
      <c r="B29" s="7" t="s">
        <v>216</v>
      </c>
      <c r="C29" s="5">
        <v>6.4000000000000003E-3</v>
      </c>
      <c r="D29" s="5">
        <v>0</v>
      </c>
      <c r="E29" s="5">
        <v>-9.0000000000000011E-3</v>
      </c>
      <c r="F29" s="5">
        <v>9.0000000000000011E-3</v>
      </c>
      <c r="G29" s="5">
        <v>0.13600000000000001</v>
      </c>
      <c r="H29" s="5">
        <v>0</v>
      </c>
    </row>
    <row r="30" spans="1:8" x14ac:dyDescent="0.25">
      <c r="A30" t="str">
        <f>IF(Input!A31="","",Input!A31)</f>
        <v>Schroder Blended Portfolio 7</v>
      </c>
      <c r="B30" s="7" t="s">
        <v>216</v>
      </c>
      <c r="C30" s="5">
        <v>6.5000000000000006E-3</v>
      </c>
      <c r="D30" s="5">
        <v>0</v>
      </c>
      <c r="E30" s="5">
        <v>-0.01</v>
      </c>
      <c r="F30" s="5">
        <v>1.6E-2</v>
      </c>
      <c r="G30" s="5">
        <v>0.19399999999999998</v>
      </c>
      <c r="H30" s="5">
        <v>0</v>
      </c>
    </row>
    <row r="31" spans="1:8" x14ac:dyDescent="0.25">
      <c r="A31" t="str">
        <f>IF(Input!A32="","",Input!A32)</f>
        <v>Schroder Blended Portfolio 8</v>
      </c>
      <c r="B31" s="7" t="s">
        <v>216</v>
      </c>
      <c r="C31" s="5">
        <v>6.5000000000000006E-3</v>
      </c>
      <c r="D31" s="5">
        <v>0</v>
      </c>
      <c r="E31" s="5">
        <v>-1.2E-2</v>
      </c>
      <c r="F31" s="5">
        <v>2.3E-2</v>
      </c>
      <c r="G31" s="5">
        <v>0.21299999999999999</v>
      </c>
      <c r="H31" s="5">
        <v>0</v>
      </c>
    </row>
    <row r="32" spans="1:8" x14ac:dyDescent="0.25">
      <c r="A32" t="str">
        <f>IF(Input!A33="","",Input!A33)</f>
        <v>Schroder Income Portfolio</v>
      </c>
      <c r="B32" s="7" t="s">
        <v>216</v>
      </c>
      <c r="C32" s="5">
        <v>7.6E-3</v>
      </c>
      <c r="D32" s="5">
        <v>0</v>
      </c>
      <c r="E32" s="5">
        <v>-9.0000000000000011E-3</v>
      </c>
      <c r="F32" s="5">
        <v>1.2E-2</v>
      </c>
      <c r="G32" s="5">
        <v>0.17399999999999999</v>
      </c>
      <c r="H32" s="5">
        <v>0.126</v>
      </c>
    </row>
    <row r="33" spans="1:8" x14ac:dyDescent="0.25">
      <c r="A33" t="str">
        <f>IF(Input!A34="","",Input!A34)</f>
        <v>Schroder Managed Defensive Fund</v>
      </c>
      <c r="B33" s="7" t="s">
        <v>216</v>
      </c>
      <c r="C33" s="5">
        <v>1.9E-3</v>
      </c>
      <c r="D33" s="5">
        <v>0</v>
      </c>
      <c r="E33" s="5">
        <v>-1E-3</v>
      </c>
      <c r="F33" s="5">
        <v>1.8000000000000002E-2</v>
      </c>
      <c r="G33" s="5">
        <v>2E-3</v>
      </c>
      <c r="H33" s="5">
        <v>5.4000000000000006E-2</v>
      </c>
    </row>
    <row r="34" spans="1:8" x14ac:dyDescent="0.25">
      <c r="A34" t="str">
        <f>IF(Input!A35="","",Input!A35)</f>
        <v>Schroder Global Multi-Asset Cautious Portfolio</v>
      </c>
      <c r="B34" s="7" t="s">
        <v>216</v>
      </c>
      <c r="C34" s="5">
        <v>2E-3</v>
      </c>
      <c r="D34" s="5">
        <v>0</v>
      </c>
      <c r="E34" s="5">
        <v>-6.9999999999999993E-3</v>
      </c>
      <c r="F34" s="5">
        <v>0</v>
      </c>
      <c r="G34" s="5">
        <v>-6.9999999999999993E-3</v>
      </c>
      <c r="H34" s="5">
        <v>0.06</v>
      </c>
    </row>
    <row r="35" spans="1:8" x14ac:dyDescent="0.25">
      <c r="A35" t="str">
        <f>IF(Input!A36="","",Input!A36)</f>
        <v>Schroder Global Multi-Asset Moderately Cautious Portfolio</v>
      </c>
      <c r="B35" t="s">
        <v>216</v>
      </c>
      <c r="C35" s="5">
        <v>2E-3</v>
      </c>
      <c r="D35" s="5">
        <v>0</v>
      </c>
      <c r="E35" s="5">
        <v>-0.01</v>
      </c>
      <c r="F35" s="5">
        <v>9.0000000000000011E-3</v>
      </c>
      <c r="G35" s="5">
        <v>4.4999999999999998E-2</v>
      </c>
      <c r="H35" s="5">
        <v>8.5999999999999993E-2</v>
      </c>
    </row>
    <row r="36" spans="1:8" x14ac:dyDescent="0.25">
      <c r="A36" t="str">
        <f>IF(Input!A37="","",Input!A37)</f>
        <v>Schroder Schroder Global Multi-Asset Balanced Portfolio</v>
      </c>
      <c r="B36" t="s">
        <v>216</v>
      </c>
      <c r="C36" s="5">
        <v>2E-3</v>
      </c>
      <c r="D36" s="5">
        <v>0</v>
      </c>
      <c r="E36" s="5">
        <v>-1.1000000000000001E-2</v>
      </c>
      <c r="F36" s="5">
        <v>1.7000000000000001E-2</v>
      </c>
      <c r="G36" s="5">
        <v>8.5999999999999993E-2</v>
      </c>
      <c r="H36" s="5">
        <v>0.114</v>
      </c>
    </row>
    <row r="37" spans="1:8" x14ac:dyDescent="0.25">
      <c r="A37" t="str">
        <f>IF(Input!A38="","",Input!A38)</f>
        <v>Schroder Global Multi-Asset Growth Portfolio</v>
      </c>
      <c r="B37" t="s">
        <v>216</v>
      </c>
      <c r="C37" s="5">
        <v>2E-3</v>
      </c>
      <c r="D37" s="5">
        <v>0</v>
      </c>
      <c r="E37" s="5">
        <v>-1.3000000000000001E-2</v>
      </c>
      <c r="F37" s="5">
        <v>2.7000000000000003E-2</v>
      </c>
      <c r="G37" s="5">
        <v>0.13699999999999998</v>
      </c>
      <c r="H37" s="5">
        <v>0.14599999999999999</v>
      </c>
    </row>
    <row r="38" spans="1:8" x14ac:dyDescent="0.25">
      <c r="A38" t="str">
        <f>IF(Input!A39="","",Input!A39)</f>
        <v>Schroder Global Multi-Asset Adventurous Portfolio</v>
      </c>
      <c r="B38" t="s">
        <v>216</v>
      </c>
      <c r="C38" s="5">
        <v>2E-3</v>
      </c>
      <c r="D38" s="5">
        <v>0</v>
      </c>
      <c r="E38" s="5">
        <v>-1.4999999999999999E-2</v>
      </c>
      <c r="F38" s="5">
        <v>3.7000000000000005E-2</v>
      </c>
      <c r="G38" s="5">
        <v>0.193</v>
      </c>
      <c r="H38" s="5">
        <v>0.183</v>
      </c>
    </row>
    <row r="39" spans="1:8" x14ac:dyDescent="0.25">
      <c r="A39" t="str">
        <f>IF(Input!A40="","",Input!A40)</f>
        <v/>
      </c>
    </row>
    <row r="40" spans="1:8" x14ac:dyDescent="0.25">
      <c r="A40" t="str">
        <f>IF(Input!A41="","",Input!A41)</f>
        <v/>
      </c>
    </row>
    <row r="41" spans="1:8" x14ac:dyDescent="0.25">
      <c r="A41" t="str">
        <f>IF(Input!A42="","",Input!A42)</f>
        <v/>
      </c>
    </row>
    <row r="42" spans="1:8" x14ac:dyDescent="0.25">
      <c r="A42" t="str">
        <f>IF(Input!A43="","",Input!A43)</f>
        <v/>
      </c>
    </row>
    <row r="43" spans="1:8" x14ac:dyDescent="0.25">
      <c r="A43" t="str">
        <f>IF(Input!A44="","",Input!A44)</f>
        <v/>
      </c>
    </row>
    <row r="44" spans="1:8" x14ac:dyDescent="0.25">
      <c r="A44" t="str">
        <f>IF(Input!A45="","",Input!A45)</f>
        <v/>
      </c>
    </row>
    <row r="45" spans="1:8" x14ac:dyDescent="0.25">
      <c r="A45" t="str">
        <f>IF(Input!A46="","",Input!A46)</f>
        <v/>
      </c>
    </row>
    <row r="46" spans="1:8" x14ac:dyDescent="0.25">
      <c r="A46" t="str">
        <f>IF(Input!A47="","",Input!A47)</f>
        <v/>
      </c>
    </row>
    <row r="47" spans="1:8" x14ac:dyDescent="0.25">
      <c r="A47" t="str">
        <f>IF(Input!A48="","",Input!A48)</f>
        <v/>
      </c>
    </row>
    <row r="48" spans="1:8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S132"/>
  <sheetViews>
    <sheetView tabSelected="1" topLeftCell="AZ1" zoomScale="71" zoomScaleNormal="33" workbookViewId="0">
      <selection activeCell="A5" sqref="A5:XFD5"/>
    </sheetView>
  </sheetViews>
  <sheetFormatPr defaultRowHeight="15" x14ac:dyDescent="0.25"/>
  <cols>
    <col min="1" max="1" width="54.28515625" bestFit="1" customWidth="1"/>
    <col min="2" max="2" width="25.85546875" bestFit="1" customWidth="1"/>
    <col min="3" max="3" width="26.28515625" bestFit="1" customWidth="1"/>
    <col min="4" max="4" width="22.140625" bestFit="1" customWidth="1"/>
    <col min="5" max="5" width="35.5703125" bestFit="1" customWidth="1"/>
    <col min="6" max="6" width="15.5703125" bestFit="1" customWidth="1"/>
    <col min="7" max="7" width="15.140625" bestFit="1" customWidth="1"/>
    <col min="8" max="8" width="23.140625" bestFit="1" customWidth="1"/>
    <col min="9" max="9" width="21.7109375" bestFit="1" customWidth="1"/>
    <col min="10" max="10" width="21.140625" bestFit="1" customWidth="1"/>
    <col min="11" max="11" width="37.7109375" bestFit="1" customWidth="1"/>
    <col min="12" max="12" width="37.28515625" bestFit="1" customWidth="1"/>
    <col min="13" max="13" width="32.5703125" bestFit="1" customWidth="1"/>
    <col min="14" max="14" width="23.5703125" bestFit="1" customWidth="1"/>
    <col min="15" max="15" width="23" bestFit="1" customWidth="1"/>
    <col min="16" max="16" width="28.42578125" bestFit="1" customWidth="1"/>
    <col min="17" max="17" width="22.7109375" bestFit="1" customWidth="1"/>
    <col min="18" max="18" width="33.28515625" bestFit="1" customWidth="1"/>
    <col min="19" max="19" width="22.28515625" bestFit="1" customWidth="1"/>
    <col min="20" max="20" width="22.85546875" bestFit="1" customWidth="1"/>
    <col min="21" max="21" width="22.42578125" bestFit="1" customWidth="1"/>
    <col min="22" max="22" width="16.140625" bestFit="1" customWidth="1"/>
    <col min="23" max="23" width="19.7109375" bestFit="1" customWidth="1"/>
    <col min="24" max="24" width="18.85546875" bestFit="1" customWidth="1"/>
    <col min="25" max="25" width="15.7109375" bestFit="1" customWidth="1"/>
    <col min="26" max="26" width="19.5703125" bestFit="1" customWidth="1"/>
    <col min="27" max="27" width="20.7109375" bestFit="1" customWidth="1"/>
    <col min="28" max="28" width="12.7109375" bestFit="1" customWidth="1"/>
    <col min="29" max="29" width="15.85546875" bestFit="1" customWidth="1"/>
    <col min="30" max="30" width="23" bestFit="1" customWidth="1"/>
    <col min="31" max="31" width="21.5703125" bestFit="1" customWidth="1"/>
    <col min="32" max="32" width="17.5703125" bestFit="1" customWidth="1"/>
    <col min="33" max="33" width="14.140625" bestFit="1" customWidth="1"/>
    <col min="34" max="34" width="24.85546875" bestFit="1" customWidth="1"/>
    <col min="35" max="35" width="23" bestFit="1" customWidth="1"/>
    <col min="36" max="36" width="27.7109375" bestFit="1" customWidth="1"/>
    <col min="37" max="37" width="24.140625" bestFit="1" customWidth="1"/>
    <col min="38" max="38" width="22.5703125" bestFit="1" customWidth="1"/>
    <col min="39" max="39" width="31.42578125" bestFit="1" customWidth="1"/>
    <col min="40" max="40" width="16" bestFit="1" customWidth="1"/>
    <col min="41" max="41" width="13.42578125" bestFit="1" customWidth="1"/>
    <col min="42" max="42" width="12.5703125" bestFit="1" customWidth="1"/>
    <col min="43" max="43" width="19.85546875" bestFit="1" customWidth="1"/>
    <col min="44" max="44" width="19.42578125" bestFit="1" customWidth="1"/>
    <col min="45" max="45" width="18.140625" bestFit="1" customWidth="1"/>
    <col min="46" max="46" width="12.7109375" bestFit="1" customWidth="1"/>
    <col min="47" max="47" width="22" bestFit="1" customWidth="1"/>
    <col min="48" max="48" width="22.28515625" bestFit="1" customWidth="1"/>
    <col min="49" max="49" width="19.7109375" bestFit="1" customWidth="1"/>
    <col min="50" max="50" width="20.42578125" bestFit="1" customWidth="1"/>
    <col min="51" max="51" width="24.28515625" bestFit="1" customWidth="1"/>
    <col min="52" max="52" width="29.28515625" bestFit="1" customWidth="1"/>
    <col min="53" max="53" width="23.140625" bestFit="1" customWidth="1"/>
    <col min="54" max="54" width="25.85546875" bestFit="1" customWidth="1"/>
    <col min="55" max="55" width="16" bestFit="1" customWidth="1"/>
    <col min="56" max="56" width="13.140625" bestFit="1" customWidth="1"/>
    <col min="57" max="57" width="22.85546875" bestFit="1" customWidth="1"/>
    <col min="58" max="58" width="18.42578125" bestFit="1" customWidth="1"/>
    <col min="59" max="59" width="16.7109375" bestFit="1" customWidth="1"/>
    <col min="60" max="60" width="16.42578125" bestFit="1" customWidth="1"/>
    <col min="61" max="61" width="12.140625" bestFit="1" customWidth="1"/>
    <col min="62" max="63" width="17" bestFit="1" customWidth="1"/>
    <col min="64" max="64" width="17.42578125" bestFit="1" customWidth="1"/>
    <col min="65" max="65" width="12.5703125" bestFit="1" customWidth="1"/>
    <col min="66" max="66" width="19.42578125" style="11" bestFit="1" customWidth="1"/>
    <col min="67" max="67" width="13.5703125" style="11" bestFit="1" customWidth="1"/>
    <col min="68" max="68" width="18.5703125" style="11" bestFit="1" customWidth="1"/>
    <col min="69" max="69" width="18.85546875" style="11" bestFit="1" customWidth="1"/>
    <col min="70" max="70" width="18.28515625" style="11" customWidth="1"/>
    <col min="71" max="71" width="8.7109375" style="5"/>
  </cols>
  <sheetData>
    <row r="1" spans="1:71" x14ac:dyDescent="0.25">
      <c r="B1" t="s">
        <v>149</v>
      </c>
      <c r="C1" s="5" t="s">
        <v>150</v>
      </c>
      <c r="D1" s="5" t="s">
        <v>151</v>
      </c>
      <c r="E1" s="5" t="s">
        <v>152</v>
      </c>
      <c r="F1" s="5" t="s">
        <v>153</v>
      </c>
      <c r="G1" s="5" t="s">
        <v>154</v>
      </c>
      <c r="H1" s="5" t="s">
        <v>155</v>
      </c>
      <c r="I1" s="5" t="s">
        <v>156</v>
      </c>
      <c r="J1" s="5" t="s">
        <v>157</v>
      </c>
      <c r="K1" s="5" t="s">
        <v>158</v>
      </c>
      <c r="L1" s="5" t="s">
        <v>159</v>
      </c>
      <c r="M1" s="5" t="s">
        <v>160</v>
      </c>
      <c r="N1" s="5" t="s">
        <v>161</v>
      </c>
      <c r="O1" s="5" t="s">
        <v>162</v>
      </c>
      <c r="P1" s="5" t="s">
        <v>163</v>
      </c>
      <c r="Q1" s="5" t="s">
        <v>164</v>
      </c>
      <c r="R1" s="5" t="s">
        <v>165</v>
      </c>
      <c r="S1" s="5" t="s">
        <v>166</v>
      </c>
      <c r="T1" s="5" t="s">
        <v>167</v>
      </c>
      <c r="U1" s="5" t="s">
        <v>168</v>
      </c>
      <c r="V1" s="5" t="s">
        <v>169</v>
      </c>
      <c r="W1" s="5" t="s">
        <v>170</v>
      </c>
      <c r="X1" s="5" t="s">
        <v>171</v>
      </c>
      <c r="Y1" s="5" t="s">
        <v>172</v>
      </c>
      <c r="Z1" t="s">
        <v>173</v>
      </c>
      <c r="AA1" t="s">
        <v>174</v>
      </c>
      <c r="AB1" s="5" t="s">
        <v>175</v>
      </c>
      <c r="AC1" s="5" t="s">
        <v>176</v>
      </c>
      <c r="AD1" t="s">
        <v>177</v>
      </c>
      <c r="AE1" t="s">
        <v>178</v>
      </c>
      <c r="AF1" t="s">
        <v>179</v>
      </c>
      <c r="AG1" t="s">
        <v>180</v>
      </c>
      <c r="AH1" t="s">
        <v>181</v>
      </c>
      <c r="AI1" s="5" t="s">
        <v>182</v>
      </c>
      <c r="AJ1" t="s">
        <v>183</v>
      </c>
      <c r="AK1" t="s">
        <v>184</v>
      </c>
      <c r="AL1" t="s">
        <v>185</v>
      </c>
      <c r="AM1" t="s">
        <v>186</v>
      </c>
      <c r="AN1" t="s">
        <v>187</v>
      </c>
      <c r="AO1" t="s">
        <v>188</v>
      </c>
      <c r="AP1" t="s">
        <v>189</v>
      </c>
      <c r="AQ1" t="s">
        <v>190</v>
      </c>
      <c r="AR1" t="s">
        <v>191</v>
      </c>
      <c r="AS1" t="s">
        <v>192</v>
      </c>
      <c r="AT1" t="s">
        <v>193</v>
      </c>
      <c r="AU1" t="s">
        <v>194</v>
      </c>
      <c r="AV1" t="s">
        <v>195</v>
      </c>
      <c r="AW1" t="s">
        <v>196</v>
      </c>
      <c r="AX1" t="s">
        <v>197</v>
      </c>
      <c r="AY1" t="s">
        <v>198</v>
      </c>
      <c r="AZ1" t="s">
        <v>199</v>
      </c>
      <c r="BA1" t="s">
        <v>200</v>
      </c>
      <c r="BB1" t="s">
        <v>201</v>
      </c>
      <c r="BC1" t="s">
        <v>202</v>
      </c>
      <c r="BD1" t="s">
        <v>203</v>
      </c>
      <c r="BE1" t="s">
        <v>204</v>
      </c>
      <c r="BF1" t="s">
        <v>205</v>
      </c>
      <c r="BG1" t="s">
        <v>206</v>
      </c>
      <c r="BH1" t="s">
        <v>207</v>
      </c>
      <c r="BI1" t="s">
        <v>208</v>
      </c>
      <c r="BJ1" t="s">
        <v>209</v>
      </c>
      <c r="BK1" t="s">
        <v>210</v>
      </c>
      <c r="BL1" t="s">
        <v>211</v>
      </c>
      <c r="BM1" t="s">
        <v>212</v>
      </c>
      <c r="BN1" s="11" t="s">
        <v>217</v>
      </c>
      <c r="BO1" s="11" t="s">
        <v>218</v>
      </c>
      <c r="BP1" s="11" t="s">
        <v>219</v>
      </c>
      <c r="BQ1" s="11" t="s">
        <v>220</v>
      </c>
      <c r="BR1" s="11" t="s">
        <v>221</v>
      </c>
    </row>
    <row r="2" spans="1:71" x14ac:dyDescent="0.25">
      <c r="A2" t="str">
        <f>IF(Input!A3="","",Input!A3)</f>
        <v>Schroder Active Portfolio 2</v>
      </c>
      <c r="C2" s="5"/>
      <c r="D2" s="5"/>
      <c r="E2" s="5"/>
      <c r="F2" s="5">
        <v>0.50900000000000001</v>
      </c>
      <c r="G2" s="5">
        <v>0.29100000000000004</v>
      </c>
      <c r="H2" s="5"/>
      <c r="I2" s="5">
        <v>5.0000000000000001E-3</v>
      </c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>
        <v>4.4999999999999998E-2</v>
      </c>
      <c r="W2" s="5">
        <v>1E-3</v>
      </c>
      <c r="Y2" s="5">
        <v>0.14899999999999999</v>
      </c>
      <c r="AD2" s="5">
        <v>5.0000000000000001E-3</v>
      </c>
      <c r="AE2" s="5">
        <v>5.0000000000000001E-3</v>
      </c>
      <c r="AF2" s="5">
        <v>1E-3</v>
      </c>
      <c r="AG2" s="5">
        <v>2E-3</v>
      </c>
      <c r="AH2" s="5">
        <v>0.14099999999999999</v>
      </c>
      <c r="AI2" s="5">
        <v>6.0000000000000001E-3</v>
      </c>
      <c r="AL2" s="5">
        <v>6.9999999999999993E-3</v>
      </c>
      <c r="AN2" s="5">
        <v>1.9E-2</v>
      </c>
      <c r="AP2" s="5">
        <v>1.1000000000000001E-2</v>
      </c>
      <c r="AQ2" s="5">
        <v>1E-3</v>
      </c>
      <c r="AT2" s="5">
        <v>1E-3</v>
      </c>
      <c r="AV2" s="5">
        <v>3.9E-2</v>
      </c>
      <c r="AW2" s="5">
        <v>5.7000000000000002E-2</v>
      </c>
      <c r="AY2" s="5">
        <v>0.24199999999999999</v>
      </c>
      <c r="AZ2" s="5">
        <v>1.1000000000000001E-2</v>
      </c>
      <c r="BA2" s="5">
        <v>0.01</v>
      </c>
      <c r="BB2" s="5">
        <v>1.3000000000000001E-2</v>
      </c>
      <c r="BC2" s="5">
        <v>0.114</v>
      </c>
      <c r="BE2" s="5">
        <v>2.1000000000000001E-2</v>
      </c>
      <c r="BF2" s="5">
        <v>0.40799999999999997</v>
      </c>
      <c r="BG2" s="5">
        <v>1.4999999999999999E-2</v>
      </c>
      <c r="BH2" s="5">
        <v>2.5000000000000001E-2</v>
      </c>
      <c r="BI2" s="5">
        <v>1.6E-2</v>
      </c>
      <c r="BJ2" s="5">
        <v>2.2000000000000002E-2</v>
      </c>
      <c r="BK2" s="5">
        <v>4.4000000000000004E-2</v>
      </c>
      <c r="BL2" s="5">
        <v>2.1000000000000001E-2</v>
      </c>
      <c r="BN2" s="12">
        <v>0.20100000000000001</v>
      </c>
      <c r="BO2" s="12">
        <v>4.0000000000000001E-3</v>
      </c>
      <c r="BS2" s="5">
        <f>SUM(B2:BM2)</f>
        <v>2.2569999999999988</v>
      </c>
    </row>
    <row r="3" spans="1:71" x14ac:dyDescent="0.25">
      <c r="A3" t="str">
        <f>IF(Input!A4="","",Input!A4)</f>
        <v>Schroder Active Portfolio 3</v>
      </c>
      <c r="C3" s="5"/>
      <c r="D3" s="5"/>
      <c r="E3" s="5"/>
      <c r="F3" s="5">
        <v>0.59</v>
      </c>
      <c r="G3" s="5">
        <v>9.6000000000000002E-2</v>
      </c>
      <c r="H3" s="5"/>
      <c r="I3" s="5">
        <v>6.9999999999999993E-3</v>
      </c>
      <c r="J3" s="5"/>
      <c r="K3" s="5"/>
      <c r="L3" s="5"/>
      <c r="M3" s="5"/>
      <c r="N3" s="5"/>
      <c r="O3" s="5"/>
      <c r="P3" s="5"/>
      <c r="Q3" s="5"/>
      <c r="R3" s="5"/>
      <c r="S3" s="5"/>
      <c r="T3" s="5"/>
      <c r="V3" s="5">
        <v>5.5999999999999994E-2</v>
      </c>
      <c r="W3" s="5">
        <v>1E-3</v>
      </c>
      <c r="Y3" s="5">
        <v>0.251</v>
      </c>
      <c r="AD3" s="5">
        <v>8.0000000000000002E-3</v>
      </c>
      <c r="AE3" s="5">
        <v>9.0000000000000011E-3</v>
      </c>
      <c r="AF3" s="5">
        <v>2E-3</v>
      </c>
      <c r="AG3" s="5">
        <v>2E-3</v>
      </c>
      <c r="AH3" s="5">
        <v>0.23800000000000002</v>
      </c>
      <c r="AI3" s="5">
        <v>1.2E-2</v>
      </c>
      <c r="AL3" s="5">
        <v>1.3000000000000001E-2</v>
      </c>
      <c r="AN3" s="5">
        <v>3.3000000000000002E-2</v>
      </c>
      <c r="AP3" s="5">
        <v>1.8000000000000002E-2</v>
      </c>
      <c r="AQ3" s="5">
        <v>2E-3</v>
      </c>
      <c r="AT3" s="5">
        <v>1E-3</v>
      </c>
      <c r="AV3" s="5">
        <v>6.4000000000000001E-2</v>
      </c>
      <c r="AW3" s="5">
        <v>9.8000000000000004E-2</v>
      </c>
      <c r="AY3" s="5">
        <v>8.199999999999999E-2</v>
      </c>
      <c r="AZ3" s="5">
        <v>0.02</v>
      </c>
      <c r="BA3" s="5">
        <v>1.7000000000000001E-2</v>
      </c>
      <c r="BB3" s="5">
        <v>2.2000000000000002E-2</v>
      </c>
      <c r="BC3" s="5">
        <v>0.158</v>
      </c>
      <c r="BE3" s="5">
        <v>3.6000000000000004E-2</v>
      </c>
      <c r="BF3" s="5">
        <v>0.433</v>
      </c>
      <c r="BG3" s="5">
        <v>2.6000000000000002E-2</v>
      </c>
      <c r="BH3" s="5">
        <v>4.2999999999999997E-2</v>
      </c>
      <c r="BI3" s="5">
        <v>2.8999999999999998E-2</v>
      </c>
      <c r="BJ3" s="5">
        <v>2.8999999999999998E-2</v>
      </c>
      <c r="BK3" s="5">
        <v>0.02</v>
      </c>
      <c r="BL3" s="5">
        <v>3.6000000000000004E-2</v>
      </c>
      <c r="BN3" s="12">
        <v>0.313</v>
      </c>
      <c r="BO3" s="12">
        <v>6.9999999999999993E-3</v>
      </c>
      <c r="BS3" s="5">
        <f t="shared" ref="BS3:BS38" si="0">SUM(B3:BM3)</f>
        <v>2.4519999999999995</v>
      </c>
    </row>
    <row r="4" spans="1:71" x14ac:dyDescent="0.25">
      <c r="A4" t="str">
        <f>IF(Input!A5="","",Input!A5)</f>
        <v>Schroder Active Portfolio 4</v>
      </c>
      <c r="C4" s="5"/>
      <c r="D4" s="5"/>
      <c r="E4" s="5"/>
      <c r="F4" s="5">
        <v>0.44500000000000001</v>
      </c>
      <c r="G4" s="5">
        <v>6.6000000000000003E-2</v>
      </c>
      <c r="H4" s="5"/>
      <c r="I4" s="5">
        <v>8.0000000000000002E-3</v>
      </c>
      <c r="J4" s="5"/>
      <c r="K4" s="5"/>
      <c r="L4" s="5"/>
      <c r="M4" s="5"/>
      <c r="N4" s="5"/>
      <c r="O4" s="5"/>
      <c r="P4" s="5"/>
      <c r="Q4" s="5"/>
      <c r="R4" s="5"/>
      <c r="S4" s="5"/>
      <c r="T4" s="5"/>
      <c r="V4" s="5">
        <v>6.6000000000000003E-2</v>
      </c>
      <c r="W4" s="5">
        <v>1E-3</v>
      </c>
      <c r="Y4" s="5">
        <v>0.41499999999999998</v>
      </c>
      <c r="AD4" s="5">
        <v>1.3999999999999999E-2</v>
      </c>
      <c r="AE4" s="5">
        <v>1.6E-2</v>
      </c>
      <c r="AF4" s="5">
        <v>2E-3</v>
      </c>
      <c r="AG4" s="5">
        <v>3.0000000000000001E-3</v>
      </c>
      <c r="AH4" s="5">
        <v>0.39299999999999996</v>
      </c>
      <c r="AI4" s="5">
        <v>2.1000000000000001E-2</v>
      </c>
      <c r="AL4" s="5">
        <v>2.2000000000000002E-2</v>
      </c>
      <c r="AN4" s="5">
        <v>5.5E-2</v>
      </c>
      <c r="AP4" s="5">
        <v>3.1E-2</v>
      </c>
      <c r="AQ4" s="5">
        <v>4.0000000000000001E-3</v>
      </c>
      <c r="AT4" s="5">
        <v>2E-3</v>
      </c>
      <c r="AV4" s="5">
        <v>0.10400000000000001</v>
      </c>
      <c r="AW4" s="5">
        <v>0.161</v>
      </c>
      <c r="AX4" s="5">
        <v>2.2000000000000002E-2</v>
      </c>
      <c r="AY4" s="5">
        <v>5.5E-2</v>
      </c>
      <c r="AZ4" s="5">
        <v>3.4000000000000002E-2</v>
      </c>
      <c r="BA4" s="5">
        <v>0.03</v>
      </c>
      <c r="BB4" s="5">
        <v>3.7000000000000005E-2</v>
      </c>
      <c r="BC4" s="5">
        <v>0.13300000000000001</v>
      </c>
      <c r="BE4" s="5">
        <v>6.0999999999999999E-2</v>
      </c>
      <c r="BF4" s="5">
        <v>0.317</v>
      </c>
      <c r="BG4" s="5">
        <v>4.4999999999999998E-2</v>
      </c>
      <c r="BH4" s="5">
        <v>7.0999999999999994E-2</v>
      </c>
      <c r="BI4" s="5">
        <v>4.2999999999999997E-2</v>
      </c>
      <c r="BJ4" s="5">
        <v>3.5000000000000003E-2</v>
      </c>
      <c r="BL4" s="5">
        <v>6.2E-2</v>
      </c>
      <c r="BN4" s="12">
        <v>0.441</v>
      </c>
      <c r="BS4" s="5">
        <f t="shared" si="0"/>
        <v>2.774</v>
      </c>
    </row>
    <row r="5" spans="1:71" x14ac:dyDescent="0.25">
      <c r="A5" t="str">
        <f>IF(Input!A6="","",Input!A6)</f>
        <v>Schroder Active Portfolio 5</v>
      </c>
      <c r="C5" s="5"/>
      <c r="D5" s="5"/>
      <c r="E5" s="5"/>
      <c r="F5" s="5">
        <v>0.35799999999999998</v>
      </c>
      <c r="G5" s="5">
        <v>0.06</v>
      </c>
      <c r="H5" s="5"/>
      <c r="I5" s="5">
        <v>8.0000000000000002E-3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V5" s="5">
        <v>6.6000000000000003E-2</v>
      </c>
      <c r="W5" s="5">
        <v>1E-3</v>
      </c>
      <c r="Y5" s="5">
        <v>0.50700000000000001</v>
      </c>
      <c r="AD5" s="5">
        <v>1.8000000000000002E-2</v>
      </c>
      <c r="AE5" s="5">
        <v>2.2000000000000002E-2</v>
      </c>
      <c r="AF5" s="5">
        <v>2E-3</v>
      </c>
      <c r="AG5" s="5">
        <v>3.0000000000000001E-3</v>
      </c>
      <c r="AH5" s="5">
        <v>0.47600000000000003</v>
      </c>
      <c r="AI5" s="5">
        <v>2.8999999999999998E-2</v>
      </c>
      <c r="AL5" s="5">
        <v>2.7999999999999997E-2</v>
      </c>
      <c r="AN5" s="5">
        <v>6.7000000000000004E-2</v>
      </c>
      <c r="AP5" s="5">
        <v>3.7000000000000005E-2</v>
      </c>
      <c r="AQ5" s="5">
        <v>5.0000000000000001E-3</v>
      </c>
      <c r="AT5" s="5">
        <v>3.0000000000000001E-3</v>
      </c>
      <c r="AV5" s="5">
        <v>0.125</v>
      </c>
      <c r="AW5" s="5">
        <v>0.19500000000000001</v>
      </c>
      <c r="AX5" s="5">
        <v>2.7000000000000003E-2</v>
      </c>
      <c r="AY5" s="5">
        <v>4.9000000000000002E-2</v>
      </c>
      <c r="AZ5" s="5">
        <v>4.2000000000000003E-2</v>
      </c>
      <c r="BA5" s="5">
        <v>3.7000000000000005E-2</v>
      </c>
      <c r="BB5" s="5">
        <v>4.5999999999999999E-2</v>
      </c>
      <c r="BC5" s="5">
        <v>0.127</v>
      </c>
      <c r="BE5" s="5">
        <v>7.4999999999999997E-2</v>
      </c>
      <c r="BF5" s="5">
        <v>0.23800000000000002</v>
      </c>
      <c r="BG5" s="5">
        <v>5.5E-2</v>
      </c>
      <c r="BH5" s="5">
        <v>8.5999999999999993E-2</v>
      </c>
      <c r="BI5" s="5">
        <v>4.9000000000000002E-2</v>
      </c>
      <c r="BJ5" s="5">
        <v>3.6000000000000004E-2</v>
      </c>
      <c r="BL5" s="5">
        <v>7.6999999999999999E-2</v>
      </c>
      <c r="BN5" s="12">
        <v>0.48799999999999999</v>
      </c>
      <c r="BS5" s="5">
        <f t="shared" si="0"/>
        <v>2.9539999999999993</v>
      </c>
    </row>
    <row r="6" spans="1:71" x14ac:dyDescent="0.25">
      <c r="A6" t="str">
        <f>IF(Input!A7="","",Input!A7)</f>
        <v>Schroder Active Portfolio 6</v>
      </c>
      <c r="C6" s="5"/>
      <c r="D6" s="5"/>
      <c r="E6" s="5"/>
      <c r="F6" s="5">
        <v>0.23499999999999999</v>
      </c>
      <c r="G6" s="5">
        <v>5.0999999999999997E-2</v>
      </c>
      <c r="H6" s="5"/>
      <c r="I6" s="5">
        <v>6.9999999999999993E-3</v>
      </c>
      <c r="J6" s="5"/>
      <c r="K6" s="5"/>
      <c r="L6" s="5"/>
      <c r="M6" s="5"/>
      <c r="N6" s="5"/>
      <c r="O6" s="5"/>
      <c r="P6" s="5"/>
      <c r="Q6" s="5"/>
      <c r="R6" s="5"/>
      <c r="S6" s="5"/>
      <c r="T6" s="5"/>
      <c r="V6" s="5">
        <v>6.4000000000000001E-2</v>
      </c>
      <c r="W6" s="5">
        <v>0</v>
      </c>
      <c r="Y6" s="5">
        <v>0.64300000000000002</v>
      </c>
      <c r="AB6" s="5">
        <v>3.0000000000000001E-3</v>
      </c>
      <c r="AD6" s="5">
        <v>2.7000000000000003E-2</v>
      </c>
      <c r="AE6" s="5">
        <v>3.5000000000000003E-2</v>
      </c>
      <c r="AG6" s="5">
        <v>4.0000000000000001E-3</v>
      </c>
      <c r="AH6" s="5">
        <v>0.59499999999999997</v>
      </c>
      <c r="AI6" s="5">
        <v>4.5999999999999999E-2</v>
      </c>
      <c r="AL6" s="5">
        <v>3.5000000000000003E-2</v>
      </c>
      <c r="AN6" s="5">
        <v>8.3000000000000004E-2</v>
      </c>
      <c r="AP6" s="5">
        <v>4.5999999999999999E-2</v>
      </c>
      <c r="AQ6" s="5">
        <v>8.0000000000000002E-3</v>
      </c>
      <c r="AT6" s="5">
        <v>4.0000000000000001E-3</v>
      </c>
      <c r="AV6" s="5">
        <v>0.154</v>
      </c>
      <c r="AW6" s="5">
        <v>0.24299999999999999</v>
      </c>
      <c r="AX6" s="5">
        <v>3.4000000000000002E-2</v>
      </c>
      <c r="AY6" s="5">
        <v>4.2000000000000003E-2</v>
      </c>
      <c r="AZ6" s="5">
        <v>5.4000000000000006E-2</v>
      </c>
      <c r="BA6" s="5">
        <v>4.8000000000000001E-2</v>
      </c>
      <c r="BB6" s="5">
        <v>5.7999999999999996E-2</v>
      </c>
      <c r="BC6" s="5">
        <v>8.8000000000000009E-2</v>
      </c>
      <c r="BE6" s="5">
        <v>9.8000000000000004E-2</v>
      </c>
      <c r="BF6" s="5">
        <v>0.156</v>
      </c>
      <c r="BG6" s="5">
        <v>7.0000000000000007E-2</v>
      </c>
      <c r="BH6" s="5">
        <v>0.109</v>
      </c>
      <c r="BI6" s="5">
        <v>5.4000000000000006E-2</v>
      </c>
      <c r="BJ6" s="5">
        <v>3.6000000000000004E-2</v>
      </c>
      <c r="BL6" s="5">
        <v>0.1</v>
      </c>
      <c r="BN6" s="12">
        <v>0.47200000000000003</v>
      </c>
      <c r="BS6" s="5">
        <f t="shared" si="0"/>
        <v>3.2299999999999986</v>
      </c>
    </row>
    <row r="7" spans="1:71" x14ac:dyDescent="0.25">
      <c r="A7" t="str">
        <f>IF(Input!A8="","",Input!A8)</f>
        <v>Schroder Active Portfolio 7</v>
      </c>
      <c r="C7" s="5"/>
      <c r="D7" s="5"/>
      <c r="E7" s="5"/>
      <c r="F7" s="5">
        <v>0.127</v>
      </c>
      <c r="G7" s="5">
        <v>5.5E-2</v>
      </c>
      <c r="H7" s="5"/>
      <c r="I7" s="5">
        <v>6.0000000000000001E-3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V7" s="5">
        <v>5.9000000000000004E-2</v>
      </c>
      <c r="W7" s="5">
        <v>0</v>
      </c>
      <c r="Y7" s="5">
        <v>0.753</v>
      </c>
      <c r="AB7" s="5">
        <v>4.0000000000000001E-3</v>
      </c>
      <c r="AD7" s="5">
        <v>3.6000000000000004E-2</v>
      </c>
      <c r="AE7" s="5">
        <v>4.8000000000000001E-2</v>
      </c>
      <c r="AG7" s="5">
        <v>4.0000000000000001E-3</v>
      </c>
      <c r="AH7" s="5">
        <v>0.68700000000000006</v>
      </c>
      <c r="AI7" s="5">
        <v>6.4000000000000001E-2</v>
      </c>
      <c r="AL7" s="5">
        <v>0.04</v>
      </c>
      <c r="AN7" s="5">
        <v>9.6999999999999989E-2</v>
      </c>
      <c r="AP7" s="5">
        <v>5.2999999999999999E-2</v>
      </c>
      <c r="AQ7" s="5">
        <v>1.1000000000000001E-2</v>
      </c>
      <c r="AT7" s="5">
        <v>5.0000000000000001E-3</v>
      </c>
      <c r="AV7" s="5">
        <v>0.17600000000000002</v>
      </c>
      <c r="AW7" s="5">
        <v>0.27699999999999997</v>
      </c>
      <c r="AX7" s="5">
        <v>3.9E-2</v>
      </c>
      <c r="AY7" s="5">
        <v>4.5999999999999999E-2</v>
      </c>
      <c r="AZ7" s="5">
        <v>6.3E-2</v>
      </c>
      <c r="BA7" s="5">
        <v>5.7000000000000002E-2</v>
      </c>
      <c r="BB7" s="5">
        <v>6.8000000000000005E-2</v>
      </c>
      <c r="BC7" s="5">
        <v>4.5999999999999999E-2</v>
      </c>
      <c r="BE7" s="5">
        <v>0.11800000000000001</v>
      </c>
      <c r="BF7" s="5">
        <v>9.3000000000000013E-2</v>
      </c>
      <c r="BG7" s="5">
        <v>8.1000000000000003E-2</v>
      </c>
      <c r="BH7" s="5">
        <v>0.126</v>
      </c>
      <c r="BI7" s="5">
        <v>5.7000000000000002E-2</v>
      </c>
      <c r="BL7" s="5">
        <v>0.12</v>
      </c>
      <c r="BM7" s="5">
        <v>3.6000000000000004E-2</v>
      </c>
      <c r="BN7" s="12">
        <v>0.436</v>
      </c>
      <c r="BS7" s="5">
        <f t="shared" si="0"/>
        <v>3.4520000000000004</v>
      </c>
    </row>
    <row r="8" spans="1:71" x14ac:dyDescent="0.25">
      <c r="A8" t="str">
        <f>IF(Input!A9="","",Input!A9)</f>
        <v>Schroder Active Portfolio 8</v>
      </c>
      <c r="C8" s="5"/>
      <c r="D8" s="5"/>
      <c r="E8" s="5"/>
      <c r="F8" s="5">
        <v>3.3000000000000002E-2</v>
      </c>
      <c r="G8" s="5">
        <v>5.2999999999999999E-2</v>
      </c>
      <c r="H8" s="5"/>
      <c r="I8" s="5">
        <v>4.0000000000000001E-3</v>
      </c>
      <c r="J8" s="5"/>
      <c r="K8" s="5"/>
      <c r="L8" s="5"/>
      <c r="M8" s="5"/>
      <c r="N8" s="5"/>
      <c r="O8" s="5"/>
      <c r="P8" s="5"/>
      <c r="Q8" s="5"/>
      <c r="R8" s="5"/>
      <c r="S8" s="5"/>
      <c r="T8" s="5"/>
      <c r="V8" s="5">
        <v>3.9E-2</v>
      </c>
      <c r="W8" s="5">
        <v>0</v>
      </c>
      <c r="Y8" s="5">
        <v>0.87</v>
      </c>
      <c r="AB8" s="5">
        <v>6.0000000000000001E-3</v>
      </c>
      <c r="AD8" s="5">
        <v>0.05</v>
      </c>
      <c r="AE8" s="5">
        <v>6.9000000000000006E-2</v>
      </c>
      <c r="AG8" s="5">
        <v>4.0000000000000001E-3</v>
      </c>
      <c r="AH8" s="5">
        <v>0.77700000000000002</v>
      </c>
      <c r="AI8" s="5">
        <v>9.1999999999999998E-2</v>
      </c>
      <c r="AL8" s="5">
        <v>4.5999999999999999E-2</v>
      </c>
      <c r="AN8" s="5">
        <v>0.111</v>
      </c>
      <c r="AP8" s="5">
        <v>5.9000000000000004E-2</v>
      </c>
      <c r="AQ8" s="5">
        <v>1.4999999999999999E-2</v>
      </c>
      <c r="AT8" s="5">
        <v>6.0000000000000001E-3</v>
      </c>
      <c r="AV8" s="5">
        <v>0.19600000000000001</v>
      </c>
      <c r="AW8" s="5">
        <v>0.308</v>
      </c>
      <c r="AX8" s="5">
        <v>4.4000000000000004E-2</v>
      </c>
      <c r="AY8" s="5">
        <v>4.8000000000000001E-2</v>
      </c>
      <c r="AZ8" s="5">
        <v>7.2999999999999995E-2</v>
      </c>
      <c r="BA8" s="5">
        <v>6.8000000000000005E-2</v>
      </c>
      <c r="BB8" s="5">
        <v>7.8E-2</v>
      </c>
      <c r="BE8" s="5">
        <v>0.14099999999999999</v>
      </c>
      <c r="BF8" s="5">
        <v>3.7000000000000005E-2</v>
      </c>
      <c r="BG8" s="5">
        <v>9.1999999999999998E-2</v>
      </c>
      <c r="BH8" s="5">
        <v>0.14300000000000002</v>
      </c>
      <c r="BI8" s="5">
        <v>0.03</v>
      </c>
      <c r="BJ8" s="5">
        <v>3.4000000000000002E-2</v>
      </c>
      <c r="BL8" s="5">
        <v>0.14199999999999999</v>
      </c>
      <c r="BM8" s="5">
        <v>3.9E-2</v>
      </c>
      <c r="BN8" s="12">
        <v>0.34799999999999998</v>
      </c>
      <c r="BS8" s="5">
        <f t="shared" si="0"/>
        <v>3.7069999999999994</v>
      </c>
    </row>
    <row r="9" spans="1:71" x14ac:dyDescent="0.25">
      <c r="A9" t="str">
        <f>IF(Input!A10="","",Input!A10)</f>
        <v>Schroder Active Portfolio 9</v>
      </c>
      <c r="C9" s="5"/>
      <c r="D9" s="5"/>
      <c r="E9" s="5"/>
      <c r="F9" s="5">
        <v>0</v>
      </c>
      <c r="G9" s="5">
        <v>4.2000000000000003E-2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V9" s="5">
        <v>6.9999999999999993E-3</v>
      </c>
      <c r="Y9" s="5">
        <v>0.95099999999999996</v>
      </c>
      <c r="AB9" s="5">
        <v>0.01</v>
      </c>
      <c r="AD9" s="5">
        <v>8.199999999999999E-2</v>
      </c>
      <c r="AE9" s="5">
        <v>0.122</v>
      </c>
      <c r="AG9" s="5">
        <v>4.0000000000000001E-3</v>
      </c>
      <c r="AH9" s="5">
        <v>0.78799999999999992</v>
      </c>
      <c r="AI9" s="5">
        <v>0.16300000000000001</v>
      </c>
      <c r="AL9" s="5">
        <v>4.4999999999999998E-2</v>
      </c>
      <c r="AN9" s="5">
        <v>0.113</v>
      </c>
      <c r="AP9" s="5">
        <v>5.7999999999999996E-2</v>
      </c>
      <c r="AQ9" s="5">
        <v>2.6000000000000002E-2</v>
      </c>
      <c r="AT9" s="5">
        <v>8.0000000000000002E-3</v>
      </c>
      <c r="AV9" s="5">
        <v>0.18899999999999997</v>
      </c>
      <c r="AW9" s="5">
        <v>0.29100000000000004</v>
      </c>
      <c r="AX9" s="5">
        <v>4.7E-2</v>
      </c>
      <c r="AY9" s="5">
        <v>4.2000000000000003E-2</v>
      </c>
      <c r="AZ9" s="5">
        <v>8.1000000000000003E-2</v>
      </c>
      <c r="BA9" s="5">
        <v>8.3000000000000004E-2</v>
      </c>
      <c r="BB9" s="5">
        <v>8.199999999999999E-2</v>
      </c>
      <c r="BD9" s="5">
        <v>2.6000000000000002E-2</v>
      </c>
      <c r="BE9" s="5">
        <v>0.17199999999999999</v>
      </c>
      <c r="BG9" s="5">
        <v>9.3000000000000013E-2</v>
      </c>
      <c r="BH9" s="5">
        <v>0.151</v>
      </c>
      <c r="BI9" s="5">
        <v>0</v>
      </c>
      <c r="BJ9" s="5">
        <v>1.1000000000000001E-2</v>
      </c>
      <c r="BL9" s="5">
        <v>0.16800000000000001</v>
      </c>
      <c r="BM9" s="5">
        <v>3.7000000000000005E-2</v>
      </c>
      <c r="BN9" s="12">
        <v>0.28600000000000003</v>
      </c>
      <c r="BS9" s="5">
        <f t="shared" si="0"/>
        <v>3.891999999999999</v>
      </c>
    </row>
    <row r="10" spans="1:71" x14ac:dyDescent="0.25">
      <c r="A10" t="str">
        <f>IF(Input!A11="","",Input!A11)</f>
        <v>Schroder Active Portfolio 10</v>
      </c>
      <c r="C10" s="5"/>
      <c r="D10" s="5"/>
      <c r="E10" s="5"/>
      <c r="F10" s="5">
        <v>1E-3</v>
      </c>
      <c r="G10" s="5">
        <v>0.04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V10" s="5">
        <v>5.0000000000000001E-3</v>
      </c>
      <c r="Y10" s="5">
        <v>0.95499999999999996</v>
      </c>
      <c r="AB10" s="5">
        <v>1.7000000000000001E-2</v>
      </c>
      <c r="AD10" s="5">
        <v>0.13600000000000001</v>
      </c>
      <c r="AE10" s="5">
        <v>0.20800000000000002</v>
      </c>
      <c r="AH10" s="5">
        <v>0.67799999999999994</v>
      </c>
      <c r="AI10" s="5">
        <v>0.27699999999999997</v>
      </c>
      <c r="AK10" s="5">
        <v>6.0000000000000001E-3</v>
      </c>
      <c r="AL10" s="5">
        <v>3.5000000000000003E-2</v>
      </c>
      <c r="AN10" s="5">
        <v>9.9000000000000005E-2</v>
      </c>
      <c r="AP10" s="5">
        <v>4.4999999999999998E-2</v>
      </c>
      <c r="AQ10" s="5">
        <v>4.4999999999999998E-2</v>
      </c>
      <c r="AT10" s="5">
        <v>1.3000000000000001E-2</v>
      </c>
      <c r="AV10" s="5">
        <v>0.14599999999999999</v>
      </c>
      <c r="AW10" s="5">
        <v>0.20300000000000001</v>
      </c>
      <c r="AX10" s="5">
        <v>4.2999999999999997E-2</v>
      </c>
      <c r="AY10" s="5">
        <v>0.04</v>
      </c>
      <c r="AZ10" s="5">
        <v>7.8E-2</v>
      </c>
      <c r="BA10" s="5">
        <v>9.6999999999999989E-2</v>
      </c>
      <c r="BB10" s="5">
        <v>7.4999999999999997E-2</v>
      </c>
      <c r="BD10" s="5">
        <v>2.5000000000000001E-2</v>
      </c>
      <c r="BE10" s="5">
        <v>0.2</v>
      </c>
      <c r="BG10" s="5">
        <v>7.2999999999999995E-2</v>
      </c>
      <c r="BH10" s="5">
        <v>0.13900000000000001</v>
      </c>
      <c r="BI10" s="5">
        <v>1E-3</v>
      </c>
      <c r="BJ10" s="5">
        <v>1.1000000000000001E-2</v>
      </c>
      <c r="BL10" s="5">
        <v>0.184</v>
      </c>
      <c r="BM10" s="5">
        <v>2.7999999999999997E-2</v>
      </c>
      <c r="BN10" s="12">
        <v>0.19</v>
      </c>
      <c r="BS10" s="5">
        <f t="shared" si="0"/>
        <v>3.9030000000000005</v>
      </c>
    </row>
    <row r="11" spans="1:71" x14ac:dyDescent="0.25">
      <c r="A11" t="str">
        <f>IF(Input!A12="","",Input!A12)</f>
        <v>Schroder Strategic Index Portfolio 2</v>
      </c>
      <c r="C11" s="5"/>
      <c r="D11" s="5"/>
      <c r="E11" s="5"/>
      <c r="F11" s="5">
        <v>0.56700000000000006</v>
      </c>
      <c r="G11" s="5">
        <v>0.26800000000000002</v>
      </c>
      <c r="H11" s="5"/>
      <c r="I11" s="5">
        <v>1E-3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V11" s="5">
        <v>4.0000000000000001E-3</v>
      </c>
      <c r="W11" s="5">
        <v>0</v>
      </c>
      <c r="Y11" s="5">
        <v>0.159</v>
      </c>
      <c r="AD11" s="5">
        <v>6.0000000000000001E-3</v>
      </c>
      <c r="AE11" s="5">
        <v>6.0000000000000001E-3</v>
      </c>
      <c r="AF11" s="5">
        <v>2E-3</v>
      </c>
      <c r="AG11" s="5">
        <v>2E-3</v>
      </c>
      <c r="AH11" s="5">
        <v>0.15</v>
      </c>
      <c r="AI11" s="5">
        <v>8.0000000000000002E-3</v>
      </c>
      <c r="AL11" s="5">
        <v>9.0000000000000011E-3</v>
      </c>
      <c r="AN11" s="5">
        <v>1.6E-2</v>
      </c>
      <c r="AP11" s="5">
        <v>1.3000000000000001E-2</v>
      </c>
      <c r="AQ11" s="5">
        <v>1E-3</v>
      </c>
      <c r="AT11" s="5">
        <v>2E-3</v>
      </c>
      <c r="AV11" s="5">
        <v>3.3000000000000002E-2</v>
      </c>
      <c r="AW11" s="5">
        <v>7.0000000000000007E-2</v>
      </c>
      <c r="AY11" s="5">
        <v>0.222</v>
      </c>
      <c r="AZ11" s="5">
        <v>9.0000000000000011E-3</v>
      </c>
      <c r="BA11" s="5">
        <v>1.4999999999999999E-2</v>
      </c>
      <c r="BB11" s="5">
        <v>1.3000000000000001E-2</v>
      </c>
      <c r="BC11" s="5">
        <v>0.214</v>
      </c>
      <c r="BE11" s="5">
        <v>2.1000000000000001E-2</v>
      </c>
      <c r="BF11" s="5">
        <v>0.36299999999999999</v>
      </c>
      <c r="BG11" s="5">
        <v>1.7000000000000001E-2</v>
      </c>
      <c r="BH11" s="5">
        <v>1.6E-2</v>
      </c>
      <c r="BI11" s="5">
        <v>0.02</v>
      </c>
      <c r="BJ11" s="5">
        <v>2.3E-2</v>
      </c>
      <c r="BK11" s="5">
        <v>3.6000000000000004E-2</v>
      </c>
      <c r="BL11" s="5">
        <v>2.4E-2</v>
      </c>
      <c r="BN11" s="12">
        <v>0.02</v>
      </c>
      <c r="BP11" s="12">
        <v>0.02</v>
      </c>
      <c r="BS11" s="5">
        <f t="shared" si="0"/>
        <v>2.3099999999999996</v>
      </c>
    </row>
    <row r="12" spans="1:71" x14ac:dyDescent="0.25">
      <c r="A12" t="str">
        <f>IF(Input!A13="","",Input!A13)</f>
        <v>Schroder Strategic Index Portfolio 3</v>
      </c>
      <c r="C12" s="5"/>
      <c r="D12" s="5"/>
      <c r="E12" s="5"/>
      <c r="F12" s="5">
        <v>0.65599999999999992</v>
      </c>
      <c r="G12" s="5">
        <v>7.2000000000000008E-2</v>
      </c>
      <c r="H12" s="5"/>
      <c r="I12" s="5">
        <v>1E-3</v>
      </c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V12" s="5">
        <v>6.0000000000000001E-3</v>
      </c>
      <c r="W12" s="5">
        <v>0</v>
      </c>
      <c r="Y12" s="5">
        <v>0.26600000000000001</v>
      </c>
      <c r="AD12" s="5">
        <v>0.01</v>
      </c>
      <c r="AE12" s="5">
        <v>0.01</v>
      </c>
      <c r="AF12" s="5">
        <v>3.0000000000000001E-3</v>
      </c>
      <c r="AG12" s="5">
        <v>3.0000000000000001E-3</v>
      </c>
      <c r="AH12" s="5">
        <v>0.251</v>
      </c>
      <c r="AI12" s="5">
        <v>1.3000000000000001E-2</v>
      </c>
      <c r="AL12" s="5">
        <v>1.4999999999999999E-2</v>
      </c>
      <c r="AN12" s="5">
        <v>2.6000000000000002E-2</v>
      </c>
      <c r="AP12" s="5">
        <v>2.1000000000000001E-2</v>
      </c>
      <c r="AQ12" s="5">
        <v>2E-3</v>
      </c>
      <c r="AT12" s="5">
        <v>3.0000000000000001E-3</v>
      </c>
      <c r="AV12" s="5">
        <v>5.4000000000000006E-2</v>
      </c>
      <c r="AW12" s="5">
        <v>0.11900000000000001</v>
      </c>
      <c r="AY12" s="5">
        <v>6.2E-2</v>
      </c>
      <c r="AZ12" s="5">
        <v>1.4999999999999999E-2</v>
      </c>
      <c r="BA12" s="5">
        <v>2.6000000000000002E-2</v>
      </c>
      <c r="BB12" s="5">
        <v>2.2000000000000002E-2</v>
      </c>
      <c r="BC12" s="5">
        <v>0.29899999999999999</v>
      </c>
      <c r="BD12" s="5">
        <v>1.3999999999999999E-2</v>
      </c>
      <c r="BE12" s="5">
        <v>3.7000000000000005E-2</v>
      </c>
      <c r="BF12" s="5">
        <v>0.35799999999999998</v>
      </c>
      <c r="BG12" s="5">
        <v>2.8999999999999998E-2</v>
      </c>
      <c r="BH12" s="5">
        <v>2.7999999999999997E-2</v>
      </c>
      <c r="BI12" s="5">
        <v>2.8999999999999998E-2</v>
      </c>
      <c r="BJ12" s="5">
        <v>3.1E-2</v>
      </c>
      <c r="BL12" s="5">
        <v>4.2000000000000003E-2</v>
      </c>
      <c r="BN12" s="12">
        <v>3.4000000000000002E-2</v>
      </c>
      <c r="BP12" s="12">
        <v>0.02</v>
      </c>
      <c r="BS12" s="5">
        <f t="shared" si="0"/>
        <v>2.5229999999999992</v>
      </c>
    </row>
    <row r="13" spans="1:71" x14ac:dyDescent="0.25">
      <c r="A13" t="str">
        <f>IF(Input!A14="","",Input!A14)</f>
        <v>Schroder Strategic Index Portfolio 4</v>
      </c>
      <c r="C13" s="5"/>
      <c r="D13" s="5"/>
      <c r="E13" s="5"/>
      <c r="F13" s="5">
        <v>0.51900000000000002</v>
      </c>
      <c r="G13" s="5">
        <v>3.7999999999999999E-2</v>
      </c>
      <c r="H13" s="5"/>
      <c r="I13" s="5">
        <v>1E-3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V13" s="5">
        <v>8.0000000000000002E-3</v>
      </c>
      <c r="W13" s="5">
        <v>0</v>
      </c>
      <c r="Y13" s="5">
        <v>0.435</v>
      </c>
      <c r="AD13" s="5">
        <v>1.3999999999999999E-2</v>
      </c>
      <c r="AE13" s="5">
        <v>1.6E-2</v>
      </c>
      <c r="AF13" s="5">
        <v>4.0000000000000001E-3</v>
      </c>
      <c r="AG13" s="5">
        <v>5.0000000000000001E-3</v>
      </c>
      <c r="AH13" s="5">
        <v>0.41</v>
      </c>
      <c r="AI13" s="5">
        <v>2.3E-2</v>
      </c>
      <c r="AL13" s="5">
        <v>2.5000000000000001E-2</v>
      </c>
      <c r="AN13" s="5">
        <v>4.2999999999999997E-2</v>
      </c>
      <c r="AP13" s="5">
        <v>3.3000000000000002E-2</v>
      </c>
      <c r="AQ13" s="5">
        <v>3.0000000000000001E-3</v>
      </c>
      <c r="AT13" s="5">
        <v>4.0000000000000001E-3</v>
      </c>
      <c r="AV13" s="5">
        <v>8.8000000000000009E-2</v>
      </c>
      <c r="AW13" s="5">
        <v>0.19699999999999998</v>
      </c>
      <c r="AY13" s="5">
        <v>3.4000000000000002E-2</v>
      </c>
      <c r="AZ13" s="5">
        <v>2.6000000000000002E-2</v>
      </c>
      <c r="BA13" s="5">
        <v>4.4999999999999998E-2</v>
      </c>
      <c r="BB13" s="5">
        <v>3.7999999999999999E-2</v>
      </c>
      <c r="BC13" s="5">
        <v>0.26700000000000002</v>
      </c>
      <c r="BD13" s="5">
        <v>2.3E-2</v>
      </c>
      <c r="BE13" s="5">
        <v>6.2E-2</v>
      </c>
      <c r="BF13" s="5">
        <v>0.253</v>
      </c>
      <c r="BG13" s="5">
        <v>4.9000000000000002E-2</v>
      </c>
      <c r="BH13" s="5">
        <v>4.7E-2</v>
      </c>
      <c r="BI13" s="5">
        <v>3.7000000000000005E-2</v>
      </c>
      <c r="BJ13" s="5">
        <v>3.7999999999999999E-2</v>
      </c>
      <c r="BL13" s="5">
        <v>7.0999999999999994E-2</v>
      </c>
      <c r="BN13" s="12">
        <v>0.04</v>
      </c>
      <c r="BS13" s="5">
        <f t="shared" si="0"/>
        <v>2.8559999999999994</v>
      </c>
    </row>
    <row r="14" spans="1:71" x14ac:dyDescent="0.25">
      <c r="A14" t="str">
        <f>IF(Input!A15="","",Input!A15)</f>
        <v>Schroder Strategic Index Portfolio 5</v>
      </c>
      <c r="C14" s="5"/>
      <c r="D14" s="5"/>
      <c r="E14" s="5"/>
      <c r="F14" s="5">
        <v>0.42899999999999999</v>
      </c>
      <c r="G14" s="5">
        <v>3.3000000000000002E-2</v>
      </c>
      <c r="H14" s="5"/>
      <c r="I14" s="5">
        <v>1E-3</v>
      </c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V14" s="5">
        <v>8.0000000000000002E-3</v>
      </c>
      <c r="W14" s="5">
        <v>0</v>
      </c>
      <c r="Y14" s="5">
        <v>0.52900000000000003</v>
      </c>
      <c r="AD14" s="5">
        <v>1.9E-2</v>
      </c>
      <c r="AE14" s="5">
        <v>2.3E-2</v>
      </c>
      <c r="AF14" s="5">
        <v>4.0000000000000001E-3</v>
      </c>
      <c r="AG14" s="5">
        <v>6.0000000000000001E-3</v>
      </c>
      <c r="AH14" s="5">
        <v>0.49399999999999999</v>
      </c>
      <c r="AI14" s="5">
        <v>3.2000000000000001E-2</v>
      </c>
      <c r="AL14" s="5">
        <v>2.8999999999999998E-2</v>
      </c>
      <c r="AN14" s="5">
        <v>5.0999999999999997E-2</v>
      </c>
      <c r="AP14" s="5">
        <v>0.04</v>
      </c>
      <c r="AQ14" s="5">
        <v>4.0000000000000001E-3</v>
      </c>
      <c r="AT14" s="5">
        <v>6.0000000000000001E-3</v>
      </c>
      <c r="AV14" s="5">
        <v>0.107</v>
      </c>
      <c r="AW14" s="5">
        <v>0.23699999999999999</v>
      </c>
      <c r="AY14" s="5">
        <v>0.03</v>
      </c>
      <c r="AZ14" s="5">
        <v>3.3000000000000002E-2</v>
      </c>
      <c r="BA14" s="5">
        <v>5.5E-2</v>
      </c>
      <c r="BB14" s="5">
        <v>4.5999999999999999E-2</v>
      </c>
      <c r="BC14" s="5">
        <v>0.25600000000000001</v>
      </c>
      <c r="BD14" s="5">
        <v>2.7999999999999997E-2</v>
      </c>
      <c r="BE14" s="5">
        <v>7.5999999999999998E-2</v>
      </c>
      <c r="BF14" s="5">
        <v>0.17300000000000001</v>
      </c>
      <c r="BG14" s="5">
        <v>0.06</v>
      </c>
      <c r="BH14" s="5">
        <v>5.7000000000000002E-2</v>
      </c>
      <c r="BI14" s="5">
        <v>4.4000000000000004E-2</v>
      </c>
      <c r="BJ14" s="5">
        <v>0.04</v>
      </c>
      <c r="BL14" s="5">
        <v>8.8000000000000009E-2</v>
      </c>
      <c r="BN14" s="12">
        <v>3.4000000000000002E-2</v>
      </c>
      <c r="BS14" s="5">
        <f t="shared" si="0"/>
        <v>3.0379999999999998</v>
      </c>
    </row>
    <row r="15" spans="1:71" x14ac:dyDescent="0.25">
      <c r="A15" t="str">
        <f>IF(Input!A16="","",Input!A16)</f>
        <v>Schroder Strategic Index Portfolio 6</v>
      </c>
      <c r="C15" s="5"/>
      <c r="D15" s="5"/>
      <c r="E15" s="5"/>
      <c r="F15" s="5">
        <v>0.30299999999999999</v>
      </c>
      <c r="G15" s="5">
        <v>0.02</v>
      </c>
      <c r="H15" s="5"/>
      <c r="I15" s="5">
        <v>0</v>
      </c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V15" s="5">
        <v>9.0000000000000011E-3</v>
      </c>
      <c r="W15" s="5">
        <v>0</v>
      </c>
      <c r="Y15" s="5">
        <v>0.66700000000000004</v>
      </c>
      <c r="AD15" s="5">
        <v>2.6000000000000002E-2</v>
      </c>
      <c r="AE15" s="5">
        <v>3.5000000000000003E-2</v>
      </c>
      <c r="AG15" s="5">
        <v>6.9999999999999993E-3</v>
      </c>
      <c r="AH15" s="5">
        <v>0.61499999999999999</v>
      </c>
      <c r="AI15" s="5">
        <v>4.9000000000000002E-2</v>
      </c>
      <c r="AL15" s="5">
        <v>3.6000000000000004E-2</v>
      </c>
      <c r="AN15" s="5">
        <v>6.2E-2</v>
      </c>
      <c r="AP15" s="5">
        <v>4.8000000000000001E-2</v>
      </c>
      <c r="AQ15" s="5">
        <v>6.9999999999999993E-3</v>
      </c>
      <c r="AS15" s="5">
        <v>6.0000000000000001E-3</v>
      </c>
      <c r="AT15" s="5">
        <v>9.0000000000000011E-3</v>
      </c>
      <c r="AV15" s="5">
        <v>0.13100000000000001</v>
      </c>
      <c r="AW15" s="5">
        <v>0.29600000000000004</v>
      </c>
      <c r="AX15" s="5">
        <v>3.5000000000000003E-2</v>
      </c>
      <c r="AZ15" s="5">
        <v>4.2999999999999997E-2</v>
      </c>
      <c r="BA15" s="5">
        <v>7.0999999999999994E-2</v>
      </c>
      <c r="BB15" s="5">
        <v>5.7999999999999996E-2</v>
      </c>
      <c r="BC15" s="5">
        <v>0.191</v>
      </c>
      <c r="BD15" s="5">
        <v>3.6000000000000004E-2</v>
      </c>
      <c r="BE15" s="5">
        <v>9.8000000000000004E-2</v>
      </c>
      <c r="BF15" s="5">
        <v>0.11199999999999999</v>
      </c>
      <c r="BG15" s="5">
        <v>7.5999999999999998E-2</v>
      </c>
      <c r="BH15" s="5">
        <v>7.2000000000000008E-2</v>
      </c>
      <c r="BI15" s="5">
        <v>3.9E-2</v>
      </c>
      <c r="BJ15" s="5">
        <v>4.0999999999999995E-2</v>
      </c>
      <c r="BL15" s="5">
        <v>0.115</v>
      </c>
      <c r="BP15" s="12">
        <v>0.02</v>
      </c>
      <c r="BS15" s="5">
        <f t="shared" si="0"/>
        <v>3.3130000000000002</v>
      </c>
    </row>
    <row r="16" spans="1:71" x14ac:dyDescent="0.25">
      <c r="A16" t="str">
        <f>IF(Input!A17="","",Input!A17)</f>
        <v>Schroder Strategic Index Portfolio 7</v>
      </c>
      <c r="C16" s="5"/>
      <c r="D16" s="5"/>
      <c r="E16" s="5"/>
      <c r="F16" s="5">
        <v>0.191</v>
      </c>
      <c r="G16" s="5">
        <v>0.02</v>
      </c>
      <c r="H16" s="5"/>
      <c r="I16" s="5">
        <v>0</v>
      </c>
      <c r="J16" s="5"/>
      <c r="K16" s="5"/>
      <c r="L16" s="5"/>
      <c r="M16" s="5"/>
      <c r="N16" s="5"/>
      <c r="O16" s="5"/>
      <c r="Q16" s="5"/>
      <c r="R16" s="5"/>
      <c r="S16" s="5"/>
      <c r="T16" s="5"/>
      <c r="V16" s="5">
        <v>9.0000000000000011E-3</v>
      </c>
      <c r="W16" s="5">
        <v>0</v>
      </c>
      <c r="Y16" s="5">
        <v>0.78</v>
      </c>
      <c r="AD16" s="5">
        <v>3.4000000000000002E-2</v>
      </c>
      <c r="AE16" s="5">
        <v>4.9000000000000002E-2</v>
      </c>
      <c r="AG16" s="5">
        <v>8.0000000000000002E-3</v>
      </c>
      <c r="AH16" s="5">
        <v>0.70799999999999996</v>
      </c>
      <c r="AI16" s="5">
        <v>6.8000000000000005E-2</v>
      </c>
      <c r="AL16" s="5">
        <v>4.0999999999999995E-2</v>
      </c>
      <c r="AN16" s="5">
        <v>7.0999999999999994E-2</v>
      </c>
      <c r="AP16" s="5">
        <v>5.5E-2</v>
      </c>
      <c r="AQ16" s="5">
        <v>9.0000000000000011E-3</v>
      </c>
      <c r="AS16" s="5">
        <v>8.0000000000000002E-3</v>
      </c>
      <c r="AT16" s="5">
        <v>1.1000000000000001E-2</v>
      </c>
      <c r="AV16" s="5">
        <v>0.15</v>
      </c>
      <c r="AW16" s="5">
        <v>0.33899999999999997</v>
      </c>
      <c r="AX16" s="5">
        <v>4.0999999999999995E-2</v>
      </c>
      <c r="AZ16" s="5">
        <v>5.0999999999999997E-2</v>
      </c>
      <c r="BA16" s="5">
        <v>8.4000000000000005E-2</v>
      </c>
      <c r="BB16" s="5">
        <v>6.8000000000000005E-2</v>
      </c>
      <c r="BC16" s="5">
        <v>0.11800000000000001</v>
      </c>
      <c r="BD16" s="5">
        <v>4.2000000000000003E-2</v>
      </c>
      <c r="BE16" s="5">
        <v>0.11699999999999999</v>
      </c>
      <c r="BF16" s="5">
        <v>7.2999999999999995E-2</v>
      </c>
      <c r="BG16" s="5">
        <v>8.8000000000000009E-2</v>
      </c>
      <c r="BH16" s="5">
        <v>8.4000000000000005E-2</v>
      </c>
      <c r="BI16" s="5">
        <v>4.2000000000000003E-2</v>
      </c>
      <c r="BJ16" s="5">
        <v>4.0999999999999995E-2</v>
      </c>
      <c r="BL16" s="5">
        <v>0.13600000000000001</v>
      </c>
      <c r="BP16" s="12">
        <v>0.02</v>
      </c>
      <c r="BS16" s="5">
        <f t="shared" si="0"/>
        <v>3.5359999999999996</v>
      </c>
    </row>
    <row r="17" spans="1:71" x14ac:dyDescent="0.25">
      <c r="A17" t="str">
        <f>IF(Input!A18="","",Input!A18)</f>
        <v>Schroder Strategic Index Portfolio 8</v>
      </c>
      <c r="C17" s="5"/>
      <c r="D17" s="5"/>
      <c r="F17" s="5">
        <v>7.400000000000001E-2</v>
      </c>
      <c r="G17" s="5">
        <v>1.9E-2</v>
      </c>
      <c r="H17" s="5"/>
      <c r="I17" s="5">
        <v>0</v>
      </c>
      <c r="J17" s="5"/>
      <c r="K17" s="5"/>
      <c r="L17" s="5"/>
      <c r="M17" s="5"/>
      <c r="N17" s="5"/>
      <c r="O17" s="5"/>
      <c r="P17" s="5"/>
      <c r="Q17" s="5"/>
      <c r="R17" s="5"/>
      <c r="T17" s="5"/>
      <c r="V17" s="5">
        <v>0.01</v>
      </c>
      <c r="W17" s="5">
        <v>0</v>
      </c>
      <c r="Y17" s="5">
        <v>0.89700000000000002</v>
      </c>
      <c r="Z17" s="5"/>
      <c r="AB17" s="5"/>
      <c r="AD17" s="5">
        <v>4.5999999999999999E-2</v>
      </c>
      <c r="AE17" s="5">
        <v>7.0999999999999994E-2</v>
      </c>
      <c r="AG17" s="5">
        <v>9.0000000000000011E-3</v>
      </c>
      <c r="AH17" s="5">
        <v>0.79500000000000004</v>
      </c>
      <c r="AI17" s="5">
        <v>9.6999999999999989E-2</v>
      </c>
      <c r="AL17" s="5">
        <v>4.5999999999999999E-2</v>
      </c>
      <c r="AN17" s="5">
        <v>7.9000000000000001E-2</v>
      </c>
      <c r="AP17" s="5">
        <v>0.06</v>
      </c>
      <c r="AQ17" s="5">
        <v>1.3000000000000001E-2</v>
      </c>
      <c r="AS17" s="5">
        <v>1.1000000000000001E-2</v>
      </c>
      <c r="AT17" s="5">
        <v>1.3999999999999999E-2</v>
      </c>
      <c r="AV17" s="5">
        <v>0.16600000000000001</v>
      </c>
      <c r="AW17" s="5">
        <v>0.377</v>
      </c>
      <c r="AX17" s="5">
        <v>4.9000000000000002E-2</v>
      </c>
      <c r="AZ17" s="5">
        <v>0.06</v>
      </c>
      <c r="BA17" s="5">
        <v>9.6999999999999989E-2</v>
      </c>
      <c r="BB17" s="5">
        <v>7.8E-2</v>
      </c>
      <c r="BC17" s="5">
        <v>3.5000000000000003E-2</v>
      </c>
      <c r="BD17" s="5">
        <v>4.9000000000000002E-2</v>
      </c>
      <c r="BE17" s="5">
        <v>0.13800000000000001</v>
      </c>
      <c r="BF17" s="5">
        <v>3.9E-2</v>
      </c>
      <c r="BG17" s="5">
        <v>9.9000000000000005E-2</v>
      </c>
      <c r="BH17" s="5">
        <v>9.6000000000000002E-2</v>
      </c>
      <c r="BI17" s="5">
        <v>4.4000000000000004E-2</v>
      </c>
      <c r="BJ17" s="5">
        <v>4.2000000000000003E-2</v>
      </c>
      <c r="BL17" s="5">
        <v>0.159</v>
      </c>
      <c r="BP17" s="12">
        <v>1.9E-2</v>
      </c>
      <c r="BS17" s="5">
        <f t="shared" si="0"/>
        <v>3.7689999999999997</v>
      </c>
    </row>
    <row r="18" spans="1:71" x14ac:dyDescent="0.25">
      <c r="A18" t="str">
        <f>IF(Input!A19="","",Input!A19)</f>
        <v>Schroder Strategic Index Portfolio 9</v>
      </c>
      <c r="C18" s="5"/>
      <c r="D18" s="5"/>
      <c r="F18" s="5">
        <v>0</v>
      </c>
      <c r="G18" s="5">
        <v>2.2000000000000002E-2</v>
      </c>
      <c r="H18" s="5"/>
      <c r="I18" s="5">
        <v>0</v>
      </c>
      <c r="J18" s="5"/>
      <c r="K18" s="5"/>
      <c r="L18" s="5"/>
      <c r="M18" s="5"/>
      <c r="N18" s="5"/>
      <c r="O18" s="5"/>
      <c r="Q18" s="5"/>
      <c r="R18" s="5"/>
      <c r="T18" s="5"/>
      <c r="U18" s="5"/>
      <c r="V18" s="5">
        <v>9.0000000000000011E-3</v>
      </c>
      <c r="W18" s="5">
        <v>0</v>
      </c>
      <c r="Y18" s="5">
        <v>0.96900000000000008</v>
      </c>
      <c r="Z18" s="5"/>
      <c r="AD18" s="5">
        <v>7.4999999999999997E-2</v>
      </c>
      <c r="AE18" s="5">
        <v>0.126</v>
      </c>
      <c r="AG18" s="5">
        <v>0.01</v>
      </c>
      <c r="AH18" s="5">
        <v>0.79400000000000004</v>
      </c>
      <c r="AI18" s="5">
        <v>0.17300000000000001</v>
      </c>
      <c r="AL18" s="5">
        <v>4.2999999999999997E-2</v>
      </c>
      <c r="AN18" s="5">
        <v>7.4999999999999997E-2</v>
      </c>
      <c r="AP18" s="5">
        <v>5.5999999999999994E-2</v>
      </c>
      <c r="AQ18" s="5">
        <v>2.4E-2</v>
      </c>
      <c r="AS18" s="5">
        <v>1.9E-2</v>
      </c>
      <c r="AT18" s="5">
        <v>1.9E-2</v>
      </c>
      <c r="AV18" s="5">
        <v>0.158</v>
      </c>
      <c r="AW18" s="5">
        <v>0.36299999999999999</v>
      </c>
      <c r="AX18" s="5">
        <v>5.5999999999999994E-2</v>
      </c>
      <c r="AY18" s="5">
        <v>2.2000000000000002E-2</v>
      </c>
      <c r="AZ18" s="5">
        <v>7.0999999999999994E-2</v>
      </c>
      <c r="BA18" s="5">
        <v>0.11</v>
      </c>
      <c r="BB18" s="5">
        <v>8.3000000000000004E-2</v>
      </c>
      <c r="BD18" s="5">
        <v>5.2999999999999999E-2</v>
      </c>
      <c r="BE18" s="5">
        <v>0.159</v>
      </c>
      <c r="BG18" s="5">
        <v>0.10300000000000001</v>
      </c>
      <c r="BH18" s="5">
        <v>0.10099999999999999</v>
      </c>
      <c r="BI18" s="5">
        <v>1E-3</v>
      </c>
      <c r="BJ18" s="5">
        <v>0.02</v>
      </c>
      <c r="BL18" s="5">
        <v>0.183</v>
      </c>
      <c r="BM18" s="5">
        <v>2.7999999999999997E-2</v>
      </c>
      <c r="BR18" s="12">
        <v>0.13</v>
      </c>
      <c r="BS18" s="5">
        <f t="shared" si="0"/>
        <v>3.9250000000000003</v>
      </c>
    </row>
    <row r="19" spans="1:71" x14ac:dyDescent="0.25">
      <c r="A19" t="str">
        <f>IF(Input!A20="","",Input!A20)</f>
        <v>Schroder Strategic Index Portfolio 10</v>
      </c>
      <c r="C19" s="5"/>
      <c r="D19" s="5"/>
      <c r="E19" s="5"/>
      <c r="F19" s="5">
        <v>0</v>
      </c>
      <c r="G19" s="5">
        <v>2.1000000000000001E-2</v>
      </c>
      <c r="H19" s="5"/>
      <c r="I19" s="5">
        <v>0</v>
      </c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V19" s="5">
        <v>6.9999999999999993E-3</v>
      </c>
      <c r="W19" s="5">
        <v>0</v>
      </c>
      <c r="X19" s="5"/>
      <c r="Y19" s="5">
        <v>0.97199999999999998</v>
      </c>
      <c r="AB19" s="5">
        <v>1.3999999999999999E-2</v>
      </c>
      <c r="AD19" s="5">
        <v>0.128</v>
      </c>
      <c r="AE19" s="5">
        <v>0.218</v>
      </c>
      <c r="AH19" s="5">
        <v>0.67099999999999993</v>
      </c>
      <c r="AI19" s="5">
        <v>0.29899999999999999</v>
      </c>
      <c r="AL19" s="5">
        <v>3.2000000000000001E-2</v>
      </c>
      <c r="AN19" s="5">
        <v>5.7000000000000002E-2</v>
      </c>
      <c r="AP19" s="5">
        <v>4.0999999999999995E-2</v>
      </c>
      <c r="AQ19" s="5">
        <v>4.0999999999999995E-2</v>
      </c>
      <c r="AS19" s="5">
        <v>3.3000000000000002E-2</v>
      </c>
      <c r="AT19" s="5">
        <v>2.3E-2</v>
      </c>
      <c r="AV19" s="5">
        <v>0.11599999999999999</v>
      </c>
      <c r="AW19" s="5">
        <v>0.26800000000000002</v>
      </c>
      <c r="AX19" s="5">
        <v>6.2E-2</v>
      </c>
      <c r="AY19" s="5">
        <v>2.1000000000000001E-2</v>
      </c>
      <c r="AZ19" s="5">
        <v>7.8E-2</v>
      </c>
      <c r="BA19" s="5">
        <v>0.114</v>
      </c>
      <c r="BB19" s="5">
        <v>7.5999999999999998E-2</v>
      </c>
      <c r="BD19" s="5">
        <v>5.2999999999999999E-2</v>
      </c>
      <c r="BE19" s="5">
        <v>0.17399999999999999</v>
      </c>
      <c r="BG19" s="5">
        <v>8.5999999999999993E-2</v>
      </c>
      <c r="BH19" s="5">
        <v>9.1999999999999998E-2</v>
      </c>
      <c r="BI19" s="5">
        <v>0</v>
      </c>
      <c r="BJ19" s="5">
        <v>0.02</v>
      </c>
      <c r="BL19" s="5">
        <v>0.18899999999999997</v>
      </c>
      <c r="BM19" s="5">
        <v>2.7000000000000003E-2</v>
      </c>
      <c r="BR19" s="12">
        <v>8.5999999999999993E-2</v>
      </c>
      <c r="BS19" s="5">
        <f t="shared" si="0"/>
        <v>3.9329999999999994</v>
      </c>
    </row>
    <row r="20" spans="1:71" x14ac:dyDescent="0.25">
      <c r="A20" t="str">
        <f>IF(Input!A21="","",Input!A21)</f>
        <v>Schroder Sustainable Portfolio 3</v>
      </c>
      <c r="C20" s="5"/>
      <c r="D20" s="5"/>
      <c r="E20" s="5"/>
      <c r="F20" s="5">
        <v>0.56399999999999995</v>
      </c>
      <c r="G20" s="5">
        <v>0.124</v>
      </c>
      <c r="H20" s="5"/>
      <c r="I20" s="5">
        <v>6.9999999999999993E-3</v>
      </c>
      <c r="J20" s="5"/>
      <c r="K20" s="5"/>
      <c r="L20" s="5"/>
      <c r="M20" s="5"/>
      <c r="N20" s="5"/>
      <c r="O20" s="5"/>
      <c r="P20" s="5"/>
      <c r="Q20" s="5"/>
      <c r="R20" s="5"/>
      <c r="T20" s="5"/>
      <c r="V20" s="5">
        <v>5.2999999999999999E-2</v>
      </c>
      <c r="W20" s="5">
        <v>0</v>
      </c>
      <c r="X20" s="5"/>
      <c r="Y20" s="5">
        <v>0.253</v>
      </c>
      <c r="AB20" s="5"/>
      <c r="AD20" s="5">
        <v>8.0000000000000002E-3</v>
      </c>
      <c r="AE20" s="5">
        <v>1.3999999999999999E-2</v>
      </c>
      <c r="AF20" s="5">
        <v>3.0000000000000001E-3</v>
      </c>
      <c r="AG20" s="5">
        <v>3.0000000000000001E-3</v>
      </c>
      <c r="AH20" s="5">
        <v>0.23699999999999999</v>
      </c>
      <c r="AI20" s="5">
        <v>1.4999999999999999E-2</v>
      </c>
      <c r="AL20" s="5">
        <v>1.3999999999999999E-2</v>
      </c>
      <c r="AN20" s="5">
        <v>3.9E-2</v>
      </c>
      <c r="AP20" s="5">
        <v>1.4999999999999999E-2</v>
      </c>
      <c r="AQ20" s="5">
        <v>1E-3</v>
      </c>
      <c r="AT20" s="5">
        <v>0</v>
      </c>
      <c r="AV20" s="5">
        <v>2.5000000000000001E-2</v>
      </c>
      <c r="AW20" s="5">
        <v>0.13</v>
      </c>
      <c r="AY20" s="5">
        <v>9.0999999999999998E-2</v>
      </c>
      <c r="AZ20" s="5">
        <v>0.02</v>
      </c>
      <c r="BA20" s="5">
        <v>1.9E-2</v>
      </c>
      <c r="BC20" s="5">
        <v>0.16699999999999998</v>
      </c>
      <c r="BE20" s="5">
        <v>2.6000000000000002E-2</v>
      </c>
      <c r="BF20" s="5">
        <v>0.39799999999999996</v>
      </c>
      <c r="BG20" s="5">
        <v>2.3E-2</v>
      </c>
      <c r="BH20" s="5">
        <v>5.5999999999999994E-2</v>
      </c>
      <c r="BI20" s="5">
        <v>3.7999999999999999E-2</v>
      </c>
      <c r="BJ20" s="5">
        <v>2.7999999999999997E-2</v>
      </c>
      <c r="BK20" s="5">
        <v>2.7000000000000003E-2</v>
      </c>
      <c r="BL20" s="5">
        <v>5.0999999999999997E-2</v>
      </c>
      <c r="BM20" s="5">
        <v>1.3999999999999999E-2</v>
      </c>
      <c r="BN20" s="12">
        <v>0.23199999999999998</v>
      </c>
      <c r="BS20" s="5">
        <f t="shared" si="0"/>
        <v>2.4629999999999992</v>
      </c>
    </row>
    <row r="21" spans="1:71" x14ac:dyDescent="0.25">
      <c r="A21" t="str">
        <f>IF(Input!A22="","",Input!A22)</f>
        <v>Schroder Sustainable Portfolio 4</v>
      </c>
      <c r="C21" s="5"/>
      <c r="D21" s="5"/>
      <c r="E21" s="5"/>
      <c r="F21" s="5">
        <v>0.42299999999999999</v>
      </c>
      <c r="G21" s="5">
        <v>8.8000000000000009E-2</v>
      </c>
      <c r="H21" s="5"/>
      <c r="I21" s="5">
        <v>6.9999999999999993E-3</v>
      </c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V21" s="5">
        <v>6.2E-2</v>
      </c>
      <c r="W21" s="5">
        <v>0</v>
      </c>
      <c r="X21" s="5"/>
      <c r="Y21" s="5">
        <v>0.41899999999999998</v>
      </c>
      <c r="AD21" s="5">
        <v>1.8000000000000002E-2</v>
      </c>
      <c r="AE21" s="5">
        <v>0.03</v>
      </c>
      <c r="AF21" s="5">
        <v>5.0000000000000001E-3</v>
      </c>
      <c r="AG21" s="5">
        <v>3.0000000000000001E-3</v>
      </c>
      <c r="AH21" s="5">
        <v>0.38200000000000001</v>
      </c>
      <c r="AI21" s="5">
        <v>3.5000000000000003E-2</v>
      </c>
      <c r="AL21" s="5">
        <v>2.4E-2</v>
      </c>
      <c r="AN21" s="5">
        <v>6.4000000000000001E-2</v>
      </c>
      <c r="AP21" s="5">
        <v>2.4E-2</v>
      </c>
      <c r="AQ21" s="5">
        <v>3.0000000000000001E-3</v>
      </c>
      <c r="AT21" s="5">
        <v>2E-3</v>
      </c>
      <c r="AV21" s="5">
        <v>0.04</v>
      </c>
      <c r="AW21" s="5">
        <v>0.20499999999999999</v>
      </c>
      <c r="AX21" s="5">
        <v>0.02</v>
      </c>
      <c r="AY21" s="5">
        <v>6.3E-2</v>
      </c>
      <c r="AZ21" s="5">
        <v>3.4000000000000002E-2</v>
      </c>
      <c r="BA21" s="5">
        <v>3.4000000000000002E-2</v>
      </c>
      <c r="BC21" s="5">
        <v>0.14099999999999999</v>
      </c>
      <c r="BE21" s="5">
        <v>4.5999999999999999E-2</v>
      </c>
      <c r="BF21" s="5">
        <v>0.28800000000000003</v>
      </c>
      <c r="BG21" s="5">
        <v>3.9E-2</v>
      </c>
      <c r="BH21" s="5">
        <v>9.0999999999999998E-2</v>
      </c>
      <c r="BI21" s="5">
        <v>5.4000000000000006E-2</v>
      </c>
      <c r="BJ21" s="5">
        <v>3.3000000000000002E-2</v>
      </c>
      <c r="BL21" s="5">
        <v>8.6999999999999994E-2</v>
      </c>
      <c r="BM21" s="5">
        <v>2.1000000000000001E-2</v>
      </c>
      <c r="BN21" s="12">
        <v>0.27200000000000002</v>
      </c>
      <c r="BS21" s="5">
        <f t="shared" si="0"/>
        <v>2.7850000000000001</v>
      </c>
    </row>
    <row r="22" spans="1:71" x14ac:dyDescent="0.25">
      <c r="A22" t="str">
        <f>IF(Input!A23="","",Input!A23)</f>
        <v>Schroder Sustainable Portfolio 5</v>
      </c>
      <c r="C22" s="5"/>
      <c r="D22" s="5"/>
      <c r="F22" s="5">
        <v>0.33799999999999997</v>
      </c>
      <c r="G22" s="5">
        <v>8.1000000000000003E-2</v>
      </c>
      <c r="H22" s="5"/>
      <c r="I22" s="5">
        <v>6.9999999999999993E-3</v>
      </c>
      <c r="J22" s="5"/>
      <c r="K22" s="5"/>
      <c r="L22" s="5"/>
      <c r="M22" s="5"/>
      <c r="N22" s="5"/>
      <c r="O22" s="5"/>
      <c r="Q22" s="5"/>
      <c r="R22" s="5"/>
      <c r="T22" s="5"/>
      <c r="U22" s="5"/>
      <c r="V22" s="5">
        <v>6.2E-2</v>
      </c>
      <c r="W22" s="5">
        <v>0</v>
      </c>
      <c r="Y22" s="5">
        <v>0.51200000000000001</v>
      </c>
      <c r="Z22" s="5"/>
      <c r="AD22" s="5">
        <v>2.4E-2</v>
      </c>
      <c r="AE22" s="5">
        <v>0.04</v>
      </c>
      <c r="AF22" s="5">
        <v>5.0000000000000001E-3</v>
      </c>
      <c r="AG22" s="5">
        <v>4.0000000000000001E-3</v>
      </c>
      <c r="AH22" s="5">
        <v>0.46299999999999997</v>
      </c>
      <c r="AI22" s="5">
        <v>4.7E-2</v>
      </c>
      <c r="AL22" s="5">
        <v>2.8999999999999998E-2</v>
      </c>
      <c r="AN22" s="5">
        <v>7.6999999999999999E-2</v>
      </c>
      <c r="AP22" s="5">
        <v>2.8999999999999998E-2</v>
      </c>
      <c r="AQ22" s="5">
        <v>4.0000000000000001E-3</v>
      </c>
      <c r="AT22" s="5">
        <v>3.0000000000000001E-3</v>
      </c>
      <c r="AV22" s="5">
        <v>4.8000000000000001E-2</v>
      </c>
      <c r="AW22" s="5">
        <v>0.247</v>
      </c>
      <c r="AX22" s="5">
        <v>2.5000000000000001E-2</v>
      </c>
      <c r="AY22" s="5">
        <v>5.5E-2</v>
      </c>
      <c r="AZ22" s="5">
        <v>4.2999999999999997E-2</v>
      </c>
      <c r="BA22" s="5">
        <v>4.2999999999999997E-2</v>
      </c>
      <c r="BC22" s="5">
        <v>0.13400000000000001</v>
      </c>
      <c r="BE22" s="5">
        <v>5.7999999999999996E-2</v>
      </c>
      <c r="BF22" s="5">
        <v>0.21100000000000002</v>
      </c>
      <c r="BG22" s="5">
        <v>4.8000000000000001E-2</v>
      </c>
      <c r="BH22" s="5">
        <v>0.111</v>
      </c>
      <c r="BI22" s="5">
        <v>5.7999999999999996E-2</v>
      </c>
      <c r="BJ22" s="5">
        <v>3.4000000000000002E-2</v>
      </c>
      <c r="BL22" s="5">
        <v>0.10800000000000001</v>
      </c>
      <c r="BM22" s="5">
        <v>2.5000000000000001E-2</v>
      </c>
      <c r="BN22" s="12">
        <v>0.28399999999999997</v>
      </c>
      <c r="BS22" s="5">
        <f t="shared" si="0"/>
        <v>2.9729999999999994</v>
      </c>
    </row>
    <row r="23" spans="1:71" x14ac:dyDescent="0.25">
      <c r="A23" t="str">
        <f>IF(Input!A24="","",Input!A24)</f>
        <v>Schroder Sustainable Portfolio 6</v>
      </c>
      <c r="C23" s="5"/>
      <c r="D23" s="5"/>
      <c r="F23" s="5">
        <v>0.222</v>
      </c>
      <c r="G23" s="5">
        <v>6.4000000000000001E-2</v>
      </c>
      <c r="H23" s="5"/>
      <c r="I23" s="5">
        <v>6.9999999999999993E-3</v>
      </c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V23" s="5">
        <v>5.9000000000000004E-2</v>
      </c>
      <c r="W23" s="5">
        <v>0</v>
      </c>
      <c r="Y23" s="5">
        <v>0.64900000000000002</v>
      </c>
      <c r="AB23" s="5"/>
      <c r="AD23" s="5">
        <v>3.2000000000000001E-2</v>
      </c>
      <c r="AE23" s="5">
        <v>5.4000000000000006E-2</v>
      </c>
      <c r="AF23" s="5">
        <v>6.0000000000000001E-3</v>
      </c>
      <c r="AG23" s="5">
        <v>4.0000000000000001E-3</v>
      </c>
      <c r="AH23" s="5">
        <v>0.58399999999999996</v>
      </c>
      <c r="AI23" s="5">
        <v>6.3E-2</v>
      </c>
      <c r="AL23" s="5">
        <v>3.7000000000000005E-2</v>
      </c>
      <c r="AN23" s="5">
        <v>9.8000000000000004E-2</v>
      </c>
      <c r="AP23" s="5">
        <v>3.6000000000000004E-2</v>
      </c>
      <c r="AQ23" s="5">
        <v>6.0000000000000001E-3</v>
      </c>
      <c r="AT23" s="5">
        <v>4.0000000000000001E-3</v>
      </c>
      <c r="AV23" s="5">
        <v>0.06</v>
      </c>
      <c r="AW23" s="5">
        <v>0.31</v>
      </c>
      <c r="AX23" s="5">
        <v>3.2000000000000001E-2</v>
      </c>
      <c r="AY23" s="5">
        <v>4.4999999999999998E-2</v>
      </c>
      <c r="AZ23" s="5">
        <v>5.5E-2</v>
      </c>
      <c r="BA23" s="5">
        <v>5.5E-2</v>
      </c>
      <c r="BC23" s="5">
        <v>9.3000000000000013E-2</v>
      </c>
      <c r="BE23" s="5">
        <v>7.400000000000001E-2</v>
      </c>
      <c r="BF23" s="5">
        <v>0.13800000000000001</v>
      </c>
      <c r="BG23" s="5">
        <v>6.2E-2</v>
      </c>
      <c r="BH23" s="5">
        <v>0.14199999999999999</v>
      </c>
      <c r="BI23" s="5">
        <v>5.5999999999999994E-2</v>
      </c>
      <c r="BJ23" s="5">
        <v>3.3000000000000002E-2</v>
      </c>
      <c r="BL23" s="5">
        <v>0.14000000000000001</v>
      </c>
      <c r="BM23" s="5">
        <v>0.03</v>
      </c>
      <c r="BN23" s="12">
        <v>0.255</v>
      </c>
      <c r="BS23" s="5">
        <f t="shared" si="0"/>
        <v>3.2499999999999996</v>
      </c>
    </row>
    <row r="24" spans="1:71" x14ac:dyDescent="0.25">
      <c r="A24" t="str">
        <f>IF(Input!A25="","",Input!A25)</f>
        <v>Schroder Sustainable Portfolio 7</v>
      </c>
      <c r="D24" s="5"/>
      <c r="E24" s="5"/>
      <c r="F24" s="5">
        <v>0.121</v>
      </c>
      <c r="G24" s="5">
        <v>5.9000000000000004E-2</v>
      </c>
      <c r="H24" s="5"/>
      <c r="I24" s="5">
        <v>6.0000000000000001E-3</v>
      </c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V24" s="5">
        <v>5.2999999999999999E-2</v>
      </c>
      <c r="W24" s="5">
        <v>0</v>
      </c>
      <c r="Y24" s="5">
        <v>0.7609999999999999</v>
      </c>
      <c r="AD24" s="5">
        <v>4.0999999999999995E-2</v>
      </c>
      <c r="AE24" s="5">
        <v>6.9000000000000006E-2</v>
      </c>
      <c r="AF24" s="5">
        <v>6.9999999999999993E-3</v>
      </c>
      <c r="AG24" s="5">
        <v>4.0000000000000001E-3</v>
      </c>
      <c r="AH24" s="5">
        <v>0.67799999999999994</v>
      </c>
      <c r="AI24" s="5">
        <v>8.1000000000000003E-2</v>
      </c>
      <c r="AL24" s="5">
        <v>4.4000000000000004E-2</v>
      </c>
      <c r="AN24" s="5">
        <v>0.114</v>
      </c>
      <c r="AP24" s="5">
        <v>4.2000000000000003E-2</v>
      </c>
      <c r="AQ24" s="5">
        <v>8.0000000000000002E-3</v>
      </c>
      <c r="AT24" s="5">
        <v>6.0000000000000001E-3</v>
      </c>
      <c r="AV24" s="5">
        <v>6.9000000000000006E-2</v>
      </c>
      <c r="AW24" s="5">
        <v>0.35600000000000004</v>
      </c>
      <c r="AX24" s="5">
        <v>3.7000000000000005E-2</v>
      </c>
      <c r="AY24" s="5">
        <v>4.5999999999999999E-2</v>
      </c>
      <c r="AZ24" s="5">
        <v>6.5000000000000002E-2</v>
      </c>
      <c r="BA24" s="5">
        <v>6.6000000000000003E-2</v>
      </c>
      <c r="BC24" s="5">
        <v>4.8000000000000001E-2</v>
      </c>
      <c r="BE24" s="5">
        <v>8.900000000000001E-2</v>
      </c>
      <c r="BF24" s="5">
        <v>8.5000000000000006E-2</v>
      </c>
      <c r="BG24" s="5">
        <v>7.2000000000000008E-2</v>
      </c>
      <c r="BH24" s="5">
        <v>0.16500000000000001</v>
      </c>
      <c r="BI24" s="5">
        <v>5.2999999999999999E-2</v>
      </c>
      <c r="BJ24" s="5">
        <v>3.2000000000000001E-2</v>
      </c>
      <c r="BL24" s="5">
        <v>0.16600000000000001</v>
      </c>
      <c r="BM24" s="5">
        <v>3.4000000000000002E-2</v>
      </c>
      <c r="BN24" s="12">
        <v>0.23899999999999999</v>
      </c>
      <c r="BS24" s="5">
        <f t="shared" si="0"/>
        <v>3.4769999999999985</v>
      </c>
    </row>
    <row r="25" spans="1:71" x14ac:dyDescent="0.25">
      <c r="A25" t="str">
        <f>IF(Input!A26="","",Input!A26)</f>
        <v>Schroder Sustainable Portfolio 8</v>
      </c>
      <c r="D25" s="5"/>
      <c r="E25" s="5"/>
      <c r="F25" s="5">
        <v>3.3000000000000002E-2</v>
      </c>
      <c r="G25" s="5">
        <v>5.0999999999999997E-2</v>
      </c>
      <c r="H25" s="5"/>
      <c r="I25" s="5">
        <v>4.0000000000000001E-3</v>
      </c>
      <c r="K25" s="5"/>
      <c r="L25" s="5"/>
      <c r="N25" s="5"/>
      <c r="O25" s="5"/>
      <c r="P25" s="5"/>
      <c r="R25" s="5"/>
      <c r="U25" s="5"/>
      <c r="V25" s="5">
        <v>3.3000000000000002E-2</v>
      </c>
      <c r="W25" s="5"/>
      <c r="Y25" s="5">
        <v>0.88</v>
      </c>
      <c r="AB25" s="5"/>
      <c r="AD25" s="5">
        <v>5.5E-2</v>
      </c>
      <c r="AE25" s="5">
        <v>8.900000000000001E-2</v>
      </c>
      <c r="AF25" s="5">
        <v>6.9999999999999993E-3</v>
      </c>
      <c r="AG25" s="5">
        <v>4.0000000000000001E-3</v>
      </c>
      <c r="AH25" s="5">
        <v>0.77099999999999991</v>
      </c>
      <c r="AI25" s="5">
        <v>0.107</v>
      </c>
      <c r="AL25" s="5">
        <v>0.05</v>
      </c>
      <c r="AN25" s="5">
        <v>0.129</v>
      </c>
      <c r="AP25" s="5">
        <v>4.8000000000000001E-2</v>
      </c>
      <c r="AQ25" s="5">
        <v>1.2E-2</v>
      </c>
      <c r="AT25" s="5">
        <v>8.0000000000000002E-3</v>
      </c>
      <c r="AV25" s="5">
        <v>7.6999999999999999E-2</v>
      </c>
      <c r="AW25" s="5">
        <v>0.4</v>
      </c>
      <c r="AX25" s="5">
        <v>4.2000000000000003E-2</v>
      </c>
      <c r="AY25" s="5">
        <v>4.5999999999999999E-2</v>
      </c>
      <c r="AZ25" s="5">
        <v>7.4999999999999997E-2</v>
      </c>
      <c r="BA25" s="5">
        <v>7.9000000000000001E-2</v>
      </c>
      <c r="BB25" s="5">
        <v>3.5000000000000003E-2</v>
      </c>
      <c r="BE25" s="5">
        <v>0.106</v>
      </c>
      <c r="BF25" s="5">
        <v>3.7000000000000005E-2</v>
      </c>
      <c r="BG25" s="5">
        <v>8.3000000000000004E-2</v>
      </c>
      <c r="BH25" s="5">
        <v>0.187</v>
      </c>
      <c r="BI25" s="5">
        <v>2.4E-2</v>
      </c>
      <c r="BJ25" s="5">
        <v>3.1E-2</v>
      </c>
      <c r="BL25" s="5">
        <v>0.19399999999999998</v>
      </c>
      <c r="BM25" s="5">
        <v>3.7000000000000005E-2</v>
      </c>
      <c r="BN25" s="12">
        <v>0.13500000000000001</v>
      </c>
      <c r="BS25" s="5">
        <f t="shared" si="0"/>
        <v>3.7339999999999995</v>
      </c>
    </row>
    <row r="26" spans="1:71" x14ac:dyDescent="0.25">
      <c r="A26" t="str">
        <f>IF(Input!A27="","",Input!A27)</f>
        <v>Schroder Blended Portfolio 3</v>
      </c>
      <c r="B26" s="5">
        <v>2.5000000000000001E-2</v>
      </c>
      <c r="C26" s="5">
        <v>8.8000000000000009E-2</v>
      </c>
      <c r="D26" s="5">
        <v>9.8000000000000004E-2</v>
      </c>
      <c r="E26" s="5"/>
      <c r="H26" s="5"/>
      <c r="K26" s="5"/>
      <c r="L26" s="5">
        <v>3.5000000000000003E-2</v>
      </c>
      <c r="M26" s="5">
        <v>6.9999999999999993E-3</v>
      </c>
      <c r="N26" s="5">
        <v>2.2000000000000002E-2</v>
      </c>
      <c r="O26" s="5">
        <v>5.9000000000000004E-2</v>
      </c>
      <c r="P26" s="5">
        <v>0.31900000000000001</v>
      </c>
      <c r="R26" s="5">
        <v>4.4000000000000004E-2</v>
      </c>
      <c r="S26" s="5">
        <v>9.0000000000000011E-3</v>
      </c>
      <c r="T26" s="5">
        <v>0.17100000000000001</v>
      </c>
      <c r="U26" s="5">
        <v>6.9999999999999993E-3</v>
      </c>
      <c r="W26" s="5"/>
      <c r="X26" s="5">
        <v>2.6000000000000002E-2</v>
      </c>
      <c r="Z26" s="5">
        <v>0.05</v>
      </c>
      <c r="AA26" s="5">
        <v>3.9E-2</v>
      </c>
      <c r="AB26" s="5"/>
      <c r="AC26" s="5">
        <v>3.9E-2</v>
      </c>
      <c r="AM26" s="5">
        <v>0.32799999999999996</v>
      </c>
      <c r="AO26" s="5">
        <v>0.46299999999999997</v>
      </c>
      <c r="AP26" s="5">
        <v>9.0000000000000011E-3</v>
      </c>
      <c r="AR26" s="5">
        <v>0.02</v>
      </c>
      <c r="AU26" s="5">
        <v>3.0000000000000001E-3</v>
      </c>
      <c r="AV26" s="5">
        <v>0.13800000000000001</v>
      </c>
      <c r="BS26" s="5">
        <f t="shared" si="0"/>
        <v>1.9990000000000001</v>
      </c>
    </row>
    <row r="27" spans="1:71" x14ac:dyDescent="0.25">
      <c r="A27" t="str">
        <f>IF(Input!A28="","",Input!A28)</f>
        <v>Schroder Blended Portfolio 4</v>
      </c>
      <c r="B27" s="5">
        <v>0.03</v>
      </c>
      <c r="C27" s="5">
        <v>7.2000000000000008E-2</v>
      </c>
      <c r="D27" s="5">
        <v>0.113</v>
      </c>
      <c r="E27" s="5"/>
      <c r="H27" s="5"/>
      <c r="K27" s="5"/>
      <c r="L27" s="5">
        <v>0.03</v>
      </c>
      <c r="M27" s="5">
        <v>1.2E-2</v>
      </c>
      <c r="N27" s="5">
        <v>0.04</v>
      </c>
      <c r="O27" s="5">
        <v>0.10400000000000001</v>
      </c>
      <c r="P27" s="5">
        <v>0.20800000000000002</v>
      </c>
      <c r="R27" s="5">
        <v>3.7000000000000005E-2</v>
      </c>
      <c r="S27" s="5">
        <v>1.7000000000000001E-2</v>
      </c>
      <c r="T27" s="5">
        <v>0.13500000000000001</v>
      </c>
      <c r="U27" s="5">
        <v>1.3000000000000001E-2</v>
      </c>
      <c r="W27" s="5"/>
      <c r="X27" s="5">
        <v>0.03</v>
      </c>
      <c r="Z27" s="5">
        <v>8.4000000000000005E-2</v>
      </c>
      <c r="AA27" s="5">
        <v>7.0999999999999994E-2</v>
      </c>
      <c r="AB27" s="5"/>
      <c r="AC27" s="5">
        <v>7.0999999999999994E-2</v>
      </c>
      <c r="AM27" s="5">
        <v>0.27899999999999997</v>
      </c>
      <c r="AO27" s="5">
        <v>0.46899999999999997</v>
      </c>
      <c r="AP27" s="5">
        <v>1.7000000000000001E-2</v>
      </c>
      <c r="AR27" s="5">
        <v>2.3E-2</v>
      </c>
      <c r="AU27" s="5">
        <v>6.0000000000000001E-3</v>
      </c>
      <c r="AV27" s="5">
        <v>0.13600000000000001</v>
      </c>
      <c r="BS27" s="5">
        <f t="shared" si="0"/>
        <v>1.9969999999999999</v>
      </c>
    </row>
    <row r="28" spans="1:71" x14ac:dyDescent="0.25">
      <c r="A28" t="str">
        <f>IF(Input!A29="","",Input!A29)</f>
        <v>Schroder Blended Portfolio 5</v>
      </c>
      <c r="B28" s="5">
        <v>0.03</v>
      </c>
      <c r="C28" s="5">
        <v>6.8000000000000005E-2</v>
      </c>
      <c r="D28" s="5">
        <v>0.114</v>
      </c>
      <c r="E28" s="5"/>
      <c r="H28" s="5"/>
      <c r="L28" s="5">
        <v>2.7999999999999997E-2</v>
      </c>
      <c r="M28" s="5">
        <v>1.7000000000000001E-2</v>
      </c>
      <c r="N28" s="5">
        <v>4.8000000000000001E-2</v>
      </c>
      <c r="O28" s="5">
        <v>0.128</v>
      </c>
      <c r="P28" s="5">
        <v>0.13100000000000001</v>
      </c>
      <c r="R28" s="5">
        <v>3.4000000000000002E-2</v>
      </c>
      <c r="S28" s="5">
        <v>0.02</v>
      </c>
      <c r="T28" s="5">
        <v>0.13900000000000001</v>
      </c>
      <c r="U28" s="5">
        <v>1.6E-2</v>
      </c>
      <c r="W28" s="5"/>
      <c r="X28" s="5">
        <v>0.03</v>
      </c>
      <c r="Z28" s="5">
        <v>0.10199999999999999</v>
      </c>
      <c r="AA28" s="5">
        <v>8.900000000000001E-2</v>
      </c>
      <c r="AB28" s="5"/>
      <c r="AC28" s="5">
        <v>8.900000000000001E-2</v>
      </c>
      <c r="AM28" s="5">
        <v>0.24199999999999999</v>
      </c>
      <c r="AO28" s="5">
        <v>0.46399999999999997</v>
      </c>
      <c r="AP28" s="5">
        <v>0.02</v>
      </c>
      <c r="AR28" s="5">
        <v>2.7000000000000003E-2</v>
      </c>
      <c r="AU28" s="5">
        <v>8.0000000000000002E-3</v>
      </c>
      <c r="AV28" s="5">
        <v>0.15</v>
      </c>
      <c r="BS28" s="5">
        <f t="shared" si="0"/>
        <v>1.994</v>
      </c>
    </row>
    <row r="29" spans="1:71" x14ac:dyDescent="0.25">
      <c r="A29" t="str">
        <f>IF(Input!A30="","",Input!A30)</f>
        <v>Schroder Blended Portfolio 6</v>
      </c>
      <c r="B29" s="5">
        <v>2.7999999999999997E-2</v>
      </c>
      <c r="C29" s="5">
        <v>4.5999999999999999E-2</v>
      </c>
      <c r="D29" s="5">
        <v>0.11</v>
      </c>
      <c r="G29" s="5"/>
      <c r="I29" s="5"/>
      <c r="J29" s="5"/>
      <c r="K29" s="5"/>
      <c r="L29" s="5">
        <v>1.8000000000000002E-2</v>
      </c>
      <c r="M29" s="5">
        <v>2.8999999999999998E-2</v>
      </c>
      <c r="N29" s="5">
        <v>5.9000000000000004E-2</v>
      </c>
      <c r="O29" s="5">
        <v>0.17399999999999999</v>
      </c>
      <c r="P29" s="5">
        <v>7.4999999999999997E-2</v>
      </c>
      <c r="R29" s="5">
        <v>2.4E-2</v>
      </c>
      <c r="S29" s="5">
        <v>2.5000000000000001E-2</v>
      </c>
      <c r="T29" s="5">
        <v>0.11199999999999999</v>
      </c>
      <c r="U29" s="5">
        <v>1.9E-2</v>
      </c>
      <c r="X29" s="5">
        <v>2.7999999999999997E-2</v>
      </c>
      <c r="Z29" s="5">
        <v>0.127</v>
      </c>
      <c r="AA29" s="5">
        <v>0.114</v>
      </c>
      <c r="AC29" s="5">
        <v>0.114</v>
      </c>
      <c r="AM29" s="5">
        <v>0.20899999999999999</v>
      </c>
      <c r="AO29" s="5">
        <v>0.45700000000000002</v>
      </c>
      <c r="AP29" s="5">
        <v>2.5000000000000001E-2</v>
      </c>
      <c r="AR29" s="5">
        <v>2.2000000000000002E-2</v>
      </c>
      <c r="AU29" s="5">
        <v>1.3000000000000001E-2</v>
      </c>
      <c r="AV29" s="5">
        <v>0.16</v>
      </c>
      <c r="BS29" s="5">
        <f t="shared" si="0"/>
        <v>1.988</v>
      </c>
    </row>
    <row r="30" spans="1:71" x14ac:dyDescent="0.25">
      <c r="A30" t="str">
        <f>IF(Input!A31="","",Input!A31)</f>
        <v>Schroder Blended Portfolio 7</v>
      </c>
      <c r="B30" s="5">
        <v>2.5000000000000001E-2</v>
      </c>
      <c r="C30" s="5">
        <v>0.02</v>
      </c>
      <c r="D30" s="5">
        <v>9.6000000000000002E-2</v>
      </c>
      <c r="E30" s="5">
        <v>1.9E-2</v>
      </c>
      <c r="G30" s="5"/>
      <c r="I30" s="5"/>
      <c r="J30" s="5"/>
      <c r="L30" s="5"/>
      <c r="M30" s="5">
        <v>0.04</v>
      </c>
      <c r="N30" s="5">
        <v>6.8000000000000005E-2</v>
      </c>
      <c r="O30" s="5">
        <v>0.21600000000000003</v>
      </c>
      <c r="P30" s="5">
        <v>3.7999999999999999E-2</v>
      </c>
      <c r="R30" s="5">
        <v>0.01</v>
      </c>
      <c r="S30" s="5">
        <v>2.7999999999999997E-2</v>
      </c>
      <c r="T30" s="5">
        <v>0.10800000000000001</v>
      </c>
      <c r="U30" s="5">
        <v>2.4E-2</v>
      </c>
      <c r="X30" s="5">
        <v>2.6000000000000002E-2</v>
      </c>
      <c r="Z30" s="5">
        <v>0.14400000000000002</v>
      </c>
      <c r="AA30" s="5">
        <v>0.129</v>
      </c>
      <c r="AC30" s="5">
        <v>0.129</v>
      </c>
      <c r="AM30" s="5">
        <v>0.18100000000000002</v>
      </c>
      <c r="AO30" s="5">
        <v>0.43799999999999994</v>
      </c>
      <c r="AP30" s="5">
        <v>2.7999999999999997E-2</v>
      </c>
      <c r="AR30" s="5">
        <v>2.7999999999999997E-2</v>
      </c>
      <c r="AU30" s="5">
        <v>1.9E-2</v>
      </c>
      <c r="AV30" s="5">
        <v>0.17499999999999999</v>
      </c>
      <c r="BS30" s="5">
        <f t="shared" si="0"/>
        <v>1.9890000000000001</v>
      </c>
    </row>
    <row r="31" spans="1:71" x14ac:dyDescent="0.25">
      <c r="A31" t="str">
        <f>IF(Input!A32="","",Input!A32)</f>
        <v>Schroder Blended Portfolio 8</v>
      </c>
      <c r="B31" s="5">
        <v>1.4999999999999999E-2</v>
      </c>
      <c r="D31" s="5">
        <v>0.06</v>
      </c>
      <c r="E31" s="5">
        <v>2.7999999999999997E-2</v>
      </c>
      <c r="G31" s="5"/>
      <c r="H31" s="5"/>
      <c r="I31" s="5"/>
      <c r="L31" s="5"/>
      <c r="M31" s="5">
        <v>0.06</v>
      </c>
      <c r="N31" s="5">
        <v>7.8E-2</v>
      </c>
      <c r="O31" s="5">
        <v>0.26</v>
      </c>
      <c r="P31" s="5">
        <v>1.6E-2</v>
      </c>
      <c r="Q31" s="5"/>
      <c r="S31" s="5">
        <v>3.2000000000000001E-2</v>
      </c>
      <c r="T31" s="5">
        <v>9.8000000000000004E-2</v>
      </c>
      <c r="U31" s="5">
        <v>2.5000000000000001E-2</v>
      </c>
      <c r="X31" s="5">
        <v>2.4E-2</v>
      </c>
      <c r="Z31" s="5">
        <v>0.156</v>
      </c>
      <c r="AA31" s="5">
        <v>0.14699999999999999</v>
      </c>
      <c r="AC31" s="5">
        <v>0.14699999999999999</v>
      </c>
      <c r="AM31" s="5">
        <v>0.157</v>
      </c>
      <c r="AO31" s="5">
        <v>0.42200000000000004</v>
      </c>
      <c r="AP31" s="5">
        <v>3.2000000000000001E-2</v>
      </c>
      <c r="AR31" s="5">
        <v>2.5000000000000001E-2</v>
      </c>
      <c r="AU31" s="5">
        <v>2.7999999999999997E-2</v>
      </c>
      <c r="AV31" s="5">
        <v>0.18899999999999997</v>
      </c>
      <c r="BS31" s="5">
        <f t="shared" si="0"/>
        <v>1.9990000000000001</v>
      </c>
    </row>
    <row r="32" spans="1:71" x14ac:dyDescent="0.25">
      <c r="A32" t="str">
        <f>IF(Input!A33="","",Input!A33)</f>
        <v>Schroder Income Portfolio</v>
      </c>
      <c r="D32" s="5"/>
      <c r="E32" s="5">
        <v>2E-3</v>
      </c>
      <c r="G32" s="5"/>
      <c r="H32" s="5"/>
      <c r="L32" s="5">
        <v>2.7999999999999997E-2</v>
      </c>
      <c r="M32" s="5">
        <v>3.1E-2</v>
      </c>
      <c r="N32" s="5">
        <v>4.8000000000000001E-2</v>
      </c>
      <c r="O32" s="5">
        <v>9.8000000000000004E-2</v>
      </c>
      <c r="P32" s="5">
        <v>0.13100000000000001</v>
      </c>
      <c r="Q32" s="5">
        <v>9.5000000000000001E-2</v>
      </c>
      <c r="R32" s="5">
        <v>0.158</v>
      </c>
      <c r="S32" s="5"/>
      <c r="T32" s="5">
        <v>0.115</v>
      </c>
      <c r="V32" s="5">
        <v>0.05</v>
      </c>
      <c r="X32" s="5">
        <v>0.03</v>
      </c>
      <c r="Z32" s="5">
        <v>0.109</v>
      </c>
      <c r="AA32" s="5">
        <v>0.105</v>
      </c>
      <c r="AC32" s="5">
        <v>4.7E-2</v>
      </c>
      <c r="AJ32" s="5">
        <v>4.8000000000000001E-2</v>
      </c>
      <c r="AM32" s="5">
        <v>0.14899999999999999</v>
      </c>
      <c r="AR32" s="5">
        <v>2.5000000000000001E-2</v>
      </c>
      <c r="AT32" s="5">
        <v>0.433</v>
      </c>
      <c r="AU32" s="5">
        <v>8.0000000000000002E-3</v>
      </c>
      <c r="AV32" s="5">
        <v>0.28999999999999998</v>
      </c>
      <c r="BS32" s="5">
        <f t="shared" si="0"/>
        <v>2</v>
      </c>
    </row>
    <row r="33" spans="1:71" x14ac:dyDescent="0.25">
      <c r="A33" t="str">
        <f>IF(Input!A34="","",Input!A34)</f>
        <v>Schroder Managed Defensive Fund</v>
      </c>
      <c r="C33" s="5"/>
      <c r="D33" s="5"/>
      <c r="E33" s="5"/>
      <c r="G33" s="5"/>
      <c r="H33" s="5">
        <v>1.2E-2</v>
      </c>
      <c r="J33" s="5">
        <v>9.6999999999999989E-2</v>
      </c>
      <c r="L33" s="5"/>
      <c r="M33" s="5">
        <v>8.0000000000000002E-3</v>
      </c>
      <c r="N33" s="5">
        <v>1.3000000000000001E-2</v>
      </c>
      <c r="O33" s="5"/>
      <c r="P33" s="5">
        <v>0.2</v>
      </c>
      <c r="Q33" s="5"/>
      <c r="R33" s="5"/>
      <c r="S33" s="5">
        <v>1.1000000000000001E-2</v>
      </c>
      <c r="T33" s="5">
        <v>0.55500000000000005</v>
      </c>
      <c r="Z33" s="5">
        <v>5.0000000000000001E-3</v>
      </c>
      <c r="AA33" s="5">
        <v>9.9000000000000005E-2</v>
      </c>
      <c r="BP33" s="12">
        <v>0.53100000000000003</v>
      </c>
      <c r="BQ33" s="12">
        <v>2.2000000000000002E-2</v>
      </c>
      <c r="BS33" s="5">
        <f t="shared" si="0"/>
        <v>1.0000000000000002</v>
      </c>
    </row>
    <row r="34" spans="1:71" x14ac:dyDescent="0.25">
      <c r="A34" t="str">
        <f>IF(Input!A35="","",Input!A35)</f>
        <v>Schroder Global Multi-Asset Cautious Portfolio</v>
      </c>
      <c r="D34" s="5"/>
      <c r="E34" s="5"/>
      <c r="G34" s="5"/>
      <c r="H34" s="5">
        <v>6.9999999999999993E-3</v>
      </c>
      <c r="J34" s="5">
        <v>6.3E-2</v>
      </c>
      <c r="L34" s="5">
        <v>1.4999999999999999E-2</v>
      </c>
      <c r="M34" s="5">
        <v>9.0000000000000011E-3</v>
      </c>
      <c r="N34" s="5">
        <v>1.4999999999999999E-2</v>
      </c>
      <c r="O34" s="5">
        <v>0.17100000000000001</v>
      </c>
      <c r="P34" s="5">
        <v>0.29199999999999998</v>
      </c>
      <c r="Q34" s="5"/>
      <c r="R34" s="5">
        <v>0.32200000000000001</v>
      </c>
      <c r="S34" s="5">
        <v>8.0000000000000002E-3</v>
      </c>
      <c r="T34" s="5">
        <v>3.7999999999999999E-2</v>
      </c>
      <c r="Z34" s="5">
        <v>5.2999999999999999E-2</v>
      </c>
      <c r="AA34" s="5">
        <v>5.0000000000000001E-3</v>
      </c>
      <c r="BP34" s="12">
        <v>3.7999999999999999E-2</v>
      </c>
      <c r="BS34" s="5">
        <f t="shared" si="0"/>
        <v>0.99800000000000022</v>
      </c>
    </row>
    <row r="35" spans="1:71" x14ac:dyDescent="0.25">
      <c r="A35" t="str">
        <f>IF(Input!A36="","",Input!A36)</f>
        <v>Schroder Global Multi-Asset Moderately Cautious Portfolio</v>
      </c>
      <c r="D35" s="5"/>
      <c r="H35" s="5">
        <v>8.0000000000000002E-3</v>
      </c>
      <c r="J35" s="5">
        <v>3.6000000000000004E-2</v>
      </c>
      <c r="L35" s="5">
        <v>1.3999999999999999E-2</v>
      </c>
      <c r="M35" s="5">
        <v>1.1000000000000001E-2</v>
      </c>
      <c r="N35" s="5">
        <v>2.4E-2</v>
      </c>
      <c r="O35" s="5">
        <v>0.28699999999999998</v>
      </c>
      <c r="P35" s="5">
        <v>0.21</v>
      </c>
      <c r="R35" s="5">
        <v>0.29299999999999998</v>
      </c>
      <c r="S35" s="5">
        <v>1.6E-2</v>
      </c>
      <c r="T35" s="5">
        <v>5.0000000000000001E-3</v>
      </c>
      <c r="Z35" s="5">
        <v>8.5999999999999993E-2</v>
      </c>
      <c r="AA35" s="5">
        <v>0.01</v>
      </c>
      <c r="BS35" s="5">
        <f t="shared" si="0"/>
        <v>1</v>
      </c>
    </row>
    <row r="36" spans="1:71" x14ac:dyDescent="0.25">
      <c r="A36" t="str">
        <f>IF(Input!A37="","",Input!A37)</f>
        <v>Schroder Schroder Global Multi-Asset Balanced Portfolio</v>
      </c>
      <c r="D36" s="5"/>
      <c r="H36" s="5">
        <v>8.0000000000000002E-3</v>
      </c>
      <c r="J36" s="5">
        <v>0.02</v>
      </c>
      <c r="L36" s="5">
        <v>1.3999999999999999E-2</v>
      </c>
      <c r="M36" s="5">
        <v>1.8000000000000002E-2</v>
      </c>
      <c r="N36" s="5">
        <v>2.8999999999999998E-2</v>
      </c>
      <c r="O36" s="5">
        <v>0.34299999999999997</v>
      </c>
      <c r="P36" s="5">
        <v>0.14300000000000002</v>
      </c>
      <c r="R36" s="5">
        <v>0.28399999999999997</v>
      </c>
      <c r="S36" s="5">
        <v>1.7000000000000001E-2</v>
      </c>
      <c r="T36" s="5">
        <v>4.0000000000000001E-3</v>
      </c>
      <c r="Z36" s="5">
        <v>0.106</v>
      </c>
      <c r="AA36" s="5">
        <v>1.2E-2</v>
      </c>
      <c r="BS36" s="5">
        <f t="shared" si="0"/>
        <v>0.998</v>
      </c>
    </row>
    <row r="37" spans="1:71" x14ac:dyDescent="0.25">
      <c r="A37" t="str">
        <f>IF(Input!A38="","",Input!A38)</f>
        <v>Schroder Global Multi-Asset Growth Portfolio</v>
      </c>
      <c r="D37" s="5"/>
      <c r="H37" s="5">
        <v>8.0000000000000002E-3</v>
      </c>
      <c r="J37" s="5">
        <v>1.3999999999999999E-2</v>
      </c>
      <c r="L37" s="5">
        <v>1.4999999999999999E-2</v>
      </c>
      <c r="M37" s="5">
        <v>0.04</v>
      </c>
      <c r="N37" s="5">
        <v>3.7999999999999999E-2</v>
      </c>
      <c r="O37" s="5">
        <v>0.41399999999999998</v>
      </c>
      <c r="P37" s="5">
        <v>7.2999999999999995E-2</v>
      </c>
      <c r="R37" s="5">
        <v>0.218</v>
      </c>
      <c r="S37" s="5">
        <v>2.2000000000000002E-2</v>
      </c>
      <c r="T37" s="5">
        <v>6.0000000000000001E-3</v>
      </c>
      <c r="Z37" s="5">
        <v>0.129</v>
      </c>
      <c r="AA37" s="5">
        <v>2.2000000000000002E-2</v>
      </c>
      <c r="BS37" s="5">
        <f t="shared" si="0"/>
        <v>0.99899999999999989</v>
      </c>
    </row>
    <row r="38" spans="1:71" x14ac:dyDescent="0.25">
      <c r="A38" t="str">
        <f>IF(Input!A39="","",Input!A39)</f>
        <v>Schroder Global Multi-Asset Adventurous Portfolio</v>
      </c>
      <c r="D38" s="5"/>
      <c r="H38" s="5">
        <v>8.0000000000000002E-3</v>
      </c>
      <c r="J38" s="5">
        <v>1.3000000000000001E-2</v>
      </c>
      <c r="L38" s="5">
        <v>1.4999999999999999E-2</v>
      </c>
      <c r="M38" s="5">
        <v>6.9000000000000006E-2</v>
      </c>
      <c r="N38" s="5">
        <v>4.9000000000000002E-2</v>
      </c>
      <c r="O38" s="5">
        <v>0.42100000000000004</v>
      </c>
      <c r="P38" s="5">
        <v>3.3000000000000002E-2</v>
      </c>
      <c r="R38" s="5">
        <v>0.14599999999999999</v>
      </c>
      <c r="S38" s="5">
        <v>2.8999999999999998E-2</v>
      </c>
      <c r="T38" s="5">
        <v>4.0000000000000001E-3</v>
      </c>
      <c r="Z38" s="5">
        <v>0.153</v>
      </c>
      <c r="AA38" s="5">
        <v>0.06</v>
      </c>
      <c r="BS38" s="5">
        <f t="shared" si="0"/>
        <v>1.0000000000000002</v>
      </c>
    </row>
    <row r="39" spans="1:71" x14ac:dyDescent="0.25">
      <c r="A39" t="str">
        <f>IF(Input!A40="","",Input!A40)</f>
        <v/>
      </c>
      <c r="D39" s="5"/>
    </row>
    <row r="40" spans="1:71" x14ac:dyDescent="0.25">
      <c r="A40" t="str">
        <f>IF(Input!A41="","",Input!A41)</f>
        <v/>
      </c>
      <c r="D40" s="5"/>
    </row>
    <row r="41" spans="1:71" x14ac:dyDescent="0.25">
      <c r="A41" t="str">
        <f>IF(Input!A42="","",Input!A42)</f>
        <v/>
      </c>
      <c r="D41" s="5"/>
    </row>
    <row r="42" spans="1:71" x14ac:dyDescent="0.25">
      <c r="A42" t="str">
        <f>IF(Input!A43="","",Input!A43)</f>
        <v/>
      </c>
      <c r="D42" s="5"/>
    </row>
    <row r="43" spans="1:71" x14ac:dyDescent="0.25">
      <c r="A43" t="str">
        <f>IF(Input!A44="","",Input!A44)</f>
        <v/>
      </c>
      <c r="D43" s="5"/>
    </row>
    <row r="44" spans="1:71" x14ac:dyDescent="0.25">
      <c r="A44" t="str">
        <f>IF(Input!A45="","",Input!A45)</f>
        <v/>
      </c>
      <c r="D44" s="5"/>
    </row>
    <row r="45" spans="1:71" x14ac:dyDescent="0.25">
      <c r="A45" t="str">
        <f>IF(Input!A46="","",Input!A46)</f>
        <v/>
      </c>
      <c r="D45" s="5"/>
    </row>
    <row r="46" spans="1:71" x14ac:dyDescent="0.25">
      <c r="A46" t="str">
        <f>IF(Input!A47="","",Input!A47)</f>
        <v/>
      </c>
      <c r="D46" s="5"/>
    </row>
    <row r="47" spans="1:71" x14ac:dyDescent="0.25">
      <c r="A47" t="str">
        <f>IF(Input!A48="","",Input!A48)</f>
        <v/>
      </c>
      <c r="D47" s="5"/>
    </row>
    <row r="48" spans="1:71" x14ac:dyDescent="0.25">
      <c r="A48" t="str">
        <f>IF(Input!A49="","",Input!A49)</f>
        <v/>
      </c>
      <c r="D48" s="5"/>
    </row>
    <row r="49" spans="1:4" x14ac:dyDescent="0.25">
      <c r="A49" t="str">
        <f>IF(Input!A50="","",Input!A50)</f>
        <v/>
      </c>
      <c r="D49" s="5"/>
    </row>
    <row r="50" spans="1:4" x14ac:dyDescent="0.25">
      <c r="A50" t="str">
        <f>IF(Input!A51="","",Input!A51)</f>
        <v/>
      </c>
      <c r="D50" s="5"/>
    </row>
    <row r="51" spans="1:4" x14ac:dyDescent="0.25">
      <c r="D51" s="5"/>
    </row>
    <row r="52" spans="1:4" x14ac:dyDescent="0.25">
      <c r="D52" s="5"/>
    </row>
    <row r="53" spans="1:4" x14ac:dyDescent="0.25">
      <c r="D53" s="5"/>
    </row>
    <row r="54" spans="1:4" x14ac:dyDescent="0.25">
      <c r="D54" s="5"/>
    </row>
    <row r="55" spans="1:4" x14ac:dyDescent="0.25">
      <c r="D55" s="5"/>
    </row>
    <row r="56" spans="1:4" x14ac:dyDescent="0.25">
      <c r="D56" s="5"/>
    </row>
    <row r="57" spans="1:4" x14ac:dyDescent="0.25">
      <c r="D57" s="5"/>
    </row>
    <row r="58" spans="1:4" x14ac:dyDescent="0.25">
      <c r="D58" s="5"/>
    </row>
    <row r="59" spans="1:4" x14ac:dyDescent="0.25">
      <c r="D59" s="5"/>
    </row>
    <row r="60" spans="1:4" x14ac:dyDescent="0.25">
      <c r="D60" s="5"/>
    </row>
    <row r="61" spans="1:4" x14ac:dyDescent="0.25">
      <c r="D61" s="5"/>
    </row>
    <row r="62" spans="1:4" x14ac:dyDescent="0.25">
      <c r="D62" s="5"/>
    </row>
    <row r="63" spans="1:4" x14ac:dyDescent="0.25"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49"/>
  <sheetViews>
    <sheetView zoomScale="70" zoomScaleNormal="70" workbookViewId="0">
      <selection activeCell="D33" sqref="D33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5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41</v>
      </c>
      <c r="C2" t="s">
        <v>32</v>
      </c>
      <c r="D2" s="8" t="s">
        <v>112</v>
      </c>
    </row>
    <row r="3" spans="1:5" x14ac:dyDescent="0.25">
      <c r="A3" t="str">
        <f>IF(Input!A4="","",Input!A4)</f>
        <v>Schroder Active Portfolio 3</v>
      </c>
      <c r="B3" t="s">
        <v>42</v>
      </c>
      <c r="C3" t="s">
        <v>33</v>
      </c>
      <c r="D3" s="8" t="s">
        <v>113</v>
      </c>
    </row>
    <row r="4" spans="1:5" x14ac:dyDescent="0.25">
      <c r="A4" t="str">
        <f>IF(Input!A5="","",Input!A5)</f>
        <v>Schroder Active Portfolio 4</v>
      </c>
      <c r="B4" t="s">
        <v>43</v>
      </c>
      <c r="C4" t="s">
        <v>34</v>
      </c>
      <c r="D4" s="8" t="s">
        <v>114</v>
      </c>
    </row>
    <row r="5" spans="1:5" x14ac:dyDescent="0.25">
      <c r="A5" t="str">
        <f>IF(Input!A6="","",Input!A6)</f>
        <v>Schroder Active Portfolio 5</v>
      </c>
      <c r="B5" t="s">
        <v>44</v>
      </c>
      <c r="C5" t="s">
        <v>35</v>
      </c>
      <c r="D5" s="8" t="s">
        <v>115</v>
      </c>
    </row>
    <row r="6" spans="1:5" x14ac:dyDescent="0.25">
      <c r="A6" t="str">
        <f>IF(Input!A7="","",Input!A7)</f>
        <v>Schroder Active Portfolio 6</v>
      </c>
      <c r="B6" t="s">
        <v>45</v>
      </c>
      <c r="C6" s="10" t="s">
        <v>36</v>
      </c>
      <c r="D6" s="8" t="s">
        <v>116</v>
      </c>
    </row>
    <row r="7" spans="1:5" x14ac:dyDescent="0.25">
      <c r="A7" t="str">
        <f>IF(Input!A8="","",Input!A8)</f>
        <v>Schroder Active Portfolio 7</v>
      </c>
      <c r="B7" t="s">
        <v>46</v>
      </c>
      <c r="C7" s="10" t="s">
        <v>37</v>
      </c>
      <c r="D7" s="8" t="s">
        <v>117</v>
      </c>
    </row>
    <row r="8" spans="1:5" x14ac:dyDescent="0.25">
      <c r="A8" t="str">
        <f>IF(Input!A9="","",Input!A9)</f>
        <v>Schroder Active Portfolio 8</v>
      </c>
      <c r="B8" t="s">
        <v>47</v>
      </c>
      <c r="C8" s="10" t="s">
        <v>38</v>
      </c>
      <c r="D8" s="8" t="s">
        <v>118</v>
      </c>
    </row>
    <row r="9" spans="1:5" x14ac:dyDescent="0.25">
      <c r="A9" t="str">
        <f>IF(Input!A10="","",Input!A10)</f>
        <v>Schroder Active Portfolio 9</v>
      </c>
      <c r="B9" t="s">
        <v>48</v>
      </c>
      <c r="C9" s="10" t="s">
        <v>39</v>
      </c>
      <c r="D9" s="8" t="s">
        <v>119</v>
      </c>
    </row>
    <row r="10" spans="1:5" x14ac:dyDescent="0.25">
      <c r="A10" t="str">
        <f>IF(Input!A11="","",Input!A11)</f>
        <v>Schroder Active Portfolio 10</v>
      </c>
      <c r="B10" t="s">
        <v>49</v>
      </c>
      <c r="C10" s="10" t="s">
        <v>40</v>
      </c>
      <c r="D10" s="8" t="s">
        <v>120</v>
      </c>
    </row>
    <row r="11" spans="1:5" x14ac:dyDescent="0.25">
      <c r="A11" t="str">
        <f>IF(Input!A12="","",Input!A12)</f>
        <v>Schroder Strategic Index Portfolio 2</v>
      </c>
      <c r="B11" t="s">
        <v>59</v>
      </c>
      <c r="C11" s="10" t="s">
        <v>50</v>
      </c>
      <c r="D11" s="8" t="s">
        <v>121</v>
      </c>
    </row>
    <row r="12" spans="1:5" x14ac:dyDescent="0.25">
      <c r="A12" t="str">
        <f>IF(Input!A13="","",Input!A13)</f>
        <v>Schroder Strategic Index Portfolio 3</v>
      </c>
      <c r="B12" t="s">
        <v>60</v>
      </c>
      <c r="C12" s="10" t="s">
        <v>51</v>
      </c>
      <c r="D12" s="8" t="s">
        <v>122</v>
      </c>
    </row>
    <row r="13" spans="1:5" x14ac:dyDescent="0.25">
      <c r="A13" t="str">
        <f>IF(Input!A14="","",Input!A14)</f>
        <v>Schroder Strategic Index Portfolio 4</v>
      </c>
      <c r="B13" t="s">
        <v>61</v>
      </c>
      <c r="C13" t="s">
        <v>52</v>
      </c>
      <c r="D13" s="8" t="s">
        <v>123</v>
      </c>
    </row>
    <row r="14" spans="1:5" x14ac:dyDescent="0.25">
      <c r="A14" t="str">
        <f>IF(Input!A15="","",Input!A15)</f>
        <v>Schroder Strategic Index Portfolio 5</v>
      </c>
      <c r="B14" t="s">
        <v>62</v>
      </c>
      <c r="C14" t="s">
        <v>53</v>
      </c>
      <c r="D14" s="8" t="s">
        <v>124</v>
      </c>
    </row>
    <row r="15" spans="1:5" x14ac:dyDescent="0.25">
      <c r="A15" t="str">
        <f>IF(Input!A16="","",Input!A16)</f>
        <v>Schroder Strategic Index Portfolio 6</v>
      </c>
      <c r="B15" t="s">
        <v>63</v>
      </c>
      <c r="C15" t="s">
        <v>54</v>
      </c>
      <c r="D15" s="8" t="s">
        <v>125</v>
      </c>
    </row>
    <row r="16" spans="1:5" x14ac:dyDescent="0.25">
      <c r="A16" t="str">
        <f>IF(Input!A17="","",Input!A17)</f>
        <v>Schroder Strategic Index Portfolio 7</v>
      </c>
      <c r="B16" t="s">
        <v>64</v>
      </c>
      <c r="C16" t="s">
        <v>55</v>
      </c>
      <c r="D16" s="8" t="s">
        <v>126</v>
      </c>
    </row>
    <row r="17" spans="1:4" x14ac:dyDescent="0.25">
      <c r="A17" t="str">
        <f>IF(Input!A18="","",Input!A18)</f>
        <v>Schroder Strategic Index Portfolio 8</v>
      </c>
      <c r="B17" t="s">
        <v>65</v>
      </c>
      <c r="C17" t="s">
        <v>56</v>
      </c>
      <c r="D17" s="8" t="s">
        <v>127</v>
      </c>
    </row>
    <row r="18" spans="1:4" x14ac:dyDescent="0.25">
      <c r="A18" t="str">
        <f>IF(Input!A19="","",Input!A19)</f>
        <v>Schroder Strategic Index Portfolio 9</v>
      </c>
      <c r="B18" t="s">
        <v>66</v>
      </c>
      <c r="C18" t="s">
        <v>57</v>
      </c>
      <c r="D18" s="8" t="s">
        <v>128</v>
      </c>
    </row>
    <row r="19" spans="1:4" x14ac:dyDescent="0.25">
      <c r="A19" t="str">
        <f>IF(Input!A20="","",Input!A20)</f>
        <v>Schroder Strategic Index Portfolio 10</v>
      </c>
      <c r="B19" t="s">
        <v>67</v>
      </c>
      <c r="C19" t="s">
        <v>58</v>
      </c>
      <c r="D19" s="8" t="s">
        <v>129</v>
      </c>
    </row>
    <row r="20" spans="1:4" x14ac:dyDescent="0.25">
      <c r="A20" t="str">
        <f>IF(Input!A21="","",Input!A21)</f>
        <v>Schroder Sustainable Portfolio 3</v>
      </c>
      <c r="B20" t="s">
        <v>74</v>
      </c>
      <c r="C20" t="s">
        <v>68</v>
      </c>
      <c r="D20" s="8" t="s">
        <v>130</v>
      </c>
    </row>
    <row r="21" spans="1:4" x14ac:dyDescent="0.25">
      <c r="A21" t="str">
        <f>IF(Input!A22="","",Input!A22)</f>
        <v>Schroder Sustainable Portfolio 4</v>
      </c>
      <c r="B21" t="s">
        <v>75</v>
      </c>
      <c r="C21" t="s">
        <v>69</v>
      </c>
      <c r="D21" s="8" t="s">
        <v>131</v>
      </c>
    </row>
    <row r="22" spans="1:4" x14ac:dyDescent="0.25">
      <c r="A22" t="str">
        <f>IF(Input!A23="","",Input!A23)</f>
        <v>Schroder Sustainable Portfolio 5</v>
      </c>
      <c r="B22" s="4" t="s">
        <v>109</v>
      </c>
      <c r="C22" t="s">
        <v>70</v>
      </c>
      <c r="D22" s="8" t="s">
        <v>132</v>
      </c>
    </row>
    <row r="23" spans="1:4" x14ac:dyDescent="0.25">
      <c r="A23" t="str">
        <f>IF(Input!A24="","",Input!A24)</f>
        <v>Schroder Sustainable Portfolio 6</v>
      </c>
      <c r="B23" t="s">
        <v>76</v>
      </c>
      <c r="C23" t="s">
        <v>71</v>
      </c>
      <c r="D23" s="8" t="s">
        <v>133</v>
      </c>
    </row>
    <row r="24" spans="1:4" x14ac:dyDescent="0.25">
      <c r="A24" t="str">
        <f>IF(Input!A25="","",Input!A25)</f>
        <v>Schroder Sustainable Portfolio 7</v>
      </c>
      <c r="B24" t="s">
        <v>77</v>
      </c>
      <c r="C24" t="s">
        <v>72</v>
      </c>
      <c r="D24" s="8" t="s">
        <v>134</v>
      </c>
    </row>
    <row r="25" spans="1:4" x14ac:dyDescent="0.25">
      <c r="A25" t="str">
        <f>IF(Input!A26="","",Input!A26)</f>
        <v>Schroder Sustainable Portfolio 8</v>
      </c>
      <c r="B25" t="s">
        <v>78</v>
      </c>
      <c r="C25" t="s">
        <v>73</v>
      </c>
      <c r="D25" s="8" t="s">
        <v>135</v>
      </c>
    </row>
    <row r="26" spans="1:4" x14ac:dyDescent="0.25">
      <c r="A26" t="str">
        <f>IF(Input!A27="","",Input!A27)</f>
        <v>Schroder Blended Portfolio 3</v>
      </c>
      <c r="B26" t="s">
        <v>85</v>
      </c>
      <c r="C26" t="s">
        <v>79</v>
      </c>
      <c r="D26" s="8" t="s">
        <v>136</v>
      </c>
    </row>
    <row r="27" spans="1:4" x14ac:dyDescent="0.25">
      <c r="A27" t="str">
        <f>IF(Input!A28="","",Input!A28)</f>
        <v>Schroder Blended Portfolio 4</v>
      </c>
      <c r="B27" t="s">
        <v>86</v>
      </c>
      <c r="C27" t="s">
        <v>80</v>
      </c>
      <c r="D27" s="8" t="s">
        <v>137</v>
      </c>
    </row>
    <row r="28" spans="1:4" x14ac:dyDescent="0.25">
      <c r="A28" t="str">
        <f>IF(Input!A29="","",Input!A29)</f>
        <v>Schroder Blended Portfolio 5</v>
      </c>
      <c r="B28" s="10" t="s">
        <v>87</v>
      </c>
      <c r="C28" t="s">
        <v>81</v>
      </c>
      <c r="D28" s="8" t="s">
        <v>138</v>
      </c>
    </row>
    <row r="29" spans="1:4" x14ac:dyDescent="0.25">
      <c r="A29" t="str">
        <f>IF(Input!A30="","",Input!A30)</f>
        <v>Schroder Blended Portfolio 6</v>
      </c>
      <c r="B29" s="10" t="s">
        <v>88</v>
      </c>
      <c r="C29" t="s">
        <v>82</v>
      </c>
      <c r="D29" s="8" t="s">
        <v>139</v>
      </c>
    </row>
    <row r="30" spans="1:4" x14ac:dyDescent="0.25">
      <c r="A30" t="str">
        <f>IF(Input!A31="","",Input!A31)</f>
        <v>Schroder Blended Portfolio 7</v>
      </c>
      <c r="B30" s="10" t="s">
        <v>89</v>
      </c>
      <c r="C30" t="s">
        <v>83</v>
      </c>
      <c r="D30" s="8" t="s">
        <v>140</v>
      </c>
    </row>
    <row r="31" spans="1:4" x14ac:dyDescent="0.25">
      <c r="A31" t="str">
        <f>IF(Input!A32="","",Input!A32)</f>
        <v>Schroder Blended Portfolio 8</v>
      </c>
      <c r="B31" s="10" t="s">
        <v>90</v>
      </c>
      <c r="C31" t="s">
        <v>84</v>
      </c>
      <c r="D31" s="8" t="s">
        <v>141</v>
      </c>
    </row>
    <row r="32" spans="1:4" x14ac:dyDescent="0.25">
      <c r="A32" t="str">
        <f>IF(Input!A33="","",Input!A33)</f>
        <v>Schroder Income Portfolio</v>
      </c>
      <c r="B32" s="10" t="s">
        <v>92</v>
      </c>
      <c r="C32" t="s">
        <v>110</v>
      </c>
      <c r="D32" s="8" t="s">
        <v>148</v>
      </c>
    </row>
    <row r="33" spans="1:4" x14ac:dyDescent="0.25">
      <c r="A33" t="str">
        <f>IF(Input!A34="","",Input!A34)</f>
        <v>Schroder Managed Defensive Fund</v>
      </c>
      <c r="B33" s="10" t="s">
        <v>94</v>
      </c>
      <c r="C33" t="s">
        <v>111</v>
      </c>
      <c r="D33" s="8" t="s">
        <v>142</v>
      </c>
    </row>
    <row r="34" spans="1:4" x14ac:dyDescent="0.25">
      <c r="A34" t="str">
        <f>IF(Input!A35="","",Input!A35)</f>
        <v>Schroder Global Multi-Asset Cautious Portfolio</v>
      </c>
      <c r="B34" s="10" t="s">
        <v>96</v>
      </c>
      <c r="C34" t="s">
        <v>95</v>
      </c>
      <c r="D34" s="8" t="s">
        <v>143</v>
      </c>
    </row>
    <row r="35" spans="1:4" x14ac:dyDescent="0.25">
      <c r="A35" t="str">
        <f>IF(Input!A36="","",Input!A36)</f>
        <v>Schroder Global Multi-Asset Moderately Cautious Portfolio</v>
      </c>
      <c r="B35" s="10" t="s">
        <v>98</v>
      </c>
      <c r="C35" t="s">
        <v>97</v>
      </c>
      <c r="D35" s="8" t="s">
        <v>144</v>
      </c>
    </row>
    <row r="36" spans="1:4" x14ac:dyDescent="0.25">
      <c r="A36" t="str">
        <f>IF(Input!A37="","",Input!A37)</f>
        <v>Schroder Schroder Global Multi-Asset Balanced Portfolio</v>
      </c>
      <c r="B36" s="10" t="s">
        <v>100</v>
      </c>
      <c r="C36" t="s">
        <v>99</v>
      </c>
      <c r="D36" s="8" t="s">
        <v>145</v>
      </c>
    </row>
    <row r="37" spans="1:4" x14ac:dyDescent="0.25">
      <c r="A37" t="str">
        <f>IF(Input!A38="","",Input!A38)</f>
        <v>Schroder Global Multi-Asset Growth Portfolio</v>
      </c>
      <c r="B37" s="10" t="s">
        <v>102</v>
      </c>
      <c r="C37" t="s">
        <v>101</v>
      </c>
      <c r="D37" s="8" t="s">
        <v>146</v>
      </c>
    </row>
    <row r="38" spans="1:4" x14ac:dyDescent="0.25">
      <c r="A38" t="str">
        <f>IF(Input!A39="","",Input!A39)</f>
        <v>Schroder Global Multi-Asset Adventurous Portfolio</v>
      </c>
      <c r="B38" s="10" t="s">
        <v>104</v>
      </c>
      <c r="C38" t="s">
        <v>103</v>
      </c>
      <c r="D38" s="8" t="s">
        <v>147</v>
      </c>
    </row>
    <row r="39" spans="1:4" x14ac:dyDescent="0.25">
      <c r="A39" t="str">
        <f>IF(Input!A41="","",Input!A41)</f>
        <v/>
      </c>
      <c r="B39" s="10"/>
    </row>
    <row r="40" spans="1:4" x14ac:dyDescent="0.25">
      <c r="A40" t="str">
        <f>IF(Input!A42="","",Input!A42)</f>
        <v/>
      </c>
      <c r="B40" s="10"/>
    </row>
    <row r="41" spans="1:4" x14ac:dyDescent="0.25">
      <c r="A41" t="str">
        <f>IF(Input!A43="","",Input!A43)</f>
        <v/>
      </c>
      <c r="B41" s="10"/>
    </row>
    <row r="42" spans="1:4" x14ac:dyDescent="0.25">
      <c r="A42" t="str">
        <f>IF(Input!A44="","",Input!A44)</f>
        <v/>
      </c>
    </row>
    <row r="43" spans="1:4" x14ac:dyDescent="0.25">
      <c r="A43" t="str">
        <f>IF(Input!A45="","",Input!A45)</f>
        <v/>
      </c>
    </row>
    <row r="44" spans="1:4" x14ac:dyDescent="0.25">
      <c r="A44" t="str">
        <f>IF(Input!A46="","",Input!A46)</f>
        <v/>
      </c>
    </row>
    <row r="45" spans="1:4" x14ac:dyDescent="0.25">
      <c r="A45" t="str">
        <f>IF(Input!A47="","",Input!A47)</f>
        <v/>
      </c>
    </row>
    <row r="46" spans="1:4" x14ac:dyDescent="0.25">
      <c r="A46" t="str">
        <f>IF(Input!A48="","",Input!A48)</f>
        <v/>
      </c>
    </row>
    <row r="47" spans="1:4" x14ac:dyDescent="0.25">
      <c r="A47" t="str">
        <f>IF(Input!A49="","",Input!A49)</f>
        <v/>
      </c>
    </row>
    <row r="48" spans="1:4" x14ac:dyDescent="0.25">
      <c r="A48" t="str">
        <f>IF(Input!A50="","",Input!A50)</f>
        <v/>
      </c>
    </row>
    <row r="49" spans="1:1" x14ac:dyDescent="0.25">
      <c r="A49" t="str">
        <f>IF(Input!A51="","",Input!A51)</f>
        <v/>
      </c>
    </row>
  </sheetData>
  <conditionalFormatting sqref="D2:D38">
    <cfRule type="duplicateValues" dxfId="3" priority="1"/>
    <cfRule type="duplicateValues" dxfId="2" priority="2"/>
    <cfRule type="duplicateValues" dxfId="1" priority="3"/>
    <cfRule type="duplicateValues" dxfId="0" priority="4"/>
  </conditionalFormatting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45138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45138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45138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45138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45138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45138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45138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45138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45138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45138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45138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45138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45138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45138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45138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45138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45138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45138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45138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45138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45138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45138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45138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45138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45169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45169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45169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45169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45169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45169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45169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45169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45169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45169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45169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45169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45169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1E-3</v>
      </c>
      <c r="C2" t="e">
        <f>IF(A2="","",'Additional Information'!#REF!)</f>
        <v>#REF!</v>
      </c>
      <c r="D2" s="5">
        <f>IF(A2="","",SUM('Additional Information'!C2,'Additional Information'!D2))</f>
        <v>6.8000000000000005E-3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-2E-3</v>
      </c>
      <c r="C3" t="e">
        <f>IF(A3="","",'Additional Information'!#REF!)</f>
        <v>#REF!</v>
      </c>
      <c r="D3" s="5">
        <f>IF(A3="","",SUM('Additional Information'!C3,'Additional Information'!D3))</f>
        <v>8.0999999999999996E-3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5.0000000000000001E-3</v>
      </c>
      <c r="C4" t="e">
        <f>IF(A4="","",'Additional Information'!#REF!)</f>
        <v>#REF!</v>
      </c>
      <c r="D4" s="5">
        <f>IF(A4="","",SUM('Additional Information'!C4,'Additional Information'!D4))</f>
        <v>8.8000000000000005E-3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1.1000000000000001E-2</v>
      </c>
      <c r="C5" t="e">
        <f>IF(A5="","",'Additional Information'!#REF!)</f>
        <v>#REF!</v>
      </c>
      <c r="D5" s="5">
        <f>IF(A5="","",SUM('Additional Information'!C5,'Additional Information'!D5))</f>
        <v>9.1999999999999998E-3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0.02</v>
      </c>
      <c r="C6" t="e">
        <f>IF(A6="","",'Additional Information'!#REF!)</f>
        <v>#REF!</v>
      </c>
      <c r="D6" s="5">
        <f>IF(A6="","",SUM('Additional Information'!C6,'Additional Information'!D6))</f>
        <v>9.6000000000000009E-3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2.8999999999999998E-2</v>
      </c>
      <c r="C7" t="e">
        <f>IF(A7="","",'Additional Information'!#REF!)</f>
        <v>#REF!</v>
      </c>
      <c r="D7" s="5">
        <f>IF(A7="","",SUM('Additional Information'!C7,'Additional Information'!D7))</f>
        <v>9.7999999999999997E-3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3.9E-2</v>
      </c>
      <c r="C8" t="e">
        <f>IF(A8="","",'Additional Information'!#REF!)</f>
        <v>#REF!</v>
      </c>
      <c r="D8" s="5">
        <f>IF(A8="","",SUM('Additional Information'!C8,'Additional Information'!D8))</f>
        <v>0.01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5.5E-2</v>
      </c>
      <c r="C9" t="e">
        <f>IF(A9="","",'Additional Information'!#REF!)</f>
        <v>#REF!</v>
      </c>
      <c r="D9" s="5">
        <f>IF(A9="","",SUM('Additional Information'!C9,'Additional Information'!D9))</f>
        <v>1.0199999999999999E-2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4.5999999999999999E-2</v>
      </c>
      <c r="C10" t="e">
        <f>IF(A10="","",'Additional Information'!#REF!)</f>
        <v>#REF!</v>
      </c>
      <c r="D10" s="5">
        <f>IF(A10="","",SUM('Additional Information'!C10,'Additional Information'!D10))</f>
        <v>1.0500000000000001E-2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-5.0000000000000001E-3</v>
      </c>
      <c r="C11" t="e">
        <f>IF(A11="","",'Additional Information'!#REF!)</f>
        <v>#REF!</v>
      </c>
      <c r="D11" s="5">
        <f>IF(A11="","",SUM('Additional Information'!C11,'Additional Information'!D11))</f>
        <v>3.8999999999999998E-3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-8.0000000000000002E-3</v>
      </c>
      <c r="C12" t="e">
        <f>IF(A12="","",'Additional Information'!#REF!)</f>
        <v>#REF!</v>
      </c>
      <c r="D12" s="5">
        <f>IF(A12="","",SUM('Additional Information'!C12,'Additional Information'!D12))</f>
        <v>3.8999999999999998E-3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6.9999999999999993E-3</v>
      </c>
      <c r="C13" t="e">
        <f>IF(A13="","",'Additional Information'!#REF!)</f>
        <v>#REF!</v>
      </c>
      <c r="D13" s="5">
        <f>IF(A13="","",SUM('Additional Information'!C13,'Additional Information'!D13))</f>
        <v>3.8999999999999998E-3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1.8000000000000002E-2</v>
      </c>
      <c r="C14" t="e">
        <f>IF(A14="","",'Additional Information'!#REF!)</f>
        <v>#REF!</v>
      </c>
      <c r="D14" s="5">
        <f>IF(A14="","",SUM('Additional Information'!C14,'Additional Information'!D14))</f>
        <v>4.0000000000000001E-3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3.3000000000000002E-2</v>
      </c>
      <c r="C15" t="e">
        <f>IF(A15="","",'Additional Information'!#REF!)</f>
        <v>#REF!</v>
      </c>
      <c r="D15" s="5">
        <f>IF(A15="","",SUM('Additional Information'!C15,'Additional Information'!D15))</f>
        <v>4.0000000000000001E-3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4.7E-2</v>
      </c>
      <c r="C16" t="e">
        <f>IF(A16="","",'Additional Information'!#REF!)</f>
        <v>#REF!</v>
      </c>
      <c r="D16" s="5">
        <f>IF(A16="","",SUM('Additional Information'!C16,'Additional Information'!D16))</f>
        <v>4.0000000000000001E-3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0.06</v>
      </c>
      <c r="C17" t="e">
        <f>IF(A17="","",'Additional Information'!#REF!)</f>
        <v>#REF!</v>
      </c>
      <c r="D17" s="5">
        <f>IF(A17="","",SUM('Additional Information'!C17,'Additional Information'!D17))</f>
        <v>4.0000000000000001E-3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7.0999999999999994E-2</v>
      </c>
      <c r="C18" t="e">
        <f>IF(A18="","",'Additional Information'!#REF!)</f>
        <v>#REF!</v>
      </c>
      <c r="D18" s="5">
        <f>IF(A18="","",SUM('Additional Information'!C18,'Additional Information'!D18))</f>
        <v>4.0999999999999995E-3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5.4000000000000006E-2</v>
      </c>
      <c r="C19" t="e">
        <f>IF(A19="","",'Additional Information'!#REF!)</f>
        <v>#REF!</v>
      </c>
      <c r="D19" s="5">
        <f>IF(A19="","",SUM('Additional Information'!C19,'Additional Information'!D19))</f>
        <v>4.2000000000000006E-3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-1.4999999999999999E-2</v>
      </c>
      <c r="C20" t="e">
        <f>IF(A20="","",'Additional Information'!#REF!)</f>
        <v>#REF!</v>
      </c>
      <c r="D20" s="5">
        <f>IF(A20="","",SUM('Additional Information'!C20,'Additional Information'!D20))</f>
        <v>7.7000000000000002E-3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-6.9999999999999993E-3</v>
      </c>
      <c r="C21" t="e">
        <f>IF(A21="","",'Additional Information'!#REF!)</f>
        <v>#REF!</v>
      </c>
      <c r="D21" s="5">
        <f>IF(A21="","",SUM('Additional Information'!C21,'Additional Information'!D21))</f>
        <v>8.4999999999999989E-3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-1E-3</v>
      </c>
      <c r="C22" t="e">
        <f>IF(A22="","",'Additional Information'!#REF!)</f>
        <v>#REF!</v>
      </c>
      <c r="D22" s="5">
        <f>IF(A22="","",SUM('Additional Information'!C22,'Additional Information'!D22))</f>
        <v>8.8999999999999999E-3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9.0000000000000011E-3</v>
      </c>
      <c r="C23" t="e">
        <f>IF(A23="","",'Additional Information'!#REF!)</f>
        <v>#REF!</v>
      </c>
      <c r="D23" s="5">
        <f>IF(A23="","",SUM('Additional Information'!C23,'Additional Information'!D23))</f>
        <v>9.4000000000000004E-3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1.9E-2</v>
      </c>
      <c r="C24" t="e">
        <f>IF(A24="","",'Additional Information'!#REF!)</f>
        <v>#REF!</v>
      </c>
      <c r="D24" s="5">
        <f>IF(A24="","",SUM('Additional Information'!C24,'Additional Information'!D24))</f>
        <v>9.7999999999999997E-3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3.1E-2</v>
      </c>
      <c r="C25" t="e">
        <f>IF(A25="","",'Additional Information'!#REF!)</f>
        <v>#REF!</v>
      </c>
      <c r="D25" s="5">
        <f>IF(A25="","",SUM('Additional Information'!C25,'Additional Information'!D25))</f>
        <v>1.01E-2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-6.0000000000000001E-3</v>
      </c>
      <c r="C26" t="e">
        <f>IF(A26="","",'Additional Information'!#REF!)</f>
        <v>#REF!</v>
      </c>
      <c r="D26" s="5">
        <f>IF(A26="","",SUM('Additional Information'!C26,'Additional Information'!D26))</f>
        <v>5.3E-3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-2E-3</v>
      </c>
      <c r="C27" t="e">
        <f>IF(A27="","",'Additional Information'!#REF!)</f>
        <v>#REF!</v>
      </c>
      <c r="D27" s="5">
        <f>IF(A27="","",SUM('Additional Information'!C27,'Additional Information'!D27))</f>
        <v>5.8999999999999999E-3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2E-3</v>
      </c>
      <c r="C28" t="e">
        <f>IF(A28="","",'Additional Information'!#REF!)</f>
        <v>#REF!</v>
      </c>
      <c r="D28" s="5">
        <f>IF(A28="","",SUM('Additional Information'!C28,'Additional Information'!D28))</f>
        <v>6.0999999999999995E-3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9.0000000000000011E-3</v>
      </c>
      <c r="C29" t="e">
        <f>IF(A29="","",'Additional Information'!#REF!)</f>
        <v>#REF!</v>
      </c>
      <c r="D29" s="5">
        <f>IF(A29="","",SUM('Additional Information'!C29,'Additional Information'!D29))</f>
        <v>6.4000000000000003E-3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1.6E-2</v>
      </c>
      <c r="C30" t="e">
        <f>IF(A30="","",'Additional Information'!#REF!)</f>
        <v>#REF!</v>
      </c>
      <c r="D30" s="5">
        <f>IF(A30="","",SUM('Additional Information'!C30,'Additional Information'!D30))</f>
        <v>6.5000000000000006E-3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2.3E-2</v>
      </c>
      <c r="C31" t="e">
        <f>IF(A31="","",'Additional Information'!#REF!)</f>
        <v>#REF!</v>
      </c>
      <c r="D31" s="5">
        <f>IF(A31="","",SUM('Additional Information'!C31,'Additional Information'!D31))</f>
        <v>6.5000000000000006E-3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1.2E-2</v>
      </c>
      <c r="C32" t="e">
        <f>IF(A32="","",'Additional Information'!#REF!)</f>
        <v>#REF!</v>
      </c>
      <c r="D32" s="5">
        <f>IF(A32="","",SUM('Additional Information'!C32,'Additional Information'!D32))</f>
        <v>7.6E-3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1.8000000000000002E-2</v>
      </c>
      <c r="C33" t="e">
        <f>IF(A33="","",'Additional Information'!#REF!)</f>
        <v>#REF!</v>
      </c>
      <c r="D33" s="5">
        <f>IF(A33="","",SUM('Additional Information'!C33,'Additional Information'!D33))</f>
        <v>1.9E-3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 t="e">
        <f>IF(A34="","",'Additional Information'!#REF!)</f>
        <v>#REF!</v>
      </c>
      <c r="D34" s="5">
        <f>IF(A34="","",SUM('Additional Information'!C34,'Additional Information'!D34))</f>
        <v>2E-3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9.0000000000000011E-3</v>
      </c>
      <c r="C35" t="e">
        <f>IF(A35="","",'Additional Information'!#REF!)</f>
        <v>#REF!</v>
      </c>
      <c r="D35" s="5">
        <f>IF(A35="","",SUM('Additional Information'!C35,'Additional Information'!D35))</f>
        <v>2E-3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1.7000000000000001E-2</v>
      </c>
      <c r="C36" t="e">
        <f>IF(A36="","",'Additional Information'!#REF!)</f>
        <v>#REF!</v>
      </c>
      <c r="D36" s="5">
        <f>IF(A36="","",SUM('Additional Information'!C36,'Additional Information'!D36))</f>
        <v>2E-3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2.7000000000000003E-2</v>
      </c>
      <c r="C37" t="e">
        <f>IF(A37="","",'Additional Information'!#REF!)</f>
        <v>#REF!</v>
      </c>
      <c r="D37" s="5">
        <f>IF(A37="","",SUM('Additional Information'!C37,'Additional Information'!D37))</f>
        <v>2E-3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3.7000000000000005E-2</v>
      </c>
      <c r="C38" t="e">
        <f>IF(A38="","",'Additional Information'!#REF!)</f>
        <v>#REF!</v>
      </c>
      <c r="D38" s="5">
        <f>IF(A38="","",SUM('Additional Information'!C38,'Additional Information'!D38))</f>
        <v>2E-3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Information'!#REF!)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Information'!#REF!)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Information'!#REF!)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Information'!#REF!)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Information'!#REF!)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Information'!#REF!)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Information'!#REF!)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Information'!#REF!)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Information'!#REF!)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Information'!#REF!)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Information'!#REF!)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Information'!#REF!)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Allocation'!C1))</f>
        <v>0</v>
      </c>
      <c r="C2" t="e">
        <f>IF(A2="","",SUM('Asset Allocation'!#REF!))</f>
        <v>#REF!</v>
      </c>
      <c r="D2">
        <f>IF(A2="","",SUM('Asset Allocation'!G2))</f>
        <v>0.29100000000000004</v>
      </c>
      <c r="E2">
        <f>IF(A2="","",SUM('Asset Allocation'!F2))</f>
        <v>0.50900000000000001</v>
      </c>
      <c r="F2">
        <f>IF(A2="","",SUM('Asset Allocation'!E2,'Asset Allocation'!H2))</f>
        <v>0</v>
      </c>
      <c r="G2">
        <f>IF(A2="","",SUM('Asset Allocation'!D2))</f>
        <v>0</v>
      </c>
      <c r="H2" t="e">
        <f t="shared" ref="H2:H50" si="0">IF(A2="","",1-SUM(B2:G2))</f>
        <v>#REF!</v>
      </c>
    </row>
    <row r="3" spans="1:8" x14ac:dyDescent="0.25">
      <c r="A3" t="str">
        <f>IF(Input!A4="","",Input!A4)</f>
        <v>Schroder Active Portfolio 3</v>
      </c>
      <c r="B3">
        <f>IF(A3="","",SUM('Asset Allocation'!C2))</f>
        <v>0</v>
      </c>
      <c r="C3" t="e">
        <f>IF(A3="","",SUM('Asset Allocation'!#REF!))</f>
        <v>#REF!</v>
      </c>
      <c r="D3">
        <f>IF(A3="","",SUM('Asset Allocation'!G3))</f>
        <v>9.6000000000000002E-2</v>
      </c>
      <c r="E3">
        <f>IF(A3="","",SUM('Asset Allocation'!F3))</f>
        <v>0.59</v>
      </c>
      <c r="F3">
        <f>IF(A3="","",SUM('Asset Allocation'!E3,'Asset Allocation'!H3))</f>
        <v>0</v>
      </c>
      <c r="G3">
        <f>IF(A3="","",SUM('Asset Allocation'!D3))</f>
        <v>0</v>
      </c>
      <c r="H3" t="e">
        <f t="shared" si="0"/>
        <v>#REF!</v>
      </c>
    </row>
    <row r="4" spans="1:8" x14ac:dyDescent="0.25">
      <c r="A4" t="str">
        <f>IF(Input!A5="","",Input!A5)</f>
        <v>Schroder Active Portfolio 4</v>
      </c>
      <c r="B4">
        <f>IF(A4="","",SUM('Asset Allocation'!C3))</f>
        <v>0</v>
      </c>
      <c r="C4" t="e">
        <f>IF(A4="","",SUM('Asset Allocation'!#REF!))</f>
        <v>#REF!</v>
      </c>
      <c r="D4">
        <f>IF(A4="","",SUM('Asset Allocation'!G4))</f>
        <v>6.6000000000000003E-2</v>
      </c>
      <c r="E4">
        <f>IF(A4="","",SUM('Asset Allocation'!F4))</f>
        <v>0.44500000000000001</v>
      </c>
      <c r="F4">
        <f>IF(A4="","",SUM('Asset Allocation'!E4,'Asset Allocation'!H4))</f>
        <v>0</v>
      </c>
      <c r="G4">
        <f>IF(A4="","",SUM('Asset Allocation'!D4))</f>
        <v>0</v>
      </c>
      <c r="H4" t="e">
        <f t="shared" si="0"/>
        <v>#REF!</v>
      </c>
    </row>
    <row r="5" spans="1:8" x14ac:dyDescent="0.25">
      <c r="A5" t="str">
        <f>IF(Input!A6="","",Input!A6)</f>
        <v>Schroder Active Portfolio 5</v>
      </c>
      <c r="B5">
        <f>IF(A5="","",SUM('Asset Allocation'!C4))</f>
        <v>0</v>
      </c>
      <c r="C5" t="e">
        <f>IF(A5="","",SUM('Asset Allocation'!#REF!))</f>
        <v>#REF!</v>
      </c>
      <c r="D5">
        <f>IF(A5="","",SUM('Asset Allocation'!G5))</f>
        <v>0.06</v>
      </c>
      <c r="E5">
        <f>IF(A5="","",SUM('Asset Allocation'!F5))</f>
        <v>0.35799999999999998</v>
      </c>
      <c r="F5">
        <f>IF(A5="","",SUM('Asset Allocation'!E5,'Asset Allocation'!H5))</f>
        <v>0</v>
      </c>
      <c r="G5">
        <f>IF(A5="","",SUM('Asset Allocation'!D5))</f>
        <v>0</v>
      </c>
      <c r="H5" t="e">
        <f t="shared" si="0"/>
        <v>#REF!</v>
      </c>
    </row>
    <row r="6" spans="1:8" x14ac:dyDescent="0.25">
      <c r="A6" t="str">
        <f>IF(Input!A7="","",Input!A7)</f>
        <v>Schroder Active Portfolio 6</v>
      </c>
      <c r="B6">
        <f>IF(A6="","",SUM('Asset Allocation'!C5))</f>
        <v>0</v>
      </c>
      <c r="C6" t="e">
        <f>IF(A6="","",SUM('Asset Allocation'!#REF!))</f>
        <v>#REF!</v>
      </c>
      <c r="D6">
        <f>IF(A6="","",SUM('Asset Allocation'!G6))</f>
        <v>5.0999999999999997E-2</v>
      </c>
      <c r="E6">
        <f>IF(A6="","",SUM('Asset Allocation'!F6))</f>
        <v>0.23499999999999999</v>
      </c>
      <c r="F6">
        <f>IF(A6="","",SUM('Asset Allocation'!E6,'Asset Allocation'!H6))</f>
        <v>0</v>
      </c>
      <c r="G6">
        <f>IF(A6="","",SUM('Asset Allocation'!D6))</f>
        <v>0</v>
      </c>
      <c r="H6" t="e">
        <f t="shared" si="0"/>
        <v>#REF!</v>
      </c>
    </row>
    <row r="7" spans="1:8" x14ac:dyDescent="0.25">
      <c r="A7" t="str">
        <f>IF(Input!A8="","",Input!A8)</f>
        <v>Schroder Active Portfolio 7</v>
      </c>
      <c r="B7">
        <f>IF(A7="","",SUM('Asset Allocation'!C6))</f>
        <v>0</v>
      </c>
      <c r="C7" t="e">
        <f>IF(A7="","",SUM('Asset Allocation'!#REF!))</f>
        <v>#REF!</v>
      </c>
      <c r="D7">
        <f>IF(A7="","",SUM('Asset Allocation'!G7))</f>
        <v>5.5E-2</v>
      </c>
      <c r="E7">
        <f>IF(A7="","",SUM('Asset Allocation'!F7))</f>
        <v>0.127</v>
      </c>
      <c r="F7">
        <f>IF(A7="","",SUM('Asset Allocation'!E7,'Asset Allocation'!H7))</f>
        <v>0</v>
      </c>
      <c r="G7">
        <f>IF(A7="","",SUM('Asset Allocation'!D7))</f>
        <v>0</v>
      </c>
      <c r="H7" t="e">
        <f t="shared" si="0"/>
        <v>#REF!</v>
      </c>
    </row>
    <row r="8" spans="1:8" x14ac:dyDescent="0.25">
      <c r="A8" t="str">
        <f>IF(Input!A9="","",Input!A9)</f>
        <v>Schroder Active Portfolio 8</v>
      </c>
      <c r="B8">
        <f>IF(A8="","",SUM('Asset Allocation'!C7))</f>
        <v>0</v>
      </c>
      <c r="C8" t="e">
        <f>IF(A8="","",SUM('Asset Allocation'!#REF!))</f>
        <v>#REF!</v>
      </c>
      <c r="D8">
        <f>IF(A8="","",SUM('Asset Allocation'!G8))</f>
        <v>5.2999999999999999E-2</v>
      </c>
      <c r="E8">
        <f>IF(A8="","",SUM('Asset Allocation'!F8))</f>
        <v>3.3000000000000002E-2</v>
      </c>
      <c r="F8">
        <f>IF(A8="","",SUM('Asset Allocation'!E8,'Asset Allocation'!H8))</f>
        <v>0</v>
      </c>
      <c r="G8">
        <f>IF(A8="","",SUM('Asset Allocation'!D8))</f>
        <v>0</v>
      </c>
      <c r="H8" t="e">
        <f t="shared" si="0"/>
        <v>#REF!</v>
      </c>
    </row>
    <row r="9" spans="1:8" x14ac:dyDescent="0.25">
      <c r="A9" t="str">
        <f>IF(Input!A10="","",Input!A10)</f>
        <v>Schroder Active Portfolio 9</v>
      </c>
      <c r="B9">
        <f>IF(A9="","",SUM('Asset Allocation'!C8))</f>
        <v>0</v>
      </c>
      <c r="C9" t="e">
        <f>IF(A9="","",SUM('Asset Allocation'!#REF!))</f>
        <v>#REF!</v>
      </c>
      <c r="D9">
        <f>IF(A9="","",SUM('Asset Allocation'!G9))</f>
        <v>4.2000000000000003E-2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 t="e">
        <f t="shared" si="0"/>
        <v>#REF!</v>
      </c>
    </row>
    <row r="10" spans="1:8" x14ac:dyDescent="0.25">
      <c r="A10" t="str">
        <f>IF(Input!A11="","",Input!A11)</f>
        <v>Schroder Active Portfolio 10</v>
      </c>
      <c r="B10">
        <f>IF(A10="","",SUM('Asset Allocation'!C9))</f>
        <v>0</v>
      </c>
      <c r="C10" t="e">
        <f>IF(A10="","",SUM('Asset Allocation'!#REF!))</f>
        <v>#REF!</v>
      </c>
      <c r="D10">
        <f>IF(A10="","",SUM('Asset Allocation'!G10))</f>
        <v>0.04</v>
      </c>
      <c r="E10">
        <f>IF(A10="","",SUM('Asset Allocation'!F10))</f>
        <v>1E-3</v>
      </c>
      <c r="F10">
        <f>IF(A10="","",SUM('Asset Allocation'!E10,'Asset Allocation'!H10))</f>
        <v>0</v>
      </c>
      <c r="G10">
        <f>IF(A10="","",SUM('Asset Allocation'!D10))</f>
        <v>0</v>
      </c>
      <c r="H10" t="e">
        <f t="shared" si="0"/>
        <v>#REF!</v>
      </c>
    </row>
    <row r="11" spans="1:8" x14ac:dyDescent="0.25">
      <c r="A11" t="str">
        <f>IF(Input!A12="","",Input!A12)</f>
        <v>Schroder Strategic Index Portfolio 2</v>
      </c>
      <c r="B11">
        <f>IF(A11="","",SUM('Asset Allocation'!C10))</f>
        <v>0</v>
      </c>
      <c r="C11" t="e">
        <f>IF(A11="","",SUM('Asset Allocation'!#REF!))</f>
        <v>#REF!</v>
      </c>
      <c r="D11">
        <f>IF(A11="","",SUM('Asset Allocation'!G11))</f>
        <v>0.26800000000000002</v>
      </c>
      <c r="E11">
        <f>IF(A11="","",SUM('Asset Allocation'!F11))</f>
        <v>0.56700000000000006</v>
      </c>
      <c r="F11">
        <f>IF(A11="","",SUM('Asset Allocation'!E11,'Asset Allocation'!H11))</f>
        <v>0</v>
      </c>
      <c r="G11">
        <f>IF(A11="","",SUM('Asset Allocation'!D11))</f>
        <v>0</v>
      </c>
      <c r="H11" t="e">
        <f t="shared" si="0"/>
        <v>#REF!</v>
      </c>
    </row>
    <row r="12" spans="1:8" x14ac:dyDescent="0.25">
      <c r="A12" t="str">
        <f>IF(Input!A13="","",Input!A13)</f>
        <v>Schroder Strategic Index Portfolio 3</v>
      </c>
      <c r="B12">
        <f>IF(A12="","",SUM('Asset Allocation'!C11))</f>
        <v>0</v>
      </c>
      <c r="C12" t="e">
        <f>IF(A12="","",SUM('Asset Allocation'!#REF!))</f>
        <v>#REF!</v>
      </c>
      <c r="D12">
        <f>IF(A12="","",SUM('Asset Allocation'!G12))</f>
        <v>7.2000000000000008E-2</v>
      </c>
      <c r="E12">
        <f>IF(A12="","",SUM('Asset Allocation'!F12))</f>
        <v>0.65599999999999992</v>
      </c>
      <c r="F12">
        <f>IF(A12="","",SUM('Asset Allocation'!E12,'Asset Allocation'!H12))</f>
        <v>0</v>
      </c>
      <c r="G12">
        <f>IF(A12="","",SUM('Asset Allocation'!D12))</f>
        <v>0</v>
      </c>
      <c r="H12" t="e">
        <f t="shared" si="0"/>
        <v>#REF!</v>
      </c>
    </row>
    <row r="13" spans="1:8" x14ac:dyDescent="0.25">
      <c r="A13" t="str">
        <f>IF(Input!A14="","",Input!A14)</f>
        <v>Schroder Strategic Index Portfolio 4</v>
      </c>
      <c r="B13">
        <f>IF(A13="","",SUM('Asset Allocation'!C12))</f>
        <v>0</v>
      </c>
      <c r="C13" t="e">
        <f>IF(A13="","",SUM('Asset Allocation'!#REF!))</f>
        <v>#REF!</v>
      </c>
      <c r="D13">
        <f>IF(A13="","",SUM('Asset Allocation'!G13))</f>
        <v>3.7999999999999999E-2</v>
      </c>
      <c r="E13">
        <f>IF(A13="","",SUM('Asset Allocation'!F13))</f>
        <v>0.51900000000000002</v>
      </c>
      <c r="F13">
        <f>IF(A13="","",SUM('Asset Allocation'!E13,'Asset Allocation'!H13))</f>
        <v>0</v>
      </c>
      <c r="G13">
        <f>IF(A13="","",SUM('Asset Allocation'!D13))</f>
        <v>0</v>
      </c>
      <c r="H13" t="e">
        <f t="shared" si="0"/>
        <v>#REF!</v>
      </c>
    </row>
    <row r="14" spans="1:8" x14ac:dyDescent="0.25">
      <c r="A14" t="str">
        <f>IF(Input!A15="","",Input!A15)</f>
        <v>Schroder Strategic Index Portfolio 5</v>
      </c>
      <c r="B14">
        <f>IF(A14="","",SUM('Asset Allocation'!C13))</f>
        <v>0</v>
      </c>
      <c r="C14" t="e">
        <f>IF(A14="","",SUM('Asset Allocation'!#REF!))</f>
        <v>#REF!</v>
      </c>
      <c r="D14">
        <f>IF(A14="","",SUM('Asset Allocation'!G14))</f>
        <v>3.3000000000000002E-2</v>
      </c>
      <c r="E14">
        <f>IF(A14="","",SUM('Asset Allocation'!F14))</f>
        <v>0.42899999999999999</v>
      </c>
      <c r="F14">
        <f>IF(A14="","",SUM('Asset Allocation'!E14,'Asset Allocation'!H14))</f>
        <v>0</v>
      </c>
      <c r="G14">
        <f>IF(A14="","",SUM('Asset Allocation'!D14))</f>
        <v>0</v>
      </c>
      <c r="H14" t="e">
        <f t="shared" si="0"/>
        <v>#REF!</v>
      </c>
    </row>
    <row r="15" spans="1:8" x14ac:dyDescent="0.25">
      <c r="A15" t="str">
        <f>IF(Input!A16="","",Input!A16)</f>
        <v>Schroder Strategic Index Portfolio 6</v>
      </c>
      <c r="B15">
        <f>IF(A15="","",SUM('Asset Allocation'!C14))</f>
        <v>0</v>
      </c>
      <c r="C15" t="e">
        <f>IF(A15="","",SUM('Asset Allocation'!#REF!))</f>
        <v>#REF!</v>
      </c>
      <c r="D15">
        <f>IF(A15="","",SUM('Asset Allocation'!G15))</f>
        <v>0.02</v>
      </c>
      <c r="E15">
        <f>IF(A15="","",SUM('Asset Allocation'!F15))</f>
        <v>0.30299999999999999</v>
      </c>
      <c r="F15">
        <f>IF(A15="","",SUM('Asset Allocation'!E15,'Asset Allocation'!H15))</f>
        <v>0</v>
      </c>
      <c r="G15">
        <f>IF(A15="","",SUM('Asset Allocation'!D15))</f>
        <v>0</v>
      </c>
      <c r="H15" t="e">
        <f t="shared" si="0"/>
        <v>#REF!</v>
      </c>
    </row>
    <row r="16" spans="1:8" x14ac:dyDescent="0.25">
      <c r="A16" t="str">
        <f>IF(Input!A17="","",Input!A17)</f>
        <v>Schroder Strategic Index Portfolio 7</v>
      </c>
      <c r="B16">
        <f>IF(A16="","",SUM('Asset Allocation'!C15))</f>
        <v>0</v>
      </c>
      <c r="C16" t="e">
        <f>IF(A16="","",SUM('Asset Allocation'!#REF!))</f>
        <v>#REF!</v>
      </c>
      <c r="D16">
        <f>IF(A16="","",SUM('Asset Allocation'!G16))</f>
        <v>0.02</v>
      </c>
      <c r="E16">
        <f>IF(A16="","",SUM('Asset Allocation'!F16))</f>
        <v>0.191</v>
      </c>
      <c r="F16">
        <f>IF(A16="","",SUM('Asset Allocation'!E16,'Asset Allocation'!H16))</f>
        <v>0</v>
      </c>
      <c r="G16">
        <f>IF(A16="","",SUM('Asset Allocation'!D16))</f>
        <v>0</v>
      </c>
      <c r="H16" t="e">
        <f t="shared" si="0"/>
        <v>#REF!</v>
      </c>
    </row>
    <row r="17" spans="1:8" x14ac:dyDescent="0.25">
      <c r="A17" t="str">
        <f>IF(Input!A18="","",Input!A18)</f>
        <v>Schroder Strategic Index Portfolio 8</v>
      </c>
      <c r="B17">
        <f>IF(A17="","",SUM('Asset Allocation'!C16))</f>
        <v>0</v>
      </c>
      <c r="C17" t="e">
        <f>IF(A17="","",SUM('Asset Allocation'!#REF!))</f>
        <v>#REF!</v>
      </c>
      <c r="D17">
        <f>IF(A17="","",SUM('Asset Allocation'!G17))</f>
        <v>1.9E-2</v>
      </c>
      <c r="E17">
        <f>IF(A17="","",SUM('Asset Allocation'!F17))</f>
        <v>7.400000000000001E-2</v>
      </c>
      <c r="F17">
        <f>IF(A17="","",SUM('Asset Allocation'!E17,'Asset Allocation'!H17))</f>
        <v>0</v>
      </c>
      <c r="G17">
        <f>IF(A17="","",SUM('Asset Allocation'!D17))</f>
        <v>0</v>
      </c>
      <c r="H17" t="e">
        <f t="shared" si="0"/>
        <v>#REF!</v>
      </c>
    </row>
    <row r="18" spans="1:8" x14ac:dyDescent="0.25">
      <c r="A18" t="str">
        <f>IF(Input!A19="","",Input!A19)</f>
        <v>Schroder Strategic Index Portfolio 9</v>
      </c>
      <c r="B18">
        <f>IF(A18="","",SUM('Asset Allocation'!C17))</f>
        <v>0</v>
      </c>
      <c r="C18" t="e">
        <f>IF(A18="","",SUM('Asset Allocation'!#REF!))</f>
        <v>#REF!</v>
      </c>
      <c r="D18">
        <f>IF(A18="","",SUM('Asset Allocation'!G18))</f>
        <v>2.2000000000000002E-2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 t="e">
        <f t="shared" si="0"/>
        <v>#REF!</v>
      </c>
    </row>
    <row r="19" spans="1:8" x14ac:dyDescent="0.25">
      <c r="A19" t="str">
        <f>IF(Input!A20="","",Input!A20)</f>
        <v>Schroder Strategic Index Portfolio 10</v>
      </c>
      <c r="B19">
        <f>IF(A19="","",SUM('Asset Allocation'!C18))</f>
        <v>0</v>
      </c>
      <c r="C19" t="e">
        <f>IF(A19="","",SUM('Asset Allocation'!#REF!))</f>
        <v>#REF!</v>
      </c>
      <c r="D19">
        <f>IF(A19="","",SUM('Asset Allocation'!G19))</f>
        <v>2.1000000000000001E-2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 t="e">
        <f t="shared" si="0"/>
        <v>#REF!</v>
      </c>
    </row>
    <row r="20" spans="1:8" x14ac:dyDescent="0.25">
      <c r="A20" t="str">
        <f>IF(Input!A21="","",Input!A21)</f>
        <v>Schroder Sustainable Portfolio 3</v>
      </c>
      <c r="B20">
        <f>IF(A20="","",SUM('Asset Allocation'!C19))</f>
        <v>0</v>
      </c>
      <c r="C20" t="e">
        <f>IF(A20="","",SUM('Asset Allocation'!#REF!))</f>
        <v>#REF!</v>
      </c>
      <c r="D20">
        <f>IF(A20="","",SUM('Asset Allocation'!G20))</f>
        <v>0.124</v>
      </c>
      <c r="E20">
        <f>IF(A20="","",SUM('Asset Allocation'!F20))</f>
        <v>0.56399999999999995</v>
      </c>
      <c r="F20">
        <f>IF(A20="","",SUM('Asset Allocation'!E20,'Asset Allocation'!H20))</f>
        <v>0</v>
      </c>
      <c r="G20">
        <f>IF(A20="","",SUM('Asset Allocation'!D20))</f>
        <v>0</v>
      </c>
      <c r="H20" t="e">
        <f t="shared" si="0"/>
        <v>#REF!</v>
      </c>
    </row>
    <row r="21" spans="1:8" x14ac:dyDescent="0.25">
      <c r="A21" t="str">
        <f>IF(Input!A22="","",Input!A22)</f>
        <v>Schroder Sustainable Portfolio 4</v>
      </c>
      <c r="B21">
        <f>IF(A21="","",SUM('Asset Allocation'!C20))</f>
        <v>0</v>
      </c>
      <c r="C21" t="e">
        <f>IF(A21="","",SUM('Asset Allocation'!#REF!))</f>
        <v>#REF!</v>
      </c>
      <c r="D21">
        <f>IF(A21="","",SUM('Asset Allocation'!G21))</f>
        <v>8.8000000000000009E-2</v>
      </c>
      <c r="E21">
        <f>IF(A21="","",SUM('Asset Allocation'!F21))</f>
        <v>0.42299999999999999</v>
      </c>
      <c r="F21">
        <f>IF(A21="","",SUM('Asset Allocation'!E21,'Asset Allocation'!H21))</f>
        <v>0</v>
      </c>
      <c r="G21">
        <f>IF(A21="","",SUM('Asset Allocation'!D21))</f>
        <v>0</v>
      </c>
      <c r="H21" t="e">
        <f t="shared" si="0"/>
        <v>#REF!</v>
      </c>
    </row>
    <row r="22" spans="1:8" x14ac:dyDescent="0.25">
      <c r="A22" t="str">
        <f>IF(Input!A23="","",Input!A23)</f>
        <v>Schroder Sustainable Portfolio 5</v>
      </c>
      <c r="B22">
        <f>IF(A22="","",SUM('Asset Allocation'!C21))</f>
        <v>0</v>
      </c>
      <c r="C22" t="e">
        <f>IF(A22="","",SUM('Asset Allocation'!#REF!))</f>
        <v>#REF!</v>
      </c>
      <c r="D22">
        <f>IF(A22="","",SUM('Asset Allocation'!G22))</f>
        <v>8.1000000000000003E-2</v>
      </c>
      <c r="E22">
        <f>IF(A22="","",SUM('Asset Allocation'!F22))</f>
        <v>0.33799999999999997</v>
      </c>
      <c r="F22">
        <f>IF(A22="","",SUM('Asset Allocation'!E22,'Asset Allocation'!H22))</f>
        <v>0</v>
      </c>
      <c r="G22">
        <f>IF(A22="","",SUM('Asset Allocation'!D22))</f>
        <v>0</v>
      </c>
      <c r="H22" t="e">
        <f t="shared" si="0"/>
        <v>#REF!</v>
      </c>
    </row>
    <row r="23" spans="1:8" x14ac:dyDescent="0.25">
      <c r="A23" t="str">
        <f>IF(Input!A24="","",Input!A24)</f>
        <v>Schroder Sustainable Portfolio 6</v>
      </c>
      <c r="B23">
        <f>IF(A23="","",SUM('Asset Allocation'!C22))</f>
        <v>0</v>
      </c>
      <c r="C23" t="e">
        <f>IF(A23="","",SUM('Asset Allocation'!#REF!))</f>
        <v>#REF!</v>
      </c>
      <c r="D23">
        <f>IF(A23="","",SUM('Asset Allocation'!G23))</f>
        <v>6.4000000000000001E-2</v>
      </c>
      <c r="E23">
        <f>IF(A23="","",SUM('Asset Allocation'!F23))</f>
        <v>0.222</v>
      </c>
      <c r="F23">
        <f>IF(A23="","",SUM('Asset Allocation'!E23,'Asset Allocation'!H23))</f>
        <v>0</v>
      </c>
      <c r="G23">
        <f>IF(A23="","",SUM('Asset Allocation'!D23))</f>
        <v>0</v>
      </c>
      <c r="H23" t="e">
        <f t="shared" si="0"/>
        <v>#REF!</v>
      </c>
    </row>
    <row r="24" spans="1:8" x14ac:dyDescent="0.25">
      <c r="A24" t="str">
        <f>IF(Input!A25="","",Input!A25)</f>
        <v>Schroder Sustainable Portfolio 7</v>
      </c>
      <c r="B24">
        <f>IF(A24="","",SUM('Asset Allocation'!C23))</f>
        <v>0</v>
      </c>
      <c r="C24" t="e">
        <f>IF(A24="","",SUM('Asset Allocation'!#REF!))</f>
        <v>#REF!</v>
      </c>
      <c r="D24">
        <f>IF(A24="","",SUM('Asset Allocation'!G24))</f>
        <v>5.9000000000000004E-2</v>
      </c>
      <c r="E24">
        <f>IF(A24="","",SUM('Asset Allocation'!F24))</f>
        <v>0.121</v>
      </c>
      <c r="F24">
        <f>IF(A24="","",SUM('Asset Allocation'!E24,'Asset Allocation'!H24))</f>
        <v>0</v>
      </c>
      <c r="G24">
        <f>IF(A24="","",SUM('Asset Allocation'!D24))</f>
        <v>0</v>
      </c>
      <c r="H24" t="e">
        <f t="shared" si="0"/>
        <v>#REF!</v>
      </c>
    </row>
    <row r="25" spans="1:8" x14ac:dyDescent="0.25">
      <c r="A25" t="str">
        <f>IF(Input!A26="","",Input!A26)</f>
        <v>Schroder Sustainable Portfolio 8</v>
      </c>
      <c r="B25">
        <f>IF(A25="","",SUM('Asset Allocation'!C24))</f>
        <v>0</v>
      </c>
      <c r="C25" t="e">
        <f>IF(A25="","",SUM('Asset Allocation'!#REF!))</f>
        <v>#REF!</v>
      </c>
      <c r="D25">
        <f>IF(A25="","",SUM('Asset Allocation'!G25))</f>
        <v>5.0999999999999997E-2</v>
      </c>
      <c r="E25">
        <f>IF(A25="","",SUM('Asset Allocation'!F25))</f>
        <v>3.3000000000000002E-2</v>
      </c>
      <c r="F25">
        <f>IF(A25="","",SUM('Asset Allocation'!E25,'Asset Allocation'!H25))</f>
        <v>0</v>
      </c>
      <c r="G25">
        <f>IF(A25="","",SUM('Asset Allocation'!D25))</f>
        <v>0</v>
      </c>
      <c r="H25" t="e">
        <f t="shared" si="0"/>
        <v>#REF!</v>
      </c>
    </row>
    <row r="26" spans="1:8" x14ac:dyDescent="0.25">
      <c r="A26" t="str">
        <f>IF(Input!A27="","",Input!A27)</f>
        <v>Schroder Blended Portfolio 3</v>
      </c>
      <c r="B26">
        <f>IF(A26="","",SUM('Asset Allocation'!C25))</f>
        <v>0</v>
      </c>
      <c r="C26" t="e">
        <f>IF(A26="","",SUM('Asset Allocation'!#REF!))</f>
        <v>#REF!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9.8000000000000004E-2</v>
      </c>
      <c r="H26" t="e">
        <f t="shared" si="0"/>
        <v>#REF!</v>
      </c>
    </row>
    <row r="27" spans="1:8" x14ac:dyDescent="0.25">
      <c r="A27" t="str">
        <f>IF(Input!A28="","",Input!A28)</f>
        <v>Schroder Blended Portfolio 4</v>
      </c>
      <c r="B27">
        <f>IF(A27="","",SUM('Asset Allocation'!C26))</f>
        <v>8.8000000000000009E-2</v>
      </c>
      <c r="C27" t="e">
        <f>IF(A27="","",SUM('Asset Allocation'!#REF!))</f>
        <v>#REF!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0.113</v>
      </c>
      <c r="H27" t="e">
        <f t="shared" si="0"/>
        <v>#REF!</v>
      </c>
    </row>
    <row r="28" spans="1:8" x14ac:dyDescent="0.25">
      <c r="A28" t="str">
        <f>IF(Input!A29="","",Input!A29)</f>
        <v>Schroder Blended Portfolio 5</v>
      </c>
      <c r="B28">
        <f>IF(A28="","",SUM('Asset Allocation'!C27))</f>
        <v>7.2000000000000008E-2</v>
      </c>
      <c r="C28" t="e">
        <f>IF(A28="","",SUM('Asset Allocation'!#REF!))</f>
        <v>#REF!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0.114</v>
      </c>
      <c r="H28" t="e">
        <f t="shared" si="0"/>
        <v>#REF!</v>
      </c>
    </row>
    <row r="29" spans="1:8" x14ac:dyDescent="0.25">
      <c r="A29" t="str">
        <f>IF(Input!A30="","",Input!A30)</f>
        <v>Schroder Blended Portfolio 6</v>
      </c>
      <c r="B29">
        <f>IF(A29="","",SUM('Asset Allocation'!C28))</f>
        <v>6.8000000000000005E-2</v>
      </c>
      <c r="C29" t="e">
        <f>IF(A29="","",SUM('Asset Allocation'!#REF!))</f>
        <v>#REF!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0.11</v>
      </c>
      <c r="H29" t="e">
        <f t="shared" si="0"/>
        <v>#REF!</v>
      </c>
    </row>
    <row r="30" spans="1:8" x14ac:dyDescent="0.25">
      <c r="A30" t="str">
        <f>IF(Input!A31="","",Input!A31)</f>
        <v>Schroder Blended Portfolio 7</v>
      </c>
      <c r="B30">
        <f>IF(A30="","",SUM('Asset Allocation'!C29))</f>
        <v>4.5999999999999999E-2</v>
      </c>
      <c r="C30" t="e">
        <f>IF(A30="","",SUM('Asset Allocation'!#REF!))</f>
        <v>#REF!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1.9E-2</v>
      </c>
      <c r="G30">
        <f>IF(A30="","",SUM('Asset Allocation'!D30))</f>
        <v>9.6000000000000002E-2</v>
      </c>
      <c r="H30" t="e">
        <f t="shared" si="0"/>
        <v>#REF!</v>
      </c>
    </row>
    <row r="31" spans="1:8" x14ac:dyDescent="0.25">
      <c r="A31" t="str">
        <f>IF(Input!A32="","",Input!A32)</f>
        <v>Schroder Blended Portfolio 8</v>
      </c>
      <c r="B31">
        <f>IF(A31="","",SUM('Asset Allocation'!C30))</f>
        <v>0.02</v>
      </c>
      <c r="C31" t="e">
        <f>IF(A31="","",SUM('Asset Allocation'!#REF!))</f>
        <v>#REF!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2.7999999999999997E-2</v>
      </c>
      <c r="G31">
        <f>IF(A31="","",SUM('Asset Allocation'!D31))</f>
        <v>0.06</v>
      </c>
      <c r="H31" t="e">
        <f t="shared" si="0"/>
        <v>#REF!</v>
      </c>
    </row>
    <row r="32" spans="1:8" x14ac:dyDescent="0.25">
      <c r="A32" t="str">
        <f>IF(Input!A33="","",Input!A33)</f>
        <v>Schroder Income Portfolio</v>
      </c>
      <c r="B32">
        <f>IF(A32="","",SUM('Asset Allocation'!C31))</f>
        <v>0</v>
      </c>
      <c r="C32" t="e">
        <f>IF(A32="","",SUM('Asset Allocation'!#REF!))</f>
        <v>#REF!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2E-3</v>
      </c>
      <c r="G32">
        <f>IF(A32="","",SUM('Asset Allocation'!D32))</f>
        <v>0</v>
      </c>
      <c r="H32" t="e">
        <f t="shared" si="0"/>
        <v>#REF!</v>
      </c>
    </row>
    <row r="33" spans="1:8" x14ac:dyDescent="0.25">
      <c r="A33" t="str">
        <f>IF(Input!A34="","",Input!A34)</f>
        <v>Schroder Managed Defensive Fund</v>
      </c>
      <c r="B33">
        <f>IF(A33="","",SUM('Asset Allocation'!C32))</f>
        <v>0</v>
      </c>
      <c r="C33" t="e">
        <f>IF(A33="","",SUM('Asset Allocation'!#REF!))</f>
        <v>#REF!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1.2E-2</v>
      </c>
      <c r="G33">
        <f>IF(A33="","",SUM('Asset Allocation'!D33))</f>
        <v>0</v>
      </c>
      <c r="H33" t="e">
        <f t="shared" si="0"/>
        <v>#REF!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Allocation'!C33))</f>
        <v>0</v>
      </c>
      <c r="C34" t="e">
        <f>IF(A34="","",SUM('Asset Allocation'!#REF!))</f>
        <v>#REF!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6.9999999999999993E-3</v>
      </c>
      <c r="G34">
        <f>IF(A34="","",SUM('Asset Allocation'!D34))</f>
        <v>0</v>
      </c>
      <c r="H34" t="e">
        <f t="shared" si="0"/>
        <v>#REF!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Allocation'!C34))</f>
        <v>0</v>
      </c>
      <c r="C35" t="e">
        <f>IF(A35="","",SUM('Asset Allocation'!#REF!))</f>
        <v>#REF!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8.0000000000000002E-3</v>
      </c>
      <c r="G35">
        <f>IF(A35="","",SUM('Asset Allocation'!D35))</f>
        <v>0</v>
      </c>
      <c r="H35" t="e">
        <f t="shared" si="0"/>
        <v>#REF!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Allocation'!C35))</f>
        <v>0</v>
      </c>
      <c r="C36" t="e">
        <f>IF(A36="","",SUM('Asset Allocation'!#REF!))</f>
        <v>#REF!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8.0000000000000002E-3</v>
      </c>
      <c r="G36">
        <f>IF(A36="","",SUM('Asset Allocation'!D36))</f>
        <v>0</v>
      </c>
      <c r="H36" t="e">
        <f t="shared" si="0"/>
        <v>#REF!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Allocation'!C36))</f>
        <v>0</v>
      </c>
      <c r="C37" t="e">
        <f>IF(A37="","",SUM('Asset Allocation'!#REF!))</f>
        <v>#REF!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8.0000000000000002E-3</v>
      </c>
      <c r="G37">
        <f>IF(A37="","",SUM('Asset Allocation'!D37))</f>
        <v>0</v>
      </c>
      <c r="H37" t="e">
        <f t="shared" si="0"/>
        <v>#REF!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Allocation'!C37))</f>
        <v>0</v>
      </c>
      <c r="C38" t="e">
        <f>IF(A38="","",SUM('Asset Allocation'!#REF!))</f>
        <v>#REF!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8.0000000000000002E-3</v>
      </c>
      <c r="G38">
        <f>IF(A38="","",SUM('Asset Allocation'!D38))</f>
        <v>0</v>
      </c>
      <c r="H38" t="e">
        <f t="shared" si="0"/>
        <v>#REF!</v>
      </c>
    </row>
    <row r="39" spans="1:8" x14ac:dyDescent="0.25">
      <c r="A39" t="str">
        <f>IF(Input!A40="","",Input!A40)</f>
        <v/>
      </c>
      <c r="B39" t="str">
        <f>IF(A39="","",SUM('Asset Allocation'!C38))</f>
        <v/>
      </c>
      <c r="C39" t="str">
        <f>IF(A39="","",SUM('Asset Allocation'!#REF!))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Allocation'!C39))</f>
        <v/>
      </c>
      <c r="C40" t="str">
        <f>IF(A40="","",SUM('Asset Allocation'!#REF!))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Allocation'!C40))</f>
        <v/>
      </c>
      <c r="C41" t="str">
        <f>IF(A41="","",SUM('Asset Allocation'!#REF!))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Allocation'!C41))</f>
        <v/>
      </c>
      <c r="C42" t="str">
        <f>IF(A42="","",SUM('Asset Allocation'!#REF!))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Allocation'!C42))</f>
        <v/>
      </c>
      <c r="C43" t="str">
        <f>IF(A43="","",SUM('Asset Allocation'!#REF!))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Allocation'!C43))</f>
        <v/>
      </c>
      <c r="C44" t="str">
        <f>IF(A44="","",SUM('Asset Allocation'!#REF!))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Allocation'!C44))</f>
        <v/>
      </c>
      <c r="C45" t="str">
        <f>IF(A45="","",SUM('Asset Allocation'!#REF!))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Allocation'!C45))</f>
        <v/>
      </c>
      <c r="C46" t="str">
        <f>IF(A46="","",SUM('Asset Allocation'!#REF!))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Allocation'!C46))</f>
        <v/>
      </c>
      <c r="C47" t="str">
        <f>IF(A47="","",SUM('Asset Allocation'!#REF!))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Allocation'!C47))</f>
        <v/>
      </c>
      <c r="C48" t="str">
        <f>IF(A48="","",SUM('Asset Allocation'!#REF!))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Allocation'!C48))</f>
        <v/>
      </c>
      <c r="C49" t="str">
        <f>IF(A49="","",SUM('Asset Allocation'!#REF!))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Allocation'!C49))</f>
        <v/>
      </c>
      <c r="C50" t="str">
        <f>IF(A50="","",SUM('Asset Allocation'!#REF!))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5.0000000000000001E-3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6.9999999999999993E-3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8.0000000000000002E-3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8.0000000000000002E-3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6.9999999999999993E-3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6.0000000000000001E-3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4.0000000000000001E-3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1E-3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1E-3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1E-3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1E-3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6.9999999999999993E-3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6.9999999999999993E-3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6.9999999999999993E-3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6.9999999999999993E-3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6.0000000000000001E-3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4.0000000000000001E-3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3.5000000000000003E-2</v>
      </c>
      <c r="D26" s="6">
        <f>IFERROR(IF(A26="","",SUM('Asset Allocation'!R26,'Asset Allocation'!K26)),0)</f>
        <v>4.4000000000000004E-2</v>
      </c>
      <c r="E26" s="6">
        <f>IFERROR(IF(A26="","",SUM('Asset Allocation'!M26)),0)</f>
        <v>6.9999999999999993E-3</v>
      </c>
      <c r="F26" s="6">
        <f>IFERROR(IF(A26="","",SUM('Asset Allocation'!J26)),0)</f>
        <v>0</v>
      </c>
      <c r="G26" s="6">
        <f>IFERROR(IF(A26="","",SUM('Asset Allocation'!P26,'Asset Allocation'!Q26)),0)</f>
        <v>0.31900000000000001</v>
      </c>
      <c r="H26" s="6">
        <f>IFERROR(IF(A26="","",SUM('Asset Allocation'!N26)),0)</f>
        <v>2.2000000000000002E-2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0.03</v>
      </c>
      <c r="D27" s="6">
        <f>IFERROR(IF(A27="","",SUM('Asset Allocation'!R27,'Asset Allocation'!K27)),0)</f>
        <v>3.7000000000000005E-2</v>
      </c>
      <c r="E27" s="6">
        <f>IFERROR(IF(A27="","",SUM('Asset Allocation'!M27)),0)</f>
        <v>1.2E-2</v>
      </c>
      <c r="F27" s="6">
        <f>IFERROR(IF(A27="","",SUM('Asset Allocation'!J27)),0)</f>
        <v>0</v>
      </c>
      <c r="G27" s="6">
        <f>IFERROR(IF(A27="","",SUM('Asset Allocation'!P27,'Asset Allocation'!Q27)),0)</f>
        <v>0.20800000000000002</v>
      </c>
      <c r="H27" s="6">
        <f>IFERROR(IF(A27="","",SUM('Asset Allocation'!N27)),0)</f>
        <v>0.04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2.7999999999999997E-2</v>
      </c>
      <c r="D28" s="6">
        <f>IFERROR(IF(A28="","",SUM('Asset Allocation'!R28,'Asset Allocation'!K28)),0)</f>
        <v>3.4000000000000002E-2</v>
      </c>
      <c r="E28" s="6">
        <f>IFERROR(IF(A28="","",SUM('Asset Allocation'!M28)),0)</f>
        <v>1.7000000000000001E-2</v>
      </c>
      <c r="F28" s="6">
        <f>IFERROR(IF(A28="","",SUM('Asset Allocation'!J28)),0)</f>
        <v>0</v>
      </c>
      <c r="G28" s="6">
        <f>IFERROR(IF(A28="","",SUM('Asset Allocation'!P28,'Asset Allocation'!Q28)),0)</f>
        <v>0.13100000000000001</v>
      </c>
      <c r="H28" s="6">
        <f>IFERROR(IF(A28="","",SUM('Asset Allocation'!N28)),0)</f>
        <v>4.8000000000000001E-2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1.8000000000000002E-2</v>
      </c>
      <c r="D29" s="6">
        <f>IFERROR(IF(A29="","",SUM('Asset Allocation'!R29,'Asset Allocation'!K29)),0)</f>
        <v>2.4E-2</v>
      </c>
      <c r="E29" s="6">
        <f>IFERROR(IF(A29="","",SUM('Asset Allocation'!M29)),0)</f>
        <v>2.8999999999999998E-2</v>
      </c>
      <c r="F29" s="6">
        <f>IFERROR(IF(A29="","",SUM('Asset Allocation'!J29)),0)</f>
        <v>0</v>
      </c>
      <c r="G29" s="6">
        <f>IFERROR(IF(A29="","",SUM('Asset Allocation'!P29,'Asset Allocation'!Q29)),0)</f>
        <v>7.4999999999999997E-2</v>
      </c>
      <c r="H29" s="6">
        <f>IFERROR(IF(A29="","",SUM('Asset Allocation'!N29)),0)</f>
        <v>5.9000000000000004E-2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0.01</v>
      </c>
      <c r="E30" s="6">
        <f>IFERROR(IF(A30="","",SUM('Asset Allocation'!M30)),0)</f>
        <v>0.04</v>
      </c>
      <c r="F30" s="6">
        <f>IFERROR(IF(A30="","",SUM('Asset Allocation'!J30)),0)</f>
        <v>0</v>
      </c>
      <c r="G30" s="6">
        <f>IFERROR(IF(A30="","",SUM('Asset Allocation'!P30,'Asset Allocation'!Q30)),0)</f>
        <v>3.7999999999999999E-2</v>
      </c>
      <c r="H30" s="6">
        <f>IFERROR(IF(A30="","",SUM('Asset Allocation'!N30)),0)</f>
        <v>6.8000000000000005E-2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0.06</v>
      </c>
      <c r="F31" s="6">
        <f>IFERROR(IF(A31="","",SUM('Asset Allocation'!J31)),0)</f>
        <v>0</v>
      </c>
      <c r="G31" s="6">
        <f>IFERROR(IF(A31="","",SUM('Asset Allocation'!P31,'Asset Allocation'!Q31)),0)</f>
        <v>1.6E-2</v>
      </c>
      <c r="H31" s="6">
        <f>IFERROR(IF(A31="","",SUM('Asset Allocation'!N31)),0)</f>
        <v>7.8E-2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2.7999999999999997E-2</v>
      </c>
      <c r="D32" s="6">
        <f>IFERROR(IF(A32="","",SUM('Asset Allocation'!R32,'Asset Allocation'!K32)),0)</f>
        <v>0.158</v>
      </c>
      <c r="E32" s="6">
        <f>IFERROR(IF(A32="","",SUM('Asset Allocation'!M32)),0)</f>
        <v>3.1E-2</v>
      </c>
      <c r="F32" s="6">
        <f>IFERROR(IF(A32="","",SUM('Asset Allocation'!J32)),0)</f>
        <v>0</v>
      </c>
      <c r="G32" s="6">
        <f>IFERROR(IF(A32="","",SUM('Asset Allocation'!P32,'Asset Allocation'!Q32)),0)</f>
        <v>0.22600000000000001</v>
      </c>
      <c r="H32" s="6">
        <f>IFERROR(IF(A32="","",SUM('Asset Allocation'!N32)),0)</f>
        <v>4.8000000000000001E-2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8.0000000000000002E-3</v>
      </c>
      <c r="F33" s="6">
        <f>IFERROR(IF(A33="","",SUM('Asset Allocation'!J33)),0)</f>
        <v>9.6999999999999989E-2</v>
      </c>
      <c r="G33" s="6">
        <f>IFERROR(IF(A33="","",SUM('Asset Allocation'!P33,'Asset Allocation'!Q33)),0)</f>
        <v>0.2</v>
      </c>
      <c r="H33" s="6">
        <f>IFERROR(IF(A33="","",SUM('Asset Allocation'!N33)),0)</f>
        <v>1.3000000000000001E-2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1.4999999999999999E-2</v>
      </c>
      <c r="D34" s="6">
        <f>IFERROR(IF(A34="","",SUM('Asset Allocation'!R34,'Asset Allocation'!K34)),0)</f>
        <v>0.32200000000000001</v>
      </c>
      <c r="E34" s="6">
        <f>IFERROR(IF(A34="","",SUM('Asset Allocation'!M34)),0)</f>
        <v>9.0000000000000011E-3</v>
      </c>
      <c r="F34" s="6">
        <f>IFERROR(IF(A34="","",SUM('Asset Allocation'!J34)),0)</f>
        <v>6.3E-2</v>
      </c>
      <c r="G34" s="6">
        <f>IFERROR(IF(A34="","",SUM('Asset Allocation'!P34,'Asset Allocation'!Q34)),0)</f>
        <v>0.29199999999999998</v>
      </c>
      <c r="H34" s="6">
        <f>IFERROR(IF(A34="","",SUM('Asset Allocation'!N34)),0)</f>
        <v>1.4999999999999999E-2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1.3999999999999999E-2</v>
      </c>
      <c r="D35" s="6">
        <f>IFERROR(IF(A35="","",SUM('Asset Allocation'!R35,'Asset Allocation'!K35)),0)</f>
        <v>0.29299999999999998</v>
      </c>
      <c r="E35" s="6">
        <f>IFERROR(IF(A35="","",SUM('Asset Allocation'!M35)),0)</f>
        <v>1.1000000000000001E-2</v>
      </c>
      <c r="F35" s="6">
        <f>IFERROR(IF(A35="","",SUM('Asset Allocation'!J35)),0)</f>
        <v>3.6000000000000004E-2</v>
      </c>
      <c r="G35" s="6">
        <f>IFERROR(IF(A35="","",SUM('Asset Allocation'!P35,'Asset Allocation'!Q35)),0)</f>
        <v>0.21</v>
      </c>
      <c r="H35" s="6">
        <f>IFERROR(IF(A35="","",SUM('Asset Allocation'!N35)),0)</f>
        <v>2.4E-2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1.3999999999999999E-2</v>
      </c>
      <c r="D36" s="6">
        <f>IFERROR(IF(A36="","",SUM('Asset Allocation'!R36,'Asset Allocation'!K36)),0)</f>
        <v>0.28399999999999997</v>
      </c>
      <c r="E36" s="6">
        <f>IFERROR(IF(A36="","",SUM('Asset Allocation'!M36)),0)</f>
        <v>1.8000000000000002E-2</v>
      </c>
      <c r="F36" s="6">
        <f>IFERROR(IF(A36="","",SUM('Asset Allocation'!J36)),0)</f>
        <v>0.02</v>
      </c>
      <c r="G36" s="6">
        <f>IFERROR(IF(A36="","",SUM('Asset Allocation'!P36,'Asset Allocation'!Q36)),0)</f>
        <v>0.14300000000000002</v>
      </c>
      <c r="H36" s="6">
        <f>IFERROR(IF(A36="","",SUM('Asset Allocation'!N36)),0)</f>
        <v>2.8999999999999998E-2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1.4999999999999999E-2</v>
      </c>
      <c r="D37" s="6">
        <f>IFERROR(IF(A37="","",SUM('Asset Allocation'!R37,'Asset Allocation'!K37)),0)</f>
        <v>0.218</v>
      </c>
      <c r="E37" s="6">
        <f>IFERROR(IF(A37="","",SUM('Asset Allocation'!M37)),0)</f>
        <v>0.04</v>
      </c>
      <c r="F37" s="6">
        <f>IFERROR(IF(A37="","",SUM('Asset Allocation'!J37)),0)</f>
        <v>1.3999999999999999E-2</v>
      </c>
      <c r="G37" s="6">
        <f>IFERROR(IF(A37="","",SUM('Asset Allocation'!P37,'Asset Allocation'!Q37)),0)</f>
        <v>7.2999999999999995E-2</v>
      </c>
      <c r="H37" s="6">
        <f>IFERROR(IF(A37="","",SUM('Asset Allocation'!N37)),0)</f>
        <v>3.7999999999999999E-2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1.4999999999999999E-2</v>
      </c>
      <c r="D38" s="6">
        <f>IFERROR(IF(A38="","",SUM('Asset Allocation'!R38,'Asset Allocation'!K38)),0)</f>
        <v>0.14599999999999999</v>
      </c>
      <c r="E38" s="6">
        <f>IFERROR(IF(A38="","",SUM('Asset Allocation'!M38)),0)</f>
        <v>6.9000000000000006E-2</v>
      </c>
      <c r="F38" s="6">
        <f>IFERROR(IF(A38="","",SUM('Asset Allocation'!J38)),0)</f>
        <v>1.3000000000000001E-2</v>
      </c>
      <c r="G38" s="6">
        <f>IFERROR(IF(A38="","",SUM('Asset Allocation'!P38,'Asset Allocation'!Q38)),0)</f>
        <v>3.3000000000000002E-2</v>
      </c>
      <c r="H38" s="6">
        <f>IFERROR(IF(A38="","",SUM('Asset Allocation'!N38)),0)</f>
        <v>4.9000000000000002E-2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Allocation'!#REF!)/'Broad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Allocation'!#REF!)/'Broad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Allocation'!#REF!)/'Broad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Allocation'!#REF!)/'Broad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Allocation'!#REF!)/'Broad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Allocation'!#REF!)/'Broad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Allocation'!#REF!)/'Broad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Allocation'!#REF!)/'Broad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Allocation'!#REF!)/'Broad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Allocation'!#REF!)/'Broad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Allocation'!#REF!)/'Broad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Allocation'!#REF!)/'Broad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Allocation'!#REF!)/'Broad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Allocation'!#REF!)/'Broad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Allocation'!#REF!)/'Broad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Allocation'!#REF!)/'Broad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Allocation'!#REF!)/'Broad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Allocation'!#REF!)/'Broad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Allocation'!#REF!)/'Broad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Allocation'!#REF!)/'Broad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Allocation'!#REF!)/'Broad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Allocation'!#REF!)/'Broad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Allocation'!#REF!)/'Broad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Allocation'!#REF!)/'Broad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Allocation'!#REF!)/'Broad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Allocation'!#REF!)/'Broad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Allocation'!#REF!)/'Broad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Allocation'!#REF!)/'Broad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Allocation'!#REF!)/'Broad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Allocation'!#REF!)/'Broad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Allocation'!#REF!)/'Broad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Allocation'!#REF!)/'Broad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Allocation'!#REF!)/'Broad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Allocation'!#REF!)/'Broad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Allocation'!#REF!)/'Broad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Allocation'!#REF!)/'Broad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Allocation'!#REF!)/'Broad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Allocation'!#REF!)/'Broad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Allocation'!#REF!)/'Broad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Allocation'!#REF!)/'Broad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Allocation'!#REF!)/'Broad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Allocation'!#REF!)/'Broad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Allocation'!#REF!)/'Broad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Allocation'!#REF!)/'Broad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Allocation'!#REF!)/'Broad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Allocation'!#REF!)/'Broad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Allocation'!#REF!)/'Broad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Allocation'!#REF!)/'Broad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Allocation'!#REF!)/'Broad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2023-09-19T07:28:15Z</dcterms:modified>
</cp:coreProperties>
</file>