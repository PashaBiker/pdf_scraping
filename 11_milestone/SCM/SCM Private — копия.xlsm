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SCM Private\"/>
    </mc:Choice>
  </mc:AlternateContent>
  <xr:revisionPtr revIDLastSave="0" documentId="13_ncr:1_{817A3955-0823-4E7F-8562-CDA6BB37797F}" xr6:coauthVersionLast="47" xr6:coauthVersionMax="47" xr10:uidLastSave="{00000000-0000-0000-0000-000000000000}"/>
  <bookViews>
    <workbookView xWindow="760" yWindow="760" windowWidth="14400" windowHeight="7270" firstSheet="1" activeTab="1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C49" i="31" s="1"/>
  <c r="A48" i="31"/>
  <c r="C48" i="31" s="1"/>
  <c r="A47" i="31"/>
  <c r="C47" i="31" s="1"/>
  <c r="A46" i="31"/>
  <c r="C46" i="31" s="1"/>
  <c r="A45" i="31"/>
  <c r="C45" i="31" s="1"/>
  <c r="A44" i="31"/>
  <c r="C44" i="31" s="1"/>
  <c r="A43" i="31"/>
  <c r="C43" i="31" s="1"/>
  <c r="A42" i="31"/>
  <c r="C42" i="31" s="1"/>
  <c r="A41" i="31"/>
  <c r="C41" i="31" s="1"/>
  <c r="A40" i="31"/>
  <c r="C40" i="31" s="1"/>
  <c r="A39" i="31"/>
  <c r="C39" i="31" s="1"/>
  <c r="A38" i="31"/>
  <c r="C38" i="31" s="1"/>
  <c r="A37" i="31"/>
  <c r="C37" i="31" s="1"/>
  <c r="A36" i="31"/>
  <c r="C36" i="31" s="1"/>
  <c r="A35" i="31"/>
  <c r="C35" i="31" s="1"/>
  <c r="A34" i="31"/>
  <c r="C34" i="31" s="1"/>
  <c r="A33" i="31"/>
  <c r="C33" i="31" s="1"/>
  <c r="A32" i="31"/>
  <c r="C32" i="31" s="1"/>
  <c r="A31" i="31"/>
  <c r="C31" i="31" s="1"/>
  <c r="A30" i="31"/>
  <c r="C30" i="31" s="1"/>
  <c r="A29" i="31"/>
  <c r="C29" i="31" s="1"/>
  <c r="A28" i="31"/>
  <c r="C28" i="31" s="1"/>
  <c r="A27" i="31"/>
  <c r="C27" i="31" s="1"/>
  <c r="A26" i="31"/>
  <c r="C26" i="31" s="1"/>
  <c r="A25" i="31"/>
  <c r="C25" i="31" s="1"/>
  <c r="A24" i="31"/>
  <c r="C24" i="31" s="1"/>
  <c r="A23" i="31"/>
  <c r="C23" i="31" s="1"/>
  <c r="A22" i="31"/>
  <c r="C22" i="31" s="1"/>
  <c r="A21" i="31"/>
  <c r="C21" i="31" s="1"/>
  <c r="A20" i="31"/>
  <c r="C20" i="31" s="1"/>
  <c r="A19" i="31"/>
  <c r="C19" i="31" s="1"/>
  <c r="A18" i="31"/>
  <c r="C18" i="31" s="1"/>
  <c r="A17" i="31"/>
  <c r="C17" i="31" s="1"/>
  <c r="A16" i="31"/>
  <c r="C16" i="31" s="1"/>
  <c r="A15" i="31"/>
  <c r="C15" i="31" s="1"/>
  <c r="A14" i="31"/>
  <c r="C14" i="31" s="1"/>
  <c r="A13" i="31"/>
  <c r="C13" i="31" s="1"/>
  <c r="A12" i="31"/>
  <c r="C12" i="31" s="1"/>
  <c r="A11" i="31"/>
  <c r="C11" i="31" s="1"/>
  <c r="A10" i="31"/>
  <c r="C10" i="31" s="1"/>
  <c r="A9" i="31"/>
  <c r="C9" i="31" s="1"/>
  <c r="A8" i="31"/>
  <c r="C8" i="31" s="1"/>
  <c r="A7" i="31"/>
  <c r="C7" i="31" s="1"/>
  <c r="A6" i="31"/>
  <c r="C6" i="31" s="1"/>
  <c r="A5" i="31"/>
  <c r="C5" i="31" s="1"/>
  <c r="A4" i="31"/>
  <c r="C4" i="31" s="1"/>
  <c r="A3" i="31"/>
  <c r="C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B7" i="31"/>
  <c r="D7" i="31"/>
  <c r="F7" i="31"/>
  <c r="E7" i="31"/>
  <c r="G23" i="31"/>
  <c r="B23" i="31"/>
  <c r="F23" i="31"/>
  <c r="D23" i="31"/>
  <c r="E23" i="31"/>
  <c r="G39" i="31"/>
  <c r="B39" i="31"/>
  <c r="D39" i="31"/>
  <c r="E39" i="31"/>
  <c r="F39" i="31"/>
  <c r="G47" i="31"/>
  <c r="B47" i="31"/>
  <c r="D47" i="31"/>
  <c r="E47" i="31"/>
  <c r="F47" i="31"/>
  <c r="D14" i="31"/>
  <c r="E14" i="31"/>
  <c r="F14" i="31"/>
  <c r="G14" i="31"/>
  <c r="B14" i="31"/>
  <c r="D46" i="31"/>
  <c r="F46" i="31"/>
  <c r="B46" i="31"/>
  <c r="E46" i="31"/>
  <c r="G46" i="31"/>
  <c r="G15" i="31"/>
  <c r="B15" i="31"/>
  <c r="D15" i="31"/>
  <c r="F15" i="31"/>
  <c r="E15" i="31"/>
  <c r="G31" i="31"/>
  <c r="F31" i="31"/>
  <c r="B31" i="31"/>
  <c r="D31" i="31"/>
  <c r="E31" i="31"/>
  <c r="B8" i="31"/>
  <c r="D8" i="31"/>
  <c r="E8" i="31"/>
  <c r="F8" i="31"/>
  <c r="G8" i="31"/>
  <c r="B16" i="31"/>
  <c r="D16" i="31"/>
  <c r="E16" i="31"/>
  <c r="F16" i="31"/>
  <c r="G16" i="31"/>
  <c r="B24" i="31"/>
  <c r="D24" i="31"/>
  <c r="E24" i="31"/>
  <c r="F24" i="31"/>
  <c r="G24" i="31"/>
  <c r="B32" i="31"/>
  <c r="D32" i="31"/>
  <c r="E32" i="31"/>
  <c r="F32" i="31"/>
  <c r="G32" i="31"/>
  <c r="B40" i="31"/>
  <c r="D40" i="31"/>
  <c r="E40" i="31"/>
  <c r="F40" i="31"/>
  <c r="G40" i="31"/>
  <c r="B48" i="31"/>
  <c r="D48" i="31"/>
  <c r="E48" i="31"/>
  <c r="F48" i="31"/>
  <c r="G48" i="31"/>
  <c r="E9" i="31"/>
  <c r="F9" i="31"/>
  <c r="G9" i="31"/>
  <c r="D9" i="31"/>
  <c r="B9" i="31"/>
  <c r="E17" i="31"/>
  <c r="F17" i="31"/>
  <c r="G17" i="31"/>
  <c r="B17" i="31"/>
  <c r="D17" i="31"/>
  <c r="E25" i="31"/>
  <c r="F25" i="31"/>
  <c r="G25" i="31"/>
  <c r="D25" i="31"/>
  <c r="B25" i="31"/>
  <c r="E33" i="31"/>
  <c r="F33" i="31"/>
  <c r="G33" i="31"/>
  <c r="D33" i="31"/>
  <c r="B33" i="31"/>
  <c r="E41" i="31"/>
  <c r="F41" i="31"/>
  <c r="G41" i="31"/>
  <c r="D41" i="31"/>
  <c r="B41" i="31"/>
  <c r="E49" i="31"/>
  <c r="G49" i="31"/>
  <c r="F49" i="31"/>
  <c r="D49" i="31"/>
  <c r="B49" i="31"/>
  <c r="B34" i="31"/>
  <c r="D34" i="31"/>
  <c r="E34" i="31"/>
  <c r="F34" i="31"/>
  <c r="G34" i="31"/>
  <c r="B42" i="31"/>
  <c r="G42" i="31"/>
  <c r="D42" i="31"/>
  <c r="E42" i="31"/>
  <c r="F42" i="31"/>
  <c r="G50" i="31"/>
  <c r="B50" i="31"/>
  <c r="D50" i="31"/>
  <c r="E50" i="31"/>
  <c r="F50" i="31"/>
  <c r="D6" i="31"/>
  <c r="E6" i="31"/>
  <c r="F6" i="31"/>
  <c r="G6" i="31"/>
  <c r="B6" i="31"/>
  <c r="D30" i="31"/>
  <c r="E30" i="31"/>
  <c r="B30" i="31"/>
  <c r="F30" i="31"/>
  <c r="G30" i="31"/>
  <c r="G10" i="31"/>
  <c r="B10" i="31"/>
  <c r="D10" i="31"/>
  <c r="E10" i="31"/>
  <c r="F10" i="31"/>
  <c r="B3" i="31"/>
  <c r="D3" i="31"/>
  <c r="E3" i="31"/>
  <c r="F3" i="31"/>
  <c r="G3" i="31"/>
  <c r="B11" i="31"/>
  <c r="D11" i="31"/>
  <c r="E11" i="31"/>
  <c r="F11" i="31"/>
  <c r="G11" i="31"/>
  <c r="B19" i="31"/>
  <c r="D19" i="31"/>
  <c r="E19" i="31"/>
  <c r="F19" i="31"/>
  <c r="G19" i="31"/>
  <c r="B27" i="31"/>
  <c r="D27" i="31"/>
  <c r="E27" i="31"/>
  <c r="F27" i="31"/>
  <c r="G27" i="31"/>
  <c r="B35" i="31"/>
  <c r="D35" i="31"/>
  <c r="E35" i="31"/>
  <c r="F35" i="31"/>
  <c r="G35" i="31"/>
  <c r="B43" i="31"/>
  <c r="D43" i="31"/>
  <c r="E43" i="31"/>
  <c r="F43" i="31"/>
  <c r="G43" i="31"/>
  <c r="D22" i="31"/>
  <c r="E22" i="31"/>
  <c r="F22" i="31"/>
  <c r="G22" i="31"/>
  <c r="B22" i="31"/>
  <c r="E2" i="31"/>
  <c r="G2" i="31"/>
  <c r="F2" i="31"/>
  <c r="B2" i="31"/>
  <c r="G18" i="31"/>
  <c r="B18" i="31"/>
  <c r="D18" i="31"/>
  <c r="E18" i="31"/>
  <c r="F18" i="31"/>
  <c r="F4" i="31"/>
  <c r="G4" i="31"/>
  <c r="B4" i="31"/>
  <c r="D4" i="31"/>
  <c r="E4" i="31"/>
  <c r="F12" i="31"/>
  <c r="E12" i="31"/>
  <c r="G12" i="31"/>
  <c r="B12" i="31"/>
  <c r="D12" i="31"/>
  <c r="F20" i="31"/>
  <c r="G20" i="31"/>
  <c r="E20" i="31"/>
  <c r="B20" i="31"/>
  <c r="D20" i="31"/>
  <c r="F28" i="31"/>
  <c r="E28" i="31"/>
  <c r="G28" i="31"/>
  <c r="B28" i="31"/>
  <c r="D28" i="31"/>
  <c r="F36" i="31"/>
  <c r="E36" i="31"/>
  <c r="G36" i="31"/>
  <c r="B36" i="31"/>
  <c r="D36" i="31"/>
  <c r="F44" i="31"/>
  <c r="G44" i="31"/>
  <c r="E44" i="31"/>
  <c r="B44" i="31"/>
  <c r="D44" i="31"/>
  <c r="D38" i="31"/>
  <c r="E38" i="31"/>
  <c r="B38" i="31"/>
  <c r="F38" i="31"/>
  <c r="G38" i="31"/>
  <c r="B26" i="31"/>
  <c r="D26" i="31"/>
  <c r="E26" i="31"/>
  <c r="F26" i="31"/>
  <c r="G26" i="31"/>
  <c r="B5" i="31"/>
  <c r="D5" i="31"/>
  <c r="E5" i="31"/>
  <c r="F5" i="31"/>
  <c r="G5" i="31"/>
  <c r="B13" i="31"/>
  <c r="D13" i="31"/>
  <c r="E13" i="31"/>
  <c r="F13" i="31"/>
  <c r="G13" i="31"/>
  <c r="B21" i="31"/>
  <c r="D21" i="31"/>
  <c r="E21" i="31"/>
  <c r="F21" i="31"/>
  <c r="G21" i="31"/>
  <c r="B29" i="31"/>
  <c r="D29" i="31"/>
  <c r="E29" i="31"/>
  <c r="F29" i="31"/>
  <c r="G29" i="31"/>
  <c r="B37" i="31"/>
  <c r="D37" i="31"/>
  <c r="E37" i="31"/>
  <c r="F37" i="31"/>
  <c r="G37" i="31"/>
  <c r="B45" i="31"/>
  <c r="D45" i="31"/>
  <c r="E45" i="31"/>
  <c r="F45" i="31"/>
  <c r="G45" i="31"/>
  <c r="B1" i="39" a="1"/>
  <c r="B1" i="39" s="1"/>
  <c r="B1" i="38" a="1"/>
  <c r="B1" i="38" s="1"/>
  <c r="B1" i="37" a="1"/>
  <c r="B1" i="37" s="1"/>
  <c r="F21" i="7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<sst xmlns="http://schemas.openxmlformats.org/spreadsheetml/2006/main" count="91" uniqueCount="73">
  <si>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</si>
  <si>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</si>
  <si>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</si>
  <si>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</si>
  <si>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</si>
  <si>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</si>
  <si>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</si>
  <si>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</si>
  <si>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</si>
  <si>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</si>
  <si>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</si>
  <si>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</si>
  <si>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</si>
  <si>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</si>
  <si>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</si>
  <si>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</si>
  <si>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</si>
  <si>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</si>
  <si>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</si>
  <si>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</si>
  <si>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</si>
  <si>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</si>
  <si>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</si>
  <si>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</si>
  <si>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</si>
  <si>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</si>
  <si>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</si>
  <si>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</si>
  <si>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North America</t>
  </si>
  <si>
    <t>Equities</t>
  </si>
  <si>
    <t>SCM Ethical (ESG) Portfolio</t>
  </si>
  <si>
    <t>SCM Bond Reserve</t>
  </si>
  <si>
    <t>SCM Absolute Return</t>
  </si>
  <si>
    <t>SCM Long-Term Return</t>
  </si>
  <si>
    <t>SCM 50/50 Bond Reserve / Absolute Return</t>
  </si>
  <si>
    <t>SCM 50/50 Bond Reserve / Long-Term Return</t>
  </si>
  <si>
    <t>SCM 50/50 Absolute Return / Long-Term Return</t>
  </si>
  <si>
    <t>SCM Equity Portfolio</t>
  </si>
  <si>
    <t>https://scmdirect.com/investment-portfolios/</t>
  </si>
  <si>
    <t>Last Month</t>
  </si>
  <si>
    <t>SCM Discretionary Fund Management Charge</t>
  </si>
  <si>
    <t>Underlying ETF costs (KIID Ongoing Charge)</t>
  </si>
  <si>
    <t>Asia emrg</t>
  </si>
  <si>
    <t>Europe dev</t>
  </si>
  <si>
    <t>Asia dev</t>
  </si>
  <si>
    <t>Africa / Middle East</t>
  </si>
  <si>
    <t>Latin America</t>
  </si>
  <si>
    <t>Europe emrg</t>
  </si>
  <si>
    <t>Australasia</t>
  </si>
  <si>
    <t>SCM 50-50 Bond Reserve - Absolute Return</t>
  </si>
  <si>
    <t>SCM 50-50 Bond Reserve - Long-Term Return</t>
  </si>
  <si>
    <t>SCM 50-50 Absolute Return - Long-Term Return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</si>
  <si>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</si>
  <si>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</si>
  <si>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</si>
  <si>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</si>
  <si>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</si>
  <si>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</si>
  <si>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</si>
  <si>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YTD</t>
  </si>
  <si>
    <t>Last 3 Yrs</t>
  </si>
  <si>
    <t>Last 5 Yrs</t>
  </si>
  <si>
    <t>Since Inception</t>
  </si>
  <si>
    <t>12m to 30.09.23</t>
  </si>
  <si>
    <t>https://scmdirect.com/wp-content/themes/scmTheme/pdf/scm-ethical-portfolio.pdf</t>
  </si>
  <si>
    <t>https://scmdirect.com/wp-content/themes/scmTheme/pdf/scm-bond-reserve.pdf</t>
  </si>
  <si>
    <t>https://scmdirect.com/wp-content/themes/scmTheme/pdf/scm-absolute-return.pdf</t>
  </si>
  <si>
    <t>https://scmdirect.com/wp-content/themes/scmTheme/pdf/scm-long-term-return.pdf</t>
  </si>
  <si>
    <t>https://scmdirect.com/wp-content/themes/scmTheme/pdf/scm-50-50-bond-reserve-absolute-return.pdf</t>
  </si>
  <si>
    <t>https://scmdirect.com/wp-content/themes/scmTheme/pdf/scm-50-50-bond-reserve-long-term-return.pdf</t>
  </si>
  <si>
    <t>https://scmdirect.com/wp-content/themes/scmTheme/pdf/scm-50-50-absolute-return-long-term-return.pdf</t>
  </si>
  <si>
    <t>http://scmdirect.com/wp-content/themes/scmTheme/pdf/scm-equity-portfolio.pdf</t>
  </si>
  <si>
    <t>12m to 31.10.23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</si>
</sst>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101600</xdr:rowOff>
    </xdr:from>
    <xdr:to>
      <xdr:col>5</xdr:col>
      <xdr:colOff>326902</xdr:colOff>
      <xdr:row>16</xdr:row>
      <xdr:rowOff>38277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5E03F1-02DD-A194-49A1-B4A6F0B6A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5750"/>
          <a:ext cx="3374902" cy="26989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6</xdr:col>
      <xdr:colOff>19239</xdr:colOff>
      <xdr:row>35</xdr:row>
      <xdr:rowOff>25572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873076B-9230-9DD5-451B-6860C2764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30550"/>
          <a:ext cx="3676839" cy="334027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400227</xdr:colOff>
      <xdr:row>15</xdr:row>
      <xdr:rowOff>171591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D428F8-4A79-4027-BED4-E25A57A3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448227" cy="274969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11</xdr:col>
      <xdr:colOff>590706</xdr:colOff>
      <xdr:row>31</xdr:row>
      <xdr:rowOff>142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16D4EDC-21BD-D74E-DF0B-775F4D59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946400"/>
          <a:ext cx="3029106" cy="2762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>
      <selection activeCell="H17" sqref="H17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0"/>
  <sheetViews>
    <sheetView tabSelected="1" workbookViewId="0">
      <selection activeCell="D18" sqref="D18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45230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30</v>
      </c>
      <c r="B3" t="str">
        <f>'PDF Scraping'!D2</f>
        <v>https://scmdirect.com/wp-content/themes/scmTheme/pdf/scm-ethical-portfolio.pdf</v>
      </c>
      <c r="J3" s="4"/>
    </row>
    <row r="4" spans="1:10" x14ac:dyDescent="0.35">
      <c r="A4" t="s">
        <v>31</v>
      </c>
      <c r="B4" t="str">
        <f>'PDF Scraping'!D3</f>
        <v>https://scmdirect.com/wp-content/themes/scmTheme/pdf/scm-bond-reserve.pdf</v>
      </c>
      <c r="J4" s="4"/>
    </row>
    <row r="5" spans="1:10" x14ac:dyDescent="0.35">
      <c r="A5" t="s">
        <v>32</v>
      </c>
      <c r="B5" t="str">
        <f>'PDF Scraping'!D4</f>
        <v>https://scmdirect.com/wp-content/themes/scmTheme/pdf/scm-absolute-return.pdf</v>
      </c>
    </row>
    <row r="6" spans="1:10" x14ac:dyDescent="0.35">
      <c r="A6" t="s">
        <v>33</v>
      </c>
      <c r="B6" t="str">
        <f>'PDF Scraping'!D5</f>
        <v>https://scmdirect.com/wp-content/themes/scmTheme/pdf/scm-long-term-return.pdf</v>
      </c>
    </row>
    <row r="7" spans="1:10" x14ac:dyDescent="0.35">
      <c r="A7" t="s">
        <v>49</v>
      </c>
      <c r="B7" t="str">
        <f>'PDF Scraping'!D6</f>
        <v>https://scmdirect.com/wp-content/themes/scmTheme/pdf/scm-50-50-bond-reserve-absolute-return.pdf</v>
      </c>
    </row>
    <row r="8" spans="1:10" x14ac:dyDescent="0.35">
      <c r="A8" t="s">
        <v>50</v>
      </c>
      <c r="B8" t="str">
        <f>'PDF Scraping'!D7</f>
        <v>https://scmdirect.com/wp-content/themes/scmTheme/pdf/scm-50-50-bond-reserve-long-term-return.pdf</v>
      </c>
    </row>
    <row r="9" spans="1:10" x14ac:dyDescent="0.35">
      <c r="A9" t="s">
        <v>51</v>
      </c>
      <c r="B9" t="str">
        <f>'PDF Scraping'!D8</f>
        <v>https://scmdirect.com/wp-content/themes/scmTheme/pdf/scm-50-50-absolute-return-long-term-return.pdf</v>
      </c>
    </row>
    <row r="10" spans="1:10" x14ac:dyDescent="0.35">
      <c r="A10" t="s">
        <v>37</v>
      </c>
      <c r="B10" t="str">
        <f>'PDF Scraping'!D9</f>
        <v>http://scmdirect.com/wp-content/themes/scmTheme/pdf/scm-equity-portfolio.pdf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K50"/>
  <sheetViews>
    <sheetView topLeftCell="B1" workbookViewId="0">
      <selection activeCell="J2" sqref="J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11" x14ac:dyDescent="0.35">
      <c r="B1" t="s">
        <v>22</v>
      </c>
      <c r="C1" t="s">
        <v>40</v>
      </c>
      <c r="D1" t="s">
        <v>41</v>
      </c>
      <c r="E1" t="s">
        <v>39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72</v>
      </c>
    </row>
    <row r="2" spans="1:11" x14ac:dyDescent="0.35">
      <c r="A2" t="str">
        <f>IF(Input!A3="","",Input!A3)</f>
        <v>SCM Ethical (ESG) Portfolio</v>
      </c>
      <c r="B2" s="1">
        <v>45229</v>
      </c>
      <c r="C2" s="5">
        <v>4.0000000000000001E-3</v>
      </c>
      <c r="D2" s="5">
        <v>2.3999999999999998E-3</v>
      </c>
      <c r="E2" s="5"/>
      <c r="F2" s="5"/>
      <c r="J2" s="5"/>
      <c r="K2" s="5">
        <v>3.9E-2</v>
      </c>
    </row>
    <row r="3" spans="1:11" x14ac:dyDescent="0.35">
      <c r="A3" t="str">
        <f>IF(Input!A4="","",Input!A4)</f>
        <v>SCM Bond Reserve</v>
      </c>
      <c r="B3" s="1">
        <v>45229</v>
      </c>
      <c r="C3" s="5">
        <v>4.0000000000000001E-3</v>
      </c>
      <c r="D3" s="5">
        <v>3.3E-3</v>
      </c>
      <c r="E3" s="5">
        <v>-8.0000000000000004E-4</v>
      </c>
      <c r="F3" s="5">
        <v>1.38E-2</v>
      </c>
      <c r="G3" s="5">
        <v>-0.12300000000000001</v>
      </c>
      <c r="H3" s="5">
        <v>-2.8999999999999998E-2</v>
      </c>
      <c r="I3" s="5">
        <v>0.32700000000000001</v>
      </c>
      <c r="J3" s="5"/>
      <c r="K3" s="5">
        <v>6.0999999999999999E-2</v>
      </c>
    </row>
    <row r="4" spans="1:11" x14ac:dyDescent="0.35">
      <c r="A4" t="str">
        <f>IF(Input!A5="","",Input!A5)</f>
        <v>SCM Absolute Return</v>
      </c>
      <c r="B4" s="1">
        <v>45229</v>
      </c>
      <c r="C4" s="5">
        <v>4.0000000000000001E-3</v>
      </c>
      <c r="D4" s="5">
        <v>2.3999999999999998E-3</v>
      </c>
      <c r="E4" s="5">
        <v>-2.4900000000000002E-2</v>
      </c>
      <c r="F4" s="5">
        <v>1.09E-2</v>
      </c>
      <c r="G4" s="5">
        <v>9.3000000000000013E-2</v>
      </c>
      <c r="H4" s="5">
        <v>0.121</v>
      </c>
      <c r="I4" s="5">
        <v>1.1100000000000001</v>
      </c>
      <c r="J4" s="5"/>
      <c r="K4" s="5">
        <v>6.9000000000000006E-2</v>
      </c>
    </row>
    <row r="5" spans="1:11" x14ac:dyDescent="0.35">
      <c r="A5" t="str">
        <f>IF(Input!A6="","",Input!A6)</f>
        <v>SCM Long-Term Return</v>
      </c>
      <c r="B5" s="1">
        <v>45229</v>
      </c>
      <c r="C5" s="5">
        <v>4.0000000000000001E-3</v>
      </c>
      <c r="D5" s="5">
        <v>2.3E-3</v>
      </c>
      <c r="E5" s="5">
        <v>-3.0099999999999998E-2</v>
      </c>
      <c r="F5" s="5">
        <v>6.9999999999999993E-3</v>
      </c>
      <c r="G5" s="5">
        <v>0.16</v>
      </c>
      <c r="H5" s="5">
        <v>0.16200000000000001</v>
      </c>
      <c r="I5" s="5">
        <v>1.5590000000000002</v>
      </c>
      <c r="J5" s="5"/>
      <c r="K5" s="5">
        <v>0.06</v>
      </c>
    </row>
    <row r="6" spans="1:11" x14ac:dyDescent="0.35">
      <c r="A6" t="str">
        <f>IF(Input!A7="","",Input!A7)</f>
        <v>SCM 50-50 Bond Reserve - Absolute Return</v>
      </c>
      <c r="B6" s="1">
        <v>45229</v>
      </c>
      <c r="C6" s="5">
        <v>4.0000000000000001E-3</v>
      </c>
      <c r="D6" s="5">
        <v>2.8999999999999998E-3</v>
      </c>
      <c r="E6" s="5">
        <v>-1.29E-2</v>
      </c>
      <c r="F6" s="5">
        <v>1.2500000000000001E-2</v>
      </c>
      <c r="G6" s="5">
        <v>-1.9E-2</v>
      </c>
      <c r="H6" s="5">
        <v>4.5999999999999999E-2</v>
      </c>
      <c r="I6" s="5">
        <v>0.47799999999999998</v>
      </c>
      <c r="J6" s="5"/>
      <c r="K6" s="5">
        <v>6.5000000000000002E-2</v>
      </c>
    </row>
    <row r="7" spans="1:11" x14ac:dyDescent="0.35">
      <c r="A7" t="str">
        <f>IF(Input!A8="","",Input!A8)</f>
        <v>SCM 50-50 Bond Reserve - Long-Term Return</v>
      </c>
      <c r="B7" s="1">
        <v>45229</v>
      </c>
      <c r="C7" s="5">
        <v>4.0000000000000001E-3</v>
      </c>
      <c r="D7" s="5">
        <v>2.8000000000000004E-3</v>
      </c>
      <c r="E7" s="5">
        <v>-1.55E-2</v>
      </c>
      <c r="F7" s="5">
        <v>1.0700000000000001E-2</v>
      </c>
      <c r="G7" s="5">
        <v>1.1000000000000001E-2</v>
      </c>
      <c r="H7" s="5">
        <v>6.6000000000000003E-2</v>
      </c>
      <c r="I7" s="5">
        <v>0.58899999999999997</v>
      </c>
      <c r="J7" s="5"/>
      <c r="K7" s="5">
        <v>6.0999999999999999E-2</v>
      </c>
    </row>
    <row r="8" spans="1:11" x14ac:dyDescent="0.35">
      <c r="A8" t="str">
        <f>IF(Input!A9="","",Input!A9)</f>
        <v>SCM 50-50 Absolute Return - Long-Term Return</v>
      </c>
      <c r="B8" s="1">
        <v>45229</v>
      </c>
      <c r="C8" s="5">
        <v>4.0000000000000001E-3</v>
      </c>
      <c r="D8" s="5">
        <v>2.3E-3</v>
      </c>
      <c r="E8" s="5">
        <v>-2.75E-2</v>
      </c>
      <c r="F8" s="5">
        <v>8.6999999999999994E-3</v>
      </c>
      <c r="G8" s="5">
        <v>0.129</v>
      </c>
      <c r="H8" s="5">
        <v>0.14300000000000002</v>
      </c>
      <c r="I8" s="5">
        <v>1.3340000000000001</v>
      </c>
      <c r="J8" s="5"/>
      <c r="K8" s="5">
        <v>6.5000000000000002E-2</v>
      </c>
    </row>
    <row r="9" spans="1:11" x14ac:dyDescent="0.35">
      <c r="A9" t="str">
        <f>IF(Input!A10="","",Input!A10)</f>
        <v>SCM Equity Portfolio</v>
      </c>
      <c r="B9" s="1">
        <v>45229</v>
      </c>
      <c r="C9" s="5">
        <v>4.0000000000000001E-3</v>
      </c>
      <c r="D9" s="5">
        <v>2E-3</v>
      </c>
      <c r="E9" s="5"/>
      <c r="F9" s="5"/>
      <c r="J9" s="5"/>
      <c r="K9" s="5">
        <v>6.0999999999999999E-2</v>
      </c>
    </row>
    <row r="10" spans="1:11" x14ac:dyDescent="0.35">
      <c r="A10" t="str">
        <f>IF(Input!A11="","",Input!A11)</f>
        <v/>
      </c>
      <c r="B10" s="1"/>
      <c r="C10" s="5"/>
      <c r="D10" s="5"/>
      <c r="E10" s="5"/>
      <c r="F10" s="5"/>
    </row>
    <row r="11" spans="1:11" x14ac:dyDescent="0.35">
      <c r="A11" t="str">
        <f>IF(Input!A12="","",Input!A12)</f>
        <v/>
      </c>
      <c r="B11" s="1"/>
      <c r="C11" s="5"/>
      <c r="D11" s="5"/>
      <c r="E11" s="5"/>
      <c r="F11" s="5"/>
    </row>
    <row r="12" spans="1:11" x14ac:dyDescent="0.35">
      <c r="A12" t="str">
        <f>IF(Input!A13="","",Input!A13)</f>
        <v/>
      </c>
      <c r="B12" s="1"/>
      <c r="C12" s="5"/>
      <c r="D12" s="5"/>
      <c r="E12" s="5"/>
      <c r="F12" s="5"/>
    </row>
    <row r="13" spans="1:11" x14ac:dyDescent="0.35">
      <c r="A13" t="str">
        <f>IF(Input!A14="","",Input!A14)</f>
        <v/>
      </c>
      <c r="B13" s="1"/>
      <c r="C13" s="5"/>
      <c r="D13" s="5"/>
      <c r="E13" s="5"/>
      <c r="F13" s="5"/>
    </row>
    <row r="14" spans="1:11" x14ac:dyDescent="0.35">
      <c r="A14" t="str">
        <f>IF(Input!A15="","",Input!A15)</f>
        <v/>
      </c>
      <c r="B14" s="1"/>
      <c r="C14" s="5"/>
      <c r="D14" s="5"/>
      <c r="E14" s="5"/>
      <c r="F14" s="5"/>
    </row>
    <row r="15" spans="1:11" x14ac:dyDescent="0.35">
      <c r="A15" t="str">
        <f>IF(Input!A16="","",Input!A16)</f>
        <v/>
      </c>
      <c r="B15" s="1"/>
      <c r="C15" s="5"/>
      <c r="D15" s="5"/>
      <c r="E15" s="5"/>
      <c r="F15" s="5"/>
    </row>
    <row r="16" spans="1:11" x14ac:dyDescent="0.3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H2" sqref="H2"/>
    </sheetView>
  </sheetViews>
  <sheetFormatPr defaultRowHeight="14.5" x14ac:dyDescent="0.35"/>
  <cols>
    <col min="1" max="1" width="41.08984375" bestFit="1" customWidth="1"/>
    <col min="2" max="2" width="6.81640625" bestFit="1" customWidth="1"/>
    <col min="3" max="3" width="7.36328125" bestFit="1" customWidth="1"/>
    <col min="4" max="4" width="6.81640625" bestFit="1" customWidth="1"/>
    <col min="5" max="5" width="14.1796875" bestFit="1" customWidth="1"/>
    <col min="6" max="6" width="13" bestFit="1" customWidth="1"/>
    <col min="7" max="7" width="6.81640625" bestFit="1" customWidth="1"/>
    <col min="8" max="8" width="9" bestFit="1" customWidth="1"/>
    <col min="9" max="9" width="10.26953125" bestFit="1" customWidth="1"/>
    <col min="10" max="10" width="7.7265625" bestFit="1" customWidth="1"/>
    <col min="11" max="11" width="17.26953125" bestFit="1" customWidth="1"/>
    <col min="12" max="12" width="12.08984375" bestFit="1" customWidth="1"/>
    <col min="13" max="13" width="11.54296875" bestFit="1" customWidth="1"/>
    <col min="14" max="14" width="10.453125" bestFit="1" customWidth="1"/>
    <col min="15" max="15" width="22.363281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3</v>
      </c>
      <c r="C1" t="s">
        <v>29</v>
      </c>
      <c r="D1" t="s">
        <v>4</v>
      </c>
      <c r="E1" t="s">
        <v>8</v>
      </c>
      <c r="F1" t="s">
        <v>28</v>
      </c>
      <c r="G1" t="s">
        <v>5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</row>
    <row r="2" spans="1:30" x14ac:dyDescent="0.35">
      <c r="A2" t="str">
        <f>IF(Input!A3="","",Input!A3)</f>
        <v>SCM Ethical (ESG) Portfolio</v>
      </c>
      <c r="B2" s="5">
        <v>0.252</v>
      </c>
      <c r="C2" s="5">
        <v>0.745</v>
      </c>
      <c r="D2" s="5">
        <v>3.0000000000000001E-3</v>
      </c>
      <c r="E2" s="5">
        <v>0.35799999999999998</v>
      </c>
      <c r="F2" s="5">
        <v>0.154</v>
      </c>
      <c r="G2" s="5">
        <v>0.128</v>
      </c>
      <c r="H2" s="5">
        <v>0.11800000000000001</v>
      </c>
      <c r="I2" s="5">
        <v>9.6999999999999989E-2</v>
      </c>
      <c r="J2" s="5">
        <v>7.6999999999999999E-2</v>
      </c>
      <c r="K2" s="5">
        <v>3.9E-2</v>
      </c>
      <c r="L2" s="5">
        <v>2.5000000000000001E-2</v>
      </c>
      <c r="M2" s="5">
        <v>5.0000000000000001E-3</v>
      </c>
      <c r="N2" s="5">
        <v>0</v>
      </c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SCM Bond Reserve</v>
      </c>
      <c r="B3" s="5">
        <v>0.99400000000000011</v>
      </c>
      <c r="C3" s="5">
        <v>0</v>
      </c>
      <c r="D3" s="5">
        <v>6.0000000000000001E-3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SCM Absolute Return</v>
      </c>
      <c r="B4" s="5">
        <v>0.39500000000000002</v>
      </c>
      <c r="C4" s="5">
        <v>0.59899999999999998</v>
      </c>
      <c r="D4" s="5">
        <v>6.0000000000000001E-3</v>
      </c>
      <c r="E4" s="5">
        <v>0.42</v>
      </c>
      <c r="F4" s="5">
        <v>6.0000000000000001E-3</v>
      </c>
      <c r="G4" s="5">
        <v>0.14400000000000002</v>
      </c>
      <c r="H4" s="5">
        <v>0.153</v>
      </c>
      <c r="I4" s="5">
        <v>0.11</v>
      </c>
      <c r="J4" s="5">
        <v>9.8000000000000004E-2</v>
      </c>
      <c r="K4" s="5">
        <v>3.3000000000000002E-2</v>
      </c>
      <c r="L4" s="5">
        <v>2.7000000000000003E-2</v>
      </c>
      <c r="M4" s="5">
        <v>8.0000000000000002E-3</v>
      </c>
      <c r="N4" s="5">
        <v>0</v>
      </c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SCM Long-Term Return</v>
      </c>
      <c r="B5" s="5">
        <v>0.255</v>
      </c>
      <c r="C5" s="5">
        <v>0.74</v>
      </c>
      <c r="D5" s="5">
        <v>5.0000000000000001E-3</v>
      </c>
      <c r="E5" s="5">
        <v>0.379</v>
      </c>
      <c r="F5" s="5">
        <v>0.13400000000000001</v>
      </c>
      <c r="G5" s="5">
        <v>0.121</v>
      </c>
      <c r="H5" s="5">
        <v>0.128</v>
      </c>
      <c r="I5" s="5">
        <v>9.8000000000000004E-2</v>
      </c>
      <c r="J5" s="5">
        <v>8.199999999999999E-2</v>
      </c>
      <c r="K5" s="5">
        <v>2.7999999999999997E-2</v>
      </c>
      <c r="L5" s="5">
        <v>2.2000000000000002E-2</v>
      </c>
      <c r="M5" s="5">
        <v>6.9999999999999993E-3</v>
      </c>
      <c r="N5" s="5">
        <v>0</v>
      </c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SCM 50-50 Bond Reserve - Absolute Return</v>
      </c>
      <c r="B6" s="5">
        <v>0.69400000000000006</v>
      </c>
      <c r="C6" s="5">
        <v>0.3</v>
      </c>
      <c r="D6" s="5">
        <v>6.0000000000000001E-3</v>
      </c>
      <c r="E6" s="5">
        <v>0.42100000000000004</v>
      </c>
      <c r="F6" s="5">
        <v>6.9999999999999993E-3</v>
      </c>
      <c r="G6" s="5">
        <v>0.14300000000000002</v>
      </c>
      <c r="H6" s="5">
        <v>0.153</v>
      </c>
      <c r="I6" s="5">
        <v>0.11</v>
      </c>
      <c r="J6" s="5">
        <v>9.8000000000000004E-2</v>
      </c>
      <c r="K6" s="5">
        <v>3.3000000000000002E-2</v>
      </c>
      <c r="L6" s="5">
        <v>2.7000000000000003E-2</v>
      </c>
      <c r="M6" s="5">
        <v>8.0000000000000002E-3</v>
      </c>
      <c r="N6" s="5">
        <v>0</v>
      </c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SCM 50-50 Bond Reserve - Long-Term Return</v>
      </c>
      <c r="B7" s="5">
        <v>0.624</v>
      </c>
      <c r="C7" s="5">
        <v>0.37</v>
      </c>
      <c r="D7" s="5">
        <v>6.0000000000000001E-3</v>
      </c>
      <c r="E7" s="5">
        <v>0.379</v>
      </c>
      <c r="F7" s="5">
        <v>0.13400000000000001</v>
      </c>
      <c r="G7" s="5">
        <v>0.121</v>
      </c>
      <c r="H7" s="5">
        <v>0.128</v>
      </c>
      <c r="I7" s="5">
        <v>9.6999999999999989E-2</v>
      </c>
      <c r="J7" s="5">
        <v>8.199999999999999E-2</v>
      </c>
      <c r="K7" s="5">
        <v>2.7999999999999997E-2</v>
      </c>
      <c r="L7" s="5">
        <v>2.2000000000000002E-2</v>
      </c>
      <c r="M7" s="5">
        <v>6.9999999999999993E-3</v>
      </c>
      <c r="N7" s="5">
        <v>0</v>
      </c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SCM 50-50 Absolute Return - Long-Term Return</v>
      </c>
      <c r="B8" s="5">
        <v>0.32500000000000001</v>
      </c>
      <c r="C8" s="5">
        <v>0.67</v>
      </c>
      <c r="D8" s="5">
        <v>5.0000000000000001E-3</v>
      </c>
      <c r="E8" s="5">
        <v>0.39799999999999996</v>
      </c>
      <c r="F8" s="5">
        <v>7.6999999999999999E-2</v>
      </c>
      <c r="G8" s="5">
        <v>0.13100000000000001</v>
      </c>
      <c r="H8" s="5">
        <v>0.14000000000000001</v>
      </c>
      <c r="I8" s="5">
        <v>0.10300000000000001</v>
      </c>
      <c r="J8" s="5">
        <v>0.09</v>
      </c>
      <c r="K8" s="5">
        <v>3.1E-2</v>
      </c>
      <c r="L8" s="5">
        <v>2.4E-2</v>
      </c>
      <c r="M8" s="5">
        <v>6.9999999999999993E-3</v>
      </c>
      <c r="N8" s="5">
        <v>0</v>
      </c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SCM Equity Portfolio</v>
      </c>
      <c r="B9" s="5">
        <v>0</v>
      </c>
      <c r="C9" s="5">
        <v>0.997</v>
      </c>
      <c r="D9" s="5">
        <v>0.997</v>
      </c>
      <c r="E9" s="5">
        <v>0.38700000000000001</v>
      </c>
      <c r="F9" s="5">
        <v>0.126</v>
      </c>
      <c r="G9" s="5">
        <v>0.125</v>
      </c>
      <c r="H9" s="5">
        <v>0.129</v>
      </c>
      <c r="I9" s="5">
        <v>9.3000000000000013E-2</v>
      </c>
      <c r="J9" s="5">
        <v>8.3000000000000004E-2</v>
      </c>
      <c r="K9" s="5">
        <v>2.7999999999999997E-2</v>
      </c>
      <c r="L9" s="5">
        <v>2.2000000000000002E-2</v>
      </c>
      <c r="M9" s="5">
        <v>6.9999999999999993E-3</v>
      </c>
      <c r="N9" s="5">
        <v>0</v>
      </c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>
      <selection activeCell="D8" sqref="D8"/>
    </sheetView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SCM Ethical (ESG) Portfolio</v>
      </c>
      <c r="B2" t="s">
        <v>38</v>
      </c>
      <c r="C2" t="s">
        <v>30</v>
      </c>
      <c r="D2" s="8" t="s">
        <v>64</v>
      </c>
    </row>
    <row r="3" spans="1:5" x14ac:dyDescent="0.35">
      <c r="A3" t="str">
        <f>IF(Input!A4="","",Input!A4)</f>
        <v>SCM Bond Reserve</v>
      </c>
      <c r="B3" t="s">
        <v>38</v>
      </c>
      <c r="C3" t="s">
        <v>31</v>
      </c>
      <c r="D3" s="8" t="s">
        <v>65</v>
      </c>
    </row>
    <row r="4" spans="1:5" x14ac:dyDescent="0.35">
      <c r="A4" t="str">
        <f>IF(Input!A5="","",Input!A5)</f>
        <v>SCM Absolute Return</v>
      </c>
      <c r="B4" t="s">
        <v>38</v>
      </c>
      <c r="C4" t="s">
        <v>32</v>
      </c>
      <c r="D4" s="8" t="s">
        <v>66</v>
      </c>
    </row>
    <row r="5" spans="1:5" x14ac:dyDescent="0.35">
      <c r="A5" t="str">
        <f>IF(Input!A6="","",Input!A6)</f>
        <v>SCM Long-Term Return</v>
      </c>
      <c r="B5" t="s">
        <v>38</v>
      </c>
      <c r="C5" t="s">
        <v>33</v>
      </c>
      <c r="D5" s="8" t="s">
        <v>67</v>
      </c>
    </row>
    <row r="6" spans="1:5" x14ac:dyDescent="0.35">
      <c r="A6" t="str">
        <f>IF(Input!A7="","",Input!A7)</f>
        <v>SCM 50-50 Bond Reserve - Absolute Return</v>
      </c>
      <c r="B6" t="s">
        <v>38</v>
      </c>
      <c r="C6" t="s">
        <v>34</v>
      </c>
      <c r="D6" s="8" t="s">
        <v>68</v>
      </c>
    </row>
    <row r="7" spans="1:5" x14ac:dyDescent="0.35">
      <c r="A7" t="str">
        <f>IF(Input!A8="","",Input!A8)</f>
        <v>SCM 50-50 Bond Reserve - Long-Term Return</v>
      </c>
      <c r="B7" t="s">
        <v>38</v>
      </c>
      <c r="C7" t="s">
        <v>35</v>
      </c>
      <c r="D7" s="8" t="s">
        <v>69</v>
      </c>
    </row>
    <row r="8" spans="1:5" x14ac:dyDescent="0.35">
      <c r="A8" t="str">
        <f>IF(Input!A9="","",Input!A9)</f>
        <v>SCM 50-50 Absolute Return - Long-Term Return</v>
      </c>
      <c r="B8" t="s">
        <v>38</v>
      </c>
      <c r="C8" t="s">
        <v>36</v>
      </c>
      <c r="D8" s="8" t="s">
        <v>70</v>
      </c>
    </row>
    <row r="9" spans="1:5" x14ac:dyDescent="0.35">
      <c r="A9" t="str">
        <f>IF(Input!A10="","",Input!A10)</f>
        <v>SCM Equity Portfolio</v>
      </c>
      <c r="B9" t="s">
        <v>38</v>
      </c>
      <c r="C9" t="s">
        <v>37</v>
      </c>
      <c r="D9" s="8" t="s">
        <v>71</v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SCM Ethical (ESG) Portfolio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35">
      <c r="A3" t="str">
        <f>IF(Input!A4="","",Input!A4)</f>
        <v>SCM Bond Reserve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35">
      <c r="A4" t="str">
        <f>IF(Input!A5="","",Input!A5)</f>
        <v>SCM Absolute Return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35">
      <c r="A5" t="str">
        <f>IF(Input!A6="","",Input!A6)</f>
        <v>SCM Long-Term Return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35">
      <c r="A6" t="str">
        <f>IF(Input!A7="","",Input!A7)</f>
        <v>SCM 50-50 Bond Reserve - Absolute Return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35">
      <c r="A7" t="str">
        <f>IF(Input!A8="","",Input!A8)</f>
        <v>SCM 50-50 Bond Reserve - Long-Term Return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35">
      <c r="A8" t="str">
        <f>IF(Input!A9="","",Input!A9)</f>
        <v>SCM 50-50 Absolute Return - Long-Term Return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35">
      <c r="A9" t="str">
        <f>IF(Input!A10="","",Input!A10)</f>
        <v>SCM Equity Portfolio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3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3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3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3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55</v>
      </c>
      <c r="D1" t="s">
        <v>18</v>
      </c>
      <c r="E1" t="s">
        <v>52</v>
      </c>
      <c r="F1" t="s">
        <v>56</v>
      </c>
      <c r="G1" t="s">
        <v>57</v>
      </c>
    </row>
    <row r="2" spans="1:7" x14ac:dyDescent="0.35">
      <c r="A2" t="str">
        <f>IF(Input!A3="","",Input!A3)</f>
        <v>SCM Ethical (ESG) Portfolio</v>
      </c>
      <c r="B2" t="str">
        <f>IF(A2="","",IF(OR('Additional Information'!E2="",'Additional Information'!E2="-"),"",'Additional Information'!E2))</f>
        <v/>
      </c>
      <c r="C2" t="str">
        <f>IF(A2="","",IF(OR('Additional Information'!J2="",'Additional Information'!J2="-"),"",'Additional Information'!J2))</f>
        <v/>
      </c>
      <c r="D2" s="5">
        <f>IF(A2="","",SUM('Additional Information'!C2,'Additional Information'!D2))</f>
        <v>6.3999999999999994E-3</v>
      </c>
      <c r="E2">
        <f>IF(A2="","",SUM('Additional Information'!C2))</f>
        <v>4.0000000000000001E-3</v>
      </c>
      <c r="F2" t="str">
        <f>IF(A2="","",IF(OR('Additional Information'!G2="",'Additional Information'!G2="-"),"",'Additional Information'!G2))</f>
        <v/>
      </c>
      <c r="G2" t="str">
        <f>IF(A2="","",IF(OR('Additional Information'!H2="",'Additional Information'!H2="-"),"",'Additional Information'!H2))</f>
        <v/>
      </c>
    </row>
    <row r="3" spans="1:7" x14ac:dyDescent="0.35">
      <c r="A3" t="str">
        <f>IF(Input!A4="","",Input!A4)</f>
        <v>SCM Bond Reserve</v>
      </c>
      <c r="B3">
        <f>IF(A3="","",IF(OR('Additional Information'!E3="",'Additional Information'!E3="-"),"",'Additional Information'!E3))</f>
        <v>-8.0000000000000004E-4</v>
      </c>
      <c r="C3" t="str">
        <f>IF(A3="","",IF(OR('Additional Information'!J3="",'Additional Information'!J3="-"),"",'Additional Information'!J3))</f>
        <v/>
      </c>
      <c r="D3" s="5">
        <f>IF(A3="","",SUM('Additional Information'!C3,'Additional Information'!D3))</f>
        <v>7.3000000000000001E-3</v>
      </c>
      <c r="E3">
        <f>IF(A3="","",SUM('Additional Information'!C3))</f>
        <v>4.0000000000000001E-3</v>
      </c>
      <c r="F3">
        <f>IF(A3="","",IF(OR('Additional Information'!G3="",'Additional Information'!G3="-"),"",'Additional Information'!G3))</f>
        <v>-0.12300000000000001</v>
      </c>
      <c r="G3">
        <f>IF(A3="","",IF(OR('Additional Information'!H3="",'Additional Information'!H3="-"),"",'Additional Information'!H3))</f>
        <v>-2.8999999999999998E-2</v>
      </c>
    </row>
    <row r="4" spans="1:7" x14ac:dyDescent="0.35">
      <c r="A4" t="str">
        <f>IF(Input!A5="","",Input!A5)</f>
        <v>SCM Absolute Return</v>
      </c>
      <c r="B4">
        <f>IF(A4="","",IF(OR('Additional Information'!E4="",'Additional Information'!E4="-"),"",'Additional Information'!E4))</f>
        <v>-2.4900000000000002E-2</v>
      </c>
      <c r="C4" t="str">
        <f>IF(A4="","",IF(OR('Additional Information'!J4="",'Additional Information'!J4="-"),"",'Additional Information'!J4))</f>
        <v/>
      </c>
      <c r="D4" s="5">
        <f>IF(A4="","",SUM('Additional Information'!C4,'Additional Information'!D4))</f>
        <v>6.3999999999999994E-3</v>
      </c>
      <c r="E4">
        <f>IF(A4="","",SUM('Additional Information'!C4))</f>
        <v>4.0000000000000001E-3</v>
      </c>
      <c r="F4">
        <f>IF(A4="","",IF(OR('Additional Information'!G4="",'Additional Information'!G4="-"),"",'Additional Information'!G4))</f>
        <v>9.3000000000000013E-2</v>
      </c>
      <c r="G4">
        <f>IF(A4="","",IF(OR('Additional Information'!H4="",'Additional Information'!H4="-"),"",'Additional Information'!H4))</f>
        <v>0.121</v>
      </c>
    </row>
    <row r="5" spans="1:7" x14ac:dyDescent="0.35">
      <c r="A5" t="str">
        <f>IF(Input!A6="","",Input!A6)</f>
        <v>SCM Long-Term Return</v>
      </c>
      <c r="B5">
        <f>IF(A5="","",IF(OR('Additional Information'!E5="",'Additional Information'!E5="-"),"",'Additional Information'!E5))</f>
        <v>-3.0099999999999998E-2</v>
      </c>
      <c r="C5" t="str">
        <f>IF(A5="","",IF(OR('Additional Information'!J5="",'Additional Information'!J5="-"),"",'Additional Information'!J5))</f>
        <v/>
      </c>
      <c r="D5" s="5">
        <f>IF(A5="","",SUM('Additional Information'!C5,'Additional Information'!D5))</f>
        <v>6.3E-3</v>
      </c>
      <c r="E5">
        <f>IF(A5="","",SUM('Additional Information'!C5))</f>
        <v>4.0000000000000001E-3</v>
      </c>
      <c r="F5">
        <f>IF(A5="","",IF(OR('Additional Information'!G5="",'Additional Information'!G5="-"),"",'Additional Information'!G5))</f>
        <v>0.16</v>
      </c>
      <c r="G5">
        <f>IF(A5="","",IF(OR('Additional Information'!H5="",'Additional Information'!H5="-"),"",'Additional Information'!H5))</f>
        <v>0.16200000000000001</v>
      </c>
    </row>
    <row r="6" spans="1:7" x14ac:dyDescent="0.35">
      <c r="A6" t="str">
        <f>IF(Input!A7="","",Input!A7)</f>
        <v>SCM 50-50 Bond Reserve - Absolute Return</v>
      </c>
      <c r="B6">
        <f>IF(A6="","",IF(OR('Additional Information'!E6="",'Additional Information'!E6="-"),"",'Additional Information'!E6))</f>
        <v>-1.29E-2</v>
      </c>
      <c r="C6" t="str">
        <f>IF(A6="","",IF(OR('Additional Information'!J6="",'Additional Information'!J6="-"),"",'Additional Information'!J6))</f>
        <v/>
      </c>
      <c r="D6" s="5">
        <f>IF(A6="","",SUM('Additional Information'!C6,'Additional Information'!D6))</f>
        <v>6.8999999999999999E-3</v>
      </c>
      <c r="E6">
        <f>IF(A6="","",SUM('Additional Information'!C6))</f>
        <v>4.0000000000000001E-3</v>
      </c>
      <c r="F6">
        <f>IF(A6="","",IF(OR('Additional Information'!G6="",'Additional Information'!G6="-"),"",'Additional Information'!G6))</f>
        <v>-1.9E-2</v>
      </c>
      <c r="G6">
        <f>IF(A6="","",IF(OR('Additional Information'!H6="",'Additional Information'!H6="-"),"",'Additional Information'!H6))</f>
        <v>4.5999999999999999E-2</v>
      </c>
    </row>
    <row r="7" spans="1:7" x14ac:dyDescent="0.35">
      <c r="A7" t="str">
        <f>IF(Input!A8="","",Input!A8)</f>
        <v>SCM 50-50 Bond Reserve - Long-Term Return</v>
      </c>
      <c r="B7">
        <f>IF(A7="","",IF(OR('Additional Information'!E7="",'Additional Information'!E7="-"),"",'Additional Information'!E7))</f>
        <v>-1.55E-2</v>
      </c>
      <c r="C7" t="str">
        <f>IF(A7="","",IF(OR('Additional Information'!J7="",'Additional Information'!J7="-"),"",'Additional Information'!J7))</f>
        <v/>
      </c>
      <c r="D7" s="5">
        <f>IF(A7="","",SUM('Additional Information'!C7,'Additional Information'!D7))</f>
        <v>6.8000000000000005E-3</v>
      </c>
      <c r="E7">
        <f>IF(A7="","",SUM('Additional Information'!C7))</f>
        <v>4.0000000000000001E-3</v>
      </c>
      <c r="F7">
        <f>IF(A7="","",IF(OR('Additional Information'!G7="",'Additional Information'!G7="-"),"",'Additional Information'!G7))</f>
        <v>1.1000000000000001E-2</v>
      </c>
      <c r="G7">
        <f>IF(A7="","",IF(OR('Additional Information'!H7="",'Additional Information'!H7="-"),"",'Additional Information'!H7))</f>
        <v>6.6000000000000003E-2</v>
      </c>
    </row>
    <row r="8" spans="1:7" x14ac:dyDescent="0.35">
      <c r="A8" t="str">
        <f>IF(Input!A9="","",Input!A9)</f>
        <v>SCM 50-50 Absolute Return - Long-Term Return</v>
      </c>
      <c r="B8">
        <f>IF(A8="","",IF(OR('Additional Information'!E8="",'Additional Information'!E8="-"),"",'Additional Information'!E8))</f>
        <v>-2.75E-2</v>
      </c>
      <c r="C8" t="str">
        <f>IF(A8="","",IF(OR('Additional Information'!J8="",'Additional Information'!J8="-"),"",'Additional Information'!J8))</f>
        <v/>
      </c>
      <c r="D8" s="5">
        <f>IF(A8="","",SUM('Additional Information'!C8,'Additional Information'!D8))</f>
        <v>6.3E-3</v>
      </c>
      <c r="E8">
        <f>IF(A8="","",SUM('Additional Information'!C8))</f>
        <v>4.0000000000000001E-3</v>
      </c>
      <c r="F8">
        <f>IF(A8="","",IF(OR('Additional Information'!G8="",'Additional Information'!G8="-"),"",'Additional Information'!G8))</f>
        <v>0.129</v>
      </c>
      <c r="G8">
        <f>IF(A8="","",IF(OR('Additional Information'!H8="",'Additional Information'!H8="-"),"",'Additional Information'!H8))</f>
        <v>0.14300000000000002</v>
      </c>
    </row>
    <row r="9" spans="1:7" x14ac:dyDescent="0.35">
      <c r="A9" t="str">
        <f>IF(Input!A10="","",Input!A10)</f>
        <v>SCM Equity Portfolio</v>
      </c>
      <c r="B9" t="str">
        <f>IF(A9="","",IF(OR('Additional Information'!E9="",'Additional Information'!E9="-"),"",'Additional Information'!E9))</f>
        <v/>
      </c>
      <c r="C9" t="str">
        <f>IF(A9="","",IF(OR('Additional Information'!J9="",'Additional Information'!J9="-"),"",'Additional Information'!J9))</f>
        <v/>
      </c>
      <c r="D9" s="5">
        <f>IF(A9="","",SUM('Additional Information'!C9,'Additional Information'!D9))</f>
        <v>6.0000000000000001E-3</v>
      </c>
      <c r="E9">
        <f>IF(A9="","",SUM('Additional Information'!C9))</f>
        <v>4.0000000000000001E-3</v>
      </c>
      <c r="F9" t="str">
        <f>IF(A9="","",IF(OR('Additional Information'!G9="",'Additional Information'!G9="-"),"",'Additional Information'!G9))</f>
        <v/>
      </c>
      <c r="G9" t="str">
        <f>IF(A9="","",IF(OR('Additional Information'!H9="",'Additional Information'!H9="-"),"",'Additional Information'!H9))</f>
        <v/>
      </c>
    </row>
    <row r="10" spans="1:7" x14ac:dyDescent="0.35">
      <c r="A10" t="str">
        <f>IF(Input!A11="","",Input!A11)</f>
        <v/>
      </c>
      <c r="B10" t="str">
        <f>IF(A10="","",IF(OR('Additional Information'!E10="",'Additional Information'!E10="-"),"",'Additional Information'!E10))</f>
        <v/>
      </c>
      <c r="C10" t="str">
        <f>IF(A10="","",IF(OR('Additional Information'!J10="",'Additional Information'!J10="-"),"",'Additional Information'!J10))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Information'!G10="",'Additional Information'!G10="-"),"",'Additional Information'!G10))</f>
        <v/>
      </c>
      <c r="G10" t="str">
        <f>IF(A10="","",IF(OR('Additional Information'!H10="",'Additional Information'!H10="-"),"",'Additional Information'!H10))</f>
        <v/>
      </c>
    </row>
    <row r="11" spans="1:7" x14ac:dyDescent="0.35">
      <c r="A11" t="str">
        <f>IF(Input!A12="","",Input!A12)</f>
        <v/>
      </c>
      <c r="B11" t="str">
        <f>IF(A11="","",IF(OR('Additional Information'!E11="",'Additional Information'!E11="-"),"",'Additional Information'!E11))</f>
        <v/>
      </c>
      <c r="C11" t="str">
        <f>IF(A11="","",IF(OR('Additional Information'!J11="",'Additional Information'!J11="-"),"",'Additional Information'!J11))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Information'!G11="",'Additional Information'!G11="-"),"",'Additional Information'!G11))</f>
        <v/>
      </c>
      <c r="G11" t="str">
        <f>IF(A11="","",IF(OR('Additional Information'!H11="",'Additional Information'!H11="-"),"",'Additional Information'!H11))</f>
        <v/>
      </c>
    </row>
    <row r="12" spans="1:7" x14ac:dyDescent="0.35">
      <c r="A12" t="str">
        <f>IF(Input!A13="","",Input!A13)</f>
        <v/>
      </c>
      <c r="B12" t="str">
        <f>IF(A12="","",IF(OR('Additional Information'!E12="",'Additional Information'!E12="-"),"",'Additional Information'!E12))</f>
        <v/>
      </c>
      <c r="C12" t="str">
        <f>IF(A12="","",IF(OR('Additional Information'!J12="",'Additional Information'!J12="-"),"",'Additional Information'!J12))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Information'!G12="",'Additional Information'!G12="-"),"",'Additional Information'!G12))</f>
        <v/>
      </c>
      <c r="G12" t="str">
        <f>IF(A12="","",IF(OR('Additional Information'!H12="",'Additional Information'!H12="-"),"",'Additional Information'!H12))</f>
        <v/>
      </c>
    </row>
    <row r="13" spans="1:7" x14ac:dyDescent="0.35">
      <c r="A13" t="str">
        <f>IF(Input!A14="","",Input!A14)</f>
        <v/>
      </c>
      <c r="B13" t="str">
        <f>IF(A13="","",IF(OR('Additional Information'!E13="",'Additional Information'!E13="-"),"",'Additional Information'!E13))</f>
        <v/>
      </c>
      <c r="C13" t="str">
        <f>IF(A13="","",IF(OR('Additional Information'!J13="",'Additional Information'!J13="-"),"",'Additional Information'!J13))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Information'!G13="",'Additional Information'!G13="-"),"",'Additional Information'!G13))</f>
        <v/>
      </c>
      <c r="G13" t="str">
        <f>IF(A13="","",IF(OR('Additional Information'!H13="",'Additional Information'!H13="-"),"",'Additional Information'!H13))</f>
        <v/>
      </c>
    </row>
    <row r="14" spans="1:7" x14ac:dyDescent="0.35">
      <c r="A14" t="str">
        <f>IF(Input!A15="","",Input!A15)</f>
        <v/>
      </c>
      <c r="B14" t="str">
        <f>IF(A14="","",IF(OR('Additional Information'!E14="",'Additional Information'!E14="-"),"",'Additional Information'!E14))</f>
        <v/>
      </c>
      <c r="C14" t="str">
        <f>IF(A14="","",IF(OR('Additional Information'!J14="",'Additional Information'!J14="-"),"",'Additional Information'!J14))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Information'!G14="",'Additional Information'!G14="-"),"",'Additional Information'!G14))</f>
        <v/>
      </c>
      <c r="G14" t="str">
        <f>IF(A14="","",IF(OR('Additional Information'!H14="",'Additional Information'!H14="-"),"",'Additional Information'!H14))</f>
        <v/>
      </c>
    </row>
    <row r="15" spans="1:7" x14ac:dyDescent="0.35">
      <c r="A15" t="str">
        <f>IF(Input!A16="","",Input!A16)</f>
        <v/>
      </c>
      <c r="B15" t="str">
        <f>IF(A15="","",IF(OR('Additional Information'!E15="",'Additional Information'!E15="-"),"",'Additional Information'!E15))</f>
        <v/>
      </c>
      <c r="C15" t="str">
        <f>IF(A15="","",IF(OR('Additional Information'!J15="",'Additional Information'!J15="-"),"",'Additional Information'!J15))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Information'!G15="",'Additional Information'!G15="-"),"",'Additional Information'!G15))</f>
        <v/>
      </c>
      <c r="G15" t="str">
        <f>IF(A15="","",IF(OR('Additional Information'!H15="",'Additional Information'!H15="-"),"",'Additional Information'!H15))</f>
        <v/>
      </c>
    </row>
    <row r="16" spans="1:7" x14ac:dyDescent="0.35">
      <c r="A16" t="str">
        <f>IF(Input!A17="","",Input!A17)</f>
        <v/>
      </c>
      <c r="B16" t="str">
        <f>IF(A16="","",IF(OR('Additional Information'!E16="",'Additional Information'!E16="-"),"",'Additional Information'!E16))</f>
        <v/>
      </c>
      <c r="C16" t="str">
        <f>IF(A16="","",IF(OR('Additional Information'!J16="",'Additional Information'!J16="-"),"",'Additional Information'!J16))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Information'!G16="",'Additional Information'!G16="-"),"",'Additional Information'!G16))</f>
        <v/>
      </c>
      <c r="G16" t="str">
        <f>IF(A16="","",IF(OR('Additional Information'!H16="",'Additional Information'!H16="-"),"",'Additional Information'!H16))</f>
        <v/>
      </c>
    </row>
    <row r="17" spans="1:7" x14ac:dyDescent="0.35">
      <c r="A17" t="str">
        <f>IF(Input!A18="","",Input!A18)</f>
        <v/>
      </c>
      <c r="B17" t="str">
        <f>IF(A17="","",IF(OR('Additional Information'!E17="",'Additional Information'!E17="-"),"",'Additional Information'!E17))</f>
        <v/>
      </c>
      <c r="C17" t="str">
        <f>IF(A17="","",IF(OR('Additional Information'!J17="",'Additional Information'!J17="-"),"",'Additional Information'!J17))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Information'!G17="",'Additional Information'!G17="-"),"",'Additional Information'!G17))</f>
        <v/>
      </c>
      <c r="G17" t="str">
        <f>IF(A17="","",IF(OR('Additional Information'!H17="",'Additional Information'!H17="-"),"",'Additional Information'!H17))</f>
        <v/>
      </c>
    </row>
    <row r="18" spans="1:7" x14ac:dyDescent="0.35">
      <c r="A18" t="str">
        <f>IF(Input!A19="","",Input!A19)</f>
        <v/>
      </c>
      <c r="B18" t="str">
        <f>IF(A18="","",IF(OR('Additional Information'!E18="",'Additional Information'!E18="-"),"",'Additional Information'!E18))</f>
        <v/>
      </c>
      <c r="C18" t="str">
        <f>IF(A18="","",IF(OR('Additional Information'!J18="",'Additional Information'!J18="-"),"",'Additional Information'!J18))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Information'!G18="",'Additional Information'!G18="-"),"",'Additional Information'!G18))</f>
        <v/>
      </c>
      <c r="G18" t="str">
        <f>IF(A18="","",IF(OR('Additional Information'!H18="",'Additional Information'!H18="-"),"",'Additional Information'!H18))</f>
        <v/>
      </c>
    </row>
    <row r="19" spans="1:7" x14ac:dyDescent="0.35">
      <c r="A19" t="str">
        <f>IF(Input!A20="","",Input!A20)</f>
        <v/>
      </c>
      <c r="B19" t="str">
        <f>IF(A19="","",IF(OR('Additional Information'!E19="",'Additional Information'!E19="-"),"",'Additional Information'!E19))</f>
        <v/>
      </c>
      <c r="C19" t="str">
        <f>IF(A19="","",IF(OR('Additional Information'!J19="",'Additional Information'!J19="-"),"",'Additional Information'!J19))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Information'!G19="",'Additional Information'!G19="-"),"",'Additional Information'!G19))</f>
        <v/>
      </c>
      <c r="G19" t="str">
        <f>IF(A19="","",IF(OR('Additional Information'!H19="",'Additional Information'!H19="-"),"",'Additional Information'!H19))</f>
        <v/>
      </c>
    </row>
    <row r="20" spans="1:7" x14ac:dyDescent="0.35">
      <c r="A20" t="str">
        <f>IF(Input!A21="","",Input!A21)</f>
        <v/>
      </c>
      <c r="B20" t="str">
        <f>IF(A20="","",IF(OR('Additional Information'!E20="",'Additional Information'!E20="-"),"",'Additional Information'!E20))</f>
        <v/>
      </c>
      <c r="C20" t="str">
        <f>IF(A20="","",IF(OR('Additional Information'!J20="",'Additional Information'!J20="-"),"",'Additional Information'!J20))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Information'!G20="",'Additional Information'!G20="-"),"",'Additional Information'!G20))</f>
        <v/>
      </c>
      <c r="G20" t="str">
        <f>IF(A20="","",IF(OR('Additional Information'!H20="",'Additional Information'!H20="-"),"",'Additional Information'!H20))</f>
        <v/>
      </c>
    </row>
    <row r="21" spans="1:7" x14ac:dyDescent="0.35">
      <c r="A21" t="str">
        <f>IF(Input!A22="","",Input!A22)</f>
        <v/>
      </c>
      <c r="B21" t="str">
        <f>IF(A21="","",IF(OR('Additional Information'!E21="",'Additional Information'!E21="-"),"",'Additional Information'!E21))</f>
        <v/>
      </c>
      <c r="C21" t="str">
        <f>IF(A21="","",IF(OR('Additional Information'!J21="",'Additional Information'!J21="-"),"",'Additional Information'!J21))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Information'!G21="",'Additional Information'!G21="-"),"",'Additional Information'!G21))</f>
        <v/>
      </c>
      <c r="G21" t="str">
        <f>IF(A21="","",IF(OR('Additional Information'!H21="",'Additional Information'!H21="-"),"",'Additional Information'!H21))</f>
        <v/>
      </c>
    </row>
    <row r="22" spans="1:7" x14ac:dyDescent="0.35">
      <c r="A22" t="str">
        <f>IF(Input!A23="","",Input!A23)</f>
        <v/>
      </c>
      <c r="B22" t="str">
        <f>IF(A22="","",IF(OR('Additional Information'!E22="",'Additional Information'!E22="-"),"",'Additional Information'!E22))</f>
        <v/>
      </c>
      <c r="C22" t="str">
        <f>IF(A22="","",IF(OR('Additional Information'!J22="",'Additional Information'!J22="-"),"",'Additional Information'!J22))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Information'!G22="",'Additional Information'!G22="-"),"",'Additional Information'!G22))</f>
        <v/>
      </c>
      <c r="G22" t="str">
        <f>IF(A22="","",IF(OR('Additional Information'!H22="",'Additional Information'!H22="-"),"",'Additional Information'!H22))</f>
        <v/>
      </c>
    </row>
    <row r="23" spans="1:7" x14ac:dyDescent="0.35">
      <c r="A23" t="str">
        <f>IF(Input!A24="","",Input!A24)</f>
        <v/>
      </c>
      <c r="B23" t="str">
        <f>IF(A23="","",IF(OR('Additional Information'!E23="",'Additional Information'!E23="-"),"",'Additional Information'!E23))</f>
        <v/>
      </c>
      <c r="C23" t="str">
        <f>IF(A23="","",IF(OR('Additional Information'!J23="",'Additional Information'!J23="-"),"",'Additional Information'!J23))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Information'!G23="",'Additional Information'!G23="-"),"",'Additional Information'!G23))</f>
        <v/>
      </c>
      <c r="G23" t="str">
        <f>IF(A23="","",IF(OR('Additional Information'!H23="",'Additional Information'!H23="-"),"",'Additional Information'!H23))</f>
        <v/>
      </c>
    </row>
    <row r="24" spans="1:7" x14ac:dyDescent="0.3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Information'!J24="",'Additional Information'!J24="-"),"",'Additional Information'!J24))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Information'!G24="",'Additional Information'!G24="-"),"",'Additional Information'!G24))</f>
        <v/>
      </c>
      <c r="G24" t="str">
        <f>IF(A24="","",IF(OR('Additional Information'!H24="",'Additional Information'!H24="-"),"",'Additional Information'!H24))</f>
        <v/>
      </c>
    </row>
    <row r="25" spans="1:7" x14ac:dyDescent="0.3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Information'!J25="",'Additional Information'!J25="-"),"",'Additional Information'!J25))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Information'!G25="",'Additional Information'!G25="-"),"",'Additional Information'!G25))</f>
        <v/>
      </c>
      <c r="G25" t="str">
        <f>IF(A25="","",IF(OR('Additional Information'!H25="",'Additional Information'!H25="-"),"",'Additional Information'!H25))</f>
        <v/>
      </c>
    </row>
    <row r="26" spans="1:7" x14ac:dyDescent="0.3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Information'!J26="",'Additional Information'!J26="-"),"",'Additional Information'!J26))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Information'!G26="",'Additional Information'!G26="-"),"",'Additional Information'!G26))</f>
        <v/>
      </c>
      <c r="G26" t="str">
        <f>IF(A26="","",IF(OR('Additional Information'!H26="",'Additional Information'!H26="-"),"",'Additional Information'!H26))</f>
        <v/>
      </c>
    </row>
    <row r="27" spans="1:7" x14ac:dyDescent="0.3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Information'!J27="",'Additional Information'!J27="-"),"",'Additional Information'!J27))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Information'!G27="",'Additional Information'!G27="-"),"",'Additional Information'!G27))</f>
        <v/>
      </c>
      <c r="G27" t="str">
        <f>IF(A27="","",IF(OR('Additional Information'!H27="",'Additional Information'!H27="-"),"",'Additional Information'!H27))</f>
        <v/>
      </c>
    </row>
    <row r="28" spans="1:7" x14ac:dyDescent="0.3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Information'!J28="",'Additional Information'!J28="-"),"",'Additional Information'!J28))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Information'!G28="",'Additional Information'!G28="-"),"",'Additional Information'!G28))</f>
        <v/>
      </c>
      <c r="G28" t="str">
        <f>IF(A28="","",IF(OR('Additional Information'!H28="",'Additional Information'!H28="-"),"",'Additional Information'!H28))</f>
        <v/>
      </c>
    </row>
    <row r="29" spans="1:7" x14ac:dyDescent="0.3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Information'!J29="",'Additional Information'!J29="-"),"",'Additional Information'!J29))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Information'!G29="",'Additional Information'!G29="-"),"",'Additional Information'!G29))</f>
        <v/>
      </c>
      <c r="G29" t="str">
        <f>IF(A29="","",IF(OR('Additional Information'!H29="",'Additional Information'!H29="-"),"",'Additional Information'!H29))</f>
        <v/>
      </c>
    </row>
    <row r="30" spans="1:7" x14ac:dyDescent="0.3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Information'!J30="",'Additional Information'!J30="-"),"",'Additional Information'!J30))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Information'!G30="",'Additional Information'!G30="-"),"",'Additional Information'!G30))</f>
        <v/>
      </c>
      <c r="G30" t="str">
        <f>IF(A30="","",IF(OR('Additional Information'!H30="",'Additional Information'!H30="-"),"",'Additional Information'!H30))</f>
        <v/>
      </c>
    </row>
    <row r="31" spans="1:7" x14ac:dyDescent="0.3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Information'!J31="",'Additional Information'!J31="-"),"",'Additional Information'!J31))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Information'!G31="",'Additional Information'!G31="-"),"",'Additional Information'!G31))</f>
        <v/>
      </c>
      <c r="G31" t="str">
        <f>IF(A31="","",IF(OR('Additional Information'!H31="",'Additional Information'!H31="-"),"",'Additional Information'!H31))</f>
        <v/>
      </c>
    </row>
    <row r="32" spans="1:7" x14ac:dyDescent="0.3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Information'!J32="",'Additional Information'!J32="-"),"",'Additional Information'!J32))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Information'!G32="",'Additional Information'!G32="-"),"",'Additional Information'!G32))</f>
        <v/>
      </c>
      <c r="G32" t="str">
        <f>IF(A32="","",IF(OR('Additional Information'!H32="",'Additional Information'!H32="-"),"",'Additional Information'!H32))</f>
        <v/>
      </c>
    </row>
    <row r="33" spans="1:7" x14ac:dyDescent="0.3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Information'!J33="",'Additional Information'!J33="-"),"",'Additional Information'!J33))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Information'!G33="",'Additional Information'!G33="-"),"",'Additional Information'!G33))</f>
        <v/>
      </c>
      <c r="G33" t="str">
        <f>IF(A33="","",IF(OR('Additional Information'!H33="",'Additional Information'!H33="-"),"",'Additional Information'!H33))</f>
        <v/>
      </c>
    </row>
    <row r="34" spans="1:7" x14ac:dyDescent="0.3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Information'!J34="",'Additional Information'!J34="-"),"",'Additional Information'!J34))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Information'!G34="",'Additional Information'!G34="-"),"",'Additional Information'!G34))</f>
        <v/>
      </c>
      <c r="G34" t="str">
        <f>IF(A34="","",IF(OR('Additional Information'!H34="",'Additional Information'!H34="-"),"",'Additional Information'!H34))</f>
        <v/>
      </c>
    </row>
    <row r="35" spans="1:7" x14ac:dyDescent="0.3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Information'!J35="",'Additional Information'!J35="-"),"",'Additional Information'!J35))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Information'!G35="",'Additional Information'!G35="-"),"",'Additional Information'!G35))</f>
        <v/>
      </c>
      <c r="G35" t="str">
        <f>IF(A35="","",IF(OR('Additional Information'!H35="",'Additional Information'!H35="-"),"",'Additional Information'!H35))</f>
        <v/>
      </c>
    </row>
    <row r="36" spans="1:7" x14ac:dyDescent="0.3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Information'!J36="",'Additional Information'!J36="-"),"",'Additional Information'!J36))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Information'!G36="",'Additional Information'!G36="-"),"",'Additional Information'!G36))</f>
        <v/>
      </c>
      <c r="G36" t="str">
        <f>IF(A36="","",IF(OR('Additional Information'!H36="",'Additional Information'!H36="-"),"",'Additional Information'!H36))</f>
        <v/>
      </c>
    </row>
    <row r="37" spans="1:7" x14ac:dyDescent="0.3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Information'!J37="",'Additional Information'!J37="-"),"",'Additional Information'!J37))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Information'!G37="",'Additional Information'!G37="-"),"",'Additional Information'!G37))</f>
        <v/>
      </c>
      <c r="G37" t="str">
        <f>IF(A37="","",IF(OR('Additional Information'!H37="",'Additional Information'!H37="-"),"",'Additional Information'!H37))</f>
        <v/>
      </c>
    </row>
    <row r="38" spans="1:7" x14ac:dyDescent="0.3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Information'!J38="",'Additional Information'!J38="-"),"",'Additional Information'!J38))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Information'!G38="",'Additional Information'!G38="-"),"",'Additional Information'!G38))</f>
        <v/>
      </c>
      <c r="G38" t="str">
        <f>IF(A38="","",IF(OR('Additional Information'!H38="",'Additional Information'!H38="-"),"",'Additional Information'!H38))</f>
        <v/>
      </c>
    </row>
    <row r="39" spans="1:7" x14ac:dyDescent="0.3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Information'!J39="",'Additional Information'!J39="-"),"",'Additional Information'!J39))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Information'!G39="",'Additional Information'!G39="-"),"",'Additional Information'!G39))</f>
        <v/>
      </c>
      <c r="G39" t="str">
        <f>IF(A39="","",IF(OR('Additional Information'!H39="",'Additional Information'!H39="-"),"",'Additional Information'!H39))</f>
        <v/>
      </c>
    </row>
    <row r="40" spans="1:7" x14ac:dyDescent="0.3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Information'!J40="",'Additional Information'!J40="-"),"",'Additional Information'!J40))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Information'!G40="",'Additional Information'!G40="-"),"",'Additional Information'!G40))</f>
        <v/>
      </c>
      <c r="G40" t="str">
        <f>IF(A40="","",IF(OR('Additional Information'!H40="",'Additional Information'!H40="-"),"",'Additional Information'!H40))</f>
        <v/>
      </c>
    </row>
    <row r="41" spans="1:7" x14ac:dyDescent="0.3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Information'!J41="",'Additional Information'!J41="-"),"",'Additional Information'!J41))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Information'!G41="",'Additional Information'!G41="-"),"",'Additional Information'!G41))</f>
        <v/>
      </c>
      <c r="G41" t="str">
        <f>IF(A41="","",IF(OR('Additional Information'!H41="",'Additional Information'!H41="-"),"",'Additional Information'!H41))</f>
        <v/>
      </c>
    </row>
    <row r="42" spans="1:7" x14ac:dyDescent="0.3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Information'!J42="",'Additional Information'!J42="-"),"",'Additional Information'!J42))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Information'!G42="",'Additional Information'!G42="-"),"",'Additional Information'!G42))</f>
        <v/>
      </c>
      <c r="G42" t="str">
        <f>IF(A42="","",IF(OR('Additional Information'!H42="",'Additional Information'!H42="-"),"",'Additional Information'!H42))</f>
        <v/>
      </c>
    </row>
    <row r="43" spans="1:7" x14ac:dyDescent="0.3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Information'!J43="",'Additional Information'!J43="-"),"",'Additional Information'!J43))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Information'!G43="",'Additional Information'!G43="-"),"",'Additional Information'!G43))</f>
        <v/>
      </c>
      <c r="G43" t="str">
        <f>IF(A43="","",IF(OR('Additional Information'!H43="",'Additional Information'!H43="-"),"",'Additional Information'!H43))</f>
        <v/>
      </c>
    </row>
    <row r="44" spans="1:7" x14ac:dyDescent="0.3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Information'!J44="",'Additional Information'!J44="-"),"",'Additional Information'!J44))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Information'!G44="",'Additional Information'!G44="-"),"",'Additional Information'!G44))</f>
        <v/>
      </c>
      <c r="G44" t="str">
        <f>IF(A44="","",IF(OR('Additional Information'!H44="",'Additional Information'!H44="-"),"",'Additional Information'!H44))</f>
        <v/>
      </c>
    </row>
    <row r="45" spans="1:7" x14ac:dyDescent="0.3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Information'!J45="",'Additional Information'!J45="-"),"",'Additional Information'!J45))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Information'!G45="",'Additional Information'!G45="-"),"",'Additional Information'!G45))</f>
        <v/>
      </c>
      <c r="G45" t="str">
        <f>IF(A45="","",IF(OR('Additional Information'!H45="",'Additional Information'!H45="-"),"",'Additional Information'!H45))</f>
        <v/>
      </c>
    </row>
    <row r="46" spans="1:7" x14ac:dyDescent="0.3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Information'!J46="",'Additional Information'!J46="-"),"",'Additional Information'!J46))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Information'!G46="",'Additional Information'!G46="-"),"",'Additional Information'!G46))</f>
        <v/>
      </c>
      <c r="G46" t="str">
        <f>IF(A46="","",IF(OR('Additional Information'!H46="",'Additional Information'!H46="-"),"",'Additional Information'!H46))</f>
        <v/>
      </c>
    </row>
    <row r="47" spans="1:7" x14ac:dyDescent="0.3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Information'!J47="",'Additional Information'!J47="-"),"",'Additional Information'!J47))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Information'!G47="",'Additional Information'!G47="-"),"",'Additional Information'!G47))</f>
        <v/>
      </c>
      <c r="G47" t="str">
        <f>IF(A47="","",IF(OR('Additional Information'!H47="",'Additional Information'!H47="-"),"",'Additional Information'!H47))</f>
        <v/>
      </c>
    </row>
    <row r="48" spans="1:7" x14ac:dyDescent="0.3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Information'!J48="",'Additional Information'!J48="-"),"",'Additional Information'!J48))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Information'!G48="",'Additional Information'!G48="-"),"",'Additional Information'!G48))</f>
        <v/>
      </c>
      <c r="G48" t="str">
        <f>IF(A48="","",IF(OR('Additional Information'!H48="",'Additional Information'!H48="-"),"",'Additional Information'!H48))</f>
        <v/>
      </c>
    </row>
    <row r="49" spans="1:7" x14ac:dyDescent="0.3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Information'!J49="",'Additional Information'!J49="-"),"",'Additional Information'!J49))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Information'!G49="",'Additional Information'!G49="-"),"",'Additional Information'!G49))</f>
        <v/>
      </c>
      <c r="G49" t="str">
        <f>IF(A49="","",IF(OR('Additional Information'!H49="",'Additional Information'!H49="-"),"",'Additional Information'!H49))</f>
        <v/>
      </c>
    </row>
    <row r="50" spans="1:7" x14ac:dyDescent="0.3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Information'!J50="",'Additional Information'!J50="-"),"",'Additional Information'!J50))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Information'!G50="",'Additional Information'!G50="-"),"",'Additional Information'!G50))</f>
        <v/>
      </c>
      <c r="G50" t="str">
        <f>IF(A50="","",IF(OR('Additional Information'!H50="",'Additional Information'!H50="-"),"",'Additional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SCM Ethical (ESG) Portfolio</v>
      </c>
      <c r="B2">
        <f>IF(A2="","",SUM('Asset Allocation'!C2))</f>
        <v>0.745</v>
      </c>
      <c r="C2">
        <f>IF(A2="","",SUM('Asset Allocation'!B2))</f>
        <v>0.252</v>
      </c>
      <c r="G2">
        <f>IF(A2="","",SUM('Asset Allocation'!D2))</f>
        <v>3.0000000000000001E-3</v>
      </c>
      <c r="H2">
        <f t="shared" ref="H2:H50" si="0">IF(A2="","",1-SUM(B2:G2))</f>
        <v>0</v>
      </c>
    </row>
    <row r="3" spans="1:8" x14ac:dyDescent="0.35">
      <c r="A3" t="str">
        <f>IF(Input!A4="","",Input!A4)</f>
        <v>SCM Bond Reserve</v>
      </c>
      <c r="B3">
        <f>IF(A3="","",SUM('Asset Allocation'!C3))</f>
        <v>0</v>
      </c>
      <c r="C3">
        <f>IF(A3="","",SUM('Asset Allocation'!B3))</f>
        <v>0.99400000000000011</v>
      </c>
      <c r="G3">
        <f>IF(A3="","",SUM('Asset Allocation'!D3))</f>
        <v>6.0000000000000001E-3</v>
      </c>
      <c r="H3">
        <f t="shared" si="0"/>
        <v>0</v>
      </c>
    </row>
    <row r="4" spans="1:8" x14ac:dyDescent="0.35">
      <c r="A4" t="str">
        <f>IF(Input!A5="","",Input!A5)</f>
        <v>SCM Absolute Return</v>
      </c>
      <c r="B4">
        <f>IF(A4="","",SUM('Asset Allocation'!C4))</f>
        <v>0.59899999999999998</v>
      </c>
      <c r="C4">
        <f>IF(A4="","",SUM('Asset Allocation'!B4))</f>
        <v>0.39500000000000002</v>
      </c>
      <c r="G4">
        <f>IF(A4="","",SUM('Asset Allocation'!D4))</f>
        <v>6.0000000000000001E-3</v>
      </c>
      <c r="H4">
        <f t="shared" si="0"/>
        <v>0</v>
      </c>
    </row>
    <row r="5" spans="1:8" x14ac:dyDescent="0.35">
      <c r="A5" t="str">
        <f>IF(Input!A6="","",Input!A6)</f>
        <v>SCM Long-Term Return</v>
      </c>
      <c r="B5">
        <f>IF(A5="","",SUM('Asset Allocation'!C5))</f>
        <v>0.74</v>
      </c>
      <c r="C5">
        <f>IF(A5="","",SUM('Asset Allocation'!B5))</f>
        <v>0.255</v>
      </c>
      <c r="G5">
        <f>IF(A5="","",SUM('Asset Allocation'!D5))</f>
        <v>5.0000000000000001E-3</v>
      </c>
      <c r="H5">
        <f t="shared" si="0"/>
        <v>0</v>
      </c>
    </row>
    <row r="6" spans="1:8" x14ac:dyDescent="0.35">
      <c r="A6" t="str">
        <f>IF(Input!A7="","",Input!A7)</f>
        <v>SCM 50-50 Bond Reserve - Absolute Return</v>
      </c>
      <c r="B6">
        <f>IF(A6="","",SUM('Asset Allocation'!C6))</f>
        <v>0.3</v>
      </c>
      <c r="C6">
        <f>IF(A6="","",SUM('Asset Allocation'!B6))</f>
        <v>0.69400000000000006</v>
      </c>
      <c r="G6">
        <f>IF(A6="","",SUM('Asset Allocation'!D6))</f>
        <v>6.0000000000000001E-3</v>
      </c>
      <c r="H6">
        <f t="shared" si="0"/>
        <v>0</v>
      </c>
    </row>
    <row r="7" spans="1:8" x14ac:dyDescent="0.35">
      <c r="A7" t="str">
        <f>IF(Input!A8="","",Input!A8)</f>
        <v>SCM 50-50 Bond Reserve - Long-Term Return</v>
      </c>
      <c r="B7">
        <f>IF(A7="","",SUM('Asset Allocation'!C7))</f>
        <v>0.37</v>
      </c>
      <c r="C7">
        <f>IF(A7="","",SUM('Asset Allocation'!B7))</f>
        <v>0.624</v>
      </c>
      <c r="G7">
        <f>IF(A7="","",SUM('Asset Allocation'!D7))</f>
        <v>6.0000000000000001E-3</v>
      </c>
      <c r="H7">
        <f t="shared" si="0"/>
        <v>0</v>
      </c>
    </row>
    <row r="8" spans="1:8" x14ac:dyDescent="0.35">
      <c r="A8" t="str">
        <f>IF(Input!A9="","",Input!A9)</f>
        <v>SCM 50-50 Absolute Return - Long-Term Return</v>
      </c>
      <c r="B8">
        <f>IF(A8="","",SUM('Asset Allocation'!C8))</f>
        <v>0.67</v>
      </c>
      <c r="C8">
        <f>IF(A8="","",SUM('Asset Allocation'!B8))</f>
        <v>0.32500000000000001</v>
      </c>
      <c r="G8">
        <f>IF(A8="","",SUM('Asset Allocation'!D8))</f>
        <v>5.0000000000000001E-3</v>
      </c>
      <c r="H8">
        <f t="shared" si="0"/>
        <v>0</v>
      </c>
    </row>
    <row r="9" spans="1:8" x14ac:dyDescent="0.35">
      <c r="A9" t="str">
        <f>IF(Input!A10="","",Input!A10)</f>
        <v>SCM Equity Portfolio</v>
      </c>
      <c r="B9">
        <f>IF(A9="","",SUM('Asset Allocation'!C9))</f>
        <v>0.997</v>
      </c>
      <c r="C9">
        <f>IF(A9="","",SUM('Asset Allocation'!B9))</f>
        <v>0</v>
      </c>
      <c r="G9">
        <f>IF(A9="","",SUM('Asset Allocation'!D9))</f>
        <v>0.997</v>
      </c>
      <c r="H9">
        <f t="shared" si="0"/>
        <v>-0.99399999999999999</v>
      </c>
    </row>
    <row r="10" spans="1:8" x14ac:dyDescent="0.3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SCM Ethical (ESG) Portfolio</v>
      </c>
      <c r="B2" s="6">
        <f>IFERROR(IF(A2="","",SUM('Asset Allocation'!F2)),0)</f>
        <v>0.154</v>
      </c>
      <c r="C2" s="6">
        <f>IFERROR(IF(A2="","",SUM('Asset Allocation'!E2)),0)</f>
        <v>0.35799999999999998</v>
      </c>
      <c r="D2" s="6">
        <f>IFERROR(IF(A2="","",SUM('Asset Allocation'!I2)),0)</f>
        <v>9.6999999999999989E-2</v>
      </c>
      <c r="E2" s="6">
        <f>IFERROR(IF(A2="","",SUM('Asset Allocation'!G2)),0)</f>
        <v>0.128</v>
      </c>
      <c r="F2" s="6">
        <f>IFERROR(IF(A2="","",SUM('Asset Allocation'!J2,'Asset Allocation'!N2)),0)</f>
        <v>7.6999999999999999E-2</v>
      </c>
      <c r="G2" s="6">
        <f>IFERROR(IF(A2="","",SUM('Asset Allocation'!H2,'Asset Allocation'!K2,'Asset Allocation'!L2,'Asset Allocation'!M2)),0)</f>
        <v>0.187</v>
      </c>
      <c r="H2" s="6"/>
    </row>
    <row r="3" spans="1:8" x14ac:dyDescent="0.35">
      <c r="A3" t="str">
        <f>IF(Input!A4="","",Input!A4)</f>
        <v>SCM Bond Reserve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35">
      <c r="A4" t="str">
        <f>IF(Input!A5="","",Input!A5)</f>
        <v>SCM Absolute Return</v>
      </c>
      <c r="B4" s="6">
        <f>IFERROR(IF(A4="","",SUM('Asset Allocation'!F4)),0)</f>
        <v>6.0000000000000001E-3</v>
      </c>
      <c r="C4" s="6">
        <f>IFERROR(IF(A4="","",SUM('Asset Allocation'!E4)),0)</f>
        <v>0.42</v>
      </c>
      <c r="D4" s="6">
        <f>IFERROR(IF(A4="","",SUM('Asset Allocation'!I4)),0)</f>
        <v>0.11</v>
      </c>
      <c r="E4" s="6">
        <f>IFERROR(IF(A4="","",SUM('Asset Allocation'!G4)),0)</f>
        <v>0.14400000000000002</v>
      </c>
      <c r="F4" s="6">
        <f>IFERROR(IF(A4="","",SUM('Asset Allocation'!J4,'Asset Allocation'!N4)),0)</f>
        <v>9.8000000000000004E-2</v>
      </c>
      <c r="G4" s="6">
        <f>IFERROR(IF(A4="","",SUM('Asset Allocation'!H4,'Asset Allocation'!K4,'Asset Allocation'!L4,'Asset Allocation'!M4)),0)</f>
        <v>0.221</v>
      </c>
      <c r="H4" s="6"/>
    </row>
    <row r="5" spans="1:8" x14ac:dyDescent="0.35">
      <c r="A5" t="str">
        <f>IF(Input!A6="","",Input!A6)</f>
        <v>SCM Long-Term Return</v>
      </c>
      <c r="B5" s="6">
        <f>IFERROR(IF(A5="","",SUM('Asset Allocation'!F5)),0)</f>
        <v>0.13400000000000001</v>
      </c>
      <c r="C5" s="6">
        <f>IFERROR(IF(A5="","",SUM('Asset Allocation'!E5)),0)</f>
        <v>0.379</v>
      </c>
      <c r="D5" s="6">
        <f>IFERROR(IF(A5="","",SUM('Asset Allocation'!I5)),0)</f>
        <v>9.8000000000000004E-2</v>
      </c>
      <c r="E5" s="6">
        <f>IFERROR(IF(A5="","",SUM('Asset Allocation'!G5)),0)</f>
        <v>0.121</v>
      </c>
      <c r="F5" s="6">
        <f>IFERROR(IF(A5="","",SUM('Asset Allocation'!J5,'Asset Allocation'!N5)),0)</f>
        <v>8.199999999999999E-2</v>
      </c>
      <c r="G5" s="6">
        <f>IFERROR(IF(A5="","",SUM('Asset Allocation'!H5,'Asset Allocation'!K5,'Asset Allocation'!L5,'Asset Allocation'!M5)),0)</f>
        <v>0.185</v>
      </c>
      <c r="H5" s="6"/>
    </row>
    <row r="6" spans="1:8" x14ac:dyDescent="0.35">
      <c r="A6" t="str">
        <f>IF(Input!A7="","",Input!A7)</f>
        <v>SCM 50-50 Bond Reserve - Absolute Return</v>
      </c>
      <c r="B6" s="6">
        <f>IFERROR(IF(A6="","",SUM('Asset Allocation'!F6)),0)</f>
        <v>6.9999999999999993E-3</v>
      </c>
      <c r="C6" s="6">
        <f>IFERROR(IF(A6="","",SUM('Asset Allocation'!E6)),0)</f>
        <v>0.42100000000000004</v>
      </c>
      <c r="D6" s="6">
        <f>IFERROR(IF(A6="","",SUM('Asset Allocation'!I6)),0)</f>
        <v>0.11</v>
      </c>
      <c r="E6" s="6">
        <f>IFERROR(IF(A6="","",SUM('Asset Allocation'!G6)),0)</f>
        <v>0.14300000000000002</v>
      </c>
      <c r="F6" s="6">
        <f>IFERROR(IF(A6="","",SUM('Asset Allocation'!J6,'Asset Allocation'!N6)),0)</f>
        <v>9.8000000000000004E-2</v>
      </c>
      <c r="G6" s="6">
        <f>IFERROR(IF(A6="","",SUM('Asset Allocation'!H6,'Asset Allocation'!K6,'Asset Allocation'!L6,'Asset Allocation'!M6)),0)</f>
        <v>0.221</v>
      </c>
      <c r="H6" s="6"/>
    </row>
    <row r="7" spans="1:8" x14ac:dyDescent="0.35">
      <c r="A7" t="str">
        <f>IF(Input!A8="","",Input!A8)</f>
        <v>SCM 50-50 Bond Reserve - Long-Term Return</v>
      </c>
      <c r="B7" s="6">
        <f>IFERROR(IF(A7="","",SUM('Asset Allocation'!F7)),0)</f>
        <v>0.13400000000000001</v>
      </c>
      <c r="C7" s="6">
        <f>IFERROR(IF(A7="","",SUM('Asset Allocation'!E7)),0)</f>
        <v>0.379</v>
      </c>
      <c r="D7" s="6">
        <f>IFERROR(IF(A7="","",SUM('Asset Allocation'!I7)),0)</f>
        <v>9.6999999999999989E-2</v>
      </c>
      <c r="E7" s="6">
        <f>IFERROR(IF(A7="","",SUM('Asset Allocation'!G7)),0)</f>
        <v>0.121</v>
      </c>
      <c r="F7" s="6">
        <f>IFERROR(IF(A7="","",SUM('Asset Allocation'!J7,'Asset Allocation'!N7)),0)</f>
        <v>8.199999999999999E-2</v>
      </c>
      <c r="G7" s="6">
        <f>IFERROR(IF(A7="","",SUM('Asset Allocation'!H7,'Asset Allocation'!K7,'Asset Allocation'!L7,'Asset Allocation'!M7)),0)</f>
        <v>0.185</v>
      </c>
      <c r="H7" s="6"/>
    </row>
    <row r="8" spans="1:8" x14ac:dyDescent="0.35">
      <c r="A8" t="str">
        <f>IF(Input!A9="","",Input!A9)</f>
        <v>SCM 50-50 Absolute Return - Long-Term Return</v>
      </c>
      <c r="B8" s="6">
        <f>IFERROR(IF(A8="","",SUM('Asset Allocation'!F8)),0)</f>
        <v>7.6999999999999999E-2</v>
      </c>
      <c r="C8" s="6">
        <f>IFERROR(IF(A8="","",SUM('Asset Allocation'!E8)),0)</f>
        <v>0.39799999999999996</v>
      </c>
      <c r="D8" s="6">
        <f>IFERROR(IF(A8="","",SUM('Asset Allocation'!I8)),0)</f>
        <v>0.10300000000000001</v>
      </c>
      <c r="E8" s="6">
        <f>IFERROR(IF(A8="","",SUM('Asset Allocation'!G8)),0)</f>
        <v>0.13100000000000001</v>
      </c>
      <c r="F8" s="6">
        <f>IFERROR(IF(A8="","",SUM('Asset Allocation'!J8,'Asset Allocation'!N8)),0)</f>
        <v>0.09</v>
      </c>
      <c r="G8" s="6">
        <f>IFERROR(IF(A8="","",SUM('Asset Allocation'!H8,'Asset Allocation'!K8,'Asset Allocation'!L8,'Asset Allocation'!M8)),0)</f>
        <v>0.20200000000000001</v>
      </c>
      <c r="H8" s="6"/>
    </row>
    <row r="9" spans="1:8" x14ac:dyDescent="0.35">
      <c r="A9" t="str">
        <f>IF(Input!A10="","",Input!A10)</f>
        <v>SCM Equity Portfolio</v>
      </c>
      <c r="B9" s="6">
        <f>IFERROR(IF(A9="","",SUM('Asset Allocation'!F9)),0)</f>
        <v>0.126</v>
      </c>
      <c r="C9" s="6">
        <f>IFERROR(IF(A9="","",SUM('Asset Allocation'!E9)),0)</f>
        <v>0.38700000000000001</v>
      </c>
      <c r="D9" s="6">
        <f>IFERROR(IF(A9="","",SUM('Asset Allocation'!I9)),0)</f>
        <v>9.3000000000000013E-2</v>
      </c>
      <c r="E9" s="6">
        <f>IFERROR(IF(A9="","",SUM('Asset Allocation'!G9)),0)</f>
        <v>0.125</v>
      </c>
      <c r="F9" s="6">
        <f>IFERROR(IF(A9="","",SUM('Asset Allocation'!J9,'Asset Allocation'!N9)),0)</f>
        <v>8.3000000000000004E-2</v>
      </c>
      <c r="G9" s="6">
        <f>IFERROR(IF(A9="","",SUM('Asset Allocation'!H9,'Asset Allocation'!K9,'Asset Allocation'!L9,'Asset Allocation'!M9)),0)</f>
        <v>0.186</v>
      </c>
      <c r="H9" s="6"/>
    </row>
    <row r="10" spans="1:8" x14ac:dyDescent="0.3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3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3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3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3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3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3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3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3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3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3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3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3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3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3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3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3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3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3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3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3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3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3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3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3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3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3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3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3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3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3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3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3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3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3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3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3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3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3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3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3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58</v>
      </c>
      <c r="F1" t="s">
        <v>53</v>
      </c>
      <c r="G1" t="s">
        <v>16</v>
      </c>
      <c r="H1" t="s">
        <v>54</v>
      </c>
    </row>
    <row r="2" spans="1:8" x14ac:dyDescent="0.35">
      <c r="A2" t="str">
        <f>IF(Input!A3="","",Input!A3)</f>
        <v>SCM Ethical (ESG) Portfolio</v>
      </c>
      <c r="H2">
        <f>IFERROR(IF(A2="","",SUM('Asset Allocation'!B2)/'Broad Asset Allocation'!C2),0)</f>
        <v>1</v>
      </c>
    </row>
    <row r="3" spans="1:8" x14ac:dyDescent="0.35">
      <c r="A3" t="str">
        <f>IF(Input!A4="","",Input!A4)</f>
        <v>SCM Bond Reserve</v>
      </c>
      <c r="H3">
        <f>IFERROR(IF(A3="","",SUM('Asset Allocation'!B3)/'Broad Asset Allocation'!C3),0)</f>
        <v>1</v>
      </c>
    </row>
    <row r="4" spans="1:8" x14ac:dyDescent="0.35">
      <c r="A4" t="str">
        <f>IF(Input!A5="","",Input!A5)</f>
        <v>SCM Absolute Return</v>
      </c>
      <c r="H4">
        <f>IFERROR(IF(A4="","",SUM('Asset Allocation'!B4)/'Broad Asset Allocation'!C4),0)</f>
        <v>1</v>
      </c>
    </row>
    <row r="5" spans="1:8" x14ac:dyDescent="0.35">
      <c r="A5" t="str">
        <f>IF(Input!A6="","",Input!A6)</f>
        <v>SCM Long-Term Return</v>
      </c>
      <c r="H5">
        <f>IFERROR(IF(A5="","",SUM('Asset Allocation'!B5)/'Broad Asset Allocation'!C5),0)</f>
        <v>1</v>
      </c>
    </row>
    <row r="6" spans="1:8" x14ac:dyDescent="0.35">
      <c r="A6" t="str">
        <f>IF(Input!A7="","",Input!A7)</f>
        <v>SCM 50-50 Bond Reserve - Absolute Return</v>
      </c>
      <c r="H6">
        <f>IFERROR(IF(A6="","",SUM('Asset Allocation'!B6)/'Broad Asset Allocation'!C6),0)</f>
        <v>1</v>
      </c>
    </row>
    <row r="7" spans="1:8" x14ac:dyDescent="0.35">
      <c r="A7" t="str">
        <f>IF(Input!A8="","",Input!A8)</f>
        <v>SCM 50-50 Bond Reserve - Long-Term Return</v>
      </c>
      <c r="H7">
        <f>IFERROR(IF(A7="","",SUM('Asset Allocation'!B7)/'Broad Asset Allocation'!C7),0)</f>
        <v>1</v>
      </c>
    </row>
    <row r="8" spans="1:8" x14ac:dyDescent="0.35">
      <c r="A8" t="str">
        <f>IF(Input!A9="","",Input!A9)</f>
        <v>SCM 50-50 Absolute Return - Long-Term Return</v>
      </c>
      <c r="H8">
        <f>IFERROR(IF(A8="","",SUM('Asset Allocation'!B8)/'Broad Asset Allocation'!C8),0)</f>
        <v>1</v>
      </c>
    </row>
    <row r="9" spans="1:8" x14ac:dyDescent="0.35">
      <c r="A9" t="str">
        <f>IF(Input!A10="","",Input!A10)</f>
        <v>SCM Equity Portfolio</v>
      </c>
      <c r="H9">
        <f>IFERROR(IF(A9="","",SUM('Asset Allocation'!B9)/'Broad Asset Allocation'!C9),0)</f>
        <v>0</v>
      </c>
    </row>
    <row r="10" spans="1:8" x14ac:dyDescent="0.3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3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3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9632B-E9C0-4A34-8479-EC26D573457D}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19EE8-0A1D-4038-B98D-90D06A557701}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04515-7340-43CE-B778-D90C16DA52CC}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2023-11-17T22:38:41Z</dcterms:modified>
</cp:coreProperties>
</file>