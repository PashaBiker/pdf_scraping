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2_milestone\Thorntons Investments\"/>
    </mc:Choice>
  </mc:AlternateContent>
  <bookViews>
    <workbookView xWindow="-105" yWindow="-105" windowWidth="19425" windowHeight="10305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A7" i="35"/>
  <c r="A8" i="35"/>
  <c r="A9" i="35"/>
  <c r="A10" i="35"/>
  <c r="A11" i="35"/>
  <c r="A12" i="35"/>
  <c r="A13" i="35"/>
  <c r="A14" i="35"/>
  <c r="A15" i="35"/>
  <c r="A16" i="35"/>
  <c r="A17" i="35"/>
  <c r="A2" i="35"/>
  <c r="A3" i="35"/>
  <c r="A4" i="35"/>
  <c r="A5" i="35"/>
  <c r="A6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H15" i="8" s="1"/>
  <c r="A14" i="8"/>
  <c r="H14" i="8" s="1"/>
  <c r="A13" i="8"/>
  <c r="H13" i="8" s="1"/>
  <c r="A12" i="8"/>
  <c r="H12" i="8" s="1"/>
  <c r="A11" i="8"/>
  <c r="H11" i="8" s="1"/>
  <c r="A10" i="8"/>
  <c r="H10" i="8" s="1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F21" i="7" l="1"/>
  <c r="G21" i="7"/>
  <c r="B21" i="7"/>
  <c r="C21" i="7"/>
  <c r="E21" i="7"/>
  <c r="D21" i="7"/>
  <c r="B6" i="7"/>
  <c r="D6" i="7"/>
  <c r="C6" i="7"/>
  <c r="G6" i="7"/>
  <c r="E6" i="7"/>
  <c r="F6" i="7"/>
  <c r="B14" i="7"/>
  <c r="D14" i="7"/>
  <c r="C14" i="7"/>
  <c r="G14" i="7"/>
  <c r="E14" i="7"/>
  <c r="F14" i="7"/>
  <c r="B22" i="7"/>
  <c r="C22" i="7"/>
  <c r="D22" i="7"/>
  <c r="G22" i="7"/>
  <c r="E22" i="7"/>
  <c r="F22" i="7"/>
  <c r="B30" i="7"/>
  <c r="D30" i="7"/>
  <c r="C30" i="7"/>
  <c r="G30" i="7"/>
  <c r="E30" i="7"/>
  <c r="F30" i="7"/>
  <c r="B38" i="7"/>
  <c r="D38" i="7"/>
  <c r="C38" i="7"/>
  <c r="G38" i="7"/>
  <c r="E38" i="7"/>
  <c r="F38" i="7"/>
  <c r="B46" i="7"/>
  <c r="C46" i="7"/>
  <c r="D46" i="7"/>
  <c r="G46" i="7"/>
  <c r="E46" i="7"/>
  <c r="F46" i="7"/>
  <c r="F13" i="7"/>
  <c r="E13" i="7"/>
  <c r="G13" i="7"/>
  <c r="B13" i="7"/>
  <c r="C13" i="7"/>
  <c r="D13" i="7"/>
  <c r="D7" i="7"/>
  <c r="E7" i="7"/>
  <c r="F7" i="7"/>
  <c r="G7" i="7"/>
  <c r="B7" i="7"/>
  <c r="C7" i="7"/>
  <c r="D15" i="7"/>
  <c r="E15" i="7"/>
  <c r="F15" i="7"/>
  <c r="G15" i="7"/>
  <c r="C15" i="7"/>
  <c r="B15" i="7"/>
  <c r="D23" i="7"/>
  <c r="E23" i="7"/>
  <c r="F23" i="7"/>
  <c r="C23" i="7"/>
  <c r="G23" i="7"/>
  <c r="B23" i="7"/>
  <c r="D31" i="7"/>
  <c r="E31" i="7"/>
  <c r="F31" i="7"/>
  <c r="C31" i="7"/>
  <c r="G31" i="7"/>
  <c r="B31" i="7"/>
  <c r="D39" i="7"/>
  <c r="E39" i="7"/>
  <c r="F39" i="7"/>
  <c r="C39" i="7"/>
  <c r="G39" i="7"/>
  <c r="B39" i="7"/>
  <c r="D47" i="7"/>
  <c r="E47" i="7"/>
  <c r="F47" i="7"/>
  <c r="C47" i="7"/>
  <c r="G47" i="7"/>
  <c r="B47" i="7"/>
  <c r="F5" i="7"/>
  <c r="G5" i="7"/>
  <c r="B5" i="7"/>
  <c r="C5" i="7"/>
  <c r="D5" i="7"/>
  <c r="E5" i="7"/>
  <c r="B8" i="7"/>
  <c r="C8" i="7"/>
  <c r="D8" i="7"/>
  <c r="G8" i="7"/>
  <c r="E8" i="7"/>
  <c r="F8" i="7"/>
  <c r="B16" i="7"/>
  <c r="C16" i="7"/>
  <c r="D16" i="7"/>
  <c r="G16" i="7"/>
  <c r="E16" i="7"/>
  <c r="F16" i="7"/>
  <c r="B24" i="7"/>
  <c r="F24" i="7"/>
  <c r="C24" i="7"/>
  <c r="D24" i="7"/>
  <c r="G24" i="7"/>
  <c r="E24" i="7"/>
  <c r="B32" i="7"/>
  <c r="F32" i="7"/>
  <c r="C32" i="7"/>
  <c r="D32" i="7"/>
  <c r="G32" i="7"/>
  <c r="E32" i="7"/>
  <c r="F40" i="7"/>
  <c r="B40" i="7"/>
  <c r="C40" i="7"/>
  <c r="D40" i="7"/>
  <c r="G40" i="7"/>
  <c r="E40" i="7"/>
  <c r="B48" i="7"/>
  <c r="F48" i="7"/>
  <c r="C48" i="7"/>
  <c r="D48" i="7"/>
  <c r="G48" i="7"/>
  <c r="E48" i="7"/>
  <c r="F45" i="7"/>
  <c r="G45" i="7"/>
  <c r="E45" i="7"/>
  <c r="B45" i="7"/>
  <c r="C45" i="7"/>
  <c r="D45" i="7"/>
  <c r="B9" i="7"/>
  <c r="C9" i="7"/>
  <c r="E9" i="7"/>
  <c r="D9" i="7"/>
  <c r="F9" i="7"/>
  <c r="G9" i="7"/>
  <c r="B17" i="7"/>
  <c r="C17" i="7"/>
  <c r="E17" i="7"/>
  <c r="D17" i="7"/>
  <c r="F17" i="7"/>
  <c r="G17" i="7"/>
  <c r="B25" i="7"/>
  <c r="C25" i="7"/>
  <c r="D25" i="7"/>
  <c r="E25" i="7"/>
  <c r="F25" i="7"/>
  <c r="G25" i="7"/>
  <c r="B33" i="7"/>
  <c r="C33" i="7"/>
  <c r="D33" i="7"/>
  <c r="E33" i="7"/>
  <c r="F33" i="7"/>
  <c r="G33" i="7"/>
  <c r="B41" i="7"/>
  <c r="C41" i="7"/>
  <c r="E41" i="7"/>
  <c r="D41" i="7"/>
  <c r="F41" i="7"/>
  <c r="G41" i="7"/>
  <c r="B49" i="7"/>
  <c r="C49" i="7"/>
  <c r="D49" i="7"/>
  <c r="E49" i="7"/>
  <c r="F49" i="7"/>
  <c r="G49" i="7"/>
  <c r="F37" i="7"/>
  <c r="G37" i="7"/>
  <c r="B37" i="7"/>
  <c r="E37" i="7"/>
  <c r="C37" i="7"/>
  <c r="D37" i="7"/>
  <c r="G2" i="7"/>
  <c r="E2" i="7"/>
  <c r="F2" i="7"/>
  <c r="D2" i="7"/>
  <c r="C2" i="7"/>
  <c r="B2" i="7"/>
  <c r="G10" i="7"/>
  <c r="E10" i="7"/>
  <c r="F10" i="7"/>
  <c r="B10" i="7"/>
  <c r="C10" i="7"/>
  <c r="D10" i="7"/>
  <c r="G18" i="7"/>
  <c r="E18" i="7"/>
  <c r="F18" i="7"/>
  <c r="B18" i="7"/>
  <c r="D18" i="7"/>
  <c r="C18" i="7"/>
  <c r="G26" i="7"/>
  <c r="E26" i="7"/>
  <c r="F26" i="7"/>
  <c r="D26" i="7"/>
  <c r="B26" i="7"/>
  <c r="C26" i="7"/>
  <c r="G34" i="7"/>
  <c r="E34" i="7"/>
  <c r="F34" i="7"/>
  <c r="B34" i="7"/>
  <c r="D34" i="7"/>
  <c r="C34" i="7"/>
  <c r="G42" i="7"/>
  <c r="E42" i="7"/>
  <c r="F42" i="7"/>
  <c r="B42" i="7"/>
  <c r="C42" i="7"/>
  <c r="D42" i="7"/>
  <c r="G50" i="7"/>
  <c r="E50" i="7"/>
  <c r="F50" i="7"/>
  <c r="B50" i="7"/>
  <c r="C50" i="7"/>
  <c r="D50" i="7"/>
  <c r="F29" i="7"/>
  <c r="G29" i="7"/>
  <c r="B29" i="7"/>
  <c r="C29" i="7"/>
  <c r="D29" i="7"/>
  <c r="E29" i="7"/>
  <c r="G3" i="7"/>
  <c r="C3" i="7"/>
  <c r="B3" i="7"/>
  <c r="D3" i="7"/>
  <c r="E3" i="7"/>
  <c r="F3" i="7"/>
  <c r="G11" i="7"/>
  <c r="C11" i="7"/>
  <c r="B11" i="7"/>
  <c r="D11" i="7"/>
  <c r="E11" i="7"/>
  <c r="F11" i="7"/>
  <c r="G19" i="7"/>
  <c r="B19" i="7"/>
  <c r="C19" i="7"/>
  <c r="D19" i="7"/>
  <c r="E19" i="7"/>
  <c r="F19" i="7"/>
  <c r="G27" i="7"/>
  <c r="C27" i="7"/>
  <c r="B27" i="7"/>
  <c r="D27" i="7"/>
  <c r="E27" i="7"/>
  <c r="F27" i="7"/>
  <c r="G35" i="7"/>
  <c r="C35" i="7"/>
  <c r="B35" i="7"/>
  <c r="D35" i="7"/>
  <c r="E35" i="7"/>
  <c r="F35" i="7"/>
  <c r="G43" i="7"/>
  <c r="B43" i="7"/>
  <c r="C43" i="7"/>
  <c r="D43" i="7"/>
  <c r="E43" i="7"/>
  <c r="F43" i="7"/>
  <c r="C4" i="7"/>
  <c r="D4" i="7"/>
  <c r="G4" i="7"/>
  <c r="E4" i="7"/>
  <c r="F4" i="7"/>
  <c r="B4" i="7"/>
  <c r="C12" i="7"/>
  <c r="D12" i="7"/>
  <c r="G12" i="7"/>
  <c r="E12" i="7"/>
  <c r="F12" i="7"/>
  <c r="B12" i="7"/>
  <c r="C20" i="7"/>
  <c r="D20" i="7"/>
  <c r="F20" i="7"/>
  <c r="G20" i="7"/>
  <c r="E20" i="7"/>
  <c r="B20" i="7"/>
  <c r="C28" i="7"/>
  <c r="D28" i="7"/>
  <c r="G28" i="7"/>
  <c r="E28" i="7"/>
  <c r="F28" i="7"/>
  <c r="B28" i="7"/>
  <c r="C36" i="7"/>
  <c r="D36" i="7"/>
  <c r="G36" i="7"/>
  <c r="E36" i="7"/>
  <c r="F36" i="7"/>
  <c r="B36" i="7"/>
  <c r="C44" i="7"/>
  <c r="D44" i="7"/>
  <c r="F44" i="7"/>
  <c r="G44" i="7"/>
  <c r="E44" i="7"/>
  <c r="B44" i="7"/>
  <c r="C23" i="4"/>
  <c r="B23" i="4"/>
  <c r="G23" i="4"/>
  <c r="G16" i="4"/>
  <c r="B16" i="4"/>
  <c r="C16" i="4"/>
  <c r="B49" i="4"/>
  <c r="C49" i="4"/>
  <c r="G49" i="4"/>
  <c r="B6" i="4"/>
  <c r="C6" i="4"/>
  <c r="H6" i="8" s="1"/>
  <c r="G6" i="4"/>
  <c r="B14" i="4"/>
  <c r="C14" i="4"/>
  <c r="G14" i="4"/>
  <c r="B22" i="4"/>
  <c r="C22" i="4"/>
  <c r="G22" i="4"/>
  <c r="B30" i="4"/>
  <c r="C30" i="4"/>
  <c r="G30" i="4"/>
  <c r="B38" i="4"/>
  <c r="C38" i="4"/>
  <c r="G38" i="4"/>
  <c r="B46" i="4"/>
  <c r="C46" i="4"/>
  <c r="G46" i="4"/>
  <c r="G47" i="4"/>
  <c r="C47" i="4"/>
  <c r="B47" i="4"/>
  <c r="G40" i="4"/>
  <c r="B40" i="4"/>
  <c r="C40" i="4"/>
  <c r="C2" i="4"/>
  <c r="H2" i="8" s="1"/>
  <c r="B2" i="4"/>
  <c r="G2" i="4"/>
  <c r="B10" i="4"/>
  <c r="C10" i="4"/>
  <c r="G10" i="4"/>
  <c r="B18" i="4"/>
  <c r="G18" i="4"/>
  <c r="C18" i="4"/>
  <c r="B26" i="4"/>
  <c r="C26" i="4"/>
  <c r="G26" i="4"/>
  <c r="B34" i="4"/>
  <c r="C34" i="4"/>
  <c r="G34" i="4"/>
  <c r="C42" i="4"/>
  <c r="B42" i="4"/>
  <c r="G42" i="4"/>
  <c r="B50" i="4"/>
  <c r="G50" i="4"/>
  <c r="C50" i="4"/>
  <c r="C15" i="4"/>
  <c r="B15" i="4"/>
  <c r="G15" i="4"/>
  <c r="G8" i="4"/>
  <c r="B8" i="4"/>
  <c r="C8" i="4"/>
  <c r="H8" i="8" s="1"/>
  <c r="G24" i="4"/>
  <c r="B24" i="4"/>
  <c r="C24" i="4"/>
  <c r="B25" i="4"/>
  <c r="C25" i="4"/>
  <c r="G25" i="4"/>
  <c r="C3" i="4"/>
  <c r="H3" i="8" s="1"/>
  <c r="G3" i="4"/>
  <c r="B3" i="4"/>
  <c r="C11" i="4"/>
  <c r="G11" i="4"/>
  <c r="B11" i="4"/>
  <c r="C19" i="4"/>
  <c r="G19" i="4"/>
  <c r="B19" i="4"/>
  <c r="C27" i="4"/>
  <c r="G27" i="4"/>
  <c r="B27" i="4"/>
  <c r="C35" i="4"/>
  <c r="G35" i="4"/>
  <c r="B35" i="4"/>
  <c r="C43" i="4"/>
  <c r="G43" i="4"/>
  <c r="B43" i="4"/>
  <c r="C39" i="4"/>
  <c r="B39" i="4"/>
  <c r="G39" i="4"/>
  <c r="G48" i="4"/>
  <c r="B48" i="4"/>
  <c r="C48" i="4"/>
  <c r="B9" i="4"/>
  <c r="C9" i="4"/>
  <c r="H9" i="8" s="1"/>
  <c r="G9" i="4"/>
  <c r="B41" i="4"/>
  <c r="C41" i="4"/>
  <c r="G41" i="4"/>
  <c r="B4" i="4"/>
  <c r="C4" i="4"/>
  <c r="H4" i="8" s="1"/>
  <c r="G4" i="4"/>
  <c r="G12" i="4"/>
  <c r="B12" i="4"/>
  <c r="C12" i="4"/>
  <c r="G20" i="4"/>
  <c r="B20" i="4"/>
  <c r="C20" i="4"/>
  <c r="G28" i="4"/>
  <c r="B28" i="4"/>
  <c r="C28" i="4"/>
  <c r="G36" i="4"/>
  <c r="B36" i="4"/>
  <c r="C36" i="4"/>
  <c r="G44" i="4"/>
  <c r="B44" i="4"/>
  <c r="C44" i="4"/>
  <c r="G7" i="4"/>
  <c r="C7" i="4"/>
  <c r="H7" i="8" s="1"/>
  <c r="B7" i="4"/>
  <c r="C31" i="4"/>
  <c r="B31" i="4"/>
  <c r="G31" i="4"/>
  <c r="G32" i="4"/>
  <c r="B32" i="4"/>
  <c r="C32" i="4"/>
  <c r="B17" i="4"/>
  <c r="C17" i="4"/>
  <c r="G17" i="4"/>
  <c r="B33" i="4"/>
  <c r="C33" i="4"/>
  <c r="G33" i="4"/>
  <c r="B5" i="4"/>
  <c r="C5" i="4"/>
  <c r="H5" i="8" s="1"/>
  <c r="G5" i="4"/>
  <c r="B13" i="4"/>
  <c r="C13" i="4"/>
  <c r="G13" i="4"/>
  <c r="C21" i="4"/>
  <c r="G21" i="4"/>
  <c r="B21" i="4"/>
  <c r="C29" i="4"/>
  <c r="G29" i="4"/>
  <c r="B29" i="4"/>
  <c r="B37" i="4"/>
  <c r="C37" i="4"/>
  <c r="G37" i="4"/>
  <c r="B45" i="4"/>
  <c r="C45" i="4"/>
  <c r="G45" i="4"/>
  <c r="C15" i="31"/>
  <c r="D15" i="31"/>
  <c r="B15" i="31"/>
  <c r="B48" i="31"/>
  <c r="C48" i="31"/>
  <c r="D48" i="31"/>
  <c r="C23" i="31"/>
  <c r="D23" i="31"/>
  <c r="B23" i="31"/>
  <c r="B16" i="31"/>
  <c r="C16" i="31"/>
  <c r="D16" i="31"/>
  <c r="B40" i="31"/>
  <c r="C40" i="31"/>
  <c r="D40" i="31"/>
  <c r="B9" i="31"/>
  <c r="C9" i="31"/>
  <c r="D9" i="31"/>
  <c r="B17" i="31"/>
  <c r="C17" i="31"/>
  <c r="D17" i="31"/>
  <c r="B25" i="31"/>
  <c r="C25" i="31"/>
  <c r="D25" i="31"/>
  <c r="B33" i="31"/>
  <c r="C33" i="31"/>
  <c r="D33" i="31"/>
  <c r="B41" i="31"/>
  <c r="C41" i="31"/>
  <c r="D41" i="31"/>
  <c r="B49" i="31"/>
  <c r="C49" i="31"/>
  <c r="D49" i="31"/>
  <c r="D7" i="31"/>
  <c r="B7" i="31"/>
  <c r="C7" i="31"/>
  <c r="B8" i="31"/>
  <c r="C8" i="31"/>
  <c r="D8" i="31"/>
  <c r="B32" i="31"/>
  <c r="C32" i="31"/>
  <c r="D32" i="31"/>
  <c r="D2" i="31"/>
  <c r="C2" i="31"/>
  <c r="B2" i="31"/>
  <c r="D10" i="31"/>
  <c r="C10" i="31"/>
  <c r="B10" i="31"/>
  <c r="D18" i="31"/>
  <c r="B18" i="31"/>
  <c r="C18" i="31"/>
  <c r="D26" i="31"/>
  <c r="B26" i="31"/>
  <c r="C26" i="31"/>
  <c r="D34" i="31"/>
  <c r="B34" i="31"/>
  <c r="C34" i="31"/>
  <c r="D42" i="31"/>
  <c r="C42" i="31"/>
  <c r="B42" i="31"/>
  <c r="D50" i="31"/>
  <c r="C50" i="31"/>
  <c r="B50" i="31"/>
  <c r="B19" i="31"/>
  <c r="C19" i="31"/>
  <c r="D19" i="31"/>
  <c r="B27" i="31"/>
  <c r="C27" i="31"/>
  <c r="D27" i="31"/>
  <c r="B35" i="31"/>
  <c r="C35" i="31"/>
  <c r="D35" i="31"/>
  <c r="B43" i="31"/>
  <c r="C43" i="31"/>
  <c r="D43" i="31"/>
  <c r="C47" i="31"/>
  <c r="B47" i="31"/>
  <c r="D47" i="31"/>
  <c r="B3" i="31"/>
  <c r="C3" i="31"/>
  <c r="D3" i="31"/>
  <c r="B4" i="31"/>
  <c r="C4" i="31"/>
  <c r="D4" i="31"/>
  <c r="D12" i="31"/>
  <c r="B12" i="31"/>
  <c r="C12" i="31"/>
  <c r="B20" i="31"/>
  <c r="C20" i="31"/>
  <c r="D20" i="31"/>
  <c r="B28" i="31"/>
  <c r="C28" i="31"/>
  <c r="D28" i="31"/>
  <c r="D36" i="31"/>
  <c r="B36" i="31"/>
  <c r="C36" i="31"/>
  <c r="D44" i="31"/>
  <c r="B44" i="31"/>
  <c r="C44" i="31"/>
  <c r="C39" i="31"/>
  <c r="D39" i="31"/>
  <c r="B39" i="31"/>
  <c r="B11" i="31"/>
  <c r="C11" i="31"/>
  <c r="D11" i="31"/>
  <c r="B5" i="31"/>
  <c r="C5" i="31"/>
  <c r="D5" i="31"/>
  <c r="C13" i="31"/>
  <c r="D13" i="31"/>
  <c r="B13" i="31"/>
  <c r="C21" i="31"/>
  <c r="D21" i="31"/>
  <c r="B21" i="31"/>
  <c r="C29" i="31"/>
  <c r="D29" i="31"/>
  <c r="B29" i="31"/>
  <c r="C37" i="31"/>
  <c r="D37" i="31"/>
  <c r="B37" i="31"/>
  <c r="C45" i="31"/>
  <c r="D45" i="31"/>
  <c r="B45" i="31"/>
  <c r="C31" i="31"/>
  <c r="B31" i="31"/>
  <c r="D31" i="31"/>
  <c r="B24" i="31"/>
  <c r="C24" i="31"/>
  <c r="D24" i="31"/>
  <c r="B6" i="31"/>
  <c r="C6" i="31"/>
  <c r="D6" i="31"/>
  <c r="B14" i="31"/>
  <c r="C14" i="31"/>
  <c r="D14" i="31"/>
  <c r="B22" i="31"/>
  <c r="C22" i="31"/>
  <c r="D22" i="31"/>
  <c r="B30" i="31"/>
  <c r="C30" i="31"/>
  <c r="D30" i="31"/>
  <c r="B38" i="31"/>
  <c r="C38" i="31"/>
  <c r="D38" i="31"/>
  <c r="B46" i="31"/>
  <c r="C46" i="31"/>
  <c r="D46" i="3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<sst xmlns="http://schemas.openxmlformats.org/spreadsheetml/2006/main" count="63" uniqueCount="55">
  <si>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</si>
  <si>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</si>
  <si>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</si>
  <si>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</si>
  <si>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</si>
  <si>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</si>
  <si>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</si>
  <si>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</si>
  <si>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</si>
  <si>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</si>
  <si>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</si>
  <si>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</si>
  <si>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</si>
  <si>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</si>
  <si>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</si>
  <si>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</si>
  <si>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</si>
  <si>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</si>
  <si>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</si>
  <si>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</si>
  <si>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</si>
  <si>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</si>
  <si>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</si>
  <si>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</si>
  <si>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</si>
  <si>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</si>
  <si>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</si>
  <si>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</si>
  <si>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</si>
  <si>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</si>
  <si>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</si>
  <si>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</si>
  <si>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Other</t>
  </si>
  <si>
    <t>Thorntons Investments Cautious Model Portfolio</t>
  </si>
  <si>
    <t>Thorntons Investments Steady Model Portfolio</t>
  </si>
  <si>
    <t>Thorntons Investments Moderate Model Portfolio</t>
  </si>
  <si>
    <t>Thorntons Investments Progressive Model Portfolio</t>
  </si>
  <si>
    <t>Thorntons Investments Adventurous Model Portfolio</t>
  </si>
  <si>
    <t>https://thorntons-investments.co.uk/for-financial-advisers/managed-portfolio-service/charges-and-factsheets/</t>
  </si>
  <si>
    <t>International Equities</t>
  </si>
  <si>
    <t>UK Equities</t>
  </si>
  <si>
    <t>Property</t>
  </si>
  <si>
    <t>Estimated OCF of model</t>
  </si>
  <si>
    <t>Investment fee</t>
  </si>
  <si>
    <t>1 year</t>
  </si>
  <si>
    <t>Cautious MPS Quarterly Investor</t>
  </si>
  <si>
    <t>Steady MPS Quarterly Investor</t>
  </si>
  <si>
    <t>Moderate MPS Quarterly Investor</t>
  </si>
  <si>
    <t>Progressive MPS Quarterly Investor</t>
  </si>
  <si>
    <t>Adventurous MPS Quarterly Investor</t>
  </si>
  <si>
    <t>https://thorntons-investments.co.uk/wp-content/uploads/2023/07/Thorntons-Cautious-Factsheet-Q2-2023.pdf</t>
  </si>
  <si>
    <t>https://thorntons-investments.co.uk/wp-content/uploads/2023/07/Thorntons-Steady-Factsheet-Q2-2023.pdf</t>
  </si>
  <si>
    <t>https://thorntons-investments.co.uk/wp-content/uploads/2023/07/Thorntons-Moderate-Factsheet-Q2-2023.pdf</t>
  </si>
  <si>
    <t>https://thorntons-investments.co.uk/wp-content/uploads/2023/07/Thorntons-Progressive-Factsheet-Q2-2023.pdf</t>
  </si>
  <si>
    <t>https://thorntons-investments.co.uk/wp-content/uploads/2023/07/Thorntons-Adventurous-Factsheet-Q2-2023.pdf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</si>
</sst>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0" fontId="0" fillId="0" borderId="0" xfId="0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5</xdr:col>
      <xdr:colOff>299715</xdr:colOff>
      <xdr:row>13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9F47A0F-455F-F930-F93C-AC145C2E2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84150"/>
          <a:ext cx="3347715" cy="2228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4</xdr:col>
      <xdr:colOff>311291</xdr:colOff>
      <xdr:row>24</xdr:row>
      <xdr:rowOff>152512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F5EB657-3EC1-45E1-F260-12967EB32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393950"/>
          <a:ext cx="2749691" cy="2178162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11</xdr:col>
      <xdr:colOff>228737</xdr:colOff>
      <xdr:row>17</xdr:row>
      <xdr:rowOff>165260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5ECE680-C502-6175-ACA3-BB518B614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2667137" cy="31116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abSelected="1" workbookViewId="0">
      <selection activeCell="O21" sqref="O21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7"/>
  <sheetViews>
    <sheetView workbookViewId="0">
      <selection activeCell="B8" sqref="B8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45199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https://thorntons-investments.co.uk/wp-content/uploads/2023/07/Thorntons-Cautious-Factsheet-Q2-2023.pdf</v>
      </c>
      <c r="J3" s="4"/>
    </row>
    <row r="4" spans="1:10" x14ac:dyDescent="0.25">
      <c r="A4" t="s">
        <v>34</v>
      </c>
      <c r="B4" t="str">
        <f>'PDF Scraping'!D3</f>
        <v>https://thorntons-investments.co.uk/wp-content/uploads/2023/07/Thorntons-Steady-Factsheet-Q2-2023.pdf</v>
      </c>
      <c r="J4" s="4"/>
    </row>
    <row r="5" spans="1:10" x14ac:dyDescent="0.25">
      <c r="A5" t="s">
        <v>35</v>
      </c>
      <c r="B5" t="str">
        <f>'PDF Scraping'!D4</f>
        <v>https://thorntons-investments.co.uk/wp-content/uploads/2023/07/Thorntons-Moderate-Factsheet-Q2-2023.pdf</v>
      </c>
    </row>
    <row r="6" spans="1:10" x14ac:dyDescent="0.25">
      <c r="A6" t="s">
        <v>36</v>
      </c>
      <c r="B6" t="str">
        <f>'PDF Scraping'!D5</f>
        <v>https://thorntons-investments.co.uk/wp-content/uploads/2023/07/Thorntons-Progressive-Factsheet-Q2-2023.pdf</v>
      </c>
    </row>
    <row r="7" spans="1:10" x14ac:dyDescent="0.25">
      <c r="A7" t="s">
        <v>37</v>
      </c>
      <c r="B7" t="str">
        <f>'PDF Scraping'!D6</f>
        <v>https://thorntons-investments.co.uk/wp-content/uploads/2023/07/Thorntons-Adventurous-Factsheet-Q2-2023.pdf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F50"/>
  <sheetViews>
    <sheetView workbookViewId="0"/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6" x14ac:dyDescent="0.25">
      <c r="B1" t="s">
        <v>26</v>
      </c>
      <c r="C1" t="s">
        <v>42</v>
      </c>
      <c r="D1" t="s">
        <v>43</v>
      </c>
      <c r="E1" t="s">
        <v>44</v>
      </c>
    </row>
    <row r="2" spans="1:6" x14ac:dyDescent="0.25">
      <c r="A2" t="str">
        <f>IF(Input!A3="","",Input!A3)</f>
        <v>Thorntons Investments Cautious Model Portfolio</v>
      </c>
      <c r="B2" s="1">
        <v>45107</v>
      </c>
      <c r="C2" s="5">
        <v>5.6000000000000008E-3</v>
      </c>
      <c r="D2" s="5">
        <v>2E-3</v>
      </c>
      <c r="E2" s="5">
        <v>-2.3E-2</v>
      </c>
      <c r="F2" s="5"/>
    </row>
    <row r="3" spans="1:6" x14ac:dyDescent="0.25">
      <c r="A3" t="str">
        <f>IF(Input!A4="","",Input!A4)</f>
        <v>Thorntons Investments Steady Model Portfolio</v>
      </c>
      <c r="B3" s="1">
        <v>45107</v>
      </c>
      <c r="C3" s="5">
        <v>5.3E-3</v>
      </c>
      <c r="D3" s="5">
        <v>2E-3</v>
      </c>
      <c r="E3" s="5">
        <v>2E-3</v>
      </c>
      <c r="F3" s="5"/>
    </row>
    <row r="4" spans="1:6" x14ac:dyDescent="0.25">
      <c r="A4" t="str">
        <f>IF(Input!A5="","",Input!A5)</f>
        <v>Thorntons Investments Moderate Model Portfolio</v>
      </c>
      <c r="B4" s="1">
        <v>45107</v>
      </c>
      <c r="C4" s="5">
        <v>4.4000000000000003E-3</v>
      </c>
      <c r="D4" s="5">
        <v>2E-3</v>
      </c>
      <c r="E4" s="5">
        <v>2.8999999999999998E-2</v>
      </c>
      <c r="F4" s="5"/>
    </row>
    <row r="5" spans="1:6" x14ac:dyDescent="0.25">
      <c r="A5" t="str">
        <f>IF(Input!A6="","",Input!A6)</f>
        <v>Thorntons Investments Progressive Model Portfolio</v>
      </c>
      <c r="B5" s="1">
        <v>45107</v>
      </c>
      <c r="C5" s="5">
        <v>4.5999999999999999E-3</v>
      </c>
      <c r="D5" s="5">
        <v>2E-3</v>
      </c>
      <c r="E5" s="5">
        <v>4.5999999999999999E-2</v>
      </c>
      <c r="F5" s="5"/>
    </row>
    <row r="6" spans="1:6" x14ac:dyDescent="0.25">
      <c r="A6" t="str">
        <f>IF(Input!A7="","",Input!A7)</f>
        <v>Thorntons Investments Adventurous Model Portfolio</v>
      </c>
      <c r="B6" s="1">
        <v>45107</v>
      </c>
      <c r="C6" s="5">
        <v>4.4000000000000003E-3</v>
      </c>
      <c r="D6" s="5">
        <v>2E-3</v>
      </c>
      <c r="E6" s="5">
        <v>6.4000000000000001E-2</v>
      </c>
      <c r="F6" s="5"/>
    </row>
    <row r="7" spans="1:6" x14ac:dyDescent="0.25">
      <c r="A7" t="str">
        <f>IF(Input!A8="","",Input!A8)</f>
        <v/>
      </c>
      <c r="B7" s="1"/>
      <c r="C7" s="5"/>
      <c r="D7" s="5"/>
      <c r="E7" s="5"/>
      <c r="F7" s="5"/>
    </row>
    <row r="8" spans="1:6" x14ac:dyDescent="0.25">
      <c r="A8" t="str">
        <f>IF(Input!A9="","",Input!A9)</f>
        <v/>
      </c>
      <c r="B8" s="1"/>
      <c r="C8" s="5"/>
      <c r="D8" s="5"/>
      <c r="E8" s="5"/>
      <c r="F8" s="5"/>
    </row>
    <row r="9" spans="1:6" x14ac:dyDescent="0.25">
      <c r="A9" t="str">
        <f>IF(Input!A10="","",Input!A10)</f>
        <v/>
      </c>
      <c r="B9" s="1"/>
      <c r="C9" s="5"/>
      <c r="D9" s="5"/>
      <c r="E9" s="5"/>
      <c r="F9" s="5"/>
    </row>
    <row r="10" spans="1:6" x14ac:dyDescent="0.25">
      <c r="A10" t="str">
        <f>IF(Input!A11="","",Input!A11)</f>
        <v/>
      </c>
      <c r="B10" s="1"/>
      <c r="C10" s="5"/>
      <c r="D10" s="5"/>
      <c r="E10" s="5"/>
      <c r="F10" s="5"/>
    </row>
    <row r="11" spans="1:6" x14ac:dyDescent="0.25">
      <c r="A11" t="str">
        <f>IF(Input!A12="","",Input!A12)</f>
        <v/>
      </c>
      <c r="B11" s="1"/>
      <c r="C11" s="5"/>
      <c r="D11" s="5"/>
      <c r="E11" s="5"/>
      <c r="F11" s="5"/>
    </row>
    <row r="12" spans="1:6" x14ac:dyDescent="0.25">
      <c r="A12" t="str">
        <f>IF(Input!A13="","",Input!A13)</f>
        <v/>
      </c>
      <c r="B12" s="1"/>
      <c r="C12" s="5"/>
      <c r="D12" s="5"/>
      <c r="E12" s="5"/>
      <c r="F12" s="5"/>
    </row>
    <row r="13" spans="1:6" x14ac:dyDescent="0.25">
      <c r="A13" t="str">
        <f>IF(Input!A14="","",Input!A14)</f>
        <v/>
      </c>
      <c r="B13" s="1"/>
      <c r="C13" s="5"/>
      <c r="D13" s="5"/>
      <c r="E13" s="5"/>
      <c r="F13" s="5"/>
    </row>
    <row r="14" spans="1:6" x14ac:dyDescent="0.25">
      <c r="A14" t="str">
        <f>IF(Input!A15="","",Input!A15)</f>
        <v/>
      </c>
      <c r="B14" s="1"/>
      <c r="C14" s="5"/>
      <c r="D14" s="5"/>
      <c r="E14" s="5"/>
      <c r="F14" s="5"/>
    </row>
    <row r="15" spans="1:6" x14ac:dyDescent="0.25">
      <c r="A15" t="str">
        <f>IF(Input!A16="","",Input!A16)</f>
        <v/>
      </c>
      <c r="B15" s="1"/>
      <c r="C15" s="5"/>
      <c r="D15" s="5"/>
      <c r="E15" s="5"/>
      <c r="F15" s="5"/>
    </row>
    <row r="16" spans="1:6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workbookViewId="0">
      <selection activeCell="B2" sqref="B2:G6"/>
    </sheetView>
  </sheetViews>
  <sheetFormatPr defaultRowHeight="15" x14ac:dyDescent="0.25"/>
  <cols>
    <col min="1" max="1" width="45.42578125" bestFit="1" customWidth="1"/>
    <col min="2" max="2" width="18.85546875" bestFit="1" customWidth="1"/>
    <col min="3" max="3" width="7.140625" bestFit="1" customWidth="1"/>
    <col min="4" max="4" width="10.140625" bestFit="1" customWidth="1"/>
    <col min="5" max="5" width="7.140625" bestFit="1" customWidth="1"/>
    <col min="6" max="6" width="8" bestFit="1" customWidth="1"/>
    <col min="7" max="7" width="7.140625" bestFit="1" customWidth="1"/>
    <col min="8" max="8" width="9" bestFit="1" customWidth="1"/>
    <col min="9" max="9" width="10.28515625" bestFit="1" customWidth="1"/>
    <col min="10" max="10" width="7.7109375" bestFit="1" customWidth="1"/>
    <col min="11" max="11" width="17.28515625" bestFit="1" customWidth="1"/>
    <col min="12" max="12" width="12.140625" bestFit="1" customWidth="1"/>
    <col min="13" max="13" width="11.5703125" bestFit="1" customWidth="1"/>
    <col min="14" max="14" width="10.4257812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t="s">
        <v>39</v>
      </c>
      <c r="C1" t="s">
        <v>32</v>
      </c>
      <c r="D1" t="s">
        <v>40</v>
      </c>
      <c r="E1" t="s">
        <v>3</v>
      </c>
      <c r="F1" t="s">
        <v>41</v>
      </c>
      <c r="G1" t="s">
        <v>4</v>
      </c>
    </row>
    <row r="2" spans="1:30" x14ac:dyDescent="0.25">
      <c r="A2" t="str">
        <f>IF(Input!A3="","",Input!A3)</f>
        <v>Thorntons Investments Cautious Model Portfolio</v>
      </c>
      <c r="B2" s="5">
        <v>0.05</v>
      </c>
      <c r="C2" s="5">
        <v>0.33</v>
      </c>
      <c r="D2" s="5">
        <v>0.08</v>
      </c>
      <c r="E2" s="5">
        <v>0.28999999999999998</v>
      </c>
      <c r="F2" s="5">
        <v>0.08</v>
      </c>
      <c r="G2" s="5">
        <v>0.17</v>
      </c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Thorntons Investments Steady Model Portfolio</v>
      </c>
      <c r="B3" s="5">
        <v>0.18</v>
      </c>
      <c r="C3" s="5">
        <v>0.34</v>
      </c>
      <c r="D3" s="5">
        <v>0.15</v>
      </c>
      <c r="E3" s="5">
        <v>0.15</v>
      </c>
      <c r="F3" s="5">
        <v>0.06</v>
      </c>
      <c r="G3" s="5">
        <v>0.12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30" x14ac:dyDescent="0.25">
      <c r="A4" t="str">
        <f>IF(Input!A5="","",Input!A5)</f>
        <v>Thorntons Investments Moderate Model Portfolio</v>
      </c>
      <c r="B4" s="5">
        <v>0.33</v>
      </c>
      <c r="C4" s="5">
        <v>0.25</v>
      </c>
      <c r="D4" s="5">
        <v>0.18</v>
      </c>
      <c r="E4" s="5">
        <v>0.12</v>
      </c>
      <c r="F4" s="5">
        <v>0.05</v>
      </c>
      <c r="G4" s="5">
        <v>7.0000000000000007E-2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30" x14ac:dyDescent="0.25">
      <c r="A5" t="str">
        <f>IF(Input!A6="","",Input!A6)</f>
        <v>Thorntons Investments Progressive Model Portfolio</v>
      </c>
      <c r="B5" s="5">
        <v>0.45</v>
      </c>
      <c r="C5" s="5">
        <v>0.19</v>
      </c>
      <c r="D5" s="5">
        <v>0.23</v>
      </c>
      <c r="E5" s="5">
        <v>0.06</v>
      </c>
      <c r="F5" s="5">
        <v>0.05</v>
      </c>
      <c r="G5" s="5">
        <v>0.02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30" x14ac:dyDescent="0.25">
      <c r="A6" t="str">
        <f>IF(Input!A7="","",Input!A7)</f>
        <v>Thorntons Investments Adventurous Model Portfolio</v>
      </c>
      <c r="B6" s="5">
        <v>0.49</v>
      </c>
      <c r="C6" s="5">
        <v>0.11</v>
      </c>
      <c r="D6" s="5">
        <v>0.35</v>
      </c>
      <c r="E6" s="5">
        <v>0.03</v>
      </c>
      <c r="F6" s="5">
        <v>0</v>
      </c>
      <c r="G6" s="5">
        <v>0.02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30" x14ac:dyDescent="0.25">
      <c r="A7" t="str">
        <f>IF(Input!A8="","",Input!A8)</f>
        <v/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/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30" x14ac:dyDescent="0.25">
      <c r="A9" t="str">
        <f>IF(Input!A10="","",Input!A10)</f>
        <v/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30" x14ac:dyDescent="0.25">
      <c r="A10" t="str">
        <f>IF(Input!A11="","",Input!A11)</f>
        <v/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30" x14ac:dyDescent="0.25">
      <c r="A11" t="str">
        <f>IF(Input!A12="","",Input!A12)</f>
        <v/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30" x14ac:dyDescent="0.25">
      <c r="A12" t="str">
        <f>IF(Input!A13="","",Input!A13)</f>
        <v/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30" x14ac:dyDescent="0.25">
      <c r="A13" t="str">
        <f>IF(Input!A14="","",Input!A14)</f>
        <v/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30" x14ac:dyDescent="0.25">
      <c r="A14" t="str">
        <f>IF(Input!A15="","",Input!A15)</f>
        <v/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30" x14ac:dyDescent="0.25">
      <c r="A15" t="str">
        <f>IF(Input!A16="","",Input!A16)</f>
        <v/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3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C1" workbookViewId="0">
      <selection activeCell="D8" sqref="D2:D8"/>
    </sheetView>
  </sheetViews>
  <sheetFormatPr defaultRowHeight="15" x14ac:dyDescent="0.25"/>
  <cols>
    <col min="1" max="1" width="45.42578125" bestFit="1" customWidth="1"/>
    <col min="2" max="2" width="103.28515625" bestFit="1" customWidth="1"/>
    <col min="3" max="3" width="43.42578125" bestFit="1" customWidth="1"/>
    <col min="4" max="4" width="106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Thorntons Investments Cautious Model Portfolio</v>
      </c>
      <c r="B2" s="10" t="s">
        <v>38</v>
      </c>
      <c r="C2" t="s">
        <v>45</v>
      </c>
      <c r="D2" s="8" t="s">
        <v>50</v>
      </c>
    </row>
    <row r="3" spans="1:5" x14ac:dyDescent="0.25">
      <c r="A3" t="str">
        <f>IF(Input!A4="","",Input!A4)</f>
        <v>Thorntons Investments Steady Model Portfolio</v>
      </c>
      <c r="B3" s="10" t="s">
        <v>38</v>
      </c>
      <c r="C3" t="s">
        <v>46</v>
      </c>
      <c r="D3" s="8" t="s">
        <v>51</v>
      </c>
    </row>
    <row r="4" spans="1:5" x14ac:dyDescent="0.25">
      <c r="A4" t="str">
        <f>IF(Input!A5="","",Input!A5)</f>
        <v>Thorntons Investments Moderate Model Portfolio</v>
      </c>
      <c r="B4" s="10" t="s">
        <v>38</v>
      </c>
      <c r="C4" t="s">
        <v>47</v>
      </c>
      <c r="D4" s="8" t="s">
        <v>52</v>
      </c>
    </row>
    <row r="5" spans="1:5" x14ac:dyDescent="0.25">
      <c r="A5" t="str">
        <f>IF(Input!A6="","",Input!A6)</f>
        <v>Thorntons Investments Progressive Model Portfolio</v>
      </c>
      <c r="B5" s="10" t="s">
        <v>38</v>
      </c>
      <c r="C5" t="s">
        <v>48</v>
      </c>
      <c r="D5" s="8" t="s">
        <v>53</v>
      </c>
    </row>
    <row r="6" spans="1:5" x14ac:dyDescent="0.25">
      <c r="A6" t="str">
        <f>IF(Input!A7="","",Input!A7)</f>
        <v>Thorntons Investments Adventurous Model Portfolio</v>
      </c>
      <c r="B6" s="10" t="s">
        <v>38</v>
      </c>
      <c r="C6" t="s">
        <v>49</v>
      </c>
      <c r="D6" s="8" t="s">
        <v>54</v>
      </c>
    </row>
    <row r="7" spans="1:5" x14ac:dyDescent="0.25">
      <c r="A7" t="str">
        <f>IF(Input!A8="","",Input!A8)</f>
        <v/>
      </c>
    </row>
    <row r="8" spans="1:5" x14ac:dyDescent="0.25">
      <c r="A8" t="str">
        <f>IF(Input!A9="","",Input!A9)</f>
        <v/>
      </c>
    </row>
    <row r="9" spans="1:5" x14ac:dyDescent="0.25">
      <c r="A9" t="str">
        <f>IF(Input!A10="","",Input!A10)</f>
        <v/>
      </c>
    </row>
    <row r="10" spans="1:5" x14ac:dyDescent="0.25">
      <c r="A10" t="str">
        <f>IF(Input!A11="","",Input!A11)</f>
        <v/>
      </c>
    </row>
    <row r="11" spans="1:5" x14ac:dyDescent="0.25">
      <c r="A11" t="str">
        <f>IF(Input!A12="","",Input!A12)</f>
        <v/>
      </c>
    </row>
    <row r="12" spans="1:5" x14ac:dyDescent="0.25">
      <c r="A12" t="str">
        <f>IF(Input!A13="","",Input!A13)</f>
        <v/>
      </c>
    </row>
    <row r="13" spans="1:5" x14ac:dyDescent="0.25">
      <c r="A13" t="str">
        <f>IF(Input!A14="","",Input!A14)</f>
        <v/>
      </c>
    </row>
    <row r="14" spans="1:5" x14ac:dyDescent="0.25">
      <c r="A14" t="str">
        <f>IF(Input!A15="","",Input!A15)</f>
        <v/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Thorntons Investments Cautious Model Portfolio</v>
      </c>
      <c r="B2" s="1">
        <f>IF(A2="","",EOMONTH(DATE(YEAR(IF(A2="","",'Additional Information'!B2)),MONTH(IF(A2="","",'Additional Information'!B2)),DAY(IF(A2="","",'Additional Information'!B2))),0))</f>
        <v>45107</v>
      </c>
    </row>
    <row r="3" spans="1:2" x14ac:dyDescent="0.25">
      <c r="A3" t="str">
        <f>IF(Input!A4="","",Input!A4)</f>
        <v>Thorntons Investments Steady Model Portfolio</v>
      </c>
      <c r="B3" s="1">
        <f>IF(A3="","",EOMONTH(DATE(YEAR(IF(A3="","",'Additional Information'!B3)),MONTH(IF(A3="","",'Additional Information'!B3)),DAY(IF(A3="","",'Additional Information'!B3))),0))</f>
        <v>45107</v>
      </c>
    </row>
    <row r="4" spans="1:2" x14ac:dyDescent="0.25">
      <c r="A4" t="str">
        <f>IF(Input!A5="","",Input!A5)</f>
        <v>Thorntons Investments Moderate Model Portfolio</v>
      </c>
      <c r="B4" s="1">
        <f>IF(A4="","",EOMONTH(DATE(YEAR(IF(A4="","",'Additional Information'!B4)),MONTH(IF(A4="","",'Additional Information'!B4)),DAY(IF(A4="","",'Additional Information'!B4))),0))</f>
        <v>45107</v>
      </c>
    </row>
    <row r="5" spans="1:2" x14ac:dyDescent="0.25">
      <c r="A5" t="str">
        <f>IF(Input!A6="","",Input!A6)</f>
        <v>Thorntons Investments Progressive Model Portfolio</v>
      </c>
      <c r="B5" s="1">
        <f>IF(A5="","",EOMONTH(DATE(YEAR(IF(A5="","",'Additional Information'!B5)),MONTH(IF(A5="","",'Additional Information'!B5)),DAY(IF(A5="","",'Additional Information'!B5))),0))</f>
        <v>45107</v>
      </c>
    </row>
    <row r="6" spans="1:2" x14ac:dyDescent="0.25">
      <c r="A6" t="str">
        <f>IF(Input!A7="","",Input!A7)</f>
        <v>Thorntons Investments Adventurous Model Portfolio</v>
      </c>
      <c r="B6" s="1">
        <f>IF(A6="","",EOMONTH(DATE(YEAR(IF(A6="","",'Additional Information'!B6)),MONTH(IF(A6="","",'Additional Information'!B6)),DAY(IF(A6="","",'Additional Information'!B6))),0))</f>
        <v>45107</v>
      </c>
    </row>
    <row r="7" spans="1:2" x14ac:dyDescent="0.25">
      <c r="A7" t="str">
        <f>IF(Input!A8="","",Input!A8)</f>
        <v/>
      </c>
      <c r="B7" s="1" t="str">
        <f>IF(A7="","",EOMONTH(DATE(YEAR(IF(A7="","",'Additional Information'!B7)),MONTH(IF(A7="","",'Additional Information'!B7)),DAY(IF(A7="","",'Additional Information'!B7))),0))</f>
        <v/>
      </c>
    </row>
    <row r="8" spans="1:2" x14ac:dyDescent="0.25">
      <c r="A8" t="str">
        <f>IF(Input!A9="","",Input!A9)</f>
        <v/>
      </c>
      <c r="B8" s="1" t="str">
        <f>IF(A8="","",EOMONTH(DATE(YEAR(IF(A8="","",'Additional Information'!B8)),MONTH(IF(A8="","",'Additional Information'!B8)),DAY(IF(A8="","",'Additional Information'!B8))),0))</f>
        <v/>
      </c>
    </row>
    <row r="9" spans="1:2" x14ac:dyDescent="0.25">
      <c r="A9" t="str">
        <f>IF(Input!A10="","",Input!A10)</f>
        <v/>
      </c>
      <c r="B9" s="1" t="str">
        <f>IF(A9="","",EOMONTH(DATE(YEAR(IF(A9="","",'Additional Information'!B9)),MONTH(IF(A9="","",'Additional Information'!B9)),DAY(IF(A9="","",'Additional Information'!B9))),0))</f>
        <v/>
      </c>
    </row>
    <row r="10" spans="1:2" x14ac:dyDescent="0.25">
      <c r="A10" t="str">
        <f>IF(Input!A11="","",Input!A11)</f>
        <v/>
      </c>
      <c r="B10" s="1" t="str">
        <f>IF(A10="","",EOMONTH(DATE(YEAR(IF(A10="","",'Additional Information'!B10)),MONTH(IF(A10="","",'Additional Information'!B10)),DAY(IF(A10="","",'Additional Information'!B10))),0))</f>
        <v/>
      </c>
    </row>
    <row r="11" spans="1:2" x14ac:dyDescent="0.25">
      <c r="A11" t="str">
        <f>IF(Input!A12="","",Input!A12)</f>
        <v/>
      </c>
      <c r="B11" s="1" t="str">
        <f>IF(A11="","",EOMONTH(DATE(YEAR(IF(A11="","",'Additional Information'!B11)),MONTH(IF(A11="","",'Additional Information'!B11)),DAY(IF(A11="","",'Additional Information'!B11))),0))</f>
        <v/>
      </c>
    </row>
    <row r="12" spans="1:2" x14ac:dyDescent="0.25">
      <c r="A12" t="str">
        <f>IF(Input!A13="","",Input!A13)</f>
        <v/>
      </c>
      <c r="B12" s="1" t="str">
        <f>IF(A12="","",EOMONTH(DATE(YEAR(IF(A12="","",'Additional Information'!B12)),MONTH(IF(A12="","",'Additional Information'!B12)),DAY(IF(A12="","",'Additional Information'!B12))),0))</f>
        <v/>
      </c>
    </row>
    <row r="13" spans="1:2" x14ac:dyDescent="0.25">
      <c r="A13" t="str">
        <f>IF(Input!A14="","",Input!A14)</f>
        <v/>
      </c>
      <c r="B13" s="1" t="str">
        <f>IF(A13="","",EOMONTH(DATE(YEAR(IF(A13="","",'Additional Information'!B13)),MONTH(IF(A13="","",'Additional Information'!B13)),DAY(IF(A13="","",'Additional Information'!B13))),0))</f>
        <v/>
      </c>
    </row>
    <row r="14" spans="1:2" x14ac:dyDescent="0.25">
      <c r="A14" t="str">
        <f>IF(Input!A15="","",Input!A15)</f>
        <v/>
      </c>
      <c r="B14" s="1" t="str">
        <f>IF(A14="","",EOMONTH(DATE(YEAR(IF(A14="","",'Additional Information'!B14)),MONTH(IF(A14="","",'Additional Information'!B14)),DAY(IF(A14="","",'Additional Information'!B14))),0))</f>
        <v/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Thorntons Investments Cautious Model Portfolio</v>
      </c>
      <c r="B2">
        <f>IF(A2="","",'Additional Information'!F2)</f>
        <v>0</v>
      </c>
      <c r="C2">
        <f>IF(A2="","",'Additional Information'!E2)</f>
        <v>-2.3E-2</v>
      </c>
      <c r="D2" s="5">
        <f>IF(A2="","",SUM('Additional Information'!C2,'Additional Information'!D2))</f>
        <v>7.6000000000000009E-3</v>
      </c>
    </row>
    <row r="3" spans="1:4" x14ac:dyDescent="0.25">
      <c r="A3" t="str">
        <f>IF(Input!A4="","",Input!A4)</f>
        <v>Thorntons Investments Steady Model Portfolio</v>
      </c>
      <c r="B3">
        <f>IF(A3="","",'Additional Information'!F3)</f>
        <v>0</v>
      </c>
      <c r="C3">
        <f>IF(A3="","",'Additional Information'!E3)</f>
        <v>2E-3</v>
      </c>
      <c r="D3" s="5">
        <f>IF(A3="","",SUM('Additional Information'!C3,'Additional Information'!D3))</f>
        <v>7.3000000000000001E-3</v>
      </c>
    </row>
    <row r="4" spans="1:4" x14ac:dyDescent="0.25">
      <c r="A4" t="str">
        <f>IF(Input!A5="","",Input!A5)</f>
        <v>Thorntons Investments Moderate Model Portfolio</v>
      </c>
      <c r="B4">
        <f>IF(A4="","",'Additional Information'!F4)</f>
        <v>0</v>
      </c>
      <c r="C4">
        <f>IF(A4="","",'Additional Information'!E4)</f>
        <v>2.8999999999999998E-2</v>
      </c>
      <c r="D4" s="5">
        <f>IF(A4="","",SUM('Additional Information'!C4,'Additional Information'!D4))</f>
        <v>6.4000000000000003E-3</v>
      </c>
    </row>
    <row r="5" spans="1:4" x14ac:dyDescent="0.25">
      <c r="A5" t="str">
        <f>IF(Input!A6="","",Input!A6)</f>
        <v>Thorntons Investments Progressive Model Portfolio</v>
      </c>
      <c r="B5">
        <f>IF(A5="","",'Additional Information'!F5)</f>
        <v>0</v>
      </c>
      <c r="C5">
        <f>IF(A5="","",'Additional Information'!E5)</f>
        <v>4.5999999999999999E-2</v>
      </c>
      <c r="D5" s="5">
        <f>IF(A5="","",SUM('Additional Information'!C5,'Additional Information'!D5))</f>
        <v>6.6E-3</v>
      </c>
    </row>
    <row r="6" spans="1:4" x14ac:dyDescent="0.25">
      <c r="A6" t="str">
        <f>IF(Input!A7="","",Input!A7)</f>
        <v>Thorntons Investments Adventurous Model Portfolio</v>
      </c>
      <c r="B6">
        <f>IF(A6="","",'Additional Information'!F6)</f>
        <v>0</v>
      </c>
      <c r="C6">
        <f>IF(A6="","",'Additional Information'!E6)</f>
        <v>6.4000000000000001E-2</v>
      </c>
      <c r="D6" s="5">
        <f>IF(A6="","",SUM('Additional Information'!C6,'Additional Information'!D6))</f>
        <v>6.4000000000000003E-3</v>
      </c>
    </row>
    <row r="7" spans="1:4" x14ac:dyDescent="0.25">
      <c r="A7" t="str">
        <f>IF(Input!A8="","",Input!A8)</f>
        <v/>
      </c>
      <c r="B7" t="str">
        <f>IF(A7="","",'Additional Information'!F7)</f>
        <v/>
      </c>
      <c r="C7" t="str">
        <f>IF(A7="","",'Additional Information'!E7)</f>
        <v/>
      </c>
      <c r="D7" s="5" t="str">
        <f>IF(A7="","",SUM('Additional Information'!C7,'Additional Information'!D7))</f>
        <v/>
      </c>
    </row>
    <row r="8" spans="1:4" x14ac:dyDescent="0.25">
      <c r="A8" t="str">
        <f>IF(Input!A9="","",Input!A9)</f>
        <v/>
      </c>
      <c r="B8" t="str">
        <f>IF(A8="","",'Additional Information'!F8)</f>
        <v/>
      </c>
      <c r="C8" t="str">
        <f>IF(A8="","",'Additional Information'!E8)</f>
        <v/>
      </c>
      <c r="D8" s="5" t="str">
        <f>IF(A8="","",SUM('Additional Information'!C8,'Additional Information'!D8))</f>
        <v/>
      </c>
    </row>
    <row r="9" spans="1:4" x14ac:dyDescent="0.25">
      <c r="A9" t="str">
        <f>IF(Input!A10="","",Input!A10)</f>
        <v/>
      </c>
      <c r="B9" t="str">
        <f>IF(A9="","",'Additional Information'!F9)</f>
        <v/>
      </c>
      <c r="C9" t="str">
        <f>IF(A9="","",'Additional Information'!E9)</f>
        <v/>
      </c>
      <c r="D9" s="5" t="str">
        <f>IF(A9="","",SUM('Additional Information'!C9,'Additional Information'!D9))</f>
        <v/>
      </c>
    </row>
    <row r="10" spans="1:4" x14ac:dyDescent="0.25">
      <c r="A10" t="str">
        <f>IF(Input!A11="","",Input!A11)</f>
        <v/>
      </c>
      <c r="B10" t="str">
        <f>IF(A10="","",'Additional Information'!F10)</f>
        <v/>
      </c>
      <c r="C10" t="str">
        <f>IF(A10="","",'Additional Information'!E10)</f>
        <v/>
      </c>
      <c r="D10" s="5" t="str">
        <f>IF(A10="","",SUM('Additional Information'!C10,'Additional Information'!D10))</f>
        <v/>
      </c>
    </row>
    <row r="11" spans="1:4" x14ac:dyDescent="0.25">
      <c r="A11" t="str">
        <f>IF(Input!A12="","",Input!A12)</f>
        <v/>
      </c>
      <c r="B11" t="str">
        <f>IF(A11="","",'Additional Information'!F11)</f>
        <v/>
      </c>
      <c r="C11" t="str">
        <f>IF(A11="","",'Additional Information'!E11)</f>
        <v/>
      </c>
      <c r="D11" s="5" t="str">
        <f>IF(A11="","",SUM('Additional Information'!C11,'Additional Information'!D11))</f>
        <v/>
      </c>
    </row>
    <row r="12" spans="1:4" x14ac:dyDescent="0.25">
      <c r="A12" t="str">
        <f>IF(Input!A13="","",Input!A13)</f>
        <v/>
      </c>
      <c r="B12" t="str">
        <f>IF(A12="","",'Additional Information'!F12)</f>
        <v/>
      </c>
      <c r="C12" t="str">
        <f>IF(A12="","",'Additional Information'!E12)</f>
        <v/>
      </c>
      <c r="D12" s="5" t="str">
        <f>IF(A12="","",SUM('Additional Information'!C12,'Additional Information'!D12))</f>
        <v/>
      </c>
    </row>
    <row r="13" spans="1:4" x14ac:dyDescent="0.25">
      <c r="A13" t="str">
        <f>IF(Input!A14="","",Input!A14)</f>
        <v/>
      </c>
      <c r="B13" t="str">
        <f>IF(A13="","",'Additional Information'!F13)</f>
        <v/>
      </c>
      <c r="C13" t="str">
        <f>IF(A13="","",'Additional Information'!E13)</f>
        <v/>
      </c>
      <c r="D13" s="5" t="str">
        <f>IF(A13="","",SUM('Additional Information'!C13,'Additional Information'!D13))</f>
        <v/>
      </c>
    </row>
    <row r="14" spans="1:4" x14ac:dyDescent="0.25">
      <c r="A14" t="str">
        <f>IF(Input!A15="","",Input!A15)</f>
        <v/>
      </c>
      <c r="B14" t="str">
        <f>IF(A14="","",'Additional Information'!F14)</f>
        <v/>
      </c>
      <c r="C14" t="str">
        <f>IF(A14="","",'Additional Information'!E14)</f>
        <v/>
      </c>
      <c r="D14" s="5" t="str">
        <f>IF(A14="","",SUM('Additional Information'!C14,'Additional Information'!D14))</f>
        <v/>
      </c>
    </row>
    <row r="15" spans="1:4" x14ac:dyDescent="0.25">
      <c r="A15" t="str">
        <f>IF(Input!A16="","",Input!A16)</f>
        <v/>
      </c>
      <c r="B15" t="str">
        <f>IF(A15="","",'Additional Information'!F15)</f>
        <v/>
      </c>
      <c r="C15" t="str">
        <f>IF(A15="","",'Additional Information'!E15)</f>
        <v/>
      </c>
      <c r="D15" s="5" t="str">
        <f>IF(A15="","",SUM('Additional Information'!C15,'Additional Information'!D15))</f>
        <v/>
      </c>
    </row>
    <row r="16" spans="1:4" x14ac:dyDescent="0.25">
      <c r="A16" t="str">
        <f>IF(Input!A17="","",Input!A17)</f>
        <v/>
      </c>
      <c r="B16" t="str">
        <f>IF(A16="","",'Additional Information'!F16)</f>
        <v/>
      </c>
      <c r="C16" t="str">
        <f>IF(A16="","",'Additional Information'!E16)</f>
        <v/>
      </c>
      <c r="D16" s="5" t="str">
        <f>IF(A16="","",SUM('Additional Information'!C16,'Additional Information'!D16))</f>
        <v/>
      </c>
    </row>
    <row r="17" spans="1:4" x14ac:dyDescent="0.25">
      <c r="A17" t="str">
        <f>IF(Input!A18="","",Input!A18)</f>
        <v/>
      </c>
      <c r="B17" t="str">
        <f>IF(A17="","",'Additional Information'!F17)</f>
        <v/>
      </c>
      <c r="C17" t="str">
        <f>IF(A17="","",'Additional Information'!E17)</f>
        <v/>
      </c>
      <c r="D17" s="5" t="str">
        <f>IF(A17="","",SUM('Additional Information'!C17,'Additional Information'!D17))</f>
        <v/>
      </c>
    </row>
    <row r="18" spans="1:4" x14ac:dyDescent="0.25">
      <c r="A18" t="str">
        <f>IF(Input!A19="","",Input!A19)</f>
        <v/>
      </c>
      <c r="B18" t="str">
        <f>IF(A18="","",'Additional Information'!F18)</f>
        <v/>
      </c>
      <c r="C18" t="str">
        <f>IF(A18="","",'Additional Information'!E18)</f>
        <v/>
      </c>
      <c r="D18" s="5" t="str">
        <f>IF(A18="","",SUM('Additional Information'!C18,'Additional Information'!D18))</f>
        <v/>
      </c>
    </row>
    <row r="19" spans="1:4" x14ac:dyDescent="0.25">
      <c r="A19" t="str">
        <f>IF(Input!A20="","",Input!A20)</f>
        <v/>
      </c>
      <c r="B19" t="str">
        <f>IF(A19="","",'Additional Information'!F19)</f>
        <v/>
      </c>
      <c r="C19" t="str">
        <f>IF(A19="","",'Additional Information'!E19)</f>
        <v/>
      </c>
      <c r="D19" s="5" t="str">
        <f>IF(A19="","",SUM('Additional Information'!C19,'Additional Information'!D19))</f>
        <v/>
      </c>
    </row>
    <row r="20" spans="1:4" x14ac:dyDescent="0.25">
      <c r="A20" t="str">
        <f>IF(Input!A21="","",Input!A21)</f>
        <v/>
      </c>
      <c r="B20" t="str">
        <f>IF(A20="","",'Additional Information'!F20)</f>
        <v/>
      </c>
      <c r="C20" t="str">
        <f>IF(A20="","",'Additional Information'!E20)</f>
        <v/>
      </c>
      <c r="D20" s="5" t="str">
        <f>IF(A20="","",SUM('Additional Information'!C20,'Additional Information'!D20))</f>
        <v/>
      </c>
    </row>
    <row r="21" spans="1:4" x14ac:dyDescent="0.25">
      <c r="A21" t="str">
        <f>IF(Input!A22="","",Input!A22)</f>
        <v/>
      </c>
      <c r="B21" t="str">
        <f>IF(A21="","",'Additional Information'!F21)</f>
        <v/>
      </c>
      <c r="C21" t="str">
        <f>IF(A21="","",'Additional Information'!E21)</f>
        <v/>
      </c>
      <c r="D21" s="5" t="str">
        <f>IF(A21="","",SUM('Additional Information'!C21,'Additional Information'!D21))</f>
        <v/>
      </c>
    </row>
    <row r="22" spans="1:4" x14ac:dyDescent="0.25">
      <c r="A22" t="str">
        <f>IF(Input!A23="","",Input!A23)</f>
        <v/>
      </c>
      <c r="B22" t="str">
        <f>IF(A22="","",'Additional Information'!F22)</f>
        <v/>
      </c>
      <c r="C22" t="str">
        <f>IF(A22="","",'Additional Information'!E22)</f>
        <v/>
      </c>
      <c r="D22" s="5" t="str">
        <f>IF(A22="","",SUM('Additional Information'!C22,'Additional Information'!D22))</f>
        <v/>
      </c>
    </row>
    <row r="23" spans="1:4" x14ac:dyDescent="0.25">
      <c r="A23" t="str">
        <f>IF(Input!A24="","",Input!A24)</f>
        <v/>
      </c>
      <c r="B23" t="str">
        <f>IF(A23="","",'Additional Information'!F23)</f>
        <v/>
      </c>
      <c r="C23" t="str">
        <f>IF(A23="","",'Additional Information'!E23)</f>
        <v/>
      </c>
      <c r="D23" s="5" t="str">
        <f>IF(A23="","",SUM('Additional Information'!C23,'Additional Information'!D23))</f>
        <v/>
      </c>
    </row>
    <row r="24" spans="1:4" x14ac:dyDescent="0.25">
      <c r="A24" t="str">
        <f>IF(Input!A25="","",Input!A25)</f>
        <v/>
      </c>
      <c r="B24" t="str">
        <f>IF(A24="","",'Additional Information'!F24)</f>
        <v/>
      </c>
      <c r="C24" t="str">
        <f>IF(A24="","",'Additional Information'!E24)</f>
        <v/>
      </c>
      <c r="D24" s="5" t="str">
        <f>IF(A24="","",SUM('Additional Information'!C24,'Additional Information'!D24))</f>
        <v/>
      </c>
    </row>
    <row r="25" spans="1:4" x14ac:dyDescent="0.25">
      <c r="A25" t="str">
        <f>IF(Input!A26="","",Input!A26)</f>
        <v/>
      </c>
      <c r="B25" t="str">
        <f>IF(A25="","",'Additional Information'!F25)</f>
        <v/>
      </c>
      <c r="C25" t="str">
        <f>IF(A25="","",'Additional Information'!E25)</f>
        <v/>
      </c>
      <c r="D25" s="5" t="str">
        <f>IF(A25="","",SUM('Additional Information'!C25,'Additional Information'!D25))</f>
        <v/>
      </c>
    </row>
    <row r="26" spans="1:4" x14ac:dyDescent="0.25">
      <c r="A26" t="str">
        <f>IF(Input!A27="","",Input!A27)</f>
        <v/>
      </c>
      <c r="B26" t="str">
        <f>IF(A26="","",'Additional Information'!F26)</f>
        <v/>
      </c>
      <c r="C26" t="str">
        <f>IF(A26="","",'Additional Information'!E26)</f>
        <v/>
      </c>
      <c r="D26" s="5" t="str">
        <f>IF(A26="","",SUM('Additional Information'!C26,'Additional Information'!D26))</f>
        <v/>
      </c>
    </row>
    <row r="27" spans="1:4" x14ac:dyDescent="0.25">
      <c r="A27" t="str">
        <f>IF(Input!A28="","",Input!A28)</f>
        <v/>
      </c>
      <c r="B27" t="str">
        <f>IF(A27="","",'Additional Information'!F27)</f>
        <v/>
      </c>
      <c r="C27" t="str">
        <f>IF(A27="","",'Additional Information'!E27)</f>
        <v/>
      </c>
      <c r="D27" s="5" t="str">
        <f>IF(A27="","",SUM('Additional Information'!C27,'Additional Information'!D27))</f>
        <v/>
      </c>
    </row>
    <row r="28" spans="1:4" x14ac:dyDescent="0.25">
      <c r="A28" t="str">
        <f>IF(Input!A29="","",Input!A29)</f>
        <v/>
      </c>
      <c r="B28" t="str">
        <f>IF(A28="","",'Additional Information'!F28)</f>
        <v/>
      </c>
      <c r="C28" t="str">
        <f>IF(A28="","",'Additional Information'!E28)</f>
        <v/>
      </c>
      <c r="D28" s="5" t="str">
        <f>IF(A28="","",SUM('Additional Information'!C28,'Additional Information'!D28))</f>
        <v/>
      </c>
    </row>
    <row r="29" spans="1:4" x14ac:dyDescent="0.25">
      <c r="A29" t="str">
        <f>IF(Input!A30="","",Input!A30)</f>
        <v/>
      </c>
      <c r="B29" t="str">
        <f>IF(A29="","",'Additional Information'!F29)</f>
        <v/>
      </c>
      <c r="C29" t="str">
        <f>IF(A29="","",'Additional Information'!E29)</f>
        <v/>
      </c>
      <c r="D29" s="5" t="str">
        <f>IF(A29="","",SUM('Additional Information'!C29,'Additional Information'!D29))</f>
        <v/>
      </c>
    </row>
    <row r="30" spans="1:4" x14ac:dyDescent="0.25">
      <c r="A30" t="str">
        <f>IF(Input!A31="","",Input!A31)</f>
        <v/>
      </c>
      <c r="B30" t="str">
        <f>IF(A30="","",'Additional Information'!F30)</f>
        <v/>
      </c>
      <c r="C30" t="str">
        <f>IF(A30="","",'Additional Information'!E30)</f>
        <v/>
      </c>
      <c r="D30" s="5" t="str">
        <f>IF(A30="","",SUM('Additional Information'!C30,'Additional Information'!D30))</f>
        <v/>
      </c>
    </row>
    <row r="31" spans="1:4" x14ac:dyDescent="0.25">
      <c r="A31" t="str">
        <f>IF(Input!A32="","",Input!A32)</f>
        <v/>
      </c>
      <c r="B31" t="str">
        <f>IF(A31="","",'Additional Information'!F31)</f>
        <v/>
      </c>
      <c r="C31" t="str">
        <f>IF(A31="","",'Additional Information'!E31)</f>
        <v/>
      </c>
      <c r="D31" s="5" t="str">
        <f>IF(A31="","",SUM('Additional Information'!C31,'Additional Information'!D31))</f>
        <v/>
      </c>
    </row>
    <row r="32" spans="1:4" x14ac:dyDescent="0.25">
      <c r="A32" t="str">
        <f>IF(Input!A33="","",Input!A33)</f>
        <v/>
      </c>
      <c r="B32" t="str">
        <f>IF(A32="","",'Additional Information'!F32)</f>
        <v/>
      </c>
      <c r="C32" t="str">
        <f>IF(A32="","",'Additional Information'!E32)</f>
        <v/>
      </c>
      <c r="D32" s="5" t="str">
        <f>IF(A32="","",SUM('Additional Information'!C32,'Additional Information'!D32))</f>
        <v/>
      </c>
    </row>
    <row r="33" spans="1:4" x14ac:dyDescent="0.25">
      <c r="A33" t="str">
        <f>IF(Input!A34="","",Input!A34)</f>
        <v/>
      </c>
      <c r="B33" t="str">
        <f>IF(A33="","",'Additional Information'!F33)</f>
        <v/>
      </c>
      <c r="C33" t="str">
        <f>IF(A33="","",'Additional Information'!E33)</f>
        <v/>
      </c>
      <c r="D33" s="5" t="str">
        <f>IF(A33="","",SUM('Additional Information'!C33,'Additional Information'!D33))</f>
        <v/>
      </c>
    </row>
    <row r="34" spans="1:4" x14ac:dyDescent="0.25">
      <c r="A34" t="str">
        <f>IF(Input!A35="","",Input!A35)</f>
        <v/>
      </c>
      <c r="B34" t="str">
        <f>IF(A34="","",'Additional Information'!F34)</f>
        <v/>
      </c>
      <c r="C34" t="str">
        <f>IF(A34="","",'Additional Information'!E34)</f>
        <v/>
      </c>
      <c r="D34" s="5" t="str">
        <f>IF(A34="","",SUM('Additional Information'!C34,'Additional Information'!D34))</f>
        <v/>
      </c>
    </row>
    <row r="35" spans="1:4" x14ac:dyDescent="0.25">
      <c r="A35" t="str">
        <f>IF(Input!A36="","",Input!A36)</f>
        <v/>
      </c>
      <c r="B35" t="str">
        <f>IF(A35="","",'Additional Information'!F35)</f>
        <v/>
      </c>
      <c r="C35" t="str">
        <f>IF(A35="","",'Additional Information'!E35)</f>
        <v/>
      </c>
      <c r="D35" s="5" t="str">
        <f>IF(A35="","",SUM('Additional Information'!C35,'Additional Information'!D35))</f>
        <v/>
      </c>
    </row>
    <row r="36" spans="1:4" x14ac:dyDescent="0.25">
      <c r="A36" t="str">
        <f>IF(Input!A37="","",Input!A37)</f>
        <v/>
      </c>
      <c r="B36" t="str">
        <f>IF(A36="","",'Additional Information'!F36)</f>
        <v/>
      </c>
      <c r="C36" t="str">
        <f>IF(A36="","",'Additional Information'!E36)</f>
        <v/>
      </c>
      <c r="D36" s="5" t="str">
        <f>IF(A36="","",SUM('Additional Information'!C36,'Additional Information'!D36))</f>
        <v/>
      </c>
    </row>
    <row r="37" spans="1:4" x14ac:dyDescent="0.25">
      <c r="A37" t="str">
        <f>IF(Input!A38="","",Input!A38)</f>
        <v/>
      </c>
      <c r="B37" t="str">
        <f>IF(A37="","",'Additional Information'!F37)</f>
        <v/>
      </c>
      <c r="C37" t="str">
        <f>IF(A37="","",'Additional Information'!E37)</f>
        <v/>
      </c>
      <c r="D37" s="5" t="str">
        <f>IF(A37="","",SUM('Additional Information'!C37,'Additional Information'!D37))</f>
        <v/>
      </c>
    </row>
    <row r="38" spans="1:4" x14ac:dyDescent="0.25">
      <c r="A38" t="str">
        <f>IF(Input!A39="","",Input!A39)</f>
        <v/>
      </c>
      <c r="B38" t="str">
        <f>IF(A38="","",'Additional Information'!F38)</f>
        <v/>
      </c>
      <c r="C38" t="str">
        <f>IF(A38="","",'Additional Information'!E38)</f>
        <v/>
      </c>
      <c r="D38" s="5" t="str">
        <f>IF(A38="","",SUM('Additional Information'!C38,'Additional Information'!D38))</f>
        <v/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Thorntons Investments Cautious Model Portfolio</v>
      </c>
      <c r="B2">
        <f>IF(A2="","",SUM('Asset Allocation'!C2))</f>
        <v>0.33</v>
      </c>
      <c r="C2">
        <f>IF(A2="","",SUM('Asset Allocation'!B2))</f>
        <v>0.05</v>
      </c>
      <c r="G2">
        <f>IF(A2="","",SUM('Asset Allocation'!D2))</f>
        <v>0.08</v>
      </c>
      <c r="H2">
        <f t="shared" ref="H2:H50" si="0">IF(A2="","",1-SUM(B2:G2))</f>
        <v>0.54</v>
      </c>
    </row>
    <row r="3" spans="1:8" x14ac:dyDescent="0.25">
      <c r="A3" t="str">
        <f>IF(Input!A4="","",Input!A4)</f>
        <v>Thorntons Investments Steady Model Portfolio</v>
      </c>
      <c r="B3">
        <f>IF(A3="","",SUM('Asset Allocation'!C3))</f>
        <v>0.34</v>
      </c>
      <c r="C3">
        <f>IF(A3="","",SUM('Asset Allocation'!B3))</f>
        <v>0.18</v>
      </c>
      <c r="G3">
        <f>IF(A3="","",SUM('Asset Allocation'!D3))</f>
        <v>0.15</v>
      </c>
      <c r="H3">
        <f t="shared" si="0"/>
        <v>0.32999999999999996</v>
      </c>
    </row>
    <row r="4" spans="1:8" x14ac:dyDescent="0.25">
      <c r="A4" t="str">
        <f>IF(Input!A5="","",Input!A5)</f>
        <v>Thorntons Investments Moderate Model Portfolio</v>
      </c>
      <c r="B4">
        <f>IF(A4="","",SUM('Asset Allocation'!C4))</f>
        <v>0.25</v>
      </c>
      <c r="C4">
        <f>IF(A4="","",SUM('Asset Allocation'!B4))</f>
        <v>0.33</v>
      </c>
      <c r="G4">
        <f>IF(A4="","",SUM('Asset Allocation'!D4))</f>
        <v>0.18</v>
      </c>
      <c r="H4">
        <f t="shared" si="0"/>
        <v>0.24</v>
      </c>
    </row>
    <row r="5" spans="1:8" x14ac:dyDescent="0.25">
      <c r="A5" t="str">
        <f>IF(Input!A6="","",Input!A6)</f>
        <v>Thorntons Investments Progressive Model Portfolio</v>
      </c>
      <c r="B5">
        <f>IF(A5="","",SUM('Asset Allocation'!C5))</f>
        <v>0.19</v>
      </c>
      <c r="C5">
        <f>IF(A5="","",SUM('Asset Allocation'!B5))</f>
        <v>0.45</v>
      </c>
      <c r="G5">
        <f>IF(A5="","",SUM('Asset Allocation'!D5))</f>
        <v>0.23</v>
      </c>
      <c r="H5">
        <f t="shared" si="0"/>
        <v>0.13</v>
      </c>
    </row>
    <row r="6" spans="1:8" x14ac:dyDescent="0.25">
      <c r="A6" t="str">
        <f>IF(Input!A7="","",Input!A7)</f>
        <v>Thorntons Investments Adventurous Model Portfolio</v>
      </c>
      <c r="B6">
        <f>IF(A6="","",SUM('Asset Allocation'!C6))</f>
        <v>0.11</v>
      </c>
      <c r="C6">
        <f>IF(A6="","",SUM('Asset Allocation'!B6))</f>
        <v>0.49</v>
      </c>
      <c r="G6">
        <f>IF(A6="","",SUM('Asset Allocation'!D6))</f>
        <v>0.35</v>
      </c>
      <c r="H6">
        <f t="shared" si="0"/>
        <v>5.0000000000000044E-2</v>
      </c>
    </row>
    <row r="7" spans="1:8" x14ac:dyDescent="0.25">
      <c r="A7" t="str">
        <f>IF(Input!A8="","",Input!A8)</f>
        <v/>
      </c>
      <c r="B7" t="str">
        <f>IF(A7="","",SUM('Asset Allocation'!C7))</f>
        <v/>
      </c>
      <c r="C7" t="str">
        <f>IF(A7="","",SUM('Asset Allocation'!B7))</f>
        <v/>
      </c>
      <c r="G7" t="str">
        <f>IF(A7="","",SUM('Asset Allocation'!D7))</f>
        <v/>
      </c>
      <c r="H7" t="str">
        <f t="shared" si="0"/>
        <v/>
      </c>
    </row>
    <row r="8" spans="1:8" x14ac:dyDescent="0.25">
      <c r="A8" t="str">
        <f>IF(Input!A9="","",Input!A9)</f>
        <v/>
      </c>
      <c r="B8" t="str">
        <f>IF(A8="","",SUM('Asset Allocation'!C8))</f>
        <v/>
      </c>
      <c r="C8" t="str">
        <f>IF(A8="","",SUM('Asset Allocation'!B8))</f>
        <v/>
      </c>
      <c r="G8" t="str">
        <f>IF(A8="","",SUM('Asset Allocation'!D8))</f>
        <v/>
      </c>
      <c r="H8" t="str">
        <f t="shared" si="0"/>
        <v/>
      </c>
    </row>
    <row r="9" spans="1:8" x14ac:dyDescent="0.25">
      <c r="A9" t="str">
        <f>IF(Input!A10="","",Input!A10)</f>
        <v/>
      </c>
      <c r="B9" t="str">
        <f>IF(A9="","",SUM('Asset Allocation'!C9))</f>
        <v/>
      </c>
      <c r="C9" t="str">
        <f>IF(A9="","",SUM('Asset Allocation'!B9))</f>
        <v/>
      </c>
      <c r="G9" t="str">
        <f>IF(A9="","",SUM('Asset Allocation'!D9))</f>
        <v/>
      </c>
      <c r="H9" t="str">
        <f t="shared" si="0"/>
        <v/>
      </c>
    </row>
    <row r="10" spans="1:8" x14ac:dyDescent="0.25">
      <c r="A10" t="str">
        <f>IF(Input!A11="","",Input!A11)</f>
        <v/>
      </c>
      <c r="B10" t="str">
        <f>IF(A10="","",SUM('Asset Allocation'!C10))</f>
        <v/>
      </c>
      <c r="C10" t="str">
        <f>IF(A10="","",SUM('Asset Allocation'!B10))</f>
        <v/>
      </c>
      <c r="G10" t="str">
        <f>IF(A10="","",SUM('Asset Allocation'!D10))</f>
        <v/>
      </c>
      <c r="H10" t="str">
        <f t="shared" si="0"/>
        <v/>
      </c>
    </row>
    <row r="11" spans="1:8" x14ac:dyDescent="0.25">
      <c r="A11" t="str">
        <f>IF(Input!A12="","",Input!A12)</f>
        <v/>
      </c>
      <c r="B11" t="str">
        <f>IF(A11="","",SUM('Asset Allocation'!C11))</f>
        <v/>
      </c>
      <c r="C11" t="str">
        <f>IF(A11="","",SUM('Asset Allocation'!B11))</f>
        <v/>
      </c>
      <c r="G11" t="str">
        <f>IF(A11="","",SUM('Asset Allocation'!D11))</f>
        <v/>
      </c>
      <c r="H11" t="str">
        <f t="shared" si="0"/>
        <v/>
      </c>
    </row>
    <row r="12" spans="1:8" x14ac:dyDescent="0.25">
      <c r="A12" t="str">
        <f>IF(Input!A13="","",Input!A13)</f>
        <v/>
      </c>
      <c r="B12" t="str">
        <f>IF(A12="","",SUM('Asset Allocation'!C12))</f>
        <v/>
      </c>
      <c r="C12" t="str">
        <f>IF(A12="","",SUM('Asset Allocation'!B12))</f>
        <v/>
      </c>
      <c r="G12" t="str">
        <f>IF(A12="","",SUM('Asset Allocation'!D12))</f>
        <v/>
      </c>
      <c r="H12" t="str">
        <f t="shared" si="0"/>
        <v/>
      </c>
    </row>
    <row r="13" spans="1:8" x14ac:dyDescent="0.25">
      <c r="A13" t="str">
        <f>IF(Input!A14="","",Input!A14)</f>
        <v/>
      </c>
      <c r="B13" t="str">
        <f>IF(A13="","",SUM('Asset Allocation'!C13))</f>
        <v/>
      </c>
      <c r="C13" t="str">
        <f>IF(A13="","",SUM('Asset Allocation'!B13))</f>
        <v/>
      </c>
      <c r="G13" t="str">
        <f>IF(A13="","",SUM('Asset Allocation'!D13))</f>
        <v/>
      </c>
      <c r="H13" t="str">
        <f t="shared" si="0"/>
        <v/>
      </c>
    </row>
    <row r="14" spans="1:8" x14ac:dyDescent="0.25">
      <c r="A14" t="str">
        <f>IF(Input!A15="","",Input!A15)</f>
        <v/>
      </c>
      <c r="B14" t="str">
        <f>IF(A14="","",SUM('Asset Allocation'!C14))</f>
        <v/>
      </c>
      <c r="C14" t="str">
        <f>IF(A14="","",SUM('Asset Allocation'!B14))</f>
        <v/>
      </c>
      <c r="G14" t="str">
        <f>IF(A14="","",SUM('Asset Allocation'!D14))</f>
        <v/>
      </c>
      <c r="H14" t="str">
        <f t="shared" si="0"/>
        <v/>
      </c>
    </row>
    <row r="15" spans="1:8" x14ac:dyDescent="0.25">
      <c r="A15" t="str">
        <f>IF(Input!A16="","",Input!A16)</f>
        <v/>
      </c>
      <c r="B15" t="str">
        <f>IF(A15="","",SUM('Asset Allocation'!C15))</f>
        <v/>
      </c>
      <c r="C15" t="str">
        <f>IF(A15="","",SUM('Asset Allocation'!B15))</f>
        <v/>
      </c>
      <c r="G15" t="str">
        <f>IF(A15="","",SUM('Asset Allocation'!D15))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Allocation'!C16))</f>
        <v/>
      </c>
      <c r="C16" t="str">
        <f>IF(A16="","",SUM('Asset Allocation'!B16))</f>
        <v/>
      </c>
      <c r="G16" t="str">
        <f>IF(A16="","",SUM('Asset Allocation'!D16))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Allocation'!C17))</f>
        <v/>
      </c>
      <c r="C17" t="str">
        <f>IF(A17="","",SUM('Asset Allocation'!B17))</f>
        <v/>
      </c>
      <c r="G17" t="str">
        <f>IF(A17="","",SUM('Asset Allocation'!D17))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Allocation'!C18))</f>
        <v/>
      </c>
      <c r="C18" t="str">
        <f>IF(A18="","",SUM('Asset Allocation'!B18))</f>
        <v/>
      </c>
      <c r="G18" t="str">
        <f>IF(A18="","",SUM('Asset Allocation'!D18))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Allocation'!C19))</f>
        <v/>
      </c>
      <c r="C19" t="str">
        <f>IF(A19="","",SUM('Asset Allocation'!B19))</f>
        <v/>
      </c>
      <c r="G19" t="str">
        <f>IF(A19="","",SUM('Asset Allocation'!D19))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Allocation'!C20))</f>
        <v/>
      </c>
      <c r="C20" t="str">
        <f>IF(A20="","",SUM('Asset Allocation'!B20))</f>
        <v/>
      </c>
      <c r="G20" t="str">
        <f>IF(A20="","",SUM('Asset Allocation'!D20))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Allocation'!C21))</f>
        <v/>
      </c>
      <c r="C21" t="str">
        <f>IF(A21="","",SUM('Asset Allocation'!B21))</f>
        <v/>
      </c>
      <c r="G21" t="str">
        <f>IF(A21="","",SUM('Asset Allocation'!D21))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Allocation'!C22))</f>
        <v/>
      </c>
      <c r="C22" t="str">
        <f>IF(A22="","",SUM('Asset Allocation'!B22))</f>
        <v/>
      </c>
      <c r="G22" t="str">
        <f>IF(A22="","",SUM('Asset Allocation'!D22))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Allocation'!C23))</f>
        <v/>
      </c>
      <c r="C23" t="str">
        <f>IF(A23="","",SUM('Asset Allocation'!B23))</f>
        <v/>
      </c>
      <c r="G23" t="str">
        <f>IF(A23="","",SUM('Asset Allocation'!D23))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Allocation'!C24))</f>
        <v/>
      </c>
      <c r="C24" t="str">
        <f>IF(A24="","",SUM('Asset Allocation'!B24))</f>
        <v/>
      </c>
      <c r="G24" t="str">
        <f>IF(A24="","",SUM('Asset Allocation'!D24))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Allocation'!C25))</f>
        <v/>
      </c>
      <c r="C25" t="str">
        <f>IF(A25="","",SUM('Asset Allocation'!B25))</f>
        <v/>
      </c>
      <c r="G25" t="str">
        <f>IF(A25="","",SUM('Asset Allocation'!D25))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Allocation'!C26))</f>
        <v/>
      </c>
      <c r="C26" t="str">
        <f>IF(A26="","",SUM('Asset Allocation'!B26))</f>
        <v/>
      </c>
      <c r="G26" t="str">
        <f>IF(A26="","",SUM('Asset Allocation'!D26))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Allocation'!C27))</f>
        <v/>
      </c>
      <c r="C27" t="str">
        <f>IF(A27="","",SUM('Asset Allocation'!B27))</f>
        <v/>
      </c>
      <c r="G27" t="str">
        <f>IF(A27="","",SUM('Asset Allocation'!D27))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Allocation'!C28))</f>
        <v/>
      </c>
      <c r="C28" t="str">
        <f>IF(A28="","",SUM('Asset Allocation'!B28))</f>
        <v/>
      </c>
      <c r="G28" t="str">
        <f>IF(A28="","",SUM('Asset Allocation'!D28))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Allocation'!C29))</f>
        <v/>
      </c>
      <c r="C29" t="str">
        <f>IF(A29="","",SUM('Asset Allocation'!B29))</f>
        <v/>
      </c>
      <c r="G29" t="str">
        <f>IF(A29="","",SUM('Asset Allocation'!D29))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Allocation'!C30))</f>
        <v/>
      </c>
      <c r="C30" t="str">
        <f>IF(A30="","",SUM('Asset Allocation'!B30))</f>
        <v/>
      </c>
      <c r="G30" t="str">
        <f>IF(A30="","",SUM('Asset Allocation'!D30))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Allocation'!C31))</f>
        <v/>
      </c>
      <c r="C31" t="str">
        <f>IF(A31="","",SUM('Asset Allocation'!B31))</f>
        <v/>
      </c>
      <c r="G31" t="str">
        <f>IF(A31="","",SUM('Asset Allocation'!D31))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Allocation'!C32))</f>
        <v/>
      </c>
      <c r="C32" t="str">
        <f>IF(A32="","",SUM('Asset Allocation'!B32))</f>
        <v/>
      </c>
      <c r="G32" t="str">
        <f>IF(A32="","",SUM('Asset Allocation'!D32))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Allocation'!C33))</f>
        <v/>
      </c>
      <c r="C33" t="str">
        <f>IF(A33="","",SUM('Asset Allocation'!B33))</f>
        <v/>
      </c>
      <c r="G33" t="str">
        <f>IF(A33="","",SUM('Asset Allocation'!D33))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Allocation'!C34))</f>
        <v/>
      </c>
      <c r="C34" t="str">
        <f>IF(A34="","",SUM('Asset Allocation'!B34))</f>
        <v/>
      </c>
      <c r="G34" t="str">
        <f>IF(A34="","",SUM('Asset Allocation'!D34))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Allocation'!C35))</f>
        <v/>
      </c>
      <c r="C35" t="str">
        <f>IF(A35="","",SUM('Asset Allocation'!B35))</f>
        <v/>
      </c>
      <c r="G35" t="str">
        <f>IF(A35="","",SUM('Asset Allocation'!D35))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Allocation'!C36))</f>
        <v/>
      </c>
      <c r="C36" t="str">
        <f>IF(A36="","",SUM('Asset Allocation'!B36))</f>
        <v/>
      </c>
      <c r="G36" t="str">
        <f>IF(A36="","",SUM('Asset Allocation'!D36))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Allocation'!C37))</f>
        <v/>
      </c>
      <c r="C37" t="str">
        <f>IF(A37="","",SUM('Asset Allocation'!B37))</f>
        <v/>
      </c>
      <c r="G37" t="str">
        <f>IF(A37="","",SUM('Asset Allocation'!D37))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Allocation'!C38))</f>
        <v/>
      </c>
      <c r="C38" t="str">
        <f>IF(A38="","",SUM('Asset Allocation'!B38))</f>
        <v/>
      </c>
      <c r="G38" t="str">
        <f>IF(A38="","",SUM('Asset Allocation'!D38))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Allocation'!C39))</f>
        <v/>
      </c>
      <c r="C39" t="str">
        <f>IF(A39="","",SUM('Asset Allocation'!B39))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Allocation'!C40))</f>
        <v/>
      </c>
      <c r="C40" t="str">
        <f>IF(A40="","",SUM('Asset Allocation'!B40))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Allocation'!C41))</f>
        <v/>
      </c>
      <c r="C41" t="str">
        <f>IF(A41="","",SUM('Asset Allocation'!B41))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Allocation'!C42))</f>
        <v/>
      </c>
      <c r="C42" t="str">
        <f>IF(A42="","",SUM('Asset Allocation'!B42))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Allocation'!C43))</f>
        <v/>
      </c>
      <c r="C43" t="str">
        <f>IF(A43="","",SUM('Asset Allocation'!B43))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Allocation'!C44))</f>
        <v/>
      </c>
      <c r="C44" t="str">
        <f>IF(A44="","",SUM('Asset Allocation'!B44))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Allocation'!C45))</f>
        <v/>
      </c>
      <c r="C45" t="str">
        <f>IF(A45="","",SUM('Asset Allocation'!B45))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Allocation'!C46))</f>
        <v/>
      </c>
      <c r="C46" t="str">
        <f>IF(A46="","",SUM('Asset Allocation'!B46))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Allocation'!C47))</f>
        <v/>
      </c>
      <c r="C47" t="str">
        <f>IF(A47="","",SUM('Asset Allocation'!B47))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Allocation'!C48))</f>
        <v/>
      </c>
      <c r="C48" t="str">
        <f>IF(A48="","",SUM('Asset Allocation'!B48))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Allocation'!C49))</f>
        <v/>
      </c>
      <c r="C49" t="str">
        <f>IF(A49="","",SUM('Asset Allocation'!B49))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Allocation'!C50))</f>
        <v/>
      </c>
      <c r="C50" t="str">
        <f>IF(A50="","",SUM('Asset Allocation'!B50))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Thorntons Investments Cautious Model Portfolio</v>
      </c>
      <c r="B2" s="6">
        <f>IFERROR(IF(A2="","",SUM('Asset Allocation'!F2)),0)</f>
        <v>0.08</v>
      </c>
      <c r="C2" s="6">
        <f>IFERROR(IF(A2="","",SUM('Asset Allocation'!E2)),0)</f>
        <v>0.28999999999999998</v>
      </c>
      <c r="D2" s="6">
        <f>IFERROR(IF(A2="","",SUM('Asset Allocation'!I2)),0)</f>
        <v>0</v>
      </c>
      <c r="E2" s="6">
        <f>IFERROR(IF(A2="","",SUM('Asset Allocation'!G2)),0)</f>
        <v>0.17</v>
      </c>
      <c r="F2" s="6">
        <f>IFERROR(IF(A2="","",SUM('Asset Allocation'!J2,'Asset Allocation'!N2)),0)</f>
        <v>0</v>
      </c>
      <c r="G2" s="6">
        <f>IFERROR(IF(A2="","",SUM('Asset Allocation'!H2,'Asset Allocation'!K2,'Asset Allocation'!L2,'Asset Allocation'!M2)),0)</f>
        <v>0</v>
      </c>
      <c r="H2" s="6"/>
    </row>
    <row r="3" spans="1:8" x14ac:dyDescent="0.25">
      <c r="A3" t="str">
        <f>IF(Input!A4="","",Input!A4)</f>
        <v>Thorntons Investments Steady Model Portfolio</v>
      </c>
      <c r="B3" s="6">
        <f>IFERROR(IF(A3="","",SUM('Asset Allocation'!F3)),0)</f>
        <v>0.06</v>
      </c>
      <c r="C3" s="6">
        <f>IFERROR(IF(A3="","",SUM('Asset Allocation'!E3)),0)</f>
        <v>0.15</v>
      </c>
      <c r="D3" s="6">
        <f>IFERROR(IF(A3="","",SUM('Asset Allocation'!I3)),0)</f>
        <v>0</v>
      </c>
      <c r="E3" s="6">
        <f>IFERROR(IF(A3="","",SUM('Asset Allocation'!G3)),0)</f>
        <v>0.12</v>
      </c>
      <c r="F3" s="6">
        <f>IFERROR(IF(A3="","",SUM('Asset Allocation'!J3,'Asset Allocation'!N3)),0)</f>
        <v>0</v>
      </c>
      <c r="G3" s="6">
        <f>IFERROR(IF(A3="","",SUM('Asset Allocation'!H3,'Asset Allocation'!K3,'Asset Allocation'!L3,'Asset Allocation'!M3)),0)</f>
        <v>0</v>
      </c>
      <c r="H3" s="6"/>
    </row>
    <row r="4" spans="1:8" x14ac:dyDescent="0.25">
      <c r="A4" t="str">
        <f>IF(Input!A5="","",Input!A5)</f>
        <v>Thorntons Investments Moderate Model Portfolio</v>
      </c>
      <c r="B4" s="6">
        <f>IFERROR(IF(A4="","",SUM('Asset Allocation'!F4)),0)</f>
        <v>0.05</v>
      </c>
      <c r="C4" s="6">
        <f>IFERROR(IF(A4="","",SUM('Asset Allocation'!E4)),0)</f>
        <v>0.12</v>
      </c>
      <c r="D4" s="6">
        <f>IFERROR(IF(A4="","",SUM('Asset Allocation'!I4)),0)</f>
        <v>0</v>
      </c>
      <c r="E4" s="6">
        <f>IFERROR(IF(A4="","",SUM('Asset Allocation'!G4)),0)</f>
        <v>7.0000000000000007E-2</v>
      </c>
      <c r="F4" s="6">
        <f>IFERROR(IF(A4="","",SUM('Asset Allocation'!J4,'Asset Allocation'!N4)),0)</f>
        <v>0</v>
      </c>
      <c r="G4" s="6">
        <f>IFERROR(IF(A4="","",SUM('Asset Allocation'!H4,'Asset Allocation'!K4,'Asset Allocation'!L4,'Asset Allocation'!M4)),0)</f>
        <v>0</v>
      </c>
      <c r="H4" s="6"/>
    </row>
    <row r="5" spans="1:8" x14ac:dyDescent="0.25">
      <c r="A5" t="str">
        <f>IF(Input!A6="","",Input!A6)</f>
        <v>Thorntons Investments Progressive Model Portfolio</v>
      </c>
      <c r="B5" s="6">
        <f>IFERROR(IF(A5="","",SUM('Asset Allocation'!F5)),0)</f>
        <v>0.05</v>
      </c>
      <c r="C5" s="6">
        <f>IFERROR(IF(A5="","",SUM('Asset Allocation'!E5)),0)</f>
        <v>0.06</v>
      </c>
      <c r="D5" s="6">
        <f>IFERROR(IF(A5="","",SUM('Asset Allocation'!I5)),0)</f>
        <v>0</v>
      </c>
      <c r="E5" s="6">
        <f>IFERROR(IF(A5="","",SUM('Asset Allocation'!G5)),0)</f>
        <v>0.02</v>
      </c>
      <c r="F5" s="6">
        <f>IFERROR(IF(A5="","",SUM('Asset Allocation'!J5,'Asset Allocation'!N5)),0)</f>
        <v>0</v>
      </c>
      <c r="G5" s="6">
        <f>IFERROR(IF(A5="","",SUM('Asset Allocation'!H5,'Asset Allocation'!K5,'Asset Allocation'!L5,'Asset Allocation'!M5)),0)</f>
        <v>0</v>
      </c>
      <c r="H5" s="6"/>
    </row>
    <row r="6" spans="1:8" x14ac:dyDescent="0.25">
      <c r="A6" t="str">
        <f>IF(Input!A7="","",Input!A7)</f>
        <v>Thorntons Investments Adventurous Model Portfolio</v>
      </c>
      <c r="B6" s="6">
        <f>IFERROR(IF(A6="","",SUM('Asset Allocation'!F6)),0)</f>
        <v>0</v>
      </c>
      <c r="C6" s="6">
        <f>IFERROR(IF(A6="","",SUM('Asset Allocation'!E6)),0)</f>
        <v>0.03</v>
      </c>
      <c r="D6" s="6">
        <f>IFERROR(IF(A6="","",SUM('Asset Allocation'!I6)),0)</f>
        <v>0</v>
      </c>
      <c r="E6" s="6">
        <f>IFERROR(IF(A6="","",SUM('Asset Allocation'!G6)),0)</f>
        <v>0.02</v>
      </c>
      <c r="F6" s="6">
        <f>IFERROR(IF(A6="","",SUM('Asset Allocation'!J6,'Asset Allocation'!N6)),0)</f>
        <v>0</v>
      </c>
      <c r="G6" s="6">
        <f>IFERROR(IF(A6="","",SUM('Asset Allocation'!H6,'Asset Allocation'!K6,'Asset Allocation'!L6,'Asset Allocation'!M6)),0)</f>
        <v>0</v>
      </c>
      <c r="H6" s="6"/>
    </row>
    <row r="7" spans="1:8" x14ac:dyDescent="0.25">
      <c r="A7" t="str">
        <f>IF(Input!A8="","",Input!A8)</f>
        <v/>
      </c>
      <c r="B7" s="6" t="str">
        <f>IFERROR(IF(A7="","",SUM('Asset Allocation'!F7)),0)</f>
        <v/>
      </c>
      <c r="C7" s="6" t="str">
        <f>IFERROR(IF(A7="","",SUM('Asset Allocation'!E7)),0)</f>
        <v/>
      </c>
      <c r="D7" s="6" t="str">
        <f>IFERROR(IF(A7="","",SUM('Asset Allocation'!I7)),0)</f>
        <v/>
      </c>
      <c r="E7" s="6" t="str">
        <f>IFERROR(IF(A7="","",SUM('Asset Allocation'!G7)),0)</f>
        <v/>
      </c>
      <c r="F7" s="6" t="str">
        <f>IFERROR(IF(A7="","",SUM('Asset Allocation'!J7,'Asset Allocation'!N7)),0)</f>
        <v/>
      </c>
      <c r="G7" s="6" t="str">
        <f>IFERROR(IF(A7="","",SUM('Asset Allocation'!H7,'Asset Allocation'!K7,'Asset Allocation'!L7,'Asset Allocation'!M7)),0)</f>
        <v/>
      </c>
      <c r="H7" s="6"/>
    </row>
    <row r="8" spans="1:8" x14ac:dyDescent="0.25">
      <c r="A8" t="str">
        <f>IF(Input!A9="","",Input!A9)</f>
        <v/>
      </c>
      <c r="B8" s="6" t="str">
        <f>IFERROR(IF(A8="","",SUM('Asset Allocation'!F8)),0)</f>
        <v/>
      </c>
      <c r="C8" s="6" t="str">
        <f>IFERROR(IF(A8="","",SUM('Asset Allocation'!E8)),0)</f>
        <v/>
      </c>
      <c r="D8" s="6" t="str">
        <f>IFERROR(IF(A8="","",SUM('Asset Allocation'!I8)),0)</f>
        <v/>
      </c>
      <c r="E8" s="6" t="str">
        <f>IFERROR(IF(A8="","",SUM('Asset Allocation'!G8)),0)</f>
        <v/>
      </c>
      <c r="F8" s="6" t="str">
        <f>IFERROR(IF(A8="","",SUM('Asset Allocation'!J8,'Asset Allocation'!N8)),0)</f>
        <v/>
      </c>
      <c r="G8" s="6" t="str">
        <f>IFERROR(IF(A8="","",SUM('Asset Allocation'!H8,'Asset Allocation'!K8,'Asset Allocation'!L8,'Asset Allocation'!M8)),0)</f>
        <v/>
      </c>
      <c r="H8" s="6"/>
    </row>
    <row r="9" spans="1:8" x14ac:dyDescent="0.25">
      <c r="A9" t="str">
        <f>IF(Input!A10="","",Input!A10)</f>
        <v/>
      </c>
      <c r="B9" s="6" t="str">
        <f>IFERROR(IF(A9="","",SUM('Asset Allocation'!F9)),0)</f>
        <v/>
      </c>
      <c r="C9" s="6" t="str">
        <f>IFERROR(IF(A9="","",SUM('Asset Allocation'!E9)),0)</f>
        <v/>
      </c>
      <c r="D9" s="6" t="str">
        <f>IFERROR(IF(A9="","",SUM('Asset Allocation'!I9)),0)</f>
        <v/>
      </c>
      <c r="E9" s="6" t="str">
        <f>IFERROR(IF(A9="","",SUM('Asset Allocation'!G9)),0)</f>
        <v/>
      </c>
      <c r="F9" s="6" t="str">
        <f>IFERROR(IF(A9="","",SUM('Asset Allocation'!J9,'Asset Allocation'!N9)),0)</f>
        <v/>
      </c>
      <c r="G9" s="6" t="str">
        <f>IFERROR(IF(A9="","",SUM('Asset Allocation'!H9,'Asset Allocation'!K9,'Asset Allocation'!L9,'Asset Allocation'!M9)),0)</f>
        <v/>
      </c>
      <c r="H9" s="6"/>
    </row>
    <row r="10" spans="1:8" x14ac:dyDescent="0.25">
      <c r="A10" t="str">
        <f>IF(Input!A11="","",Input!A11)</f>
        <v/>
      </c>
      <c r="B10" s="6" t="str">
        <f>IFERROR(IF(A10="","",SUM('Asset Allocation'!F10)),0)</f>
        <v/>
      </c>
      <c r="C10" s="6" t="str">
        <f>IFERROR(IF(A10="","",SUM('Asset Allocation'!E10)),0)</f>
        <v/>
      </c>
      <c r="D10" s="6" t="str">
        <f>IFERROR(IF(A10="","",SUM('Asset Allocation'!I10)),0)</f>
        <v/>
      </c>
      <c r="E10" s="6" t="str">
        <f>IFERROR(IF(A10="","",SUM('Asset Allocation'!G10)),0)</f>
        <v/>
      </c>
      <c r="F10" s="6" t="str">
        <f>IFERROR(IF(A10="","",SUM('Asset Allocation'!J10,'Asset Allocation'!N10)),0)</f>
        <v/>
      </c>
      <c r="G10" s="6" t="str">
        <f>IFERROR(IF(A10="","",SUM('Asset Allocation'!H10,'Asset Allocation'!K10,'Asset Allocation'!L10,'Asset Allocation'!M10)),0)</f>
        <v/>
      </c>
      <c r="H10" s="6"/>
    </row>
    <row r="11" spans="1:8" x14ac:dyDescent="0.25">
      <c r="A11" t="str">
        <f>IF(Input!A12="","",Input!A12)</f>
        <v/>
      </c>
      <c r="B11" s="6" t="str">
        <f>IFERROR(IF(A11="","",SUM('Asset Allocation'!F11)),0)</f>
        <v/>
      </c>
      <c r="C11" s="6" t="str">
        <f>IFERROR(IF(A11="","",SUM('Asset Allocation'!E11)),0)</f>
        <v/>
      </c>
      <c r="D11" s="6" t="str">
        <f>IFERROR(IF(A11="","",SUM('Asset Allocation'!I11)),0)</f>
        <v/>
      </c>
      <c r="E11" s="6" t="str">
        <f>IFERROR(IF(A11="","",SUM('Asset Allocation'!G11)),0)</f>
        <v/>
      </c>
      <c r="F11" s="6" t="str">
        <f>IFERROR(IF(A11="","",SUM('Asset Allocation'!J11,'Asset Allocation'!N11)),0)</f>
        <v/>
      </c>
      <c r="G11" s="6" t="str">
        <f>IFERROR(IF(A11="","",SUM('Asset Allocation'!H11,'Asset Allocation'!K11,'Asset Allocation'!L11,'Asset Allocation'!M11)),0)</f>
        <v/>
      </c>
      <c r="H11" s="6"/>
    </row>
    <row r="12" spans="1:8" x14ac:dyDescent="0.25">
      <c r="A12" t="str">
        <f>IF(Input!A13="","",Input!A13)</f>
        <v/>
      </c>
      <c r="B12" s="6" t="str">
        <f>IFERROR(IF(A12="","",SUM('Asset Allocation'!F12)),0)</f>
        <v/>
      </c>
      <c r="C12" s="6" t="str">
        <f>IFERROR(IF(A12="","",SUM('Asset Allocation'!E12)),0)</f>
        <v/>
      </c>
      <c r="D12" s="6" t="str">
        <f>IFERROR(IF(A12="","",SUM('Asset Allocation'!I12)),0)</f>
        <v/>
      </c>
      <c r="E12" s="6" t="str">
        <f>IFERROR(IF(A12="","",SUM('Asset Allocation'!G12)),0)</f>
        <v/>
      </c>
      <c r="F12" s="6" t="str">
        <f>IFERROR(IF(A12="","",SUM('Asset Allocation'!J12,'Asset Allocation'!N12)),0)</f>
        <v/>
      </c>
      <c r="G12" s="6" t="str">
        <f>IFERROR(IF(A12="","",SUM('Asset Allocation'!H12,'Asset Allocation'!K12,'Asset Allocation'!L12,'Asset Allocation'!M12)),0)</f>
        <v/>
      </c>
      <c r="H12" s="6"/>
    </row>
    <row r="13" spans="1:8" x14ac:dyDescent="0.25">
      <c r="A13" t="str">
        <f>IF(Input!A14="","",Input!A14)</f>
        <v/>
      </c>
      <c r="B13" s="6" t="str">
        <f>IFERROR(IF(A13="","",SUM('Asset Allocation'!F13)),0)</f>
        <v/>
      </c>
      <c r="C13" s="6" t="str">
        <f>IFERROR(IF(A13="","",SUM('Asset Allocation'!E13)),0)</f>
        <v/>
      </c>
      <c r="D13" s="6" t="str">
        <f>IFERROR(IF(A13="","",SUM('Asset Allocation'!I13)),0)</f>
        <v/>
      </c>
      <c r="E13" s="6" t="str">
        <f>IFERROR(IF(A13="","",SUM('Asset Allocation'!G13)),0)</f>
        <v/>
      </c>
      <c r="F13" s="6" t="str">
        <f>IFERROR(IF(A13="","",SUM('Asset Allocation'!J13,'Asset Allocation'!N13)),0)</f>
        <v/>
      </c>
      <c r="G13" s="6" t="str">
        <f>IFERROR(IF(A13="","",SUM('Asset Allocation'!H13,'Asset Allocation'!K13,'Asset Allocation'!L13,'Asset Allocation'!M13)),0)</f>
        <v/>
      </c>
      <c r="H13" s="6"/>
    </row>
    <row r="14" spans="1:8" x14ac:dyDescent="0.25">
      <c r="A14" t="str">
        <f>IF(Input!A15="","",Input!A15)</f>
        <v/>
      </c>
      <c r="B14" s="6" t="str">
        <f>IFERROR(IF(A14="","",SUM('Asset Allocation'!F14)),0)</f>
        <v/>
      </c>
      <c r="C14" s="6" t="str">
        <f>IFERROR(IF(A14="","",SUM('Asset Allocation'!E14)),0)</f>
        <v/>
      </c>
      <c r="D14" s="6" t="str">
        <f>IFERROR(IF(A14="","",SUM('Asset Allocation'!I14)),0)</f>
        <v/>
      </c>
      <c r="E14" s="6" t="str">
        <f>IFERROR(IF(A14="","",SUM('Asset Allocation'!G14)),0)</f>
        <v/>
      </c>
      <c r="F14" s="6" t="str">
        <f>IFERROR(IF(A14="","",SUM('Asset Allocation'!J14,'Asset Allocation'!N14)),0)</f>
        <v/>
      </c>
      <c r="G14" s="6" t="str">
        <f>IFERROR(IF(A14="","",SUM('Asset Allocation'!H14,'Asset Allocation'!K14,'Asset Allocation'!L14,'Asset Allocation'!M14)),0)</f>
        <v/>
      </c>
      <c r="H14" s="6"/>
    </row>
    <row r="15" spans="1:8" x14ac:dyDescent="0.25">
      <c r="A15" t="str">
        <f>IF(Input!A16="","",Input!A16)</f>
        <v/>
      </c>
      <c r="B15" s="6" t="str">
        <f>IFERROR(IF(A15="","",SUM('Asset Allocation'!F15)),0)</f>
        <v/>
      </c>
      <c r="C15" s="6" t="str">
        <f>IFERROR(IF(A15="","",SUM('Asset Allocation'!E15)),0)</f>
        <v/>
      </c>
      <c r="D15" s="6" t="str">
        <f>IFERROR(IF(A15="","",SUM('Asset Allocation'!I15)),0)</f>
        <v/>
      </c>
      <c r="E15" s="6" t="str">
        <f>IFERROR(IF(A15="","",SUM('Asset Allocation'!G15)),0)</f>
        <v/>
      </c>
      <c r="F15" s="6" t="str">
        <f>IFERROR(IF(A15="","",SUM('Asset Allocation'!J15,'Asset Allocation'!N15)),0)</f>
        <v/>
      </c>
      <c r="G15" s="6" t="str">
        <f>IFERROR(IF(A15="","",SUM('Asset Allocation'!H15,'Asset Allocation'!K15,'Asset Allocation'!L15,'Asset Allocation'!M15)),0)</f>
        <v/>
      </c>
      <c r="H15" s="6"/>
    </row>
    <row r="16" spans="1:8" x14ac:dyDescent="0.25">
      <c r="A16" t="str">
        <f>IF(Input!A17="","",Input!A17)</f>
        <v/>
      </c>
      <c r="B16" s="6" t="str">
        <f>IFERROR(IF(A16="","",SUM('Asset Allocation'!F16)),0)</f>
        <v/>
      </c>
      <c r="C16" s="6" t="str">
        <f>IFERROR(IF(A16="","",SUM('Asset Allocation'!E16)),0)</f>
        <v/>
      </c>
      <c r="D16" s="6" t="str">
        <f>IFERROR(IF(A16="","",SUM('Asset Allocation'!I16)),0)</f>
        <v/>
      </c>
      <c r="E16" s="6" t="str">
        <f>IFERROR(IF(A16="","",SUM('Asset Allocation'!G16)),0)</f>
        <v/>
      </c>
      <c r="F16" s="6" t="str">
        <f>IFERROR(IF(A16="","",SUM('Asset Allocation'!J16,'Asset Allocation'!N16)),0)</f>
        <v/>
      </c>
      <c r="G16" s="6" t="str">
        <f>IFERROR(IF(A16="","",SUM('Asset Allocation'!H16,'Asset Allocation'!K16,'Asset Allocation'!L16,'Asset Allocation'!M16)),0)</f>
        <v/>
      </c>
      <c r="H16" s="6"/>
    </row>
    <row r="17" spans="1:8" x14ac:dyDescent="0.25">
      <c r="A17" t="str">
        <f>IF(Input!A18="","",Input!A18)</f>
        <v/>
      </c>
      <c r="B17" s="6" t="str">
        <f>IFERROR(IF(A17="","",SUM('Asset Allocation'!F17)),0)</f>
        <v/>
      </c>
      <c r="C17" s="6" t="str">
        <f>IFERROR(IF(A17="","",SUM('Asset Allocation'!E17)),0)</f>
        <v/>
      </c>
      <c r="D17" s="6" t="str">
        <f>IFERROR(IF(A17="","",SUM('Asset Allocation'!I17)),0)</f>
        <v/>
      </c>
      <c r="E17" s="6" t="str">
        <f>IFERROR(IF(A17="","",SUM('Asset Allocation'!G17)),0)</f>
        <v/>
      </c>
      <c r="F17" s="6" t="str">
        <f>IFERROR(IF(A17="","",SUM('Asset Allocation'!J17,'Asset Allocation'!N17)),0)</f>
        <v/>
      </c>
      <c r="G17" s="6" t="str">
        <f>IFERROR(IF(A17="","",SUM('Asset Allocation'!H17,'Asset Allocation'!K17,'Asset Allocation'!L17,'Asset Allocation'!M17)),0)</f>
        <v/>
      </c>
      <c r="H17" s="6"/>
    </row>
    <row r="18" spans="1:8" x14ac:dyDescent="0.25">
      <c r="A18" t="str">
        <f>IF(Input!A19="","",Input!A19)</f>
        <v/>
      </c>
      <c r="B18" s="6" t="str">
        <f>IFERROR(IF(A18="","",SUM('Asset Allocation'!F18)),0)</f>
        <v/>
      </c>
      <c r="C18" s="6" t="str">
        <f>IFERROR(IF(A18="","",SUM('Asset Allocation'!E18)),0)</f>
        <v/>
      </c>
      <c r="D18" s="6" t="str">
        <f>IFERROR(IF(A18="","",SUM('Asset Allocation'!I18)),0)</f>
        <v/>
      </c>
      <c r="E18" s="6" t="str">
        <f>IFERROR(IF(A18="","",SUM('Asset Allocation'!G18)),0)</f>
        <v/>
      </c>
      <c r="F18" s="6" t="str">
        <f>IFERROR(IF(A18="","",SUM('Asset Allocation'!J18,'Asset Allocation'!N18)),0)</f>
        <v/>
      </c>
      <c r="G18" s="6" t="str">
        <f>IFERROR(IF(A18="","",SUM('Asset Allocation'!H18,'Asset Allocation'!K18,'Asset Allocation'!L18,'Asset Allocation'!M18)),0)</f>
        <v/>
      </c>
      <c r="H18" s="6"/>
    </row>
    <row r="19" spans="1:8" x14ac:dyDescent="0.25">
      <c r="A19" t="str">
        <f>IF(Input!A20="","",Input!A20)</f>
        <v/>
      </c>
      <c r="B19" s="6" t="str">
        <f>IFERROR(IF(A19="","",SUM('Asset Allocation'!F19)),0)</f>
        <v/>
      </c>
      <c r="C19" s="6" t="str">
        <f>IFERROR(IF(A19="","",SUM('Asset Allocation'!E19)),0)</f>
        <v/>
      </c>
      <c r="D19" s="6" t="str">
        <f>IFERROR(IF(A19="","",SUM('Asset Allocation'!I19)),0)</f>
        <v/>
      </c>
      <c r="E19" s="6" t="str">
        <f>IFERROR(IF(A19="","",SUM('Asset Allocation'!G19)),0)</f>
        <v/>
      </c>
      <c r="F19" s="6" t="str">
        <f>IFERROR(IF(A19="","",SUM('Asset Allocation'!J19,'Asset Allocation'!N19)),0)</f>
        <v/>
      </c>
      <c r="G19" s="6" t="str">
        <f>IFERROR(IF(A19="","",SUM('Asset Allocation'!H19,'Asset Allocation'!K19,'Asset Allocation'!L19,'Asset Allocation'!M19)),0)</f>
        <v/>
      </c>
      <c r="H19" s="6"/>
    </row>
    <row r="20" spans="1:8" x14ac:dyDescent="0.25">
      <c r="A20" t="str">
        <f>IF(Input!A21="","",Input!A21)</f>
        <v/>
      </c>
      <c r="B20" s="6" t="str">
        <f>IFERROR(IF(A20="","",SUM('Asset Allocation'!F20)),0)</f>
        <v/>
      </c>
      <c r="C20" s="6" t="str">
        <f>IFERROR(IF(A20="","",SUM('Asset Allocation'!E20)),0)</f>
        <v/>
      </c>
      <c r="D20" s="6" t="str">
        <f>IFERROR(IF(A20="","",SUM('Asset Allocation'!I20)),0)</f>
        <v/>
      </c>
      <c r="E20" s="6" t="str">
        <f>IFERROR(IF(A20="","",SUM('Asset Allocation'!G20)),0)</f>
        <v/>
      </c>
      <c r="F20" s="6" t="str">
        <f>IFERROR(IF(A20="","",SUM('Asset Allocation'!J20,'Asset Allocation'!N20)),0)</f>
        <v/>
      </c>
      <c r="G20" s="6" t="str">
        <f>IFERROR(IF(A20="","",SUM('Asset Allocation'!H20,'Asset Allocation'!K20,'Asset Allocation'!L20,'Asset Allocation'!M20)),0)</f>
        <v/>
      </c>
      <c r="H20" s="6"/>
    </row>
    <row r="21" spans="1:8" x14ac:dyDescent="0.25">
      <c r="A21" t="str">
        <f>IF(Input!A22="","",Input!A22)</f>
        <v/>
      </c>
      <c r="B21" s="6" t="str">
        <f>IFERROR(IF(A21="","",SUM('Asset Allocation'!F21)),0)</f>
        <v/>
      </c>
      <c r="C21" s="6" t="str">
        <f>IFERROR(IF(A21="","",SUM('Asset Allocation'!E21)),0)</f>
        <v/>
      </c>
      <c r="D21" s="6" t="str">
        <f>IFERROR(IF(A21="","",SUM('Asset Allocation'!I21)),0)</f>
        <v/>
      </c>
      <c r="E21" s="6" t="str">
        <f>IFERROR(IF(A21="","",SUM('Asset Allocation'!G21)),0)</f>
        <v/>
      </c>
      <c r="F21" s="6" t="str">
        <f>IFERROR(IF(A21="","",SUM('Asset Allocation'!J21,'Asset Allocation'!N21)),0)</f>
        <v/>
      </c>
      <c r="G21" s="6" t="str">
        <f>IFERROR(IF(A21="","",SUM('Asset Allocation'!H21,'Asset Allocation'!K21,'Asset Allocation'!L21,'Asset Allocation'!M21)),0)</f>
        <v/>
      </c>
      <c r="H21" s="6"/>
    </row>
    <row r="22" spans="1:8" x14ac:dyDescent="0.25">
      <c r="A22" t="str">
        <f>IF(Input!A23="","",Input!A23)</f>
        <v/>
      </c>
      <c r="B22" s="6" t="str">
        <f>IFERROR(IF(A22="","",SUM('Asset Allocation'!F22)),0)</f>
        <v/>
      </c>
      <c r="C22" s="6" t="str">
        <f>IFERROR(IF(A22="","",SUM('Asset Allocation'!E22)),0)</f>
        <v/>
      </c>
      <c r="D22" s="6" t="str">
        <f>IFERROR(IF(A22="","",SUM('Asset Allocation'!I22)),0)</f>
        <v/>
      </c>
      <c r="E22" s="6" t="str">
        <f>IFERROR(IF(A22="","",SUM('Asset Allocation'!G22)),0)</f>
        <v/>
      </c>
      <c r="F22" s="6" t="str">
        <f>IFERROR(IF(A22="","",SUM('Asset Allocation'!J22,'Asset Allocation'!N22)),0)</f>
        <v/>
      </c>
      <c r="G22" s="6" t="str">
        <f>IFERROR(IF(A22="","",SUM('Asset Allocation'!H22,'Asset Allocation'!K22,'Asset Allocation'!L22,'Asset Allocation'!M22)),0)</f>
        <v/>
      </c>
      <c r="H22" s="6"/>
    </row>
    <row r="23" spans="1:8" x14ac:dyDescent="0.25">
      <c r="A23" t="str">
        <f>IF(Input!A24="","",Input!A24)</f>
        <v/>
      </c>
      <c r="B23" s="6" t="str">
        <f>IFERROR(IF(A23="","",SUM('Asset Allocation'!F23)),0)</f>
        <v/>
      </c>
      <c r="C23" s="6" t="str">
        <f>IFERROR(IF(A23="","",SUM('Asset Allocation'!E23)),0)</f>
        <v/>
      </c>
      <c r="D23" s="6" t="str">
        <f>IFERROR(IF(A23="","",SUM('Asset Allocation'!I23)),0)</f>
        <v/>
      </c>
      <c r="E23" s="6" t="str">
        <f>IFERROR(IF(A23="","",SUM('Asset Allocation'!G23)),0)</f>
        <v/>
      </c>
      <c r="F23" s="6" t="str">
        <f>IFERROR(IF(A23="","",SUM('Asset Allocation'!J23,'Asset Allocation'!N23)),0)</f>
        <v/>
      </c>
      <c r="G23" s="6" t="str">
        <f>IFERROR(IF(A23="","",SUM('Asset Allocation'!H23,'Asset Allocation'!K23,'Asset Allocation'!L23,'Asset Allocation'!M23)),0)</f>
        <v/>
      </c>
      <c r="H23" s="6"/>
    </row>
    <row r="24" spans="1:8" x14ac:dyDescent="0.25">
      <c r="A24" t="str">
        <f>IF(Input!A25="","",Input!A25)</f>
        <v/>
      </c>
      <c r="B24" s="6" t="str">
        <f>IFERROR(IF(A24="","",SUM('Asset Allocation'!F24)),0)</f>
        <v/>
      </c>
      <c r="C24" s="6" t="str">
        <f>IFERROR(IF(A24="","",SUM('Asset Allocation'!E24)),0)</f>
        <v/>
      </c>
      <c r="D24" s="6" t="str">
        <f>IFERROR(IF(A24="","",SUM('Asset Allocation'!I24)),0)</f>
        <v/>
      </c>
      <c r="E24" s="6" t="str">
        <f>IFERROR(IF(A24="","",SUM('Asset Allocation'!G24)),0)</f>
        <v/>
      </c>
      <c r="F24" s="6" t="str">
        <f>IFERROR(IF(A24="","",SUM('Asset Allocation'!J24,'Asset Allocation'!N24)),0)</f>
        <v/>
      </c>
      <c r="G24" s="6" t="str">
        <f>IFERROR(IF(A24="","",SUM('Asset Allocation'!H24,'Asset Allocation'!K24,'Asset Allocation'!L24,'Asset Allocation'!M24)),0)</f>
        <v/>
      </c>
      <c r="H24" s="6"/>
    </row>
    <row r="25" spans="1:8" x14ac:dyDescent="0.25">
      <c r="A25" t="str">
        <f>IF(Input!A26="","",Input!A26)</f>
        <v/>
      </c>
      <c r="B25" s="6" t="str">
        <f>IFERROR(IF(A25="","",SUM('Asset Allocation'!F25)),0)</f>
        <v/>
      </c>
      <c r="C25" s="6" t="str">
        <f>IFERROR(IF(A25="","",SUM('Asset Allocation'!E25)),0)</f>
        <v/>
      </c>
      <c r="D25" s="6" t="str">
        <f>IFERROR(IF(A25="","",SUM('Asset Allocation'!I25)),0)</f>
        <v/>
      </c>
      <c r="E25" s="6" t="str">
        <f>IFERROR(IF(A25="","",SUM('Asset Allocation'!G25)),0)</f>
        <v/>
      </c>
      <c r="F25" s="6" t="str">
        <f>IFERROR(IF(A25="","",SUM('Asset Allocation'!J25,'Asset Allocation'!N25)),0)</f>
        <v/>
      </c>
      <c r="G25" s="6" t="str">
        <f>IFERROR(IF(A25="","",SUM('Asset Allocation'!H25,'Asset Allocation'!K25,'Asset Allocation'!L25,'Asset Allocation'!M25)),0)</f>
        <v/>
      </c>
      <c r="H25" s="6"/>
    </row>
    <row r="26" spans="1:8" x14ac:dyDescent="0.25">
      <c r="A26" t="str">
        <f>IF(Input!A27="","",Input!A27)</f>
        <v/>
      </c>
      <c r="B26" s="6" t="str">
        <f>IFERROR(IF(A26="","",SUM('Asset Allocation'!F26)),0)</f>
        <v/>
      </c>
      <c r="C26" s="6" t="str">
        <f>IFERROR(IF(A26="","",SUM('Asset Allocation'!E26)),0)</f>
        <v/>
      </c>
      <c r="D26" s="6" t="str">
        <f>IFERROR(IF(A26="","",SUM('Asset Allocation'!I26)),0)</f>
        <v/>
      </c>
      <c r="E26" s="6" t="str">
        <f>IFERROR(IF(A26="","",SUM('Asset Allocation'!G26)),0)</f>
        <v/>
      </c>
      <c r="F26" s="6" t="str">
        <f>IFERROR(IF(A26="","",SUM('Asset Allocation'!J26,'Asset Allocation'!N26)),0)</f>
        <v/>
      </c>
      <c r="G26" s="6" t="str">
        <f>IFERROR(IF(A26="","",SUM('Asset Allocation'!H26,'Asset Allocation'!K26,'Asset Allocation'!L26,'Asset Allocation'!M26)),0)</f>
        <v/>
      </c>
      <c r="H26" s="6"/>
    </row>
    <row r="27" spans="1:8" x14ac:dyDescent="0.25">
      <c r="A27" t="str">
        <f>IF(Input!A28="","",Input!A28)</f>
        <v/>
      </c>
      <c r="B27" s="6" t="str">
        <f>IFERROR(IF(A27="","",SUM('Asset Allocation'!F27)),0)</f>
        <v/>
      </c>
      <c r="C27" s="6" t="str">
        <f>IFERROR(IF(A27="","",SUM('Asset Allocation'!E27)),0)</f>
        <v/>
      </c>
      <c r="D27" s="6" t="str">
        <f>IFERROR(IF(A27="","",SUM('Asset Allocation'!I27)),0)</f>
        <v/>
      </c>
      <c r="E27" s="6" t="str">
        <f>IFERROR(IF(A27="","",SUM('Asset Allocation'!G27)),0)</f>
        <v/>
      </c>
      <c r="F27" s="6" t="str">
        <f>IFERROR(IF(A27="","",SUM('Asset Allocation'!J27,'Asset Allocation'!N27)),0)</f>
        <v/>
      </c>
      <c r="G27" s="6" t="str">
        <f>IFERROR(IF(A27="","",SUM('Asset Allocation'!H27,'Asset Allocation'!K27,'Asset Allocation'!L27,'Asset Allocation'!M27)),0)</f>
        <v/>
      </c>
      <c r="H27" s="6"/>
    </row>
    <row r="28" spans="1:8" x14ac:dyDescent="0.25">
      <c r="A28" t="str">
        <f>IF(Input!A29="","",Input!A29)</f>
        <v/>
      </c>
      <c r="B28" s="6" t="str">
        <f>IFERROR(IF(A28="","",SUM('Asset Allocation'!F28)),0)</f>
        <v/>
      </c>
      <c r="C28" s="6" t="str">
        <f>IFERROR(IF(A28="","",SUM('Asset Allocation'!E28)),0)</f>
        <v/>
      </c>
      <c r="D28" s="6" t="str">
        <f>IFERROR(IF(A28="","",SUM('Asset Allocation'!I28)),0)</f>
        <v/>
      </c>
      <c r="E28" s="6" t="str">
        <f>IFERROR(IF(A28="","",SUM('Asset Allocation'!G28)),0)</f>
        <v/>
      </c>
      <c r="F28" s="6" t="str">
        <f>IFERROR(IF(A28="","",SUM('Asset Allocation'!J28,'Asset Allocation'!N28)),0)</f>
        <v/>
      </c>
      <c r="G28" s="6" t="str">
        <f>IFERROR(IF(A28="","",SUM('Asset Allocation'!H28,'Asset Allocation'!K28,'Asset Allocation'!L28,'Asset Allocation'!M28)),0)</f>
        <v/>
      </c>
      <c r="H28" s="6"/>
    </row>
    <row r="29" spans="1:8" x14ac:dyDescent="0.25">
      <c r="A29" t="str">
        <f>IF(Input!A30="","",Input!A30)</f>
        <v/>
      </c>
      <c r="B29" s="6" t="str">
        <f>IFERROR(IF(A29="","",SUM('Asset Allocation'!F29)),0)</f>
        <v/>
      </c>
      <c r="C29" s="6" t="str">
        <f>IFERROR(IF(A29="","",SUM('Asset Allocation'!E29)),0)</f>
        <v/>
      </c>
      <c r="D29" s="6" t="str">
        <f>IFERROR(IF(A29="","",SUM('Asset Allocation'!I29)),0)</f>
        <v/>
      </c>
      <c r="E29" s="6" t="str">
        <f>IFERROR(IF(A29="","",SUM('Asset Allocation'!G29)),0)</f>
        <v/>
      </c>
      <c r="F29" s="6" t="str">
        <f>IFERROR(IF(A29="","",SUM('Asset Allocation'!J29,'Asset Allocation'!N29)),0)</f>
        <v/>
      </c>
      <c r="G29" s="6" t="str">
        <f>IFERROR(IF(A29="","",SUM('Asset Allocation'!H29,'Asset Allocation'!K29,'Asset Allocation'!L29,'Asset Allocation'!M29)),0)</f>
        <v/>
      </c>
      <c r="H29" s="6"/>
    </row>
    <row r="30" spans="1:8" x14ac:dyDescent="0.25">
      <c r="A30" t="str">
        <f>IF(Input!A31="","",Input!A31)</f>
        <v/>
      </c>
      <c r="B30" s="6" t="str">
        <f>IFERROR(IF(A30="","",SUM('Asset Allocation'!F30)),0)</f>
        <v/>
      </c>
      <c r="C30" s="6" t="str">
        <f>IFERROR(IF(A30="","",SUM('Asset Allocation'!E30)),0)</f>
        <v/>
      </c>
      <c r="D30" s="6" t="str">
        <f>IFERROR(IF(A30="","",SUM('Asset Allocation'!I30)),0)</f>
        <v/>
      </c>
      <c r="E30" s="6" t="str">
        <f>IFERROR(IF(A30="","",SUM('Asset Allocation'!G30)),0)</f>
        <v/>
      </c>
      <c r="F30" s="6" t="str">
        <f>IFERROR(IF(A30="","",SUM('Asset Allocation'!J30,'Asset Allocation'!N30)),0)</f>
        <v/>
      </c>
      <c r="G30" s="6" t="str">
        <f>IFERROR(IF(A30="","",SUM('Asset Allocation'!H30,'Asset Allocation'!K30,'Asset Allocation'!L30,'Asset Allocation'!M30)),0)</f>
        <v/>
      </c>
      <c r="H30" s="6"/>
    </row>
    <row r="31" spans="1:8" x14ac:dyDescent="0.25">
      <c r="A31" t="str">
        <f>IF(Input!A32="","",Input!A32)</f>
        <v/>
      </c>
      <c r="B31" s="6" t="str">
        <f>IFERROR(IF(A31="","",SUM('Asset Allocation'!F31)),0)</f>
        <v/>
      </c>
      <c r="C31" s="6" t="str">
        <f>IFERROR(IF(A31="","",SUM('Asset Allocation'!E31)),0)</f>
        <v/>
      </c>
      <c r="D31" s="6" t="str">
        <f>IFERROR(IF(A31="","",SUM('Asset Allocation'!I31)),0)</f>
        <v/>
      </c>
      <c r="E31" s="6" t="str">
        <f>IFERROR(IF(A31="","",SUM('Asset Allocation'!G31)),0)</f>
        <v/>
      </c>
      <c r="F31" s="6" t="str">
        <f>IFERROR(IF(A31="","",SUM('Asset Allocation'!J31,'Asset Allocation'!N31)),0)</f>
        <v/>
      </c>
      <c r="G31" s="6" t="str">
        <f>IFERROR(IF(A31="","",SUM('Asset Allocation'!H31,'Asset Allocation'!K31,'Asset Allocation'!L31,'Asset Allocation'!M31)),0)</f>
        <v/>
      </c>
      <c r="H31" s="6"/>
    </row>
    <row r="32" spans="1:8" x14ac:dyDescent="0.25">
      <c r="A32" t="str">
        <f>IF(Input!A33="","",Input!A33)</f>
        <v/>
      </c>
      <c r="B32" s="6" t="str">
        <f>IFERROR(IF(A32="","",SUM('Asset Allocation'!F32)),0)</f>
        <v/>
      </c>
      <c r="C32" s="6" t="str">
        <f>IFERROR(IF(A32="","",SUM('Asset Allocation'!E32)),0)</f>
        <v/>
      </c>
      <c r="D32" s="6" t="str">
        <f>IFERROR(IF(A32="","",SUM('Asset Allocation'!I32)),0)</f>
        <v/>
      </c>
      <c r="E32" s="6" t="str">
        <f>IFERROR(IF(A32="","",SUM('Asset Allocation'!G32)),0)</f>
        <v/>
      </c>
      <c r="F32" s="6" t="str">
        <f>IFERROR(IF(A32="","",SUM('Asset Allocation'!J32,'Asset Allocation'!N32)),0)</f>
        <v/>
      </c>
      <c r="G32" s="6" t="str">
        <f>IFERROR(IF(A32="","",SUM('Asset Allocation'!H32,'Asset Allocation'!K32,'Asset Allocation'!L32,'Asset Allocation'!M32)),0)</f>
        <v/>
      </c>
      <c r="H32" s="6"/>
    </row>
    <row r="33" spans="1:8" x14ac:dyDescent="0.25">
      <c r="A33" t="str">
        <f>IF(Input!A34="","",Input!A34)</f>
        <v/>
      </c>
      <c r="B33" s="6" t="str">
        <f>IFERROR(IF(A33="","",SUM('Asset Allocation'!F33)),0)</f>
        <v/>
      </c>
      <c r="C33" s="6" t="str">
        <f>IFERROR(IF(A33="","",SUM('Asset Allocation'!E33)),0)</f>
        <v/>
      </c>
      <c r="D33" s="6" t="str">
        <f>IFERROR(IF(A33="","",SUM('Asset Allocation'!I33)),0)</f>
        <v/>
      </c>
      <c r="E33" s="6" t="str">
        <f>IFERROR(IF(A33="","",SUM('Asset Allocation'!G33)),0)</f>
        <v/>
      </c>
      <c r="F33" s="6" t="str">
        <f>IFERROR(IF(A33="","",SUM('Asset Allocation'!J33,'Asset Allocation'!N33)),0)</f>
        <v/>
      </c>
      <c r="G33" s="6" t="str">
        <f>IFERROR(IF(A33="","",SUM('Asset Allocation'!H33,'Asset Allocation'!K33,'Asset Allocation'!L33,'Asset Allocation'!M33)),0)</f>
        <v/>
      </c>
      <c r="H33" s="6"/>
    </row>
    <row r="34" spans="1:8" x14ac:dyDescent="0.25">
      <c r="A34" t="str">
        <f>IF(Input!A35="","",Input!A35)</f>
        <v/>
      </c>
      <c r="B34" s="6" t="str">
        <f>IFERROR(IF(A34="","",SUM('Asset Allocation'!F34)),0)</f>
        <v/>
      </c>
      <c r="C34" s="6" t="str">
        <f>IFERROR(IF(A34="","",SUM('Asset Allocation'!E34)),0)</f>
        <v/>
      </c>
      <c r="D34" s="6" t="str">
        <f>IFERROR(IF(A34="","",SUM('Asset Allocation'!I34)),0)</f>
        <v/>
      </c>
      <c r="E34" s="6" t="str">
        <f>IFERROR(IF(A34="","",SUM('Asset Allocation'!G34)),0)</f>
        <v/>
      </c>
      <c r="F34" s="6" t="str">
        <f>IFERROR(IF(A34="","",SUM('Asset Allocation'!J34,'Asset Allocation'!N34)),0)</f>
        <v/>
      </c>
      <c r="G34" s="6" t="str">
        <f>IFERROR(IF(A34="","",SUM('Asset Allocation'!H34,'Asset Allocation'!K34,'Asset Allocation'!L34,'Asset Allocation'!M34)),0)</f>
        <v/>
      </c>
      <c r="H34" s="6"/>
    </row>
    <row r="35" spans="1:8" x14ac:dyDescent="0.25">
      <c r="A35" t="str">
        <f>IF(Input!A36="","",Input!A36)</f>
        <v/>
      </c>
      <c r="B35" s="6" t="str">
        <f>IFERROR(IF(A35="","",SUM('Asset Allocation'!F35)),0)</f>
        <v/>
      </c>
      <c r="C35" s="6" t="str">
        <f>IFERROR(IF(A35="","",SUM('Asset Allocation'!E35)),0)</f>
        <v/>
      </c>
      <c r="D35" s="6" t="str">
        <f>IFERROR(IF(A35="","",SUM('Asset Allocation'!I35)),0)</f>
        <v/>
      </c>
      <c r="E35" s="6" t="str">
        <f>IFERROR(IF(A35="","",SUM('Asset Allocation'!G35)),0)</f>
        <v/>
      </c>
      <c r="F35" s="6" t="str">
        <f>IFERROR(IF(A35="","",SUM('Asset Allocation'!J35,'Asset Allocation'!N35)),0)</f>
        <v/>
      </c>
      <c r="G35" s="6" t="str">
        <f>IFERROR(IF(A35="","",SUM('Asset Allocation'!H35,'Asset Allocation'!K35,'Asset Allocation'!L35,'Asset Allocation'!M35)),0)</f>
        <v/>
      </c>
      <c r="H35" s="6"/>
    </row>
    <row r="36" spans="1:8" x14ac:dyDescent="0.25">
      <c r="A36" t="str">
        <f>IF(Input!A37="","",Input!A37)</f>
        <v/>
      </c>
      <c r="B36" s="6" t="str">
        <f>IFERROR(IF(A36="","",SUM('Asset Allocation'!F36)),0)</f>
        <v/>
      </c>
      <c r="C36" s="6" t="str">
        <f>IFERROR(IF(A36="","",SUM('Asset Allocation'!E36)),0)</f>
        <v/>
      </c>
      <c r="D36" s="6" t="str">
        <f>IFERROR(IF(A36="","",SUM('Asset Allocation'!I36)),0)</f>
        <v/>
      </c>
      <c r="E36" s="6" t="str">
        <f>IFERROR(IF(A36="","",SUM('Asset Allocation'!G36)),0)</f>
        <v/>
      </c>
      <c r="F36" s="6" t="str">
        <f>IFERROR(IF(A36="","",SUM('Asset Allocation'!J36,'Asset Allocation'!N36)),0)</f>
        <v/>
      </c>
      <c r="G36" s="6" t="str">
        <f>IFERROR(IF(A36="","",SUM('Asset Allocation'!H36,'Asset Allocation'!K36,'Asset Allocation'!L36,'Asset Allocation'!M36)),0)</f>
        <v/>
      </c>
      <c r="H36" s="6"/>
    </row>
    <row r="37" spans="1:8" x14ac:dyDescent="0.25">
      <c r="A37" t="str">
        <f>IF(Input!A38="","",Input!A38)</f>
        <v/>
      </c>
      <c r="B37" s="6" t="str">
        <f>IFERROR(IF(A37="","",SUM('Asset Allocation'!F37)),0)</f>
        <v/>
      </c>
      <c r="C37" s="6" t="str">
        <f>IFERROR(IF(A37="","",SUM('Asset Allocation'!E37)),0)</f>
        <v/>
      </c>
      <c r="D37" s="6" t="str">
        <f>IFERROR(IF(A37="","",SUM('Asset Allocation'!I37)),0)</f>
        <v/>
      </c>
      <c r="E37" s="6" t="str">
        <f>IFERROR(IF(A37="","",SUM('Asset Allocation'!G37)),0)</f>
        <v/>
      </c>
      <c r="F37" s="6" t="str">
        <f>IFERROR(IF(A37="","",SUM('Asset Allocation'!J37,'Asset Allocation'!N37)),0)</f>
        <v/>
      </c>
      <c r="G37" s="6" t="str">
        <f>IFERROR(IF(A37="","",SUM('Asset Allocation'!H37,'Asset Allocation'!K37,'Asset Allocation'!L37,'Asset Allocation'!M37)),0)</f>
        <v/>
      </c>
      <c r="H37" s="6"/>
    </row>
    <row r="38" spans="1:8" x14ac:dyDescent="0.25">
      <c r="A38" t="str">
        <f>IF(Input!A39="","",Input!A39)</f>
        <v/>
      </c>
      <c r="B38" s="6" t="str">
        <f>IFERROR(IF(A38="","",SUM('Asset Allocation'!F38)),0)</f>
        <v/>
      </c>
      <c r="C38" s="6" t="str">
        <f>IFERROR(IF(A38="","",SUM('Asset Allocation'!E38)),0)</f>
        <v/>
      </c>
      <c r="D38" s="6" t="str">
        <f>IFERROR(IF(A38="","",SUM('Asset Allocation'!I38)),0)</f>
        <v/>
      </c>
      <c r="E38" s="6" t="str">
        <f>IFERROR(IF(A38="","",SUM('Asset Allocation'!G38)),0)</f>
        <v/>
      </c>
      <c r="F38" s="6" t="str">
        <f>IFERROR(IF(A38="","",SUM('Asset Allocation'!J38,'Asset Allocation'!N38)),0)</f>
        <v/>
      </c>
      <c r="G38" s="6" t="str">
        <f>IFERROR(IF(A38="","",SUM('Asset Allocation'!H38,'Asset Allocation'!K38,'Asset Allocation'!L38,'Asset Allocation'!M38)),0)</f>
        <v/>
      </c>
      <c r="H38" s="6"/>
    </row>
    <row r="39" spans="1:8" x14ac:dyDescent="0.25">
      <c r="A39" t="str">
        <f>IF(Input!A40="","",Input!A40)</f>
        <v/>
      </c>
      <c r="B39" s="6" t="str">
        <f>IFERROR(IF(A39="","",SUM('Asset Allocation'!F39)),0)</f>
        <v/>
      </c>
      <c r="C39" s="6" t="str">
        <f>IFERROR(IF(A39="","",SUM('Asset Allocation'!E39)),0)</f>
        <v/>
      </c>
      <c r="D39" s="6" t="str">
        <f>IFERROR(IF(A39="","",SUM('Asset Allocation'!I39)),0)</f>
        <v/>
      </c>
      <c r="E39" s="6" t="str">
        <f>IFERROR(IF(A39="","",SUM('Asset Allocation'!G39)),0)</f>
        <v/>
      </c>
      <c r="F39" s="6" t="str">
        <f>IFERROR(IF(A39="","",SUM('Asset Allocation'!J39,'Asset Allocation'!N39)),0)</f>
        <v/>
      </c>
      <c r="G39" s="6" t="str">
        <f>IFERROR(IF(A39="","",SUM('Asset Allocation'!H39,'Asset Allocation'!K39,'Asset Allocation'!L39,'Asset Allocation'!M39)),0)</f>
        <v/>
      </c>
      <c r="H39" s="6"/>
    </row>
    <row r="40" spans="1:8" x14ac:dyDescent="0.25">
      <c r="A40" t="str">
        <f>IF(Input!A41="","",Input!A41)</f>
        <v/>
      </c>
      <c r="B40" s="6" t="str">
        <f>IFERROR(IF(A40="","",SUM('Asset Allocation'!F40)),0)</f>
        <v/>
      </c>
      <c r="C40" s="6" t="str">
        <f>IFERROR(IF(A40="","",SUM('Asset Allocation'!E40)),0)</f>
        <v/>
      </c>
      <c r="D40" s="6" t="str">
        <f>IFERROR(IF(A40="","",SUM('Asset Allocation'!I40)),0)</f>
        <v/>
      </c>
      <c r="E40" s="6" t="str">
        <f>IFERROR(IF(A40="","",SUM('Asset Allocation'!G40)),0)</f>
        <v/>
      </c>
      <c r="F40" s="6" t="str">
        <f>IFERROR(IF(A40="","",SUM('Asset Allocation'!J40,'Asset Allocation'!N40)),0)</f>
        <v/>
      </c>
      <c r="G40" s="6" t="str">
        <f>IFERROR(IF(A40="","",SUM('Asset Allocation'!H40,'Asset Allocation'!K40,'Asset Allocation'!L40,'Asset Allocation'!M40)),0)</f>
        <v/>
      </c>
      <c r="H40" s="6"/>
    </row>
    <row r="41" spans="1:8" x14ac:dyDescent="0.25">
      <c r="A41" t="str">
        <f>IF(Input!A42="","",Input!A42)</f>
        <v/>
      </c>
      <c r="B41" s="6" t="str">
        <f>IFERROR(IF(A41="","",SUM('Asset Allocation'!F41)),0)</f>
        <v/>
      </c>
      <c r="C41" s="6" t="str">
        <f>IFERROR(IF(A41="","",SUM('Asset Allocation'!E41)),0)</f>
        <v/>
      </c>
      <c r="D41" s="6" t="str">
        <f>IFERROR(IF(A41="","",SUM('Asset Allocation'!I41)),0)</f>
        <v/>
      </c>
      <c r="E41" s="6" t="str">
        <f>IFERROR(IF(A41="","",SUM('Asset Allocation'!G41)),0)</f>
        <v/>
      </c>
      <c r="F41" s="6" t="str">
        <f>IFERROR(IF(A41="","",SUM('Asset Allocation'!J41,'Asset Allocation'!N41)),0)</f>
        <v/>
      </c>
      <c r="G41" s="6" t="str">
        <f>IFERROR(IF(A41="","",SUM('Asset Allocation'!H41,'Asset Allocation'!K41,'Asset Allocation'!L41,'Asset Allocation'!M41)),0)</f>
        <v/>
      </c>
      <c r="H41" s="6"/>
    </row>
    <row r="42" spans="1:8" x14ac:dyDescent="0.25">
      <c r="A42" t="str">
        <f>IF(Input!A43="","",Input!A43)</f>
        <v/>
      </c>
      <c r="B42" s="6" t="str">
        <f>IFERROR(IF(A42="","",SUM('Asset Allocation'!F42)),0)</f>
        <v/>
      </c>
      <c r="C42" s="6" t="str">
        <f>IFERROR(IF(A42="","",SUM('Asset Allocation'!E42)),0)</f>
        <v/>
      </c>
      <c r="D42" s="6" t="str">
        <f>IFERROR(IF(A42="","",SUM('Asset Allocation'!I42)),0)</f>
        <v/>
      </c>
      <c r="E42" s="6" t="str">
        <f>IFERROR(IF(A42="","",SUM('Asset Allocation'!G42)),0)</f>
        <v/>
      </c>
      <c r="F42" s="6" t="str">
        <f>IFERROR(IF(A42="","",SUM('Asset Allocation'!J42,'Asset Allocation'!N42)),0)</f>
        <v/>
      </c>
      <c r="G42" s="6" t="str">
        <f>IFERROR(IF(A42="","",SUM('Asset Allocation'!H42,'Asset Allocation'!K42,'Asset Allocation'!L42,'Asset Allocation'!M42)),0)</f>
        <v/>
      </c>
      <c r="H42" s="6"/>
    </row>
    <row r="43" spans="1:8" x14ac:dyDescent="0.25">
      <c r="A43" t="str">
        <f>IF(Input!A44="","",Input!A44)</f>
        <v/>
      </c>
      <c r="B43" s="6" t="str">
        <f>IFERROR(IF(A43="","",SUM('Asset Allocation'!F43)),0)</f>
        <v/>
      </c>
      <c r="C43" s="6" t="str">
        <f>IFERROR(IF(A43="","",SUM('Asset Allocation'!E43)),0)</f>
        <v/>
      </c>
      <c r="D43" s="6" t="str">
        <f>IFERROR(IF(A43="","",SUM('Asset Allocation'!I43)),0)</f>
        <v/>
      </c>
      <c r="E43" s="6" t="str">
        <f>IFERROR(IF(A43="","",SUM('Asset Allocation'!G43)),0)</f>
        <v/>
      </c>
      <c r="F43" s="6" t="str">
        <f>IFERROR(IF(A43="","",SUM('Asset Allocation'!J43,'Asset Allocation'!N43)),0)</f>
        <v/>
      </c>
      <c r="G43" s="6" t="str">
        <f>IFERROR(IF(A43="","",SUM('Asset Allocation'!H43,'Asset Allocation'!K43,'Asset Allocation'!L43,'Asset Allocation'!M43)),0)</f>
        <v/>
      </c>
      <c r="H43" s="6"/>
    </row>
    <row r="44" spans="1:8" x14ac:dyDescent="0.25">
      <c r="A44" t="str">
        <f>IF(Input!A45="","",Input!A45)</f>
        <v/>
      </c>
      <c r="B44" s="6" t="str">
        <f>IFERROR(IF(A44="","",SUM('Asset Allocation'!F44)),0)</f>
        <v/>
      </c>
      <c r="C44" s="6" t="str">
        <f>IFERROR(IF(A44="","",SUM('Asset Allocation'!E44)),0)</f>
        <v/>
      </c>
      <c r="D44" s="6" t="str">
        <f>IFERROR(IF(A44="","",SUM('Asset Allocation'!I44)),0)</f>
        <v/>
      </c>
      <c r="E44" s="6" t="str">
        <f>IFERROR(IF(A44="","",SUM('Asset Allocation'!G44)),0)</f>
        <v/>
      </c>
      <c r="F44" s="6" t="str">
        <f>IFERROR(IF(A44="","",SUM('Asset Allocation'!J44,'Asset Allocation'!N44)),0)</f>
        <v/>
      </c>
      <c r="G44" s="6" t="str">
        <f>IFERROR(IF(A44="","",SUM('Asset Allocation'!H44,'Asset Allocation'!K44,'Asset Allocation'!L44,'Asset Allocation'!M44)),0)</f>
        <v/>
      </c>
      <c r="H44" s="6"/>
    </row>
    <row r="45" spans="1:8" x14ac:dyDescent="0.25">
      <c r="A45" t="str">
        <f>IF(Input!A46="","",Input!A46)</f>
        <v/>
      </c>
      <c r="B45" s="6" t="str">
        <f>IFERROR(IF(A45="","",SUM('Asset Allocation'!F45)),0)</f>
        <v/>
      </c>
      <c r="C45" s="6" t="str">
        <f>IFERROR(IF(A45="","",SUM('Asset Allocation'!E45)),0)</f>
        <v/>
      </c>
      <c r="D45" s="6" t="str">
        <f>IFERROR(IF(A45="","",SUM('Asset Allocation'!I45)),0)</f>
        <v/>
      </c>
      <c r="E45" s="6" t="str">
        <f>IFERROR(IF(A45="","",SUM('Asset Allocation'!G45)),0)</f>
        <v/>
      </c>
      <c r="F45" s="6" t="str">
        <f>IFERROR(IF(A45="","",SUM('Asset Allocation'!J45,'Asset Allocation'!N45)),0)</f>
        <v/>
      </c>
      <c r="G45" s="6" t="str">
        <f>IFERROR(IF(A45="","",SUM('Asset Allocation'!H45,'Asset Allocation'!K45,'Asset Allocation'!L45,'Asset Allocation'!M45)),0)</f>
        <v/>
      </c>
      <c r="H45" s="6"/>
    </row>
    <row r="46" spans="1:8" x14ac:dyDescent="0.25">
      <c r="A46" t="str">
        <f>IF(Input!A47="","",Input!A47)</f>
        <v/>
      </c>
      <c r="B46" s="6" t="str">
        <f>IFERROR(IF(A46="","",SUM('Asset Allocation'!F46)),0)</f>
        <v/>
      </c>
      <c r="C46" s="6" t="str">
        <f>IFERROR(IF(A46="","",SUM('Asset Allocation'!E46)),0)</f>
        <v/>
      </c>
      <c r="D46" s="6" t="str">
        <f>IFERROR(IF(A46="","",SUM('Asset Allocation'!I46)),0)</f>
        <v/>
      </c>
      <c r="E46" s="6" t="str">
        <f>IFERROR(IF(A46="","",SUM('Asset Allocation'!G46)),0)</f>
        <v/>
      </c>
      <c r="F46" s="6" t="str">
        <f>IFERROR(IF(A46="","",SUM('Asset Allocation'!J46,'Asset Allocation'!N46)),0)</f>
        <v/>
      </c>
      <c r="G46" s="6" t="str">
        <f>IFERROR(IF(A46="","",SUM('Asset Allocation'!H46,'Asset Allocation'!K46,'Asset Allocation'!L46,'Asset Allocation'!M46)),0)</f>
        <v/>
      </c>
      <c r="H46" s="6"/>
    </row>
    <row r="47" spans="1:8" x14ac:dyDescent="0.25">
      <c r="A47" t="str">
        <f>IF(Input!A48="","",Input!A48)</f>
        <v/>
      </c>
      <c r="B47" s="6" t="str">
        <f>IFERROR(IF(A47="","",SUM('Asset Allocation'!F47)),0)</f>
        <v/>
      </c>
      <c r="C47" s="6" t="str">
        <f>IFERROR(IF(A47="","",SUM('Asset Allocation'!E47)),0)</f>
        <v/>
      </c>
      <c r="D47" s="6" t="str">
        <f>IFERROR(IF(A47="","",SUM('Asset Allocation'!I47)),0)</f>
        <v/>
      </c>
      <c r="E47" s="6" t="str">
        <f>IFERROR(IF(A47="","",SUM('Asset Allocation'!G47)),0)</f>
        <v/>
      </c>
      <c r="F47" s="6" t="str">
        <f>IFERROR(IF(A47="","",SUM('Asset Allocation'!J47,'Asset Allocation'!N47)),0)</f>
        <v/>
      </c>
      <c r="G47" s="6" t="str">
        <f>IFERROR(IF(A47="","",SUM('Asset Allocation'!H47,'Asset Allocation'!K47,'Asset Allocation'!L47,'Asset Allocation'!M47)),0)</f>
        <v/>
      </c>
      <c r="H47" s="6"/>
    </row>
    <row r="48" spans="1:8" x14ac:dyDescent="0.25">
      <c r="A48" t="str">
        <f>IF(Input!A49="","",Input!A49)</f>
        <v/>
      </c>
      <c r="B48" s="6" t="str">
        <f>IFERROR(IF(A48="","",SUM('Asset Allocation'!F48)),0)</f>
        <v/>
      </c>
      <c r="C48" s="6" t="str">
        <f>IFERROR(IF(A48="","",SUM('Asset Allocation'!E48)),0)</f>
        <v/>
      </c>
      <c r="D48" s="6" t="str">
        <f>IFERROR(IF(A48="","",SUM('Asset Allocation'!I48)),0)</f>
        <v/>
      </c>
      <c r="E48" s="6" t="str">
        <f>IFERROR(IF(A48="","",SUM('Asset Allocation'!G48)),0)</f>
        <v/>
      </c>
      <c r="F48" s="6" t="str">
        <f>IFERROR(IF(A48="","",SUM('Asset Allocation'!J48,'Asset Allocation'!N48)),0)</f>
        <v/>
      </c>
      <c r="G48" s="6" t="str">
        <f>IFERROR(IF(A48="","",SUM('Asset Allocation'!H48,'Asset Allocation'!K48,'Asset Allocation'!L48,'Asset Allocation'!M48)),0)</f>
        <v/>
      </c>
      <c r="H48" s="6"/>
    </row>
    <row r="49" spans="1:8" x14ac:dyDescent="0.25">
      <c r="A49" t="str">
        <f>IF(Input!A50="","",Input!A50)</f>
        <v/>
      </c>
      <c r="B49" s="6" t="str">
        <f>IFERROR(IF(A49="","",SUM('Asset Allocation'!F49)),0)</f>
        <v/>
      </c>
      <c r="C49" s="6" t="str">
        <f>IFERROR(IF(A49="","",SUM('Asset Allocation'!E49)),0)</f>
        <v/>
      </c>
      <c r="D49" s="6" t="str">
        <f>IFERROR(IF(A49="","",SUM('Asset Allocation'!I49)),0)</f>
        <v/>
      </c>
      <c r="E49" s="6" t="str">
        <f>IFERROR(IF(A49="","",SUM('Asset Allocation'!G49)),0)</f>
        <v/>
      </c>
      <c r="F49" s="6" t="str">
        <f>IFERROR(IF(A49="","",SUM('Asset Allocation'!J49,'Asset Allocation'!N49)),0)</f>
        <v/>
      </c>
      <c r="G49" s="6" t="str">
        <f>IFERROR(IF(A49="","",SUM('Asset Allocation'!H49,'Asset Allocation'!K49,'Asset Allocation'!L49,'Asset Allocation'!M49)),0)</f>
        <v/>
      </c>
      <c r="H49" s="6"/>
    </row>
    <row r="50" spans="1:8" x14ac:dyDescent="0.25">
      <c r="A50" t="str">
        <f>IF(Input!A51="","",Input!A51)</f>
        <v/>
      </c>
      <c r="B50" s="6" t="str">
        <f>IFERROR(IF(A50="","",SUM('Asset Allocation'!F50)),0)</f>
        <v/>
      </c>
      <c r="C50" s="6" t="str">
        <f>IFERROR(IF(A50="","",SUM('Asset Allocation'!E50)),0)</f>
        <v/>
      </c>
      <c r="D50" s="6" t="str">
        <f>IFERROR(IF(A50="","",SUM('Asset Allocation'!I50)),0)</f>
        <v/>
      </c>
      <c r="E50" s="6" t="str">
        <f>IFERROR(IF(A50="","",SUM('Asset Allocation'!G50)),0)</f>
        <v/>
      </c>
      <c r="F50" s="6" t="str">
        <f>IFERROR(IF(A50="","",SUM('Asset Allocation'!J50,'Asset Allocation'!N50)),0)</f>
        <v/>
      </c>
      <c r="G50" s="6" t="str">
        <f>IFERROR(IF(A50="","",SUM('Asset Allocation'!H50,'Asset Allocation'!K50,'Asset Allocation'!L50,'Asset Allocation'!M50)),0)</f>
        <v/>
      </c>
      <c r="H50" s="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Thorntons Investments Cautious Model Portfolio</v>
      </c>
      <c r="H2">
        <f>IFERROR(IF(A2="","",SUM('Asset Allocation'!B2)/'Broad Asset Allocation'!C2),0)</f>
        <v>1</v>
      </c>
    </row>
    <row r="3" spans="1:8" x14ac:dyDescent="0.25">
      <c r="A3" t="str">
        <f>IF(Input!A4="","",Input!A4)</f>
        <v>Thorntons Investments Steady Model Portfolio</v>
      </c>
      <c r="H3">
        <f>IFERROR(IF(A3="","",SUM('Asset Allocation'!B3)/'Broad Asset Allocation'!C3),0)</f>
        <v>1</v>
      </c>
    </row>
    <row r="4" spans="1:8" x14ac:dyDescent="0.25">
      <c r="A4" t="str">
        <f>IF(Input!A5="","",Input!A5)</f>
        <v>Thorntons Investments Moderate Model Portfolio</v>
      </c>
      <c r="H4">
        <f>IFERROR(IF(A4="","",SUM('Asset Allocation'!B4)/'Broad Asset Allocation'!C4),0)</f>
        <v>1</v>
      </c>
    </row>
    <row r="5" spans="1:8" x14ac:dyDescent="0.25">
      <c r="A5" t="str">
        <f>IF(Input!A6="","",Input!A6)</f>
        <v>Thorntons Investments Progressive Model Portfolio</v>
      </c>
      <c r="H5">
        <f>IFERROR(IF(A5="","",SUM('Asset Allocation'!B5)/'Broad Asset Allocation'!C5),0)</f>
        <v>1</v>
      </c>
    </row>
    <row r="6" spans="1:8" x14ac:dyDescent="0.25">
      <c r="A6" t="str">
        <f>IF(Input!A7="","",Input!A7)</f>
        <v>Thorntons Investments Adventurous Model Portfolio</v>
      </c>
      <c r="H6">
        <f>IFERROR(IF(A6="","",SUM('Asset Allocation'!B6)/'Broad Asset Allocation'!C6),0)</f>
        <v>1</v>
      </c>
    </row>
    <row r="7" spans="1:8" x14ac:dyDescent="0.25">
      <c r="A7" t="str">
        <f>IF(Input!A8="","",Input!A8)</f>
        <v/>
      </c>
      <c r="H7" t="str">
        <f>IFERROR(IF(A7="","",SUM('Asset Allocation'!B7)/'Broad Asset Allocation'!C7),0)</f>
        <v/>
      </c>
    </row>
    <row r="8" spans="1:8" x14ac:dyDescent="0.25">
      <c r="A8" t="str">
        <f>IF(Input!A9="","",Input!A9)</f>
        <v/>
      </c>
      <c r="H8" t="str">
        <f>IFERROR(IF(A8="","",SUM('Asset Allocation'!B8)/'Broad Asset Allocation'!C8),0)</f>
        <v/>
      </c>
    </row>
    <row r="9" spans="1:8" x14ac:dyDescent="0.25">
      <c r="A9" t="str">
        <f>IF(Input!A10="","",Input!A10)</f>
        <v/>
      </c>
      <c r="H9" t="str">
        <f>IFERROR(IF(A9="","",SUM('Asset Allocation'!B9)/'Broad Asset Allocation'!C9),0)</f>
        <v/>
      </c>
    </row>
    <row r="10" spans="1:8" x14ac:dyDescent="0.25">
      <c r="A10" t="str">
        <f>IF(Input!A11="","",Input!A11)</f>
        <v/>
      </c>
      <c r="H10" t="str">
        <f>IFERROR(IF(A10="","",SUM('Asset Allocation'!B10)/'Broad Asset Allocation'!C10),0)</f>
        <v/>
      </c>
    </row>
    <row r="11" spans="1:8" x14ac:dyDescent="0.25">
      <c r="A11" t="str">
        <f>IF(Input!A12="","",Input!A12)</f>
        <v/>
      </c>
      <c r="H11" t="str">
        <f>IFERROR(IF(A11="","",SUM('Asset Allocation'!B11)/'Broad Asset Allocation'!C11),0)</f>
        <v/>
      </c>
    </row>
    <row r="12" spans="1:8" x14ac:dyDescent="0.25">
      <c r="A12" t="str">
        <f>IF(Input!A13="","",Input!A13)</f>
        <v/>
      </c>
      <c r="H12" t="str">
        <f>IFERROR(IF(A12="","",SUM('Asset Allocation'!B12)/'Broad Asset Allocation'!C12),0)</f>
        <v/>
      </c>
    </row>
    <row r="13" spans="1:8" x14ac:dyDescent="0.25">
      <c r="A13" t="str">
        <f>IF(Input!A14="","",Input!A14)</f>
        <v/>
      </c>
      <c r="H13" t="str">
        <f>IFERROR(IF(A13="","",SUM('Asset Allocation'!B13)/'Broad Asset Allocation'!C13),0)</f>
        <v/>
      </c>
    </row>
    <row r="14" spans="1:8" x14ac:dyDescent="0.25">
      <c r="A14" t="str">
        <f>IF(Input!A15="","",Input!A15)</f>
        <v/>
      </c>
      <c r="H14" t="str">
        <f>IFERROR(IF(A14="","",SUM('Asset Allocation'!B14)/'Broad Asset Allocation'!C14),0)</f>
        <v/>
      </c>
    </row>
    <row r="15" spans="1:8" x14ac:dyDescent="0.25">
      <c r="A15" t="str">
        <f>IF(Input!A16="","",Input!A16)</f>
        <v/>
      </c>
      <c r="H15" t="str">
        <f>IFERROR(IF(A15="","",SUM('Asset Allocation'!B15)/'Broad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Allocation'!B16)/'Broad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Allocation'!B17)/'Broad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Allocation'!B18)/'Broad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Allocation'!B19)/'Broad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Allocation'!B20)/'Broad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Allocation'!B21)/'Broad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Allocation'!B22)/'Broad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Allocation'!B23)/'Broad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Allocation'!B24)/'Broad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Allocation'!B25)/'Broad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Allocation'!B26)/'Broad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Allocation'!B27)/'Broad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Allocation'!B28)/'Broad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Allocation'!B29)/'Broad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Allocation'!B30)/'Broad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Allocation'!B31)/'Broad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Allocation'!B32)/'Broad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Allocation'!B33)/'Broad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Allocation'!B34)/'Broad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Allocation'!B35)/'Broad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Allocation'!B36)/'Broad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Allocation'!B37)/'Broad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Allocation'!B38)/'Broad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Allocation'!B39)/'Broad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Allocation'!B40)/'Broad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Allocation'!B41)/'Broad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Allocation'!B42)/'Broad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Allocation'!B43)/'Broad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Allocation'!B44)/'Broad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Allocation'!B45)/'Broad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Allocation'!B46)/'Broad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Allocation'!B47)/'Broad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Allocation'!B48)/'Broad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Allocation'!B49)/'Broad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Allocation'!B50)/'Broad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7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Thorntons Investments Cautious Model Portfolio</v>
      </c>
      <c r="C1" s="1" t="str">
        <v>Thorntons Investments Steady Model Portfolio</v>
      </c>
      <c r="D1" t="str">
        <v>Thorntons Investments Moderate Model Portfolio</v>
      </c>
      <c r="E1" t="str">
        <v>Thorntons Investments Progressive Model Portfolio</v>
      </c>
      <c r="F1" t="str">
        <v>Thorntons Investments Adventurous Model Portfolio</v>
      </c>
      <c r="G1" t="str">
        <v/>
      </c>
      <c r="H1" t="str">
        <v/>
      </c>
      <c r="I1" t="str">
        <v/>
      </c>
      <c r="J1" t="str">
        <v/>
      </c>
      <c r="K1" t="str">
        <v/>
      </c>
      <c r="L1" t="str">
        <v/>
      </c>
      <c r="M1" t="str">
        <v/>
      </c>
      <c r="N1" t="str">
        <v/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  <row r="7" spans="1:50" x14ac:dyDescent="0.25">
      <c r="A7" s="1"/>
    </row>
  </sheetData>
  <sortState ref="A2:AX7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2023-10-18T19:18:48Z</dcterms:modified>
</cp:coreProperties>
</file>