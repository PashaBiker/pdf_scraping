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horntons Investments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<sst xmlns="http://schemas.openxmlformats.org/spreadsheetml/2006/main" count="63" uniqueCount="55">
  <si>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</si>
  <si>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</si>
  <si>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</si>
  <si>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</si>
  <si>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</si>
  <si>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</si>
  <si>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</si>
  <si>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</si>
  <si>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</si>
  <si>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</si>
  <si>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</si>
  <si>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</si>
  <si>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</si>
  <si>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</si>
  <si>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</si>
  <si>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</si>
  <si>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</si>
  <si>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</si>
  <si>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</si>
  <si>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</si>
  <si>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</si>
  <si>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</si>
  <si>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</si>
  <si>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</si>
  <si>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</si>
  <si>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</si>
  <si>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</si>
  <si>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</si>
  <si>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</si>
  <si>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</si>
  <si>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</si>
  <si>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</si>
  <si>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Other</t>
  </si>
  <si>
    <t>Thorntons Investments Cautious Model Portfolio</t>
  </si>
  <si>
    <t>Thorntons Investments Steady Model Portfolio</t>
  </si>
  <si>
    <t>Thorntons Investments Moderate Model Portfolio</t>
  </si>
  <si>
    <t>Thorntons Investments Progressive Model Portfolio</t>
  </si>
  <si>
    <t>Thorntons Investments Adventurous Model Portfolio</t>
  </si>
  <si>
    <t>https://thorntons-investments.co.uk/for-financial-advisers/managed-portfolio-service/charges-and-factsheets/</t>
  </si>
  <si>
    <t>International Equities</t>
  </si>
  <si>
    <t>UK Equities</t>
  </si>
  <si>
    <t>Property</t>
  </si>
  <si>
    <t>Estimated OCF of model</t>
  </si>
  <si>
    <t>Investment fee</t>
  </si>
  <si>
    <t>1 year</t>
  </si>
  <si>
    <t>Cautious MPS Quarterly Investor</t>
  </si>
  <si>
    <t>Steady MPS Quarterly Investor</t>
  </si>
  <si>
    <t>Moderate MPS Quarterly Investor</t>
  </si>
  <si>
    <t>Progressive MPS Quarterly Investor</t>
  </si>
  <si>
    <t>Adventurous MPS Quarterly Investor</t>
  </si>
  <si>
    <t>https://thorntons-investments.co.uk/wp-content/uploads/2023/07/Thorntons-Cautious-Factsheet-Q2-2023.pdf</t>
  </si>
  <si>
    <t>https://thorntons-investments.co.uk/wp-content/uploads/2023/07/Thorntons-Steady-Factsheet-Q2-2023.pdf</t>
  </si>
  <si>
    <t>https://thorntons-investments.co.uk/wp-content/uploads/2023/07/Thorntons-Moderate-Factsheet-Q2-2023.pdf</t>
  </si>
  <si>
    <t>https://thorntons-investments.co.uk/wp-content/uploads/2023/07/Thorntons-Progressive-Factsheet-Q2-2023.pdf</t>
  </si>
  <si>
    <t>https://thorntons-investments.co.uk/wp-content/uploads/2023/07/Thorntons-Adventurous-Factsheet-Q2-2023.pdf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</si>
</sst>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5</xdr:col>
      <xdr:colOff>299715</xdr:colOff>
      <xdr:row>13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F47A0F-455F-F930-F93C-AC145C2E2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347715" cy="2228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4</xdr:col>
      <xdr:colOff>311291</xdr:colOff>
      <xdr:row>24</xdr:row>
      <xdr:rowOff>152512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5EB657-3EC1-45E1-F260-12967EB32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93950"/>
          <a:ext cx="2749691" cy="21781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228737</xdr:colOff>
      <xdr:row>17</xdr:row>
      <xdr:rowOff>165260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5ECE680-C502-6175-ACA3-BB518B614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2667137" cy="3111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7" sqref="G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8" sqref="B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https://thorntons-investments.co.uk/wp-content/uploads/2023/07/Thorntons-Cautious-Factsheet-Q2-2023.pdf</v>
      </c>
      <c r="J3" s="4"/>
    </row>
    <row r="4" spans="1:10" x14ac:dyDescent="0.25">
      <c r="A4" t="s">
        <v>34</v>
      </c>
      <c r="B4" t="str">
        <f>'PDF Scraping'!D3</f>
        <v>https://thorntons-investments.co.uk/wp-content/uploads/2023/07/Thorntons-Steady-Factsheet-Q2-2023.pdf</v>
      </c>
      <c r="J4" s="4"/>
    </row>
    <row r="5" spans="1:10" x14ac:dyDescent="0.25">
      <c r="A5" t="s">
        <v>35</v>
      </c>
      <c r="B5" t="str">
        <f>'PDF Scraping'!D4</f>
        <v>https://thorntons-investments.co.uk/wp-content/uploads/2023/07/Thorntons-Moderate-Factsheet-Q2-2023.pdf</v>
      </c>
    </row>
    <row r="6" spans="1:10" x14ac:dyDescent="0.25">
      <c r="A6" t="s">
        <v>36</v>
      </c>
      <c r="B6" t="str">
        <f>'PDF Scraping'!D5</f>
        <v>https://thorntons-investments.co.uk/wp-content/uploads/2023/07/Thorntons-Progressive-Factsheet-Q2-2023.pdf</v>
      </c>
    </row>
    <row r="7" spans="1:10" x14ac:dyDescent="0.25">
      <c r="A7" t="s">
        <v>37</v>
      </c>
      <c r="B7" t="str">
        <f>'PDF Scraping'!D6</f>
        <v>https://thorntons-investments.co.uk/wp-content/uploads/2023/07/Thorntons-Adventurous-Factsheet-Q2-2023.pdf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/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42</v>
      </c>
      <c r="D1" t="s">
        <v>43</v>
      </c>
      <c r="E1" t="s">
        <v>44</v>
      </c>
    </row>
    <row r="2" spans="1:6" x14ac:dyDescent="0.25">
      <c r="A2" t="str">
        <f>IF(Input!A3="","",Input!A3)</f>
        <v>Thorntons Investments Cautious Model Portfolio</v>
      </c>
      <c r="B2" s="1">
        <v>45107</v>
      </c>
      <c r="C2" s="5">
        <v>5.6000000000000008E-3</v>
      </c>
      <c r="D2" s="5">
        <v>2E-3</v>
      </c>
      <c r="E2" s="5">
        <v>-2.3E-2</v>
      </c>
      <c r="F2" s="5"/>
    </row>
    <row r="3" spans="1:6" x14ac:dyDescent="0.25">
      <c r="A3" t="str">
        <f>IF(Input!A4="","",Input!A4)</f>
        <v>Thorntons Investments Steady Model Portfolio</v>
      </c>
      <c r="B3" s="1">
        <v>45107</v>
      </c>
      <c r="C3" s="5">
        <v>5.3E-3</v>
      </c>
      <c r="D3" s="5">
        <v>2E-3</v>
      </c>
      <c r="E3" s="5">
        <v>2E-3</v>
      </c>
      <c r="F3" s="5"/>
    </row>
    <row r="4" spans="1:6" x14ac:dyDescent="0.25">
      <c r="A4" t="str">
        <f>IF(Input!A5="","",Input!A5)</f>
        <v>Thorntons Investments Moderate Model Portfolio</v>
      </c>
      <c r="B4" s="1">
        <v>45107</v>
      </c>
      <c r="C4" s="5">
        <v>4.4000000000000003E-3</v>
      </c>
      <c r="D4" s="5">
        <v>2E-3</v>
      </c>
      <c r="E4" s="5">
        <v>2.8999999999999998E-2</v>
      </c>
      <c r="F4" s="5"/>
    </row>
    <row r="5" spans="1:6" x14ac:dyDescent="0.25">
      <c r="A5" t="str">
        <f>IF(Input!A6="","",Input!A6)</f>
        <v>Thorntons Investments Progressive Model Portfolio</v>
      </c>
      <c r="B5" s="1">
        <v>45107</v>
      </c>
      <c r="C5" s="5">
        <v>4.5999999999999999E-3</v>
      </c>
      <c r="D5" s="5">
        <v>2E-3</v>
      </c>
      <c r="E5" s="5">
        <v>4.5999999999999999E-2</v>
      </c>
      <c r="F5" s="5"/>
    </row>
    <row r="6" spans="1:6" x14ac:dyDescent="0.25">
      <c r="A6" t="str">
        <f>IF(Input!A7="","",Input!A7)</f>
        <v>Thorntons Investments Adventurous Model Portfolio</v>
      </c>
      <c r="B6" s="1">
        <v>45107</v>
      </c>
      <c r="C6" s="5">
        <v>4.4000000000000003E-3</v>
      </c>
      <c r="D6" s="5">
        <v>2E-3</v>
      </c>
      <c r="E6" s="5">
        <v>6.4000000000000001E-2</v>
      </c>
      <c r="F6" s="5"/>
    </row>
    <row r="7" spans="1:6" x14ac:dyDescent="0.25">
      <c r="A7" t="str">
        <f>IF(Input!A8="","",Input!A8)</f>
        <v/>
      </c>
      <c r="B7" s="1"/>
      <c r="C7" s="5"/>
      <c r="D7" s="5"/>
      <c r="E7" s="5"/>
      <c r="F7" s="5"/>
    </row>
    <row r="8" spans="1:6" x14ac:dyDescent="0.25">
      <c r="A8" t="str">
        <f>IF(Input!A9="","",Input!A9)</f>
        <v/>
      </c>
      <c r="B8" s="1"/>
      <c r="C8" s="5"/>
      <c r="D8" s="5"/>
      <c r="E8" s="5"/>
      <c r="F8" s="5"/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G6"/>
    </sheetView>
  </sheetViews>
  <sheetFormatPr defaultRowHeight="15" x14ac:dyDescent="0.25"/>
  <cols>
    <col min="1" max="1" width="45.42578125" bestFit="1" customWidth="1"/>
    <col min="2" max="2" width="18.85546875" bestFit="1" customWidth="1"/>
    <col min="3" max="3" width="7.140625" bestFit="1" customWidth="1"/>
    <col min="4" max="4" width="10.140625" bestFit="1" customWidth="1"/>
    <col min="5" max="5" width="7.140625" bestFit="1" customWidth="1"/>
    <col min="6" max="6" width="8" bestFit="1" customWidth="1"/>
    <col min="7" max="7" width="7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39</v>
      </c>
      <c r="C1" t="s">
        <v>32</v>
      </c>
      <c r="D1" t="s">
        <v>40</v>
      </c>
      <c r="E1" t="s">
        <v>3</v>
      </c>
      <c r="F1" t="s">
        <v>41</v>
      </c>
      <c r="G1" t="s">
        <v>4</v>
      </c>
    </row>
    <row r="2" spans="1:30" x14ac:dyDescent="0.25">
      <c r="A2" t="str">
        <f>IF(Input!A3="","",Input!A3)</f>
        <v>Thorntons Investments Cautious Model Portfolio</v>
      </c>
      <c r="B2" s="5">
        <v>0.05</v>
      </c>
      <c r="C2" s="5">
        <v>0.33</v>
      </c>
      <c r="D2" s="5">
        <v>0.08</v>
      </c>
      <c r="E2" s="5">
        <v>0.28999999999999998</v>
      </c>
      <c r="F2" s="5">
        <v>0.08</v>
      </c>
      <c r="G2" s="5">
        <v>0.17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Thorntons Investments Steady Model Portfolio</v>
      </c>
      <c r="B3" s="5">
        <v>0.18</v>
      </c>
      <c r="C3" s="5">
        <v>0.34</v>
      </c>
      <c r="D3" s="5">
        <v>0.15</v>
      </c>
      <c r="E3" s="5">
        <v>0.15</v>
      </c>
      <c r="F3" s="5">
        <v>0.06</v>
      </c>
      <c r="G3" s="5">
        <v>0.12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Thorntons Investments Moderate Model Portfolio</v>
      </c>
      <c r="B4" s="5">
        <v>0.33</v>
      </c>
      <c r="C4" s="5">
        <v>0.25</v>
      </c>
      <c r="D4" s="5">
        <v>0.18</v>
      </c>
      <c r="E4" s="5">
        <v>0.12</v>
      </c>
      <c r="F4" s="5">
        <v>0.05</v>
      </c>
      <c r="G4" s="5">
        <v>7.0000000000000007E-2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Thorntons Investments Progressive Model Portfolio</v>
      </c>
      <c r="B5" s="5">
        <v>0.45</v>
      </c>
      <c r="C5" s="5">
        <v>0.19</v>
      </c>
      <c r="D5" s="5">
        <v>0.23</v>
      </c>
      <c r="E5" s="5">
        <v>0.06</v>
      </c>
      <c r="F5" s="5">
        <v>0.05</v>
      </c>
      <c r="G5" s="5">
        <v>0.02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Thorntons Investments Adventurous Model Portfolio</v>
      </c>
      <c r="B6" s="5">
        <v>0.49</v>
      </c>
      <c r="C6" s="5">
        <v>0.11</v>
      </c>
      <c r="D6" s="5">
        <v>0.35</v>
      </c>
      <c r="E6" s="5">
        <v>0.03</v>
      </c>
      <c r="F6" s="5">
        <v>0</v>
      </c>
      <c r="G6" s="5">
        <v>0.02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D8" sqref="D2:D8"/>
    </sheetView>
  </sheetViews>
  <sheetFormatPr defaultRowHeight="15" x14ac:dyDescent="0.25"/>
  <cols>
    <col min="1" max="1" width="45.42578125" bestFit="1" customWidth="1"/>
    <col min="2" max="2" width="103.28515625" bestFit="1" customWidth="1"/>
    <col min="3" max="3" width="43.42578125" bestFit="1" customWidth="1"/>
    <col min="4" max="4" width="106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Thorntons Investments Cautious Model Portfolio</v>
      </c>
      <c r="B2" s="10" t="s">
        <v>38</v>
      </c>
      <c r="C2" t="s">
        <v>45</v>
      </c>
      <c r="D2" s="8" t="s">
        <v>50</v>
      </c>
    </row>
    <row r="3" spans="1:5" x14ac:dyDescent="0.25">
      <c r="A3" t="str">
        <f>IF(Input!A4="","",Input!A4)</f>
        <v>Thorntons Investments Steady Model Portfolio</v>
      </c>
      <c r="B3" s="10" t="s">
        <v>38</v>
      </c>
      <c r="C3" t="s">
        <v>46</v>
      </c>
      <c r="D3" s="8" t="s">
        <v>51</v>
      </c>
    </row>
    <row r="4" spans="1:5" x14ac:dyDescent="0.25">
      <c r="A4" t="str">
        <f>IF(Input!A5="","",Input!A5)</f>
        <v>Thorntons Investments Moderate Model Portfolio</v>
      </c>
      <c r="B4" s="10" t="s">
        <v>38</v>
      </c>
      <c r="C4" t="s">
        <v>47</v>
      </c>
      <c r="D4" s="8" t="s">
        <v>52</v>
      </c>
    </row>
    <row r="5" spans="1:5" x14ac:dyDescent="0.25">
      <c r="A5" t="str">
        <f>IF(Input!A6="","",Input!A6)</f>
        <v>Thorntons Investments Progressive Model Portfolio</v>
      </c>
      <c r="B5" s="10" t="s">
        <v>38</v>
      </c>
      <c r="C5" t="s">
        <v>48</v>
      </c>
      <c r="D5" s="8" t="s">
        <v>53</v>
      </c>
    </row>
    <row r="6" spans="1:5" x14ac:dyDescent="0.25">
      <c r="A6" t="str">
        <f>IF(Input!A7="","",Input!A7)</f>
        <v>Thorntons Investments Adventurous Model Portfolio</v>
      </c>
      <c r="B6" s="10" t="s">
        <v>38</v>
      </c>
      <c r="C6" t="s">
        <v>49</v>
      </c>
      <c r="D6" s="8" t="s">
        <v>54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Thorntons Investments Cautious Model Portfolio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Thorntons Investments Steady Model Portfolio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Thorntons Investments Moderate Model Portfolio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Thorntons Investments Progressive Model Portfolio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Thorntons Investments Adventurous Model Portfolio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Thorntons Investments Cautious Model Portfolio</v>
      </c>
      <c r="B2">
        <f>IF(A2="","",'Additional Information'!F2)</f>
        <v>0</v>
      </c>
      <c r="C2">
        <f>IF(A2="","",'Additional Information'!E2)</f>
        <v>-2.3E-2</v>
      </c>
      <c r="D2" s="5">
        <f>IF(A2="","",SUM('Additional Information'!C2,'Additional Information'!D2))</f>
        <v>7.6000000000000009E-3</v>
      </c>
    </row>
    <row r="3" spans="1:4" x14ac:dyDescent="0.25">
      <c r="A3" t="str">
        <f>IF(Input!A4="","",Input!A4)</f>
        <v>Thorntons Investments Steady Model Portfolio</v>
      </c>
      <c r="B3">
        <f>IF(A3="","",'Additional Information'!F3)</f>
        <v>0</v>
      </c>
      <c r="C3">
        <f>IF(A3="","",'Additional Information'!E3)</f>
        <v>2E-3</v>
      </c>
      <c r="D3" s="5">
        <f>IF(A3="","",SUM('Additional Information'!C3,'Additional Information'!D3))</f>
        <v>7.3000000000000001E-3</v>
      </c>
    </row>
    <row r="4" spans="1:4" x14ac:dyDescent="0.25">
      <c r="A4" t="str">
        <f>IF(Input!A5="","",Input!A5)</f>
        <v>Thorntons Investments Moderate Model Portfolio</v>
      </c>
      <c r="B4">
        <f>IF(A4="","",'Additional Information'!F4)</f>
        <v>0</v>
      </c>
      <c r="C4">
        <f>IF(A4="","",'Additional Information'!E4)</f>
        <v>2.8999999999999998E-2</v>
      </c>
      <c r="D4" s="5">
        <f>IF(A4="","",SUM('Additional Information'!C4,'Additional Information'!D4))</f>
        <v>6.4000000000000003E-3</v>
      </c>
    </row>
    <row r="5" spans="1:4" x14ac:dyDescent="0.25">
      <c r="A5" t="str">
        <f>IF(Input!A6="","",Input!A6)</f>
        <v>Thorntons Investments Progressive Model Portfolio</v>
      </c>
      <c r="B5">
        <f>IF(A5="","",'Additional Information'!F5)</f>
        <v>0</v>
      </c>
      <c r="C5">
        <f>IF(A5="","",'Additional Information'!E5)</f>
        <v>4.5999999999999999E-2</v>
      </c>
      <c r="D5" s="5">
        <f>IF(A5="","",SUM('Additional Information'!C5,'Additional Information'!D5))</f>
        <v>6.6E-3</v>
      </c>
    </row>
    <row r="6" spans="1:4" x14ac:dyDescent="0.25">
      <c r="A6" t="str">
        <f>IF(Input!A7="","",Input!A7)</f>
        <v>Thorntons Investments Adventurous Model Portfolio</v>
      </c>
      <c r="B6">
        <f>IF(A6="","",'Additional Information'!F6)</f>
        <v>0</v>
      </c>
      <c r="C6">
        <f>IF(A6="","",'Additional Information'!E6)</f>
        <v>6.4000000000000001E-2</v>
      </c>
      <c r="D6" s="5">
        <f>IF(A6="","",SUM('Additional Information'!C6,'Additional Information'!D6))</f>
        <v>6.4000000000000003E-3</v>
      </c>
    </row>
    <row r="7" spans="1:4" x14ac:dyDescent="0.25">
      <c r="A7" t="str">
        <f>IF(Input!A8="","",Input!A8)</f>
        <v/>
      </c>
      <c r="B7" t="str">
        <f>IF(A7="","",'Additional Information'!F7)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</row>
    <row r="8" spans="1:4" x14ac:dyDescent="0.25">
      <c r="A8" t="str">
        <f>IF(Input!A9="","",Input!A9)</f>
        <v/>
      </c>
      <c r="B8" t="str">
        <f>IF(A8="","",'Additional Information'!F8)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Thorntons Investments Cautious Model Portfolio</v>
      </c>
      <c r="B2">
        <f>IF(A2="","",SUM('Asset Allocation'!C2))</f>
        <v>0.33</v>
      </c>
      <c r="C2">
        <f>IF(A2="","",SUM('Asset Allocation'!B2))</f>
        <v>0.05</v>
      </c>
      <c r="G2">
        <f>IF(A2="","",SUM('Asset Allocation'!D2))</f>
        <v>0.08</v>
      </c>
      <c r="H2">
        <f t="shared" ref="H2:H50" si="0">IF(A2="","",1-SUM(B2:G2))</f>
        <v>0.54</v>
      </c>
    </row>
    <row r="3" spans="1:8" x14ac:dyDescent="0.25">
      <c r="A3" t="str">
        <f>IF(Input!A4="","",Input!A4)</f>
        <v>Thorntons Investments Steady Model Portfolio</v>
      </c>
      <c r="B3">
        <f>IF(A3="","",SUM('Asset Allocation'!C3))</f>
        <v>0.34</v>
      </c>
      <c r="C3">
        <f>IF(A3="","",SUM('Asset Allocation'!B3))</f>
        <v>0.18</v>
      </c>
      <c r="G3">
        <f>IF(A3="","",SUM('Asset Allocation'!D3))</f>
        <v>0.15</v>
      </c>
      <c r="H3">
        <f t="shared" si="0"/>
        <v>0.32999999999999996</v>
      </c>
    </row>
    <row r="4" spans="1:8" x14ac:dyDescent="0.25">
      <c r="A4" t="str">
        <f>IF(Input!A5="","",Input!A5)</f>
        <v>Thorntons Investments Moderate Model Portfolio</v>
      </c>
      <c r="B4">
        <f>IF(A4="","",SUM('Asset Allocation'!C4))</f>
        <v>0.25</v>
      </c>
      <c r="C4">
        <f>IF(A4="","",SUM('Asset Allocation'!B4))</f>
        <v>0.33</v>
      </c>
      <c r="G4">
        <f>IF(A4="","",SUM('Asset Allocation'!D4))</f>
        <v>0.18</v>
      </c>
      <c r="H4">
        <f t="shared" si="0"/>
        <v>0.24</v>
      </c>
    </row>
    <row r="5" spans="1:8" x14ac:dyDescent="0.25">
      <c r="A5" t="str">
        <f>IF(Input!A6="","",Input!A6)</f>
        <v>Thorntons Investments Progressive Model Portfolio</v>
      </c>
      <c r="B5">
        <f>IF(A5="","",SUM('Asset Allocation'!C5))</f>
        <v>0.19</v>
      </c>
      <c r="C5">
        <f>IF(A5="","",SUM('Asset Allocation'!B5))</f>
        <v>0.45</v>
      </c>
      <c r="G5">
        <f>IF(A5="","",SUM('Asset Allocation'!D5))</f>
        <v>0.23</v>
      </c>
      <c r="H5">
        <f t="shared" si="0"/>
        <v>0.13</v>
      </c>
    </row>
    <row r="6" spans="1:8" x14ac:dyDescent="0.25">
      <c r="A6" t="str">
        <f>IF(Input!A7="","",Input!A7)</f>
        <v>Thorntons Investments Adventurous Model Portfolio</v>
      </c>
      <c r="B6">
        <f>IF(A6="","",SUM('Asset Allocation'!C6))</f>
        <v>0.11</v>
      </c>
      <c r="C6">
        <f>IF(A6="","",SUM('Asset Allocation'!B6))</f>
        <v>0.49</v>
      </c>
      <c r="G6">
        <f>IF(A6="","",SUM('Asset Allocation'!D6))</f>
        <v>0.35</v>
      </c>
      <c r="H6">
        <f t="shared" si="0"/>
        <v>5.0000000000000044E-2</v>
      </c>
    </row>
    <row r="7" spans="1:8" x14ac:dyDescent="0.25">
      <c r="A7" t="str">
        <f>IF(Input!A8="","",Input!A8)</f>
        <v/>
      </c>
      <c r="B7" t="str">
        <f>IF(A7="","",SUM('Asset Allocation'!C7))</f>
        <v/>
      </c>
      <c r="C7" t="str">
        <f>IF(A7="","",SUM('Asset Allocation'!B7))</f>
        <v/>
      </c>
      <c r="G7" t="str">
        <f>IF(A7="","",SUM('Asset Allocation'!D7))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Allocation'!C8))</f>
        <v/>
      </c>
      <c r="C8" t="str">
        <f>IF(A8="","",SUM('Asset Allocation'!B8))</f>
        <v/>
      </c>
      <c r="G8" t="str">
        <f>IF(A8="","",SUM('Asset Allocation'!D8))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Thorntons Investments Cautious Model Portfolio</v>
      </c>
      <c r="B2" s="6">
        <f>IFERROR(IF(A2="","",SUM('Asset Allocation'!F2)),0)</f>
        <v>0.08</v>
      </c>
      <c r="C2" s="6">
        <f>IFERROR(IF(A2="","",SUM('Asset Allocation'!E2)),0)</f>
        <v>0.28999999999999998</v>
      </c>
      <c r="D2" s="6">
        <f>IFERROR(IF(A2="","",SUM('Asset Allocation'!I2)),0)</f>
        <v>0</v>
      </c>
      <c r="E2" s="6">
        <f>IFERROR(IF(A2="","",SUM('Asset Allocation'!G2)),0)</f>
        <v>0.17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Thorntons Investments Steady Model Portfolio</v>
      </c>
      <c r="B3" s="6">
        <f>IFERROR(IF(A3="","",SUM('Asset Allocation'!F3)),0)</f>
        <v>0.06</v>
      </c>
      <c r="C3" s="6">
        <f>IFERROR(IF(A3="","",SUM('Asset Allocation'!E3)),0)</f>
        <v>0.15</v>
      </c>
      <c r="D3" s="6">
        <f>IFERROR(IF(A3="","",SUM('Asset Allocation'!I3)),0)</f>
        <v>0</v>
      </c>
      <c r="E3" s="6">
        <f>IFERROR(IF(A3="","",SUM('Asset Allocation'!G3)),0)</f>
        <v>0.12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Thorntons Investments Moderate Model Portfolio</v>
      </c>
      <c r="B4" s="6">
        <f>IFERROR(IF(A4="","",SUM('Asset Allocation'!F4)),0)</f>
        <v>0.05</v>
      </c>
      <c r="C4" s="6">
        <f>IFERROR(IF(A4="","",SUM('Asset Allocation'!E4)),0)</f>
        <v>0.12</v>
      </c>
      <c r="D4" s="6">
        <f>IFERROR(IF(A4="","",SUM('Asset Allocation'!I4)),0)</f>
        <v>0</v>
      </c>
      <c r="E4" s="6">
        <f>IFERROR(IF(A4="","",SUM('Asset Allocation'!G4)),0)</f>
        <v>7.0000000000000007E-2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Thorntons Investments Progressive Model Portfolio</v>
      </c>
      <c r="B5" s="6">
        <f>IFERROR(IF(A5="","",SUM('Asset Allocation'!F5)),0)</f>
        <v>0.05</v>
      </c>
      <c r="C5" s="6">
        <f>IFERROR(IF(A5="","",SUM('Asset Allocation'!E5)),0)</f>
        <v>0.06</v>
      </c>
      <c r="D5" s="6">
        <f>IFERROR(IF(A5="","",SUM('Asset Allocation'!I5)),0)</f>
        <v>0</v>
      </c>
      <c r="E5" s="6">
        <f>IFERROR(IF(A5="","",SUM('Asset Allocation'!G5)),0)</f>
        <v>0.02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Thorntons Investments Adventurous Model Portfolio</v>
      </c>
      <c r="B6" s="6">
        <f>IFERROR(IF(A6="","",SUM('Asset Allocation'!F6)),0)</f>
        <v>0</v>
      </c>
      <c r="C6" s="6">
        <f>IFERROR(IF(A6="","",SUM('Asset Allocation'!E6)),0)</f>
        <v>0.03</v>
      </c>
      <c r="D6" s="6">
        <f>IFERROR(IF(A6="","",SUM('Asset Allocation'!I6)),0)</f>
        <v>0</v>
      </c>
      <c r="E6" s="6">
        <f>IFERROR(IF(A6="","",SUM('Asset Allocation'!G6)),0)</f>
        <v>0.02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/>
      </c>
      <c r="B7" s="6" t="str">
        <f>IFERROR(IF(A7="","",SUM('Asset Allocation'!F7)),0)</f>
        <v/>
      </c>
      <c r="C7" s="6" t="str">
        <f>IFERROR(IF(A7="","",SUM('Asset Allocation'!E7)),0)</f>
        <v/>
      </c>
      <c r="D7" s="6" t="str">
        <f>IFERROR(IF(A7="","",SUM('Asset Allocation'!I7)),0)</f>
        <v/>
      </c>
      <c r="E7" s="6" t="str">
        <f>IFERROR(IF(A7="","",SUM('Asset Allocation'!G7)),0)</f>
        <v/>
      </c>
      <c r="F7" s="6" t="str">
        <f>IFERROR(IF(A7="","",SUM('Asset Allocation'!J7,'Asset Allocation'!N7)),0)</f>
        <v/>
      </c>
      <c r="G7" s="6" t="str">
        <f>IFERROR(IF(A7="","",SUM('Asset Allocation'!H7,'Asset Allocation'!K7,'Asset Allocation'!L7,'Asset Allocation'!M7)),0)</f>
        <v/>
      </c>
      <c r="H7" s="6"/>
    </row>
    <row r="8" spans="1:8" x14ac:dyDescent="0.25">
      <c r="A8" t="str">
        <f>IF(Input!A9="","",Input!A9)</f>
        <v/>
      </c>
      <c r="B8" s="6" t="str">
        <f>IFERROR(IF(A8="","",SUM('Asset Allocation'!F8)),0)</f>
        <v/>
      </c>
      <c r="C8" s="6" t="str">
        <f>IFERROR(IF(A8="","",SUM('Asset Allocation'!E8)),0)</f>
        <v/>
      </c>
      <c r="D8" s="6" t="str">
        <f>IFERROR(IF(A8="","",SUM('Asset Allocation'!I8)),0)</f>
        <v/>
      </c>
      <c r="E8" s="6" t="str">
        <f>IFERROR(IF(A8="","",SUM('Asset Allocation'!G8)),0)</f>
        <v/>
      </c>
      <c r="F8" s="6" t="str">
        <f>IFERROR(IF(A8="","",SUM('Asset Allocation'!J8,'Asset Allocation'!N8)),0)</f>
        <v/>
      </c>
      <c r="G8" s="6" t="str">
        <f>IFERROR(IF(A8="","",SUM('Asset Allocation'!H8,'Asset Allocation'!K8,'Asset Allocation'!L8,'Asset Allocation'!M8)),0)</f>
        <v/>
      </c>
      <c r="H8" s="6"/>
    </row>
    <row r="9" spans="1:8" x14ac:dyDescent="0.25">
      <c r="A9" t="str">
        <f>IF(Input!A10="","",Input!A10)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Thorntons Investments Cautious Model Portfolio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Thorntons Investments Steady Model Portfolio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Thorntons Investments Moderate Model Portfolio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Thorntons Investments Progressive Model Portfolio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Thorntons Investments Adventurous Model Portfolio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/>
      </c>
      <c r="H7" t="str">
        <f>IFERROR(IF(A7="","",SUM('Asset Allocation'!B7)/'Broad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Allocation'!B8)/'Broad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2023-08-27T11:50:02Z</dcterms:modified>
</cp:coreProperties>
</file>