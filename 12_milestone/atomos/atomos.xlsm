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Schroder\"/>
    </mc:Choice>
  </mc:AlternateContent>
  <bookViews>
    <workbookView xWindow="2280" yWindow="2280" windowWidth="14400" windowHeight="727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8" i="8" l="1"/>
  <c r="E28" i="8"/>
  <c r="D28" i="8"/>
  <c r="D29" i="8"/>
  <c r="B29" i="8"/>
  <c r="E29" i="8"/>
  <c r="D37" i="8"/>
  <c r="E37" i="8"/>
  <c r="B37" i="8"/>
  <c r="D45" i="8"/>
  <c r="E45" i="8"/>
  <c r="B45" i="8"/>
  <c r="D30" i="8"/>
  <c r="B30" i="8"/>
  <c r="E30" i="8"/>
  <c r="B38" i="8"/>
  <c r="D38" i="8"/>
  <c r="E38" i="8"/>
  <c r="D46" i="8"/>
  <c r="B46" i="8"/>
  <c r="E46" i="8"/>
  <c r="E31" i="8"/>
  <c r="D31" i="8"/>
  <c r="B31" i="8"/>
  <c r="D39" i="8"/>
  <c r="B39" i="8"/>
  <c r="E39" i="8"/>
  <c r="E47" i="8"/>
  <c r="B47" i="8"/>
  <c r="D47" i="8"/>
  <c r="B24" i="8"/>
  <c r="D24" i="8"/>
  <c r="E24" i="8"/>
  <c r="B32" i="8"/>
  <c r="D32" i="8"/>
  <c r="E32" i="8"/>
  <c r="B40" i="8"/>
  <c r="D40" i="8"/>
  <c r="E40" i="8"/>
  <c r="B48" i="8"/>
  <c r="D48" i="8"/>
  <c r="E48" i="8"/>
  <c r="B36" i="8"/>
  <c r="D36" i="8"/>
  <c r="E36" i="8"/>
  <c r="B25" i="8"/>
  <c r="D25" i="8"/>
  <c r="E25" i="8"/>
  <c r="B33" i="8"/>
  <c r="D33" i="8"/>
  <c r="E33" i="8"/>
  <c r="B41" i="8"/>
  <c r="D41" i="8"/>
  <c r="E41" i="8"/>
  <c r="B49" i="8"/>
  <c r="D49" i="8"/>
  <c r="E49" i="8"/>
  <c r="E26" i="8"/>
  <c r="B26" i="8"/>
  <c r="D26" i="8"/>
  <c r="E34" i="8"/>
  <c r="B34" i="8"/>
  <c r="D34" i="8"/>
  <c r="E42" i="8"/>
  <c r="D42" i="8"/>
  <c r="B42" i="8"/>
  <c r="E50" i="8"/>
  <c r="B50" i="8"/>
  <c r="D50" i="8"/>
  <c r="B44" i="8"/>
  <c r="E44" i="8"/>
  <c r="D44" i="8"/>
  <c r="B27" i="8"/>
  <c r="E27" i="8"/>
  <c r="D27" i="8"/>
  <c r="E35" i="8"/>
  <c r="B35" i="8"/>
  <c r="D35" i="8"/>
  <c r="B43" i="8"/>
  <c r="E43" i="8"/>
  <c r="D43" i="8"/>
  <c r="F29" i="7"/>
  <c r="H29" i="7"/>
  <c r="B29" i="7"/>
  <c r="C29" i="7"/>
  <c r="D29" i="7"/>
  <c r="E29" i="7"/>
  <c r="G29" i="7"/>
  <c r="F37" i="7"/>
  <c r="G37" i="7"/>
  <c r="H37" i="7"/>
  <c r="B37" i="7"/>
  <c r="C37" i="7"/>
  <c r="D37" i="7"/>
  <c r="E37" i="7"/>
  <c r="F45" i="7"/>
  <c r="B45" i="7"/>
  <c r="H45" i="7"/>
  <c r="C45" i="7"/>
  <c r="D45" i="7"/>
  <c r="E45" i="7"/>
  <c r="G45" i="7"/>
  <c r="G30" i="7"/>
  <c r="B30" i="7"/>
  <c r="C30" i="7"/>
  <c r="D30" i="7"/>
  <c r="F30" i="7"/>
  <c r="H30" i="7"/>
  <c r="E30" i="7"/>
  <c r="G38" i="7"/>
  <c r="C38" i="7"/>
  <c r="B38" i="7"/>
  <c r="D38" i="7"/>
  <c r="F38" i="7"/>
  <c r="H38" i="7"/>
  <c r="E38" i="7"/>
  <c r="G46" i="7"/>
  <c r="B46" i="7"/>
  <c r="D46" i="7"/>
  <c r="F46" i="7"/>
  <c r="H46" i="7"/>
  <c r="E46" i="7"/>
  <c r="C46" i="7"/>
  <c r="H31" i="7"/>
  <c r="D31" i="7"/>
  <c r="B31" i="7"/>
  <c r="C31" i="7"/>
  <c r="E31" i="7"/>
  <c r="F31" i="7"/>
  <c r="G31" i="7"/>
  <c r="H39" i="7"/>
  <c r="B39" i="7"/>
  <c r="C39" i="7"/>
  <c r="E39" i="7"/>
  <c r="G39" i="7"/>
  <c r="D39" i="7"/>
  <c r="F39" i="7"/>
  <c r="H47" i="7"/>
  <c r="B47" i="7"/>
  <c r="C47" i="7"/>
  <c r="D47" i="7"/>
  <c r="E47" i="7"/>
  <c r="F47" i="7"/>
  <c r="G47" i="7"/>
  <c r="B24" i="7"/>
  <c r="C24" i="7"/>
  <c r="D24" i="7"/>
  <c r="E24" i="7"/>
  <c r="F24" i="7"/>
  <c r="H24" i="7"/>
  <c r="G24" i="7"/>
  <c r="C32" i="7"/>
  <c r="D32" i="7"/>
  <c r="F32" i="7"/>
  <c r="H32" i="7"/>
  <c r="G32" i="7"/>
  <c r="B32" i="7"/>
  <c r="E32" i="7"/>
  <c r="C40" i="7"/>
  <c r="D40" i="7"/>
  <c r="F40" i="7"/>
  <c r="G40" i="7"/>
  <c r="H40" i="7"/>
  <c r="B40" i="7"/>
  <c r="E40" i="7"/>
  <c r="C48" i="7"/>
  <c r="D48" i="7"/>
  <c r="E48" i="7"/>
  <c r="F48" i="7"/>
  <c r="H48" i="7"/>
  <c r="G48" i="7"/>
  <c r="B48" i="7"/>
  <c r="B25" i="7"/>
  <c r="D25" i="7"/>
  <c r="E25" i="7"/>
  <c r="F25" i="7"/>
  <c r="G25" i="7"/>
  <c r="H25" i="7"/>
  <c r="C25" i="7"/>
  <c r="B33" i="7"/>
  <c r="D33" i="7"/>
  <c r="E33" i="7"/>
  <c r="F33" i="7"/>
  <c r="G33" i="7"/>
  <c r="C33" i="7"/>
  <c r="H33" i="7"/>
  <c r="B41" i="7"/>
  <c r="D41" i="7"/>
  <c r="E41" i="7"/>
  <c r="F41" i="7"/>
  <c r="G41" i="7"/>
  <c r="C41" i="7"/>
  <c r="H41" i="7"/>
  <c r="B49" i="7"/>
  <c r="C49" i="7"/>
  <c r="F49" i="7"/>
  <c r="D49" i="7"/>
  <c r="E49" i="7"/>
  <c r="G49" i="7"/>
  <c r="H49" i="7"/>
  <c r="C26" i="7"/>
  <c r="E26" i="7"/>
  <c r="F26" i="7"/>
  <c r="G26" i="7"/>
  <c r="H26" i="7"/>
  <c r="D26" i="7"/>
  <c r="B26" i="7"/>
  <c r="C34" i="7"/>
  <c r="E34" i="7"/>
  <c r="F34" i="7"/>
  <c r="H34" i="7"/>
  <c r="G34" i="7"/>
  <c r="B34" i="7"/>
  <c r="D34" i="7"/>
  <c r="C42" i="7"/>
  <c r="E42" i="7"/>
  <c r="F42" i="7"/>
  <c r="G42" i="7"/>
  <c r="H42" i="7"/>
  <c r="B42" i="7"/>
  <c r="D42" i="7"/>
  <c r="C50" i="7"/>
  <c r="E50" i="7"/>
  <c r="G50" i="7"/>
  <c r="H50" i="7"/>
  <c r="D50" i="7"/>
  <c r="F50" i="7"/>
  <c r="B50" i="7"/>
  <c r="D27" i="7"/>
  <c r="E27" i="7"/>
  <c r="F27" i="7"/>
  <c r="G27" i="7"/>
  <c r="H27" i="7"/>
  <c r="C27" i="7"/>
  <c r="B27" i="7"/>
  <c r="D35" i="7"/>
  <c r="F35" i="7"/>
  <c r="G35" i="7"/>
  <c r="H35" i="7"/>
  <c r="C35" i="7"/>
  <c r="E35" i="7"/>
  <c r="B35" i="7"/>
  <c r="D43" i="7"/>
  <c r="E43" i="7"/>
  <c r="F43" i="7"/>
  <c r="G43" i="7"/>
  <c r="H43" i="7"/>
  <c r="B43" i="7"/>
  <c r="C43" i="7"/>
  <c r="E28" i="7"/>
  <c r="G28" i="7"/>
  <c r="H28" i="7"/>
  <c r="B28" i="7"/>
  <c r="F28" i="7"/>
  <c r="C28" i="7"/>
  <c r="D28" i="7"/>
  <c r="E36" i="7"/>
  <c r="G36" i="7"/>
  <c r="H36" i="7"/>
  <c r="B36" i="7"/>
  <c r="C36" i="7"/>
  <c r="D36" i="7"/>
  <c r="F36" i="7"/>
  <c r="E44" i="7"/>
  <c r="G44" i="7"/>
  <c r="H44" i="7"/>
  <c r="B44" i="7"/>
  <c r="D44" i="7"/>
  <c r="F44" i="7"/>
  <c r="C44" i="7"/>
  <c r="G19" i="4"/>
  <c r="F19" i="4"/>
  <c r="B19" i="4"/>
  <c r="C19" i="4"/>
  <c r="B28" i="4"/>
  <c r="C28" i="4"/>
  <c r="G28" i="4"/>
  <c r="F28" i="4"/>
  <c r="B25" i="4"/>
  <c r="C25" i="4"/>
  <c r="G25" i="4"/>
  <c r="F25" i="4"/>
  <c r="B33" i="4"/>
  <c r="C33" i="4"/>
  <c r="G33" i="4"/>
  <c r="F33" i="4"/>
  <c r="C2" i="4"/>
  <c r="B2" i="4"/>
  <c r="G2" i="4"/>
  <c r="F2" i="4"/>
  <c r="G10" i="4"/>
  <c r="B10" i="4"/>
  <c r="F10" i="4"/>
  <c r="C10" i="4"/>
  <c r="G26" i="4"/>
  <c r="C26" i="4"/>
  <c r="B26" i="4"/>
  <c r="F26" i="4"/>
  <c r="G50" i="4"/>
  <c r="C50" i="4"/>
  <c r="B50" i="4"/>
  <c r="F50" i="4"/>
  <c r="C35" i="4"/>
  <c r="G35" i="4"/>
  <c r="F35" i="4"/>
  <c r="B35" i="4"/>
  <c r="B12" i="4"/>
  <c r="F12" i="4"/>
  <c r="C12" i="4"/>
  <c r="G12" i="4"/>
  <c r="F36" i="4"/>
  <c r="B36" i="4"/>
  <c r="C36" i="4"/>
  <c r="G36" i="4"/>
  <c r="G5" i="4"/>
  <c r="F5" i="4"/>
  <c r="C5" i="4"/>
  <c r="B5" i="4"/>
  <c r="G13" i="4"/>
  <c r="C13" i="4"/>
  <c r="B13" i="4"/>
  <c r="F13" i="4"/>
  <c r="G21" i="4"/>
  <c r="C21" i="4"/>
  <c r="B21" i="4"/>
  <c r="F21" i="4"/>
  <c r="C29" i="4"/>
  <c r="G29" i="4"/>
  <c r="B29" i="4"/>
  <c r="F29" i="4"/>
  <c r="F37" i="4"/>
  <c r="C37" i="4"/>
  <c r="G37" i="4"/>
  <c r="B37" i="4"/>
  <c r="C45" i="4"/>
  <c r="B45" i="4"/>
  <c r="G45" i="4"/>
  <c r="F45" i="4"/>
  <c r="B9" i="4"/>
  <c r="C9" i="4"/>
  <c r="G9" i="4"/>
  <c r="F9" i="4"/>
  <c r="B41" i="4"/>
  <c r="C41" i="4"/>
  <c r="G41" i="4"/>
  <c r="F41" i="4"/>
  <c r="F18" i="4"/>
  <c r="G18" i="4"/>
  <c r="B18" i="4"/>
  <c r="C18" i="4"/>
  <c r="F42" i="4"/>
  <c r="B42" i="4"/>
  <c r="C42" i="4"/>
  <c r="G42" i="4"/>
  <c r="F3" i="4"/>
  <c r="G3" i="4"/>
  <c r="B3" i="4"/>
  <c r="C3" i="4"/>
  <c r="F43" i="4"/>
  <c r="C43" i="4"/>
  <c r="G43" i="4"/>
  <c r="B43" i="4"/>
  <c r="F4" i="4"/>
  <c r="B4" i="4"/>
  <c r="C4" i="4"/>
  <c r="G4" i="4"/>
  <c r="B20" i="4"/>
  <c r="C20" i="4"/>
  <c r="G20" i="4"/>
  <c r="F20" i="4"/>
  <c r="F44" i="4"/>
  <c r="B44" i="4"/>
  <c r="C44" i="4"/>
  <c r="G44" i="4"/>
  <c r="F6" i="4"/>
  <c r="C6" i="4"/>
  <c r="G6" i="4"/>
  <c r="B6" i="4"/>
  <c r="B14" i="4"/>
  <c r="F14" i="4"/>
  <c r="C14" i="4"/>
  <c r="G14" i="4"/>
  <c r="F22" i="4"/>
  <c r="C22" i="4"/>
  <c r="G22" i="4"/>
  <c r="B22" i="4"/>
  <c r="F30" i="4"/>
  <c r="C30" i="4"/>
  <c r="G30" i="4"/>
  <c r="B30" i="4"/>
  <c r="F38" i="4"/>
  <c r="C38" i="4"/>
  <c r="G38" i="4"/>
  <c r="B38" i="4"/>
  <c r="F46" i="4"/>
  <c r="C46" i="4"/>
  <c r="G46" i="4"/>
  <c r="B46" i="4"/>
  <c r="G11" i="4"/>
  <c r="F11" i="4"/>
  <c r="B11" i="4"/>
  <c r="C11" i="4"/>
  <c r="F7" i="4"/>
  <c r="B7" i="4"/>
  <c r="C7" i="4"/>
  <c r="G7" i="4"/>
  <c r="F15" i="4"/>
  <c r="B15" i="4"/>
  <c r="C15" i="4"/>
  <c r="G15" i="4"/>
  <c r="F23" i="4"/>
  <c r="B23" i="4"/>
  <c r="C23" i="4"/>
  <c r="G23" i="4"/>
  <c r="F31" i="4"/>
  <c r="B31" i="4"/>
  <c r="G31" i="4"/>
  <c r="C31" i="4"/>
  <c r="F39" i="4"/>
  <c r="B39" i="4"/>
  <c r="C39" i="4"/>
  <c r="G39" i="4"/>
  <c r="B17" i="4"/>
  <c r="C17" i="4"/>
  <c r="G17" i="4"/>
  <c r="F17" i="4"/>
  <c r="F47" i="4"/>
  <c r="B47" i="4"/>
  <c r="C47" i="4"/>
  <c r="G47" i="4"/>
  <c r="F8" i="4"/>
  <c r="B8" i="4"/>
  <c r="C8" i="4"/>
  <c r="G8" i="4"/>
  <c r="C16" i="4"/>
  <c r="F16" i="4"/>
  <c r="B16" i="4"/>
  <c r="G16" i="4"/>
  <c r="G24" i="4"/>
  <c r="F24" i="4"/>
  <c r="B24" i="4"/>
  <c r="C24" i="4"/>
  <c r="B32" i="4"/>
  <c r="G32" i="4"/>
  <c r="F32" i="4"/>
  <c r="C32" i="4"/>
  <c r="C40" i="4"/>
  <c r="G40" i="4"/>
  <c r="F40" i="4"/>
  <c r="B40" i="4"/>
  <c r="B48" i="4"/>
  <c r="C48" i="4"/>
  <c r="F48" i="4"/>
  <c r="G48" i="4"/>
  <c r="B49" i="4"/>
  <c r="C49" i="4"/>
  <c r="G49" i="4"/>
  <c r="F49" i="4"/>
  <c r="B34" i="4"/>
  <c r="F34" i="4"/>
  <c r="C34" i="4"/>
  <c r="G34" i="4"/>
  <c r="G27" i="4"/>
  <c r="B27" i="4"/>
  <c r="F27" i="4"/>
  <c r="C27" i="4"/>
  <c r="B5" i="31"/>
  <c r="C5" i="31"/>
  <c r="D5" i="31"/>
  <c r="B13" i="31"/>
  <c r="C13" i="31"/>
  <c r="D13" i="31"/>
  <c r="B21" i="31"/>
  <c r="C21" i="31"/>
  <c r="D21" i="31"/>
  <c r="B29" i="31"/>
  <c r="C29" i="31"/>
  <c r="D29" i="31"/>
  <c r="B37" i="31"/>
  <c r="C37" i="31"/>
  <c r="D37" i="31"/>
  <c r="B45" i="31"/>
  <c r="C45" i="31"/>
  <c r="D45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D7" i="31"/>
  <c r="C7" i="31"/>
  <c r="B7" i="31"/>
  <c r="D15" i="31"/>
  <c r="C15" i="31"/>
  <c r="B15" i="31"/>
  <c r="D23" i="31"/>
  <c r="C23" i="31"/>
  <c r="B23" i="31"/>
  <c r="D31" i="31"/>
  <c r="C31" i="31"/>
  <c r="B31" i="31"/>
  <c r="D39" i="31"/>
  <c r="B39" i="31"/>
  <c r="C39" i="31"/>
  <c r="D47" i="31"/>
  <c r="C47" i="31"/>
  <c r="B47" i="31"/>
  <c r="B8" i="31"/>
  <c r="C8" i="31"/>
  <c r="D8" i="31"/>
  <c r="B16" i="31"/>
  <c r="C16" i="31"/>
  <c r="D16" i="31"/>
  <c r="B24" i="31"/>
  <c r="C24" i="31"/>
  <c r="D24" i="31"/>
  <c r="B32" i="31"/>
  <c r="C32" i="31"/>
  <c r="D32" i="31"/>
  <c r="B40" i="31"/>
  <c r="C40" i="31"/>
  <c r="D40" i="31"/>
  <c r="B48" i="31"/>
  <c r="C48" i="31"/>
  <c r="D48" i="31"/>
  <c r="D9" i="31"/>
  <c r="B9" i="31"/>
  <c r="C9" i="31"/>
  <c r="D17" i="31"/>
  <c r="B17" i="31"/>
  <c r="C17" i="31"/>
  <c r="B25" i="31"/>
  <c r="C25" i="31"/>
  <c r="D25" i="31"/>
  <c r="D33" i="31"/>
  <c r="B33" i="31"/>
  <c r="C33" i="31"/>
  <c r="B41" i="31"/>
  <c r="C41" i="31"/>
  <c r="D41" i="31"/>
  <c r="D49" i="31"/>
  <c r="B49" i="31"/>
  <c r="C49" i="31"/>
  <c r="D2" i="31"/>
  <c r="B2" i="31"/>
  <c r="C2" i="31"/>
  <c r="C10" i="31"/>
  <c r="D10" i="31"/>
  <c r="B10" i="31"/>
  <c r="C18" i="31"/>
  <c r="D18" i="31"/>
  <c r="B18" i="31"/>
  <c r="C26" i="31"/>
  <c r="D26" i="31"/>
  <c r="B26" i="31"/>
  <c r="C34" i="31"/>
  <c r="D34" i="31"/>
  <c r="B34" i="31"/>
  <c r="C42" i="31"/>
  <c r="D42" i="31"/>
  <c r="B42" i="31"/>
  <c r="C50" i="31"/>
  <c r="D50" i="31"/>
  <c r="B50" i="31"/>
  <c r="B3" i="31"/>
  <c r="C3" i="31"/>
  <c r="D3" i="31"/>
  <c r="B11" i="31"/>
  <c r="C11" i="31"/>
  <c r="D11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" i="31"/>
  <c r="B4" i="31"/>
  <c r="D4" i="31"/>
  <c r="C12" i="31"/>
  <c r="B12" i="31"/>
  <c r="D12" i="31"/>
  <c r="B20" i="31"/>
  <c r="C20" i="31"/>
  <c r="D20" i="31"/>
  <c r="C28" i="31"/>
  <c r="B28" i="31"/>
  <c r="D28" i="31"/>
  <c r="B36" i="31"/>
  <c r="C36" i="31"/>
  <c r="D36" i="31"/>
  <c r="C44" i="31"/>
  <c r="D44" i="31"/>
  <c r="B44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22" i="8" l="1"/>
  <c r="E22" i="8"/>
  <c r="D22" i="8"/>
  <c r="E13" i="8"/>
  <c r="D13" i="8"/>
  <c r="B13" i="8"/>
  <c r="B3" i="8"/>
  <c r="D3" i="8"/>
  <c r="E3" i="8"/>
  <c r="B10" i="8"/>
  <c r="D10" i="8"/>
  <c r="E10" i="8"/>
  <c r="B16" i="7"/>
  <c r="G16" i="7"/>
  <c r="F16" i="7"/>
  <c r="E16" i="7"/>
  <c r="D16" i="7"/>
  <c r="C16" i="7"/>
  <c r="H16" i="7"/>
  <c r="B23" i="8"/>
  <c r="E23" i="8"/>
  <c r="D23" i="8"/>
  <c r="B7" i="8"/>
  <c r="E7" i="8"/>
  <c r="D7" i="8"/>
  <c r="B14" i="8"/>
  <c r="E14" i="8"/>
  <c r="D14" i="8"/>
  <c r="B4" i="8"/>
  <c r="D4" i="8"/>
  <c r="E4" i="8"/>
  <c r="B3" i="7"/>
  <c r="G3" i="7"/>
  <c r="F3" i="7"/>
  <c r="E3" i="7"/>
  <c r="C3" i="7"/>
  <c r="D3" i="7"/>
  <c r="H3" i="7"/>
  <c r="D18" i="7"/>
  <c r="H18" i="7"/>
  <c r="G18" i="7"/>
  <c r="F18" i="7"/>
  <c r="C18" i="7"/>
  <c r="B18" i="7"/>
  <c r="E18" i="7"/>
  <c r="G21" i="7"/>
  <c r="F21" i="7"/>
  <c r="E21" i="7"/>
  <c r="H21" i="7"/>
  <c r="D21" i="7"/>
  <c r="C21" i="7"/>
  <c r="B21" i="7"/>
  <c r="E5" i="8"/>
  <c r="B5" i="8"/>
  <c r="D5" i="8"/>
  <c r="B12" i="8"/>
  <c r="D12" i="8"/>
  <c r="E12" i="8"/>
  <c r="B18" i="8"/>
  <c r="D18" i="8"/>
  <c r="E18" i="8"/>
  <c r="G5" i="7"/>
  <c r="E5" i="7"/>
  <c r="H5" i="7"/>
  <c r="F5" i="7"/>
  <c r="C5" i="7"/>
  <c r="B5" i="7"/>
  <c r="D5" i="7"/>
  <c r="B23" i="7"/>
  <c r="G23" i="7"/>
  <c r="E23" i="7"/>
  <c r="F23" i="7"/>
  <c r="D23" i="7"/>
  <c r="C23" i="7"/>
  <c r="H23" i="7"/>
  <c r="B7" i="7"/>
  <c r="F7" i="7"/>
  <c r="E7" i="7"/>
  <c r="D7" i="7"/>
  <c r="C7" i="7"/>
  <c r="H7" i="7"/>
  <c r="G7" i="7"/>
  <c r="F4" i="7"/>
  <c r="E4" i="7"/>
  <c r="D4" i="7"/>
  <c r="G4" i="7"/>
  <c r="H4" i="7"/>
  <c r="C4" i="7"/>
  <c r="B4" i="7"/>
  <c r="B9" i="8"/>
  <c r="D9" i="8"/>
  <c r="E9" i="8"/>
  <c r="E21" i="8"/>
  <c r="D21" i="8"/>
  <c r="B21" i="8"/>
  <c r="D10" i="7"/>
  <c r="C10" i="7"/>
  <c r="B10" i="7"/>
  <c r="H10" i="7"/>
  <c r="G10" i="7"/>
  <c r="E10" i="7"/>
  <c r="F10" i="7"/>
  <c r="H14" i="7"/>
  <c r="G14" i="7"/>
  <c r="F14" i="7"/>
  <c r="E14" i="7"/>
  <c r="C14" i="7"/>
  <c r="D14" i="7"/>
  <c r="B14" i="7"/>
  <c r="C9" i="7"/>
  <c r="H9" i="7"/>
  <c r="G9" i="7"/>
  <c r="F9" i="7"/>
  <c r="E9" i="7"/>
  <c r="B9" i="7"/>
  <c r="D9" i="7"/>
  <c r="F12" i="7"/>
  <c r="E12" i="7"/>
  <c r="D12" i="7"/>
  <c r="G12" i="7"/>
  <c r="H12" i="7"/>
  <c r="C12" i="7"/>
  <c r="B12" i="7"/>
  <c r="B8" i="7"/>
  <c r="D8" i="7"/>
  <c r="G8" i="7"/>
  <c r="F8" i="7"/>
  <c r="H8" i="7"/>
  <c r="E8" i="7"/>
  <c r="C8" i="7"/>
  <c r="B15" i="7"/>
  <c r="H15" i="7"/>
  <c r="G15" i="7"/>
  <c r="F15" i="7"/>
  <c r="E15" i="7"/>
  <c r="D15" i="7"/>
  <c r="C15" i="7"/>
  <c r="D16" i="8"/>
  <c r="B16" i="8"/>
  <c r="E16" i="8"/>
  <c r="B11" i="8"/>
  <c r="D11" i="8"/>
  <c r="E11" i="8"/>
  <c r="H22" i="7"/>
  <c r="F22" i="7"/>
  <c r="G22" i="7"/>
  <c r="E22" i="7"/>
  <c r="D22" i="7"/>
  <c r="C22" i="7"/>
  <c r="B22" i="7"/>
  <c r="H6" i="7"/>
  <c r="G6" i="7"/>
  <c r="F6" i="7"/>
  <c r="E6" i="7"/>
  <c r="D6" i="7"/>
  <c r="C6" i="7"/>
  <c r="B6" i="7"/>
  <c r="B19" i="8"/>
  <c r="D19" i="8"/>
  <c r="E19" i="8"/>
  <c r="D8" i="8"/>
  <c r="B8" i="8"/>
  <c r="E8" i="8"/>
  <c r="B15" i="8"/>
  <c r="D15" i="8"/>
  <c r="E15" i="8"/>
  <c r="E11" i="7"/>
  <c r="C11" i="7"/>
  <c r="D11" i="7"/>
  <c r="F11" i="7"/>
  <c r="H11" i="7"/>
  <c r="G11" i="7"/>
  <c r="B11" i="7"/>
  <c r="G13" i="7"/>
  <c r="E13" i="7"/>
  <c r="H13" i="7"/>
  <c r="D13" i="7"/>
  <c r="C13" i="7"/>
  <c r="B13" i="7"/>
  <c r="F13" i="7"/>
  <c r="E19" i="7"/>
  <c r="B19" i="7"/>
  <c r="D19" i="7"/>
  <c r="C19" i="7"/>
  <c r="H19" i="7"/>
  <c r="G19" i="7"/>
  <c r="F19" i="7"/>
  <c r="B20" i="8"/>
  <c r="E20" i="8"/>
  <c r="D20" i="8"/>
  <c r="F2" i="7"/>
  <c r="B2" i="7"/>
  <c r="H2" i="7"/>
  <c r="C2" i="7"/>
  <c r="D2" i="7"/>
  <c r="E2" i="7"/>
  <c r="G2" i="7"/>
  <c r="B17" i="8"/>
  <c r="E17" i="8"/>
  <c r="D17" i="8"/>
  <c r="B6" i="8"/>
  <c r="E6" i="8"/>
  <c r="D6" i="8"/>
  <c r="C17" i="7"/>
  <c r="B17" i="7"/>
  <c r="H17" i="7"/>
  <c r="G17" i="7"/>
  <c r="E17" i="7"/>
  <c r="D17" i="7"/>
  <c r="F17" i="7"/>
  <c r="F20" i="7"/>
  <c r="E20" i="7"/>
  <c r="D20" i="7"/>
  <c r="C20" i="7"/>
  <c r="H20" i="7"/>
  <c r="G20" i="7"/>
  <c r="B20" i="7"/>
  <c r="E2" i="8"/>
  <c r="D2" i="8"/>
  <c r="B2" i="8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<sst xmlns="http://schemas.openxmlformats.org/spreadsheetml/2006/main" count="144" uniqueCount="96">
  <si>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</si>
  <si>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</si>
  <si>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</si>
  <si>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</si>
  <si>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</si>
  <si>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</si>
  <si>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</si>
  <si>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</si>
  <si>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</si>
  <si>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</si>
  <si>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</si>
  <si>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</si>
  <si>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</si>
  <si>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</si>
  <si>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</si>
  <si>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</si>
  <si>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</si>
  <si>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</si>
  <si>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</si>
  <si>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</si>
  <si>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</si>
  <si>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</si>
  <si>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</si>
  <si>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</si>
  <si>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</si>
  <si>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</si>
  <si>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</si>
  <si>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</si>
  <si>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</si>
  <si>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</si>
  <si>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</si>
  <si>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</si>
  <si>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conservative model</t>
  </si>
  <si>
    <t>defensive model</t>
  </si>
  <si>
    <t>cautious model</t>
  </si>
  <si>
    <t>balanced model</t>
  </si>
  <si>
    <t>growth model</t>
  </si>
  <si>
    <t>adventurous model</t>
  </si>
  <si>
    <t>atomos active conservative model</t>
  </si>
  <si>
    <t>atomos active defensive model</t>
  </si>
  <si>
    <t>atomos active cautious model</t>
  </si>
  <si>
    <t>atomos active balanced model</t>
  </si>
  <si>
    <t>atomos active growth model</t>
  </si>
  <si>
    <t>atomos active adventurous model</t>
  </si>
  <si>
    <t>atomos index conservative model</t>
  </si>
  <si>
    <t>atomos index defensive model</t>
  </si>
  <si>
    <t>atomos index cautious model</t>
  </si>
  <si>
    <t>atomos index balanced model</t>
  </si>
  <si>
    <t>atomos index growth model</t>
  </si>
  <si>
    <t>atomos index adventurous model</t>
  </si>
  <si>
    <t>atomos socially responsible conservative model</t>
  </si>
  <si>
    <t>atomos socially responsible defensive model</t>
  </si>
  <si>
    <t>atomos socially responsible cautious model</t>
  </si>
  <si>
    <t>atomos socially responsible balanced model</t>
  </si>
  <si>
    <t>https://www.atomos.co.uk/financial-advisers/resources/model-portfolios/factsheets-and-performance</t>
  </si>
  <si>
    <t>1 Year</t>
  </si>
  <si>
    <t>1 Month</t>
  </si>
  <si>
    <t>Ongoing Charges Figure (OCF)</t>
  </si>
  <si>
    <t>UK Equity</t>
  </si>
  <si>
    <t>North American Equity</t>
  </si>
  <si>
    <t>Emerging Market Equity</t>
  </si>
  <si>
    <t>European Equity</t>
  </si>
  <si>
    <t>Japanese &amp; Asian Equity</t>
  </si>
  <si>
    <t>Government Bonds incl Inflation Linked</t>
  </si>
  <si>
    <t>Global Corporate Inv. Grade Bonds</t>
  </si>
  <si>
    <t>Global High Yield Bonds</t>
  </si>
  <si>
    <t>Alternative Assets</t>
  </si>
  <si>
    <t>Asia Pacific Equities</t>
  </si>
  <si>
    <t>US Equities</t>
  </si>
  <si>
    <t>Absolute Return Funds</t>
  </si>
  <si>
    <t>Property and Infrastructure</t>
  </si>
  <si>
    <t>High Yield Bond</t>
  </si>
  <si>
    <t>Investment Grade Corporate Bond</t>
  </si>
  <si>
    <t>Government Bond</t>
  </si>
  <si>
    <t>http://www.atomos.co.uk/document-repository/illustrative-strategy-factsheets/01-conservative%C2%A0model</t>
  </si>
  <si>
    <t>http://www.atomos.co.uk/document-repository/illustrative-strategy-factsheets/02-defensive%C2%A0model</t>
  </si>
  <si>
    <t>http://www.atomos.co.uk/document-repository/illustrative-strategy-factsheets/03-cautious%C2%A0model</t>
  </si>
  <si>
    <t>http://www.atomos.co.uk/document-repository/illustrative-strategy-factsheets/04-balanced%C2%A0model</t>
  </si>
  <si>
    <t>http://www.atomos.co.uk/document-repository/illustrative-strategy-factsheets/05-growth%C2%A0model</t>
  </si>
  <si>
    <t>http://www.atomos.co.uk/document-repository/illustrative-strategy-factsheets/06-adventurous%C2%A0model</t>
  </si>
  <si>
    <t>http://www.atomos.co.uk/document-repository/factsheets/0001-atomos-active-conservative-model</t>
  </si>
  <si>
    <t>http://www.atomos.co.uk/document-repository/factsheets/0002-atomos-active-defensive-model</t>
  </si>
  <si>
    <t>http://www.atomos.co.uk/document-repository/factsheets/0003-atomos-active-cautious-model</t>
  </si>
  <si>
    <t>http://www.atomos.co.uk/document-repository/factsheets/0004-atomos-active-balanced-model</t>
  </si>
  <si>
    <t>http://www.atomos.co.uk/document-repository/factsheets/0005-atomos-active-growth-model</t>
  </si>
  <si>
    <t>http://www.atomos.co.uk/document-repository/factsheets/0006-atomos-active-adventurous-model</t>
  </si>
  <si>
    <t>http://www.atomos.co.uk/document-repository/factsheets/0007-atomos-index-conservative-model</t>
  </si>
  <si>
    <t>http://www.atomos.co.uk/document-repository/factsheets/0008-atomos-index-defensive-model</t>
  </si>
  <si>
    <t>http://www.atomos.co.uk/document-repository/factsheets/0009-atomos-index-cautious-model</t>
  </si>
  <si>
    <t>http://www.atomos.co.uk/document-repository/factsheets/0010-atomos-index-balanced-model</t>
  </si>
  <si>
    <t>http://www.atomos.co.uk/document-repository/factsheets/0011-atomos-index-growth-model</t>
  </si>
  <si>
    <t>http://www.atomos.co.uk/document-repository/factsheets/0012-atomos-index-adventurous-model</t>
  </si>
  <si>
    <t>http://www.atomos.co.uk/document-repository/factsheets/0013-atomos-sri-conservative-model</t>
  </si>
  <si>
    <t>http://www.atomos.co.uk/document-repository/factsheets/0014-atomos-sri-defensive-model</t>
  </si>
  <si>
    <t>http://www.atomos.co.uk/document-repository/factsheets/0015-atomos-sri-cautious-model</t>
  </si>
  <si>
    <t>http://www.atomos.co.uk/document-repository/factsheets/0016-atomos-sri-balanced-model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</si>
</sst>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/mm\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64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120650</xdr:rowOff>
    </xdr:from>
    <xdr:to>
      <xdr:col>6</xdr:col>
      <xdr:colOff>5065</xdr:colOff>
      <xdr:row>8</xdr:row>
      <xdr:rowOff>6350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640F4DD-F0B6-E52F-0BFD-1560D7C4D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4800"/>
          <a:ext cx="3662665" cy="1174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</xdr:colOff>
      <xdr:row>8</xdr:row>
      <xdr:rowOff>127000</xdr:rowOff>
    </xdr:from>
    <xdr:to>
      <xdr:col>6</xdr:col>
      <xdr:colOff>65122</xdr:colOff>
      <xdr:row>16</xdr:row>
      <xdr:rowOff>101737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49445C-9FF6-894B-0CE3-879C70EA0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" y="1600200"/>
          <a:ext cx="3716372" cy="14479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165100</xdr:rowOff>
    </xdr:from>
    <xdr:to>
      <xdr:col>6</xdr:col>
      <xdr:colOff>332031</xdr:colOff>
      <xdr:row>22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8040BB-781E-AEEF-73BF-DB4314342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111500"/>
          <a:ext cx="3989631" cy="939800"/>
        </a:xfrm>
        <a:prstGeom prst="rect">
          <a:avLst/>
        </a:prstGeom>
      </xdr:spPr>
    </xdr:pic>
    <xdr:clientData/>
  </xdr:twoCellAnchor>
  <xdr:twoCellAnchor editAs="oneCell">
    <xdr:from>
      <xdr:col>6</xdr:col>
      <xdr:colOff>539750</xdr:colOff>
      <xdr:row>1</xdr:row>
      <xdr:rowOff>114300</xdr:rowOff>
    </xdr:from>
    <xdr:to>
      <xdr:col>16</xdr:col>
      <xdr:colOff>260649</xdr:colOff>
      <xdr:row>22</xdr:row>
      <xdr:rowOff>114499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1BEFE96-CAA4-8DB6-A8CC-CDF33467E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97350" y="298450"/>
          <a:ext cx="5816899" cy="38673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45" zoomScaleNormal="145" workbookViewId="0">
      <selection activeCell="S7" sqref="S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4"/>
  <sheetViews>
    <sheetView workbookViewId="0"/>
  </sheetViews>
  <sheetFormatPr defaultRowHeight="15" x14ac:dyDescent="0.25"/>
  <cols>
    <col min="1" max="1" width="44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http://www.atomos.co.uk/document-repository/illustrative-strategy-factsheets/01-conservative%C2%A0model</v>
      </c>
      <c r="J3" s="4"/>
    </row>
    <row r="4" spans="1:10" x14ac:dyDescent="0.25">
      <c r="A4" t="s">
        <v>33</v>
      </c>
      <c r="B4" t="str">
        <f>'PDF Scraping'!D3</f>
        <v>http://www.atomos.co.uk/document-repository/illustrative-strategy-factsheets/02-defensive%C2%A0model</v>
      </c>
      <c r="J4" s="4"/>
    </row>
    <row r="5" spans="1:10" x14ac:dyDescent="0.25">
      <c r="A5" t="s">
        <v>34</v>
      </c>
      <c r="B5" t="str">
        <f>'PDF Scraping'!D4</f>
        <v>http://www.atomos.co.uk/document-repository/illustrative-strategy-factsheets/03-cautious%C2%A0model</v>
      </c>
    </row>
    <row r="6" spans="1:10" x14ac:dyDescent="0.25">
      <c r="A6" t="s">
        <v>35</v>
      </c>
      <c r="B6" t="str">
        <f>'PDF Scraping'!D5</f>
        <v>http://www.atomos.co.uk/document-repository/illustrative-strategy-factsheets/04-balanced%C2%A0model</v>
      </c>
    </row>
    <row r="7" spans="1:10" x14ac:dyDescent="0.25">
      <c r="A7" t="s">
        <v>36</v>
      </c>
      <c r="B7" t="str">
        <f>'PDF Scraping'!D6</f>
        <v>http://www.atomos.co.uk/document-repository/illustrative-strategy-factsheets/05-growth%C2%A0model</v>
      </c>
    </row>
    <row r="8" spans="1:10" x14ac:dyDescent="0.25">
      <c r="A8" t="s">
        <v>37</v>
      </c>
      <c r="B8" t="str">
        <f>'PDF Scraping'!D7</f>
        <v>http://www.atomos.co.uk/document-repository/illustrative-strategy-factsheets/06-adventurous%C2%A0model</v>
      </c>
    </row>
    <row r="9" spans="1:10" x14ac:dyDescent="0.25">
      <c r="A9" t="s">
        <v>38</v>
      </c>
      <c r="B9" t="str">
        <f>'PDF Scraping'!D8</f>
        <v>http://www.atomos.co.uk/document-repository/factsheets/0001-atomos-active-conservative-model</v>
      </c>
    </row>
    <row r="10" spans="1:10" x14ac:dyDescent="0.25">
      <c r="A10" t="s">
        <v>39</v>
      </c>
      <c r="B10" t="str">
        <f>'PDF Scraping'!D9</f>
        <v>http://www.atomos.co.uk/document-repository/factsheets/0002-atomos-active-defensive-model</v>
      </c>
    </row>
    <row r="11" spans="1:10" x14ac:dyDescent="0.25">
      <c r="A11" t="s">
        <v>40</v>
      </c>
      <c r="B11" t="str">
        <f>'PDF Scraping'!D10</f>
        <v>http://www.atomos.co.uk/document-repository/factsheets/0003-atomos-active-cautious-model</v>
      </c>
    </row>
    <row r="12" spans="1:10" x14ac:dyDescent="0.25">
      <c r="A12" t="s">
        <v>41</v>
      </c>
      <c r="B12" t="str">
        <f>'PDF Scraping'!D11</f>
        <v>http://www.atomos.co.uk/document-repository/factsheets/0004-atomos-active-balanced-model</v>
      </c>
    </row>
    <row r="13" spans="1:10" x14ac:dyDescent="0.25">
      <c r="A13" t="s">
        <v>42</v>
      </c>
      <c r="B13" t="str">
        <f>'PDF Scraping'!D12</f>
        <v>http://www.atomos.co.uk/document-repository/factsheets/0005-atomos-active-growth-model</v>
      </c>
    </row>
    <row r="14" spans="1:10" x14ac:dyDescent="0.25">
      <c r="A14" t="s">
        <v>43</v>
      </c>
      <c r="B14" t="str">
        <f>'PDF Scraping'!D13</f>
        <v>http://www.atomos.co.uk/document-repository/factsheets/0006-atomos-active-adventurous-model</v>
      </c>
    </row>
    <row r="15" spans="1:10" x14ac:dyDescent="0.25">
      <c r="A15" t="s">
        <v>44</v>
      </c>
      <c r="B15" t="str">
        <f>'PDF Scraping'!D14</f>
        <v>http://www.atomos.co.uk/document-repository/factsheets/0007-atomos-index-conservative-model</v>
      </c>
    </row>
    <row r="16" spans="1:10" x14ac:dyDescent="0.25">
      <c r="A16" t="s">
        <v>45</v>
      </c>
      <c r="B16" t="str">
        <f>'PDF Scraping'!D15</f>
        <v>http://www.atomos.co.uk/document-repository/factsheets/0008-atomos-index-defensive-model</v>
      </c>
    </row>
    <row r="17" spans="1:2" x14ac:dyDescent="0.25">
      <c r="A17" t="s">
        <v>46</v>
      </c>
      <c r="B17" t="str">
        <f>'PDF Scraping'!D16</f>
        <v>http://www.atomos.co.uk/document-repository/factsheets/0009-atomos-index-cautious-model</v>
      </c>
    </row>
    <row r="18" spans="1:2" x14ac:dyDescent="0.25">
      <c r="A18" t="s">
        <v>47</v>
      </c>
      <c r="B18" t="str">
        <f>'PDF Scraping'!D17</f>
        <v>http://www.atomos.co.uk/document-repository/factsheets/0010-atomos-index-balanced-model</v>
      </c>
    </row>
    <row r="19" spans="1:2" x14ac:dyDescent="0.25">
      <c r="A19" t="s">
        <v>48</v>
      </c>
      <c r="B19" t="str">
        <f>'PDF Scraping'!D18</f>
        <v>http://www.atomos.co.uk/document-repository/factsheets/0011-atomos-index-growth-model</v>
      </c>
    </row>
    <row r="20" spans="1:2" x14ac:dyDescent="0.25">
      <c r="A20" t="s">
        <v>49</v>
      </c>
      <c r="B20" t="str">
        <f>'PDF Scraping'!D19</f>
        <v>http://www.atomos.co.uk/document-repository/factsheets/0012-atomos-index-adventurous-model</v>
      </c>
    </row>
    <row r="21" spans="1:2" x14ac:dyDescent="0.25">
      <c r="A21" t="s">
        <v>50</v>
      </c>
      <c r="B21" t="str">
        <f>'PDF Scraping'!D20</f>
        <v>http://www.atomos.co.uk/document-repository/factsheets/0013-atomos-sri-conservative-model</v>
      </c>
    </row>
    <row r="22" spans="1:2" x14ac:dyDescent="0.25">
      <c r="A22" t="s">
        <v>51</v>
      </c>
      <c r="B22" t="str">
        <f>'PDF Scraping'!D21</f>
        <v>http://www.atomos.co.uk/document-repository/factsheets/0014-atomos-sri-defensive-model</v>
      </c>
    </row>
    <row r="23" spans="1:2" x14ac:dyDescent="0.25">
      <c r="A23" t="s">
        <v>52</v>
      </c>
      <c r="B23" t="str">
        <f>'PDF Scraping'!D22</f>
        <v>http://www.atomos.co.uk/document-repository/factsheets/0015-atomos-sri-cautious-model</v>
      </c>
    </row>
    <row r="24" spans="1:2" x14ac:dyDescent="0.25">
      <c r="A24" t="s">
        <v>53</v>
      </c>
      <c r="B24" t="str">
        <f>'PDF Scraping'!D23</f>
        <v>http://www.atomos.co.uk/document-repository/factsheets/0016-atomos-sri-balanced-model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" sqref="B2:E23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57</v>
      </c>
      <c r="D1" t="s">
        <v>55</v>
      </c>
      <c r="E1" t="s">
        <v>56</v>
      </c>
    </row>
    <row r="2" spans="1:6" x14ac:dyDescent="0.25">
      <c r="A2" t="str">
        <f>IF(Input!A3="","",Input!A3)</f>
        <v>conservative model</v>
      </c>
      <c r="B2" s="1"/>
      <c r="C2" s="5"/>
      <c r="D2" s="5"/>
      <c r="E2" s="5"/>
      <c r="F2" s="5"/>
    </row>
    <row r="3" spans="1:6" x14ac:dyDescent="0.25">
      <c r="A3" t="str">
        <f>IF(Input!A4="","",Input!A4)</f>
        <v>defensive model</v>
      </c>
      <c r="B3" s="1"/>
      <c r="C3" s="5"/>
      <c r="D3" s="5"/>
      <c r="E3" s="5"/>
      <c r="F3" s="5"/>
    </row>
    <row r="4" spans="1:6" x14ac:dyDescent="0.25">
      <c r="A4" t="str">
        <f>IF(Input!A5="","",Input!A5)</f>
        <v>cautious model</v>
      </c>
      <c r="B4" s="1"/>
      <c r="C4" s="5"/>
      <c r="D4" s="5"/>
      <c r="E4" s="5"/>
      <c r="F4" s="5"/>
    </row>
    <row r="5" spans="1:6" x14ac:dyDescent="0.25">
      <c r="A5" t="str">
        <f>IF(Input!A6="","",Input!A6)</f>
        <v>balanced model</v>
      </c>
      <c r="B5" s="1"/>
      <c r="C5" s="5"/>
      <c r="D5" s="5"/>
      <c r="E5" s="5"/>
      <c r="F5" s="5"/>
    </row>
    <row r="6" spans="1:6" x14ac:dyDescent="0.25">
      <c r="A6" t="str">
        <f>IF(Input!A7="","",Input!A7)</f>
        <v>growth model</v>
      </c>
      <c r="B6" s="1"/>
      <c r="C6" s="5"/>
      <c r="D6" s="5"/>
      <c r="E6" s="5"/>
      <c r="F6" s="5"/>
    </row>
    <row r="7" spans="1:6" x14ac:dyDescent="0.25">
      <c r="A7" t="str">
        <f>IF(Input!A8="","",Input!A8)</f>
        <v>adventurous model</v>
      </c>
      <c r="B7" s="10"/>
      <c r="C7" s="5"/>
      <c r="D7" s="5"/>
      <c r="E7" s="5"/>
      <c r="F7" s="5"/>
    </row>
    <row r="8" spans="1:6" x14ac:dyDescent="0.25">
      <c r="A8" t="str">
        <f>IF(Input!A9="","",Input!A9)</f>
        <v>atomos active conservative model</v>
      </c>
      <c r="B8" s="1"/>
      <c r="C8" s="5"/>
      <c r="D8" s="5"/>
      <c r="E8" s="5"/>
      <c r="F8" s="5"/>
    </row>
    <row r="9" spans="1:6" x14ac:dyDescent="0.25">
      <c r="A9" t="str">
        <f>IF(Input!A10="","",Input!A10)</f>
        <v>atomos active defensive model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atomos active cautious model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atomos active balanced model</v>
      </c>
      <c r="B11" s="10"/>
      <c r="C11" s="5"/>
      <c r="D11" s="5"/>
      <c r="E11" s="5"/>
      <c r="F11" s="5"/>
    </row>
    <row r="12" spans="1:6" x14ac:dyDescent="0.25">
      <c r="A12" t="str">
        <f>IF(Input!A13="","",Input!A13)</f>
        <v>atomos active growth model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atomos active adventurous model</v>
      </c>
      <c r="B13" s="10"/>
      <c r="C13" s="5"/>
      <c r="D13" s="5"/>
      <c r="E13" s="5"/>
      <c r="F13" s="5"/>
    </row>
    <row r="14" spans="1:6" x14ac:dyDescent="0.25">
      <c r="A14" t="str">
        <f>IF(Input!A15="","",Input!A15)</f>
        <v>atomos index conservative model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atomos index defensive model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atomos index cautious model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atomos index balanced model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atomos index growth model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atomos index adventurous model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atomos socially responsible conservative model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atomos socially responsible defensive model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atomos socially responsible cautious model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atomos socially responsible balanced model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B2" sqref="B2:T24"/>
    </sheetView>
  </sheetViews>
  <sheetFormatPr defaultRowHeight="15" x14ac:dyDescent="0.25"/>
  <cols>
    <col min="1" max="1" width="40.85546875" bestFit="1" customWidth="1"/>
    <col min="2" max="2" width="11.85546875" bestFit="1" customWidth="1"/>
    <col min="3" max="3" width="8.7109375" bestFit="1" customWidth="1"/>
    <col min="4" max="4" width="19.85546875" bestFit="1" customWidth="1"/>
    <col min="5" max="5" width="20.85546875" bestFit="1" customWidth="1"/>
    <col min="6" max="6" width="14.5703125" bestFit="1" customWidth="1"/>
    <col min="7" max="7" width="21.140625" bestFit="1" customWidth="1"/>
    <col min="8" max="8" width="34" bestFit="1" customWidth="1"/>
    <col min="9" max="9" width="30.28515625" bestFit="1" customWidth="1"/>
    <col min="10" max="10" width="20.5703125" bestFit="1" customWidth="1"/>
    <col min="11" max="11" width="24" bestFit="1" customWidth="1"/>
    <col min="12" max="12" width="15.7109375" bestFit="1" customWidth="1"/>
    <col min="13" max="13" width="5.85546875" bestFit="1" customWidth="1"/>
    <col min="14" max="14" width="17.140625" bestFit="1" customWidth="1"/>
    <col min="15" max="15" width="10" bestFit="1" customWidth="1"/>
    <col min="16" max="16" width="19.85546875" bestFit="1" customWidth="1"/>
    <col min="17" max="17" width="23.85546875" bestFit="1" customWidth="1"/>
    <col min="18" max="18" width="13.85546875" bestFit="1" customWidth="1"/>
    <col min="19" max="19" width="29.85546875" bestFit="1" customWidth="1"/>
    <col min="20" max="20" width="16.14062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20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69</v>
      </c>
      <c r="L1" t="s">
        <v>66</v>
      </c>
      <c r="M1" t="s">
        <v>4</v>
      </c>
      <c r="N1" t="s">
        <v>67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</row>
    <row r="2" spans="1:30" x14ac:dyDescent="0.25">
      <c r="A2" t="str">
        <f>IF(Input!A3="","",Input!A3)</f>
        <v>conservative model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30" x14ac:dyDescent="0.25">
      <c r="A3" t="str">
        <f>IF(Input!A4="","",Input!A4)</f>
        <v>defensive model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cautious model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balanced model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growth model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adventurous model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atomos active conservative model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atomos active defensive model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atomos active cautious model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atomos active balanced model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atomos active growth model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atomos active adventurous model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atomos index conservative model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atomos index defensive model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atomos index cautious model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atomos index balanced model</v>
      </c>
      <c r="B17" s="5"/>
      <c r="C17" s="5"/>
      <c r="D17" s="5"/>
      <c r="E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atomos index growth model</v>
      </c>
      <c r="B18" s="5"/>
      <c r="C18" s="5"/>
      <c r="D18" s="5"/>
      <c r="E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atomos index adventurous model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atomos socially responsible conservative model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atomos socially responsible defensive model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atomos socially responsible cautious model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atomos socially responsible balanced model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R18" sqref="R18"/>
    </sheetView>
  </sheetViews>
  <sheetFormatPr defaultRowHeight="15" x14ac:dyDescent="0.25"/>
  <cols>
    <col min="1" max="1" width="19.5703125" bestFit="1" customWidth="1"/>
    <col min="4" max="4" width="8.7109375" style="8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conservative model</v>
      </c>
      <c r="B2" t="s">
        <v>54</v>
      </c>
      <c r="C2" t="s">
        <v>32</v>
      </c>
      <c r="D2" s="8" t="s">
        <v>74</v>
      </c>
    </row>
    <row r="3" spans="1:5" x14ac:dyDescent="0.25">
      <c r="A3" t="str">
        <f>IF(Input!A4="","",Input!A4)</f>
        <v>defensive model</v>
      </c>
      <c r="B3" t="s">
        <v>54</v>
      </c>
      <c r="C3" t="s">
        <v>33</v>
      </c>
      <c r="D3" s="8" t="s">
        <v>75</v>
      </c>
    </row>
    <row r="4" spans="1:5" x14ac:dyDescent="0.25">
      <c r="A4" t="str">
        <f>IF(Input!A5="","",Input!A5)</f>
        <v>cautious model</v>
      </c>
      <c r="B4" t="s">
        <v>54</v>
      </c>
      <c r="C4" t="s">
        <v>34</v>
      </c>
      <c r="D4" s="8" t="s">
        <v>76</v>
      </c>
    </row>
    <row r="5" spans="1:5" x14ac:dyDescent="0.25">
      <c r="A5" t="str">
        <f>IF(Input!A6="","",Input!A6)</f>
        <v>balanced model</v>
      </c>
      <c r="B5" t="s">
        <v>54</v>
      </c>
      <c r="C5" t="s">
        <v>35</v>
      </c>
      <c r="D5" s="8" t="s">
        <v>77</v>
      </c>
    </row>
    <row r="6" spans="1:5" x14ac:dyDescent="0.25">
      <c r="A6" t="str">
        <f>IF(Input!A7="","",Input!A7)</f>
        <v>growth model</v>
      </c>
      <c r="B6" t="s">
        <v>54</v>
      </c>
      <c r="C6" t="s">
        <v>36</v>
      </c>
      <c r="D6" s="8" t="s">
        <v>78</v>
      </c>
    </row>
    <row r="7" spans="1:5" x14ac:dyDescent="0.25">
      <c r="A7" t="str">
        <f>IF(Input!A8="","",Input!A8)</f>
        <v>adventurous model</v>
      </c>
      <c r="B7" t="s">
        <v>54</v>
      </c>
      <c r="C7" t="s">
        <v>37</v>
      </c>
      <c r="D7" s="8" t="s">
        <v>79</v>
      </c>
    </row>
    <row r="8" spans="1:5" x14ac:dyDescent="0.25">
      <c r="A8" t="str">
        <f>IF(Input!A9="","",Input!A9)</f>
        <v>atomos active conservative model</v>
      </c>
      <c r="B8" t="s">
        <v>54</v>
      </c>
      <c r="C8" t="s">
        <v>38</v>
      </c>
      <c r="D8" s="8" t="s">
        <v>80</v>
      </c>
    </row>
    <row r="9" spans="1:5" x14ac:dyDescent="0.25">
      <c r="A9" t="str">
        <f>IF(Input!A10="","",Input!A10)</f>
        <v>atomos active defensive model</v>
      </c>
      <c r="B9" t="s">
        <v>54</v>
      </c>
      <c r="C9" t="s">
        <v>39</v>
      </c>
      <c r="D9" s="8" t="s">
        <v>81</v>
      </c>
    </row>
    <row r="10" spans="1:5" x14ac:dyDescent="0.25">
      <c r="A10" t="str">
        <f>IF(Input!A11="","",Input!A11)</f>
        <v>atomos active cautious model</v>
      </c>
      <c r="B10" t="s">
        <v>54</v>
      </c>
      <c r="C10" t="s">
        <v>40</v>
      </c>
      <c r="D10" s="8" t="s">
        <v>82</v>
      </c>
    </row>
    <row r="11" spans="1:5" x14ac:dyDescent="0.25">
      <c r="A11" t="str">
        <f>IF(Input!A12="","",Input!A12)</f>
        <v>atomos active balanced model</v>
      </c>
      <c r="B11" t="s">
        <v>54</v>
      </c>
      <c r="C11" t="s">
        <v>41</v>
      </c>
      <c r="D11" s="8" t="s">
        <v>83</v>
      </c>
    </row>
    <row r="12" spans="1:5" x14ac:dyDescent="0.25">
      <c r="A12" t="str">
        <f>IF(Input!A13="","",Input!A13)</f>
        <v>atomos active growth model</v>
      </c>
      <c r="B12" t="s">
        <v>54</v>
      </c>
      <c r="C12" t="s">
        <v>42</v>
      </c>
      <c r="D12" s="8" t="s">
        <v>84</v>
      </c>
    </row>
    <row r="13" spans="1:5" x14ac:dyDescent="0.25">
      <c r="A13" t="str">
        <f>IF(Input!A14="","",Input!A14)</f>
        <v>atomos active adventurous model</v>
      </c>
      <c r="B13" t="s">
        <v>54</v>
      </c>
      <c r="C13" t="s">
        <v>43</v>
      </c>
      <c r="D13" s="8" t="s">
        <v>85</v>
      </c>
    </row>
    <row r="14" spans="1:5" x14ac:dyDescent="0.25">
      <c r="A14" t="str">
        <f>IF(Input!A15="","",Input!A15)</f>
        <v>atomos index conservative model</v>
      </c>
      <c r="B14" t="s">
        <v>54</v>
      </c>
      <c r="C14" t="s">
        <v>44</v>
      </c>
      <c r="D14" s="8" t="s">
        <v>86</v>
      </c>
    </row>
    <row r="15" spans="1:5" x14ac:dyDescent="0.25">
      <c r="A15" t="str">
        <f>IF(Input!A16="","",Input!A16)</f>
        <v>atomos index defensive model</v>
      </c>
      <c r="B15" t="s">
        <v>54</v>
      </c>
      <c r="C15" t="s">
        <v>45</v>
      </c>
      <c r="D15" s="8" t="s">
        <v>87</v>
      </c>
    </row>
    <row r="16" spans="1:5" x14ac:dyDescent="0.25">
      <c r="A16" t="str">
        <f>IF(Input!A17="","",Input!A17)</f>
        <v>atomos index cautious model</v>
      </c>
      <c r="B16" t="s">
        <v>54</v>
      </c>
      <c r="C16" t="s">
        <v>46</v>
      </c>
      <c r="D16" s="8" t="s">
        <v>88</v>
      </c>
    </row>
    <row r="17" spans="1:4" x14ac:dyDescent="0.25">
      <c r="A17" t="str">
        <f>IF(Input!A18="","",Input!A18)</f>
        <v>atomos index balanced model</v>
      </c>
      <c r="B17" t="s">
        <v>54</v>
      </c>
      <c r="C17" t="s">
        <v>47</v>
      </c>
      <c r="D17" s="8" t="s">
        <v>89</v>
      </c>
    </row>
    <row r="18" spans="1:4" x14ac:dyDescent="0.25">
      <c r="A18" t="str">
        <f>IF(Input!A19="","",Input!A19)</f>
        <v>atomos index growth model</v>
      </c>
      <c r="B18" t="s">
        <v>54</v>
      </c>
      <c r="C18" t="s">
        <v>48</v>
      </c>
      <c r="D18" s="8" t="s">
        <v>90</v>
      </c>
    </row>
    <row r="19" spans="1:4" x14ac:dyDescent="0.25">
      <c r="A19" t="str">
        <f>IF(Input!A20="","",Input!A20)</f>
        <v>atomos index adventurous model</v>
      </c>
      <c r="B19" t="s">
        <v>54</v>
      </c>
      <c r="C19" t="s">
        <v>49</v>
      </c>
      <c r="D19" s="8" t="s">
        <v>91</v>
      </c>
    </row>
    <row r="20" spans="1:4" x14ac:dyDescent="0.25">
      <c r="A20" t="str">
        <f>IF(Input!A21="","",Input!A21)</f>
        <v>atomos socially responsible conservative model</v>
      </c>
      <c r="B20" t="s">
        <v>54</v>
      </c>
      <c r="C20" t="s">
        <v>50</v>
      </c>
      <c r="D20" s="8" t="s">
        <v>92</v>
      </c>
    </row>
    <row r="21" spans="1:4" x14ac:dyDescent="0.25">
      <c r="A21" t="str">
        <f>IF(Input!A22="","",Input!A22)</f>
        <v>atomos socially responsible defensive model</v>
      </c>
      <c r="B21" t="s">
        <v>54</v>
      </c>
      <c r="C21" t="s">
        <v>51</v>
      </c>
      <c r="D21" s="8" t="s">
        <v>93</v>
      </c>
    </row>
    <row r="22" spans="1:4" x14ac:dyDescent="0.25">
      <c r="A22" t="str">
        <f>IF(Input!A23="","",Input!A23)</f>
        <v>atomos socially responsible cautious model</v>
      </c>
      <c r="B22" t="s">
        <v>54</v>
      </c>
      <c r="C22" t="s">
        <v>52</v>
      </c>
      <c r="D22" s="8" t="s">
        <v>94</v>
      </c>
    </row>
    <row r="23" spans="1:4" x14ac:dyDescent="0.25">
      <c r="A23" t="str">
        <f>IF(Input!A24="","",Input!A24)</f>
        <v>atomos socially responsible balanced model</v>
      </c>
      <c r="B23" t="s">
        <v>54</v>
      </c>
      <c r="C23" t="s">
        <v>53</v>
      </c>
      <c r="D23" s="8" t="s">
        <v>95</v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conservative model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defensive model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cautious model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balanced model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growth model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adventurous model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atomos active conservative model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atomos active defensive model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atomos active cautious model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atomos active balanced model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atomos active growth model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atomos active adventurous model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atomos index conservative model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atomos index defensive model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atomos index cautious model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atomos index balanced model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atomos index growth model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atomos index adventurous model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atomos socially responsible conservative model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atomos socially responsible defensive model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atomos socially responsible cautious model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atomos socially responsible balanced model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conservative model</v>
      </c>
      <c r="B2">
        <f>IF(A2="","",'Additional Information'!E2)</f>
        <v>0</v>
      </c>
      <c r="C2">
        <f>IF(A2="","",'Additional Information'!D2)</f>
        <v>0</v>
      </c>
      <c r="D2" s="5">
        <f>IF(A2="","",SUM('Additional Information'!C2))</f>
        <v>0</v>
      </c>
    </row>
    <row r="3" spans="1:4" x14ac:dyDescent="0.25">
      <c r="A3" t="str">
        <f>IF(Input!A4="","",Input!A4)</f>
        <v>defensive model</v>
      </c>
      <c r="B3">
        <f>IF(A3="","",'Additional Information'!E3)</f>
        <v>0</v>
      </c>
      <c r="C3">
        <f>IF(A3="","",'Additional Information'!D3)</f>
        <v>0</v>
      </c>
      <c r="D3" s="5">
        <f>IF(A3="","",SUM('Additional Information'!C3))</f>
        <v>0</v>
      </c>
    </row>
    <row r="4" spans="1:4" x14ac:dyDescent="0.25">
      <c r="A4" t="str">
        <f>IF(Input!A5="","",Input!A5)</f>
        <v>cautious model</v>
      </c>
      <c r="B4">
        <f>IF(A4="","",'Additional Information'!E4)</f>
        <v>0</v>
      </c>
      <c r="C4">
        <f>IF(A4="","",'Additional Information'!D4)</f>
        <v>0</v>
      </c>
      <c r="D4" s="5">
        <f>IF(A4="","",SUM('Additional Information'!C4))</f>
        <v>0</v>
      </c>
    </row>
    <row r="5" spans="1:4" x14ac:dyDescent="0.25">
      <c r="A5" t="str">
        <f>IF(Input!A6="","",Input!A6)</f>
        <v>balanced model</v>
      </c>
      <c r="B5">
        <f>IF(A5="","",'Additional Information'!E5)</f>
        <v>0</v>
      </c>
      <c r="C5">
        <f>IF(A5="","",'Additional Information'!D5)</f>
        <v>0</v>
      </c>
      <c r="D5" s="5">
        <f>IF(A5="","",SUM('Additional Information'!C5))</f>
        <v>0</v>
      </c>
    </row>
    <row r="6" spans="1:4" x14ac:dyDescent="0.25">
      <c r="A6" t="str">
        <f>IF(Input!A7="","",Input!A7)</f>
        <v>growth model</v>
      </c>
      <c r="B6">
        <f>IF(A6="","",'Additional Information'!E6)</f>
        <v>0</v>
      </c>
      <c r="C6">
        <f>IF(A6="","",'Additional Information'!D6)</f>
        <v>0</v>
      </c>
      <c r="D6" s="5">
        <f>IF(A6="","",SUM('Additional Information'!C6))</f>
        <v>0</v>
      </c>
    </row>
    <row r="7" spans="1:4" x14ac:dyDescent="0.25">
      <c r="A7" t="str">
        <f>IF(Input!A8="","",Input!A8)</f>
        <v>adventurous model</v>
      </c>
      <c r="B7">
        <f>IF(A7="","",'Additional Information'!E7)</f>
        <v>0</v>
      </c>
      <c r="C7">
        <f>IF(A7="","",'Additional Information'!D7)</f>
        <v>0</v>
      </c>
      <c r="D7" s="5">
        <f>IF(A7="","",SUM('Additional Information'!C7))</f>
        <v>0</v>
      </c>
    </row>
    <row r="8" spans="1:4" x14ac:dyDescent="0.25">
      <c r="A8" t="str">
        <f>IF(Input!A9="","",Input!A9)</f>
        <v>atomos active conservative model</v>
      </c>
      <c r="B8">
        <f>IF(A8="","",'Additional Information'!E8)</f>
        <v>0</v>
      </c>
      <c r="C8">
        <f>IF(A8="","",'Additional Information'!D8)</f>
        <v>0</v>
      </c>
      <c r="D8" s="5">
        <f>IF(A8="","",SUM('Additional Information'!C8))</f>
        <v>0</v>
      </c>
    </row>
    <row r="9" spans="1:4" x14ac:dyDescent="0.25">
      <c r="A9" t="str">
        <f>IF(Input!A10="","",Input!A10)</f>
        <v>atomos active defensive model</v>
      </c>
      <c r="B9">
        <f>IF(A9="","",'Additional Information'!E9)</f>
        <v>0</v>
      </c>
      <c r="C9">
        <f>IF(A9="","",'Additional Information'!D9)</f>
        <v>0</v>
      </c>
      <c r="D9" s="5">
        <f>IF(A9="","",SUM('Additional Information'!C9))</f>
        <v>0</v>
      </c>
    </row>
    <row r="10" spans="1:4" x14ac:dyDescent="0.25">
      <c r="A10" t="str">
        <f>IF(Input!A11="","",Input!A11)</f>
        <v>atomos active cautious model</v>
      </c>
      <c r="B10">
        <f>IF(A10="","",'Additional Information'!E10)</f>
        <v>0</v>
      </c>
      <c r="C10">
        <f>IF(A10="","",'Additional Information'!D10)</f>
        <v>0</v>
      </c>
      <c r="D10" s="5">
        <f>IF(A10="","",SUM('Additional Information'!C10))</f>
        <v>0</v>
      </c>
    </row>
    <row r="11" spans="1:4" x14ac:dyDescent="0.25">
      <c r="A11" t="str">
        <f>IF(Input!A12="","",Input!A12)</f>
        <v>atomos active balanced model</v>
      </c>
      <c r="B11">
        <f>IF(A11="","",'Additional Information'!E11)</f>
        <v>0</v>
      </c>
      <c r="C11">
        <f>IF(A11="","",'Additional Information'!D11)</f>
        <v>0</v>
      </c>
      <c r="D11" s="5">
        <f>IF(A11="","",SUM('Additional Information'!C11))</f>
        <v>0</v>
      </c>
    </row>
    <row r="12" spans="1:4" x14ac:dyDescent="0.25">
      <c r="A12" t="str">
        <f>IF(Input!A13="","",Input!A13)</f>
        <v>atomos active growth model</v>
      </c>
      <c r="B12">
        <f>IF(A12="","",'Additional Information'!E12)</f>
        <v>0</v>
      </c>
      <c r="C12">
        <f>IF(A12="","",'Additional Information'!D12)</f>
        <v>0</v>
      </c>
      <c r="D12" s="5">
        <f>IF(A12="","",SUM('Additional Information'!C12))</f>
        <v>0</v>
      </c>
    </row>
    <row r="13" spans="1:4" x14ac:dyDescent="0.25">
      <c r="A13" t="str">
        <f>IF(Input!A14="","",Input!A14)</f>
        <v>atomos active adventurous model</v>
      </c>
      <c r="B13">
        <f>IF(A13="","",'Additional Information'!E13)</f>
        <v>0</v>
      </c>
      <c r="C13">
        <f>IF(A13="","",'Additional Information'!D13)</f>
        <v>0</v>
      </c>
      <c r="D13" s="5">
        <f>IF(A13="","",SUM('Additional Information'!C13))</f>
        <v>0</v>
      </c>
    </row>
    <row r="14" spans="1:4" x14ac:dyDescent="0.25">
      <c r="A14" t="str">
        <f>IF(Input!A15="","",Input!A15)</f>
        <v>atomos index conservative model</v>
      </c>
      <c r="B14">
        <f>IF(A14="","",'Additional Information'!E14)</f>
        <v>0</v>
      </c>
      <c r="C14">
        <f>IF(A14="","",'Additional Information'!D14)</f>
        <v>0</v>
      </c>
      <c r="D14" s="5">
        <f>IF(A14="","",SUM('Additional Information'!C14))</f>
        <v>0</v>
      </c>
    </row>
    <row r="15" spans="1:4" x14ac:dyDescent="0.25">
      <c r="A15" t="str">
        <f>IF(Input!A16="","",Input!A16)</f>
        <v>atomos index defensive model</v>
      </c>
      <c r="B15">
        <f>IF(A15="","",'Additional Information'!E15)</f>
        <v>0</v>
      </c>
      <c r="C15">
        <f>IF(A15="","",'Additional Information'!D15)</f>
        <v>0</v>
      </c>
      <c r="D15" s="5">
        <f>IF(A15="","",SUM('Additional Information'!C15))</f>
        <v>0</v>
      </c>
    </row>
    <row r="16" spans="1:4" x14ac:dyDescent="0.25">
      <c r="A16" t="str">
        <f>IF(Input!A17="","",Input!A17)</f>
        <v>atomos index cautious model</v>
      </c>
      <c r="B16">
        <f>IF(A16="","",'Additional Information'!E16)</f>
        <v>0</v>
      </c>
      <c r="C16">
        <f>IF(A16="","",'Additional Information'!D16)</f>
        <v>0</v>
      </c>
      <c r="D16" s="5">
        <f>IF(A16="","",SUM('Additional Information'!C16))</f>
        <v>0</v>
      </c>
    </row>
    <row r="17" spans="1:4" x14ac:dyDescent="0.25">
      <c r="A17" t="str">
        <f>IF(Input!A18="","",Input!A18)</f>
        <v>atomos index balanced model</v>
      </c>
      <c r="B17">
        <f>IF(A17="","",'Additional Information'!E17)</f>
        <v>0</v>
      </c>
      <c r="C17">
        <f>IF(A17="","",'Additional Information'!D17)</f>
        <v>0</v>
      </c>
      <c r="D17" s="5">
        <f>IF(A17="","",SUM('Additional Information'!C17))</f>
        <v>0</v>
      </c>
    </row>
    <row r="18" spans="1:4" x14ac:dyDescent="0.25">
      <c r="A18" t="str">
        <f>IF(Input!A19="","",Input!A19)</f>
        <v>atomos index growth model</v>
      </c>
      <c r="B18">
        <f>IF(A18="","",'Additional Information'!E18)</f>
        <v>0</v>
      </c>
      <c r="C18">
        <f>IF(A18="","",'Additional Information'!D18)</f>
        <v>0</v>
      </c>
      <c r="D18" s="5">
        <f>IF(A18="","",SUM('Additional Information'!C18))</f>
        <v>0</v>
      </c>
    </row>
    <row r="19" spans="1:4" x14ac:dyDescent="0.25">
      <c r="A19" t="str">
        <f>IF(Input!A20="","",Input!A20)</f>
        <v>atomos index adventurous model</v>
      </c>
      <c r="B19">
        <f>IF(A19="","",'Additional Information'!E19)</f>
        <v>0</v>
      </c>
      <c r="C19">
        <f>IF(A19="","",'Additional Information'!D19)</f>
        <v>0</v>
      </c>
      <c r="D19" s="5">
        <f>IF(A19="","",SUM('Additional Information'!C19))</f>
        <v>0</v>
      </c>
    </row>
    <row r="20" spans="1:4" x14ac:dyDescent="0.25">
      <c r="A20" t="str">
        <f>IF(Input!A21="","",Input!A21)</f>
        <v>atomos socially responsible conservative model</v>
      </c>
      <c r="B20">
        <f>IF(A20="","",'Additional Information'!E20)</f>
        <v>0</v>
      </c>
      <c r="C20">
        <f>IF(A20="","",'Additional Information'!D20)</f>
        <v>0</v>
      </c>
      <c r="D20" s="5">
        <f>IF(A20="","",SUM('Additional Information'!C20))</f>
        <v>0</v>
      </c>
    </row>
    <row r="21" spans="1:4" x14ac:dyDescent="0.25">
      <c r="A21" t="str">
        <f>IF(Input!A22="","",Input!A22)</f>
        <v>atomos socially responsible defensive model</v>
      </c>
      <c r="B21">
        <f>IF(A21="","",'Additional Information'!E21)</f>
        <v>0</v>
      </c>
      <c r="C21">
        <f>IF(A21="","",'Additional Information'!D21)</f>
        <v>0</v>
      </c>
      <c r="D21" s="5">
        <f>IF(A21="","",SUM('Additional Information'!C21))</f>
        <v>0</v>
      </c>
    </row>
    <row r="22" spans="1:4" x14ac:dyDescent="0.25">
      <c r="A22" t="str">
        <f>IF(Input!A23="","",Input!A23)</f>
        <v>atomos socially responsible cautious model</v>
      </c>
      <c r="B22">
        <f>IF(A22="","",'Additional Information'!E22)</f>
        <v>0</v>
      </c>
      <c r="C22">
        <f>IF(A22="","",'Additional Information'!D22)</f>
        <v>0</v>
      </c>
      <c r="D22" s="5">
        <f>IF(A22="","",SUM('Additional Information'!C22))</f>
        <v>0</v>
      </c>
    </row>
    <row r="23" spans="1:4" x14ac:dyDescent="0.25">
      <c r="A23" t="str">
        <f>IF(Input!A24="","",Input!A24)</f>
        <v>atomos socially responsible balanced model</v>
      </c>
      <c r="B23">
        <f>IF(A23="","",'Additional Information'!E23)</f>
        <v>0</v>
      </c>
      <c r="C23">
        <f>IF(A23="","",'Additional Information'!D23)</f>
        <v>0</v>
      </c>
      <c r="D23" s="5">
        <f>IF(A23="","",SUM('Additional Information'!C23))</f>
        <v>0</v>
      </c>
    </row>
    <row r="24" spans="1:4" x14ac:dyDescent="0.25">
      <c r="A24" t="str">
        <f>IF(Input!A25="","",Input!A25)</f>
        <v/>
      </c>
      <c r="B24" t="str">
        <f>IF(A24="","",'Additional Information'!E24)</f>
        <v/>
      </c>
      <c r="C24" t="str">
        <f>IF(A24="","",'Additional Information'!D24)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B25" t="str">
        <f>IF(A25="","",'Additional Information'!E25)</f>
        <v/>
      </c>
      <c r="C25" t="str">
        <f>IF(A25="","",'Additional Information'!D25)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B26" t="str">
        <f>IF(A26="","",'Additional Information'!E26)</f>
        <v/>
      </c>
      <c r="C26" t="str">
        <f>IF(A26="","",'Additional Information'!D26)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B27" t="str">
        <f>IF(A27="","",'Additional Information'!E27)</f>
        <v/>
      </c>
      <c r="C27" t="str">
        <f>IF(A27="","",'Additional Information'!D27)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B28" t="str">
        <f>IF(A28="","",'Additional Information'!E28)</f>
        <v/>
      </c>
      <c r="C28" t="str">
        <f>IF(A28="","",'Additional Information'!D28)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B29" t="str">
        <f>IF(A29="","",'Additional Information'!E29)</f>
        <v/>
      </c>
      <c r="C29" t="str">
        <f>IF(A29="","",'Additional Information'!D29)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B30" t="str">
        <f>IF(A30="","",'Additional Information'!E30)</f>
        <v/>
      </c>
      <c r="C30" t="str">
        <f>IF(A30="","",'Additional Information'!D30)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B31" t="str">
        <f>IF(A31="","",'Additional Information'!E31)</f>
        <v/>
      </c>
      <c r="C31" t="str">
        <f>IF(A31="","",'Additional Information'!D31)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B32" t="str">
        <f>IF(A32="","",'Additional Information'!E32)</f>
        <v/>
      </c>
      <c r="C32" t="str">
        <f>IF(A32="","",'Additional Information'!D32)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B33" t="str">
        <f>IF(A33="","",'Additional Information'!E33)</f>
        <v/>
      </c>
      <c r="C33" t="str">
        <f>IF(A33="","",'Additional Information'!D33)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B34" t="str">
        <f>IF(A34="","",'Additional Information'!E34)</f>
        <v/>
      </c>
      <c r="C34" t="str">
        <f>IF(A34="","",'Additional Information'!D34)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B35" t="str">
        <f>IF(A35="","",'Additional Information'!E35)</f>
        <v/>
      </c>
      <c r="C35" t="str">
        <f>IF(A35="","",'Additional Information'!D35)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B36" t="str">
        <f>IF(A36="","",'Additional Information'!E36)</f>
        <v/>
      </c>
      <c r="C36" t="str">
        <f>IF(A36="","",'Additional Information'!D36)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B37" t="str">
        <f>IF(A37="","",'Additional Information'!E37)</f>
        <v/>
      </c>
      <c r="C37" t="str">
        <f>IF(A37="","",'Additional Information'!D37)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B38" t="str">
        <f>IF(A38="","",'Additional Information'!E38)</f>
        <v/>
      </c>
      <c r="C38" t="str">
        <f>IF(A38="","",'Additional Information'!D38)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Information'!D39)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Information'!D40)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Information'!D41)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Information'!D42)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Information'!D43)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Information'!D44)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Information'!D45)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Information'!D46)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Information'!D47)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Information'!D48)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Information'!D49)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Information'!D50)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conservative model</v>
      </c>
      <c r="B2">
        <f>IF(A2="","",SUM('Asset Allocation'!B2,'Asset Allocation'!C2,'Asset Allocation'!D2,'Asset Allocation'!E2,'Asset Allocation'!F2,'Asset Allocation'!G2,'Asset Allocation'!N2,'Asset Allocation'!O2,'Asset Allocation'!Q2))</f>
        <v>0</v>
      </c>
      <c r="C2">
        <f>IF(A2="","",SUM('Asset Allocation'!H2,'Asset Allocation'!I2,'Asset Allocation'!J2,'Asset Allocation'!R2,'Asset Allocation'!S2,'Asset Allocation'!T2))</f>
        <v>0</v>
      </c>
      <c r="F2">
        <f>IF(A2="","",SUM('Asset Allocation'!L2,'Asset Allocation'!K2,'Asset Allocation'!P2))</f>
        <v>0</v>
      </c>
      <c r="G2">
        <f>IF(A2="","",SUM('Asset Allocation'!M2))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defensive model</v>
      </c>
      <c r="B3">
        <f>IF(A3="","",SUM('Asset Allocation'!B3,'Asset Allocation'!C3,'Asset Allocation'!D3,'Asset Allocation'!E3,'Asset Allocation'!F3,'Asset Allocation'!G3,'Asset Allocation'!N3,'Asset Allocation'!O3,'Asset Allocation'!Q3))</f>
        <v>0</v>
      </c>
      <c r="C3">
        <f>IF(A3="","",SUM('Asset Allocation'!H3,'Asset Allocation'!I3,'Asset Allocation'!J3,'Asset Allocation'!R3,'Asset Allocation'!S3,'Asset Allocation'!T3))</f>
        <v>0</v>
      </c>
      <c r="F3">
        <f>IF(A3="","",SUM('Asset Allocation'!L3,'Asset Allocation'!K3,'Asset Allocation'!P3))</f>
        <v>0</v>
      </c>
      <c r="G3">
        <f>IF(A3="","",SUM('Asset Allocation'!M3))</f>
        <v>0</v>
      </c>
      <c r="H3">
        <f t="shared" si="0"/>
        <v>1</v>
      </c>
    </row>
    <row r="4" spans="1:8" x14ac:dyDescent="0.25">
      <c r="A4" t="str">
        <f>IF(Input!A5="","",Input!A5)</f>
        <v>cautious model</v>
      </c>
      <c r="B4">
        <f>IF(A4="","",SUM('Asset Allocation'!B4,'Asset Allocation'!C4,'Asset Allocation'!D4,'Asset Allocation'!E4,'Asset Allocation'!F4,'Asset Allocation'!G4,'Asset Allocation'!N4,'Asset Allocation'!O4,'Asset Allocation'!Q4))</f>
        <v>0</v>
      </c>
      <c r="C4">
        <f>IF(A4="","",SUM('Asset Allocation'!H4,'Asset Allocation'!I4,'Asset Allocation'!J4,'Asset Allocation'!R4,'Asset Allocation'!S4,'Asset Allocation'!T4))</f>
        <v>0</v>
      </c>
      <c r="F4">
        <f>IF(A4="","",SUM('Asset Allocation'!L4,'Asset Allocation'!K4,'Asset Allocation'!P4))</f>
        <v>0</v>
      </c>
      <c r="G4">
        <f>IF(A4="","",SUM('Asset Allocation'!M4))</f>
        <v>0</v>
      </c>
      <c r="H4">
        <f t="shared" si="0"/>
        <v>1</v>
      </c>
    </row>
    <row r="5" spans="1:8" x14ac:dyDescent="0.25">
      <c r="A5" t="str">
        <f>IF(Input!A6="","",Input!A6)</f>
        <v>balanced model</v>
      </c>
      <c r="B5">
        <f>IF(A5="","",SUM('Asset Allocation'!B5,'Asset Allocation'!C5,'Asset Allocation'!D5,'Asset Allocation'!E5,'Asset Allocation'!F5,'Asset Allocation'!G5,'Asset Allocation'!N5,'Asset Allocation'!O5,'Asset Allocation'!Q5))</f>
        <v>0</v>
      </c>
      <c r="C5">
        <f>IF(A5="","",SUM('Asset Allocation'!H5,'Asset Allocation'!I5,'Asset Allocation'!J5,'Asset Allocation'!R5,'Asset Allocation'!S5,'Asset Allocation'!T5))</f>
        <v>0</v>
      </c>
      <c r="F5">
        <f>IF(A5="","",SUM('Asset Allocation'!L5,'Asset Allocation'!K5,'Asset Allocation'!P5))</f>
        <v>0</v>
      </c>
      <c r="G5">
        <f>IF(A5="","",SUM('Asset Allocation'!M5))</f>
        <v>0</v>
      </c>
      <c r="H5">
        <f t="shared" si="0"/>
        <v>1</v>
      </c>
    </row>
    <row r="6" spans="1:8" x14ac:dyDescent="0.25">
      <c r="A6" t="str">
        <f>IF(Input!A7="","",Input!A7)</f>
        <v>growth model</v>
      </c>
      <c r="B6">
        <f>IF(A6="","",SUM('Asset Allocation'!B6,'Asset Allocation'!C6,'Asset Allocation'!D6,'Asset Allocation'!E6,'Asset Allocation'!F6,'Asset Allocation'!G6,'Asset Allocation'!N6,'Asset Allocation'!O6,'Asset Allocation'!Q6))</f>
        <v>0</v>
      </c>
      <c r="C6">
        <f>IF(A6="","",SUM('Asset Allocation'!H6,'Asset Allocation'!I6,'Asset Allocation'!J6,'Asset Allocation'!R6,'Asset Allocation'!S6,'Asset Allocation'!T6))</f>
        <v>0</v>
      </c>
      <c r="F6">
        <f>IF(A6="","",SUM('Asset Allocation'!L6,'Asset Allocation'!K6,'Asset Allocation'!P6))</f>
        <v>0</v>
      </c>
      <c r="G6">
        <f>IF(A6="","",SUM('Asset Allocation'!M6))</f>
        <v>0</v>
      </c>
      <c r="H6">
        <f t="shared" si="0"/>
        <v>1</v>
      </c>
    </row>
    <row r="7" spans="1:8" x14ac:dyDescent="0.25">
      <c r="A7" t="str">
        <f>IF(Input!A8="","",Input!A8)</f>
        <v>adventurous model</v>
      </c>
      <c r="B7">
        <f>IF(A7="","",SUM('Asset Allocation'!B7,'Asset Allocation'!C7,'Asset Allocation'!D7,'Asset Allocation'!E7,'Asset Allocation'!F7,'Asset Allocation'!G7,'Asset Allocation'!N7,'Asset Allocation'!O7,'Asset Allocation'!Q7))</f>
        <v>0</v>
      </c>
      <c r="C7">
        <f>IF(A7="","",SUM('Asset Allocation'!H7,'Asset Allocation'!I7,'Asset Allocation'!J7,'Asset Allocation'!R7,'Asset Allocation'!S7,'Asset Allocation'!T7))</f>
        <v>0</v>
      </c>
      <c r="F7">
        <f>IF(A7="","",SUM('Asset Allocation'!L7,'Asset Allocation'!K7,'Asset Allocation'!P7))</f>
        <v>0</v>
      </c>
      <c r="G7">
        <f>IF(A7="","",SUM('Asset Allocation'!M7))</f>
        <v>0</v>
      </c>
      <c r="H7">
        <f t="shared" si="0"/>
        <v>1</v>
      </c>
    </row>
    <row r="8" spans="1:8" x14ac:dyDescent="0.25">
      <c r="A8" t="str">
        <f>IF(Input!A9="","",Input!A9)</f>
        <v>atomos active conservative model</v>
      </c>
      <c r="B8">
        <f>IF(A8="","",SUM('Asset Allocation'!B8,'Asset Allocation'!C8,'Asset Allocation'!D8,'Asset Allocation'!E8,'Asset Allocation'!F8,'Asset Allocation'!G8,'Asset Allocation'!N8,'Asset Allocation'!O8,'Asset Allocation'!Q8))</f>
        <v>0</v>
      </c>
      <c r="C8">
        <f>IF(A8="","",SUM('Asset Allocation'!H8,'Asset Allocation'!I8,'Asset Allocation'!J8,'Asset Allocation'!R8,'Asset Allocation'!S8,'Asset Allocation'!T8))</f>
        <v>0</v>
      </c>
      <c r="F8">
        <f>IF(A8="","",SUM('Asset Allocation'!L8,'Asset Allocation'!K8,'Asset Allocation'!P8))</f>
        <v>0</v>
      </c>
      <c r="G8">
        <f>IF(A8="","",SUM('Asset Allocation'!M8))</f>
        <v>0</v>
      </c>
      <c r="H8">
        <f t="shared" si="0"/>
        <v>1</v>
      </c>
    </row>
    <row r="9" spans="1:8" x14ac:dyDescent="0.25">
      <c r="A9" t="str">
        <f>IF(Input!A10="","",Input!A10)</f>
        <v>atomos active defensive model</v>
      </c>
      <c r="B9">
        <f>IF(A9="","",SUM('Asset Allocation'!B9,'Asset Allocation'!C9,'Asset Allocation'!D9,'Asset Allocation'!E9,'Asset Allocation'!F9,'Asset Allocation'!G9,'Asset Allocation'!N9,'Asset Allocation'!O9,'Asset Allocation'!Q9))</f>
        <v>0</v>
      </c>
      <c r="C9">
        <f>IF(A9="","",SUM('Asset Allocation'!H9,'Asset Allocation'!I9,'Asset Allocation'!J9,'Asset Allocation'!R9,'Asset Allocation'!S9,'Asset Allocation'!T9))</f>
        <v>0</v>
      </c>
      <c r="F9">
        <f>IF(A9="","",SUM('Asset Allocation'!L9,'Asset Allocation'!K9,'Asset Allocation'!P9))</f>
        <v>0</v>
      </c>
      <c r="G9">
        <f>IF(A9="","",SUM('Asset Allocation'!M9))</f>
        <v>0</v>
      </c>
      <c r="H9">
        <f t="shared" si="0"/>
        <v>1</v>
      </c>
    </row>
    <row r="10" spans="1:8" x14ac:dyDescent="0.25">
      <c r="A10" t="str">
        <f>IF(Input!A11="","",Input!A11)</f>
        <v>atomos active cautious model</v>
      </c>
      <c r="B10">
        <f>IF(A10="","",SUM('Asset Allocation'!B10,'Asset Allocation'!C10,'Asset Allocation'!D10,'Asset Allocation'!E10,'Asset Allocation'!F10,'Asset Allocation'!G10,'Asset Allocation'!N10,'Asset Allocation'!O10,'Asset Allocation'!Q10))</f>
        <v>0</v>
      </c>
      <c r="C10">
        <f>IF(A10="","",SUM('Asset Allocation'!H10,'Asset Allocation'!I10,'Asset Allocation'!J10,'Asset Allocation'!R10,'Asset Allocation'!S10,'Asset Allocation'!T10))</f>
        <v>0</v>
      </c>
      <c r="F10">
        <f>IF(A10="","",SUM('Asset Allocation'!L10,'Asset Allocation'!K10,'Asset Allocation'!P10))</f>
        <v>0</v>
      </c>
      <c r="G10">
        <f>IF(A10="","",SUM('Asset Allocation'!M10))</f>
        <v>0</v>
      </c>
      <c r="H10">
        <f t="shared" si="0"/>
        <v>1</v>
      </c>
    </row>
    <row r="11" spans="1:8" x14ac:dyDescent="0.25">
      <c r="A11" t="str">
        <f>IF(Input!A12="","",Input!A12)</f>
        <v>atomos active balanced model</v>
      </c>
      <c r="B11">
        <f>IF(A11="","",SUM('Asset Allocation'!B11,'Asset Allocation'!C11,'Asset Allocation'!D11,'Asset Allocation'!E11,'Asset Allocation'!F11,'Asset Allocation'!G11,'Asset Allocation'!N11,'Asset Allocation'!O11,'Asset Allocation'!Q11))</f>
        <v>0</v>
      </c>
      <c r="C11">
        <f>IF(A11="","",SUM('Asset Allocation'!H11,'Asset Allocation'!I11,'Asset Allocation'!J11,'Asset Allocation'!R11,'Asset Allocation'!S11,'Asset Allocation'!T11))</f>
        <v>0</v>
      </c>
      <c r="F11">
        <f>IF(A11="","",SUM('Asset Allocation'!L11,'Asset Allocation'!K11,'Asset Allocation'!P11))</f>
        <v>0</v>
      </c>
      <c r="G11">
        <f>IF(A11="","",SUM('Asset Allocation'!M11))</f>
        <v>0</v>
      </c>
      <c r="H11">
        <f t="shared" si="0"/>
        <v>1</v>
      </c>
    </row>
    <row r="12" spans="1:8" x14ac:dyDescent="0.25">
      <c r="A12" t="str">
        <f>IF(Input!A13="","",Input!A13)</f>
        <v>atomos active growth model</v>
      </c>
      <c r="B12">
        <f>IF(A12="","",SUM('Asset Allocation'!B12,'Asset Allocation'!C12,'Asset Allocation'!D12,'Asset Allocation'!E12,'Asset Allocation'!F12,'Asset Allocation'!G12,'Asset Allocation'!N12,'Asset Allocation'!O12,'Asset Allocation'!Q12))</f>
        <v>0</v>
      </c>
      <c r="C12">
        <f>IF(A12="","",SUM('Asset Allocation'!H12,'Asset Allocation'!I12,'Asset Allocation'!J12,'Asset Allocation'!R12,'Asset Allocation'!S12,'Asset Allocation'!T12))</f>
        <v>0</v>
      </c>
      <c r="F12">
        <f>IF(A12="","",SUM('Asset Allocation'!L12,'Asset Allocation'!K12,'Asset Allocation'!P12))</f>
        <v>0</v>
      </c>
      <c r="G12">
        <f>IF(A12="","",SUM('Asset Allocation'!M12))</f>
        <v>0</v>
      </c>
      <c r="H12">
        <f t="shared" si="0"/>
        <v>1</v>
      </c>
    </row>
    <row r="13" spans="1:8" x14ac:dyDescent="0.25">
      <c r="A13" t="str">
        <f>IF(Input!A14="","",Input!A14)</f>
        <v>atomos active adventurous model</v>
      </c>
      <c r="B13">
        <f>IF(A13="","",SUM('Asset Allocation'!B13,'Asset Allocation'!C13,'Asset Allocation'!D13,'Asset Allocation'!E13,'Asset Allocation'!F13,'Asset Allocation'!G13,'Asset Allocation'!N13,'Asset Allocation'!O13,'Asset Allocation'!Q13))</f>
        <v>0</v>
      </c>
      <c r="C13">
        <f>IF(A13="","",SUM('Asset Allocation'!H13,'Asset Allocation'!I13,'Asset Allocation'!J13,'Asset Allocation'!R13,'Asset Allocation'!S13,'Asset Allocation'!T13))</f>
        <v>0</v>
      </c>
      <c r="F13">
        <f>IF(A13="","",SUM('Asset Allocation'!L13,'Asset Allocation'!K13,'Asset Allocation'!P13))</f>
        <v>0</v>
      </c>
      <c r="G13">
        <f>IF(A13="","",SUM('Asset Allocation'!M13))</f>
        <v>0</v>
      </c>
      <c r="H13">
        <f t="shared" si="0"/>
        <v>1</v>
      </c>
    </row>
    <row r="14" spans="1:8" x14ac:dyDescent="0.25">
      <c r="A14" t="str">
        <f>IF(Input!A15="","",Input!A15)</f>
        <v>atomos index conservative model</v>
      </c>
      <c r="B14">
        <f>IF(A14="","",SUM('Asset Allocation'!B14,'Asset Allocation'!C14,'Asset Allocation'!D14,'Asset Allocation'!E14,'Asset Allocation'!F14,'Asset Allocation'!G14,'Asset Allocation'!N14,'Asset Allocation'!O14,'Asset Allocation'!Q14))</f>
        <v>0</v>
      </c>
      <c r="C14">
        <f>IF(A14="","",SUM('Asset Allocation'!H14,'Asset Allocation'!I14,'Asset Allocation'!J14,'Asset Allocation'!R14,'Asset Allocation'!S14,'Asset Allocation'!T14))</f>
        <v>0</v>
      </c>
      <c r="F14">
        <f>IF(A14="","",SUM('Asset Allocation'!L14,'Asset Allocation'!K14,'Asset Allocation'!P14))</f>
        <v>0</v>
      </c>
      <c r="G14">
        <f>IF(A14="","",SUM('Asset Allocation'!M14))</f>
        <v>0</v>
      </c>
      <c r="H14">
        <f t="shared" si="0"/>
        <v>1</v>
      </c>
    </row>
    <row r="15" spans="1:8" x14ac:dyDescent="0.25">
      <c r="A15" t="str">
        <f>IF(Input!A16="","",Input!A16)</f>
        <v>atomos index defensive model</v>
      </c>
      <c r="B15">
        <f>IF(A15="","",SUM('Asset Allocation'!B15,'Asset Allocation'!C15,'Asset Allocation'!D15,'Asset Allocation'!E15,'Asset Allocation'!F15,'Asset Allocation'!G15,'Asset Allocation'!N15,'Asset Allocation'!O15,'Asset Allocation'!Q15))</f>
        <v>0</v>
      </c>
      <c r="C15">
        <f>IF(A15="","",SUM('Asset Allocation'!H15,'Asset Allocation'!I15,'Asset Allocation'!J15,'Asset Allocation'!R15,'Asset Allocation'!S15,'Asset Allocation'!T15))</f>
        <v>0</v>
      </c>
      <c r="F15">
        <f>IF(A15="","",SUM('Asset Allocation'!L15,'Asset Allocation'!K15,'Asset Allocation'!P15))</f>
        <v>0</v>
      </c>
      <c r="G15">
        <f>IF(A15="","",SUM('Asset Allocation'!M15))</f>
        <v>0</v>
      </c>
      <c r="H15">
        <f t="shared" si="0"/>
        <v>1</v>
      </c>
    </row>
    <row r="16" spans="1:8" x14ac:dyDescent="0.25">
      <c r="A16" t="str">
        <f>IF(Input!A17="","",Input!A17)</f>
        <v>atomos index cautious model</v>
      </c>
      <c r="B16">
        <f>IF(A16="","",SUM('Asset Allocation'!B16,'Asset Allocation'!C16,'Asset Allocation'!D16,'Asset Allocation'!E16,'Asset Allocation'!F16,'Asset Allocation'!G16,'Asset Allocation'!N16,'Asset Allocation'!O16,'Asset Allocation'!Q16))</f>
        <v>0</v>
      </c>
      <c r="C16">
        <f>IF(A16="","",SUM('Asset Allocation'!H16,'Asset Allocation'!I16,'Asset Allocation'!J16,'Asset Allocation'!R16,'Asset Allocation'!S16,'Asset Allocation'!T16))</f>
        <v>0</v>
      </c>
      <c r="F16">
        <f>IF(A16="","",SUM('Asset Allocation'!L16,'Asset Allocation'!K16,'Asset Allocation'!P16))</f>
        <v>0</v>
      </c>
      <c r="G16">
        <f>IF(A16="","",SUM('Asset Allocation'!M16))</f>
        <v>0</v>
      </c>
      <c r="H16">
        <f t="shared" si="0"/>
        <v>1</v>
      </c>
    </row>
    <row r="17" spans="1:8" x14ac:dyDescent="0.25">
      <c r="A17" t="str">
        <f>IF(Input!A18="","",Input!A18)</f>
        <v>atomos index balanced model</v>
      </c>
      <c r="B17">
        <f>IF(A17="","",SUM('Asset Allocation'!B17,'Asset Allocation'!C17,'Asset Allocation'!D17,'Asset Allocation'!E17,'Asset Allocation'!F17,'Asset Allocation'!G17,'Asset Allocation'!N17,'Asset Allocation'!O17,'Asset Allocation'!Q17))</f>
        <v>0</v>
      </c>
      <c r="C17">
        <f>IF(A17="","",SUM('Asset Allocation'!H17,'Asset Allocation'!I17,'Asset Allocation'!J17,'Asset Allocation'!R17,'Asset Allocation'!S17,'Asset Allocation'!T17))</f>
        <v>0</v>
      </c>
      <c r="F17">
        <f>IF(A17="","",SUM('Asset Allocation'!L17,'Asset Allocation'!K17,'Asset Allocation'!P17))</f>
        <v>0</v>
      </c>
      <c r="G17">
        <f>IF(A17="","",SUM('Asset Allocation'!M17))</f>
        <v>0</v>
      </c>
      <c r="H17">
        <f t="shared" si="0"/>
        <v>1</v>
      </c>
    </row>
    <row r="18" spans="1:8" x14ac:dyDescent="0.25">
      <c r="A18" t="str">
        <f>IF(Input!A19="","",Input!A19)</f>
        <v>atomos index growth model</v>
      </c>
      <c r="B18">
        <f>IF(A18="","",SUM('Asset Allocation'!B18,'Asset Allocation'!C18,'Asset Allocation'!D18,'Asset Allocation'!E18,'Asset Allocation'!F18,'Asset Allocation'!G18,'Asset Allocation'!N18,'Asset Allocation'!O18,'Asset Allocation'!Q18))</f>
        <v>0</v>
      </c>
      <c r="C18">
        <f>IF(A18="","",SUM('Asset Allocation'!H18,'Asset Allocation'!I18,'Asset Allocation'!J18,'Asset Allocation'!R18,'Asset Allocation'!S18,'Asset Allocation'!T18))</f>
        <v>0</v>
      </c>
      <c r="F18">
        <f>IF(A18="","",SUM('Asset Allocation'!L18,'Asset Allocation'!K18,'Asset Allocation'!P18))</f>
        <v>0</v>
      </c>
      <c r="G18">
        <f>IF(A18="","",SUM('Asset Allocation'!M18))</f>
        <v>0</v>
      </c>
      <c r="H18">
        <f t="shared" si="0"/>
        <v>1</v>
      </c>
    </row>
    <row r="19" spans="1:8" x14ac:dyDescent="0.25">
      <c r="A19" t="str">
        <f>IF(Input!A20="","",Input!A20)</f>
        <v>atomos index adventurous model</v>
      </c>
      <c r="B19">
        <f>IF(A19="","",SUM('Asset Allocation'!B19,'Asset Allocation'!C19,'Asset Allocation'!D19,'Asset Allocation'!E19,'Asset Allocation'!F19,'Asset Allocation'!G19,'Asset Allocation'!N19,'Asset Allocation'!O19,'Asset Allocation'!Q19))</f>
        <v>0</v>
      </c>
      <c r="C19">
        <f>IF(A19="","",SUM('Asset Allocation'!H19,'Asset Allocation'!I19,'Asset Allocation'!J19,'Asset Allocation'!R19,'Asset Allocation'!S19,'Asset Allocation'!T19))</f>
        <v>0</v>
      </c>
      <c r="F19">
        <f>IF(A19="","",SUM('Asset Allocation'!L19,'Asset Allocation'!K19,'Asset Allocation'!P19))</f>
        <v>0</v>
      </c>
      <c r="G19">
        <f>IF(A19="","",SUM('Asset Allocation'!M19))</f>
        <v>0</v>
      </c>
      <c r="H19">
        <f t="shared" si="0"/>
        <v>1</v>
      </c>
    </row>
    <row r="20" spans="1:8" x14ac:dyDescent="0.25">
      <c r="A20" t="str">
        <f>IF(Input!A21="","",Input!A21)</f>
        <v>atomos socially responsible conservative model</v>
      </c>
      <c r="B20">
        <f>IF(A20="","",SUM('Asset Allocation'!B20,'Asset Allocation'!C20,'Asset Allocation'!D20,'Asset Allocation'!E20,'Asset Allocation'!F20,'Asset Allocation'!G20,'Asset Allocation'!N20,'Asset Allocation'!O20,'Asset Allocation'!Q20))</f>
        <v>0</v>
      </c>
      <c r="C20">
        <f>IF(A20="","",SUM('Asset Allocation'!H20,'Asset Allocation'!I20,'Asset Allocation'!J20,'Asset Allocation'!R20,'Asset Allocation'!S20,'Asset Allocation'!T20))</f>
        <v>0</v>
      </c>
      <c r="F20">
        <f>IF(A20="","",SUM('Asset Allocation'!L20,'Asset Allocation'!K20,'Asset Allocation'!P20))</f>
        <v>0</v>
      </c>
      <c r="G20">
        <f>IF(A20="","",SUM('Asset Allocation'!M20))</f>
        <v>0</v>
      </c>
      <c r="H20">
        <f t="shared" si="0"/>
        <v>1</v>
      </c>
    </row>
    <row r="21" spans="1:8" x14ac:dyDescent="0.25">
      <c r="A21" t="str">
        <f>IF(Input!A22="","",Input!A22)</f>
        <v>atomos socially responsible defensive model</v>
      </c>
      <c r="B21">
        <f>IF(A21="","",SUM('Asset Allocation'!B21,'Asset Allocation'!C21,'Asset Allocation'!D21,'Asset Allocation'!E21,'Asset Allocation'!F21,'Asset Allocation'!G21,'Asset Allocation'!N21,'Asset Allocation'!O21,'Asset Allocation'!Q21))</f>
        <v>0</v>
      </c>
      <c r="C21">
        <f>IF(A21="","",SUM('Asset Allocation'!H21,'Asset Allocation'!I21,'Asset Allocation'!J21,'Asset Allocation'!R21,'Asset Allocation'!S21,'Asset Allocation'!T21))</f>
        <v>0</v>
      </c>
      <c r="F21">
        <f>IF(A21="","",SUM('Asset Allocation'!L21,'Asset Allocation'!K21,'Asset Allocation'!P21))</f>
        <v>0</v>
      </c>
      <c r="G21">
        <f>IF(A21="","",SUM('Asset Allocation'!M21))</f>
        <v>0</v>
      </c>
      <c r="H21">
        <f t="shared" si="0"/>
        <v>1</v>
      </c>
    </row>
    <row r="22" spans="1:8" x14ac:dyDescent="0.25">
      <c r="A22" t="str">
        <f>IF(Input!A23="","",Input!A23)</f>
        <v>atomos socially responsible cautious model</v>
      </c>
      <c r="B22">
        <f>IF(A22="","",SUM('Asset Allocation'!B22,'Asset Allocation'!C22,'Asset Allocation'!D22,'Asset Allocation'!E22,'Asset Allocation'!F22,'Asset Allocation'!G22,'Asset Allocation'!N22,'Asset Allocation'!O22,'Asset Allocation'!Q22))</f>
        <v>0</v>
      </c>
      <c r="C22">
        <f>IF(A22="","",SUM('Asset Allocation'!H22,'Asset Allocation'!I22,'Asset Allocation'!J22,'Asset Allocation'!R22,'Asset Allocation'!S22,'Asset Allocation'!T22))</f>
        <v>0</v>
      </c>
      <c r="F22">
        <f>IF(A22="","",SUM('Asset Allocation'!L22,'Asset Allocation'!K22,'Asset Allocation'!P22))</f>
        <v>0</v>
      </c>
      <c r="G22">
        <f>IF(A22="","",SUM('Asset Allocation'!M22))</f>
        <v>0</v>
      </c>
      <c r="H22">
        <f t="shared" si="0"/>
        <v>1</v>
      </c>
    </row>
    <row r="23" spans="1:8" x14ac:dyDescent="0.25">
      <c r="A23" t="str">
        <f>IF(Input!A24="","",Input!A24)</f>
        <v>atomos socially responsible balanced model</v>
      </c>
      <c r="B23">
        <f>IF(A23="","",SUM('Asset Allocation'!B23,'Asset Allocation'!C23,'Asset Allocation'!D23,'Asset Allocation'!E23,'Asset Allocation'!F23,'Asset Allocation'!G23,'Asset Allocation'!N23,'Asset Allocation'!O23,'Asset Allocation'!Q23))</f>
        <v>0</v>
      </c>
      <c r="C23">
        <f>IF(A23="","",SUM('Asset Allocation'!H23,'Asset Allocation'!I23,'Asset Allocation'!J23,'Asset Allocation'!R23,'Asset Allocation'!S23,'Asset Allocation'!T23))</f>
        <v>0</v>
      </c>
      <c r="F23">
        <f>IF(A23="","",SUM('Asset Allocation'!L23,'Asset Allocation'!K23,'Asset Allocation'!P23))</f>
        <v>0</v>
      </c>
      <c r="G23">
        <f>IF(A23="","",SUM('Asset Allocation'!M23))</f>
        <v>0</v>
      </c>
      <c r="H23">
        <f t="shared" si="0"/>
        <v>1</v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Allocation'!G24,'Asset Allocation'!N24,'Asset Allocation'!O24,'Asset Allocation'!Q24))</f>
        <v/>
      </c>
      <c r="C24" t="str">
        <f>IF(A24="","",SUM('Asset Allocation'!H24,'Asset Allocation'!I24,'Asset Allocation'!J24,'Asset Allocation'!R24,'Asset Allocation'!S24,'Asset Allocation'!T24))</f>
        <v/>
      </c>
      <c r="F24" t="str">
        <f>IF(A24="","",SUM('Asset Allocation'!L24,'Asset Allocation'!K24,'Asset Allocation'!P24))</f>
        <v/>
      </c>
      <c r="G24" t="str">
        <f>IF(A24="","",SUM('Asset Allocation'!M24))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Allocation'!G25,'Asset Allocation'!N25,'Asset Allocation'!O25,'Asset Allocation'!Q25))</f>
        <v/>
      </c>
      <c r="C25" t="str">
        <f>IF(A25="","",SUM('Asset Allocation'!H25,'Asset Allocation'!I25,'Asset Allocation'!J25,'Asset Allocation'!R25,'Asset Allocation'!S25,'Asset Allocation'!T25))</f>
        <v/>
      </c>
      <c r="F25" t="str">
        <f>IF(A25="","",SUM('Asset Allocation'!L25,'Asset Allocation'!K25,'Asset Allocation'!P25))</f>
        <v/>
      </c>
      <c r="G25" t="str">
        <f>IF(A25="","",SUM('Asset Allocation'!M25))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Allocation'!G26,'Asset Allocation'!N26,'Asset Allocation'!O26,'Asset Allocation'!Q26))</f>
        <v/>
      </c>
      <c r="C26" t="str">
        <f>IF(A26="","",SUM('Asset Allocation'!H26,'Asset Allocation'!I26,'Asset Allocation'!J26,'Asset Allocation'!R26,'Asset Allocation'!S26,'Asset Allocation'!T26))</f>
        <v/>
      </c>
      <c r="F26" t="str">
        <f>IF(A26="","",SUM('Asset Allocation'!L26,'Asset Allocation'!K26,'Asset Allocation'!P26))</f>
        <v/>
      </c>
      <c r="G26" t="str">
        <f>IF(A26="","",SUM('Asset Allocation'!M26))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Allocation'!G27,'Asset Allocation'!N27,'Asset Allocation'!O27,'Asset Allocation'!Q27))</f>
        <v/>
      </c>
      <c r="C27" t="str">
        <f>IF(A27="","",SUM('Asset Allocation'!H27,'Asset Allocation'!I27,'Asset Allocation'!J27,'Asset Allocation'!R27,'Asset Allocation'!S27,'Asset Allocation'!T27))</f>
        <v/>
      </c>
      <c r="F27" t="str">
        <f>IF(A27="","",SUM('Asset Allocation'!L27,'Asset Allocation'!K27,'Asset Allocation'!P27))</f>
        <v/>
      </c>
      <c r="G27" t="str">
        <f>IF(A27="","",SUM('Asset Allocation'!M27))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Allocation'!G28,'Asset Allocation'!N28,'Asset Allocation'!O28,'Asset Allocation'!Q28))</f>
        <v/>
      </c>
      <c r="C28" t="str">
        <f>IF(A28="","",SUM('Asset Allocation'!H28,'Asset Allocation'!I28,'Asset Allocation'!J28,'Asset Allocation'!R28,'Asset Allocation'!S28,'Asset Allocation'!T28))</f>
        <v/>
      </c>
      <c r="F28" t="str">
        <f>IF(A28="","",SUM('Asset Allocation'!L28,'Asset Allocation'!K28,'Asset Allocation'!P28))</f>
        <v/>
      </c>
      <c r="G28" t="str">
        <f>IF(A28="","",SUM('Asset Allocation'!M28))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Allocation'!G29,'Asset Allocation'!N29,'Asset Allocation'!O29,'Asset Allocation'!Q29))</f>
        <v/>
      </c>
      <c r="C29" t="str">
        <f>IF(A29="","",SUM('Asset Allocation'!H29,'Asset Allocation'!I29,'Asset Allocation'!J29,'Asset Allocation'!R29,'Asset Allocation'!S29,'Asset Allocation'!T29))</f>
        <v/>
      </c>
      <c r="F29" t="str">
        <f>IF(A29="","",SUM('Asset Allocation'!L29,'Asset Allocation'!K29,'Asset Allocation'!P29))</f>
        <v/>
      </c>
      <c r="G29" t="str">
        <f>IF(A29="","",SUM('Asset Allocation'!M29))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Allocation'!G30,'Asset Allocation'!N30,'Asset Allocation'!O30,'Asset Allocation'!Q30))</f>
        <v/>
      </c>
      <c r="C30" t="str">
        <f>IF(A30="","",SUM('Asset Allocation'!H30,'Asset Allocation'!I30,'Asset Allocation'!J30,'Asset Allocation'!R30,'Asset Allocation'!S30,'Asset Allocation'!T30))</f>
        <v/>
      </c>
      <c r="F30" t="str">
        <f>IF(A30="","",SUM('Asset Allocation'!L30,'Asset Allocation'!K30,'Asset Allocation'!P30))</f>
        <v/>
      </c>
      <c r="G30" t="str">
        <f>IF(A30="","",SUM('Asset Allocation'!M30))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Allocation'!G31,'Asset Allocation'!N31,'Asset Allocation'!O31,'Asset Allocation'!Q31))</f>
        <v/>
      </c>
      <c r="C31" t="str">
        <f>IF(A31="","",SUM('Asset Allocation'!H31,'Asset Allocation'!I31,'Asset Allocation'!J31,'Asset Allocation'!R31,'Asset Allocation'!S31,'Asset Allocation'!T31))</f>
        <v/>
      </c>
      <c r="F31" t="str">
        <f>IF(A31="","",SUM('Asset Allocation'!L31,'Asset Allocation'!K31,'Asset Allocation'!P31))</f>
        <v/>
      </c>
      <c r="G31" t="str">
        <f>IF(A31="","",SUM('Asset Allocation'!M31))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Allocation'!G32,'Asset Allocation'!N32,'Asset Allocation'!O32,'Asset Allocation'!Q32))</f>
        <v/>
      </c>
      <c r="C32" t="str">
        <f>IF(A32="","",SUM('Asset Allocation'!H32,'Asset Allocation'!I32,'Asset Allocation'!J32,'Asset Allocation'!R32,'Asset Allocation'!S32,'Asset Allocation'!T32))</f>
        <v/>
      </c>
      <c r="F32" t="str">
        <f>IF(A32="","",SUM('Asset Allocation'!L32,'Asset Allocation'!K32,'Asset Allocation'!P32))</f>
        <v/>
      </c>
      <c r="G32" t="str">
        <f>IF(A32="","",SUM('Asset Allocation'!M32))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Allocation'!G33,'Asset Allocation'!N33,'Asset Allocation'!O33,'Asset Allocation'!Q33))</f>
        <v/>
      </c>
      <c r="C33" t="str">
        <f>IF(A33="","",SUM('Asset Allocation'!H33,'Asset Allocation'!I33,'Asset Allocation'!J33,'Asset Allocation'!R33,'Asset Allocation'!S33,'Asset Allocation'!T33))</f>
        <v/>
      </c>
      <c r="F33" t="str">
        <f>IF(A33="","",SUM('Asset Allocation'!L33,'Asset Allocation'!K33,'Asset Allocation'!P33))</f>
        <v/>
      </c>
      <c r="G33" t="str">
        <f>IF(A33="","",SUM('Asset Allocation'!M33))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Allocation'!G34,'Asset Allocation'!N34,'Asset Allocation'!O34,'Asset Allocation'!Q34))</f>
        <v/>
      </c>
      <c r="C34" t="str">
        <f>IF(A34="","",SUM('Asset Allocation'!H34,'Asset Allocation'!I34,'Asset Allocation'!J34,'Asset Allocation'!R34,'Asset Allocation'!S34,'Asset Allocation'!T34))</f>
        <v/>
      </c>
      <c r="F34" t="str">
        <f>IF(A34="","",SUM('Asset Allocation'!L34,'Asset Allocation'!K34,'Asset Allocation'!P34))</f>
        <v/>
      </c>
      <c r="G34" t="str">
        <f>IF(A34="","",SUM('Asset Allocation'!M34))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Allocation'!G35,'Asset Allocation'!N35,'Asset Allocation'!O35,'Asset Allocation'!Q35))</f>
        <v/>
      </c>
      <c r="C35" t="str">
        <f>IF(A35="","",SUM('Asset Allocation'!H35,'Asset Allocation'!I35,'Asset Allocation'!J35,'Asset Allocation'!R35,'Asset Allocation'!S35,'Asset Allocation'!T35))</f>
        <v/>
      </c>
      <c r="F35" t="str">
        <f>IF(A35="","",SUM('Asset Allocation'!L35,'Asset Allocation'!K35,'Asset Allocation'!P35))</f>
        <v/>
      </c>
      <c r="G35" t="str">
        <f>IF(A35="","",SUM('Asset Allocation'!M35))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Allocation'!G36,'Asset Allocation'!N36,'Asset Allocation'!O36,'Asset Allocation'!Q36))</f>
        <v/>
      </c>
      <c r="C36" t="str">
        <f>IF(A36="","",SUM('Asset Allocation'!H36,'Asset Allocation'!I36,'Asset Allocation'!J36,'Asset Allocation'!R36,'Asset Allocation'!S36,'Asset Allocation'!T36))</f>
        <v/>
      </c>
      <c r="F36" t="str">
        <f>IF(A36="","",SUM('Asset Allocation'!L36,'Asset Allocation'!K36,'Asset Allocation'!P36))</f>
        <v/>
      </c>
      <c r="G36" t="str">
        <f>IF(A36="","",SUM('Asset Allocation'!M36))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Allocation'!G37,'Asset Allocation'!N37,'Asset Allocation'!O37,'Asset Allocation'!Q37))</f>
        <v/>
      </c>
      <c r="C37" t="str">
        <f>IF(A37="","",SUM('Asset Allocation'!H37,'Asset Allocation'!I37,'Asset Allocation'!J37,'Asset Allocation'!R37,'Asset Allocation'!S37,'Asset Allocation'!T37))</f>
        <v/>
      </c>
      <c r="F37" t="str">
        <f>IF(A37="","",SUM('Asset Allocation'!L37,'Asset Allocation'!K37,'Asset Allocation'!P37))</f>
        <v/>
      </c>
      <c r="G37" t="str">
        <f>IF(A37="","",SUM('Asset Allocation'!M37))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Allocation'!G38,'Asset Allocation'!N38,'Asset Allocation'!O38,'Asset Allocation'!Q38))</f>
        <v/>
      </c>
      <c r="C38" t="str">
        <f>IF(A38="","",SUM('Asset Allocation'!H38,'Asset Allocation'!I38,'Asset Allocation'!J38,'Asset Allocation'!R38,'Asset Allocation'!S38,'Asset Allocation'!T38))</f>
        <v/>
      </c>
      <c r="F38" t="str">
        <f>IF(A38="","",SUM('Asset Allocation'!L38,'Asset Allocation'!K38,'Asset Allocation'!P38))</f>
        <v/>
      </c>
      <c r="G38" t="str">
        <f>IF(A38="","",SUM('Asset Allocation'!M38))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Allocation'!G39,'Asset Allocation'!N39,'Asset Allocation'!O39,'Asset Allocation'!Q39))</f>
        <v/>
      </c>
      <c r="C39" t="str">
        <f>IF(A39="","",SUM('Asset Allocation'!H39,'Asset Allocation'!I39,'Asset Allocation'!J39,'Asset Allocation'!R39,'Asset Allocation'!S39,'Asset Allocation'!T39))</f>
        <v/>
      </c>
      <c r="F39" t="str">
        <f>IF(A39="","",SUM('Asset Allocation'!L39,'Asset Allocation'!K39,'Asset Allocation'!P39))</f>
        <v/>
      </c>
      <c r="G39" t="str">
        <f>IF(A39="","",SUM('Asset Allocation'!M39))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Allocation'!G40,'Asset Allocation'!N40,'Asset Allocation'!O40,'Asset Allocation'!Q40))</f>
        <v/>
      </c>
      <c r="C40" t="str">
        <f>IF(A40="","",SUM('Asset Allocation'!H40,'Asset Allocation'!I40,'Asset Allocation'!J40,'Asset Allocation'!R40,'Asset Allocation'!S40,'Asset Allocation'!T40))</f>
        <v/>
      </c>
      <c r="F40" t="str">
        <f>IF(A40="","",SUM('Asset Allocation'!L40,'Asset Allocation'!K40,'Asset Allocation'!P40))</f>
        <v/>
      </c>
      <c r="G40" t="str">
        <f>IF(A40="","",SUM('Asset Allocation'!M40))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Allocation'!G41,'Asset Allocation'!N41,'Asset Allocation'!O41,'Asset Allocation'!Q41))</f>
        <v/>
      </c>
      <c r="C41" t="str">
        <f>IF(A41="","",SUM('Asset Allocation'!H41,'Asset Allocation'!I41,'Asset Allocation'!J41,'Asset Allocation'!R41,'Asset Allocation'!S41,'Asset Allocation'!T41))</f>
        <v/>
      </c>
      <c r="F41" t="str">
        <f>IF(A41="","",SUM('Asset Allocation'!L41,'Asset Allocation'!K41,'Asset Allocation'!P41))</f>
        <v/>
      </c>
      <c r="G41" t="str">
        <f>IF(A41="","",SUM('Asset Allocation'!M41))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Allocation'!G42,'Asset Allocation'!N42,'Asset Allocation'!O42,'Asset Allocation'!Q42))</f>
        <v/>
      </c>
      <c r="C42" t="str">
        <f>IF(A42="","",SUM('Asset Allocation'!H42,'Asset Allocation'!I42,'Asset Allocation'!J42,'Asset Allocation'!R42,'Asset Allocation'!S42,'Asset Allocation'!T42))</f>
        <v/>
      </c>
      <c r="F42" t="str">
        <f>IF(A42="","",SUM('Asset Allocation'!L42,'Asset Allocation'!K42,'Asset Allocation'!P42))</f>
        <v/>
      </c>
      <c r="G42" t="str">
        <f>IF(A42="","",SUM('Asset Allocation'!M42))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Allocation'!G43,'Asset Allocation'!N43,'Asset Allocation'!O43,'Asset Allocation'!Q43))</f>
        <v/>
      </c>
      <c r="C43" t="str">
        <f>IF(A43="","",SUM('Asset Allocation'!H43,'Asset Allocation'!I43,'Asset Allocation'!J43,'Asset Allocation'!R43,'Asset Allocation'!S43,'Asset Allocation'!T43))</f>
        <v/>
      </c>
      <c r="F43" t="str">
        <f>IF(A43="","",SUM('Asset Allocation'!L43,'Asset Allocation'!K43,'Asset Allocation'!P43))</f>
        <v/>
      </c>
      <c r="G43" t="str">
        <f>IF(A43="","",SUM('Asset Allocation'!M43))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Allocation'!G44,'Asset Allocation'!N44,'Asset Allocation'!O44,'Asset Allocation'!Q44))</f>
        <v/>
      </c>
      <c r="C44" t="str">
        <f>IF(A44="","",SUM('Asset Allocation'!H44,'Asset Allocation'!I44,'Asset Allocation'!J44,'Asset Allocation'!R44,'Asset Allocation'!S44,'Asset Allocation'!T44))</f>
        <v/>
      </c>
      <c r="F44" t="str">
        <f>IF(A44="","",SUM('Asset Allocation'!L44,'Asset Allocation'!K44,'Asset Allocation'!P44))</f>
        <v/>
      </c>
      <c r="G44" t="str">
        <f>IF(A44="","",SUM('Asset Allocation'!M44))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Allocation'!G45,'Asset Allocation'!N45,'Asset Allocation'!O45,'Asset Allocation'!Q45))</f>
        <v/>
      </c>
      <c r="C45" t="str">
        <f>IF(A45="","",SUM('Asset Allocation'!H45,'Asset Allocation'!I45,'Asset Allocation'!J45,'Asset Allocation'!R45,'Asset Allocation'!S45,'Asset Allocation'!T45))</f>
        <v/>
      </c>
      <c r="F45" t="str">
        <f>IF(A45="","",SUM('Asset Allocation'!L45,'Asset Allocation'!K45,'Asset Allocation'!P45))</f>
        <v/>
      </c>
      <c r="G45" t="str">
        <f>IF(A45="","",SUM('Asset Allocation'!M45))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Allocation'!G46,'Asset Allocation'!N46,'Asset Allocation'!O46,'Asset Allocation'!Q46))</f>
        <v/>
      </c>
      <c r="C46" t="str">
        <f>IF(A46="","",SUM('Asset Allocation'!H46,'Asset Allocation'!I46,'Asset Allocation'!J46,'Asset Allocation'!R46,'Asset Allocation'!S46,'Asset Allocation'!T46))</f>
        <v/>
      </c>
      <c r="F46" t="str">
        <f>IF(A46="","",SUM('Asset Allocation'!L46,'Asset Allocation'!K46,'Asset Allocation'!P46))</f>
        <v/>
      </c>
      <c r="G46" t="str">
        <f>IF(A46="","",SUM('Asset Allocation'!M46))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Allocation'!G47,'Asset Allocation'!N47,'Asset Allocation'!O47,'Asset Allocation'!Q47))</f>
        <v/>
      </c>
      <c r="C47" t="str">
        <f>IF(A47="","",SUM('Asset Allocation'!H47,'Asset Allocation'!I47,'Asset Allocation'!J47,'Asset Allocation'!R47,'Asset Allocation'!S47,'Asset Allocation'!T47))</f>
        <v/>
      </c>
      <c r="F47" t="str">
        <f>IF(A47="","",SUM('Asset Allocation'!L47,'Asset Allocation'!K47,'Asset Allocation'!P47))</f>
        <v/>
      </c>
      <c r="G47" t="str">
        <f>IF(A47="","",SUM('Asset Allocation'!M47))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Allocation'!G48,'Asset Allocation'!N48,'Asset Allocation'!O48,'Asset Allocation'!Q48))</f>
        <v/>
      </c>
      <c r="C48" t="str">
        <f>IF(A48="","",SUM('Asset Allocation'!H48,'Asset Allocation'!I48,'Asset Allocation'!J48,'Asset Allocation'!R48,'Asset Allocation'!S48,'Asset Allocation'!T48))</f>
        <v/>
      </c>
      <c r="F48" t="str">
        <f>IF(A48="","",SUM('Asset Allocation'!L48,'Asset Allocation'!K48,'Asset Allocation'!P48))</f>
        <v/>
      </c>
      <c r="G48" t="str">
        <f>IF(A48="","",SUM('Asset Allocation'!M48))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Allocation'!G49,'Asset Allocation'!N49,'Asset Allocation'!O49,'Asset Allocation'!Q49))</f>
        <v/>
      </c>
      <c r="C49" t="str">
        <f>IF(A49="","",SUM('Asset Allocation'!H49,'Asset Allocation'!I49,'Asset Allocation'!J49,'Asset Allocation'!R49,'Asset Allocation'!S49,'Asset Allocation'!T49))</f>
        <v/>
      </c>
      <c r="F49" t="str">
        <f>IF(A49="","",SUM('Asset Allocation'!L49,'Asset Allocation'!K49,'Asset Allocation'!P49))</f>
        <v/>
      </c>
      <c r="G49" t="str">
        <f>IF(A49="","",SUM('Asset Allocation'!M49))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Allocation'!G50,'Asset Allocation'!N50,'Asset Allocation'!O50,'Asset Allocation'!Q50))</f>
        <v/>
      </c>
      <c r="C50" t="str">
        <f>IF(A50="","",SUM('Asset Allocation'!H50,'Asset Allocation'!I50,'Asset Allocation'!J50,'Asset Allocation'!R50,'Asset Allocation'!S50,'Asset Allocation'!T50))</f>
        <v/>
      </c>
      <c r="F50" t="str">
        <f>IF(A50="","",SUM('Asset Allocation'!L50,'Asset Allocation'!K50,'Asset Allocation'!P50))</f>
        <v/>
      </c>
      <c r="G50" t="str">
        <f>IF(A50="","",SUM('Asset Allocation'!M50))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conservative model</v>
      </c>
      <c r="B2" s="6">
        <f>IFERROR(IF(A2="","",SUM('Asset Allocation'!D2,'Asset Allocation'!O2)/'Broad Asset Allocation'!B2),0)</f>
        <v>0</v>
      </c>
      <c r="C2" s="6">
        <f>IFERROR(IF(A2="","",SUM('Asset Allocation'!C2)/'Broad Asset Allocation'!B2),0)</f>
        <v>0</v>
      </c>
      <c r="D2" s="6">
        <f>IFERROR(IF(A2="","",SUM('Asset Allocation'!F2)/'Broad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Allocation'!N2)/'Broad Asset Allocation'!B2),0)</f>
        <v>0</v>
      </c>
      <c r="G2" s="6">
        <f>IFERROR(IF(A2="","",SUM('Asset Allocation'!E2)/'Broad Asset Allocation'!B2),0)</f>
        <v>0</v>
      </c>
      <c r="H2" s="6">
        <f>IFERROR(IF(A2="","",SUM('Asset Allocation'!B2,'Asset Allocation'!Q2)/'Broad Asset Allocation'!B2),0)</f>
        <v>0</v>
      </c>
    </row>
    <row r="3" spans="1:8" x14ac:dyDescent="0.25">
      <c r="A3" t="str">
        <f>IF(Input!A4="","",Input!A4)</f>
        <v>defensive model</v>
      </c>
      <c r="B3" s="6">
        <f>IFERROR(IF(A3="","",SUM('Asset Allocation'!D3,'Asset Allocation'!O3)/'Broad Asset Allocation'!B3),0)</f>
        <v>0</v>
      </c>
      <c r="C3" s="6">
        <f>IFERROR(IF(A3="","",SUM('Asset Allocation'!C3)/'Broad Asset Allocation'!B3),0)</f>
        <v>0</v>
      </c>
      <c r="D3" s="6">
        <f>IFERROR(IF(A3="","",SUM('Asset Allocation'!F3)/'Broad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Allocation'!N3)/'Broad Asset Allocation'!B3),0)</f>
        <v>0</v>
      </c>
      <c r="G3" s="6">
        <f>IFERROR(IF(A3="","",SUM('Asset Allocation'!E3)/'Broad Asset Allocation'!B3),0)</f>
        <v>0</v>
      </c>
      <c r="H3" s="6">
        <f>IFERROR(IF(A3="","",SUM('Asset Allocation'!B3,'Asset Allocation'!Q3)/'Broad Asset Allocation'!B3),0)</f>
        <v>0</v>
      </c>
    </row>
    <row r="4" spans="1:8" x14ac:dyDescent="0.25">
      <c r="A4" t="str">
        <f>IF(Input!A5="","",Input!A5)</f>
        <v>cautious model</v>
      </c>
      <c r="B4" s="6">
        <f>IFERROR(IF(A4="","",SUM('Asset Allocation'!D4,'Asset Allocation'!O4)/'Broad Asset Allocation'!B4),0)</f>
        <v>0</v>
      </c>
      <c r="C4" s="6">
        <f>IFERROR(IF(A4="","",SUM('Asset Allocation'!C4)/'Broad Asset Allocation'!B4),0)</f>
        <v>0</v>
      </c>
      <c r="D4" s="6">
        <f>IFERROR(IF(A4="","",SUM('Asset Allocation'!F4)/'Broad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Allocation'!N4)/'Broad Asset Allocation'!B4),0)</f>
        <v>0</v>
      </c>
      <c r="G4" s="6">
        <f>IFERROR(IF(A4="","",SUM('Asset Allocation'!E4)/'Broad Asset Allocation'!B4),0)</f>
        <v>0</v>
      </c>
      <c r="H4" s="6">
        <f>IFERROR(IF(A4="","",SUM('Asset Allocation'!B4,'Asset Allocation'!Q4)/'Broad Asset Allocation'!B4),0)</f>
        <v>0</v>
      </c>
    </row>
    <row r="5" spans="1:8" x14ac:dyDescent="0.25">
      <c r="A5" t="str">
        <f>IF(Input!A6="","",Input!A6)</f>
        <v>balanced model</v>
      </c>
      <c r="B5" s="6">
        <f>IFERROR(IF(A5="","",SUM('Asset Allocation'!D5,'Asset Allocation'!O5)/'Broad Asset Allocation'!B5),0)</f>
        <v>0</v>
      </c>
      <c r="C5" s="6">
        <f>IFERROR(IF(A5="","",SUM('Asset Allocation'!C5)/'Broad Asset Allocation'!B5),0)</f>
        <v>0</v>
      </c>
      <c r="D5" s="6">
        <f>IFERROR(IF(A5="","",SUM('Asset Allocation'!F5)/'Broad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Allocation'!N5)/'Broad Asset Allocation'!B5),0)</f>
        <v>0</v>
      </c>
      <c r="G5" s="6">
        <f>IFERROR(IF(A5="","",SUM('Asset Allocation'!E5)/'Broad Asset Allocation'!B5),0)</f>
        <v>0</v>
      </c>
      <c r="H5" s="6">
        <f>IFERROR(IF(A5="","",SUM('Asset Allocation'!B5,'Asset Allocation'!Q5)/'Broad Asset Allocation'!B5),0)</f>
        <v>0</v>
      </c>
    </row>
    <row r="6" spans="1:8" x14ac:dyDescent="0.25">
      <c r="A6" t="str">
        <f>IF(Input!A7="","",Input!A7)</f>
        <v>growth model</v>
      </c>
      <c r="B6" s="6">
        <f>IFERROR(IF(A6="","",SUM('Asset Allocation'!D6,'Asset Allocation'!O6)/'Broad Asset Allocation'!B6),0)</f>
        <v>0</v>
      </c>
      <c r="C6" s="6">
        <f>IFERROR(IF(A6="","",SUM('Asset Allocation'!C6)/'Broad Asset Allocation'!B6),0)</f>
        <v>0</v>
      </c>
      <c r="D6" s="6">
        <f>IFERROR(IF(A6="","",SUM('Asset Allocation'!F6)/'Broad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Allocation'!N6)/'Broad Asset Allocation'!B6),0)</f>
        <v>0</v>
      </c>
      <c r="G6" s="6">
        <f>IFERROR(IF(A6="","",SUM('Asset Allocation'!E6)/'Broad Asset Allocation'!B6),0)</f>
        <v>0</v>
      </c>
      <c r="H6" s="6">
        <f>IFERROR(IF(A6="","",SUM('Asset Allocation'!B6,'Asset Allocation'!Q6)/'Broad Asset Allocation'!B6),0)</f>
        <v>0</v>
      </c>
    </row>
    <row r="7" spans="1:8" x14ac:dyDescent="0.25">
      <c r="A7" t="str">
        <f>IF(Input!A8="","",Input!A8)</f>
        <v>adventurous model</v>
      </c>
      <c r="B7" s="6">
        <f>IFERROR(IF(A7="","",SUM('Asset Allocation'!D7,'Asset Allocation'!O7)/'Broad Asset Allocation'!B7),0)</f>
        <v>0</v>
      </c>
      <c r="C7" s="6">
        <f>IFERROR(IF(A7="","",SUM('Asset Allocation'!C7)/'Broad Asset Allocation'!B7),0)</f>
        <v>0</v>
      </c>
      <c r="D7" s="6">
        <f>IFERROR(IF(A7="","",SUM('Asset Allocation'!F7)/'Broad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Allocation'!N7)/'Broad Asset Allocation'!B7),0)</f>
        <v>0</v>
      </c>
      <c r="G7" s="6">
        <f>IFERROR(IF(A7="","",SUM('Asset Allocation'!E7)/'Broad Asset Allocation'!B7),0)</f>
        <v>0</v>
      </c>
      <c r="H7" s="6">
        <f>IFERROR(IF(A7="","",SUM('Asset Allocation'!B7,'Asset Allocation'!Q7)/'Broad Asset Allocation'!B7),0)</f>
        <v>0</v>
      </c>
    </row>
    <row r="8" spans="1:8" x14ac:dyDescent="0.25">
      <c r="A8" t="str">
        <f>IF(Input!A9="","",Input!A9)</f>
        <v>atomos active conservative model</v>
      </c>
      <c r="B8" s="6">
        <f>IFERROR(IF(A8="","",SUM('Asset Allocation'!D8,'Asset Allocation'!O8)/'Broad Asset Allocation'!B8),0)</f>
        <v>0</v>
      </c>
      <c r="C8" s="6">
        <f>IFERROR(IF(A8="","",SUM('Asset Allocation'!C8)/'Broad Asset Allocation'!B8),0)</f>
        <v>0</v>
      </c>
      <c r="D8" s="6">
        <f>IFERROR(IF(A8="","",SUM('Asset Allocation'!F8)/'Broad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Allocation'!N8)/'Broad Asset Allocation'!B8),0)</f>
        <v>0</v>
      </c>
      <c r="G8" s="6">
        <f>IFERROR(IF(A8="","",SUM('Asset Allocation'!E8)/'Broad Asset Allocation'!B8),0)</f>
        <v>0</v>
      </c>
      <c r="H8" s="6">
        <f>IFERROR(IF(A8="","",SUM('Asset Allocation'!B8,'Asset Allocation'!Q8)/'Broad Asset Allocation'!B8),0)</f>
        <v>0</v>
      </c>
    </row>
    <row r="9" spans="1:8" x14ac:dyDescent="0.25">
      <c r="A9" t="str">
        <f>IF(Input!A10="","",Input!A10)</f>
        <v>atomos active defensive model</v>
      </c>
      <c r="B9" s="6">
        <f>IFERROR(IF(A9="","",SUM('Asset Allocation'!D9,'Asset Allocation'!O9)/'Broad Asset Allocation'!B9),0)</f>
        <v>0</v>
      </c>
      <c r="C9" s="6">
        <f>IFERROR(IF(A9="","",SUM('Asset Allocation'!C9)/'Broad Asset Allocation'!B9),0)</f>
        <v>0</v>
      </c>
      <c r="D9" s="6">
        <f>IFERROR(IF(A9="","",SUM('Asset Allocation'!F9)/'Broad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Allocation'!N9)/'Broad Asset Allocation'!B9),0)</f>
        <v>0</v>
      </c>
      <c r="G9" s="6">
        <f>IFERROR(IF(A9="","",SUM('Asset Allocation'!E9)/'Broad Asset Allocation'!B9),0)</f>
        <v>0</v>
      </c>
      <c r="H9" s="6">
        <f>IFERROR(IF(A9="","",SUM('Asset Allocation'!B9,'Asset Allocation'!Q9)/'Broad Asset Allocation'!B9),0)</f>
        <v>0</v>
      </c>
    </row>
    <row r="10" spans="1:8" x14ac:dyDescent="0.25">
      <c r="A10" t="str">
        <f>IF(Input!A11="","",Input!A11)</f>
        <v>atomos active cautious model</v>
      </c>
      <c r="B10" s="6">
        <f>IFERROR(IF(A10="","",SUM('Asset Allocation'!D10,'Asset Allocation'!O10)/'Broad Asset Allocation'!B10),0)</f>
        <v>0</v>
      </c>
      <c r="C10" s="6">
        <f>IFERROR(IF(A10="","",SUM('Asset Allocation'!C10)/'Broad Asset Allocation'!B10),0)</f>
        <v>0</v>
      </c>
      <c r="D10" s="6">
        <f>IFERROR(IF(A10="","",SUM('Asset Allocation'!F10)/'Broad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Allocation'!N10)/'Broad Asset Allocation'!B10),0)</f>
        <v>0</v>
      </c>
      <c r="G10" s="6">
        <f>IFERROR(IF(A10="","",SUM('Asset Allocation'!E10)/'Broad Asset Allocation'!B10),0)</f>
        <v>0</v>
      </c>
      <c r="H10" s="6">
        <f>IFERROR(IF(A10="","",SUM('Asset Allocation'!B10,'Asset Allocation'!Q10)/'Broad Asset Allocation'!B10),0)</f>
        <v>0</v>
      </c>
    </row>
    <row r="11" spans="1:8" x14ac:dyDescent="0.25">
      <c r="A11" t="str">
        <f>IF(Input!A12="","",Input!A12)</f>
        <v>atomos active balanced model</v>
      </c>
      <c r="B11" s="6">
        <f>IFERROR(IF(A11="","",SUM('Asset Allocation'!D11,'Asset Allocation'!O11)/'Broad Asset Allocation'!B11),0)</f>
        <v>0</v>
      </c>
      <c r="C11" s="6">
        <f>IFERROR(IF(A11="","",SUM('Asset Allocation'!C11)/'Broad Asset Allocation'!B11),0)</f>
        <v>0</v>
      </c>
      <c r="D11" s="6">
        <f>IFERROR(IF(A11="","",SUM('Asset Allocation'!F11)/'Broad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Allocation'!N11)/'Broad Asset Allocation'!B11),0)</f>
        <v>0</v>
      </c>
      <c r="G11" s="6">
        <f>IFERROR(IF(A11="","",SUM('Asset Allocation'!E11)/'Broad Asset Allocation'!B11),0)</f>
        <v>0</v>
      </c>
      <c r="H11" s="6">
        <f>IFERROR(IF(A11="","",SUM('Asset Allocation'!B11,'Asset Allocation'!Q11)/'Broad Asset Allocation'!B11),0)</f>
        <v>0</v>
      </c>
    </row>
    <row r="12" spans="1:8" x14ac:dyDescent="0.25">
      <c r="A12" t="str">
        <f>IF(Input!A13="","",Input!A13)</f>
        <v>atomos active growth model</v>
      </c>
      <c r="B12" s="6">
        <f>IFERROR(IF(A12="","",SUM('Asset Allocation'!D12,'Asset Allocation'!O12)/'Broad Asset Allocation'!B12),0)</f>
        <v>0</v>
      </c>
      <c r="C12" s="6">
        <f>IFERROR(IF(A12="","",SUM('Asset Allocation'!C12)/'Broad Asset Allocation'!B12),0)</f>
        <v>0</v>
      </c>
      <c r="D12" s="6">
        <f>IFERROR(IF(A12="","",SUM('Asset Allocation'!F12)/'Broad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Allocation'!N12)/'Broad Asset Allocation'!B12),0)</f>
        <v>0</v>
      </c>
      <c r="G12" s="6">
        <f>IFERROR(IF(A12="","",SUM('Asset Allocation'!E12)/'Broad Asset Allocation'!B12),0)</f>
        <v>0</v>
      </c>
      <c r="H12" s="6">
        <f>IFERROR(IF(A12="","",SUM('Asset Allocation'!B12,'Asset Allocation'!Q12)/'Broad Asset Allocation'!B12),0)</f>
        <v>0</v>
      </c>
    </row>
    <row r="13" spans="1:8" x14ac:dyDescent="0.25">
      <c r="A13" t="str">
        <f>IF(Input!A14="","",Input!A14)</f>
        <v>atomos active adventurous model</v>
      </c>
      <c r="B13" s="6">
        <f>IFERROR(IF(A13="","",SUM('Asset Allocation'!D13,'Asset Allocation'!O13)/'Broad Asset Allocation'!B13),0)</f>
        <v>0</v>
      </c>
      <c r="C13" s="6">
        <f>IFERROR(IF(A13="","",SUM('Asset Allocation'!C13)/'Broad Asset Allocation'!B13),0)</f>
        <v>0</v>
      </c>
      <c r="D13" s="6">
        <f>IFERROR(IF(A13="","",SUM('Asset Allocation'!F13)/'Broad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Allocation'!N13)/'Broad Asset Allocation'!B13),0)</f>
        <v>0</v>
      </c>
      <c r="G13" s="6">
        <f>IFERROR(IF(A13="","",SUM('Asset Allocation'!E13)/'Broad Asset Allocation'!B13),0)</f>
        <v>0</v>
      </c>
      <c r="H13" s="6">
        <f>IFERROR(IF(A13="","",SUM('Asset Allocation'!B13,'Asset Allocation'!Q13)/'Broad Asset Allocation'!B13),0)</f>
        <v>0</v>
      </c>
    </row>
    <row r="14" spans="1:8" x14ac:dyDescent="0.25">
      <c r="A14" t="str">
        <f>IF(Input!A15="","",Input!A15)</f>
        <v>atomos index conservative model</v>
      </c>
      <c r="B14" s="6">
        <f>IFERROR(IF(A14="","",SUM('Asset Allocation'!D14,'Asset Allocation'!O14)/'Broad Asset Allocation'!B14),0)</f>
        <v>0</v>
      </c>
      <c r="C14" s="6">
        <f>IFERROR(IF(A14="","",SUM('Asset Allocation'!C14)/'Broad Asset Allocation'!B14),0)</f>
        <v>0</v>
      </c>
      <c r="D14" s="6">
        <f>IFERROR(IF(A14="","",SUM('Asset Allocation'!F14)/'Broad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Allocation'!N14)/'Broad Asset Allocation'!B14),0)</f>
        <v>0</v>
      </c>
      <c r="G14" s="6">
        <f>IFERROR(IF(A14="","",SUM('Asset Allocation'!E14)/'Broad Asset Allocation'!B14),0)</f>
        <v>0</v>
      </c>
      <c r="H14" s="6">
        <f>IFERROR(IF(A14="","",SUM('Asset Allocation'!B14,'Asset Allocation'!Q14)/'Broad Asset Allocation'!B14),0)</f>
        <v>0</v>
      </c>
    </row>
    <row r="15" spans="1:8" x14ac:dyDescent="0.25">
      <c r="A15" t="str">
        <f>IF(Input!A16="","",Input!A16)</f>
        <v>atomos index defensive model</v>
      </c>
      <c r="B15" s="6">
        <f>IFERROR(IF(A15="","",SUM('Asset Allocation'!D15,'Asset Allocation'!O15)/'Broad Asset Allocation'!B15),0)</f>
        <v>0</v>
      </c>
      <c r="C15" s="6">
        <f>IFERROR(IF(A15="","",SUM('Asset Allocation'!C15)/'Broad Asset Allocation'!B15),0)</f>
        <v>0</v>
      </c>
      <c r="D15" s="6">
        <f>IFERROR(IF(A15="","",SUM('Asset Allocation'!F15)/'Broad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Allocation'!N15)/'Broad Asset Allocation'!B15),0)</f>
        <v>0</v>
      </c>
      <c r="G15" s="6">
        <f>IFERROR(IF(A15="","",SUM('Asset Allocation'!E15)/'Broad Asset Allocation'!B15),0)</f>
        <v>0</v>
      </c>
      <c r="H15" s="6">
        <f>IFERROR(IF(A15="","",SUM('Asset Allocation'!B15,'Asset Allocation'!Q15)/'Broad Asset Allocation'!B15),0)</f>
        <v>0</v>
      </c>
    </row>
    <row r="16" spans="1:8" x14ac:dyDescent="0.25">
      <c r="A16" t="str">
        <f>IF(Input!A17="","",Input!A17)</f>
        <v>atomos index cautious model</v>
      </c>
      <c r="B16" s="6">
        <f>IFERROR(IF(A16="","",SUM('Asset Allocation'!D16,'Asset Allocation'!O16)/'Broad Asset Allocation'!B16),0)</f>
        <v>0</v>
      </c>
      <c r="C16" s="6">
        <f>IFERROR(IF(A16="","",SUM('Asset Allocation'!C16)/'Broad Asset Allocation'!B16),0)</f>
        <v>0</v>
      </c>
      <c r="D16" s="6">
        <f>IFERROR(IF(A16="","",SUM('Asset Allocation'!F16)/'Broad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Allocation'!N16)/'Broad Asset Allocation'!B16),0)</f>
        <v>0</v>
      </c>
      <c r="G16" s="6">
        <f>IFERROR(IF(A16="","",SUM('Asset Allocation'!E16)/'Broad Asset Allocation'!B16),0)</f>
        <v>0</v>
      </c>
      <c r="H16" s="6">
        <f>IFERROR(IF(A16="","",SUM('Asset Allocation'!B16,'Asset Allocation'!Q16)/'Broad Asset Allocation'!B16),0)</f>
        <v>0</v>
      </c>
    </row>
    <row r="17" spans="1:8" x14ac:dyDescent="0.25">
      <c r="A17" t="str">
        <f>IF(Input!A18="","",Input!A18)</f>
        <v>atomos index balanced model</v>
      </c>
      <c r="B17" s="6">
        <f>IFERROR(IF(A17="","",SUM('Asset Allocation'!D17,'Asset Allocation'!O17)/'Broad Asset Allocation'!B17),0)</f>
        <v>0</v>
      </c>
      <c r="C17" s="6">
        <f>IFERROR(IF(A17="","",SUM('Asset Allocation'!C17)/'Broad Asset Allocation'!B17),0)</f>
        <v>0</v>
      </c>
      <c r="D17" s="6">
        <f>IFERROR(IF(A17="","",SUM('Asset Allocation'!F17)/'Broad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Allocation'!N17)/'Broad Asset Allocation'!B17),0)</f>
        <v>0</v>
      </c>
      <c r="G17" s="6">
        <f>IFERROR(IF(A17="","",SUM('Asset Allocation'!E17)/'Broad Asset Allocation'!B17),0)</f>
        <v>0</v>
      </c>
      <c r="H17" s="6">
        <f>IFERROR(IF(A17="","",SUM('Asset Allocation'!B17,'Asset Allocation'!Q17)/'Broad Asset Allocation'!B17),0)</f>
        <v>0</v>
      </c>
    </row>
    <row r="18" spans="1:8" x14ac:dyDescent="0.25">
      <c r="A18" t="str">
        <f>IF(Input!A19="","",Input!A19)</f>
        <v>atomos index growth model</v>
      </c>
      <c r="B18" s="6">
        <f>IFERROR(IF(A18="","",SUM('Asset Allocation'!D18,'Asset Allocation'!O18)/'Broad Asset Allocation'!B18),0)</f>
        <v>0</v>
      </c>
      <c r="C18" s="6">
        <f>IFERROR(IF(A18="","",SUM('Asset Allocation'!C18)/'Broad Asset Allocation'!B18),0)</f>
        <v>0</v>
      </c>
      <c r="D18" s="6">
        <f>IFERROR(IF(A18="","",SUM('Asset Allocation'!F18)/'Broad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Allocation'!N18)/'Broad Asset Allocation'!B18),0)</f>
        <v>0</v>
      </c>
      <c r="G18" s="6">
        <f>IFERROR(IF(A18="","",SUM('Asset Allocation'!E18)/'Broad Asset Allocation'!B18),0)</f>
        <v>0</v>
      </c>
      <c r="H18" s="6">
        <f>IFERROR(IF(A18="","",SUM('Asset Allocation'!B18,'Asset Allocation'!Q18)/'Broad Asset Allocation'!B18),0)</f>
        <v>0</v>
      </c>
    </row>
    <row r="19" spans="1:8" x14ac:dyDescent="0.25">
      <c r="A19" t="str">
        <f>IF(Input!A20="","",Input!A20)</f>
        <v>atomos index adventurous model</v>
      </c>
      <c r="B19" s="6">
        <f>IFERROR(IF(A19="","",SUM('Asset Allocation'!D19,'Asset Allocation'!O19)/'Broad Asset Allocation'!B19),0)</f>
        <v>0</v>
      </c>
      <c r="C19" s="6">
        <f>IFERROR(IF(A19="","",SUM('Asset Allocation'!C19)/'Broad Asset Allocation'!B19),0)</f>
        <v>0</v>
      </c>
      <c r="D19" s="6">
        <f>IFERROR(IF(A19="","",SUM('Asset Allocation'!F19)/'Broad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Allocation'!N19)/'Broad Asset Allocation'!B19),0)</f>
        <v>0</v>
      </c>
      <c r="G19" s="6">
        <f>IFERROR(IF(A19="","",SUM('Asset Allocation'!E19)/'Broad Asset Allocation'!B19),0)</f>
        <v>0</v>
      </c>
      <c r="H19" s="6">
        <f>IFERROR(IF(A19="","",SUM('Asset Allocation'!B19,'Asset Allocation'!Q19)/'Broad Asset Allocation'!B19),0)</f>
        <v>0</v>
      </c>
    </row>
    <row r="20" spans="1:8" x14ac:dyDescent="0.25">
      <c r="A20" t="str">
        <f>IF(Input!A21="","",Input!A21)</f>
        <v>atomos socially responsible conservative model</v>
      </c>
      <c r="B20" s="6">
        <f>IFERROR(IF(A20="","",SUM('Asset Allocation'!D20,'Asset Allocation'!O20)/'Broad Asset Allocation'!B20),0)</f>
        <v>0</v>
      </c>
      <c r="C20" s="6">
        <f>IFERROR(IF(A20="","",SUM('Asset Allocation'!C20)/'Broad Asset Allocation'!B20),0)</f>
        <v>0</v>
      </c>
      <c r="D20" s="6">
        <f>IFERROR(IF(A20="","",SUM('Asset Allocation'!F20)/'Broad Asset Allocation'!B20),0)</f>
        <v>0</v>
      </c>
      <c r="E20" s="6">
        <f>IFERROR(IF(A20="","",SUM('Asset Allocation'!G20)/'Broad Asset Allocation'!B20),0)</f>
        <v>0</v>
      </c>
      <c r="F20" s="6">
        <f>IFERROR(IF(A20="","",SUM('Asset Allocation'!N20)/'Broad Asset Allocation'!B20),0)</f>
        <v>0</v>
      </c>
      <c r="G20" s="6">
        <f>IFERROR(IF(A20="","",SUM('Asset Allocation'!E20)/'Broad Asset Allocation'!B20),0)</f>
        <v>0</v>
      </c>
      <c r="H20" s="6">
        <f>IFERROR(IF(A20="","",SUM('Asset Allocation'!B20,'Asset Allocation'!Q20)/'Broad Asset Allocation'!B20),0)</f>
        <v>0</v>
      </c>
    </row>
    <row r="21" spans="1:8" x14ac:dyDescent="0.25">
      <c r="A21" t="str">
        <f>IF(Input!A22="","",Input!A22)</f>
        <v>atomos socially responsible defensive model</v>
      </c>
      <c r="B21" s="6">
        <f>IFERROR(IF(A21="","",SUM('Asset Allocation'!D21,'Asset Allocation'!O21)/'Broad Asset Allocation'!B21),0)</f>
        <v>0</v>
      </c>
      <c r="C21" s="6">
        <f>IFERROR(IF(A21="","",SUM('Asset Allocation'!C21)/'Broad Asset Allocation'!B21),0)</f>
        <v>0</v>
      </c>
      <c r="D21" s="6">
        <f>IFERROR(IF(A21="","",SUM('Asset Allocation'!F21)/'Broad Asset Allocation'!B21),0)</f>
        <v>0</v>
      </c>
      <c r="E21" s="6">
        <f>IFERROR(IF(A21="","",SUM('Asset Allocation'!G21)/'Broad Asset Allocation'!B21),0)</f>
        <v>0</v>
      </c>
      <c r="F21" s="6">
        <f>IFERROR(IF(A21="","",SUM('Asset Allocation'!N21)/'Broad Asset Allocation'!B21),0)</f>
        <v>0</v>
      </c>
      <c r="G21" s="6">
        <f>IFERROR(IF(A21="","",SUM('Asset Allocation'!E21)/'Broad Asset Allocation'!B21),0)</f>
        <v>0</v>
      </c>
      <c r="H21" s="6">
        <f>IFERROR(IF(A21="","",SUM('Asset Allocation'!B21,'Asset Allocation'!Q21)/'Broad Asset Allocation'!B21),0)</f>
        <v>0</v>
      </c>
    </row>
    <row r="22" spans="1:8" x14ac:dyDescent="0.25">
      <c r="A22" t="str">
        <f>IF(Input!A23="","",Input!A23)</f>
        <v>atomos socially responsible cautious model</v>
      </c>
      <c r="B22" s="6">
        <f>IFERROR(IF(A22="","",SUM('Asset Allocation'!D22,'Asset Allocation'!O22)/'Broad Asset Allocation'!B22),0)</f>
        <v>0</v>
      </c>
      <c r="C22" s="6">
        <f>IFERROR(IF(A22="","",SUM('Asset Allocation'!C22)/'Broad Asset Allocation'!B22),0)</f>
        <v>0</v>
      </c>
      <c r="D22" s="6">
        <f>IFERROR(IF(A22="","",SUM('Asset Allocation'!F22)/'Broad Asset Allocation'!B22),0)</f>
        <v>0</v>
      </c>
      <c r="E22" s="6">
        <f>IFERROR(IF(A22="","",SUM('Asset Allocation'!G22)/'Broad Asset Allocation'!B22),0)</f>
        <v>0</v>
      </c>
      <c r="F22" s="6">
        <f>IFERROR(IF(A22="","",SUM('Asset Allocation'!N22)/'Broad Asset Allocation'!B22),0)</f>
        <v>0</v>
      </c>
      <c r="G22" s="6">
        <f>IFERROR(IF(A22="","",SUM('Asset Allocation'!E22)/'Broad Asset Allocation'!B22),0)</f>
        <v>0</v>
      </c>
      <c r="H22" s="6">
        <f>IFERROR(IF(A22="","",SUM('Asset Allocation'!B22,'Asset Allocation'!Q22)/'Broad Asset Allocation'!B22),0)</f>
        <v>0</v>
      </c>
    </row>
    <row r="23" spans="1:8" x14ac:dyDescent="0.25">
      <c r="A23" t="str">
        <f>IF(Input!A24="","",Input!A24)</f>
        <v>atomos socially responsible balanced model</v>
      </c>
      <c r="B23" s="6">
        <f>IFERROR(IF(A23="","",SUM('Asset Allocation'!D23,'Asset Allocation'!O23)/'Broad Asset Allocation'!B23),0)</f>
        <v>0</v>
      </c>
      <c r="C23" s="6">
        <f>IFERROR(IF(A23="","",SUM('Asset Allocation'!C23)/'Broad Asset Allocation'!B23),0)</f>
        <v>0</v>
      </c>
      <c r="D23" s="6">
        <f>IFERROR(IF(A23="","",SUM('Asset Allocation'!F23)/'Broad Asset Allocation'!B23),0)</f>
        <v>0</v>
      </c>
      <c r="E23" s="6">
        <f>IFERROR(IF(A23="","",SUM('Asset Allocation'!G23)/'Broad Asset Allocation'!B23),0)</f>
        <v>0</v>
      </c>
      <c r="F23" s="6">
        <f>IFERROR(IF(A23="","",SUM('Asset Allocation'!N23)/'Broad Asset Allocation'!B23),0)</f>
        <v>0</v>
      </c>
      <c r="G23" s="6">
        <f>IFERROR(IF(A23="","",SUM('Asset Allocation'!E23)/'Broad Asset Allocation'!B23),0)</f>
        <v>0</v>
      </c>
      <c r="H23" s="6">
        <f>IFERROR(IF(A23="","",SUM('Asset Allocation'!B23,'Asset Allocation'!Q23)/'Broad Asset Allocation'!B23),0)</f>
        <v>0</v>
      </c>
    </row>
    <row r="24" spans="1:8" x14ac:dyDescent="0.25">
      <c r="A24" t="str">
        <f>IF(Input!A25="","",Input!A25)</f>
        <v/>
      </c>
      <c r="B24" s="6" t="str">
        <f>IFERROR(IF(A24="","",SUM('Asset Allocation'!D24,'Asset Allocation'!O24)/'Broad Asset Allocation'!B24),0)</f>
        <v/>
      </c>
      <c r="C24" s="6" t="str">
        <f>IFERROR(IF(A24="","",SUM('Asset Allocation'!C24)/'Broad Asset Allocation'!B24),0)</f>
        <v/>
      </c>
      <c r="D24" s="6" t="str">
        <f>IFERROR(IF(A24="","",SUM('Asset Allocation'!F24)/'Broad Asset Allocation'!B24),0)</f>
        <v/>
      </c>
      <c r="E24" s="6" t="str">
        <f>IFERROR(IF(A24="","",SUM('Asset Allocation'!G24)/'Broad Asset Allocation'!B24),0)</f>
        <v/>
      </c>
      <c r="F24" s="6" t="str">
        <f>IFERROR(IF(A24="","",SUM('Asset Allocation'!N24)/'Broad Asset Allocation'!B24),0)</f>
        <v/>
      </c>
      <c r="G24" s="6" t="str">
        <f>IFERROR(IF(A24="","",SUM('Asset Allocation'!E24)/'Broad Asset Allocation'!B24),0)</f>
        <v/>
      </c>
      <c r="H24" s="6" t="str">
        <f>IFERROR(IF(A24="","",SUM('Asset Allocation'!B24,'Asset Allocation'!Q24)/'Broad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Allocation'!D25,'Asset Allocation'!O25)/'Broad Asset Allocation'!B25),0)</f>
        <v/>
      </c>
      <c r="C25" s="6" t="str">
        <f>IFERROR(IF(A25="","",SUM('Asset Allocation'!C25)/'Broad Asset Allocation'!B25),0)</f>
        <v/>
      </c>
      <c r="D25" s="6" t="str">
        <f>IFERROR(IF(A25="","",SUM('Asset Allocation'!F25)/'Broad Asset Allocation'!B25),0)</f>
        <v/>
      </c>
      <c r="E25" s="6" t="str">
        <f>IFERROR(IF(A25="","",SUM('Asset Allocation'!G25)/'Broad Asset Allocation'!B25),0)</f>
        <v/>
      </c>
      <c r="F25" s="6" t="str">
        <f>IFERROR(IF(A25="","",SUM('Asset Allocation'!N25)/'Broad Asset Allocation'!B25),0)</f>
        <v/>
      </c>
      <c r="G25" s="6" t="str">
        <f>IFERROR(IF(A25="","",SUM('Asset Allocation'!E25)/'Broad Asset Allocation'!B25),0)</f>
        <v/>
      </c>
      <c r="H25" s="6" t="str">
        <f>IFERROR(IF(A25="","",SUM('Asset Allocation'!B25,'Asset Allocation'!Q25)/'Broad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Allocation'!D26,'Asset Allocation'!O26)/'Broad Asset Allocation'!B26),0)</f>
        <v/>
      </c>
      <c r="C26" s="6" t="str">
        <f>IFERROR(IF(A26="","",SUM('Asset Allocation'!C26)/'Broad Asset Allocation'!B26),0)</f>
        <v/>
      </c>
      <c r="D26" s="6" t="str">
        <f>IFERROR(IF(A26="","",SUM('Asset Allocation'!F26)/'Broad Asset Allocation'!B26),0)</f>
        <v/>
      </c>
      <c r="E26" s="6" t="str">
        <f>IFERROR(IF(A26="","",SUM('Asset Allocation'!G26)/'Broad Asset Allocation'!B26),0)</f>
        <v/>
      </c>
      <c r="F26" s="6" t="str">
        <f>IFERROR(IF(A26="","",SUM('Asset Allocation'!N26)/'Broad Asset Allocation'!B26),0)</f>
        <v/>
      </c>
      <c r="G26" s="6" t="str">
        <f>IFERROR(IF(A26="","",SUM('Asset Allocation'!E26)/'Broad Asset Allocation'!B26),0)</f>
        <v/>
      </c>
      <c r="H26" s="6" t="str">
        <f>IFERROR(IF(A26="","",SUM('Asset Allocation'!B26,'Asset Allocation'!Q26)/'Broad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Allocation'!D27,'Asset Allocation'!O27)/'Broad Asset Allocation'!B27),0)</f>
        <v/>
      </c>
      <c r="C27" s="6" t="str">
        <f>IFERROR(IF(A27="","",SUM('Asset Allocation'!C27)/'Broad Asset Allocation'!B27),0)</f>
        <v/>
      </c>
      <c r="D27" s="6" t="str">
        <f>IFERROR(IF(A27="","",SUM('Asset Allocation'!F27)/'Broad Asset Allocation'!B27),0)</f>
        <v/>
      </c>
      <c r="E27" s="6" t="str">
        <f>IFERROR(IF(A27="","",SUM('Asset Allocation'!G27)/'Broad Asset Allocation'!B27),0)</f>
        <v/>
      </c>
      <c r="F27" s="6" t="str">
        <f>IFERROR(IF(A27="","",SUM('Asset Allocation'!N27)/'Broad Asset Allocation'!B27),0)</f>
        <v/>
      </c>
      <c r="G27" s="6" t="str">
        <f>IFERROR(IF(A27="","",SUM('Asset Allocation'!E27)/'Broad Asset Allocation'!B27),0)</f>
        <v/>
      </c>
      <c r="H27" s="6" t="str">
        <f>IFERROR(IF(A27="","",SUM('Asset Allocation'!B27,'Asset Allocation'!Q27)/'Broad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Allocation'!D28,'Asset Allocation'!O28)/'Broad Asset Allocation'!B28),0)</f>
        <v/>
      </c>
      <c r="C28" s="6" t="str">
        <f>IFERROR(IF(A28="","",SUM('Asset Allocation'!C28)/'Broad Asset Allocation'!B28),0)</f>
        <v/>
      </c>
      <c r="D28" s="6" t="str">
        <f>IFERROR(IF(A28="","",SUM('Asset Allocation'!F28)/'Broad Asset Allocation'!B28),0)</f>
        <v/>
      </c>
      <c r="E28" s="6" t="str">
        <f>IFERROR(IF(A28="","",SUM('Asset Allocation'!G28)/'Broad Asset Allocation'!B28),0)</f>
        <v/>
      </c>
      <c r="F28" s="6" t="str">
        <f>IFERROR(IF(A28="","",SUM('Asset Allocation'!N28)/'Broad Asset Allocation'!B28),0)</f>
        <v/>
      </c>
      <c r="G28" s="6" t="str">
        <f>IFERROR(IF(A28="","",SUM('Asset Allocation'!E28)/'Broad Asset Allocation'!B28),0)</f>
        <v/>
      </c>
      <c r="H28" s="6" t="str">
        <f>IFERROR(IF(A28="","",SUM('Asset Allocation'!B28,'Asset Allocation'!Q28)/'Broad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Allocation'!D29,'Asset Allocation'!O29)/'Broad Asset Allocation'!B29),0)</f>
        <v/>
      </c>
      <c r="C29" s="6" t="str">
        <f>IFERROR(IF(A29="","",SUM('Asset Allocation'!C29)/'Broad Asset Allocation'!B29),0)</f>
        <v/>
      </c>
      <c r="D29" s="6" t="str">
        <f>IFERROR(IF(A29="","",SUM('Asset Allocation'!F29)/'Broad Asset Allocation'!B29),0)</f>
        <v/>
      </c>
      <c r="E29" s="6" t="str">
        <f>IFERROR(IF(A29="","",SUM('Asset Allocation'!G29)/'Broad Asset Allocation'!B29),0)</f>
        <v/>
      </c>
      <c r="F29" s="6" t="str">
        <f>IFERROR(IF(A29="","",SUM('Asset Allocation'!N29)/'Broad Asset Allocation'!B29),0)</f>
        <v/>
      </c>
      <c r="G29" s="6" t="str">
        <f>IFERROR(IF(A29="","",SUM('Asset Allocation'!E29)/'Broad Asset Allocation'!B29),0)</f>
        <v/>
      </c>
      <c r="H29" s="6" t="str">
        <f>IFERROR(IF(A29="","",SUM('Asset Allocation'!B29,'Asset Allocation'!Q29)/'Broad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Allocation'!D30,'Asset Allocation'!O30)/'Broad Asset Allocation'!B30),0)</f>
        <v/>
      </c>
      <c r="C30" s="6" t="str">
        <f>IFERROR(IF(A30="","",SUM('Asset Allocation'!C30)/'Broad Asset Allocation'!B30),0)</f>
        <v/>
      </c>
      <c r="D30" s="6" t="str">
        <f>IFERROR(IF(A30="","",SUM('Asset Allocation'!F30)/'Broad Asset Allocation'!B30),0)</f>
        <v/>
      </c>
      <c r="E30" s="6" t="str">
        <f>IFERROR(IF(A30="","",SUM('Asset Allocation'!G30)/'Broad Asset Allocation'!B30),0)</f>
        <v/>
      </c>
      <c r="F30" s="6" t="str">
        <f>IFERROR(IF(A30="","",SUM('Asset Allocation'!N30)/'Broad Asset Allocation'!B30),0)</f>
        <v/>
      </c>
      <c r="G30" s="6" t="str">
        <f>IFERROR(IF(A30="","",SUM('Asset Allocation'!E30)/'Broad Asset Allocation'!B30),0)</f>
        <v/>
      </c>
      <c r="H30" s="6" t="str">
        <f>IFERROR(IF(A30="","",SUM('Asset Allocation'!B30,'Asset Allocation'!Q30)/'Broad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Allocation'!D31,'Asset Allocation'!O31)/'Broad Asset Allocation'!B31),0)</f>
        <v/>
      </c>
      <c r="C31" s="6" t="str">
        <f>IFERROR(IF(A31="","",SUM('Asset Allocation'!C31)/'Broad Asset Allocation'!B31),0)</f>
        <v/>
      </c>
      <c r="D31" s="6" t="str">
        <f>IFERROR(IF(A31="","",SUM('Asset Allocation'!F31)/'Broad Asset Allocation'!B31),0)</f>
        <v/>
      </c>
      <c r="E31" s="6" t="str">
        <f>IFERROR(IF(A31="","",SUM('Asset Allocation'!G31)/'Broad Asset Allocation'!B31),0)</f>
        <v/>
      </c>
      <c r="F31" s="6" t="str">
        <f>IFERROR(IF(A31="","",SUM('Asset Allocation'!N31)/'Broad Asset Allocation'!B31),0)</f>
        <v/>
      </c>
      <c r="G31" s="6" t="str">
        <f>IFERROR(IF(A31="","",SUM('Asset Allocation'!E31)/'Broad Asset Allocation'!B31),0)</f>
        <v/>
      </c>
      <c r="H31" s="6" t="str">
        <f>IFERROR(IF(A31="","",SUM('Asset Allocation'!B31,'Asset Allocation'!Q31)/'Broad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Allocation'!D32,'Asset Allocation'!O32)/'Broad Asset Allocation'!B32),0)</f>
        <v/>
      </c>
      <c r="C32" s="6" t="str">
        <f>IFERROR(IF(A32="","",SUM('Asset Allocation'!C32)/'Broad Asset Allocation'!B32),0)</f>
        <v/>
      </c>
      <c r="D32" s="6" t="str">
        <f>IFERROR(IF(A32="","",SUM('Asset Allocation'!F32)/'Broad Asset Allocation'!B32),0)</f>
        <v/>
      </c>
      <c r="E32" s="6" t="str">
        <f>IFERROR(IF(A32="","",SUM('Asset Allocation'!G32)/'Broad Asset Allocation'!B32),0)</f>
        <v/>
      </c>
      <c r="F32" s="6" t="str">
        <f>IFERROR(IF(A32="","",SUM('Asset Allocation'!N32)/'Broad Asset Allocation'!B32),0)</f>
        <v/>
      </c>
      <c r="G32" s="6" t="str">
        <f>IFERROR(IF(A32="","",SUM('Asset Allocation'!E32)/'Broad Asset Allocation'!B32),0)</f>
        <v/>
      </c>
      <c r="H32" s="6" t="str">
        <f>IFERROR(IF(A32="","",SUM('Asset Allocation'!B32,'Asset Allocation'!Q32)/'Broad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Allocation'!D33,'Asset Allocation'!O33)/'Broad Asset Allocation'!B33),0)</f>
        <v/>
      </c>
      <c r="C33" s="6" t="str">
        <f>IFERROR(IF(A33="","",SUM('Asset Allocation'!C33)/'Broad Asset Allocation'!B33),0)</f>
        <v/>
      </c>
      <c r="D33" s="6" t="str">
        <f>IFERROR(IF(A33="","",SUM('Asset Allocation'!F33)/'Broad Asset Allocation'!B33),0)</f>
        <v/>
      </c>
      <c r="E33" s="6" t="str">
        <f>IFERROR(IF(A33="","",SUM('Asset Allocation'!G33)/'Broad Asset Allocation'!B33),0)</f>
        <v/>
      </c>
      <c r="F33" s="6" t="str">
        <f>IFERROR(IF(A33="","",SUM('Asset Allocation'!N33)/'Broad Asset Allocation'!B33),0)</f>
        <v/>
      </c>
      <c r="G33" s="6" t="str">
        <f>IFERROR(IF(A33="","",SUM('Asset Allocation'!E33)/'Broad Asset Allocation'!B33),0)</f>
        <v/>
      </c>
      <c r="H33" s="6" t="str">
        <f>IFERROR(IF(A33="","",SUM('Asset Allocation'!B33,'Asset Allocation'!Q33)/'Broad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Allocation'!D34,'Asset Allocation'!O34)/'Broad Asset Allocation'!B34),0)</f>
        <v/>
      </c>
      <c r="C34" s="6" t="str">
        <f>IFERROR(IF(A34="","",SUM('Asset Allocation'!C34)/'Broad Asset Allocation'!B34),0)</f>
        <v/>
      </c>
      <c r="D34" s="6" t="str">
        <f>IFERROR(IF(A34="","",SUM('Asset Allocation'!F34)/'Broad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Allocation'!N34)/'Broad Asset Allocation'!B34),0)</f>
        <v/>
      </c>
      <c r="G34" s="6" t="str">
        <f>IFERROR(IF(A34="","",SUM('Asset Allocation'!E34)/'Broad Asset Allocation'!B34),0)</f>
        <v/>
      </c>
      <c r="H34" s="6" t="str">
        <f>IFERROR(IF(A34="","",SUM('Asset Allocation'!B34,'Asset Allocation'!Q34)/'Broad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Allocation'!D35,'Asset Allocation'!O35)/'Broad Asset Allocation'!B35),0)</f>
        <v/>
      </c>
      <c r="C35" s="6" t="str">
        <f>IFERROR(IF(A35="","",SUM('Asset Allocation'!C35)/'Broad Asset Allocation'!B35),0)</f>
        <v/>
      </c>
      <c r="D35" s="6" t="str">
        <f>IFERROR(IF(A35="","",SUM('Asset Allocation'!F35)/'Broad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Allocation'!N35)/'Broad Asset Allocation'!B35),0)</f>
        <v/>
      </c>
      <c r="G35" s="6" t="str">
        <f>IFERROR(IF(A35="","",SUM('Asset Allocation'!E35)/'Broad Asset Allocation'!B35),0)</f>
        <v/>
      </c>
      <c r="H35" s="6" t="str">
        <f>IFERROR(IF(A35="","",SUM('Asset Allocation'!B35,'Asset Allocation'!Q35)/'Broad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Allocation'!D36,'Asset Allocation'!O36)/'Broad Asset Allocation'!B36),0)</f>
        <v/>
      </c>
      <c r="C36" s="6" t="str">
        <f>IFERROR(IF(A36="","",SUM('Asset Allocation'!C36)/'Broad Asset Allocation'!B36),0)</f>
        <v/>
      </c>
      <c r="D36" s="6" t="str">
        <f>IFERROR(IF(A36="","",SUM('Asset Allocation'!F36)/'Broad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Allocation'!N36)/'Broad Asset Allocation'!B36),0)</f>
        <v/>
      </c>
      <c r="G36" s="6" t="str">
        <f>IFERROR(IF(A36="","",SUM('Asset Allocation'!E36)/'Broad Asset Allocation'!B36),0)</f>
        <v/>
      </c>
      <c r="H36" s="6" t="str">
        <f>IFERROR(IF(A36="","",SUM('Asset Allocation'!B36,'Asset Allocation'!Q36)/'Broad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Allocation'!D37,'Asset Allocation'!O37)/'Broad Asset Allocation'!B37),0)</f>
        <v/>
      </c>
      <c r="C37" s="6" t="str">
        <f>IFERROR(IF(A37="","",SUM('Asset Allocation'!C37)/'Broad Asset Allocation'!B37),0)</f>
        <v/>
      </c>
      <c r="D37" s="6" t="str">
        <f>IFERROR(IF(A37="","",SUM('Asset Allocation'!F37)/'Broad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Allocation'!N37)/'Broad Asset Allocation'!B37),0)</f>
        <v/>
      </c>
      <c r="G37" s="6" t="str">
        <f>IFERROR(IF(A37="","",SUM('Asset Allocation'!E37)/'Broad Asset Allocation'!B37),0)</f>
        <v/>
      </c>
      <c r="H37" s="6" t="str">
        <f>IFERROR(IF(A37="","",SUM('Asset Allocation'!B37,'Asset Allocation'!Q37)/'Broad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Allocation'!D38,'Asset Allocation'!O38)/'Broad Asset Allocation'!B38),0)</f>
        <v/>
      </c>
      <c r="C38" s="6" t="str">
        <f>IFERROR(IF(A38="","",SUM('Asset Allocation'!C38)/'Broad Asset Allocation'!B38),0)</f>
        <v/>
      </c>
      <c r="D38" s="6" t="str">
        <f>IFERROR(IF(A38="","",SUM('Asset Allocation'!F38)/'Broad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Allocation'!N38)/'Broad Asset Allocation'!B38),0)</f>
        <v/>
      </c>
      <c r="G38" s="6" t="str">
        <f>IFERROR(IF(A38="","",SUM('Asset Allocation'!E38)/'Broad Asset Allocation'!B38),0)</f>
        <v/>
      </c>
      <c r="H38" s="6" t="str">
        <f>IFERROR(IF(A38="","",SUM('Asset Allocation'!B38,'Asset Allocation'!Q38)/'Broad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Allocation'!D39,'Asset Allocation'!O39)/'Broad Asset Allocation'!B39),0)</f>
        <v/>
      </c>
      <c r="C39" s="6" t="str">
        <f>IFERROR(IF(A39="","",SUM('Asset Allocation'!C39)/'Broad Asset Allocation'!B39),0)</f>
        <v/>
      </c>
      <c r="D39" s="6" t="str">
        <f>IFERROR(IF(A39="","",SUM('Asset Allocation'!F39)/'Broad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Allocation'!N39)/'Broad Asset Allocation'!B39),0)</f>
        <v/>
      </c>
      <c r="G39" s="6" t="str">
        <f>IFERROR(IF(A39="","",SUM('Asset Allocation'!E39)/'Broad Asset Allocation'!B39),0)</f>
        <v/>
      </c>
      <c r="H39" s="6" t="str">
        <f>IFERROR(IF(A39="","",SUM('Asset Allocation'!B39,'Asset Allocation'!Q39)/'Broad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Allocation'!D40,'Asset Allocation'!O40)/'Broad Asset Allocation'!B40),0)</f>
        <v/>
      </c>
      <c r="C40" s="6" t="str">
        <f>IFERROR(IF(A40="","",SUM('Asset Allocation'!C40)/'Broad Asset Allocation'!B40),0)</f>
        <v/>
      </c>
      <c r="D40" s="6" t="str">
        <f>IFERROR(IF(A40="","",SUM('Asset Allocation'!F40)/'Broad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Allocation'!N40)/'Broad Asset Allocation'!B40),0)</f>
        <v/>
      </c>
      <c r="G40" s="6" t="str">
        <f>IFERROR(IF(A40="","",SUM('Asset Allocation'!E40)/'Broad Asset Allocation'!B40),0)</f>
        <v/>
      </c>
      <c r="H40" s="6" t="str">
        <f>IFERROR(IF(A40="","",SUM('Asset Allocation'!B40,'Asset Allocation'!Q40)/'Broad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Allocation'!D41,'Asset Allocation'!O41)/'Broad Asset Allocation'!B41),0)</f>
        <v/>
      </c>
      <c r="C41" s="6" t="str">
        <f>IFERROR(IF(A41="","",SUM('Asset Allocation'!C41)/'Broad Asset Allocation'!B41),0)</f>
        <v/>
      </c>
      <c r="D41" s="6" t="str">
        <f>IFERROR(IF(A41="","",SUM('Asset Allocation'!F41)/'Broad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Allocation'!N41)/'Broad Asset Allocation'!B41),0)</f>
        <v/>
      </c>
      <c r="G41" s="6" t="str">
        <f>IFERROR(IF(A41="","",SUM('Asset Allocation'!E41)/'Broad Asset Allocation'!B41),0)</f>
        <v/>
      </c>
      <c r="H41" s="6" t="str">
        <f>IFERROR(IF(A41="","",SUM('Asset Allocation'!B41,'Asset Allocation'!Q41)/'Broad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Allocation'!D42,'Asset Allocation'!O42)/'Broad Asset Allocation'!B42),0)</f>
        <v/>
      </c>
      <c r="C42" s="6" t="str">
        <f>IFERROR(IF(A42="","",SUM('Asset Allocation'!C42)/'Broad Asset Allocation'!B42),0)</f>
        <v/>
      </c>
      <c r="D42" s="6" t="str">
        <f>IFERROR(IF(A42="","",SUM('Asset Allocation'!F42)/'Broad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Allocation'!N42)/'Broad Asset Allocation'!B42),0)</f>
        <v/>
      </c>
      <c r="G42" s="6" t="str">
        <f>IFERROR(IF(A42="","",SUM('Asset Allocation'!E42)/'Broad Asset Allocation'!B42),0)</f>
        <v/>
      </c>
      <c r="H42" s="6" t="str">
        <f>IFERROR(IF(A42="","",SUM('Asset Allocation'!B42,'Asset Allocation'!Q42)/'Broad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Allocation'!D43,'Asset Allocation'!O43)/'Broad Asset Allocation'!B43),0)</f>
        <v/>
      </c>
      <c r="C43" s="6" t="str">
        <f>IFERROR(IF(A43="","",SUM('Asset Allocation'!C43)/'Broad Asset Allocation'!B43),0)</f>
        <v/>
      </c>
      <c r="D43" s="6" t="str">
        <f>IFERROR(IF(A43="","",SUM('Asset Allocation'!F43)/'Broad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Allocation'!N43)/'Broad Asset Allocation'!B43),0)</f>
        <v/>
      </c>
      <c r="G43" s="6" t="str">
        <f>IFERROR(IF(A43="","",SUM('Asset Allocation'!E43)/'Broad Asset Allocation'!B43),0)</f>
        <v/>
      </c>
      <c r="H43" s="6" t="str">
        <f>IFERROR(IF(A43="","",SUM('Asset Allocation'!B43,'Asset Allocation'!Q43)/'Broad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Allocation'!D44,'Asset Allocation'!O44)/'Broad Asset Allocation'!B44),0)</f>
        <v/>
      </c>
      <c r="C44" s="6" t="str">
        <f>IFERROR(IF(A44="","",SUM('Asset Allocation'!C44)/'Broad Asset Allocation'!B44),0)</f>
        <v/>
      </c>
      <c r="D44" s="6" t="str">
        <f>IFERROR(IF(A44="","",SUM('Asset Allocation'!F44)/'Broad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Allocation'!N44)/'Broad Asset Allocation'!B44),0)</f>
        <v/>
      </c>
      <c r="G44" s="6" t="str">
        <f>IFERROR(IF(A44="","",SUM('Asset Allocation'!E44)/'Broad Asset Allocation'!B44),0)</f>
        <v/>
      </c>
      <c r="H44" s="6" t="str">
        <f>IFERROR(IF(A44="","",SUM('Asset Allocation'!B44,'Asset Allocation'!Q44)/'Broad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Allocation'!D45,'Asset Allocation'!O45)/'Broad Asset Allocation'!B45),0)</f>
        <v/>
      </c>
      <c r="C45" s="6" t="str">
        <f>IFERROR(IF(A45="","",SUM('Asset Allocation'!C45)/'Broad Asset Allocation'!B45),0)</f>
        <v/>
      </c>
      <c r="D45" s="6" t="str">
        <f>IFERROR(IF(A45="","",SUM('Asset Allocation'!F45)/'Broad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Allocation'!N45)/'Broad Asset Allocation'!B45),0)</f>
        <v/>
      </c>
      <c r="G45" s="6" t="str">
        <f>IFERROR(IF(A45="","",SUM('Asset Allocation'!E45)/'Broad Asset Allocation'!B45),0)</f>
        <v/>
      </c>
      <c r="H45" s="6" t="str">
        <f>IFERROR(IF(A45="","",SUM('Asset Allocation'!B45,'Asset Allocation'!Q45)/'Broad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Allocation'!D46,'Asset Allocation'!O46)/'Broad Asset Allocation'!B46),0)</f>
        <v/>
      </c>
      <c r="C46" s="6" t="str">
        <f>IFERROR(IF(A46="","",SUM('Asset Allocation'!C46)/'Broad Asset Allocation'!B46),0)</f>
        <v/>
      </c>
      <c r="D46" s="6" t="str">
        <f>IFERROR(IF(A46="","",SUM('Asset Allocation'!F46)/'Broad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Allocation'!N46)/'Broad Asset Allocation'!B46),0)</f>
        <v/>
      </c>
      <c r="G46" s="6" t="str">
        <f>IFERROR(IF(A46="","",SUM('Asset Allocation'!E46)/'Broad Asset Allocation'!B46),0)</f>
        <v/>
      </c>
      <c r="H46" s="6" t="str">
        <f>IFERROR(IF(A46="","",SUM('Asset Allocation'!B46,'Asset Allocation'!Q46)/'Broad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Allocation'!D47,'Asset Allocation'!O47)/'Broad Asset Allocation'!B47),0)</f>
        <v/>
      </c>
      <c r="C47" s="6" t="str">
        <f>IFERROR(IF(A47="","",SUM('Asset Allocation'!C47)/'Broad Asset Allocation'!B47),0)</f>
        <v/>
      </c>
      <c r="D47" s="6" t="str">
        <f>IFERROR(IF(A47="","",SUM('Asset Allocation'!F47)/'Broad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Allocation'!N47)/'Broad Asset Allocation'!B47),0)</f>
        <v/>
      </c>
      <c r="G47" s="6" t="str">
        <f>IFERROR(IF(A47="","",SUM('Asset Allocation'!E47)/'Broad Asset Allocation'!B47),0)</f>
        <v/>
      </c>
      <c r="H47" s="6" t="str">
        <f>IFERROR(IF(A47="","",SUM('Asset Allocation'!B47,'Asset Allocation'!Q47)/'Broad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Allocation'!D48,'Asset Allocation'!O48)/'Broad Asset Allocation'!B48),0)</f>
        <v/>
      </c>
      <c r="C48" s="6" t="str">
        <f>IFERROR(IF(A48="","",SUM('Asset Allocation'!C48)/'Broad Asset Allocation'!B48),0)</f>
        <v/>
      </c>
      <c r="D48" s="6" t="str">
        <f>IFERROR(IF(A48="","",SUM('Asset Allocation'!F48)/'Broad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Allocation'!N48)/'Broad Asset Allocation'!B48),0)</f>
        <v/>
      </c>
      <c r="G48" s="6" t="str">
        <f>IFERROR(IF(A48="","",SUM('Asset Allocation'!E48)/'Broad Asset Allocation'!B48),0)</f>
        <v/>
      </c>
      <c r="H48" s="6" t="str">
        <f>IFERROR(IF(A48="","",SUM('Asset Allocation'!B48,'Asset Allocation'!Q48)/'Broad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Allocation'!D49,'Asset Allocation'!O49)/'Broad Asset Allocation'!B49),0)</f>
        <v/>
      </c>
      <c r="C49" s="6" t="str">
        <f>IFERROR(IF(A49="","",SUM('Asset Allocation'!C49)/'Broad Asset Allocation'!B49),0)</f>
        <v/>
      </c>
      <c r="D49" s="6" t="str">
        <f>IFERROR(IF(A49="","",SUM('Asset Allocation'!F49)/'Broad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Allocation'!N49)/'Broad Asset Allocation'!B49),0)</f>
        <v/>
      </c>
      <c r="G49" s="6" t="str">
        <f>IFERROR(IF(A49="","",SUM('Asset Allocation'!E49)/'Broad Asset Allocation'!B49),0)</f>
        <v/>
      </c>
      <c r="H49" s="6" t="str">
        <f>IFERROR(IF(A49="","",SUM('Asset Allocation'!B49,'Asset Allocation'!Q49)/'Broad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Allocation'!D50,'Asset Allocation'!O50)/'Broad Asset Allocation'!B50),0)</f>
        <v/>
      </c>
      <c r="C50" s="6" t="str">
        <f>IFERROR(IF(A50="","",SUM('Asset Allocation'!C50)/'Broad Asset Allocation'!B50),0)</f>
        <v/>
      </c>
      <c r="D50" s="6" t="str">
        <f>IFERROR(IF(A50="","",SUM('Asset Allocation'!F50)/'Broad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Allocation'!N50)/'Broad Asset Allocation'!B50),0)</f>
        <v/>
      </c>
      <c r="G50" s="6" t="str">
        <f>IFERROR(IF(A50="","",SUM('Asset Allocation'!E50)/'Broad Asset Allocation'!B50),0)</f>
        <v/>
      </c>
      <c r="H50" s="6" t="str">
        <f>IFERROR(IF(A50="","",SUM('Asset Allocation'!B50,'Asset Allocation'!Q50)/'Broad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conservative model</v>
      </c>
      <c r="B2">
        <f>IFERROR(IF(A2="","",SUM('Asset Allocation'!H2,'Asset Allocation'!T2)/'Broad Asset Allocation'!C2),0)</f>
        <v>0</v>
      </c>
      <c r="D2">
        <f>IFERROR(IF(A2="","",SUM('Asset Allocation'!I2,'Asset Allocation'!S2)/'Broad Asset Allocation'!C2),0)</f>
        <v>0</v>
      </c>
      <c r="E2">
        <f>IFERROR(IF(A2="","",SUM('Asset Allocation'!J2,'Asset Allocation'!R2)/'Broad Asset Allocation'!C2),0)</f>
        <v>0</v>
      </c>
    </row>
    <row r="3" spans="1:8" x14ac:dyDescent="0.25">
      <c r="A3" t="str">
        <f>IF(Input!A4="","",Input!A4)</f>
        <v>defensive model</v>
      </c>
      <c r="B3">
        <f>IFERROR(IF(A3="","",SUM('Asset Allocation'!H3,'Asset Allocation'!T3)/'Broad Asset Allocation'!C3),0)</f>
        <v>0</v>
      </c>
      <c r="D3">
        <f>IFERROR(IF(A3="","",SUM('Asset Allocation'!I3,'Asset Allocation'!S3)/'Broad Asset Allocation'!C3),0)</f>
        <v>0</v>
      </c>
      <c r="E3">
        <f>IFERROR(IF(A3="","",SUM('Asset Allocation'!J3,'Asset Allocation'!R3)/'Broad Asset Allocation'!C3),0)</f>
        <v>0</v>
      </c>
    </row>
    <row r="4" spans="1:8" x14ac:dyDescent="0.25">
      <c r="A4" t="str">
        <f>IF(Input!A5="","",Input!A5)</f>
        <v>cautious model</v>
      </c>
      <c r="B4">
        <f>IFERROR(IF(A4="","",SUM('Asset Allocation'!H4,'Asset Allocation'!T4)/'Broad Asset Allocation'!C4),0)</f>
        <v>0</v>
      </c>
      <c r="D4">
        <f>IFERROR(IF(A4="","",SUM('Asset Allocation'!I4,'Asset Allocation'!S4)/'Broad Asset Allocation'!C4),0)</f>
        <v>0</v>
      </c>
      <c r="E4">
        <f>IFERROR(IF(A4="","",SUM('Asset Allocation'!J4,'Asset Allocation'!R4)/'Broad Asset Allocation'!C4),0)</f>
        <v>0</v>
      </c>
    </row>
    <row r="5" spans="1:8" x14ac:dyDescent="0.25">
      <c r="A5" t="str">
        <f>IF(Input!A6="","",Input!A6)</f>
        <v>balanced model</v>
      </c>
      <c r="B5">
        <f>IFERROR(IF(A5="","",SUM('Asset Allocation'!H5,'Asset Allocation'!T5)/'Broad Asset Allocation'!C5),0)</f>
        <v>0</v>
      </c>
      <c r="D5">
        <f>IFERROR(IF(A5="","",SUM('Asset Allocation'!I5,'Asset Allocation'!S5)/'Broad Asset Allocation'!C5),0)</f>
        <v>0</v>
      </c>
      <c r="E5">
        <f>IFERROR(IF(A5="","",SUM('Asset Allocation'!J5,'Asset Allocation'!R5)/'Broad Asset Allocation'!C5),0)</f>
        <v>0</v>
      </c>
    </row>
    <row r="6" spans="1:8" x14ac:dyDescent="0.25">
      <c r="A6" t="str">
        <f>IF(Input!A7="","",Input!A7)</f>
        <v>growth model</v>
      </c>
      <c r="B6">
        <f>IFERROR(IF(A6="","",SUM('Asset Allocation'!H6,'Asset Allocation'!T6)/'Broad Asset Allocation'!C6),0)</f>
        <v>0</v>
      </c>
      <c r="D6">
        <f>IFERROR(IF(A6="","",SUM('Asset Allocation'!I6,'Asset Allocation'!S6)/'Broad Asset Allocation'!C6),0)</f>
        <v>0</v>
      </c>
      <c r="E6">
        <f>IFERROR(IF(A6="","",SUM('Asset Allocation'!J6,'Asset Allocation'!R6)/'Broad Asset Allocation'!C6),0)</f>
        <v>0</v>
      </c>
    </row>
    <row r="7" spans="1:8" x14ac:dyDescent="0.25">
      <c r="A7" t="str">
        <f>IF(Input!A8="","",Input!A8)</f>
        <v>adventurous model</v>
      </c>
      <c r="B7">
        <f>IFERROR(IF(A7="","",SUM('Asset Allocation'!H7,'Asset Allocation'!T7)/'Broad Asset Allocation'!C7),0)</f>
        <v>0</v>
      </c>
      <c r="D7">
        <f>IFERROR(IF(A7="","",SUM('Asset Allocation'!I7,'Asset Allocation'!S7)/'Broad Asset Allocation'!C7),0)</f>
        <v>0</v>
      </c>
      <c r="E7">
        <f>IFERROR(IF(A7="","",SUM('Asset Allocation'!J7,'Asset Allocation'!R7)/'Broad Asset Allocation'!C7),0)</f>
        <v>0</v>
      </c>
    </row>
    <row r="8" spans="1:8" x14ac:dyDescent="0.25">
      <c r="A8" t="str">
        <f>IF(Input!A9="","",Input!A9)</f>
        <v>atomos active conservative model</v>
      </c>
      <c r="B8">
        <f>IFERROR(IF(A8="","",SUM('Asset Allocation'!H8,'Asset Allocation'!T8)/'Broad Asset Allocation'!C8),0)</f>
        <v>0</v>
      </c>
      <c r="D8">
        <f>IFERROR(IF(A8="","",SUM('Asset Allocation'!I8,'Asset Allocation'!S8)/'Broad Asset Allocation'!C8),0)</f>
        <v>0</v>
      </c>
      <c r="E8">
        <f>IFERROR(IF(A8="","",SUM('Asset Allocation'!J8,'Asset Allocation'!R8)/'Broad Asset Allocation'!C8),0)</f>
        <v>0</v>
      </c>
    </row>
    <row r="9" spans="1:8" x14ac:dyDescent="0.25">
      <c r="A9" t="str">
        <f>IF(Input!A10="","",Input!A10)</f>
        <v>atomos active defensive model</v>
      </c>
      <c r="B9">
        <f>IFERROR(IF(A9="","",SUM('Asset Allocation'!H9,'Asset Allocation'!T9)/'Broad Asset Allocation'!C9),0)</f>
        <v>0</v>
      </c>
      <c r="D9">
        <f>IFERROR(IF(A9="","",SUM('Asset Allocation'!I9,'Asset Allocation'!S9)/'Broad Asset Allocation'!C9),0)</f>
        <v>0</v>
      </c>
      <c r="E9">
        <f>IFERROR(IF(A9="","",SUM('Asset Allocation'!J9,'Asset Allocation'!R9)/'Broad Asset Allocation'!C9),0)</f>
        <v>0</v>
      </c>
    </row>
    <row r="10" spans="1:8" x14ac:dyDescent="0.25">
      <c r="A10" t="str">
        <f>IF(Input!A11="","",Input!A11)</f>
        <v>atomos active cautious model</v>
      </c>
      <c r="B10">
        <f>IFERROR(IF(A10="","",SUM('Asset Allocation'!H10,'Asset Allocation'!T10)/'Broad Asset Allocation'!C10),0)</f>
        <v>0</v>
      </c>
      <c r="D10">
        <f>IFERROR(IF(A10="","",SUM('Asset Allocation'!I10,'Asset Allocation'!S10)/'Broad Asset Allocation'!C10),0)</f>
        <v>0</v>
      </c>
      <c r="E10">
        <f>IFERROR(IF(A10="","",SUM('Asset Allocation'!J10,'Asset Allocation'!R10)/'Broad Asset Allocation'!C10),0)</f>
        <v>0</v>
      </c>
    </row>
    <row r="11" spans="1:8" x14ac:dyDescent="0.25">
      <c r="A11" t="str">
        <f>IF(Input!A12="","",Input!A12)</f>
        <v>atomos active balanced model</v>
      </c>
      <c r="B11">
        <f>IFERROR(IF(A11="","",SUM('Asset Allocation'!H11,'Asset Allocation'!T11)/'Broad Asset Allocation'!C11),0)</f>
        <v>0</v>
      </c>
      <c r="D11">
        <f>IFERROR(IF(A11="","",SUM('Asset Allocation'!I11,'Asset Allocation'!S11)/'Broad Asset Allocation'!C11),0)</f>
        <v>0</v>
      </c>
      <c r="E11">
        <f>IFERROR(IF(A11="","",SUM('Asset Allocation'!J11,'Asset Allocation'!R11)/'Broad Asset Allocation'!C11),0)</f>
        <v>0</v>
      </c>
    </row>
    <row r="12" spans="1:8" x14ac:dyDescent="0.25">
      <c r="A12" t="str">
        <f>IF(Input!A13="","",Input!A13)</f>
        <v>atomos active growth model</v>
      </c>
      <c r="B12">
        <f>IFERROR(IF(A12="","",SUM('Asset Allocation'!H12,'Asset Allocation'!T12)/'Broad Asset Allocation'!C12),0)</f>
        <v>0</v>
      </c>
      <c r="D12">
        <f>IFERROR(IF(A12="","",SUM('Asset Allocation'!I12,'Asset Allocation'!S12)/'Broad Asset Allocation'!C12),0)</f>
        <v>0</v>
      </c>
      <c r="E12">
        <f>IFERROR(IF(A12="","",SUM('Asset Allocation'!J12,'Asset Allocation'!R12)/'Broad Asset Allocation'!C12),0)</f>
        <v>0</v>
      </c>
    </row>
    <row r="13" spans="1:8" x14ac:dyDescent="0.25">
      <c r="A13" t="str">
        <f>IF(Input!A14="","",Input!A14)</f>
        <v>atomos active adventurous model</v>
      </c>
      <c r="B13">
        <f>IFERROR(IF(A13="","",SUM('Asset Allocation'!H13,'Asset Allocation'!T13)/'Broad Asset Allocation'!C13),0)</f>
        <v>0</v>
      </c>
      <c r="D13">
        <f>IFERROR(IF(A13="","",SUM('Asset Allocation'!I13,'Asset Allocation'!S13)/'Broad Asset Allocation'!C13),0)</f>
        <v>0</v>
      </c>
      <c r="E13">
        <f>IFERROR(IF(A13="","",SUM('Asset Allocation'!J13,'Asset Allocation'!R13)/'Broad Asset Allocation'!C13),0)</f>
        <v>0</v>
      </c>
    </row>
    <row r="14" spans="1:8" x14ac:dyDescent="0.25">
      <c r="A14" t="str">
        <f>IF(Input!A15="","",Input!A15)</f>
        <v>atomos index conservative model</v>
      </c>
      <c r="B14">
        <f>IFERROR(IF(A14="","",SUM('Asset Allocation'!H14,'Asset Allocation'!T14)/'Broad Asset Allocation'!C14),0)</f>
        <v>0</v>
      </c>
      <c r="D14">
        <f>IFERROR(IF(A14="","",SUM('Asset Allocation'!I14,'Asset Allocation'!S14)/'Broad Asset Allocation'!C14),0)</f>
        <v>0</v>
      </c>
      <c r="E14">
        <f>IFERROR(IF(A14="","",SUM('Asset Allocation'!J14,'Asset Allocation'!R14)/'Broad Asset Allocation'!C14),0)</f>
        <v>0</v>
      </c>
    </row>
    <row r="15" spans="1:8" x14ac:dyDescent="0.25">
      <c r="A15" t="str">
        <f>IF(Input!A16="","",Input!A16)</f>
        <v>atomos index defensive model</v>
      </c>
      <c r="B15">
        <f>IFERROR(IF(A15="","",SUM('Asset Allocation'!H15,'Asset Allocation'!T15)/'Broad Asset Allocation'!C15),0)</f>
        <v>0</v>
      </c>
      <c r="D15">
        <f>IFERROR(IF(A15="","",SUM('Asset Allocation'!I15,'Asset Allocation'!S15)/'Broad Asset Allocation'!C15),0)</f>
        <v>0</v>
      </c>
      <c r="E15">
        <f>IFERROR(IF(A15="","",SUM('Asset Allocation'!J15,'Asset Allocation'!R15)/'Broad Asset Allocation'!C15),0)</f>
        <v>0</v>
      </c>
    </row>
    <row r="16" spans="1:8" x14ac:dyDescent="0.25">
      <c r="A16" t="str">
        <f>IF(Input!A17="","",Input!A17)</f>
        <v>atomos index cautious model</v>
      </c>
      <c r="B16">
        <f>IFERROR(IF(A16="","",SUM('Asset Allocation'!H16,'Asset Allocation'!T16)/'Broad Asset Allocation'!C16),0)</f>
        <v>0</v>
      </c>
      <c r="D16">
        <f>IFERROR(IF(A16="","",SUM('Asset Allocation'!I16,'Asset Allocation'!S16)/'Broad Asset Allocation'!C16),0)</f>
        <v>0</v>
      </c>
      <c r="E16">
        <f>IFERROR(IF(A16="","",SUM('Asset Allocation'!J16,'Asset Allocation'!R16)/'Broad Asset Allocation'!C16),0)</f>
        <v>0</v>
      </c>
    </row>
    <row r="17" spans="1:5" x14ac:dyDescent="0.25">
      <c r="A17" t="str">
        <f>IF(Input!A18="","",Input!A18)</f>
        <v>atomos index balanced model</v>
      </c>
      <c r="B17">
        <f>IFERROR(IF(A17="","",SUM('Asset Allocation'!H17,'Asset Allocation'!T17)/'Broad Asset Allocation'!C17),0)</f>
        <v>0</v>
      </c>
      <c r="D17">
        <f>IFERROR(IF(A17="","",SUM('Asset Allocation'!I17,'Asset Allocation'!S17)/'Broad Asset Allocation'!C17),0)</f>
        <v>0</v>
      </c>
      <c r="E17">
        <f>IFERROR(IF(A17="","",SUM('Asset Allocation'!J17,'Asset Allocation'!R17)/'Broad Asset Allocation'!C17),0)</f>
        <v>0</v>
      </c>
    </row>
    <row r="18" spans="1:5" x14ac:dyDescent="0.25">
      <c r="A18" t="str">
        <f>IF(Input!A19="","",Input!A19)</f>
        <v>atomos index growth model</v>
      </c>
      <c r="B18">
        <f>IFERROR(IF(A18="","",SUM('Asset Allocation'!H18,'Asset Allocation'!T18)/'Broad Asset Allocation'!C18),0)</f>
        <v>0</v>
      </c>
      <c r="D18">
        <f>IFERROR(IF(A18="","",SUM('Asset Allocation'!I18,'Asset Allocation'!S18)/'Broad Asset Allocation'!C18),0)</f>
        <v>0</v>
      </c>
      <c r="E18">
        <f>IFERROR(IF(A18="","",SUM('Asset Allocation'!J18,'Asset Allocation'!R18)/'Broad Asset Allocation'!C18),0)</f>
        <v>0</v>
      </c>
    </row>
    <row r="19" spans="1:5" x14ac:dyDescent="0.25">
      <c r="A19" t="str">
        <f>IF(Input!A20="","",Input!A20)</f>
        <v>atomos index adventurous model</v>
      </c>
      <c r="B19">
        <f>IFERROR(IF(A19="","",SUM('Asset Allocation'!H19,'Asset Allocation'!T19)/'Broad Asset Allocation'!C19),0)</f>
        <v>0</v>
      </c>
      <c r="D19">
        <f>IFERROR(IF(A19="","",SUM('Asset Allocation'!I19,'Asset Allocation'!S19)/'Broad Asset Allocation'!C19),0)</f>
        <v>0</v>
      </c>
      <c r="E19">
        <f>IFERROR(IF(A19="","",SUM('Asset Allocation'!J19,'Asset Allocation'!R19)/'Broad Asset Allocation'!C19),0)</f>
        <v>0</v>
      </c>
    </row>
    <row r="20" spans="1:5" x14ac:dyDescent="0.25">
      <c r="A20" t="str">
        <f>IF(Input!A21="","",Input!A21)</f>
        <v>atomos socially responsible conservative model</v>
      </c>
      <c r="B20">
        <f>IFERROR(IF(A20="","",SUM('Asset Allocation'!H20,'Asset Allocation'!T20)/'Broad Asset Allocation'!C20),0)</f>
        <v>0</v>
      </c>
      <c r="D20">
        <f>IFERROR(IF(A20="","",SUM('Asset Allocation'!I20,'Asset Allocation'!S20)/'Broad Asset Allocation'!C20),0)</f>
        <v>0</v>
      </c>
      <c r="E20">
        <f>IFERROR(IF(A20="","",SUM('Asset Allocation'!J20,'Asset Allocation'!R20)/'Broad Asset Allocation'!C20),0)</f>
        <v>0</v>
      </c>
    </row>
    <row r="21" spans="1:5" x14ac:dyDescent="0.25">
      <c r="A21" t="str">
        <f>IF(Input!A22="","",Input!A22)</f>
        <v>atomos socially responsible defensive model</v>
      </c>
      <c r="B21">
        <f>IFERROR(IF(A21="","",SUM('Asset Allocation'!H21,'Asset Allocation'!T21)/'Broad Asset Allocation'!C21),0)</f>
        <v>0</v>
      </c>
      <c r="D21">
        <f>IFERROR(IF(A21="","",SUM('Asset Allocation'!I21,'Asset Allocation'!S21)/'Broad Asset Allocation'!C21),0)</f>
        <v>0</v>
      </c>
      <c r="E21">
        <f>IFERROR(IF(A21="","",SUM('Asset Allocation'!J21,'Asset Allocation'!R21)/'Broad Asset Allocation'!C21),0)</f>
        <v>0</v>
      </c>
    </row>
    <row r="22" spans="1:5" x14ac:dyDescent="0.25">
      <c r="A22" t="str">
        <f>IF(Input!A23="","",Input!A23)</f>
        <v>atomos socially responsible cautious model</v>
      </c>
      <c r="B22">
        <f>IFERROR(IF(A22="","",SUM('Asset Allocation'!H22,'Asset Allocation'!T22)/'Broad Asset Allocation'!C22),0)</f>
        <v>0</v>
      </c>
      <c r="D22">
        <f>IFERROR(IF(A22="","",SUM('Asset Allocation'!I22,'Asset Allocation'!S22)/'Broad Asset Allocation'!C22),0)</f>
        <v>0</v>
      </c>
      <c r="E22">
        <f>IFERROR(IF(A22="","",SUM('Asset Allocation'!J22,'Asset Allocation'!R22)/'Broad Asset Allocation'!C22),0)</f>
        <v>0</v>
      </c>
    </row>
    <row r="23" spans="1:5" x14ac:dyDescent="0.25">
      <c r="A23" t="str">
        <f>IF(Input!A24="","",Input!A24)</f>
        <v>atomos socially responsible balanced model</v>
      </c>
      <c r="B23">
        <f>IFERROR(IF(A23="","",SUM('Asset Allocation'!H23,'Asset Allocation'!T23)/'Broad Asset Allocation'!C23),0)</f>
        <v>0</v>
      </c>
      <c r="D23">
        <f>IFERROR(IF(A23="","",SUM('Asset Allocation'!I23,'Asset Allocation'!S23)/'Broad Asset Allocation'!C23),0)</f>
        <v>0</v>
      </c>
      <c r="E23">
        <f>IFERROR(IF(A23="","",SUM('Asset Allocation'!J23,'Asset Allocation'!R23)/'Broad Asset Allocation'!C23),0)</f>
        <v>0</v>
      </c>
    </row>
    <row r="24" spans="1:5" x14ac:dyDescent="0.25">
      <c r="A24" t="str">
        <f>IF(Input!A25="","",Input!A25)</f>
        <v/>
      </c>
      <c r="B24" t="str">
        <f>IFERROR(IF(A24="","",SUM('Asset Allocation'!H24,'Asset Allocation'!T24)/'Broad Asset Allocation'!C24),0)</f>
        <v/>
      </c>
      <c r="D24" t="str">
        <f>IFERROR(IF(A24="","",SUM('Asset Allocation'!I24,'Asset Allocation'!S24)/'Broad Asset Allocation'!C24),0)</f>
        <v/>
      </c>
      <c r="E24" t="str">
        <f>IFERROR(IF(A24="","",SUM('Asset Allocation'!J24,'Asset Allocation'!R24)/'Broad Asset Allocation'!C24),0)</f>
        <v/>
      </c>
    </row>
    <row r="25" spans="1:5" x14ac:dyDescent="0.25">
      <c r="A25" t="str">
        <f>IF(Input!A26="","",Input!A26)</f>
        <v/>
      </c>
      <c r="B25" t="str">
        <f>IFERROR(IF(A25="","",SUM('Asset Allocation'!H25,'Asset Allocation'!T25)/'Broad Asset Allocation'!C25),0)</f>
        <v/>
      </c>
      <c r="D25" t="str">
        <f>IFERROR(IF(A25="","",SUM('Asset Allocation'!I25,'Asset Allocation'!S25)/'Broad Asset Allocation'!C25),0)</f>
        <v/>
      </c>
      <c r="E25" t="str">
        <f>IFERROR(IF(A25="","",SUM('Asset Allocation'!J25,'Asset Allocation'!R25)/'Broad Asset Allocation'!C25),0)</f>
        <v/>
      </c>
    </row>
    <row r="26" spans="1:5" x14ac:dyDescent="0.25">
      <c r="A26" t="str">
        <f>IF(Input!A27="","",Input!A27)</f>
        <v/>
      </c>
      <c r="B26" t="str">
        <f>IFERROR(IF(A26="","",SUM('Asset Allocation'!H26,'Asset Allocation'!T26)/'Broad Asset Allocation'!C26),0)</f>
        <v/>
      </c>
      <c r="D26" t="str">
        <f>IFERROR(IF(A26="","",SUM('Asset Allocation'!I26,'Asset Allocation'!S26)/'Broad Asset Allocation'!C26),0)</f>
        <v/>
      </c>
      <c r="E26" t="str">
        <f>IFERROR(IF(A26="","",SUM('Asset Allocation'!J26,'Asset Allocation'!R26)/'Broad Asset Allocation'!C26),0)</f>
        <v/>
      </c>
    </row>
    <row r="27" spans="1:5" x14ac:dyDescent="0.25">
      <c r="A27" t="str">
        <f>IF(Input!A28="","",Input!A28)</f>
        <v/>
      </c>
      <c r="B27" t="str">
        <f>IFERROR(IF(A27="","",SUM('Asset Allocation'!H27,'Asset Allocation'!T27)/'Broad Asset Allocation'!C27),0)</f>
        <v/>
      </c>
      <c r="D27" t="str">
        <f>IFERROR(IF(A27="","",SUM('Asset Allocation'!I27,'Asset Allocation'!S27)/'Broad Asset Allocation'!C27),0)</f>
        <v/>
      </c>
      <c r="E27" t="str">
        <f>IFERROR(IF(A27="","",SUM('Asset Allocation'!J27,'Asset Allocation'!R27)/'Broad Asset Allocation'!C27),0)</f>
        <v/>
      </c>
    </row>
    <row r="28" spans="1:5" x14ac:dyDescent="0.25">
      <c r="A28" t="str">
        <f>IF(Input!A29="","",Input!A29)</f>
        <v/>
      </c>
      <c r="B28" t="str">
        <f>IFERROR(IF(A28="","",SUM('Asset Allocation'!H28,'Asset Allocation'!T28)/'Broad Asset Allocation'!C28),0)</f>
        <v/>
      </c>
      <c r="D28" t="str">
        <f>IFERROR(IF(A28="","",SUM('Asset Allocation'!I28,'Asset Allocation'!S28)/'Broad Asset Allocation'!C28),0)</f>
        <v/>
      </c>
      <c r="E28" t="str">
        <f>IFERROR(IF(A28="","",SUM('Asset Allocation'!J28,'Asset Allocation'!R28)/'Broad Asset Allocation'!C28),0)</f>
        <v/>
      </c>
    </row>
    <row r="29" spans="1:5" x14ac:dyDescent="0.25">
      <c r="A29" t="str">
        <f>IF(Input!A30="","",Input!A30)</f>
        <v/>
      </c>
      <c r="B29" t="str">
        <f>IFERROR(IF(A29="","",SUM('Asset Allocation'!H29,'Asset Allocation'!T29)/'Broad Asset Allocation'!C29),0)</f>
        <v/>
      </c>
      <c r="D29" t="str">
        <f>IFERROR(IF(A29="","",SUM('Asset Allocation'!I29,'Asset Allocation'!S29)/'Broad Asset Allocation'!C29),0)</f>
        <v/>
      </c>
      <c r="E29" t="str">
        <f>IFERROR(IF(A29="","",SUM('Asset Allocation'!J29,'Asset Allocation'!R29)/'Broad Asset Allocation'!C29),0)</f>
        <v/>
      </c>
    </row>
    <row r="30" spans="1:5" x14ac:dyDescent="0.25">
      <c r="A30" t="str">
        <f>IF(Input!A31="","",Input!A31)</f>
        <v/>
      </c>
      <c r="B30" t="str">
        <f>IFERROR(IF(A30="","",SUM('Asset Allocation'!H30,'Asset Allocation'!T30)/'Broad Asset Allocation'!C30),0)</f>
        <v/>
      </c>
      <c r="D30" t="str">
        <f>IFERROR(IF(A30="","",SUM('Asset Allocation'!I30,'Asset Allocation'!S30)/'Broad Asset Allocation'!C30),0)</f>
        <v/>
      </c>
      <c r="E30" t="str">
        <f>IFERROR(IF(A30="","",SUM('Asset Allocation'!J30,'Asset Allocation'!R30)/'Broad Asset Allocation'!C30),0)</f>
        <v/>
      </c>
    </row>
    <row r="31" spans="1:5" x14ac:dyDescent="0.25">
      <c r="A31" t="str">
        <f>IF(Input!A32="","",Input!A32)</f>
        <v/>
      </c>
      <c r="B31" t="str">
        <f>IFERROR(IF(A31="","",SUM('Asset Allocation'!H31,'Asset Allocation'!T31)/'Broad Asset Allocation'!C31),0)</f>
        <v/>
      </c>
      <c r="D31" t="str">
        <f>IFERROR(IF(A31="","",SUM('Asset Allocation'!I31,'Asset Allocation'!S31)/'Broad Asset Allocation'!C31),0)</f>
        <v/>
      </c>
      <c r="E31" t="str">
        <f>IFERROR(IF(A31="","",SUM('Asset Allocation'!J31,'Asset Allocation'!R31)/'Broad Asset Allocation'!C31),0)</f>
        <v/>
      </c>
    </row>
    <row r="32" spans="1:5" x14ac:dyDescent="0.25">
      <c r="A32" t="str">
        <f>IF(Input!A33="","",Input!A33)</f>
        <v/>
      </c>
      <c r="B32" t="str">
        <f>IFERROR(IF(A32="","",SUM('Asset Allocation'!H32,'Asset Allocation'!T32)/'Broad Asset Allocation'!C32),0)</f>
        <v/>
      </c>
      <c r="D32" t="str">
        <f>IFERROR(IF(A32="","",SUM('Asset Allocation'!I32,'Asset Allocation'!S32)/'Broad Asset Allocation'!C32),0)</f>
        <v/>
      </c>
      <c r="E32" t="str">
        <f>IFERROR(IF(A32="","",SUM('Asset Allocation'!J32,'Asset Allocation'!R32)/'Broad Asset Allocation'!C32),0)</f>
        <v/>
      </c>
    </row>
    <row r="33" spans="1:5" x14ac:dyDescent="0.25">
      <c r="A33" t="str">
        <f>IF(Input!A34="","",Input!A34)</f>
        <v/>
      </c>
      <c r="B33" t="str">
        <f>IFERROR(IF(A33="","",SUM('Asset Allocation'!H33,'Asset Allocation'!T33)/'Broad Asset Allocation'!C33),0)</f>
        <v/>
      </c>
      <c r="D33" t="str">
        <f>IFERROR(IF(A33="","",SUM('Asset Allocation'!I33,'Asset Allocation'!S33)/'Broad Asset Allocation'!C33),0)</f>
        <v/>
      </c>
      <c r="E33" t="str">
        <f>IFERROR(IF(A33="","",SUM('Asset Allocation'!J33,'Asset Allocation'!R33)/'Broad Asset Allocation'!C33),0)</f>
        <v/>
      </c>
    </row>
    <row r="34" spans="1:5" x14ac:dyDescent="0.25">
      <c r="A34" t="str">
        <f>IF(Input!A35="","",Input!A35)</f>
        <v/>
      </c>
      <c r="B34" t="str">
        <f>IFERROR(IF(A34="","",SUM('Asset Allocation'!H34,'Asset Allocation'!T34)/'Broad Asset Allocation'!C34),0)</f>
        <v/>
      </c>
      <c r="D34" t="str">
        <f>IFERROR(IF(A34="","",SUM('Asset Allocation'!I34,'Asset Allocation'!S34)/'Broad Asset Allocation'!C34),0)</f>
        <v/>
      </c>
      <c r="E34" t="str">
        <f>IFERROR(IF(A34="","",SUM('Asset Allocation'!J34,'Asset Allocation'!R34)/'Broad Asset Allocation'!C34),0)</f>
        <v/>
      </c>
    </row>
    <row r="35" spans="1:5" x14ac:dyDescent="0.25">
      <c r="A35" t="str">
        <f>IF(Input!A36="","",Input!A36)</f>
        <v/>
      </c>
      <c r="B35" t="str">
        <f>IFERROR(IF(A35="","",SUM('Asset Allocation'!H35,'Asset Allocation'!T35)/'Broad Asset Allocation'!C35),0)</f>
        <v/>
      </c>
      <c r="D35" t="str">
        <f>IFERROR(IF(A35="","",SUM('Asset Allocation'!I35,'Asset Allocation'!S35)/'Broad Asset Allocation'!C35),0)</f>
        <v/>
      </c>
      <c r="E35" t="str">
        <f>IFERROR(IF(A35="","",SUM('Asset Allocation'!J35,'Asset Allocation'!R35)/'Broad Asset Allocation'!C35),0)</f>
        <v/>
      </c>
    </row>
    <row r="36" spans="1:5" x14ac:dyDescent="0.25">
      <c r="A36" t="str">
        <f>IF(Input!A37="","",Input!A37)</f>
        <v/>
      </c>
      <c r="B36" t="str">
        <f>IFERROR(IF(A36="","",SUM('Asset Allocation'!H36,'Asset Allocation'!T36)/'Broad Asset Allocation'!C36),0)</f>
        <v/>
      </c>
      <c r="D36" t="str">
        <f>IFERROR(IF(A36="","",SUM('Asset Allocation'!I36,'Asset Allocation'!S36)/'Broad Asset Allocation'!C36),0)</f>
        <v/>
      </c>
      <c r="E36" t="str">
        <f>IFERROR(IF(A36="","",SUM('Asset Allocation'!J36,'Asset Allocation'!R36)/'Broad Asset Allocation'!C36),0)</f>
        <v/>
      </c>
    </row>
    <row r="37" spans="1:5" x14ac:dyDescent="0.25">
      <c r="A37" t="str">
        <f>IF(Input!A38="","",Input!A38)</f>
        <v/>
      </c>
      <c r="B37" t="str">
        <f>IFERROR(IF(A37="","",SUM('Asset Allocation'!H37,'Asset Allocation'!T37)/'Broad Asset Allocation'!C37),0)</f>
        <v/>
      </c>
      <c r="D37" t="str">
        <f>IFERROR(IF(A37="","",SUM('Asset Allocation'!I37,'Asset Allocation'!S37)/'Broad Asset Allocation'!C37),0)</f>
        <v/>
      </c>
      <c r="E37" t="str">
        <f>IFERROR(IF(A37="","",SUM('Asset Allocation'!J37,'Asset Allocation'!R37)/'Broad Asset Allocation'!C37),0)</f>
        <v/>
      </c>
    </row>
    <row r="38" spans="1:5" x14ac:dyDescent="0.25">
      <c r="A38" t="str">
        <f>IF(Input!A39="","",Input!A39)</f>
        <v/>
      </c>
      <c r="B38" t="str">
        <f>IFERROR(IF(A38="","",SUM('Asset Allocation'!H38,'Asset Allocation'!T38)/'Broad Asset Allocation'!C38),0)</f>
        <v/>
      </c>
      <c r="D38" t="str">
        <f>IFERROR(IF(A38="","",SUM('Asset Allocation'!I38,'Asset Allocation'!S38)/'Broad Asset Allocation'!C38),0)</f>
        <v/>
      </c>
      <c r="E38" t="str">
        <f>IFERROR(IF(A38="","",SUM('Asset Allocation'!J38,'Asset Allocation'!R38)/'Broad Asset Allocation'!C38),0)</f>
        <v/>
      </c>
    </row>
    <row r="39" spans="1:5" x14ac:dyDescent="0.25">
      <c r="A39" t="str">
        <f>IF(Input!A40="","",Input!A40)</f>
        <v/>
      </c>
      <c r="B39" t="str">
        <f>IFERROR(IF(A39="","",SUM('Asset Allocation'!H39,'Asset Allocation'!T39)/'Broad Asset Allocation'!C39),0)</f>
        <v/>
      </c>
      <c r="D39" t="str">
        <f>IFERROR(IF(A39="","",SUM('Asset Allocation'!I39,'Asset Allocation'!S39)/'Broad Asset Allocation'!C39),0)</f>
        <v/>
      </c>
      <c r="E39" t="str">
        <f>IFERROR(IF(A39="","",SUM('Asset Allocation'!J39,'Asset Allocation'!R39)/'Broad Asset Allocation'!C39),0)</f>
        <v/>
      </c>
    </row>
    <row r="40" spans="1:5" x14ac:dyDescent="0.25">
      <c r="A40" t="str">
        <f>IF(Input!A41="","",Input!A41)</f>
        <v/>
      </c>
      <c r="B40" t="str">
        <f>IFERROR(IF(A40="","",SUM('Asset Allocation'!H40,'Asset Allocation'!T40)/'Broad Asset Allocation'!C40),0)</f>
        <v/>
      </c>
      <c r="D40" t="str">
        <f>IFERROR(IF(A40="","",SUM('Asset Allocation'!I40,'Asset Allocation'!S40)/'Broad Asset Allocation'!C40),0)</f>
        <v/>
      </c>
      <c r="E40" t="str">
        <f>IFERROR(IF(A40="","",SUM('Asset Allocation'!J40,'Asset Allocation'!R40)/'Broad Asset Allocation'!C40),0)</f>
        <v/>
      </c>
    </row>
    <row r="41" spans="1:5" x14ac:dyDescent="0.25">
      <c r="A41" t="str">
        <f>IF(Input!A42="","",Input!A42)</f>
        <v/>
      </c>
      <c r="B41" t="str">
        <f>IFERROR(IF(A41="","",SUM('Asset Allocation'!H41,'Asset Allocation'!T41)/'Broad Asset Allocation'!C41),0)</f>
        <v/>
      </c>
      <c r="D41" t="str">
        <f>IFERROR(IF(A41="","",SUM('Asset Allocation'!I41,'Asset Allocation'!S41)/'Broad Asset Allocation'!C41),0)</f>
        <v/>
      </c>
      <c r="E41" t="str">
        <f>IFERROR(IF(A41="","",SUM('Asset Allocation'!J41,'Asset Allocation'!R41)/'Broad Asset Allocation'!C41),0)</f>
        <v/>
      </c>
    </row>
    <row r="42" spans="1:5" x14ac:dyDescent="0.25">
      <c r="A42" t="str">
        <f>IF(Input!A43="","",Input!A43)</f>
        <v/>
      </c>
      <c r="B42" t="str">
        <f>IFERROR(IF(A42="","",SUM('Asset Allocation'!H42,'Asset Allocation'!T42)/'Broad Asset Allocation'!C42),0)</f>
        <v/>
      </c>
      <c r="D42" t="str">
        <f>IFERROR(IF(A42="","",SUM('Asset Allocation'!I42,'Asset Allocation'!S42)/'Broad Asset Allocation'!C42),0)</f>
        <v/>
      </c>
      <c r="E42" t="str">
        <f>IFERROR(IF(A42="","",SUM('Asset Allocation'!J42,'Asset Allocation'!R42)/'Broad Asset Allocation'!C42),0)</f>
        <v/>
      </c>
    </row>
    <row r="43" spans="1:5" x14ac:dyDescent="0.25">
      <c r="A43" t="str">
        <f>IF(Input!A44="","",Input!A44)</f>
        <v/>
      </c>
      <c r="B43" t="str">
        <f>IFERROR(IF(A43="","",SUM('Asset Allocation'!H43,'Asset Allocation'!T43)/'Broad Asset Allocation'!C43),0)</f>
        <v/>
      </c>
      <c r="D43" t="str">
        <f>IFERROR(IF(A43="","",SUM('Asset Allocation'!I43,'Asset Allocation'!S43)/'Broad Asset Allocation'!C43),0)</f>
        <v/>
      </c>
      <c r="E43" t="str">
        <f>IFERROR(IF(A43="","",SUM('Asset Allocation'!J43,'Asset Allocation'!R43)/'Broad Asset Allocation'!C43),0)</f>
        <v/>
      </c>
    </row>
    <row r="44" spans="1:5" x14ac:dyDescent="0.25">
      <c r="A44" t="str">
        <f>IF(Input!A45="","",Input!A45)</f>
        <v/>
      </c>
      <c r="B44" t="str">
        <f>IFERROR(IF(A44="","",SUM('Asset Allocation'!H44,'Asset Allocation'!T44)/'Broad Asset Allocation'!C44),0)</f>
        <v/>
      </c>
      <c r="D44" t="str">
        <f>IFERROR(IF(A44="","",SUM('Asset Allocation'!I44,'Asset Allocation'!S44)/'Broad Asset Allocation'!C44),0)</f>
        <v/>
      </c>
      <c r="E44" t="str">
        <f>IFERROR(IF(A44="","",SUM('Asset Allocation'!J44,'Asset Allocation'!R44)/'Broad Asset Allocation'!C44),0)</f>
        <v/>
      </c>
    </row>
    <row r="45" spans="1:5" x14ac:dyDescent="0.25">
      <c r="A45" t="str">
        <f>IF(Input!A46="","",Input!A46)</f>
        <v/>
      </c>
      <c r="B45" t="str">
        <f>IFERROR(IF(A45="","",SUM('Asset Allocation'!H45,'Asset Allocation'!T45)/'Broad Asset Allocation'!C45),0)</f>
        <v/>
      </c>
      <c r="D45" t="str">
        <f>IFERROR(IF(A45="","",SUM('Asset Allocation'!I45,'Asset Allocation'!S45)/'Broad Asset Allocation'!C45),0)</f>
        <v/>
      </c>
      <c r="E45" t="str">
        <f>IFERROR(IF(A45="","",SUM('Asset Allocation'!J45,'Asset Allocation'!R45)/'Broad Asset Allocation'!C45),0)</f>
        <v/>
      </c>
    </row>
    <row r="46" spans="1:5" x14ac:dyDescent="0.25">
      <c r="A46" t="str">
        <f>IF(Input!A47="","",Input!A47)</f>
        <v/>
      </c>
      <c r="B46" t="str">
        <f>IFERROR(IF(A46="","",SUM('Asset Allocation'!H46,'Asset Allocation'!T46)/'Broad Asset Allocation'!C46),0)</f>
        <v/>
      </c>
      <c r="D46" t="str">
        <f>IFERROR(IF(A46="","",SUM('Asset Allocation'!I46,'Asset Allocation'!S46)/'Broad Asset Allocation'!C46),0)</f>
        <v/>
      </c>
      <c r="E46" t="str">
        <f>IFERROR(IF(A46="","",SUM('Asset Allocation'!J46,'Asset Allocation'!R46)/'Broad Asset Allocation'!C46),0)</f>
        <v/>
      </c>
    </row>
    <row r="47" spans="1:5" x14ac:dyDescent="0.25">
      <c r="A47" t="str">
        <f>IF(Input!A48="","",Input!A48)</f>
        <v/>
      </c>
      <c r="B47" t="str">
        <f>IFERROR(IF(A47="","",SUM('Asset Allocation'!H47,'Asset Allocation'!T47)/'Broad Asset Allocation'!C47),0)</f>
        <v/>
      </c>
      <c r="D47" t="str">
        <f>IFERROR(IF(A47="","",SUM('Asset Allocation'!I47,'Asset Allocation'!S47)/'Broad Asset Allocation'!C47),0)</f>
        <v/>
      </c>
      <c r="E47" t="str">
        <f>IFERROR(IF(A47="","",SUM('Asset Allocation'!J47,'Asset Allocation'!R47)/'Broad Asset Allocation'!C47),0)</f>
        <v/>
      </c>
    </row>
    <row r="48" spans="1:5" x14ac:dyDescent="0.25">
      <c r="A48" t="str">
        <f>IF(Input!A49="","",Input!A49)</f>
        <v/>
      </c>
      <c r="B48" t="str">
        <f>IFERROR(IF(A48="","",SUM('Asset Allocation'!H48,'Asset Allocation'!T48)/'Broad Asset Allocation'!C48),0)</f>
        <v/>
      </c>
      <c r="D48" t="str">
        <f>IFERROR(IF(A48="","",SUM('Asset Allocation'!I48,'Asset Allocation'!S48)/'Broad Asset Allocation'!C48),0)</f>
        <v/>
      </c>
      <c r="E48" t="str">
        <f>IFERROR(IF(A48="","",SUM('Asset Allocation'!J48,'Asset Allocation'!R48)/'Broad Asset Allocation'!C48),0)</f>
        <v/>
      </c>
    </row>
    <row r="49" spans="1:5" x14ac:dyDescent="0.25">
      <c r="A49" t="str">
        <f>IF(Input!A50="","",Input!A50)</f>
        <v/>
      </c>
      <c r="B49" t="str">
        <f>IFERROR(IF(A49="","",SUM('Asset Allocation'!H49,'Asset Allocation'!T49)/'Broad Asset Allocation'!C49),0)</f>
        <v/>
      </c>
      <c r="D49" t="str">
        <f>IFERROR(IF(A49="","",SUM('Asset Allocation'!I49,'Asset Allocation'!S49)/'Broad Asset Allocation'!C49),0)</f>
        <v/>
      </c>
      <c r="E49" t="str">
        <f>IFERROR(IF(A49="","",SUM('Asset Allocation'!J49,'Asset Allocation'!R49)/'Broad Asset Allocation'!C49),0)</f>
        <v/>
      </c>
    </row>
    <row r="50" spans="1:5" x14ac:dyDescent="0.25">
      <c r="A50" t="str">
        <f>IF(Input!A51="","",Input!A51)</f>
        <v/>
      </c>
      <c r="B50" t="str">
        <f>IFERROR(IF(A50="","",SUM('Asset Allocation'!H50,'Asset Allocation'!T50)/'Broad Asset Allocation'!C50),0)</f>
        <v/>
      </c>
      <c r="D50" t="str">
        <f>IFERROR(IF(A50="","",SUM('Asset Allocation'!I50,'Asset Allocation'!S50)/'Broad Asset Allocation'!C50),0)</f>
        <v/>
      </c>
      <c r="E50" t="str">
        <f>IFERROR(IF(A50="","",SUM('Asset Allocation'!J50,'Asset Allocation'!R50)/'Broad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-7.6E-3</v>
      </c>
      <c r="I2">
        <v>-7.0999999999999995E-3</v>
      </c>
      <c r="J2">
        <v>-6.4000000000000003E-3</v>
      </c>
      <c r="K2">
        <v>-5.3E-3</v>
      </c>
      <c r="L2">
        <v>-3.8E-3</v>
      </c>
      <c r="M2">
        <v>-3.8E-3</v>
      </c>
      <c r="N2">
        <v>-6.5000000000000006E-3</v>
      </c>
      <c r="O2">
        <v>-5.7999999999999996E-3</v>
      </c>
      <c r="P2">
        <v>-5.0000000000000001E-3</v>
      </c>
      <c r="Q2">
        <v>-3.9000000000000003E-3</v>
      </c>
      <c r="R2">
        <v>-3.3E-3</v>
      </c>
      <c r="S2">
        <v>-2.5999999999999999E-3</v>
      </c>
      <c r="T2">
        <v>-1.0700000000000001E-2</v>
      </c>
      <c r="U2">
        <v>-8.6999999999999994E-3</v>
      </c>
      <c r="V2">
        <v>-6.6E-3</v>
      </c>
      <c r="W2">
        <v>-4.0000000000000001E-3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-2.1600000000000001E-2</v>
      </c>
      <c r="I2">
        <v>-1.5300000000000001E-2</v>
      </c>
      <c r="J2">
        <v>-8.5000000000000006E-3</v>
      </c>
      <c r="K2">
        <v>4.0000000000000002E-4</v>
      </c>
      <c r="L2">
        <v>8.6E-3</v>
      </c>
      <c r="M2">
        <v>1.2500000000000001E-2</v>
      </c>
      <c r="N2">
        <v>-2.3199999999999998E-2</v>
      </c>
      <c r="O2">
        <v>-1.3999999999999999E-2</v>
      </c>
      <c r="P2">
        <v>-4.1999999999999997E-3</v>
      </c>
      <c r="Q2">
        <v>6.8999999999999999E-3</v>
      </c>
      <c r="R2">
        <v>1.6399999999999998E-2</v>
      </c>
      <c r="S2">
        <v>2.3599999999999999E-2</v>
      </c>
      <c r="T2">
        <v>-3.61E-2</v>
      </c>
      <c r="U2">
        <v>-2.7400000000000001E-2</v>
      </c>
      <c r="V2">
        <v>-1.8500000000000003E-2</v>
      </c>
      <c r="W2">
        <v>-8.5000000000000006E-3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4.3E-3</v>
      </c>
      <c r="I2">
        <v>4.6999999999999993E-3</v>
      </c>
      <c r="J2">
        <v>5.1000000000000004E-3</v>
      </c>
      <c r="K2">
        <v>5.4000000000000003E-3</v>
      </c>
      <c r="L2">
        <v>5.6999999999999993E-3</v>
      </c>
      <c r="M2">
        <v>5.7999999999999996E-3</v>
      </c>
      <c r="N2">
        <v>1.5E-3</v>
      </c>
      <c r="O2">
        <v>1.4000000000000002E-3</v>
      </c>
      <c r="P2">
        <v>1.4000000000000002E-3</v>
      </c>
      <c r="Q2">
        <v>1.2999999999999999E-3</v>
      </c>
      <c r="R2">
        <v>1.2999999999999999E-3</v>
      </c>
      <c r="S2">
        <v>1.2999999999999999E-3</v>
      </c>
      <c r="T2">
        <v>5.0000000000000001E-3</v>
      </c>
      <c r="U2">
        <v>5.5000000000000005E-3</v>
      </c>
      <c r="V2">
        <v>6.0000000000000001E-3</v>
      </c>
      <c r="W2">
        <v>6.6E-3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0.17100000000000004</v>
      </c>
      <c r="I2">
        <v>0.30400000000000005</v>
      </c>
      <c r="J2">
        <v>0.44699999999999995</v>
      </c>
      <c r="K2">
        <v>0.6130000000000001</v>
      </c>
      <c r="L2">
        <v>0.78200000000000014</v>
      </c>
      <c r="M2">
        <v>0.94</v>
      </c>
      <c r="N2">
        <v>0.16800000000000004</v>
      </c>
      <c r="O2">
        <v>0.30600000000000005</v>
      </c>
      <c r="P2">
        <v>0.45399999999999996</v>
      </c>
      <c r="Q2">
        <v>0.622</v>
      </c>
      <c r="R2">
        <v>0.79899999999999993</v>
      </c>
      <c r="S2">
        <v>0.95499999999999996</v>
      </c>
      <c r="T2">
        <v>0.17100000000000004</v>
      </c>
      <c r="U2">
        <v>0.30900000000000005</v>
      </c>
      <c r="V2">
        <v>0.45400000000000001</v>
      </c>
      <c r="W2">
        <v>0.62000000000000011</v>
      </c>
    </row>
    <row r="3" spans="1:50" x14ac:dyDescent="0.25">
      <c r="A3" s="1">
        <v>45138</v>
      </c>
      <c r="B3">
        <v>0.24299999999999999</v>
      </c>
      <c r="C3">
        <v>0.32299999999999995</v>
      </c>
      <c r="D3">
        <v>0.40800000000000003</v>
      </c>
      <c r="E3">
        <v>0.58699999999999997</v>
      </c>
      <c r="F3">
        <v>0.81400000000000006</v>
      </c>
      <c r="G3">
        <v>0.98199999999999998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0.70899999999999996</v>
      </c>
      <c r="I2">
        <v>0.58599999999999997</v>
      </c>
      <c r="J2">
        <v>0.45200000000000001</v>
      </c>
      <c r="K2">
        <v>0.29599999999999999</v>
      </c>
      <c r="L2">
        <v>0.14300000000000002</v>
      </c>
      <c r="M2">
        <v>1.4999999999999999E-2</v>
      </c>
      <c r="N2">
        <v>0.81199999999999994</v>
      </c>
      <c r="O2">
        <v>0.67400000000000015</v>
      </c>
      <c r="P2">
        <v>0.52600000000000002</v>
      </c>
      <c r="Q2">
        <v>0.35799999999999998</v>
      </c>
      <c r="R2">
        <v>0.18099999999999999</v>
      </c>
      <c r="S2">
        <v>2.5000000000000001E-2</v>
      </c>
      <c r="T2">
        <v>0.7390000000000001</v>
      </c>
      <c r="U2">
        <v>0.60099999999999998</v>
      </c>
      <c r="V2">
        <v>0.45500000000000007</v>
      </c>
      <c r="W2">
        <v>0.29400000000000004</v>
      </c>
    </row>
    <row r="3" spans="1:50" x14ac:dyDescent="0.25">
      <c r="A3" s="1">
        <v>45138</v>
      </c>
      <c r="B3">
        <v>0.73799999999999999</v>
      </c>
      <c r="C3">
        <v>0.65800000000000003</v>
      </c>
      <c r="D3">
        <v>0.57299999999999995</v>
      </c>
      <c r="E3">
        <v>0.39600000000000002</v>
      </c>
      <c r="F3">
        <v>0.16900000000000001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0.1</v>
      </c>
      <c r="I2">
        <v>0.09</v>
      </c>
      <c r="J2">
        <v>8.1000000000000003E-2</v>
      </c>
      <c r="K2">
        <v>7.0999999999999994E-2</v>
      </c>
      <c r="L2">
        <v>5.5E-2</v>
      </c>
      <c r="M2">
        <v>2.5000000000000001E-2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7.0000000000000007E-2</v>
      </c>
      <c r="U2">
        <v>7.0000000000000007E-2</v>
      </c>
      <c r="V2">
        <v>7.0999999999999994E-2</v>
      </c>
      <c r="W2">
        <v>6.6000000000000003E-2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0.02</v>
      </c>
      <c r="N2">
        <v>0.02</v>
      </c>
      <c r="O2">
        <v>0.02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0.02</v>
      </c>
    </row>
    <row r="3" spans="1:50" x14ac:dyDescent="0.25">
      <c r="A3" s="1">
        <v>45138</v>
      </c>
      <c r="B3">
        <v>0.02</v>
      </c>
      <c r="C3">
        <v>0.02</v>
      </c>
      <c r="D3">
        <v>0.02</v>
      </c>
      <c r="E3">
        <v>0.02</v>
      </c>
      <c r="F3">
        <v>0.02</v>
      </c>
      <c r="G3">
        <v>0.02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-2.2204460492503131E-16</v>
      </c>
      <c r="P2">
        <v>0</v>
      </c>
      <c r="Q2">
        <v>0</v>
      </c>
      <c r="R2">
        <v>0</v>
      </c>
      <c r="S2">
        <v>0</v>
      </c>
      <c r="T2">
        <v>-2.2204460492503131E-16</v>
      </c>
      <c r="U2">
        <v>0</v>
      </c>
      <c r="V2">
        <v>0</v>
      </c>
      <c r="W2">
        <v>-2.2204460492503131E-16</v>
      </c>
    </row>
    <row r="3" spans="1:50" x14ac:dyDescent="0.25">
      <c r="A3" s="1">
        <v>45138</v>
      </c>
      <c r="B3">
        <v>-9.9999999999988987E-4</v>
      </c>
      <c r="C3">
        <v>-9.9999999999988987E-4</v>
      </c>
      <c r="D3">
        <v>-9.9999999999988987E-4</v>
      </c>
      <c r="E3">
        <v>-2.9999999999998916E-3</v>
      </c>
      <c r="F3">
        <v>-3.0000000000001137E-3</v>
      </c>
      <c r="G3">
        <v>-2.0000000000000018E-3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0.46783625730994144</v>
      </c>
      <c r="I2">
        <v>0.43092105263157887</v>
      </c>
      <c r="J2">
        <v>0.42281879194630873</v>
      </c>
      <c r="K2">
        <v>0.42740619902120713</v>
      </c>
      <c r="L2">
        <v>0.44245524296675187</v>
      </c>
      <c r="M2">
        <v>0.43723404255319154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0.27485380116959057</v>
      </c>
      <c r="U2">
        <v>0.27184466019417475</v>
      </c>
      <c r="V2">
        <v>0.2753303964757709</v>
      </c>
      <c r="W2">
        <v>0.28064516129032252</v>
      </c>
    </row>
    <row r="3" spans="1:50" x14ac:dyDescent="0.25">
      <c r="A3" s="1">
        <v>45138</v>
      </c>
      <c r="B3">
        <v>6.1728395061728392E-2</v>
      </c>
      <c r="C3">
        <v>8.6687306501547989E-2</v>
      </c>
      <c r="D3">
        <v>9.3137254901960773E-2</v>
      </c>
      <c r="E3">
        <v>0.10732538330494037</v>
      </c>
      <c r="F3">
        <v>0.11056511056511055</v>
      </c>
      <c r="G3">
        <v>0.10997963340122201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0.14035087719298242</v>
      </c>
      <c r="I2">
        <v>0.15460526315789472</v>
      </c>
      <c r="J2">
        <v>0.1655480984340045</v>
      </c>
      <c r="K2">
        <v>0.18107667210440453</v>
      </c>
      <c r="L2">
        <v>0.17774936061381072</v>
      </c>
      <c r="M2">
        <v>0.18617021276595744</v>
      </c>
      <c r="N2">
        <v>0.20833333333333331</v>
      </c>
      <c r="O2">
        <v>0.22549019607843135</v>
      </c>
      <c r="P2">
        <v>0.2312775330396476</v>
      </c>
      <c r="Q2">
        <v>0.23311897106109322</v>
      </c>
      <c r="R2">
        <v>0.23404255319148939</v>
      </c>
      <c r="S2">
        <v>0.23560209424083772</v>
      </c>
      <c r="T2">
        <v>0.16374269005847947</v>
      </c>
      <c r="U2">
        <v>0.16181229773462782</v>
      </c>
      <c r="V2">
        <v>0.18061674008810569</v>
      </c>
      <c r="W2">
        <v>0.19193548387096773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5.847953216374268E-2</v>
      </c>
      <c r="I2">
        <v>5.921052631578947E-2</v>
      </c>
      <c r="J2">
        <v>5.5928411633109631E-2</v>
      </c>
      <c r="K2">
        <v>5.2202283849918429E-2</v>
      </c>
      <c r="L2">
        <v>4.9872122762148328E-2</v>
      </c>
      <c r="M2">
        <v>5.2127659574468091E-2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7.017543859649121E-2</v>
      </c>
      <c r="U2">
        <v>6.1488673139158567E-2</v>
      </c>
      <c r="V2">
        <v>5.506607929515419E-2</v>
      </c>
      <c r="W2">
        <v>5.4838709677419349E-2</v>
      </c>
    </row>
    <row r="3" spans="1:50" x14ac:dyDescent="0.25">
      <c r="A3" s="1">
        <v>45138</v>
      </c>
      <c r="B3">
        <v>1.234567901234568E-2</v>
      </c>
      <c r="C3">
        <v>1.5479876160990714E-2</v>
      </c>
      <c r="D3">
        <v>1.9607843137254902E-2</v>
      </c>
      <c r="E3">
        <v>2.2146507666098811E-2</v>
      </c>
      <c r="F3">
        <v>2.4570024570024569E-2</v>
      </c>
      <c r="G3">
        <v>2.3421588594704685E-2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5.847953216374268E-2</v>
      </c>
      <c r="I2">
        <v>6.5789473684210523E-2</v>
      </c>
      <c r="J2">
        <v>6.2639821029082776E-2</v>
      </c>
      <c r="K2">
        <v>6.3621533442088082E-2</v>
      </c>
      <c r="L2">
        <v>6.6496163682864443E-2</v>
      </c>
      <c r="M2">
        <v>6.3829787234042548E-2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2.923976608187134E-2</v>
      </c>
      <c r="U2">
        <v>2.5889967637540451E-2</v>
      </c>
      <c r="V2">
        <v>2.2026431718061675E-2</v>
      </c>
      <c r="W2">
        <v>2.419354838709677E-2</v>
      </c>
    </row>
    <row r="3" spans="1:50" x14ac:dyDescent="0.25">
      <c r="A3" s="1">
        <v>45138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50" x14ac:dyDescent="0.25">
      <c r="A3" s="1">
        <v>45138</v>
      </c>
      <c r="B3">
        <v>0</v>
      </c>
      <c r="C3">
        <v>1.5479876160990714E-2</v>
      </c>
      <c r="D3">
        <v>1.2254901960784314E-2</v>
      </c>
      <c r="E3">
        <v>1.7035775127768316E-2</v>
      </c>
      <c r="F3">
        <v>1.5970515970515971E-2</v>
      </c>
      <c r="G3">
        <v>1.8329938900203669E-2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9.9415204678362554E-2</v>
      </c>
      <c r="I2">
        <v>9.2105263157894718E-2</v>
      </c>
      <c r="J2">
        <v>9.1722595078299773E-2</v>
      </c>
      <c r="K2">
        <v>8.8091353996737357E-2</v>
      </c>
      <c r="L2">
        <v>8.6956521739130432E-2</v>
      </c>
      <c r="M2">
        <v>8.5106382978723416E-2</v>
      </c>
      <c r="N2">
        <v>8.928571428571426E-2</v>
      </c>
      <c r="O2">
        <v>8.8235294117647051E-2</v>
      </c>
      <c r="P2">
        <v>8.8105726872246701E-2</v>
      </c>
      <c r="Q2">
        <v>8.6816720257234734E-2</v>
      </c>
      <c r="R2">
        <v>8.6357947434292884E-2</v>
      </c>
      <c r="S2">
        <v>8.5863874345549734E-2</v>
      </c>
      <c r="T2">
        <v>8.7719298245614016E-2</v>
      </c>
      <c r="U2">
        <v>9.0614886731391564E-2</v>
      </c>
      <c r="V2">
        <v>8.8105726872246701E-2</v>
      </c>
      <c r="W2">
        <v>8.3870967741935476E-2</v>
      </c>
    </row>
    <row r="3" spans="1:50" x14ac:dyDescent="0.25">
      <c r="A3" s="1">
        <v>45138</v>
      </c>
      <c r="B3">
        <v>4.1152263374485597E-2</v>
      </c>
      <c r="C3">
        <v>6.1919504643962855E-2</v>
      </c>
      <c r="D3">
        <v>6.6176470588235295E-2</v>
      </c>
      <c r="E3">
        <v>8.1771720613287913E-2</v>
      </c>
      <c r="F3">
        <v>8.3538083538083535E-2</v>
      </c>
      <c r="G3">
        <v>8.1466395112016296E-2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0.17543859649122803</v>
      </c>
      <c r="I2">
        <v>0.19736842105263155</v>
      </c>
      <c r="J2">
        <v>0.20134228187919465</v>
      </c>
      <c r="K2">
        <v>0.18760195758564435</v>
      </c>
      <c r="L2">
        <v>0.1764705882352941</v>
      </c>
      <c r="M2">
        <v>0.17553191489361705</v>
      </c>
      <c r="N2">
        <v>0.70238095238095222</v>
      </c>
      <c r="O2">
        <v>0.68627450980392146</v>
      </c>
      <c r="P2">
        <v>0.6806167400881058</v>
      </c>
      <c r="Q2">
        <v>0.680064308681672</v>
      </c>
      <c r="R2">
        <v>0.67959949937421771</v>
      </c>
      <c r="S2">
        <v>0.67853403141361257</v>
      </c>
      <c r="T2">
        <v>0.37426900584795314</v>
      </c>
      <c r="U2">
        <v>0.38834951456310673</v>
      </c>
      <c r="V2">
        <v>0.37885462555066074</v>
      </c>
      <c r="W2">
        <v>0.364516129032258</v>
      </c>
    </row>
    <row r="3" spans="1:50" x14ac:dyDescent="0.25">
      <c r="A3" s="1">
        <v>45138</v>
      </c>
      <c r="B3">
        <v>0.8847736625514403</v>
      </c>
      <c r="C3">
        <v>0.82043343653250789</v>
      </c>
      <c r="D3">
        <v>0.80882352941176472</v>
      </c>
      <c r="E3">
        <v>0.77172061328790453</v>
      </c>
      <c r="F3">
        <v>0.76535626535626533</v>
      </c>
      <c r="G3">
        <v>0.76680244399185338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0.27221438645980256</v>
      </c>
      <c r="I2">
        <v>0.29010238907849834</v>
      </c>
      <c r="J2">
        <v>0.30530973451327437</v>
      </c>
      <c r="K2">
        <v>0.3108108108108108</v>
      </c>
      <c r="L2">
        <v>0.30769230769230771</v>
      </c>
      <c r="M2">
        <v>0.66666666666666674</v>
      </c>
      <c r="N2">
        <v>0.36083743842364535</v>
      </c>
      <c r="O2">
        <v>0.36498516320474772</v>
      </c>
      <c r="P2">
        <v>0.37452471482889726</v>
      </c>
      <c r="Q2">
        <v>0.38826815642458107</v>
      </c>
      <c r="R2">
        <v>0.36464088397790057</v>
      </c>
      <c r="S2">
        <v>0.79999999999999993</v>
      </c>
      <c r="T2">
        <v>0.29093369418132609</v>
      </c>
      <c r="U2">
        <v>0.29950083194675542</v>
      </c>
      <c r="V2">
        <v>0.33406593406593399</v>
      </c>
      <c r="W2">
        <v>0.31292517006802717</v>
      </c>
    </row>
    <row r="3" spans="1:50" x14ac:dyDescent="0.25">
      <c r="A3" s="1">
        <v>45138</v>
      </c>
      <c r="B3">
        <v>0.31165311653116534</v>
      </c>
      <c r="C3">
        <v>0.34194528875379937</v>
      </c>
      <c r="D3">
        <v>0.38917975567190233</v>
      </c>
      <c r="E3">
        <v>0.42424242424242425</v>
      </c>
      <c r="F3">
        <v>0.55029585798816572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0.58674188998589571</v>
      </c>
      <c r="I2">
        <v>0.57679180887372017</v>
      </c>
      <c r="J2">
        <v>0.5663716814159292</v>
      </c>
      <c r="K2">
        <v>0.55743243243243246</v>
      </c>
      <c r="L2">
        <v>0.58041958041958042</v>
      </c>
      <c r="M2">
        <v>0.33333333333333337</v>
      </c>
      <c r="N2">
        <v>0.52216748768472909</v>
      </c>
      <c r="O2">
        <v>0.52818991097922841</v>
      </c>
      <c r="P2">
        <v>0.53992395437262353</v>
      </c>
      <c r="Q2">
        <v>0.56983240223463683</v>
      </c>
      <c r="R2">
        <v>0.58011049723756902</v>
      </c>
      <c r="S2">
        <v>0</v>
      </c>
      <c r="T2">
        <v>0.62922868741542615</v>
      </c>
      <c r="U2">
        <v>0.63394342762063227</v>
      </c>
      <c r="V2">
        <v>0.61538461538461531</v>
      </c>
      <c r="W2">
        <v>0.65306122448979587</v>
      </c>
    </row>
    <row r="3" spans="1:50" x14ac:dyDescent="0.25">
      <c r="A3" s="1">
        <v>45138</v>
      </c>
      <c r="B3">
        <v>0.63008130081300817</v>
      </c>
      <c r="C3">
        <v>0.52887537993920963</v>
      </c>
      <c r="D3">
        <v>0.40139616055846428</v>
      </c>
      <c r="E3">
        <v>0.32828282828282829</v>
      </c>
      <c r="F3">
        <v>0.25443786982248517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  <c r="H2">
        <v>0.14104372355430184</v>
      </c>
      <c r="I2">
        <v>0.13310580204778158</v>
      </c>
      <c r="J2">
        <v>0.12831858407079644</v>
      </c>
      <c r="K2">
        <v>0.13175675675675677</v>
      </c>
      <c r="L2">
        <v>0.11188811188811187</v>
      </c>
      <c r="M2">
        <v>0</v>
      </c>
      <c r="N2">
        <v>0.11699507389162563</v>
      </c>
      <c r="O2">
        <v>0.10682492581602372</v>
      </c>
      <c r="P2">
        <v>8.5551330798479083E-2</v>
      </c>
      <c r="Q2">
        <v>4.189944134078212E-2</v>
      </c>
      <c r="R2">
        <v>5.5248618784530391E-2</v>
      </c>
      <c r="S2">
        <v>0.19999999999999998</v>
      </c>
      <c r="T2">
        <v>7.9837618403247629E-2</v>
      </c>
      <c r="U2">
        <v>6.6555740432612323E-2</v>
      </c>
      <c r="V2">
        <v>5.0549450549450543E-2</v>
      </c>
      <c r="W2">
        <v>3.4013605442176867E-2</v>
      </c>
    </row>
    <row r="3" spans="1:50" x14ac:dyDescent="0.25">
      <c r="A3" s="1">
        <v>45138</v>
      </c>
      <c r="B3">
        <v>5.8265582655826556E-2</v>
      </c>
      <c r="C3">
        <v>0.12917933130699089</v>
      </c>
      <c r="D3">
        <v>0.20942408376963351</v>
      </c>
      <c r="E3">
        <v>0.24747474747474749</v>
      </c>
      <c r="F3">
        <v>0.19526627218934911</v>
      </c>
      <c r="G3">
        <v>0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conservative model</v>
      </c>
      <c r="C1" s="1" t="str">
        <v>defensive model</v>
      </c>
      <c r="D1" t="str">
        <v>cautious model</v>
      </c>
      <c r="E1" t="str">
        <v>balanced model</v>
      </c>
      <c r="F1" t="str">
        <v>growth model</v>
      </c>
      <c r="G1" t="str">
        <v>adventurous model</v>
      </c>
      <c r="H1" t="str">
        <v>atomos active conservative model</v>
      </c>
      <c r="I1" t="str">
        <v>atomos active defensive model</v>
      </c>
      <c r="J1" t="str">
        <v>atomos active cautious model</v>
      </c>
      <c r="K1" t="str">
        <v>atomos active balanced model</v>
      </c>
      <c r="L1" t="str">
        <v>atomos active growth model</v>
      </c>
      <c r="M1" t="str">
        <v>atomos active adventurous model</v>
      </c>
      <c r="N1" t="str">
        <v>atomos index conservative model</v>
      </c>
      <c r="O1" t="str">
        <v>atomos index defensive model</v>
      </c>
      <c r="P1" t="str">
        <v>atomos index cautious model</v>
      </c>
      <c r="Q1" t="str">
        <v>atomos index balanced model</v>
      </c>
      <c r="R1" t="str">
        <v>atomos index growth model</v>
      </c>
      <c r="S1" t="str">
        <v>atomos index adventurous model</v>
      </c>
      <c r="T1" t="str">
        <v>atomos socially responsible conservative model</v>
      </c>
      <c r="U1" t="str">
        <v>atomos socially responsible defensive model</v>
      </c>
      <c r="V1" t="str">
        <v>atomos socially responsible cautious model</v>
      </c>
      <c r="W1" t="str">
        <v>atomos socially responsible balanced model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45077</v>
      </c>
    </row>
    <row r="3" spans="1:50" x14ac:dyDescent="0.25">
      <c r="A3" s="1">
        <v>45138</v>
      </c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  <row r="12" spans="1:50" x14ac:dyDescent="0.25">
      <c r="A12" s="1"/>
    </row>
  </sheetData>
  <sortState ref="A2:AX1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2023-08-26T06:31:40Z</dcterms:modified>
</cp:coreProperties>
</file>