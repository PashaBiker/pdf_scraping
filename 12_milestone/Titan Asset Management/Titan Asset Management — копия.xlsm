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2_milestone\Titan Asset Management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<sst xmlns="http://schemas.openxmlformats.org/spreadsheetml/2006/main" count="76" uniqueCount="54">
  <si>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</si>
  <si>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</si>
  <si>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</si>
  <si>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</si>
  <si>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</si>
  <si>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</si>
  <si>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</si>
  <si>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</si>
  <si>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</si>
  <si>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</si>
  <si>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</si>
  <si>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</si>
  <si>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</si>
  <si>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</si>
  <si>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</si>
  <si>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</si>
  <si>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</si>
  <si>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</si>
  <si>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</si>
  <si>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</si>
  <si>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</si>
  <si>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</si>
  <si>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</si>
  <si>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</si>
  <si>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</si>
  <si>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</si>
  <si>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</si>
  <si>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</si>
  <si>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</si>
  <si>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</si>
  <si>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</si>
  <si>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</si>
  <si>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ACUMEN Portfolio 3</t>
  </si>
  <si>
    <t>ACUMEN Portfolio 4</t>
  </si>
  <si>
    <t>ACUMEN Portfolio 5</t>
  </si>
  <si>
    <t>ACUMEN Portfolio 6</t>
  </si>
  <si>
    <t>ACUMEN Portfolio 7</t>
  </si>
  <si>
    <t>ACUMEN Portfolio 8</t>
  </si>
  <si>
    <t>ACUMEN Income Portfolio</t>
  </si>
  <si>
    <t>Discretionary Management Fee:</t>
  </si>
  <si>
    <t>Ongoing Charges Figure (OCF):</t>
  </si>
  <si>
    <t>1 Year</t>
  </si>
  <si>
    <t>1 Month</t>
  </si>
  <si>
    <t>Stock</t>
  </si>
  <si>
    <t>Bond</t>
  </si>
  <si>
    <t>Other</t>
  </si>
  <si>
    <t>31.07.2023</t>
  </si>
  <si>
    <t>https://www.titaninvestmentsolutions.com/acumen-3-8-income-portfolios/</t>
  </si>
  <si>
    <t>https://www.titaninvestmentsolutions.com/wp-content/uploads/2023/10/AP4_10092023.pdf</t>
  </si>
  <si>
    <t>https://www.titaninvestmentsolutions.com/wp-content/uploads/2023/10/AP5_10092023.pdf</t>
  </si>
  <si>
    <t>https://www.titaninvestmentsolutions.com/wp-content/uploads/2023/10/AP6_10092023.pdf</t>
  </si>
  <si>
    <t>https://www.titaninvestmentsolutions.com/wp-content/uploads/2023/10/AP7_10092023.pdf</t>
  </si>
  <si>
    <t>https://www.titaninvestmentsolutions.com/wp-content/uploads/2023/10/AP8_10092023.pdf</t>
  </si>
  <si>
    <t>https://www.titaninvestmentsolutions.com/wp-content/uploads/2023/10/AIP_10092023.pdf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</si>
</sst>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4</xdr:col>
      <xdr:colOff>200693</xdr:colOff>
      <xdr:row>13</xdr:row>
      <xdr:rowOff>89078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B7DF99-FF3F-35D7-D42A-3C25FCECE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2400"/>
          <a:ext cx="2639093" cy="233062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120650</xdr:rowOff>
    </xdr:from>
    <xdr:to>
      <xdr:col>7</xdr:col>
      <xdr:colOff>331992</xdr:colOff>
      <xdr:row>25</xdr:row>
      <xdr:rowOff>6479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3C4DA29-BB4B-C5F6-EE23-D32EBCCDE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698750"/>
          <a:ext cx="4599192" cy="1911479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1</xdr:row>
      <xdr:rowOff>6350</xdr:rowOff>
    </xdr:from>
    <xdr:to>
      <xdr:col>12</xdr:col>
      <xdr:colOff>177985</xdr:colOff>
      <xdr:row>14</xdr:row>
      <xdr:rowOff>12839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A40F7C8-0DB9-C939-96CA-AAEC8DEC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92600" y="190500"/>
          <a:ext cx="3200585" cy="24004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G11" sqref="G11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9"/>
  <sheetViews>
    <sheetView workbookViewId="0">
      <selection activeCell="A9" sqref="A9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>
        <f>'PDF Scraping'!D2</f>
        <v>0</v>
      </c>
      <c r="J3" s="4"/>
    </row>
    <row r="4" spans="1:10" x14ac:dyDescent="0.25">
      <c r="A4" t="s">
        <v>33</v>
      </c>
      <c r="B4" t="str">
        <f>'PDF Scraping'!D3</f>
        <v>https://www.titaninvestmentsolutions.com/wp-content/uploads/2023/10/AP4_10092023.pdf</v>
      </c>
      <c r="J4" s="4"/>
    </row>
    <row r="5" spans="1:10" x14ac:dyDescent="0.25">
      <c r="A5" t="s">
        <v>34</v>
      </c>
      <c r="B5" t="str">
        <f>'PDF Scraping'!D4</f>
        <v>https://www.titaninvestmentsolutions.com/wp-content/uploads/2023/10/AP5_10092023.pdf</v>
      </c>
    </row>
    <row r="6" spans="1:10" x14ac:dyDescent="0.25">
      <c r="A6" t="s">
        <v>35</v>
      </c>
      <c r="B6" t="str">
        <f>'PDF Scraping'!D5</f>
        <v>https://www.titaninvestmentsolutions.com/wp-content/uploads/2023/10/AP6_10092023.pdf</v>
      </c>
    </row>
    <row r="7" spans="1:10" x14ac:dyDescent="0.25">
      <c r="A7" t="s">
        <v>36</v>
      </c>
      <c r="B7" t="str">
        <f>'PDF Scraping'!D6</f>
        <v>https://www.titaninvestmentsolutions.com/wp-content/uploads/2023/10/AP7_10092023.pdf</v>
      </c>
    </row>
    <row r="8" spans="1:10" x14ac:dyDescent="0.25">
      <c r="A8" t="s">
        <v>37</v>
      </c>
      <c r="B8" t="str">
        <f>'PDF Scraping'!D7</f>
        <v>https://www.titaninvestmentsolutions.com/wp-content/uploads/2023/10/AP8_10092023.pdf</v>
      </c>
    </row>
    <row r="9" spans="1:10" x14ac:dyDescent="0.25">
      <c r="A9" t="s">
        <v>38</v>
      </c>
      <c r="B9" t="str">
        <f>'PDF Scraping'!D8</f>
        <v>https://www.titaninvestmentsolutions.com/wp-content/uploads/2023/10/AIP_10092023.pdf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K5" sqref="K5"/>
    </sheetView>
  </sheetViews>
  <sheetFormatPr defaultRowHeight="15" x14ac:dyDescent="0.25"/>
  <cols>
    <col min="1" max="1" width="26.140625" bestFit="1" customWidth="1"/>
    <col min="2" max="2" width="10.140625" bestFit="1" customWidth="1"/>
    <col min="3" max="3" width="29.85546875" bestFit="1" customWidth="1"/>
    <col min="4" max="4" width="28.42578125" bestFit="1" customWidth="1"/>
    <col min="5" max="5" width="6.85546875" bestFit="1" customWidth="1"/>
    <col min="6" max="6" width="8.28515625" bestFit="1" customWidth="1"/>
  </cols>
  <sheetData>
    <row r="1" spans="1:6" x14ac:dyDescent="0.25">
      <c r="B1" t="s">
        <v>26</v>
      </c>
      <c r="C1" t="s">
        <v>39</v>
      </c>
      <c r="D1" t="s">
        <v>40</v>
      </c>
      <c r="E1" t="s">
        <v>41</v>
      </c>
      <c r="F1" t="s">
        <v>42</v>
      </c>
    </row>
    <row r="2" spans="1:6" x14ac:dyDescent="0.25">
      <c r="A2" t="str">
        <f>IF(Input!A3="","",Input!A3)</f>
        <v>ACUMEN Portfolio 3</v>
      </c>
      <c r="B2" s="1" t="s">
        <v>46</v>
      </c>
      <c r="C2" s="5">
        <v>7.4999999999999997E-3</v>
      </c>
      <c r="D2" s="5">
        <v>1.1599999999999999E-2</v>
      </c>
      <c r="E2" s="5">
        <v>-6.1600000000000002E-2</v>
      </c>
      <c r="F2" s="5">
        <v>5.4000000000000003E-3</v>
      </c>
    </row>
    <row r="3" spans="1:6" x14ac:dyDescent="0.25">
      <c r="A3" t="str">
        <f>IF(Input!A4="","",Input!A4)</f>
        <v>ACUMEN Portfolio 4</v>
      </c>
      <c r="B3" s="1" t="s">
        <v>46</v>
      </c>
      <c r="C3" s="5">
        <v>7.4999999999999997E-3</v>
      </c>
      <c r="D3" s="5">
        <v>1.0500000000000001E-2</v>
      </c>
      <c r="E3" s="5">
        <v>-4.8899999999999999E-2</v>
      </c>
      <c r="F3" s="5">
        <v>1.26E-2</v>
      </c>
    </row>
    <row r="4" spans="1:6" x14ac:dyDescent="0.25">
      <c r="A4" t="str">
        <f>IF(Input!A5="","",Input!A5)</f>
        <v>ACUMEN Portfolio 5</v>
      </c>
      <c r="B4" s="1" t="s">
        <v>46</v>
      </c>
      <c r="C4" s="5">
        <v>7.4999999999999997E-3</v>
      </c>
      <c r="D4" s="5">
        <v>1.04E-2</v>
      </c>
      <c r="E4" s="5">
        <v>-4.7400000000000005E-2</v>
      </c>
      <c r="F4" s="5">
        <v>1.34E-2</v>
      </c>
    </row>
    <row r="5" spans="1:6" x14ac:dyDescent="0.25">
      <c r="A5" t="str">
        <f>IF(Input!A6="","",Input!A6)</f>
        <v>ACUMEN Portfolio 6</v>
      </c>
      <c r="B5" s="1" t="s">
        <v>46</v>
      </c>
      <c r="C5" s="5">
        <v>7.4999999999999997E-3</v>
      </c>
      <c r="D5" s="5">
        <v>1.0500000000000001E-2</v>
      </c>
      <c r="E5" s="5">
        <v>-5.04E-2</v>
      </c>
      <c r="F5" s="5">
        <v>1.77E-2</v>
      </c>
    </row>
    <row r="6" spans="1:6" x14ac:dyDescent="0.25">
      <c r="A6" t="str">
        <f>IF(Input!A7="","",Input!A7)</f>
        <v>ACUMEN Portfolio 7</v>
      </c>
      <c r="B6" s="1" t="s">
        <v>46</v>
      </c>
      <c r="C6" s="5">
        <v>7.4999999999999997E-3</v>
      </c>
      <c r="D6" s="5">
        <v>1.06E-2</v>
      </c>
      <c r="E6" s="5">
        <v>-5.7200000000000001E-2</v>
      </c>
      <c r="F6" s="5">
        <v>1.9199999999999998E-2</v>
      </c>
    </row>
    <row r="7" spans="1:6" x14ac:dyDescent="0.25">
      <c r="A7" t="str">
        <f>IF(Input!A8="","",Input!A8)</f>
        <v>ACUMEN Portfolio 8</v>
      </c>
      <c r="B7" s="1" t="s">
        <v>46</v>
      </c>
      <c r="C7" s="5">
        <v>7.4999999999999997E-3</v>
      </c>
      <c r="D7" s="5">
        <v>1.1200000000000002E-2</v>
      </c>
      <c r="E7" s="5">
        <v>-7.2499999999999995E-2</v>
      </c>
      <c r="F7" s="5">
        <v>2.1499999999999998E-2</v>
      </c>
    </row>
    <row r="8" spans="1:6" x14ac:dyDescent="0.25">
      <c r="A8" t="str">
        <f>IF(Input!A9="","",Input!A9)</f>
        <v>ACUMEN Income Portfolio</v>
      </c>
      <c r="B8" s="1" t="s">
        <v>46</v>
      </c>
      <c r="C8" s="5">
        <v>7.4999999999999997E-3</v>
      </c>
      <c r="D8" s="5">
        <v>1.2699999999999999E-2</v>
      </c>
      <c r="E8" s="5">
        <v>-1.7299999999999999E-2</v>
      </c>
      <c r="F8" s="5">
        <v>1.72E-2</v>
      </c>
    </row>
    <row r="9" spans="1:6" x14ac:dyDescent="0.25">
      <c r="A9" t="str">
        <f>IF(Input!A10="","",Input!A10)</f>
        <v/>
      </c>
      <c r="B9" s="1"/>
      <c r="C9" s="5"/>
      <c r="D9" s="5"/>
      <c r="E9" s="5"/>
      <c r="F9" s="5"/>
    </row>
    <row r="10" spans="1:6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opLeftCell="A2" workbookViewId="0">
      <selection activeCell="B34" sqref="B34"/>
    </sheetView>
  </sheetViews>
  <sheetFormatPr defaultRowHeight="15" x14ac:dyDescent="0.25"/>
  <cols>
    <col min="1" max="1" width="41.140625" bestFit="1" customWidth="1"/>
    <col min="2" max="2" width="7.140625" bestFit="1" customWidth="1"/>
    <col min="3" max="3" width="7.42578125" bestFit="1" customWidth="1"/>
    <col min="4" max="4" width="7.140625" bestFit="1" customWidth="1"/>
    <col min="5" max="5" width="14.140625" bestFit="1" customWidth="1"/>
    <col min="6" max="6" width="13" bestFit="1" customWidth="1"/>
    <col min="7" max="7" width="6.8554687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43</v>
      </c>
      <c r="C1" t="s">
        <v>44</v>
      </c>
      <c r="D1" t="s">
        <v>4</v>
      </c>
      <c r="E1" t="s">
        <v>45</v>
      </c>
    </row>
    <row r="2" spans="1:30" x14ac:dyDescent="0.25">
      <c r="A2" t="str">
        <f>IF(Input!A3="","",Input!A3)</f>
        <v>ACUMEN Portfolio 3</v>
      </c>
      <c r="B2" s="5">
        <v>0.255</v>
      </c>
      <c r="C2" s="5">
        <v>0.59499999999999997</v>
      </c>
      <c r="D2" s="5">
        <v>0.1</v>
      </c>
      <c r="E2" s="5">
        <v>0.05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ACUMEN Portfolio 4</v>
      </c>
      <c r="B3" s="5">
        <v>0.46</v>
      </c>
      <c r="C3" s="5">
        <v>0.35600000000000004</v>
      </c>
      <c r="D3" s="5">
        <v>0.13400000000000001</v>
      </c>
      <c r="E3" s="5">
        <v>0.05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ACUMEN Portfolio 5</v>
      </c>
      <c r="B4" s="5">
        <v>0.52200000000000002</v>
      </c>
      <c r="C4" s="5">
        <v>0.307</v>
      </c>
      <c r="D4" s="5">
        <v>0.12300000000000001</v>
      </c>
      <c r="E4" s="5">
        <v>4.8000000000000001E-2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ACUMEN Portfolio 6</v>
      </c>
      <c r="B5" s="5">
        <v>0.66200000000000003</v>
      </c>
      <c r="C5" s="5">
        <v>0.14699999999999999</v>
      </c>
      <c r="D5" s="5">
        <v>0.14599999999999999</v>
      </c>
      <c r="E5" s="5">
        <v>4.4999999999999998E-2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ACUMEN Portfolio 7</v>
      </c>
      <c r="B6" s="5">
        <v>0.73</v>
      </c>
      <c r="C6" s="5">
        <v>7.6999999999999999E-2</v>
      </c>
      <c r="D6" s="5">
        <v>0.14300000000000002</v>
      </c>
      <c r="E6" s="5">
        <v>0.05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ACUMEN Portfolio 8</v>
      </c>
      <c r="B7" s="5">
        <v>0.79099999999999993</v>
      </c>
      <c r="C7" s="5">
        <v>0</v>
      </c>
      <c r="D7" s="5">
        <v>0.14400000000000002</v>
      </c>
      <c r="E7" s="5">
        <v>6.4000000000000001E-2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ACUMEN Income Portfolio</v>
      </c>
      <c r="B8" s="5">
        <v>0.46600000000000003</v>
      </c>
      <c r="C8" s="5">
        <v>0.43799999999999994</v>
      </c>
      <c r="D8" s="5">
        <v>9.5000000000000001E-2</v>
      </c>
      <c r="E8" s="5">
        <v>1E-3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D8" sqref="D8"/>
    </sheetView>
  </sheetViews>
  <sheetFormatPr defaultRowHeight="15" x14ac:dyDescent="0.25"/>
  <cols>
    <col min="1" max="1" width="19.5703125" bestFit="1" customWidth="1"/>
    <col min="2" max="2" width="32.7109375" bestFit="1" customWidth="1"/>
    <col min="3" max="3" width="24.5703125" bestFit="1" customWidth="1"/>
    <col min="4" max="4" width="65.425781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ACUMEN Portfolio 3</v>
      </c>
      <c r="B2" t="s">
        <v>47</v>
      </c>
      <c r="C2" t="s">
        <v>32</v>
      </c>
    </row>
    <row r="3" spans="1:5" x14ac:dyDescent="0.25">
      <c r="A3" t="str">
        <f>IF(Input!A4="","",Input!A4)</f>
        <v>ACUMEN Portfolio 4</v>
      </c>
      <c r="B3" t="s">
        <v>47</v>
      </c>
      <c r="C3" t="s">
        <v>33</v>
      </c>
      <c r="D3" s="8" t="s">
        <v>48</v>
      </c>
    </row>
    <row r="4" spans="1:5" x14ac:dyDescent="0.25">
      <c r="A4" t="str">
        <f>IF(Input!A5="","",Input!A5)</f>
        <v>ACUMEN Portfolio 5</v>
      </c>
      <c r="B4" t="s">
        <v>47</v>
      </c>
      <c r="C4" t="s">
        <v>34</v>
      </c>
      <c r="D4" s="8" t="s">
        <v>49</v>
      </c>
    </row>
    <row r="5" spans="1:5" x14ac:dyDescent="0.25">
      <c r="A5" t="str">
        <f>IF(Input!A6="","",Input!A6)</f>
        <v>ACUMEN Portfolio 6</v>
      </c>
      <c r="B5" t="s">
        <v>47</v>
      </c>
      <c r="C5" t="s">
        <v>35</v>
      </c>
      <c r="D5" s="8" t="s">
        <v>50</v>
      </c>
    </row>
    <row r="6" spans="1:5" x14ac:dyDescent="0.25">
      <c r="A6" t="str">
        <f>IF(Input!A7="","",Input!A7)</f>
        <v>ACUMEN Portfolio 7</v>
      </c>
      <c r="B6" t="s">
        <v>47</v>
      </c>
      <c r="C6" t="s">
        <v>36</v>
      </c>
      <c r="D6" s="8" t="s">
        <v>51</v>
      </c>
    </row>
    <row r="7" spans="1:5" x14ac:dyDescent="0.25">
      <c r="A7" t="str">
        <f>IF(Input!A8="","",Input!A8)</f>
        <v>ACUMEN Portfolio 8</v>
      </c>
      <c r="B7" t="s">
        <v>47</v>
      </c>
      <c r="C7" t="s">
        <v>37</v>
      </c>
      <c r="D7" s="8" t="s">
        <v>52</v>
      </c>
    </row>
    <row r="8" spans="1:5" x14ac:dyDescent="0.25">
      <c r="A8" t="str">
        <f>IF(Input!A9="","",Input!A9)</f>
        <v>ACUMEN Income Portfolio</v>
      </c>
      <c r="B8" t="s">
        <v>47</v>
      </c>
      <c r="C8" t="s">
        <v>38</v>
      </c>
      <c r="D8" s="8" t="s">
        <v>53</v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ACUMEN Portfolio 3</v>
      </c>
      <c r="B2" s="1">
        <f>IF(A2="","",EOMONTH(DATE(YEAR(IF(A2="","",'Additional Information'!B2)),MONTH(IF(A2="","",'Additional Information'!B2)),DAY(IF(A2="","",'Additional Information'!B2))),0))</f>
        <v>45138</v>
      </c>
    </row>
    <row r="3" spans="1:2" x14ac:dyDescent="0.25">
      <c r="A3" t="str">
        <f>IF(Input!A4="","",Input!A4)</f>
        <v>ACUMEN Portfolio 4</v>
      </c>
      <c r="B3" s="1">
        <f>IF(A3="","",EOMONTH(DATE(YEAR(IF(A3="","",'Additional Information'!B3)),MONTH(IF(A3="","",'Additional Information'!B3)),DAY(IF(A3="","",'Additional Information'!B3))),0))</f>
        <v>45138</v>
      </c>
    </row>
    <row r="4" spans="1:2" x14ac:dyDescent="0.25">
      <c r="A4" t="str">
        <f>IF(Input!A5="","",Input!A5)</f>
        <v>ACUMEN Portfolio 5</v>
      </c>
      <c r="B4" s="1">
        <f>IF(A4="","",EOMONTH(DATE(YEAR(IF(A4="","",'Additional Information'!B4)),MONTH(IF(A4="","",'Additional Information'!B4)),DAY(IF(A4="","",'Additional Information'!B4))),0))</f>
        <v>45138</v>
      </c>
    </row>
    <row r="5" spans="1:2" x14ac:dyDescent="0.25">
      <c r="A5" t="str">
        <f>IF(Input!A6="","",Input!A6)</f>
        <v>ACUMEN Portfolio 6</v>
      </c>
      <c r="B5" s="1">
        <f>IF(A5="","",EOMONTH(DATE(YEAR(IF(A5="","",'Additional Information'!B5)),MONTH(IF(A5="","",'Additional Information'!B5)),DAY(IF(A5="","",'Additional Information'!B5))),0))</f>
        <v>45138</v>
      </c>
    </row>
    <row r="6" spans="1:2" x14ac:dyDescent="0.25">
      <c r="A6" t="str">
        <f>IF(Input!A7="","",Input!A7)</f>
        <v>ACUMEN Portfolio 7</v>
      </c>
      <c r="B6" s="1">
        <f>IF(A6="","",EOMONTH(DATE(YEAR(IF(A6="","",'Additional Information'!B6)),MONTH(IF(A6="","",'Additional Information'!B6)),DAY(IF(A6="","",'Additional Information'!B6))),0))</f>
        <v>45138</v>
      </c>
    </row>
    <row r="7" spans="1:2" x14ac:dyDescent="0.25">
      <c r="A7" t="str">
        <f>IF(Input!A8="","",Input!A8)</f>
        <v>ACUMEN Portfolio 8</v>
      </c>
      <c r="B7" s="1">
        <f>IF(A7="","",EOMONTH(DATE(YEAR(IF(A7="","",'Additional Information'!B7)),MONTH(IF(A7="","",'Additional Information'!B7)),DAY(IF(A7="","",'Additional Information'!B7))),0))</f>
        <v>45138</v>
      </c>
    </row>
    <row r="8" spans="1:2" x14ac:dyDescent="0.25">
      <c r="A8" t="str">
        <f>IF(Input!A9="","",Input!A9)</f>
        <v>ACUMEN Income Portfolio</v>
      </c>
      <c r="B8" s="1">
        <f>IF(A8="","",EOMONTH(DATE(YEAR(IF(A8="","",'Additional Information'!B8)),MONTH(IF(A8="","",'Additional Information'!B8)),DAY(IF(A8="","",'Additional Information'!B8))),0))</f>
        <v>45138</v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ACUMEN Portfolio 3</v>
      </c>
      <c r="B2">
        <f>IF(A2="","",'Additional Information'!F2)</f>
        <v>5.4000000000000003E-3</v>
      </c>
      <c r="C2">
        <f>IF(A2="","",'Additional Information'!E2)</f>
        <v>-6.1600000000000002E-2</v>
      </c>
      <c r="D2" s="5">
        <f>IF(A2="","",SUM('Additional Information'!C2,'Additional Information'!D2))</f>
        <v>1.9099999999999999E-2</v>
      </c>
    </row>
    <row r="3" spans="1:4" x14ac:dyDescent="0.25">
      <c r="A3" t="str">
        <f>IF(Input!A4="","",Input!A4)</f>
        <v>ACUMEN Portfolio 4</v>
      </c>
      <c r="B3">
        <f>IF(A3="","",'Additional Information'!F3)</f>
        <v>1.26E-2</v>
      </c>
      <c r="C3">
        <f>IF(A3="","",'Additional Information'!E3)</f>
        <v>-4.8899999999999999E-2</v>
      </c>
      <c r="D3" s="5">
        <f>IF(A3="","",SUM('Additional Information'!C3,'Additional Information'!D3))</f>
        <v>1.8000000000000002E-2</v>
      </c>
    </row>
    <row r="4" spans="1:4" x14ac:dyDescent="0.25">
      <c r="A4" t="str">
        <f>IF(Input!A5="","",Input!A5)</f>
        <v>ACUMEN Portfolio 5</v>
      </c>
      <c r="B4">
        <f>IF(A4="","",'Additional Information'!F4)</f>
        <v>1.34E-2</v>
      </c>
      <c r="C4">
        <f>IF(A4="","",'Additional Information'!E4)</f>
        <v>-4.7400000000000005E-2</v>
      </c>
      <c r="D4" s="5">
        <f>IF(A4="","",SUM('Additional Information'!C4,'Additional Information'!D4))</f>
        <v>1.7899999999999999E-2</v>
      </c>
    </row>
    <row r="5" spans="1:4" x14ac:dyDescent="0.25">
      <c r="A5" t="str">
        <f>IF(Input!A6="","",Input!A6)</f>
        <v>ACUMEN Portfolio 6</v>
      </c>
      <c r="B5">
        <f>IF(A5="","",'Additional Information'!F5)</f>
        <v>1.77E-2</v>
      </c>
      <c r="C5">
        <f>IF(A5="","",'Additional Information'!E5)</f>
        <v>-5.04E-2</v>
      </c>
      <c r="D5" s="5">
        <f>IF(A5="","",SUM('Additional Information'!C5,'Additional Information'!D5))</f>
        <v>1.8000000000000002E-2</v>
      </c>
    </row>
    <row r="6" spans="1:4" x14ac:dyDescent="0.25">
      <c r="A6" t="str">
        <f>IF(Input!A7="","",Input!A7)</f>
        <v>ACUMEN Portfolio 7</v>
      </c>
      <c r="B6">
        <f>IF(A6="","",'Additional Information'!F6)</f>
        <v>1.9199999999999998E-2</v>
      </c>
      <c r="C6">
        <f>IF(A6="","",'Additional Information'!E6)</f>
        <v>-5.7200000000000001E-2</v>
      </c>
      <c r="D6" s="5">
        <f>IF(A6="","",SUM('Additional Information'!C6,'Additional Information'!D6))</f>
        <v>1.8099999999999998E-2</v>
      </c>
    </row>
    <row r="7" spans="1:4" x14ac:dyDescent="0.25">
      <c r="A7" t="str">
        <f>IF(Input!A8="","",Input!A8)</f>
        <v>ACUMEN Portfolio 8</v>
      </c>
      <c r="B7">
        <f>IF(A7="","",'Additional Information'!F7)</f>
        <v>2.1499999999999998E-2</v>
      </c>
      <c r="C7">
        <f>IF(A7="","",'Additional Information'!E7)</f>
        <v>-7.2499999999999995E-2</v>
      </c>
      <c r="D7" s="5">
        <f>IF(A7="","",SUM('Additional Information'!C7,'Additional Information'!D7))</f>
        <v>1.8700000000000001E-2</v>
      </c>
    </row>
    <row r="8" spans="1:4" x14ac:dyDescent="0.25">
      <c r="A8" t="str">
        <f>IF(Input!A9="","",Input!A9)</f>
        <v>ACUMEN Income Portfolio</v>
      </c>
      <c r="B8">
        <f>IF(A8="","",'Additional Information'!F8)</f>
        <v>1.72E-2</v>
      </c>
      <c r="C8">
        <f>IF(A8="","",'Additional Information'!E8)</f>
        <v>-1.7299999999999999E-2</v>
      </c>
      <c r="D8" s="5">
        <f>IF(A8="","",SUM('Additional Information'!C8,'Additional Information'!D8))</f>
        <v>2.0199999999999999E-2</v>
      </c>
    </row>
    <row r="9" spans="1:4" x14ac:dyDescent="0.25">
      <c r="A9" t="str">
        <f>IF(Input!A10="","",Input!A10)</f>
        <v/>
      </c>
      <c r="B9" t="str">
        <f>IF(A9="","",'Additional Information'!F9)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</row>
    <row r="10" spans="1:4" x14ac:dyDescent="0.25">
      <c r="A10" t="str">
        <f>IF(Input!A11="","",Input!A11)</f>
        <v/>
      </c>
      <c r="B10" t="str">
        <f>IF(A10="","",'Additional Information'!F10)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</row>
    <row r="11" spans="1:4" x14ac:dyDescent="0.25">
      <c r="A11" t="str">
        <f>IF(Input!A12="","",Input!A12)</f>
        <v/>
      </c>
      <c r="B11" t="str">
        <f>IF(A11="","",'Additional Information'!F11)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ACUMEN Portfolio 3</v>
      </c>
      <c r="B2">
        <f>IF(A2="","",SUM('Asset Allocation'!C2))</f>
        <v>0.59499999999999997</v>
      </c>
      <c r="C2">
        <f>IF(A2="","",SUM('Asset Allocation'!B2))</f>
        <v>0.255</v>
      </c>
      <c r="G2">
        <f>IF(A2="","",SUM('Asset Allocation'!D2))</f>
        <v>0.1</v>
      </c>
      <c r="H2">
        <f t="shared" ref="H2:H50" si="0">IF(A2="","",1-SUM(B2:G2))</f>
        <v>5.0000000000000044E-2</v>
      </c>
    </row>
    <row r="3" spans="1:8" x14ac:dyDescent="0.25">
      <c r="A3" t="str">
        <f>IF(Input!A4="","",Input!A4)</f>
        <v>ACUMEN Portfolio 4</v>
      </c>
      <c r="B3">
        <f>IF(A3="","",SUM('Asset Allocation'!C3))</f>
        <v>0.35600000000000004</v>
      </c>
      <c r="C3">
        <f>IF(A3="","",SUM('Asset Allocation'!B3))</f>
        <v>0.46</v>
      </c>
      <c r="G3">
        <f>IF(A3="","",SUM('Asset Allocation'!D3))</f>
        <v>0.13400000000000001</v>
      </c>
      <c r="H3">
        <f t="shared" si="0"/>
        <v>4.9999999999999933E-2</v>
      </c>
    </row>
    <row r="4" spans="1:8" x14ac:dyDescent="0.25">
      <c r="A4" t="str">
        <f>IF(Input!A5="","",Input!A5)</f>
        <v>ACUMEN Portfolio 5</v>
      </c>
      <c r="B4">
        <f>IF(A4="","",SUM('Asset Allocation'!C4))</f>
        <v>0.307</v>
      </c>
      <c r="C4">
        <f>IF(A4="","",SUM('Asset Allocation'!B4))</f>
        <v>0.52200000000000002</v>
      </c>
      <c r="G4">
        <f>IF(A4="","",SUM('Asset Allocation'!D4))</f>
        <v>0.12300000000000001</v>
      </c>
      <c r="H4">
        <f t="shared" si="0"/>
        <v>4.8000000000000043E-2</v>
      </c>
    </row>
    <row r="5" spans="1:8" x14ac:dyDescent="0.25">
      <c r="A5" t="str">
        <f>IF(Input!A6="","",Input!A6)</f>
        <v>ACUMEN Portfolio 6</v>
      </c>
      <c r="B5">
        <f>IF(A5="","",SUM('Asset Allocation'!C5))</f>
        <v>0.14699999999999999</v>
      </c>
      <c r="C5">
        <f>IF(A5="","",SUM('Asset Allocation'!B5))</f>
        <v>0.66200000000000003</v>
      </c>
      <c r="G5">
        <f>IF(A5="","",SUM('Asset Allocation'!D5))</f>
        <v>0.14599999999999999</v>
      </c>
      <c r="H5">
        <f t="shared" si="0"/>
        <v>4.4999999999999929E-2</v>
      </c>
    </row>
    <row r="6" spans="1:8" x14ac:dyDescent="0.25">
      <c r="A6" t="str">
        <f>IF(Input!A7="","",Input!A7)</f>
        <v>ACUMEN Portfolio 7</v>
      </c>
      <c r="B6">
        <f>IF(A6="","",SUM('Asset Allocation'!C6))</f>
        <v>7.6999999999999999E-2</v>
      </c>
      <c r="C6">
        <f>IF(A6="","",SUM('Asset Allocation'!B6))</f>
        <v>0.73</v>
      </c>
      <c r="G6">
        <f>IF(A6="","",SUM('Asset Allocation'!D6))</f>
        <v>0.14300000000000002</v>
      </c>
      <c r="H6">
        <f t="shared" si="0"/>
        <v>5.0000000000000044E-2</v>
      </c>
    </row>
    <row r="7" spans="1:8" x14ac:dyDescent="0.25">
      <c r="A7" t="str">
        <f>IF(Input!A8="","",Input!A8)</f>
        <v>ACUMEN Portfolio 8</v>
      </c>
      <c r="B7">
        <f>IF(A7="","",SUM('Asset Allocation'!C7))</f>
        <v>0</v>
      </c>
      <c r="C7">
        <f>IF(A7="","",SUM('Asset Allocation'!B7))</f>
        <v>0.79099999999999993</v>
      </c>
      <c r="G7">
        <f>IF(A7="","",SUM('Asset Allocation'!D7))</f>
        <v>0.14400000000000002</v>
      </c>
      <c r="H7">
        <f t="shared" si="0"/>
        <v>6.5000000000000058E-2</v>
      </c>
    </row>
    <row r="8" spans="1:8" x14ac:dyDescent="0.25">
      <c r="A8" t="str">
        <f>IF(Input!A9="","",Input!A9)</f>
        <v>ACUMEN Income Portfolio</v>
      </c>
      <c r="B8">
        <f>IF(A8="","",SUM('Asset Allocation'!C8))</f>
        <v>0.43799999999999994</v>
      </c>
      <c r="C8">
        <f>IF(A8="","",SUM('Asset Allocation'!B8))</f>
        <v>0.46600000000000003</v>
      </c>
      <c r="G8">
        <f>IF(A8="","",SUM('Asset Allocation'!D8))</f>
        <v>9.5000000000000001E-2</v>
      </c>
      <c r="H8">
        <f t="shared" si="0"/>
        <v>1.0000000000001119E-3</v>
      </c>
    </row>
    <row r="9" spans="1:8" x14ac:dyDescent="0.25">
      <c r="A9" t="str">
        <f>IF(Input!A10="","",Input!A10)</f>
        <v/>
      </c>
      <c r="B9" t="str">
        <f>IF(A9="","",SUM('Asset Allocation'!C9))</f>
        <v/>
      </c>
      <c r="C9" t="str">
        <f>IF(A9="","",SUM('Asset Allocation'!B9))</f>
        <v/>
      </c>
      <c r="G9" t="str">
        <f>IF(A9="","",SUM('Asset Allocation'!D9))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Allocation'!C10))</f>
        <v/>
      </c>
      <c r="C10" t="str">
        <f>IF(A10="","",SUM('Asset Allocation'!B10))</f>
        <v/>
      </c>
      <c r="G10" t="str">
        <f>IF(A10="","",SUM('Asset Allocation'!D10))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Allocation'!C11))</f>
        <v/>
      </c>
      <c r="C11" t="str">
        <f>IF(A11="","",SUM('Asset Allocation'!B11))</f>
        <v/>
      </c>
      <c r="G11" t="str">
        <f>IF(A11="","",SUM('Asset Allocation'!D11))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ACUMEN Portfolio 3</v>
      </c>
      <c r="B2" s="6">
        <f>IFERROR(IF(A2="","",SUM('Asset Allocation'!F2)),0)</f>
        <v>0</v>
      </c>
      <c r="C2" s="6">
        <f>IFERROR(IF(A2="","",SUM('Asset Allocation'!E2)),0)</f>
        <v>0.05</v>
      </c>
      <c r="D2" s="6">
        <f>IFERROR(IF(A2="","",SUM('Asset Allocation'!I2)),0)</f>
        <v>0</v>
      </c>
      <c r="E2" s="6">
        <f>IFERROR(IF(A2="","",SUM('Asset Allocation'!G2)),0)</f>
        <v>0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ACUMEN Portfolio 4</v>
      </c>
      <c r="B3" s="6">
        <f>IFERROR(IF(A3="","",SUM('Asset Allocation'!F3)),0)</f>
        <v>0</v>
      </c>
      <c r="C3" s="6">
        <f>IFERROR(IF(A3="","",SUM('Asset Allocation'!E3)),0)</f>
        <v>0.05</v>
      </c>
      <c r="D3" s="6">
        <f>IFERROR(IF(A3="","",SUM('Asset Allocation'!I3)),0)</f>
        <v>0</v>
      </c>
      <c r="E3" s="6">
        <f>IFERROR(IF(A3="","",SUM('Asset Allocation'!G3)),0)</f>
        <v>0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ACUMEN Portfolio 5</v>
      </c>
      <c r="B4" s="6">
        <f>IFERROR(IF(A4="","",SUM('Asset Allocation'!F4)),0)</f>
        <v>0</v>
      </c>
      <c r="C4" s="6">
        <f>IFERROR(IF(A4="","",SUM('Asset Allocation'!E4)),0)</f>
        <v>4.8000000000000001E-2</v>
      </c>
      <c r="D4" s="6">
        <f>IFERROR(IF(A4="","",SUM('Asset Allocation'!I4)),0)</f>
        <v>0</v>
      </c>
      <c r="E4" s="6">
        <f>IFERROR(IF(A4="","",SUM('Asset Allocation'!G4)),0)</f>
        <v>0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ACUMEN Portfolio 6</v>
      </c>
      <c r="B5" s="6">
        <f>IFERROR(IF(A5="","",SUM('Asset Allocation'!F5)),0)</f>
        <v>0</v>
      </c>
      <c r="C5" s="6">
        <f>IFERROR(IF(A5="","",SUM('Asset Allocation'!E5)),0)</f>
        <v>4.4999999999999998E-2</v>
      </c>
      <c r="D5" s="6">
        <f>IFERROR(IF(A5="","",SUM('Asset Allocation'!I5)),0)</f>
        <v>0</v>
      </c>
      <c r="E5" s="6">
        <f>IFERROR(IF(A5="","",SUM('Asset Allocation'!G5)),0)</f>
        <v>0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ACUMEN Portfolio 7</v>
      </c>
      <c r="B6" s="6">
        <f>IFERROR(IF(A6="","",SUM('Asset Allocation'!F6)),0)</f>
        <v>0</v>
      </c>
      <c r="C6" s="6">
        <f>IFERROR(IF(A6="","",SUM('Asset Allocation'!E6)),0)</f>
        <v>0.05</v>
      </c>
      <c r="D6" s="6">
        <f>IFERROR(IF(A6="","",SUM('Asset Allocation'!I6)),0)</f>
        <v>0</v>
      </c>
      <c r="E6" s="6">
        <f>IFERROR(IF(A6="","",SUM('Asset Allocation'!G6)),0)</f>
        <v>0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ACUMEN Portfolio 8</v>
      </c>
      <c r="B7" s="6">
        <f>IFERROR(IF(A7="","",SUM('Asset Allocation'!F7)),0)</f>
        <v>0</v>
      </c>
      <c r="C7" s="6">
        <f>IFERROR(IF(A7="","",SUM('Asset Allocation'!E7)),0)</f>
        <v>6.4000000000000001E-2</v>
      </c>
      <c r="D7" s="6">
        <f>IFERROR(IF(A7="","",SUM('Asset Allocation'!I7)),0)</f>
        <v>0</v>
      </c>
      <c r="E7" s="6">
        <f>IFERROR(IF(A7="","",SUM('Asset Allocation'!G7)),0)</f>
        <v>0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ACUMEN Income Portfolio</v>
      </c>
      <c r="B8" s="6">
        <f>IFERROR(IF(A8="","",SUM('Asset Allocation'!F8)),0)</f>
        <v>0</v>
      </c>
      <c r="C8" s="6">
        <f>IFERROR(IF(A8="","",SUM('Asset Allocation'!E8)),0)</f>
        <v>1E-3</v>
      </c>
      <c r="D8" s="6">
        <f>IFERROR(IF(A8="","",SUM('Asset Allocation'!I8)),0)</f>
        <v>0</v>
      </c>
      <c r="E8" s="6">
        <f>IFERROR(IF(A8="","",SUM('Asset Allocation'!G8)),0)</f>
        <v>0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/>
      </c>
      <c r="B9" s="6" t="str">
        <f>IFERROR(IF(A9="","",SUM('Asset Allocation'!F9)),0)</f>
        <v/>
      </c>
      <c r="C9" s="6" t="str">
        <f>IFERROR(IF(A9="","",SUM('Asset Allocation'!E9)),0)</f>
        <v/>
      </c>
      <c r="D9" s="6" t="str">
        <f>IFERROR(IF(A9="","",SUM('Asset Allocation'!I9)),0)</f>
        <v/>
      </c>
      <c r="E9" s="6" t="str">
        <f>IFERROR(IF(A9="","",SUM('Asset Allocation'!G9)),0)</f>
        <v/>
      </c>
      <c r="F9" s="6" t="str">
        <f>IFERROR(IF(A9="","",SUM('Asset Allocation'!J9,'Asset Allocation'!N9)),0)</f>
        <v/>
      </c>
      <c r="G9" s="6" t="str">
        <f>IFERROR(IF(A9="","",SUM('Asset Allocation'!H9,'Asset Allocation'!K9,'Asset Allocation'!L9,'Asset Allocation'!M9)),0)</f>
        <v/>
      </c>
      <c r="H9" s="6"/>
    </row>
    <row r="10" spans="1:8" x14ac:dyDescent="0.25">
      <c r="A10" t="str">
        <f>IF(Input!A11="","",Input!A11)</f>
        <v/>
      </c>
      <c r="B10" s="6" t="str">
        <f>IFERROR(IF(A10="","",SUM('Asset Allocation'!F10)),0)</f>
        <v/>
      </c>
      <c r="C10" s="6" t="str">
        <f>IFERROR(IF(A10="","",SUM('Asset Allocation'!E10)),0)</f>
        <v/>
      </c>
      <c r="D10" s="6" t="str">
        <f>IFERROR(IF(A10="","",SUM('Asset Allocation'!I10)),0)</f>
        <v/>
      </c>
      <c r="E10" s="6" t="str">
        <f>IFERROR(IF(A10="","",SUM('Asset Allocation'!G10)),0)</f>
        <v/>
      </c>
      <c r="F10" s="6" t="str">
        <f>IFERROR(IF(A10="","",SUM('Asset Allocation'!J10,'Asset Allocation'!N10)),0)</f>
        <v/>
      </c>
      <c r="G10" s="6" t="str">
        <f>IFERROR(IF(A10="","",SUM('Asset Allocation'!H10,'Asset Allocation'!K10,'Asset Allocation'!L10,'Asset Allocation'!M10)),0)</f>
        <v/>
      </c>
      <c r="H10" s="6"/>
    </row>
    <row r="11" spans="1:8" x14ac:dyDescent="0.25">
      <c r="A11" t="str">
        <f>IF(Input!A12="","",Input!A12)</f>
        <v/>
      </c>
      <c r="B11" s="6" t="str">
        <f>IFERROR(IF(A11="","",SUM('Asset Allocation'!F11)),0)</f>
        <v/>
      </c>
      <c r="C11" s="6" t="str">
        <f>IFERROR(IF(A11="","",SUM('Asset Allocation'!E11)),0)</f>
        <v/>
      </c>
      <c r="D11" s="6" t="str">
        <f>IFERROR(IF(A11="","",SUM('Asset Allocation'!I11)),0)</f>
        <v/>
      </c>
      <c r="E11" s="6" t="str">
        <f>IFERROR(IF(A11="","",SUM('Asset Allocation'!G11)),0)</f>
        <v/>
      </c>
      <c r="F11" s="6" t="str">
        <f>IFERROR(IF(A11="","",SUM('Asset Allocation'!J11,'Asset Allocation'!N11)),0)</f>
        <v/>
      </c>
      <c r="G11" s="6" t="str">
        <f>IFERROR(IF(A11="","",SUM('Asset Allocation'!H11,'Asset Allocation'!K11,'Asset Allocation'!L11,'Asset Allocation'!M11)),0)</f>
        <v/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ACUMEN Portfolio 3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ACUMEN Portfolio 4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ACUMEN Portfolio 5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ACUMEN Portfolio 6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ACUMEN Portfolio 7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ACUMEN Portfolio 8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ACUMEN Income Portfolio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/>
      </c>
      <c r="H9" t="str">
        <f>IFERROR(IF(A9="","",SUM('Asset Allocation'!B9)/'Broad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Allocation'!B10)/'Broad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Allocation'!B11)/'Broad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ACUMEN Portfolio 3</v>
      </c>
      <c r="C1" s="1" t="str">
        <v>ACUMEN Portfolio 4</v>
      </c>
      <c r="D1" t="str">
        <v>ACUMEN Portfolio 5</v>
      </c>
      <c r="E1" t="str">
        <v>ACUMEN Portfolio 6</v>
      </c>
      <c r="F1" t="str">
        <v>ACUMEN Portfolio 7</v>
      </c>
      <c r="G1" t="str">
        <v>ACUMEN Portfolio 8</v>
      </c>
      <c r="H1" t="str">
        <v>ACUMEN Income Portfolio</v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2023-10-31T18:07:54Z</dcterms:modified>
</cp:coreProperties>
</file>