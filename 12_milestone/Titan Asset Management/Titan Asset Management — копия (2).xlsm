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2_milestone\Titan Asset Management\"/>
    </mc:Choice>
  </mc:AlternateContent>
  <bookViews>
    <workbookView xWindow="-105" yWindow="-105" windowWidth="19425" windowHeight="10305" activeTab="1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A6" i="35"/>
  <c r="A7" i="35"/>
  <c r="A8" i="35"/>
  <c r="A9" i="35"/>
  <c r="A10" i="35"/>
  <c r="A11" i="35"/>
  <c r="A12" i="35"/>
  <c r="A13" i="35"/>
  <c r="A14" i="35"/>
  <c r="A15" i="35"/>
  <c r="A16" i="35"/>
  <c r="A2" i="35"/>
  <c r="A3" i="35"/>
  <c r="A4" i="35"/>
  <c r="A5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H11" i="8" s="1"/>
  <c r="A10" i="8"/>
  <c r="H10" i="8" s="1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1" i="7" l="1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B23" i="4"/>
  <c r="G23" i="4"/>
  <c r="G16" i="4"/>
  <c r="B16" i="4"/>
  <c r="C16" i="4"/>
  <c r="B49" i="4"/>
  <c r="C49" i="4"/>
  <c r="G49" i="4"/>
  <c r="B6" i="4"/>
  <c r="C6" i="4"/>
  <c r="H6" i="8" s="1"/>
  <c r="G6" i="4"/>
  <c r="B14" i="4"/>
  <c r="C14" i="4"/>
  <c r="G14" i="4"/>
  <c r="B22" i="4"/>
  <c r="C22" i="4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G10" i="4"/>
  <c r="B18" i="4"/>
  <c r="G18" i="4"/>
  <c r="C18" i="4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B15" i="4"/>
  <c r="G15" i="4"/>
  <c r="G8" i="4"/>
  <c r="B8" i="4"/>
  <c r="C8" i="4"/>
  <c r="H8" i="8" s="1"/>
  <c r="G24" i="4"/>
  <c r="B24" i="4"/>
  <c r="C24" i="4"/>
  <c r="B25" i="4"/>
  <c r="C25" i="4"/>
  <c r="G25" i="4"/>
  <c r="C3" i="4"/>
  <c r="H3" i="8" s="1"/>
  <c r="G3" i="4"/>
  <c r="B3" i="4"/>
  <c r="C11" i="4"/>
  <c r="G11" i="4"/>
  <c r="B11" i="4"/>
  <c r="C19" i="4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G20" i="4"/>
  <c r="B20" i="4"/>
  <c r="C20" i="4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G17" i="4"/>
  <c r="B33" i="4"/>
  <c r="C33" i="4"/>
  <c r="G33" i="4"/>
  <c r="B5" i="4"/>
  <c r="C5" i="4"/>
  <c r="H5" i="8" s="1"/>
  <c r="G5" i="4"/>
  <c r="B13" i="4"/>
  <c r="C13" i="4"/>
  <c r="G13" i="4"/>
  <c r="C21" i="4"/>
  <c r="G21" i="4"/>
  <c r="B21" i="4"/>
  <c r="C29" i="4"/>
  <c r="G29" i="4"/>
  <c r="B29" i="4"/>
  <c r="B37" i="4"/>
  <c r="C37" i="4"/>
  <c r="G37" i="4"/>
  <c r="B45" i="4"/>
  <c r="C45" i="4"/>
  <c r="G45" i="4"/>
  <c r="C15" i="31"/>
  <c r="D15" i="31"/>
  <c r="B15" i="31"/>
  <c r="B48" i="31"/>
  <c r="C48" i="31"/>
  <c r="D48" i="31"/>
  <c r="C23" i="31"/>
  <c r="D23" i="31"/>
  <c r="B23" i="31"/>
  <c r="B16" i="31"/>
  <c r="C16" i="31"/>
  <c r="D16" i="31"/>
  <c r="B40" i="31"/>
  <c r="C40" i="31"/>
  <c r="D40" i="31"/>
  <c r="B9" i="31"/>
  <c r="C9" i="31"/>
  <c r="D9" i="31"/>
  <c r="B17" i="31"/>
  <c r="C17" i="31"/>
  <c r="D17" i="31"/>
  <c r="B25" i="31"/>
  <c r="C25" i="31"/>
  <c r="D25" i="31"/>
  <c r="B33" i="31"/>
  <c r="C33" i="31"/>
  <c r="D33" i="31"/>
  <c r="B41" i="31"/>
  <c r="C41" i="31"/>
  <c r="D41" i="31"/>
  <c r="B49" i="31"/>
  <c r="C49" i="31"/>
  <c r="D49" i="31"/>
  <c r="D7" i="31"/>
  <c r="B7" i="31"/>
  <c r="C7" i="31"/>
  <c r="B8" i="31"/>
  <c r="C8" i="31"/>
  <c r="D8" i="31"/>
  <c r="B32" i="31"/>
  <c r="C32" i="31"/>
  <c r="D32" i="31"/>
  <c r="D2" i="31"/>
  <c r="C2" i="31"/>
  <c r="B2" i="31"/>
  <c r="D10" i="31"/>
  <c r="C10" i="31"/>
  <c r="B10" i="31"/>
  <c r="D18" i="31"/>
  <c r="B18" i="31"/>
  <c r="C18" i="31"/>
  <c r="D26" i="31"/>
  <c r="B26" i="31"/>
  <c r="C26" i="31"/>
  <c r="D34" i="31"/>
  <c r="B34" i="31"/>
  <c r="C34" i="31"/>
  <c r="D42" i="31"/>
  <c r="C42" i="31"/>
  <c r="B42" i="31"/>
  <c r="D50" i="31"/>
  <c r="C50" i="31"/>
  <c r="B50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7" i="31"/>
  <c r="B47" i="31"/>
  <c r="D47" i="31"/>
  <c r="B3" i="31"/>
  <c r="C3" i="31"/>
  <c r="D3" i="31"/>
  <c r="B4" i="31"/>
  <c r="C4" i="31"/>
  <c r="D4" i="31"/>
  <c r="D12" i="31"/>
  <c r="B12" i="31"/>
  <c r="C12" i="31"/>
  <c r="B20" i="31"/>
  <c r="C20" i="31"/>
  <c r="D20" i="31"/>
  <c r="B28" i="31"/>
  <c r="C28" i="31"/>
  <c r="D28" i="31"/>
  <c r="D36" i="31"/>
  <c r="B36" i="31"/>
  <c r="C36" i="31"/>
  <c r="D44" i="31"/>
  <c r="B44" i="31"/>
  <c r="C44" i="31"/>
  <c r="C39" i="31"/>
  <c r="D39" i="31"/>
  <c r="B39" i="31"/>
  <c r="B11" i="31"/>
  <c r="C11" i="31"/>
  <c r="D11" i="31"/>
  <c r="B5" i="31"/>
  <c r="C5" i="31"/>
  <c r="D5" i="31"/>
  <c r="C13" i="31"/>
  <c r="D13" i="31"/>
  <c r="B13" i="31"/>
  <c r="C21" i="31"/>
  <c r="D21" i="31"/>
  <c r="B21" i="31"/>
  <c r="C29" i="31"/>
  <c r="D29" i="31"/>
  <c r="B29" i="31"/>
  <c r="C37" i="31"/>
  <c r="D37" i="31"/>
  <c r="B37" i="31"/>
  <c r="C45" i="31"/>
  <c r="D45" i="31"/>
  <c r="B45" i="31"/>
  <c r="C31" i="31"/>
  <c r="B31" i="31"/>
  <c r="D31" i="31"/>
  <c r="B24" i="31"/>
  <c r="C24" i="31"/>
  <c r="D24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<sst xmlns="http://schemas.openxmlformats.org/spreadsheetml/2006/main" count="73" uniqueCount="54">
  <si>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</si>
  <si>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</si>
  <si>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</si>
  <si>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</si>
  <si>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</si>
  <si>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</si>
  <si>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</si>
  <si>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</si>
  <si>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</si>
  <si>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</si>
  <si>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</si>
  <si>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</si>
  <si>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</si>
  <si>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</si>
  <si>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</si>
  <si>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</si>
  <si>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</si>
  <si>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</si>
  <si>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</si>
  <si>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</si>
  <si>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</si>
  <si>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</si>
  <si>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</si>
  <si>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</si>
  <si>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</si>
  <si>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</si>
  <si>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</si>
  <si>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</si>
  <si>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</si>
  <si>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</si>
  <si>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</si>
  <si>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</si>
  <si>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ACUMEN Portfolio 4</t>
  </si>
  <si>
    <t>ACUMEN Portfolio 5</t>
  </si>
  <si>
    <t>ACUMEN Portfolio 6</t>
  </si>
  <si>
    <t>ACUMEN Portfolio 7</t>
  </si>
  <si>
    <t>ACUMEN Portfolio 8</t>
  </si>
  <si>
    <t>ACUMEN Income Portfolio</t>
  </si>
  <si>
    <t>Discretionary Management Fee:</t>
  </si>
  <si>
    <t>Ongoing Charges Figure (OCF):</t>
  </si>
  <si>
    <t>1 Year</t>
  </si>
  <si>
    <t>1 Month</t>
  </si>
  <si>
    <t>Stock</t>
  </si>
  <si>
    <t>Bond</t>
  </si>
  <si>
    <t>Other</t>
  </si>
  <si>
    <t>31.07.2023</t>
  </si>
  <si>
    <t>https://www.titaninvestmentsolutions.com/acumen-3-8-income-portfolios/</t>
  </si>
  <si>
    <t>https://www.titaninvestmentsolutions.com/wp-content/uploads/2023/10/AP4_10092023.pdf</t>
  </si>
  <si>
    <t>https://www.titaninvestmentsolutions.com/wp-content/uploads/2023/10/AP5_10092023.pdf</t>
  </si>
  <si>
    <t>https://www.titaninvestmentsolutions.com/wp-content/uploads/2023/10/AP6_10092023.pdf</t>
  </si>
  <si>
    <t>https://www.titaninvestmentsolutions.com/wp-content/uploads/2023/10/AP7_10092023.pdf</t>
  </si>
  <si>
    <t>https://www.titaninvestmentsolutions.com/wp-content/uploads/2023/10/AP8_10092023.pdf</t>
  </si>
  <si>
    <t>https://www.titaninvestmentsolutions.com/wp-content/uploads/2023/10/AIP_10092023.pdf</t>
  </si>
  <si>
    <t>30.09.2023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</si>
</sst>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152400</xdr:rowOff>
    </xdr:from>
    <xdr:to>
      <xdr:col>4</xdr:col>
      <xdr:colOff>200693</xdr:colOff>
      <xdr:row>13</xdr:row>
      <xdr:rowOff>89078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B7DF99-FF3F-35D7-D42A-3C25FCECE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2400"/>
          <a:ext cx="2639093" cy="233062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120650</xdr:rowOff>
    </xdr:from>
    <xdr:to>
      <xdr:col>7</xdr:col>
      <xdr:colOff>331992</xdr:colOff>
      <xdr:row>25</xdr:row>
      <xdr:rowOff>6479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3C4DA29-BB4B-C5F6-EE23-D32EBCCDE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698750"/>
          <a:ext cx="4599192" cy="1911479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1</xdr:row>
      <xdr:rowOff>6350</xdr:rowOff>
    </xdr:from>
    <xdr:to>
      <xdr:col>12</xdr:col>
      <xdr:colOff>177985</xdr:colOff>
      <xdr:row>14</xdr:row>
      <xdr:rowOff>12839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A40F7C8-0DB9-C939-96CA-AAEC8DEC3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92600" y="190500"/>
          <a:ext cx="3200585" cy="24004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G11" sqref="G11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8"/>
  <sheetViews>
    <sheetView tabSelected="1" workbookViewId="0">
      <selection activeCell="A3" sqref="A3:XFD3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32</v>
      </c>
      <c r="B3" t="str">
        <f>'PDF Scraping'!D2</f>
        <v>https://www.titaninvestmentsolutions.com/wp-content/uploads/2023/10/AP4_10092023.pdf</v>
      </c>
      <c r="J3" s="4"/>
    </row>
    <row r="4" spans="1:10" x14ac:dyDescent="0.25">
      <c r="A4" t="s">
        <v>33</v>
      </c>
      <c r="B4" t="str">
        <f>'PDF Scraping'!D3</f>
        <v>https://www.titaninvestmentsolutions.com/wp-content/uploads/2023/10/AP5_10092023.pdf</v>
      </c>
    </row>
    <row r="5" spans="1:10" x14ac:dyDescent="0.25">
      <c r="A5" t="s">
        <v>34</v>
      </c>
      <c r="B5" t="str">
        <f>'PDF Scraping'!D4</f>
        <v>https://www.titaninvestmentsolutions.com/wp-content/uploads/2023/10/AP6_10092023.pdf</v>
      </c>
    </row>
    <row r="6" spans="1:10" x14ac:dyDescent="0.25">
      <c r="A6" t="s">
        <v>35</v>
      </c>
      <c r="B6" t="str">
        <f>'PDF Scraping'!D5</f>
        <v>https://www.titaninvestmentsolutions.com/wp-content/uploads/2023/10/AP7_10092023.pdf</v>
      </c>
    </row>
    <row r="7" spans="1:10" x14ac:dyDescent="0.25">
      <c r="A7" t="s">
        <v>36</v>
      </c>
      <c r="B7" t="str">
        <f>'PDF Scraping'!D6</f>
        <v>https://www.titaninvestmentsolutions.com/wp-content/uploads/2023/10/AP8_10092023.pdf</v>
      </c>
    </row>
    <row r="8" spans="1:10" x14ac:dyDescent="0.25">
      <c r="A8" t="s">
        <v>37</v>
      </c>
      <c r="B8" t="str">
        <f>'PDF Scraping'!D7</f>
        <v>https://www.titaninvestmentsolutions.com/wp-content/uploads/2023/10/AIP_10092023.pdf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K5" sqref="K5"/>
    </sheetView>
  </sheetViews>
  <sheetFormatPr defaultRowHeight="15" x14ac:dyDescent="0.25"/>
  <cols>
    <col min="1" max="1" width="26.140625" bestFit="1" customWidth="1"/>
    <col min="2" max="2" width="10.140625" bestFit="1" customWidth="1"/>
    <col min="3" max="3" width="29.85546875" bestFit="1" customWidth="1"/>
    <col min="4" max="4" width="28.42578125" bestFit="1" customWidth="1"/>
    <col min="5" max="5" width="6.85546875" bestFit="1" customWidth="1"/>
    <col min="6" max="6" width="8.28515625" bestFit="1" customWidth="1"/>
  </cols>
  <sheetData>
    <row r="1" spans="1:6" x14ac:dyDescent="0.25">
      <c r="B1" t="s">
        <v>26</v>
      </c>
      <c r="C1" t="s">
        <v>38</v>
      </c>
      <c r="D1" t="s">
        <v>39</v>
      </c>
      <c r="E1" t="s">
        <v>40</v>
      </c>
      <c r="F1" t="s">
        <v>41</v>
      </c>
    </row>
    <row r="2" spans="1:6" x14ac:dyDescent="0.25">
      <c r="A2" t="e">
        <f>IF(Input!#REF!="","",Input!#REF!)</f>
        <v>#REF!</v>
      </c>
      <c r="B2" s="1" t="s">
        <v>45</v>
      </c>
      <c r="C2" s="5">
        <v>7.4999999999999997E-3</v>
      </c>
      <c r="D2" s="5">
        <v>1.1599999999999999E-2</v>
      </c>
      <c r="E2" s="5">
        <v>-6.1600000000000002E-2</v>
      </c>
      <c r="F2" s="5">
        <v>5.4000000000000003E-3</v>
      </c>
    </row>
    <row r="3" spans="1:6" x14ac:dyDescent="0.25">
      <c r="A3" t="str">
        <f>IF(Input!A3="","",Input!A3)</f>
        <v>ACUMEN Portfolio 4</v>
      </c>
      <c r="B3" s="1" t="s">
        <v>53</v>
      </c>
      <c r="C3" s="5">
        <v>7.4999999999999997E-3</v>
      </c>
      <c r="D3" s="5">
        <v>1.03E-2</v>
      </c>
      <c r="E3" s="5">
        <v>-4.4000000000000003E-3</v>
      </c>
      <c r="F3" s="5">
        <v>4.5000000000000005E-3</v>
      </c>
    </row>
    <row r="4" spans="1:6" x14ac:dyDescent="0.25">
      <c r="A4" t="str">
        <f>IF(Input!A4="","",Input!A4)</f>
        <v>ACUMEN Portfolio 5</v>
      </c>
      <c r="B4" s="1" t="s">
        <v>53</v>
      </c>
      <c r="C4" s="5">
        <v>7.4999999999999997E-3</v>
      </c>
      <c r="D4" s="5">
        <v>1.03E-2</v>
      </c>
      <c r="E4" s="5">
        <v>-1.5E-3</v>
      </c>
      <c r="F4" s="5">
        <v>5.4000000000000003E-3</v>
      </c>
    </row>
    <row r="5" spans="1:6" x14ac:dyDescent="0.25">
      <c r="A5" t="str">
        <f>IF(Input!A5="","",Input!A5)</f>
        <v>ACUMEN Portfolio 6</v>
      </c>
      <c r="B5" s="1" t="s">
        <v>53</v>
      </c>
      <c r="C5" s="5">
        <v>7.4999999999999997E-3</v>
      </c>
      <c r="D5" s="5">
        <v>1.04E-2</v>
      </c>
      <c r="E5" s="5">
        <v>-1.1999999999999999E-3</v>
      </c>
      <c r="F5" s="5">
        <v>5.5000000000000005E-3</v>
      </c>
    </row>
    <row r="6" spans="1:6" x14ac:dyDescent="0.25">
      <c r="A6" t="str">
        <f>IF(Input!A6="","",Input!A6)</f>
        <v>ACUMEN Portfolio 7</v>
      </c>
      <c r="B6" s="1" t="s">
        <v>53</v>
      </c>
      <c r="C6" s="5">
        <v>7.4999999999999997E-3</v>
      </c>
      <c r="D6" s="5">
        <v>1.06E-2</v>
      </c>
      <c r="E6" s="5">
        <v>-1.06E-2</v>
      </c>
      <c r="F6" s="5">
        <v>6.8000000000000005E-3</v>
      </c>
    </row>
    <row r="7" spans="1:6" x14ac:dyDescent="0.25">
      <c r="A7" t="str">
        <f>IF(Input!A7="","",Input!A7)</f>
        <v>ACUMEN Portfolio 8</v>
      </c>
      <c r="B7" s="1" t="s">
        <v>53</v>
      </c>
      <c r="C7" s="5">
        <v>7.4999999999999997E-3</v>
      </c>
      <c r="D7" s="5">
        <v>1.11E-2</v>
      </c>
      <c r="E7" s="5">
        <v>-2.1600000000000001E-2</v>
      </c>
      <c r="F7" s="5">
        <v>8.5000000000000006E-3</v>
      </c>
    </row>
    <row r="8" spans="1:6" x14ac:dyDescent="0.25">
      <c r="A8" t="str">
        <f>IF(Input!A8="","",Input!A8)</f>
        <v>ACUMEN Income Portfolio</v>
      </c>
      <c r="B8" s="1" t="s">
        <v>53</v>
      </c>
      <c r="C8" s="5">
        <v>7.4999999999999997E-3</v>
      </c>
      <c r="D8" s="5">
        <v>1.21E-2</v>
      </c>
      <c r="E8" s="5">
        <v>2.52E-2</v>
      </c>
      <c r="F8" s="5">
        <v>1.1200000000000002E-2</v>
      </c>
    </row>
    <row r="9" spans="1:6" x14ac:dyDescent="0.25">
      <c r="A9" t="str">
        <f>IF(Input!A9="","",Input!A9)</f>
        <v/>
      </c>
      <c r="B9" s="1"/>
      <c r="C9" s="5"/>
      <c r="D9" s="5"/>
      <c r="E9" s="5"/>
      <c r="F9" s="5"/>
    </row>
    <row r="10" spans="1:6" x14ac:dyDescent="0.25">
      <c r="A10" t="str">
        <f>IF(Input!A10="","",Input!A10)</f>
        <v/>
      </c>
      <c r="B10" s="1"/>
      <c r="C10" s="5"/>
      <c r="D10" s="5"/>
      <c r="E10" s="5"/>
      <c r="F10" s="5"/>
    </row>
    <row r="11" spans="1:6" x14ac:dyDescent="0.25">
      <c r="A11" t="str">
        <f>IF(Input!A11="","",Input!A11)</f>
        <v/>
      </c>
      <c r="B11" s="1"/>
      <c r="C11" s="5"/>
      <c r="D11" s="5"/>
      <c r="E11" s="5"/>
      <c r="F11" s="5"/>
    </row>
    <row r="12" spans="1:6" x14ac:dyDescent="0.25">
      <c r="A12" t="str">
        <f>IF(Input!A12="","",Input!A12)</f>
        <v/>
      </c>
      <c r="B12" s="1"/>
      <c r="C12" s="5"/>
      <c r="D12" s="5"/>
      <c r="E12" s="5"/>
      <c r="F12" s="5"/>
    </row>
    <row r="13" spans="1:6" x14ac:dyDescent="0.25">
      <c r="A13" t="str">
        <f>IF(Input!A13="","",Input!A13)</f>
        <v/>
      </c>
      <c r="B13" s="1"/>
      <c r="C13" s="5"/>
      <c r="D13" s="5"/>
      <c r="E13" s="5"/>
      <c r="F13" s="5"/>
    </row>
    <row r="14" spans="1:6" x14ac:dyDescent="0.25">
      <c r="A14" t="str">
        <f>IF(Input!A14="","",Input!A14)</f>
        <v/>
      </c>
      <c r="B14" s="1"/>
      <c r="C14" s="5"/>
      <c r="D14" s="5"/>
      <c r="E14" s="5"/>
      <c r="F14" s="5"/>
    </row>
    <row r="15" spans="1:6" x14ac:dyDescent="0.25">
      <c r="A15" t="str">
        <f>IF(Input!A15="","",Input!A15)</f>
        <v/>
      </c>
      <c r="B15" s="1"/>
      <c r="C15" s="5"/>
      <c r="D15" s="5"/>
      <c r="E15" s="5"/>
      <c r="F15" s="5"/>
    </row>
    <row r="16" spans="1:6" x14ac:dyDescent="0.25">
      <c r="A16" t="str">
        <f>IF(Input!A16="","",Input!A16)</f>
        <v/>
      </c>
      <c r="B16" s="1"/>
      <c r="C16" s="5"/>
      <c r="D16" s="5"/>
      <c r="E16" s="5"/>
      <c r="F16" s="5"/>
    </row>
    <row r="17" spans="1:6" x14ac:dyDescent="0.25">
      <c r="A17" t="str">
        <f>IF(Input!A17="","",Input!A17)</f>
        <v/>
      </c>
      <c r="B17" s="1"/>
      <c r="C17" s="5"/>
      <c r="D17" s="5"/>
      <c r="E17" s="5"/>
      <c r="F17" s="5"/>
    </row>
    <row r="18" spans="1:6" x14ac:dyDescent="0.25">
      <c r="A18" t="str">
        <f>IF(Input!A18="","",Input!A18)</f>
        <v/>
      </c>
      <c r="B18" s="1"/>
      <c r="C18" s="5"/>
      <c r="D18" s="5"/>
      <c r="E18" s="5"/>
      <c r="F18" s="5"/>
    </row>
    <row r="19" spans="1:6" x14ac:dyDescent="0.25">
      <c r="A19" t="str">
        <f>IF(Input!A19="","",Input!A19)</f>
        <v/>
      </c>
      <c r="B19" s="1"/>
      <c r="C19" s="5"/>
      <c r="D19" s="5"/>
      <c r="E19" s="5"/>
      <c r="F19" s="5"/>
    </row>
    <row r="20" spans="1:6" x14ac:dyDescent="0.25">
      <c r="A20" t="str">
        <f>IF(Input!A20="","",Input!A20)</f>
        <v/>
      </c>
      <c r="B20" s="1"/>
      <c r="C20" s="5"/>
      <c r="D20" s="5"/>
      <c r="E20" s="5"/>
      <c r="F20" s="5"/>
    </row>
    <row r="21" spans="1:6" x14ac:dyDescent="0.25">
      <c r="A21" t="str">
        <f>IF(Input!A21="","",Input!A21)</f>
        <v/>
      </c>
      <c r="B21" s="1"/>
      <c r="C21" s="5"/>
      <c r="D21" s="5"/>
      <c r="E21" s="5"/>
      <c r="F21" s="5"/>
    </row>
    <row r="22" spans="1:6" x14ac:dyDescent="0.25">
      <c r="A22" t="str">
        <f>IF(Input!A22="","",Input!A22)</f>
        <v/>
      </c>
      <c r="B22" s="1"/>
      <c r="C22" s="5"/>
      <c r="D22" s="5"/>
      <c r="E22" s="5"/>
      <c r="F22" s="5"/>
    </row>
    <row r="23" spans="1:6" x14ac:dyDescent="0.25">
      <c r="A23" t="str">
        <f>IF(Input!A23="","",Input!A23)</f>
        <v/>
      </c>
      <c r="B23" s="1"/>
      <c r="C23" s="5"/>
      <c r="D23" s="5"/>
      <c r="E23" s="5"/>
      <c r="F23" s="5"/>
    </row>
    <row r="24" spans="1:6" x14ac:dyDescent="0.25">
      <c r="A24" t="str">
        <f>IF(Input!A24="","",Input!A24)</f>
        <v/>
      </c>
      <c r="B24" s="1"/>
      <c r="C24" s="5"/>
      <c r="D24" s="5"/>
      <c r="E24" s="5"/>
      <c r="F24" s="5"/>
    </row>
    <row r="25" spans="1:6" x14ac:dyDescent="0.25">
      <c r="A25" t="str">
        <f>IF(Input!A25="","",Input!A25)</f>
        <v/>
      </c>
      <c r="B25" s="7"/>
      <c r="C25" s="5"/>
    </row>
    <row r="26" spans="1:6" x14ac:dyDescent="0.25">
      <c r="A26" t="str">
        <f>IF(Input!A26="","",Input!A26)</f>
        <v/>
      </c>
      <c r="B26" s="7"/>
      <c r="C26" s="5"/>
    </row>
    <row r="27" spans="1:6" x14ac:dyDescent="0.25">
      <c r="A27" t="str">
        <f>IF(Input!A27="","",Input!A27)</f>
        <v/>
      </c>
      <c r="B27" s="7"/>
      <c r="C27" s="5"/>
    </row>
    <row r="28" spans="1:6" x14ac:dyDescent="0.25">
      <c r="A28" t="str">
        <f>IF(Input!A28="","",Input!A28)</f>
        <v/>
      </c>
      <c r="B28" s="7"/>
      <c r="C28" s="5"/>
    </row>
    <row r="29" spans="1:6" x14ac:dyDescent="0.25">
      <c r="A29" t="str">
        <f>IF(Input!A29="","",Input!A29)</f>
        <v/>
      </c>
      <c r="B29" s="7"/>
      <c r="C29" s="5"/>
    </row>
    <row r="30" spans="1:6" x14ac:dyDescent="0.25">
      <c r="A30" t="str">
        <f>IF(Input!A30="","",Input!A30)</f>
        <v/>
      </c>
      <c r="B30" s="7"/>
      <c r="C30" s="5"/>
    </row>
    <row r="31" spans="1:6" x14ac:dyDescent="0.25">
      <c r="A31" t="str">
        <f>IF(Input!A31="","",Input!A31)</f>
        <v/>
      </c>
      <c r="B31" s="7"/>
      <c r="C31" s="5"/>
    </row>
    <row r="32" spans="1:6" x14ac:dyDescent="0.25">
      <c r="A32" t="str">
        <f>IF(Input!A32="","",Input!A32)</f>
        <v/>
      </c>
      <c r="B32" s="7"/>
      <c r="C32" s="5"/>
    </row>
    <row r="33" spans="1:3" x14ac:dyDescent="0.25">
      <c r="A33" t="str">
        <f>IF(Input!A33="","",Input!A33)</f>
        <v/>
      </c>
      <c r="B33" s="7"/>
      <c r="C33" s="5"/>
    </row>
    <row r="34" spans="1:3" x14ac:dyDescent="0.25">
      <c r="A34" t="str">
        <f>IF(Input!A34="","",Input!A34)</f>
        <v/>
      </c>
      <c r="B34" s="7"/>
      <c r="C34" s="5"/>
    </row>
    <row r="35" spans="1:3" x14ac:dyDescent="0.25">
      <c r="A35" t="str">
        <f>IF(Input!A35="","",Input!A35)</f>
        <v/>
      </c>
    </row>
    <row r="36" spans="1:3" x14ac:dyDescent="0.25">
      <c r="A36" t="str">
        <f>IF(Input!A36="","",Input!A36)</f>
        <v/>
      </c>
    </row>
    <row r="37" spans="1:3" x14ac:dyDescent="0.25">
      <c r="A37" t="str">
        <f>IF(Input!A37="","",Input!A37)</f>
        <v/>
      </c>
    </row>
    <row r="38" spans="1:3" x14ac:dyDescent="0.25">
      <c r="A38" t="str">
        <f>IF(Input!A38="","",Input!A38)</f>
        <v/>
      </c>
    </row>
    <row r="39" spans="1:3" x14ac:dyDescent="0.25">
      <c r="A39" t="str">
        <f>IF(Input!A39="","",Input!A39)</f>
        <v/>
      </c>
    </row>
    <row r="40" spans="1:3" x14ac:dyDescent="0.25">
      <c r="A40" t="str">
        <f>IF(Input!A40="","",Input!A40)</f>
        <v/>
      </c>
    </row>
    <row r="41" spans="1:3" x14ac:dyDescent="0.25">
      <c r="A41" t="str">
        <f>IF(Input!A41="","",Input!A41)</f>
        <v/>
      </c>
    </row>
    <row r="42" spans="1:3" x14ac:dyDescent="0.25">
      <c r="A42" t="str">
        <f>IF(Input!A42="","",Input!A42)</f>
        <v/>
      </c>
    </row>
    <row r="43" spans="1:3" x14ac:dyDescent="0.25">
      <c r="A43" t="str">
        <f>IF(Input!A43="","",Input!A43)</f>
        <v/>
      </c>
    </row>
    <row r="44" spans="1:3" x14ac:dyDescent="0.25">
      <c r="A44" t="str">
        <f>IF(Input!A44="","",Input!A44)</f>
        <v/>
      </c>
    </row>
    <row r="45" spans="1:3" x14ac:dyDescent="0.25">
      <c r="A45" t="str">
        <f>IF(Input!A45="","",Input!A45)</f>
        <v/>
      </c>
    </row>
    <row r="46" spans="1:3" x14ac:dyDescent="0.25">
      <c r="A46" t="str">
        <f>IF(Input!A46="","",Input!A46)</f>
        <v/>
      </c>
    </row>
    <row r="47" spans="1:3" x14ac:dyDescent="0.25">
      <c r="A47" t="str">
        <f>IF(Input!A47="","",Input!A47)</f>
        <v/>
      </c>
    </row>
    <row r="48" spans="1:3" x14ac:dyDescent="0.25">
      <c r="A48" t="str">
        <f>IF(Input!A48="","",Input!A48)</f>
        <v/>
      </c>
    </row>
    <row r="49" spans="1:1" x14ac:dyDescent="0.25">
      <c r="A49" t="str">
        <f>IF(Input!A49="","",Input!A49)</f>
        <v/>
      </c>
    </row>
    <row r="50" spans="1:1" x14ac:dyDescent="0.25">
      <c r="A50" t="str">
        <f>IF(Input!A50="","",Input!A50)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opLeftCell="A2" workbookViewId="0">
      <selection activeCell="B34" sqref="B34"/>
    </sheetView>
  </sheetViews>
  <sheetFormatPr defaultRowHeight="15" x14ac:dyDescent="0.25"/>
  <cols>
    <col min="1" max="1" width="41.140625" bestFit="1" customWidth="1"/>
    <col min="2" max="2" width="7.140625" bestFit="1" customWidth="1"/>
    <col min="3" max="3" width="7.42578125" bestFit="1" customWidth="1"/>
    <col min="4" max="4" width="7.140625" bestFit="1" customWidth="1"/>
    <col min="5" max="5" width="14.140625" bestFit="1" customWidth="1"/>
    <col min="6" max="6" width="13" bestFit="1" customWidth="1"/>
    <col min="7" max="7" width="6.85546875" bestFit="1" customWidth="1"/>
    <col min="8" max="8" width="9" bestFit="1" customWidth="1"/>
    <col min="9" max="9" width="10.28515625" bestFit="1" customWidth="1"/>
    <col min="10" max="10" width="7.7109375" bestFit="1" customWidth="1"/>
    <col min="11" max="11" width="17.28515625" bestFit="1" customWidth="1"/>
    <col min="12" max="12" width="12.140625" bestFit="1" customWidth="1"/>
    <col min="13" max="13" width="11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42</v>
      </c>
      <c r="C1" t="s">
        <v>43</v>
      </c>
      <c r="D1" t="s">
        <v>4</v>
      </c>
      <c r="E1" t="s">
        <v>44</v>
      </c>
    </row>
    <row r="2" spans="1:30" x14ac:dyDescent="0.25">
      <c r="A2" t="e">
        <f>IF(Input!#REF!="","",Input!#REF!)</f>
        <v>#REF!</v>
      </c>
      <c r="B2" s="5">
        <v>0.255</v>
      </c>
      <c r="C2" s="5">
        <v>0.59499999999999997</v>
      </c>
      <c r="D2" s="5">
        <v>0.1</v>
      </c>
      <c r="E2" s="5">
        <v>0.05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IF(Input!A3="","",Input!A3)</f>
        <v>ACUMEN Portfolio 4</v>
      </c>
      <c r="B3" s="5">
        <v>0.48899999999999999</v>
      </c>
      <c r="C3" s="5">
        <v>0.34899999999999998</v>
      </c>
      <c r="D3" s="5">
        <v>8.900000000000001E-2</v>
      </c>
      <c r="E3" s="5">
        <v>7.2999999999999995E-2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IF(Input!A4="","",Input!A4)</f>
        <v>ACUMEN Portfolio 5</v>
      </c>
      <c r="B4" s="5">
        <v>0.55200000000000005</v>
      </c>
      <c r="C4" s="5">
        <v>0.30299999999999999</v>
      </c>
      <c r="D4" s="5">
        <v>7.8E-2</v>
      </c>
      <c r="E4" s="5">
        <v>6.8000000000000005E-2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IF(Input!A5="","",Input!A5)</f>
        <v>ACUMEN Portfolio 6</v>
      </c>
      <c r="B5" s="5">
        <v>0.69299999999999995</v>
      </c>
      <c r="C5" s="5">
        <v>0.14300000000000002</v>
      </c>
      <c r="D5" s="5">
        <v>9.3000000000000013E-2</v>
      </c>
      <c r="E5" s="5">
        <v>7.0000000000000007E-2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IF(Input!A6="","",Input!A6)</f>
        <v>ACUMEN Portfolio 7</v>
      </c>
      <c r="B6" s="5">
        <v>0.74</v>
      </c>
      <c r="C6" s="5">
        <v>7.0999999999999994E-2</v>
      </c>
      <c r="D6" s="5">
        <v>9.5000000000000001E-2</v>
      </c>
      <c r="E6" s="5">
        <v>9.4E-2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IF(Input!A7="","",Input!A7)</f>
        <v>ACUMEN Portfolio 8</v>
      </c>
      <c r="B7" s="5">
        <v>0.77599999999999991</v>
      </c>
      <c r="C7" s="5">
        <v>0</v>
      </c>
      <c r="D7" s="5">
        <v>0.113</v>
      </c>
      <c r="E7" s="5">
        <v>0.111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IF(Input!A8="","",Input!A8)</f>
        <v>ACUMEN Income Portfolio</v>
      </c>
      <c r="B8" s="5">
        <v>0.45899999999999996</v>
      </c>
      <c r="C8" s="5">
        <v>0.44</v>
      </c>
      <c r="D8" s="5">
        <v>0.1</v>
      </c>
      <c r="E8" s="5">
        <v>1E-3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IF(Input!A9="","",Input!A9)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IF(Input!A10="","",Input!A10)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IF(Input!A11="","",Input!A11)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IF(Input!A12="","",Input!A12)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IF(Input!A13="","",Input!A13)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IF(Input!A14="","",Input!A14)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IF(Input!A15="","",Input!A15)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IF(Input!A16="","",Input!A16)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IF(Input!A17="","",Input!A17)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IF(Input!A18="","",Input!A18)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IF(Input!A19="","",Input!A19)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IF(Input!A20="","",Input!A20)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IF(Input!A21="","",Input!A21)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IF(Input!A22="","",Input!A22)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IF(Input!A23="","",Input!A23)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IF(Input!A24="","",Input!A24)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IF(Input!A25="","",Input!A25)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IF(Input!A26="","",Input!A26)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IF(Input!A27="","",Input!A27)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IF(Input!A28="","",Input!A28)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IF(Input!A29="","",Input!A29)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IF(Input!A30="","",Input!A30)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IF(Input!A31="","",Input!A31)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IF(Input!A32="","",Input!A32)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IF(Input!A33="","",Input!A33)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IF(Input!A34="","",Input!A34)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IF(Input!A35="","",Input!A35)</f>
        <v/>
      </c>
    </row>
    <row r="36" spans="1:27" x14ac:dyDescent="0.25">
      <c r="A36" t="str">
        <f>IF(Input!A36="","",Input!A36)</f>
        <v/>
      </c>
    </row>
    <row r="37" spans="1:27" x14ac:dyDescent="0.25">
      <c r="A37" t="str">
        <f>IF(Input!A37="","",Input!A37)</f>
        <v/>
      </c>
    </row>
    <row r="38" spans="1:27" x14ac:dyDescent="0.25">
      <c r="A38" t="str">
        <f>IF(Input!A38="","",Input!A38)</f>
        <v/>
      </c>
    </row>
    <row r="39" spans="1:27" x14ac:dyDescent="0.25">
      <c r="A39" t="str">
        <f>IF(Input!A39="","",Input!A39)</f>
        <v/>
      </c>
    </row>
    <row r="40" spans="1:27" x14ac:dyDescent="0.25">
      <c r="A40" t="str">
        <f>IF(Input!A40="","",Input!A40)</f>
        <v/>
      </c>
    </row>
    <row r="41" spans="1:27" x14ac:dyDescent="0.25">
      <c r="A41" t="str">
        <f>IF(Input!A41="","",Input!A41)</f>
        <v/>
      </c>
    </row>
    <row r="42" spans="1:27" x14ac:dyDescent="0.25">
      <c r="A42" t="str">
        <f>IF(Input!A42="","",Input!A42)</f>
        <v/>
      </c>
    </row>
    <row r="43" spans="1:27" x14ac:dyDescent="0.25">
      <c r="A43" t="str">
        <f>IF(Input!A43="","",Input!A43)</f>
        <v/>
      </c>
    </row>
    <row r="44" spans="1:27" x14ac:dyDescent="0.25">
      <c r="A44" t="str">
        <f>IF(Input!A44="","",Input!A44)</f>
        <v/>
      </c>
    </row>
    <row r="45" spans="1:27" x14ac:dyDescent="0.25">
      <c r="A45" t="str">
        <f>IF(Input!A45="","",Input!A45)</f>
        <v/>
      </c>
    </row>
    <row r="46" spans="1:27" x14ac:dyDescent="0.25">
      <c r="A46" t="str">
        <f>IF(Input!A46="","",Input!A46)</f>
        <v/>
      </c>
    </row>
    <row r="47" spans="1:27" x14ac:dyDescent="0.25">
      <c r="A47" t="str">
        <f>IF(Input!A47="","",Input!A47)</f>
        <v/>
      </c>
    </row>
    <row r="48" spans="1:27" x14ac:dyDescent="0.25">
      <c r="A48" t="str">
        <f>IF(Input!A48="","",Input!A48)</f>
        <v/>
      </c>
    </row>
    <row r="49" spans="1:1" x14ac:dyDescent="0.25">
      <c r="A49" t="str">
        <f>IF(Input!A49="","",Input!A49)</f>
        <v/>
      </c>
    </row>
    <row r="50" spans="1:1" x14ac:dyDescent="0.25">
      <c r="A50" t="str">
        <f>IF(Input!A50="","",Input!A50)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49"/>
  <sheetViews>
    <sheetView workbookViewId="0">
      <selection activeCell="D12" sqref="D12"/>
    </sheetView>
  </sheetViews>
  <sheetFormatPr defaultRowHeight="15" x14ac:dyDescent="0.25"/>
  <cols>
    <col min="1" max="1" width="19.5703125" bestFit="1" customWidth="1"/>
    <col min="2" max="2" width="70.7109375" bestFit="1" customWidth="1"/>
    <col min="3" max="3" width="24.5703125" bestFit="1" customWidth="1"/>
    <col min="4" max="4" width="86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ACUMEN Portfolio 4</v>
      </c>
      <c r="B2" t="s">
        <v>46</v>
      </c>
      <c r="C2" t="s">
        <v>32</v>
      </c>
      <c r="D2" s="8" t="s">
        <v>47</v>
      </c>
    </row>
    <row r="3" spans="1:5" x14ac:dyDescent="0.25">
      <c r="A3" t="str">
        <f>IF(Input!A4="","",Input!A4)</f>
        <v>ACUMEN Portfolio 5</v>
      </c>
      <c r="B3" t="s">
        <v>46</v>
      </c>
      <c r="C3" t="s">
        <v>33</v>
      </c>
      <c r="D3" s="8" t="s">
        <v>48</v>
      </c>
    </row>
    <row r="4" spans="1:5" x14ac:dyDescent="0.25">
      <c r="A4" t="str">
        <f>IF(Input!A5="","",Input!A5)</f>
        <v>ACUMEN Portfolio 6</v>
      </c>
      <c r="B4" t="s">
        <v>46</v>
      </c>
      <c r="C4" t="s">
        <v>34</v>
      </c>
      <c r="D4" s="8" t="s">
        <v>49</v>
      </c>
    </row>
    <row r="5" spans="1:5" x14ac:dyDescent="0.25">
      <c r="A5" t="str">
        <f>IF(Input!A6="","",Input!A6)</f>
        <v>ACUMEN Portfolio 7</v>
      </c>
      <c r="B5" t="s">
        <v>46</v>
      </c>
      <c r="C5" t="s">
        <v>35</v>
      </c>
      <c r="D5" s="8" t="s">
        <v>50</v>
      </c>
    </row>
    <row r="6" spans="1:5" x14ac:dyDescent="0.25">
      <c r="A6" t="str">
        <f>IF(Input!A7="","",Input!A7)</f>
        <v>ACUMEN Portfolio 8</v>
      </c>
      <c r="B6" t="s">
        <v>46</v>
      </c>
      <c r="C6" t="s">
        <v>36</v>
      </c>
      <c r="D6" s="8" t="s">
        <v>51</v>
      </c>
    </row>
    <row r="7" spans="1:5" x14ac:dyDescent="0.25">
      <c r="A7" t="str">
        <f>IF(Input!A8="","",Input!A8)</f>
        <v>ACUMEN Income Portfolio</v>
      </c>
      <c r="B7" t="s">
        <v>46</v>
      </c>
      <c r="C7" t="s">
        <v>37</v>
      </c>
      <c r="D7" s="8" t="s">
        <v>52</v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e">
        <f>IF(Input!#REF!="","",Input!#REF!)</f>
        <v>#REF!</v>
      </c>
      <c r="B2" s="1" t="e">
        <f>IF(A2="","",EOMONTH(DATE(YEAR(IF(A2="","",'Additional Information'!B2)),MONTH(IF(A2="","",'Additional Information'!B2)),DAY(IF(A2="","",'Additional Information'!B2))),0))</f>
        <v>#REF!</v>
      </c>
    </row>
    <row r="3" spans="1:2" x14ac:dyDescent="0.25">
      <c r="A3" t="str">
        <f>IF(Input!A3="","",Input!A3)</f>
        <v>ACUMEN Portfolio 4</v>
      </c>
      <c r="B3" s="1">
        <f>IF(A3="","",EOMONTH(DATE(YEAR(IF(A3="","",'Additional Information'!B3)),MONTH(IF(A3="","",'Additional Information'!B3)),DAY(IF(A3="","",'Additional Information'!B3))),0))</f>
        <v>45199</v>
      </c>
    </row>
    <row r="4" spans="1:2" x14ac:dyDescent="0.25">
      <c r="A4" t="str">
        <f>IF(Input!A4="","",Input!A4)</f>
        <v>ACUMEN Portfolio 5</v>
      </c>
      <c r="B4" s="1">
        <f>IF(A4="","",EOMONTH(DATE(YEAR(IF(A4="","",'Additional Information'!B4)),MONTH(IF(A4="","",'Additional Information'!B4)),DAY(IF(A4="","",'Additional Information'!B4))),0))</f>
        <v>45199</v>
      </c>
    </row>
    <row r="5" spans="1:2" x14ac:dyDescent="0.25">
      <c r="A5" t="str">
        <f>IF(Input!A5="","",Input!A5)</f>
        <v>ACUMEN Portfolio 6</v>
      </c>
      <c r="B5" s="1">
        <f>IF(A5="","",EOMONTH(DATE(YEAR(IF(A5="","",'Additional Information'!B5)),MONTH(IF(A5="","",'Additional Information'!B5)),DAY(IF(A5="","",'Additional Information'!B5))),0))</f>
        <v>45199</v>
      </c>
    </row>
    <row r="6" spans="1:2" x14ac:dyDescent="0.25">
      <c r="A6" t="str">
        <f>IF(Input!A6="","",Input!A6)</f>
        <v>ACUMEN Portfolio 7</v>
      </c>
      <c r="B6" s="1">
        <f>IF(A6="","",EOMONTH(DATE(YEAR(IF(A6="","",'Additional Information'!B6)),MONTH(IF(A6="","",'Additional Information'!B6)),DAY(IF(A6="","",'Additional Information'!B6))),0))</f>
        <v>45199</v>
      </c>
    </row>
    <row r="7" spans="1:2" x14ac:dyDescent="0.25">
      <c r="A7" t="str">
        <f>IF(Input!A7="","",Input!A7)</f>
        <v>ACUMEN Portfolio 8</v>
      </c>
      <c r="B7" s="1">
        <f>IF(A7="","",EOMONTH(DATE(YEAR(IF(A7="","",'Additional Information'!B7)),MONTH(IF(A7="","",'Additional Information'!B7)),DAY(IF(A7="","",'Additional Information'!B7))),0))</f>
        <v>45199</v>
      </c>
    </row>
    <row r="8" spans="1:2" x14ac:dyDescent="0.25">
      <c r="A8" t="str">
        <f>IF(Input!A8="","",Input!A8)</f>
        <v>ACUMEN Income Portfolio</v>
      </c>
      <c r="B8" s="1">
        <f>IF(A8="","",EOMONTH(DATE(YEAR(IF(A8="","",'Additional Information'!B8)),MONTH(IF(A8="","",'Additional Information'!B8)),DAY(IF(A8="","",'Additional Information'!B8))),0))</f>
        <v>45199</v>
      </c>
    </row>
    <row r="9" spans="1:2" x14ac:dyDescent="0.25">
      <c r="A9" t="str">
        <f>IF(Input!A9="","",Input!A9)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IF(Input!A10="","",Input!A10)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IF(Input!A11="","",Input!A11)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IF(Input!A12="","",Input!A12)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IF(Input!A13="","",Input!A13)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IF(Input!A14="","",Input!A14)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IF(Input!A15="","",Input!A15)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IF(Input!A16="","",Input!A16)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IF(Input!A17="","",Input!A17)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IF(Input!A18="","",Input!A18)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IF(Input!A19="","",Input!A19)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IF(Input!A20="","",Input!A20)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IF(Input!A21="","",Input!A21)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IF(Input!A22="","",Input!A22)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IF(Input!A23="","",Input!A23)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IF(Input!A24="","",Input!A24)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IF(Input!A25="","",Input!A25)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IF(Input!A26="","",Input!A26)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IF(Input!A27="","",Input!A27)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IF(Input!A28="","",Input!A28)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IF(Input!A29="","",Input!A29)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IF(Input!A30="","",Input!A30)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IF(Input!A31="","",Input!A31)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IF(Input!A32="","",Input!A32)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IF(Input!A33="","",Input!A33)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IF(Input!A34="","",Input!A34)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IF(Input!A35="","",Input!A35)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IF(Input!A36="","",Input!A36)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IF(Input!A37="","",Input!A37)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IF(Input!A38="","",Input!A38)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IF(Input!A39="","",Input!A39)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IF(Input!A40="","",Input!A40)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IF(Input!A41="","",Input!A41)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IF(Input!A42="","",Input!A42)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IF(Input!A43="","",Input!A43)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IF(Input!A44="","",Input!A44)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IF(Input!A45="","",Input!A45)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IF(Input!A46="","",Input!A46)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IF(Input!A47="","",Input!A47)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IF(Input!A48="","",Input!A48)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IF(Input!A49="","",Input!A49)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IF(Input!A50="","",Input!A50)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e">
        <f>IF(Input!#REF!="","",Input!#REF!)</f>
        <v>#REF!</v>
      </c>
      <c r="B2" t="e">
        <f>IF(A2="","",'Additional Information'!F2)</f>
        <v>#REF!</v>
      </c>
      <c r="C2" t="e">
        <f>IF(A2="","",'Additional Information'!E2)</f>
        <v>#REF!</v>
      </c>
      <c r="D2" s="5" t="e">
        <f>IF(A2="","",SUM('Additional Information'!C2,'Additional Information'!D2))</f>
        <v>#REF!</v>
      </c>
    </row>
    <row r="3" spans="1:4" x14ac:dyDescent="0.25">
      <c r="A3" t="str">
        <f>IF(Input!A3="","",Input!A3)</f>
        <v>ACUMEN Portfolio 4</v>
      </c>
      <c r="B3">
        <f>IF(A3="","",'Additional Information'!F3)</f>
        <v>4.5000000000000005E-3</v>
      </c>
      <c r="C3">
        <f>IF(A3="","",'Additional Information'!E3)</f>
        <v>-4.4000000000000003E-3</v>
      </c>
      <c r="D3" s="5">
        <f>IF(A3="","",SUM('Additional Information'!C3,'Additional Information'!D3))</f>
        <v>1.78E-2</v>
      </c>
    </row>
    <row r="4" spans="1:4" x14ac:dyDescent="0.25">
      <c r="A4" t="str">
        <f>IF(Input!A4="","",Input!A4)</f>
        <v>ACUMEN Portfolio 5</v>
      </c>
      <c r="B4">
        <f>IF(A4="","",'Additional Information'!F4)</f>
        <v>5.4000000000000003E-3</v>
      </c>
      <c r="C4">
        <f>IF(A4="","",'Additional Information'!E4)</f>
        <v>-1.5E-3</v>
      </c>
      <c r="D4" s="5">
        <f>IF(A4="","",SUM('Additional Information'!C4,'Additional Information'!D4))</f>
        <v>1.78E-2</v>
      </c>
    </row>
    <row r="5" spans="1:4" x14ac:dyDescent="0.25">
      <c r="A5" t="str">
        <f>IF(Input!A5="","",Input!A5)</f>
        <v>ACUMEN Portfolio 6</v>
      </c>
      <c r="B5">
        <f>IF(A5="","",'Additional Information'!F5)</f>
        <v>5.5000000000000005E-3</v>
      </c>
      <c r="C5">
        <f>IF(A5="","",'Additional Information'!E5)</f>
        <v>-1.1999999999999999E-3</v>
      </c>
      <c r="D5" s="5">
        <f>IF(A5="","",SUM('Additional Information'!C5,'Additional Information'!D5))</f>
        <v>1.7899999999999999E-2</v>
      </c>
    </row>
    <row r="6" spans="1:4" x14ac:dyDescent="0.25">
      <c r="A6" t="str">
        <f>IF(Input!A6="","",Input!A6)</f>
        <v>ACUMEN Portfolio 7</v>
      </c>
      <c r="B6">
        <f>IF(A6="","",'Additional Information'!F6)</f>
        <v>6.8000000000000005E-3</v>
      </c>
      <c r="C6">
        <f>IF(A6="","",'Additional Information'!E6)</f>
        <v>-1.06E-2</v>
      </c>
      <c r="D6" s="5">
        <f>IF(A6="","",SUM('Additional Information'!C6,'Additional Information'!D6))</f>
        <v>1.8099999999999998E-2</v>
      </c>
    </row>
    <row r="7" spans="1:4" x14ac:dyDescent="0.25">
      <c r="A7" t="str">
        <f>IF(Input!A7="","",Input!A7)</f>
        <v>ACUMEN Portfolio 8</v>
      </c>
      <c r="B7">
        <f>IF(A7="","",'Additional Information'!F7)</f>
        <v>8.5000000000000006E-3</v>
      </c>
      <c r="C7">
        <f>IF(A7="","",'Additional Information'!E7)</f>
        <v>-2.1600000000000001E-2</v>
      </c>
      <c r="D7" s="5">
        <f>IF(A7="","",SUM('Additional Information'!C7,'Additional Information'!D7))</f>
        <v>1.8599999999999998E-2</v>
      </c>
    </row>
    <row r="8" spans="1:4" x14ac:dyDescent="0.25">
      <c r="A8" t="str">
        <f>IF(Input!A8="","",Input!A8)</f>
        <v>ACUMEN Income Portfolio</v>
      </c>
      <c r="B8">
        <f>IF(A8="","",'Additional Information'!F8)</f>
        <v>1.1200000000000002E-2</v>
      </c>
      <c r="C8">
        <f>IF(A8="","",'Additional Information'!E8)</f>
        <v>2.52E-2</v>
      </c>
      <c r="D8" s="5">
        <f>IF(A8="","",SUM('Additional Information'!C8,'Additional Information'!D8))</f>
        <v>1.9599999999999999E-2</v>
      </c>
    </row>
    <row r="9" spans="1:4" x14ac:dyDescent="0.25">
      <c r="A9" t="str">
        <f>IF(Input!A9="","",Input!A9)</f>
        <v/>
      </c>
      <c r="B9" t="str">
        <f>IF(A9="","",'Additional Information'!F9)</f>
        <v/>
      </c>
      <c r="C9" t="str">
        <f>IF(A9="","",'Additional Information'!E9)</f>
        <v/>
      </c>
      <c r="D9" s="5" t="str">
        <f>IF(A9="","",SUM('Additional Information'!C9,'Additional Information'!D9))</f>
        <v/>
      </c>
    </row>
    <row r="10" spans="1:4" x14ac:dyDescent="0.25">
      <c r="A10" t="str">
        <f>IF(Input!A10="","",Input!A10)</f>
        <v/>
      </c>
      <c r="B10" t="str">
        <f>IF(A10="","",'Additional Information'!F10)</f>
        <v/>
      </c>
      <c r="C10" t="str">
        <f>IF(A10="","",'Additional Information'!E10)</f>
        <v/>
      </c>
      <c r="D10" s="5" t="str">
        <f>IF(A10="","",SUM('Additional Information'!C10,'Additional Information'!D10))</f>
        <v/>
      </c>
    </row>
    <row r="11" spans="1:4" x14ac:dyDescent="0.25">
      <c r="A11" t="str">
        <f>IF(Input!A11="","",Input!A11)</f>
        <v/>
      </c>
      <c r="B11" t="str">
        <f>IF(A11="","",'Additional Information'!F11)</f>
        <v/>
      </c>
      <c r="C11" t="str">
        <f>IF(A11="","",'Additional Information'!E11)</f>
        <v/>
      </c>
      <c r="D11" s="5" t="str">
        <f>IF(A11="","",SUM('Additional Information'!C11,'Additional Information'!D11))</f>
        <v/>
      </c>
    </row>
    <row r="12" spans="1:4" x14ac:dyDescent="0.25">
      <c r="A12" t="str">
        <f>IF(Input!A12="","",Input!A12)</f>
        <v/>
      </c>
      <c r="B12" t="str">
        <f>IF(A12="","",'Additional Information'!F12)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</row>
    <row r="13" spans="1:4" x14ac:dyDescent="0.25">
      <c r="A13" t="str">
        <f>IF(Input!A13="","",Input!A13)</f>
        <v/>
      </c>
      <c r="B13" t="str">
        <f>IF(A13="","",'Additional Information'!F13)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</row>
    <row r="14" spans="1:4" x14ac:dyDescent="0.25">
      <c r="A14" t="str">
        <f>IF(Input!A14="","",Input!A14)</f>
        <v/>
      </c>
      <c r="B14" t="str">
        <f>IF(A14="","",'Additional Information'!F14)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</row>
    <row r="15" spans="1:4" x14ac:dyDescent="0.25">
      <c r="A15" t="str">
        <f>IF(Input!A15="","",Input!A15)</f>
        <v/>
      </c>
      <c r="B15" t="str">
        <f>IF(A15="","",'Additional Information'!F15)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</row>
    <row r="16" spans="1:4" x14ac:dyDescent="0.25">
      <c r="A16" t="str">
        <f>IF(Input!A16="","",Input!A16)</f>
        <v/>
      </c>
      <c r="B16" t="str">
        <f>IF(A16="","",'Additional Information'!F16)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</row>
    <row r="17" spans="1:4" x14ac:dyDescent="0.25">
      <c r="A17" t="str">
        <f>IF(Input!A17="","",Input!A17)</f>
        <v/>
      </c>
      <c r="B17" t="str">
        <f>IF(A17="","",'Additional Information'!F17)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</row>
    <row r="18" spans="1:4" x14ac:dyDescent="0.25">
      <c r="A18" t="str">
        <f>IF(Input!A18="","",Input!A18)</f>
        <v/>
      </c>
      <c r="B18" t="str">
        <f>IF(A18="","",'Additional Information'!F18)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</row>
    <row r="19" spans="1:4" x14ac:dyDescent="0.25">
      <c r="A19" t="str">
        <f>IF(Input!A19="","",Input!A19)</f>
        <v/>
      </c>
      <c r="B19" t="str">
        <f>IF(A19="","",'Additional Information'!F19)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</row>
    <row r="20" spans="1:4" x14ac:dyDescent="0.25">
      <c r="A20" t="str">
        <f>IF(Input!A20="","",Input!A20)</f>
        <v/>
      </c>
      <c r="B20" t="str">
        <f>IF(A20="","",'Additional Information'!F20)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</row>
    <row r="21" spans="1:4" x14ac:dyDescent="0.25">
      <c r="A21" t="str">
        <f>IF(Input!A21="","",Input!A21)</f>
        <v/>
      </c>
      <c r="B21" t="str">
        <f>IF(A21="","",'Additional Information'!F21)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</row>
    <row r="22" spans="1:4" x14ac:dyDescent="0.25">
      <c r="A22" t="str">
        <f>IF(Input!A22="","",Input!A22)</f>
        <v/>
      </c>
      <c r="B22" t="str">
        <f>IF(A22="","",'Additional Information'!F22)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</row>
    <row r="23" spans="1:4" x14ac:dyDescent="0.25">
      <c r="A23" t="str">
        <f>IF(Input!A23="","",Input!A23)</f>
        <v/>
      </c>
      <c r="B23" t="str">
        <f>IF(A23="","",'Additional Information'!F23)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IF(Input!A24="","",Input!A24)</f>
        <v/>
      </c>
      <c r="B24" t="str">
        <f>IF(A24="","",'Additional Information'!F24)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IF(Input!A25="","",Input!A25)</f>
        <v/>
      </c>
      <c r="B25" t="str">
        <f>IF(A25="","",'Additional Information'!F25)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IF(Input!A26="","",Input!A26)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IF(Input!A27="","",Input!A27)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IF(Input!A28="","",Input!A28)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IF(Input!A29="","",Input!A29)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IF(Input!A30="","",Input!A30)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IF(Input!A31="","",Input!A31)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IF(Input!A32="","",Input!A32)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IF(Input!A33="","",Input!A33)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IF(Input!A34="","",Input!A34)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IF(Input!A35="","",Input!A35)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IF(Input!A36="","",Input!A36)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IF(Input!A37="","",Input!A37)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IF(Input!A38="","",Input!A38)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IF(Input!A39="","",Input!A39)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IF(Input!A40="","",Input!A40)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IF(Input!A41="","",Input!A41)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IF(Input!A42="","",Input!A42)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IF(Input!A43="","",Input!A43)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IF(Input!A44="","",Input!A44)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IF(Input!A45="","",Input!A45)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IF(Input!A46="","",Input!A46)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IF(Input!A47="","",Input!A47)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IF(Input!A48="","",Input!A48)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IF(Input!A49="","",Input!A49)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IF(Input!A50="","",Input!A50)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e">
        <f>IF(Input!#REF!="","",Input!#REF!)</f>
        <v>#REF!</v>
      </c>
      <c r="B2" t="e">
        <f>IF(A2="","",SUM('Asset Allocation'!C2))</f>
        <v>#REF!</v>
      </c>
      <c r="C2" t="e">
        <f>IF(A2="","",SUM('Asset Allocation'!B2))</f>
        <v>#REF!</v>
      </c>
      <c r="G2" t="e">
        <f>IF(A2="","",SUM('Asset Allocation'!D2))</f>
        <v>#REF!</v>
      </c>
      <c r="H2" t="e">
        <f t="shared" ref="H2:H50" si="0">IF(A2="","",1-SUM(B2:G2))</f>
        <v>#REF!</v>
      </c>
    </row>
    <row r="3" spans="1:8" x14ac:dyDescent="0.25">
      <c r="A3" t="str">
        <f>IF(Input!A3="","",Input!A3)</f>
        <v>ACUMEN Portfolio 4</v>
      </c>
      <c r="B3">
        <f>IF(A3="","",SUM('Asset Allocation'!C3))</f>
        <v>0.34899999999999998</v>
      </c>
      <c r="C3">
        <f>IF(A3="","",SUM('Asset Allocation'!B3))</f>
        <v>0.48899999999999999</v>
      </c>
      <c r="G3">
        <f>IF(A3="","",SUM('Asset Allocation'!D3))</f>
        <v>8.900000000000001E-2</v>
      </c>
      <c r="H3">
        <f t="shared" si="0"/>
        <v>7.3000000000000065E-2</v>
      </c>
    </row>
    <row r="4" spans="1:8" x14ac:dyDescent="0.25">
      <c r="A4" t="str">
        <f>IF(Input!A4="","",Input!A4)</f>
        <v>ACUMEN Portfolio 5</v>
      </c>
      <c r="B4">
        <f>IF(A4="","",SUM('Asset Allocation'!C4))</f>
        <v>0.30299999999999999</v>
      </c>
      <c r="C4">
        <f>IF(A4="","",SUM('Asset Allocation'!B4))</f>
        <v>0.55200000000000005</v>
      </c>
      <c r="G4">
        <f>IF(A4="","",SUM('Asset Allocation'!D4))</f>
        <v>7.8E-2</v>
      </c>
      <c r="H4">
        <f t="shared" si="0"/>
        <v>6.700000000000006E-2</v>
      </c>
    </row>
    <row r="5" spans="1:8" x14ac:dyDescent="0.25">
      <c r="A5" t="str">
        <f>IF(Input!A5="","",Input!A5)</f>
        <v>ACUMEN Portfolio 6</v>
      </c>
      <c r="B5">
        <f>IF(A5="","",SUM('Asset Allocation'!C5))</f>
        <v>0.14300000000000002</v>
      </c>
      <c r="C5">
        <f>IF(A5="","",SUM('Asset Allocation'!B5))</f>
        <v>0.69299999999999995</v>
      </c>
      <c r="G5">
        <f>IF(A5="","",SUM('Asset Allocation'!D5))</f>
        <v>9.3000000000000013E-2</v>
      </c>
      <c r="H5">
        <f t="shared" si="0"/>
        <v>7.1000000000000063E-2</v>
      </c>
    </row>
    <row r="6" spans="1:8" x14ac:dyDescent="0.25">
      <c r="A6" t="str">
        <f>IF(Input!A6="","",Input!A6)</f>
        <v>ACUMEN Portfolio 7</v>
      </c>
      <c r="B6">
        <f>IF(A6="","",SUM('Asset Allocation'!C6))</f>
        <v>7.0999999999999994E-2</v>
      </c>
      <c r="C6">
        <f>IF(A6="","",SUM('Asset Allocation'!B6))</f>
        <v>0.74</v>
      </c>
      <c r="G6">
        <f>IF(A6="","",SUM('Asset Allocation'!D6))</f>
        <v>9.5000000000000001E-2</v>
      </c>
      <c r="H6">
        <f t="shared" si="0"/>
        <v>9.4000000000000083E-2</v>
      </c>
    </row>
    <row r="7" spans="1:8" x14ac:dyDescent="0.25">
      <c r="A7" t="str">
        <f>IF(Input!A7="","",Input!A7)</f>
        <v>ACUMEN Portfolio 8</v>
      </c>
      <c r="B7">
        <f>IF(A7="","",SUM('Asset Allocation'!C7))</f>
        <v>0</v>
      </c>
      <c r="C7">
        <f>IF(A7="","",SUM('Asset Allocation'!B7))</f>
        <v>0.77599999999999991</v>
      </c>
      <c r="G7">
        <f>IF(A7="","",SUM('Asset Allocation'!D7))</f>
        <v>0.113</v>
      </c>
      <c r="H7">
        <f t="shared" si="0"/>
        <v>0.1110000000000001</v>
      </c>
    </row>
    <row r="8" spans="1:8" x14ac:dyDescent="0.25">
      <c r="A8" t="str">
        <f>IF(Input!A8="","",Input!A8)</f>
        <v>ACUMEN Income Portfolio</v>
      </c>
      <c r="B8">
        <f>IF(A8="","",SUM('Asset Allocation'!C8))</f>
        <v>0.44</v>
      </c>
      <c r="C8">
        <f>IF(A8="","",SUM('Asset Allocation'!B8))</f>
        <v>0.45899999999999996</v>
      </c>
      <c r="G8">
        <f>IF(A8="","",SUM('Asset Allocation'!D8))</f>
        <v>0.1</v>
      </c>
      <c r="H8">
        <f t="shared" si="0"/>
        <v>1.0000000000000009E-3</v>
      </c>
    </row>
    <row r="9" spans="1:8" x14ac:dyDescent="0.25">
      <c r="A9" t="str">
        <f>IF(Input!A9="","",Input!A9)</f>
        <v/>
      </c>
      <c r="B9" t="str">
        <f>IF(A9="","",SUM('Asset Allocation'!C9))</f>
        <v/>
      </c>
      <c r="C9" t="str">
        <f>IF(A9="","",SUM('Asset Allocation'!B9))</f>
        <v/>
      </c>
      <c r="G9" t="str">
        <f>IF(A9="","",SUM('Asset Allocation'!D9))</f>
        <v/>
      </c>
      <c r="H9" t="str">
        <f t="shared" si="0"/>
        <v/>
      </c>
    </row>
    <row r="10" spans="1:8" x14ac:dyDescent="0.25">
      <c r="A10" t="str">
        <f>IF(Input!A10="","",Input!A10)</f>
        <v/>
      </c>
      <c r="B10" t="str">
        <f>IF(A10="","",SUM('Asset Allocation'!C10))</f>
        <v/>
      </c>
      <c r="C10" t="str">
        <f>IF(A10="","",SUM('Asset Allocation'!B10))</f>
        <v/>
      </c>
      <c r="G10" t="str">
        <f>IF(A10="","",SUM('Asset Allocation'!D10))</f>
        <v/>
      </c>
      <c r="H10" t="str">
        <f t="shared" si="0"/>
        <v/>
      </c>
    </row>
    <row r="11" spans="1:8" x14ac:dyDescent="0.25">
      <c r="A11" t="str">
        <f>IF(Input!A11="","",Input!A11)</f>
        <v/>
      </c>
      <c r="B11" t="str">
        <f>IF(A11="","",SUM('Asset Allocation'!C11))</f>
        <v/>
      </c>
      <c r="C11" t="str">
        <f>IF(A11="","",SUM('Asset Allocation'!B11))</f>
        <v/>
      </c>
      <c r="G11" t="str">
        <f>IF(A11="","",SUM('Asset Allocation'!D11))</f>
        <v/>
      </c>
      <c r="H11" t="str">
        <f t="shared" si="0"/>
        <v/>
      </c>
    </row>
    <row r="12" spans="1:8" x14ac:dyDescent="0.25">
      <c r="A12" t="str">
        <f>IF(Input!A12="","",Input!A12)</f>
        <v/>
      </c>
      <c r="B12" t="str">
        <f>IF(A12="","",SUM('Asset Allocation'!C12))</f>
        <v/>
      </c>
      <c r="C12" t="str">
        <f>IF(A12="","",SUM('Asset Allocation'!B12))</f>
        <v/>
      </c>
      <c r="G12" t="str">
        <f>IF(A12="","",SUM('Asset Allocation'!D12))</f>
        <v/>
      </c>
      <c r="H12" t="str">
        <f t="shared" si="0"/>
        <v/>
      </c>
    </row>
    <row r="13" spans="1:8" x14ac:dyDescent="0.25">
      <c r="A13" t="str">
        <f>IF(Input!A13="","",Input!A13)</f>
        <v/>
      </c>
      <c r="B13" t="str">
        <f>IF(A13="","",SUM('Asset Allocation'!C13))</f>
        <v/>
      </c>
      <c r="C13" t="str">
        <f>IF(A13="","",SUM('Asset Allocation'!B13))</f>
        <v/>
      </c>
      <c r="G13" t="str">
        <f>IF(A13="","",SUM('Asset Allocation'!D13))</f>
        <v/>
      </c>
      <c r="H13" t="str">
        <f t="shared" si="0"/>
        <v/>
      </c>
    </row>
    <row r="14" spans="1:8" x14ac:dyDescent="0.25">
      <c r="A14" t="str">
        <f>IF(Input!A14="","",Input!A14)</f>
        <v/>
      </c>
      <c r="B14" t="str">
        <f>IF(A14="","",SUM('Asset Allocation'!C14))</f>
        <v/>
      </c>
      <c r="C14" t="str">
        <f>IF(A14="","",SUM('Asset Allocation'!B14))</f>
        <v/>
      </c>
      <c r="G14" t="str">
        <f>IF(A14="","",SUM('Asset Allocation'!D14))</f>
        <v/>
      </c>
      <c r="H14" t="str">
        <f t="shared" si="0"/>
        <v/>
      </c>
    </row>
    <row r="15" spans="1:8" x14ac:dyDescent="0.25">
      <c r="A15" t="str">
        <f>IF(Input!A15="","",Input!A15)</f>
        <v/>
      </c>
      <c r="B15" t="str">
        <f>IF(A15="","",SUM('Asset Allocation'!C15))</f>
        <v/>
      </c>
      <c r="C15" t="str">
        <f>IF(A15="","",SUM('Asset Allocation'!B15))</f>
        <v/>
      </c>
      <c r="G15" t="str">
        <f>IF(A15="","",SUM('Asset Allocation'!D15))</f>
        <v/>
      </c>
      <c r="H15" t="str">
        <f t="shared" si="0"/>
        <v/>
      </c>
    </row>
    <row r="16" spans="1:8" x14ac:dyDescent="0.25">
      <c r="A16" t="str">
        <f>IF(Input!A16="","",Input!A16)</f>
        <v/>
      </c>
      <c r="B16" t="str">
        <f>IF(A16="","",SUM('Asset Allocation'!C16))</f>
        <v/>
      </c>
      <c r="C16" t="str">
        <f>IF(A16="","",SUM('Asset Allocation'!B16))</f>
        <v/>
      </c>
      <c r="G16" t="str">
        <f>IF(A16="","",SUM('Asset Allocation'!D16))</f>
        <v/>
      </c>
      <c r="H16" t="str">
        <f t="shared" si="0"/>
        <v/>
      </c>
    </row>
    <row r="17" spans="1:8" x14ac:dyDescent="0.25">
      <c r="A17" t="str">
        <f>IF(Input!A17="","",Input!A17)</f>
        <v/>
      </c>
      <c r="B17" t="str">
        <f>IF(A17="","",SUM('Asset Allocation'!C17))</f>
        <v/>
      </c>
      <c r="C17" t="str">
        <f>IF(A17="","",SUM('Asset Allocation'!B17))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IF(Input!A18="","",Input!A18)</f>
        <v/>
      </c>
      <c r="B18" t="str">
        <f>IF(A18="","",SUM('Asset Allocation'!C18))</f>
        <v/>
      </c>
      <c r="C18" t="str">
        <f>IF(A18="","",SUM('Asset Allocation'!B18))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IF(Input!A19="","",Input!A19)</f>
        <v/>
      </c>
      <c r="B19" t="str">
        <f>IF(A19="","",SUM('Asset Allocation'!C19))</f>
        <v/>
      </c>
      <c r="C19" t="str">
        <f>IF(A19="","",SUM('Asset Allocation'!B19))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IF(Input!A20="","",Input!A20)</f>
        <v/>
      </c>
      <c r="B20" t="str">
        <f>IF(A20="","",SUM('Asset Allocation'!C20))</f>
        <v/>
      </c>
      <c r="C20" t="str">
        <f>IF(A20="","",SUM('Asset Allocation'!B20))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IF(Input!A21="","",Input!A21)</f>
        <v/>
      </c>
      <c r="B21" t="str">
        <f>IF(A21="","",SUM('Asset Allocation'!C21))</f>
        <v/>
      </c>
      <c r="C21" t="str">
        <f>IF(A21="","",SUM('Asset Allocation'!B21))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IF(Input!A22="","",Input!A22)</f>
        <v/>
      </c>
      <c r="B22" t="str">
        <f>IF(A22="","",SUM('Asset Allocation'!C22))</f>
        <v/>
      </c>
      <c r="C22" t="str">
        <f>IF(A22="","",SUM('Asset Allocation'!B22))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IF(Input!A23="","",Input!A23)</f>
        <v/>
      </c>
      <c r="B23" t="str">
        <f>IF(A23="","",SUM('Asset Allocation'!C23))</f>
        <v/>
      </c>
      <c r="C23" t="str">
        <f>IF(A23="","",SUM('Asset Allocation'!B23))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IF(Input!A24="","",Input!A24)</f>
        <v/>
      </c>
      <c r="B24" t="str">
        <f>IF(A24="","",SUM('Asset Allocation'!C24))</f>
        <v/>
      </c>
      <c r="C24" t="str">
        <f>IF(A24="","",SUM('Asset Allocation'!B24))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IF(Input!A25="","",Input!A25)</f>
        <v/>
      </c>
      <c r="B25" t="str">
        <f>IF(A25="","",SUM('Asset Allocation'!C25))</f>
        <v/>
      </c>
      <c r="C25" t="str">
        <f>IF(A25="","",SUM('Asset Allocation'!B25))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IF(Input!A26="","",Input!A26)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IF(Input!A27="","",Input!A27)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IF(Input!A28="","",Input!A28)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IF(Input!A29="","",Input!A29)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IF(Input!A30="","",Input!A30)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IF(Input!A31="","",Input!A31)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IF(Input!A32="","",Input!A32)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IF(Input!A33="","",Input!A33)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IF(Input!A34="","",Input!A34)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IF(Input!A35="","",Input!A35)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IF(Input!A36="","",Input!A36)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IF(Input!A37="","",Input!A37)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IF(Input!A38="","",Input!A38)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IF(Input!A39="","",Input!A39)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IF(Input!A40="","",Input!A40)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IF(Input!A41="","",Input!A41)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IF(Input!A42="","",Input!A42)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IF(Input!A43="","",Input!A43)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IF(Input!A44="","",Input!A44)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IF(Input!A45="","",Input!A45)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IF(Input!A46="","",Input!A46)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IF(Input!A47="","",Input!A47)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IF(Input!A48="","",Input!A48)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IF(Input!A49="","",Input!A49)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IF(Input!A50="","",Input!A50)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e">
        <f>IF(Input!#REF!="","",Input!#REF!)</f>
        <v>#REF!</v>
      </c>
      <c r="B2" s="6">
        <f>IFERROR(IF(A2="","",SUM('Asset Allocation'!F2)),0)</f>
        <v>0</v>
      </c>
      <c r="C2" s="6">
        <f>IFERROR(IF(A2="","",SUM('Asset Allocation'!E2)),0)</f>
        <v>0</v>
      </c>
      <c r="D2" s="6">
        <f>IFERROR(IF(A2="","",SUM('Asset Allocation'!I2)),0)</f>
        <v>0</v>
      </c>
      <c r="E2" s="6">
        <f>IFERROR(IF(A2="","",SUM('Asset Allocation'!G2)),0)</f>
        <v>0</v>
      </c>
      <c r="F2" s="6">
        <f>IFERROR(IF(A2="","",SUM('Asset Allocation'!J2,'Asset Allocation'!N2)),0)</f>
        <v>0</v>
      </c>
      <c r="G2" s="6">
        <f>IFERROR(IF(A2="","",SUM('Asset Allocation'!H2,'Asset Allocation'!K2,'Asset Allocation'!L2,'Asset Allocation'!M2)),0)</f>
        <v>0</v>
      </c>
      <c r="H2" s="6"/>
    </row>
    <row r="3" spans="1:8" x14ac:dyDescent="0.25">
      <c r="A3" t="str">
        <f>IF(Input!A3="","",Input!A3)</f>
        <v>ACUMEN Portfolio 4</v>
      </c>
      <c r="B3" s="6">
        <f>IFERROR(IF(A3="","",SUM('Asset Allocation'!F3)),0)</f>
        <v>0</v>
      </c>
      <c r="C3" s="6">
        <f>IFERROR(IF(A3="","",SUM('Asset Allocation'!E3)),0)</f>
        <v>7.2999999999999995E-2</v>
      </c>
      <c r="D3" s="6">
        <f>IFERROR(IF(A3="","",SUM('Asset Allocation'!I3)),0)</f>
        <v>0</v>
      </c>
      <c r="E3" s="6">
        <f>IFERROR(IF(A3="","",SUM('Asset Allocation'!G3)),0)</f>
        <v>0</v>
      </c>
      <c r="F3" s="6">
        <f>IFERROR(IF(A3="","",SUM('Asset Allocation'!J3,'Asset Allocation'!N3)),0)</f>
        <v>0</v>
      </c>
      <c r="G3" s="6">
        <f>IFERROR(IF(A3="","",SUM('Asset Allocation'!H3,'Asset Allocation'!K3,'Asset Allocation'!L3,'Asset Allocation'!M3)),0)</f>
        <v>0</v>
      </c>
      <c r="H3" s="6"/>
    </row>
    <row r="4" spans="1:8" x14ac:dyDescent="0.25">
      <c r="A4" t="str">
        <f>IF(Input!A4="","",Input!A4)</f>
        <v>ACUMEN Portfolio 5</v>
      </c>
      <c r="B4" s="6">
        <f>IFERROR(IF(A4="","",SUM('Asset Allocation'!F4)),0)</f>
        <v>0</v>
      </c>
      <c r="C4" s="6">
        <f>IFERROR(IF(A4="","",SUM('Asset Allocation'!E4)),0)</f>
        <v>6.8000000000000005E-2</v>
      </c>
      <c r="D4" s="6">
        <f>IFERROR(IF(A4="","",SUM('Asset Allocation'!I4)),0)</f>
        <v>0</v>
      </c>
      <c r="E4" s="6">
        <f>IFERROR(IF(A4="","",SUM('Asset Allocation'!G4)),0)</f>
        <v>0</v>
      </c>
      <c r="F4" s="6">
        <f>IFERROR(IF(A4="","",SUM('Asset Allocation'!J4,'Asset Allocation'!N4)),0)</f>
        <v>0</v>
      </c>
      <c r="G4" s="6">
        <f>IFERROR(IF(A4="","",SUM('Asset Allocation'!H4,'Asset Allocation'!K4,'Asset Allocation'!L4,'Asset Allocation'!M4)),0)</f>
        <v>0</v>
      </c>
      <c r="H4" s="6"/>
    </row>
    <row r="5" spans="1:8" x14ac:dyDescent="0.25">
      <c r="A5" t="str">
        <f>IF(Input!A5="","",Input!A5)</f>
        <v>ACUMEN Portfolio 6</v>
      </c>
      <c r="B5" s="6">
        <f>IFERROR(IF(A5="","",SUM('Asset Allocation'!F5)),0)</f>
        <v>0</v>
      </c>
      <c r="C5" s="6">
        <f>IFERROR(IF(A5="","",SUM('Asset Allocation'!E5)),0)</f>
        <v>7.0000000000000007E-2</v>
      </c>
      <c r="D5" s="6">
        <f>IFERROR(IF(A5="","",SUM('Asset Allocation'!I5)),0)</f>
        <v>0</v>
      </c>
      <c r="E5" s="6">
        <f>IFERROR(IF(A5="","",SUM('Asset Allocation'!G5)),0)</f>
        <v>0</v>
      </c>
      <c r="F5" s="6">
        <f>IFERROR(IF(A5="","",SUM('Asset Allocation'!J5,'Asset Allocation'!N5)),0)</f>
        <v>0</v>
      </c>
      <c r="G5" s="6">
        <f>IFERROR(IF(A5="","",SUM('Asset Allocation'!H5,'Asset Allocation'!K5,'Asset Allocation'!L5,'Asset Allocation'!M5)),0)</f>
        <v>0</v>
      </c>
      <c r="H5" s="6"/>
    </row>
    <row r="6" spans="1:8" x14ac:dyDescent="0.25">
      <c r="A6" t="str">
        <f>IF(Input!A6="","",Input!A6)</f>
        <v>ACUMEN Portfolio 7</v>
      </c>
      <c r="B6" s="6">
        <f>IFERROR(IF(A6="","",SUM('Asset Allocation'!F6)),0)</f>
        <v>0</v>
      </c>
      <c r="C6" s="6">
        <f>IFERROR(IF(A6="","",SUM('Asset Allocation'!E6)),0)</f>
        <v>9.4E-2</v>
      </c>
      <c r="D6" s="6">
        <f>IFERROR(IF(A6="","",SUM('Asset Allocation'!I6)),0)</f>
        <v>0</v>
      </c>
      <c r="E6" s="6">
        <f>IFERROR(IF(A6="","",SUM('Asset Allocation'!G6)),0)</f>
        <v>0</v>
      </c>
      <c r="F6" s="6">
        <f>IFERROR(IF(A6="","",SUM('Asset Allocation'!J6,'Asset Allocation'!N6)),0)</f>
        <v>0</v>
      </c>
      <c r="G6" s="6">
        <f>IFERROR(IF(A6="","",SUM('Asset Allocation'!H6,'Asset Allocation'!K6,'Asset Allocation'!L6,'Asset Allocation'!M6)),0)</f>
        <v>0</v>
      </c>
      <c r="H6" s="6"/>
    </row>
    <row r="7" spans="1:8" x14ac:dyDescent="0.25">
      <c r="A7" t="str">
        <f>IF(Input!A7="","",Input!A7)</f>
        <v>ACUMEN Portfolio 8</v>
      </c>
      <c r="B7" s="6">
        <f>IFERROR(IF(A7="","",SUM('Asset Allocation'!F7)),0)</f>
        <v>0</v>
      </c>
      <c r="C7" s="6">
        <f>IFERROR(IF(A7="","",SUM('Asset Allocation'!E7)),0)</f>
        <v>0.111</v>
      </c>
      <c r="D7" s="6">
        <f>IFERROR(IF(A7="","",SUM('Asset Allocation'!I7)),0)</f>
        <v>0</v>
      </c>
      <c r="E7" s="6">
        <f>IFERROR(IF(A7="","",SUM('Asset Allocation'!G7)),0)</f>
        <v>0</v>
      </c>
      <c r="F7" s="6">
        <f>IFERROR(IF(A7="","",SUM('Asset Allocation'!J7,'Asset Allocation'!N7)),0)</f>
        <v>0</v>
      </c>
      <c r="G7" s="6">
        <f>IFERROR(IF(A7="","",SUM('Asset Allocation'!H7,'Asset Allocation'!K7,'Asset Allocation'!L7,'Asset Allocation'!M7)),0)</f>
        <v>0</v>
      </c>
      <c r="H7" s="6"/>
    </row>
    <row r="8" spans="1:8" x14ac:dyDescent="0.25">
      <c r="A8" t="str">
        <f>IF(Input!A8="","",Input!A8)</f>
        <v>ACUMEN Income Portfolio</v>
      </c>
      <c r="B8" s="6">
        <f>IFERROR(IF(A8="","",SUM('Asset Allocation'!F8)),0)</f>
        <v>0</v>
      </c>
      <c r="C8" s="6">
        <f>IFERROR(IF(A8="","",SUM('Asset Allocation'!E8)),0)</f>
        <v>1E-3</v>
      </c>
      <c r="D8" s="6">
        <f>IFERROR(IF(A8="","",SUM('Asset Allocation'!I8)),0)</f>
        <v>0</v>
      </c>
      <c r="E8" s="6">
        <f>IFERROR(IF(A8="","",SUM('Asset Allocation'!G8)),0)</f>
        <v>0</v>
      </c>
      <c r="F8" s="6">
        <f>IFERROR(IF(A8="","",SUM('Asset Allocation'!J8,'Asset Allocation'!N8)),0)</f>
        <v>0</v>
      </c>
      <c r="G8" s="6">
        <f>IFERROR(IF(A8="","",SUM('Asset Allocation'!H8,'Asset Allocation'!K8,'Asset Allocation'!L8,'Asset Allocation'!M8)),0)</f>
        <v>0</v>
      </c>
      <c r="H8" s="6"/>
    </row>
    <row r="9" spans="1:8" x14ac:dyDescent="0.25">
      <c r="A9" t="str">
        <f>IF(Input!A9="","",Input!A9)</f>
        <v/>
      </c>
      <c r="B9" s="6" t="str">
        <f>IFERROR(IF(A9="","",SUM('Asset Allocation'!F9)),0)</f>
        <v/>
      </c>
      <c r="C9" s="6" t="str">
        <f>IFERROR(IF(A9="","",SUM('Asset Allocation'!E9)),0)</f>
        <v/>
      </c>
      <c r="D9" s="6" t="str">
        <f>IFERROR(IF(A9="","",SUM('Asset Allocation'!I9)),0)</f>
        <v/>
      </c>
      <c r="E9" s="6" t="str">
        <f>IFERROR(IF(A9="","",SUM('Asset Allocation'!G9)),0)</f>
        <v/>
      </c>
      <c r="F9" s="6" t="str">
        <f>IFERROR(IF(A9="","",SUM('Asset Allocation'!J9,'Asset Allocation'!N9)),0)</f>
        <v/>
      </c>
      <c r="G9" s="6" t="str">
        <f>IFERROR(IF(A9="","",SUM('Asset Allocation'!H9,'Asset Allocation'!K9,'Asset Allocation'!L9,'Asset Allocation'!M9)),0)</f>
        <v/>
      </c>
      <c r="H9" s="6"/>
    </row>
    <row r="10" spans="1:8" x14ac:dyDescent="0.25">
      <c r="A10" t="str">
        <f>IF(Input!A10="","",Input!A10)</f>
        <v/>
      </c>
      <c r="B10" s="6" t="str">
        <f>IFERROR(IF(A10="","",SUM('Asset Allocation'!F10)),0)</f>
        <v/>
      </c>
      <c r="C10" s="6" t="str">
        <f>IFERROR(IF(A10="","",SUM('Asset Allocation'!E10)),0)</f>
        <v/>
      </c>
      <c r="D10" s="6" t="str">
        <f>IFERROR(IF(A10="","",SUM('Asset Allocation'!I10)),0)</f>
        <v/>
      </c>
      <c r="E10" s="6" t="str">
        <f>IFERROR(IF(A10="","",SUM('Asset Allocation'!G10)),0)</f>
        <v/>
      </c>
      <c r="F10" s="6" t="str">
        <f>IFERROR(IF(A10="","",SUM('Asset Allocation'!J10,'Asset Allocation'!N10)),0)</f>
        <v/>
      </c>
      <c r="G10" s="6" t="str">
        <f>IFERROR(IF(A10="","",SUM('Asset Allocation'!H10,'Asset Allocation'!K10,'Asset Allocation'!L10,'Asset Allocation'!M10)),0)</f>
        <v/>
      </c>
      <c r="H10" s="6"/>
    </row>
    <row r="11" spans="1:8" x14ac:dyDescent="0.25">
      <c r="A11" t="str">
        <f>IF(Input!A11="","",Input!A11)</f>
        <v/>
      </c>
      <c r="B11" s="6" t="str">
        <f>IFERROR(IF(A11="","",SUM('Asset Allocation'!F11)),0)</f>
        <v/>
      </c>
      <c r="C11" s="6" t="str">
        <f>IFERROR(IF(A11="","",SUM('Asset Allocation'!E11)),0)</f>
        <v/>
      </c>
      <c r="D11" s="6" t="str">
        <f>IFERROR(IF(A11="","",SUM('Asset Allocation'!I11)),0)</f>
        <v/>
      </c>
      <c r="E11" s="6" t="str">
        <f>IFERROR(IF(A11="","",SUM('Asset Allocation'!G11)),0)</f>
        <v/>
      </c>
      <c r="F11" s="6" t="str">
        <f>IFERROR(IF(A11="","",SUM('Asset Allocation'!J11,'Asset Allocation'!N11)),0)</f>
        <v/>
      </c>
      <c r="G11" s="6" t="str">
        <f>IFERROR(IF(A11="","",SUM('Asset Allocation'!H11,'Asset Allocation'!K11,'Asset Allocation'!L11,'Asset Allocation'!M11)),0)</f>
        <v/>
      </c>
      <c r="H11" s="6"/>
    </row>
    <row r="12" spans="1:8" x14ac:dyDescent="0.25">
      <c r="A12" t="str">
        <f>IF(Input!A12="","",Input!A12)</f>
        <v/>
      </c>
      <c r="B12" s="6" t="str">
        <f>IFERROR(IF(A12="","",SUM('Asset Allocation'!F12)),0)</f>
        <v/>
      </c>
      <c r="C12" s="6" t="str">
        <f>IFERROR(IF(A12="","",SUM('Asset Allocation'!E12)),0)</f>
        <v/>
      </c>
      <c r="D12" s="6" t="str">
        <f>IFERROR(IF(A12="","",SUM('Asset Allocation'!I12)),0)</f>
        <v/>
      </c>
      <c r="E12" s="6" t="str">
        <f>IFERROR(IF(A12="","",SUM('Asset Allocation'!G12)),0)</f>
        <v/>
      </c>
      <c r="F12" s="6" t="str">
        <f>IFERROR(IF(A12="","",SUM('Asset Allocation'!J12,'Asset Allocation'!N12)),0)</f>
        <v/>
      </c>
      <c r="G12" s="6" t="str">
        <f>IFERROR(IF(A12="","",SUM('Asset Allocation'!H12,'Asset Allocation'!K12,'Asset Allocation'!L12,'Asset Allocation'!M12)),0)</f>
        <v/>
      </c>
      <c r="H12" s="6"/>
    </row>
    <row r="13" spans="1:8" x14ac:dyDescent="0.25">
      <c r="A13" t="str">
        <f>IF(Input!A13="","",Input!A13)</f>
        <v/>
      </c>
      <c r="B13" s="6" t="str">
        <f>IFERROR(IF(A13="","",SUM('Asset Allocation'!F13)),0)</f>
        <v/>
      </c>
      <c r="C13" s="6" t="str">
        <f>IFERROR(IF(A13="","",SUM('Asset Allocation'!E13)),0)</f>
        <v/>
      </c>
      <c r="D13" s="6" t="str">
        <f>IFERROR(IF(A13="","",SUM('Asset Allocation'!I13)),0)</f>
        <v/>
      </c>
      <c r="E13" s="6" t="str">
        <f>IFERROR(IF(A13="","",SUM('Asset Allocation'!G13)),0)</f>
        <v/>
      </c>
      <c r="F13" s="6" t="str">
        <f>IFERROR(IF(A13="","",SUM('Asset Allocation'!J13,'Asset Allocation'!N13)),0)</f>
        <v/>
      </c>
      <c r="G13" s="6" t="str">
        <f>IFERROR(IF(A13="","",SUM('Asset Allocation'!H13,'Asset Allocation'!K13,'Asset Allocation'!L13,'Asset Allocation'!M13)),0)</f>
        <v/>
      </c>
      <c r="H13" s="6"/>
    </row>
    <row r="14" spans="1:8" x14ac:dyDescent="0.25">
      <c r="A14" t="str">
        <f>IF(Input!A14="","",Input!A14)</f>
        <v/>
      </c>
      <c r="B14" s="6" t="str">
        <f>IFERROR(IF(A14="","",SUM('Asset Allocation'!F14)),0)</f>
        <v/>
      </c>
      <c r="C14" s="6" t="str">
        <f>IFERROR(IF(A14="","",SUM('Asset Allocation'!E14)),0)</f>
        <v/>
      </c>
      <c r="D14" s="6" t="str">
        <f>IFERROR(IF(A14="","",SUM('Asset Allocation'!I14)),0)</f>
        <v/>
      </c>
      <c r="E14" s="6" t="str">
        <f>IFERROR(IF(A14="","",SUM('Asset Allocation'!G14)),0)</f>
        <v/>
      </c>
      <c r="F14" s="6" t="str">
        <f>IFERROR(IF(A14="","",SUM('Asset Allocation'!J14,'Asset Allocation'!N14)),0)</f>
        <v/>
      </c>
      <c r="G14" s="6" t="str">
        <f>IFERROR(IF(A14="","",SUM('Asset Allocation'!H14,'Asset Allocation'!K14,'Asset Allocation'!L14,'Asset Allocation'!M14)),0)</f>
        <v/>
      </c>
      <c r="H14" s="6"/>
    </row>
    <row r="15" spans="1:8" x14ac:dyDescent="0.25">
      <c r="A15" t="str">
        <f>IF(Input!A15="","",Input!A15)</f>
        <v/>
      </c>
      <c r="B15" s="6" t="str">
        <f>IFERROR(IF(A15="","",SUM('Asset Allocation'!F15)),0)</f>
        <v/>
      </c>
      <c r="C15" s="6" t="str">
        <f>IFERROR(IF(A15="","",SUM('Asset Allocation'!E15)),0)</f>
        <v/>
      </c>
      <c r="D15" s="6" t="str">
        <f>IFERROR(IF(A15="","",SUM('Asset Allocation'!I15)),0)</f>
        <v/>
      </c>
      <c r="E15" s="6" t="str">
        <f>IFERROR(IF(A15="","",SUM('Asset Allocation'!G15)),0)</f>
        <v/>
      </c>
      <c r="F15" s="6" t="str">
        <f>IFERROR(IF(A15="","",SUM('Asset Allocation'!J15,'Asset Allocation'!N15)),0)</f>
        <v/>
      </c>
      <c r="G15" s="6" t="str">
        <f>IFERROR(IF(A15="","",SUM('Asset Allocation'!H15,'Asset Allocation'!K15,'Asset Allocation'!L15,'Asset Allocation'!M15)),0)</f>
        <v/>
      </c>
      <c r="H15" s="6"/>
    </row>
    <row r="16" spans="1:8" x14ac:dyDescent="0.25">
      <c r="A16" t="str">
        <f>IF(Input!A16="","",Input!A16)</f>
        <v/>
      </c>
      <c r="B16" s="6" t="str">
        <f>IFERROR(IF(A16="","",SUM('Asset Allocation'!F16)),0)</f>
        <v/>
      </c>
      <c r="C16" s="6" t="str">
        <f>IFERROR(IF(A16="","",SUM('Asset Allocation'!E16)),0)</f>
        <v/>
      </c>
      <c r="D16" s="6" t="str">
        <f>IFERROR(IF(A16="","",SUM('Asset Allocation'!I16)),0)</f>
        <v/>
      </c>
      <c r="E16" s="6" t="str">
        <f>IFERROR(IF(A16="","",SUM('Asset Allocation'!G16)),0)</f>
        <v/>
      </c>
      <c r="F16" s="6" t="str">
        <f>IFERROR(IF(A16="","",SUM('Asset Allocation'!J16,'Asset Allocation'!N16)),0)</f>
        <v/>
      </c>
      <c r="G16" s="6" t="str">
        <f>IFERROR(IF(A16="","",SUM('Asset Allocation'!H16,'Asset Allocation'!K16,'Asset Allocation'!L16,'Asset Allocation'!M16)),0)</f>
        <v/>
      </c>
      <c r="H16" s="6"/>
    </row>
    <row r="17" spans="1:8" x14ac:dyDescent="0.25">
      <c r="A17" t="str">
        <f>IF(Input!A17="","",Input!A17)</f>
        <v/>
      </c>
      <c r="B17" s="6" t="str">
        <f>IFERROR(IF(A17="","",SUM('Asset Allocation'!F17)),0)</f>
        <v/>
      </c>
      <c r="C17" s="6" t="str">
        <f>IFERROR(IF(A17="","",SUM('Asset Allocation'!E17)),0)</f>
        <v/>
      </c>
      <c r="D17" s="6" t="str">
        <f>IFERROR(IF(A17="","",SUM('Asset Allocation'!I17)),0)</f>
        <v/>
      </c>
      <c r="E17" s="6" t="str">
        <f>IFERROR(IF(A17="","",SUM('Asset Allocation'!G17)),0)</f>
        <v/>
      </c>
      <c r="F17" s="6" t="str">
        <f>IFERROR(IF(A17="","",SUM('Asset Allocation'!J17,'Asset Allocation'!N17)),0)</f>
        <v/>
      </c>
      <c r="G17" s="6" t="str">
        <f>IFERROR(IF(A17="","",SUM('Asset Allocation'!H17,'Asset Allocation'!K17,'Asset Allocation'!L17,'Asset Allocation'!M17)),0)</f>
        <v/>
      </c>
      <c r="H17" s="6"/>
    </row>
    <row r="18" spans="1:8" x14ac:dyDescent="0.25">
      <c r="A18" t="str">
        <f>IF(Input!A18="","",Input!A18)</f>
        <v/>
      </c>
      <c r="B18" s="6" t="str">
        <f>IFERROR(IF(A18="","",SUM('Asset Allocation'!F18)),0)</f>
        <v/>
      </c>
      <c r="C18" s="6" t="str">
        <f>IFERROR(IF(A18="","",SUM('Asset Allocation'!E18)),0)</f>
        <v/>
      </c>
      <c r="D18" s="6" t="str">
        <f>IFERROR(IF(A18="","",SUM('Asset Allocation'!I18)),0)</f>
        <v/>
      </c>
      <c r="E18" s="6" t="str">
        <f>IFERROR(IF(A18="","",SUM('Asset Allocation'!G18)),0)</f>
        <v/>
      </c>
      <c r="F18" s="6" t="str">
        <f>IFERROR(IF(A18="","",SUM('Asset Allocation'!J18,'Asset Allocation'!N18)),0)</f>
        <v/>
      </c>
      <c r="G18" s="6" t="str">
        <f>IFERROR(IF(A18="","",SUM('Asset Allocation'!H18,'Asset Allocation'!K18,'Asset Allocation'!L18,'Asset Allocation'!M18)),0)</f>
        <v/>
      </c>
      <c r="H18" s="6"/>
    </row>
    <row r="19" spans="1:8" x14ac:dyDescent="0.25">
      <c r="A19" t="str">
        <f>IF(Input!A19="","",Input!A19)</f>
        <v/>
      </c>
      <c r="B19" s="6" t="str">
        <f>IFERROR(IF(A19="","",SUM('Asset Allocation'!F19)),0)</f>
        <v/>
      </c>
      <c r="C19" s="6" t="str">
        <f>IFERROR(IF(A19="","",SUM('Asset Allocation'!E19)),0)</f>
        <v/>
      </c>
      <c r="D19" s="6" t="str">
        <f>IFERROR(IF(A19="","",SUM('Asset Allocation'!I19)),0)</f>
        <v/>
      </c>
      <c r="E19" s="6" t="str">
        <f>IFERROR(IF(A19="","",SUM('Asset Allocation'!G19)),0)</f>
        <v/>
      </c>
      <c r="F19" s="6" t="str">
        <f>IFERROR(IF(A19="","",SUM('Asset Allocation'!J19,'Asset Allocation'!N19)),0)</f>
        <v/>
      </c>
      <c r="G19" s="6" t="str">
        <f>IFERROR(IF(A19="","",SUM('Asset Allocation'!H19,'Asset Allocation'!K19,'Asset Allocation'!L19,'Asset Allocation'!M19)),0)</f>
        <v/>
      </c>
      <c r="H19" s="6"/>
    </row>
    <row r="20" spans="1:8" x14ac:dyDescent="0.25">
      <c r="A20" t="str">
        <f>IF(Input!A20="","",Input!A20)</f>
        <v/>
      </c>
      <c r="B20" s="6" t="str">
        <f>IFERROR(IF(A20="","",SUM('Asset Allocation'!F20)),0)</f>
        <v/>
      </c>
      <c r="C20" s="6" t="str">
        <f>IFERROR(IF(A20="","",SUM('Asset Allocation'!E20)),0)</f>
        <v/>
      </c>
      <c r="D20" s="6" t="str">
        <f>IFERROR(IF(A20="","",SUM('Asset Allocation'!I20)),0)</f>
        <v/>
      </c>
      <c r="E20" s="6" t="str">
        <f>IFERROR(IF(A20="","",SUM('Asset Allocation'!G20)),0)</f>
        <v/>
      </c>
      <c r="F20" s="6" t="str">
        <f>IFERROR(IF(A20="","",SUM('Asset Allocation'!J20,'Asset Allocation'!N20)),0)</f>
        <v/>
      </c>
      <c r="G20" s="6" t="str">
        <f>IFERROR(IF(A20="","",SUM('Asset Allocation'!H20,'Asset Allocation'!K20,'Asset Allocation'!L20,'Asset Allocation'!M20)),0)</f>
        <v/>
      </c>
      <c r="H20" s="6"/>
    </row>
    <row r="21" spans="1:8" x14ac:dyDescent="0.25">
      <c r="A21" t="str">
        <f>IF(Input!A21="","",Input!A21)</f>
        <v/>
      </c>
      <c r="B21" s="6" t="str">
        <f>IFERROR(IF(A21="","",SUM('Asset Allocation'!F21)),0)</f>
        <v/>
      </c>
      <c r="C21" s="6" t="str">
        <f>IFERROR(IF(A21="","",SUM('Asset Allocation'!E21)),0)</f>
        <v/>
      </c>
      <c r="D21" s="6" t="str">
        <f>IFERROR(IF(A21="","",SUM('Asset Allocation'!I21)),0)</f>
        <v/>
      </c>
      <c r="E21" s="6" t="str">
        <f>IFERROR(IF(A21="","",SUM('Asset Allocation'!G21)),0)</f>
        <v/>
      </c>
      <c r="F21" s="6" t="str">
        <f>IFERROR(IF(A21="","",SUM('Asset Allocation'!J21,'Asset Allocation'!N21)),0)</f>
        <v/>
      </c>
      <c r="G21" s="6" t="str">
        <f>IFERROR(IF(A21="","",SUM('Asset Allocation'!H21,'Asset Allocation'!K21,'Asset Allocation'!L21,'Asset Allocation'!M21)),0)</f>
        <v/>
      </c>
      <c r="H21" s="6"/>
    </row>
    <row r="22" spans="1:8" x14ac:dyDescent="0.25">
      <c r="A22" t="str">
        <f>IF(Input!A22="","",Input!A22)</f>
        <v/>
      </c>
      <c r="B22" s="6" t="str">
        <f>IFERROR(IF(A22="","",SUM('Asset Allocation'!F22)),0)</f>
        <v/>
      </c>
      <c r="C22" s="6" t="str">
        <f>IFERROR(IF(A22="","",SUM('Asset Allocation'!E22)),0)</f>
        <v/>
      </c>
      <c r="D22" s="6" t="str">
        <f>IFERROR(IF(A22="","",SUM('Asset Allocation'!I22)),0)</f>
        <v/>
      </c>
      <c r="E22" s="6" t="str">
        <f>IFERROR(IF(A22="","",SUM('Asset Allocation'!G22)),0)</f>
        <v/>
      </c>
      <c r="F22" s="6" t="str">
        <f>IFERROR(IF(A22="","",SUM('Asset Allocation'!J22,'Asset Allocation'!N22)),0)</f>
        <v/>
      </c>
      <c r="G22" s="6" t="str">
        <f>IFERROR(IF(A22="","",SUM('Asset Allocation'!H22,'Asset Allocation'!K22,'Asset Allocation'!L22,'Asset Allocation'!M22)),0)</f>
        <v/>
      </c>
      <c r="H22" s="6"/>
    </row>
    <row r="23" spans="1:8" x14ac:dyDescent="0.25">
      <c r="A23" t="str">
        <f>IF(Input!A23="","",Input!A23)</f>
        <v/>
      </c>
      <c r="B23" s="6" t="str">
        <f>IFERROR(IF(A23="","",SUM('Asset Allocation'!F23)),0)</f>
        <v/>
      </c>
      <c r="C23" s="6" t="str">
        <f>IFERROR(IF(A23="","",SUM('Asset Allocation'!E23)),0)</f>
        <v/>
      </c>
      <c r="D23" s="6" t="str">
        <f>IFERROR(IF(A23="","",SUM('Asset Allocation'!I23)),0)</f>
        <v/>
      </c>
      <c r="E23" s="6" t="str">
        <f>IFERROR(IF(A23="","",SUM('Asset Allocation'!G23)),0)</f>
        <v/>
      </c>
      <c r="F23" s="6" t="str">
        <f>IFERROR(IF(A23="","",SUM('Asset Allocation'!J23,'Asset Allocation'!N23)),0)</f>
        <v/>
      </c>
      <c r="G23" s="6" t="str">
        <f>IFERROR(IF(A23="","",SUM('Asset Allocation'!H23,'Asset Allocation'!K23,'Asset Allocation'!L23,'Asset Allocation'!M23)),0)</f>
        <v/>
      </c>
      <c r="H23" s="6"/>
    </row>
    <row r="24" spans="1:8" x14ac:dyDescent="0.25">
      <c r="A24" t="str">
        <f>IF(Input!A24="","",Input!A24)</f>
        <v/>
      </c>
      <c r="B24" s="6" t="str">
        <f>IFERROR(IF(A24="","",SUM('Asset Allocation'!F24)),0)</f>
        <v/>
      </c>
      <c r="C24" s="6" t="str">
        <f>IFERROR(IF(A24="","",SUM('Asset Allocation'!E24)),0)</f>
        <v/>
      </c>
      <c r="D24" s="6" t="str">
        <f>IFERROR(IF(A24="","",SUM('Asset Allocation'!I24)),0)</f>
        <v/>
      </c>
      <c r="E24" s="6" t="str">
        <f>IFERROR(IF(A24="","",SUM('Asset Allocation'!G24)),0)</f>
        <v/>
      </c>
      <c r="F24" s="6" t="str">
        <f>IFERROR(IF(A24="","",SUM('Asset Allocation'!J24,'Asset Allocation'!N24)),0)</f>
        <v/>
      </c>
      <c r="G24" s="6" t="str">
        <f>IFERROR(IF(A24="","",SUM('Asset Allocation'!H24,'Asset Allocation'!K24,'Asset Allocation'!L24,'Asset Allocation'!M24)),0)</f>
        <v/>
      </c>
      <c r="H24" s="6"/>
    </row>
    <row r="25" spans="1:8" x14ac:dyDescent="0.25">
      <c r="A25" t="str">
        <f>IF(Input!A25="","",Input!A25)</f>
        <v/>
      </c>
      <c r="B25" s="6" t="str">
        <f>IFERROR(IF(A25="","",SUM('Asset Allocation'!F25)),0)</f>
        <v/>
      </c>
      <c r="C25" s="6" t="str">
        <f>IFERROR(IF(A25="","",SUM('Asset Allocation'!E25)),0)</f>
        <v/>
      </c>
      <c r="D25" s="6" t="str">
        <f>IFERROR(IF(A25="","",SUM('Asset Allocation'!I25)),0)</f>
        <v/>
      </c>
      <c r="E25" s="6" t="str">
        <f>IFERROR(IF(A25="","",SUM('Asset Allocation'!G25)),0)</f>
        <v/>
      </c>
      <c r="F25" s="6" t="str">
        <f>IFERROR(IF(A25="","",SUM('Asset Allocation'!J25,'Asset Allocation'!N25)),0)</f>
        <v/>
      </c>
      <c r="G25" s="6" t="str">
        <f>IFERROR(IF(A25="","",SUM('Asset Allocation'!H25,'Asset Allocation'!K25,'Asset Allocation'!L25,'Asset Allocation'!M25)),0)</f>
        <v/>
      </c>
      <c r="H25" s="6"/>
    </row>
    <row r="26" spans="1:8" x14ac:dyDescent="0.25">
      <c r="A26" t="str">
        <f>IF(Input!A26="","",Input!A26)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IF(Input!A27="","",Input!A27)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IF(Input!A28="","",Input!A28)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IF(Input!A29="","",Input!A29)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IF(Input!A30="","",Input!A30)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IF(Input!A31="","",Input!A31)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IF(Input!A32="","",Input!A32)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IF(Input!A33="","",Input!A33)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IF(Input!A34="","",Input!A34)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IF(Input!A35="","",Input!A35)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IF(Input!A36="","",Input!A36)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IF(Input!A37="","",Input!A37)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IF(Input!A38="","",Input!A38)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IF(Input!A39="","",Input!A39)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IF(Input!A40="","",Input!A40)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IF(Input!A41="","",Input!A41)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IF(Input!A42="","",Input!A42)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IF(Input!A43="","",Input!A43)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IF(Input!A44="","",Input!A44)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IF(Input!A45="","",Input!A45)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IF(Input!A46="","",Input!A46)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IF(Input!A47="","",Input!A47)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IF(Input!A48="","",Input!A48)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IF(Input!A49="","",Input!A49)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IF(Input!A50="","",Input!A50)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e">
        <f>IF(Input!#REF!="","",Input!#REF!)</f>
        <v>#REF!</v>
      </c>
      <c r="H2">
        <f>IFERROR(IF(A2="","",SUM('Asset Allocation'!B2)/'Broad Asset Allocation'!C2),0)</f>
        <v>0</v>
      </c>
    </row>
    <row r="3" spans="1:8" x14ac:dyDescent="0.25">
      <c r="A3" t="str">
        <f>IF(Input!A3="","",Input!A3)</f>
        <v>ACUMEN Portfolio 4</v>
      </c>
      <c r="H3">
        <f>IFERROR(IF(A3="","",SUM('Asset Allocation'!B3)/'Broad Asset Allocation'!C3),0)</f>
        <v>1</v>
      </c>
    </row>
    <row r="4" spans="1:8" x14ac:dyDescent="0.25">
      <c r="A4" t="str">
        <f>IF(Input!A4="","",Input!A4)</f>
        <v>ACUMEN Portfolio 5</v>
      </c>
      <c r="H4">
        <f>IFERROR(IF(A4="","",SUM('Asset Allocation'!B4)/'Broad Asset Allocation'!C4),0)</f>
        <v>1</v>
      </c>
    </row>
    <row r="5" spans="1:8" x14ac:dyDescent="0.25">
      <c r="A5" t="str">
        <f>IF(Input!A5="","",Input!A5)</f>
        <v>ACUMEN Portfolio 6</v>
      </c>
      <c r="H5">
        <f>IFERROR(IF(A5="","",SUM('Asset Allocation'!B5)/'Broad Asset Allocation'!C5),0)</f>
        <v>1</v>
      </c>
    </row>
    <row r="6" spans="1:8" x14ac:dyDescent="0.25">
      <c r="A6" t="str">
        <f>IF(Input!A6="","",Input!A6)</f>
        <v>ACUMEN Portfolio 7</v>
      </c>
      <c r="H6">
        <f>IFERROR(IF(A6="","",SUM('Asset Allocation'!B6)/'Broad Asset Allocation'!C6),0)</f>
        <v>1</v>
      </c>
    </row>
    <row r="7" spans="1:8" x14ac:dyDescent="0.25">
      <c r="A7" t="str">
        <f>IF(Input!A7="","",Input!A7)</f>
        <v>ACUMEN Portfolio 8</v>
      </c>
      <c r="H7">
        <f>IFERROR(IF(A7="","",SUM('Asset Allocation'!B7)/'Broad Asset Allocation'!C7),0)</f>
        <v>1</v>
      </c>
    </row>
    <row r="8" spans="1:8" x14ac:dyDescent="0.25">
      <c r="A8" t="str">
        <f>IF(Input!A8="","",Input!A8)</f>
        <v>ACUMEN Income Portfolio</v>
      </c>
      <c r="H8">
        <f>IFERROR(IF(A8="","",SUM('Asset Allocation'!B8)/'Broad Asset Allocation'!C8),0)</f>
        <v>1</v>
      </c>
    </row>
    <row r="9" spans="1:8" x14ac:dyDescent="0.25">
      <c r="A9" t="str">
        <f>IF(Input!A9="","",Input!A9)</f>
        <v/>
      </c>
      <c r="H9" t="str">
        <f>IFERROR(IF(A9="","",SUM('Asset Allocation'!B9)/'Broad Asset Allocation'!C9),0)</f>
        <v/>
      </c>
    </row>
    <row r="10" spans="1:8" x14ac:dyDescent="0.25">
      <c r="A10" t="str">
        <f>IF(Input!A10="","",Input!A10)</f>
        <v/>
      </c>
      <c r="H10" t="str">
        <f>IFERROR(IF(A10="","",SUM('Asset Allocation'!B10)/'Broad Asset Allocation'!C10),0)</f>
        <v/>
      </c>
    </row>
    <row r="11" spans="1:8" x14ac:dyDescent="0.25">
      <c r="A11" t="str">
        <f>IF(Input!A11="","",Input!A11)</f>
        <v/>
      </c>
      <c r="H11" t="str">
        <f>IFERROR(IF(A11="","",SUM('Asset Allocation'!B11)/'Broad Asset Allocation'!C11),0)</f>
        <v/>
      </c>
    </row>
    <row r="12" spans="1:8" x14ac:dyDescent="0.25">
      <c r="A12" t="str">
        <f>IF(Input!A12="","",Input!A12)</f>
        <v/>
      </c>
      <c r="H12" t="str">
        <f>IFERROR(IF(A12="","",SUM('Asset Allocation'!B12)/'Broad Asset Allocation'!C12),0)</f>
        <v/>
      </c>
    </row>
    <row r="13" spans="1:8" x14ac:dyDescent="0.25">
      <c r="A13" t="str">
        <f>IF(Input!A13="","",Input!A13)</f>
        <v/>
      </c>
      <c r="H13" t="str">
        <f>IFERROR(IF(A13="","",SUM('Asset Allocation'!B13)/'Broad Asset Allocation'!C13),0)</f>
        <v/>
      </c>
    </row>
    <row r="14" spans="1:8" x14ac:dyDescent="0.25">
      <c r="A14" t="str">
        <f>IF(Input!A14="","",Input!A14)</f>
        <v/>
      </c>
      <c r="H14" t="str">
        <f>IFERROR(IF(A14="","",SUM('Asset Allocation'!B14)/'Broad Asset Allocation'!C14),0)</f>
        <v/>
      </c>
    </row>
    <row r="15" spans="1:8" x14ac:dyDescent="0.25">
      <c r="A15" t="str">
        <f>IF(Input!A15="","",Input!A15)</f>
        <v/>
      </c>
      <c r="H15" t="str">
        <f>IFERROR(IF(A15="","",SUM('Asset Allocation'!B15)/'Broad Asset Allocation'!C15),0)</f>
        <v/>
      </c>
    </row>
    <row r="16" spans="1:8" x14ac:dyDescent="0.25">
      <c r="A16" t="str">
        <f>IF(Input!A16="","",Input!A16)</f>
        <v/>
      </c>
      <c r="H16" t="str">
        <f>IFERROR(IF(A16="","",SUM('Asset Allocation'!B16)/'Broad Asset Allocation'!C16),0)</f>
        <v/>
      </c>
    </row>
    <row r="17" spans="1:8" x14ac:dyDescent="0.25">
      <c r="A17" t="str">
        <f>IF(Input!A17="","",Input!A17)</f>
        <v/>
      </c>
      <c r="H17" t="str">
        <f>IFERROR(IF(A17="","",SUM('Asset Allocation'!B17)/'Broad Asset Allocation'!C17),0)</f>
        <v/>
      </c>
    </row>
    <row r="18" spans="1:8" x14ac:dyDescent="0.25">
      <c r="A18" t="str">
        <f>IF(Input!A18="","",Input!A18)</f>
        <v/>
      </c>
      <c r="H18" t="str">
        <f>IFERROR(IF(A18="","",SUM('Asset Allocation'!B18)/'Broad Asset Allocation'!C18),0)</f>
        <v/>
      </c>
    </row>
    <row r="19" spans="1:8" x14ac:dyDescent="0.25">
      <c r="A19" t="str">
        <f>IF(Input!A19="","",Input!A19)</f>
        <v/>
      </c>
      <c r="H19" t="str">
        <f>IFERROR(IF(A19="","",SUM('Asset Allocation'!B19)/'Broad Asset Allocation'!C19),0)</f>
        <v/>
      </c>
    </row>
    <row r="20" spans="1:8" x14ac:dyDescent="0.25">
      <c r="A20" t="str">
        <f>IF(Input!A20="","",Input!A20)</f>
        <v/>
      </c>
      <c r="H20" t="str">
        <f>IFERROR(IF(A20="","",SUM('Asset Allocation'!B20)/'Broad Asset Allocation'!C20),0)</f>
        <v/>
      </c>
    </row>
    <row r="21" spans="1:8" x14ac:dyDescent="0.25">
      <c r="A21" t="str">
        <f>IF(Input!A21="","",Input!A21)</f>
        <v/>
      </c>
      <c r="H21" t="str">
        <f>IFERROR(IF(A21="","",SUM('Asset Allocation'!B21)/'Broad Asset Allocation'!C21),0)</f>
        <v/>
      </c>
    </row>
    <row r="22" spans="1:8" x14ac:dyDescent="0.25">
      <c r="A22" t="str">
        <f>IF(Input!A22="","",Input!A22)</f>
        <v/>
      </c>
      <c r="H22" t="str">
        <f>IFERROR(IF(A22="","",SUM('Asset Allocation'!B22)/'Broad Asset Allocation'!C22),0)</f>
        <v/>
      </c>
    </row>
    <row r="23" spans="1:8" x14ac:dyDescent="0.25">
      <c r="A23" t="str">
        <f>IF(Input!A23="","",Input!A23)</f>
        <v/>
      </c>
      <c r="H23" t="str">
        <f>IFERROR(IF(A23="","",SUM('Asset Allocation'!B23)/'Broad Asset Allocation'!C23),0)</f>
        <v/>
      </c>
    </row>
    <row r="24" spans="1:8" x14ac:dyDescent="0.25">
      <c r="A24" t="str">
        <f>IF(Input!A24="","",Input!A24)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IF(Input!A25="","",Input!A25)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IF(Input!A26="","",Input!A26)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IF(Input!A27="","",Input!A27)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IF(Input!A28="","",Input!A28)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IF(Input!A29="","",Input!A29)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IF(Input!A30="","",Input!A30)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IF(Input!A31="","",Input!A31)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IF(Input!A32="","",Input!A32)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IF(Input!A33="","",Input!A33)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IF(Input!A34="","",Input!A34)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IF(Input!A35="","",Input!A35)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IF(Input!A36="","",Input!A36)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IF(Input!A37="","",Input!A37)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IF(Input!A38="","",Input!A38)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IF(Input!A39="","",Input!A39)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IF(Input!A40="","",Input!A40)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IF(Input!A41="","",Input!A41)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IF(Input!A42="","",Input!A42)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IF(Input!A43="","",Input!A43)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IF(Input!A44="","",Input!A44)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IF(Input!A45="","",Input!A45)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IF(Input!A46="","",Input!A46)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IF(Input!A47="","",Input!A47)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IF(Input!A48="","",Input!A48)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IF(Input!A49="","",Input!A49)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IF(Input!A50="","",Input!A50)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e" cm="1">
        <f t="array" ref="B1:AX1">TRANSPOSE('Bond Allocation'!A2:A50)</f>
        <v>#REF!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2023-10-31T18:16:03Z</dcterms:modified>
</cp:coreProperties>
</file>