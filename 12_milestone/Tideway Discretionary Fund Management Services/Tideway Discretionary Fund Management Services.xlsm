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Tideway Discretionary Fund Management Services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<sst xmlns="http://schemas.openxmlformats.org/spreadsheetml/2006/main" count="80" uniqueCount="59">
  <si>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</si>
  <si>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</si>
  <si>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</si>
  <si>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</si>
  <si>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</si>
  <si>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</si>
  <si>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</si>
  <si>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</si>
  <si>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</si>
  <si>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</si>
  <si>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</si>
  <si>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</si>
  <si>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</si>
  <si>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</si>
  <si>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</si>
  <si>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</si>
  <si>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</si>
  <si>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</si>
  <si>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</si>
  <si>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</si>
  <si>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</si>
  <si>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</si>
  <si>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</si>
  <si>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</si>
  <si>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</si>
  <si>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</si>
  <si>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</si>
  <si>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</si>
  <si>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</si>
  <si>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</si>
  <si>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</si>
  <si>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</si>
  <si>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</si>
  <si>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</si>
  <si>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</si>
  <si>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</si>
  <si>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</si>
  <si>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</si>
  <si>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</si>
  <si>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</si>
  <si>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</si>
  <si>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</si>
  <si>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</si>
  <si>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</si>
  <si>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</si>
  <si>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</si>
  <si>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</si>
  <si>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</si>
  <si>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</si>
  <si>
    <t>https://tidewaywealth.co.uk/wp-content/uploads/2023/07/Low-Risk-Bond-B1-Public-30th-June-2023.pdf</t>
  </si>
  <si>
    <t>https://tidewaywealth.co.uk/wp-content/uploads/2023/07/Balanced-Fixed-Income-B2-Public-30th-June-2023.pdf</t>
  </si>
  <si>
    <t>https://tidewaywealth.co.uk/wp-content/uploads/2023/07/Higher-Yield-Fixed-Income-B3-public-30th-June-2023.pdf</t>
  </si>
  <si>
    <t>https://tidewaywealth.co.uk/wp-content/uploads/2023/07/Multi-asset-Cautious-DD1-Public-30th-June-2023.pdf</t>
  </si>
  <si>
    <t>https://tidewaywealth.co.uk/wp-content/uploads/2023/07/Multiasset-Moderate-DD2-30th-June-2023-Public.pdf</t>
  </si>
  <si>
    <t>https://tidewaywealth.co.uk/wp-content/uploads/2023/07/Multiasset-Balanced-DD3-30th-June-2023-Public.pdf</t>
  </si>
  <si>
    <t>https://tidewaywealth.co.uk/wp-content/uploads/2023/07/Mulitiasset-Growth-DD4-30th-June-2023-Public.pdf</t>
  </si>
  <si>
    <t>https://tidewaywealth.co.uk/wp-content/uploads/2023/07/Equity-Income-E1-30th-June-2023-Public.pdf</t>
  </si>
  <si>
    <t>https://tidewaywealth.co.uk/wp-content/uploads/2023/07/Equity-Growth-E2-30th-June-2023-public.pdf</t>
  </si>
  <si>
    <t>https://tidewaywealth.co.uk/wp-content/uploads/2023/07/Equity-Blend-E3-30th-June-2023-Public.pdf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</si>
</sst>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https://tidewaywealth.co.uk/wp-content/uploads/2023/07/Low-Risk-Bond-B1-Public-30th-June-2023.pdf</v>
      </c>
      <c r="J3" s="4"/>
    </row>
    <row r="4" spans="1:10" x14ac:dyDescent="0.25">
      <c r="A4" t="s">
        <v>33</v>
      </c>
      <c r="B4" t="str">
        <f>'PDF Scraping'!D3</f>
        <v>https://tidewaywealth.co.uk/wp-content/uploads/2023/07/Balanced-Fixed-Income-B2-Public-30th-June-2023.pdf</v>
      </c>
      <c r="J4" s="4"/>
    </row>
    <row r="5" spans="1:10" x14ac:dyDescent="0.25">
      <c r="A5" t="s">
        <v>34</v>
      </c>
      <c r="B5" t="str">
        <f>'PDF Scraping'!D4</f>
        <v>https://tidewaywealth.co.uk/wp-content/uploads/2023/07/Higher-Yield-Fixed-Income-B3-public-30th-June-2023.pdf</v>
      </c>
    </row>
    <row r="6" spans="1:10" x14ac:dyDescent="0.25">
      <c r="A6" t="s">
        <v>35</v>
      </c>
      <c r="B6" t="str">
        <f>'PDF Scraping'!D5</f>
        <v>https://tidewaywealth.co.uk/wp-content/uploads/2023/07/Multi-asset-Cautious-DD1-Public-30th-June-2023.pdf</v>
      </c>
    </row>
    <row r="7" spans="1:10" x14ac:dyDescent="0.25">
      <c r="A7" t="s">
        <v>36</v>
      </c>
      <c r="B7" t="str">
        <f>'PDF Scraping'!D6</f>
        <v>https://tidewaywealth.co.uk/wp-content/uploads/2023/07/Multiasset-Moderate-DD2-30th-June-2023-Public.pdf</v>
      </c>
    </row>
    <row r="8" spans="1:10" x14ac:dyDescent="0.25">
      <c r="A8" t="s">
        <v>37</v>
      </c>
      <c r="B8" t="str">
        <f>'PDF Scraping'!D7</f>
        <v>https://tidewaywealth.co.uk/wp-content/uploads/2023/07/Multiasset-Balanced-DD3-30th-June-2023-Public.pdf</v>
      </c>
    </row>
    <row r="9" spans="1:10" x14ac:dyDescent="0.25">
      <c r="A9" t="s">
        <v>38</v>
      </c>
      <c r="B9" t="str">
        <f>'PDF Scraping'!D8</f>
        <v>https://tidewaywealth.co.uk/wp-content/uploads/2023/07/Mulitiasset-Growth-DD4-30th-June-2023-Public.pdf</v>
      </c>
    </row>
    <row r="10" spans="1:10" x14ac:dyDescent="0.25">
      <c r="A10" t="s">
        <v>39</v>
      </c>
      <c r="B10" t="str">
        <f>'PDF Scraping'!D9</f>
        <v>https://tidewaywealth.co.uk/wp-content/uploads/2023/07/Equity-Income-E1-30th-June-2023-Public.pdf</v>
      </c>
    </row>
    <row r="11" spans="1:10" x14ac:dyDescent="0.25">
      <c r="A11" t="s">
        <v>40</v>
      </c>
      <c r="B11" t="str">
        <f>'PDF Scraping'!D10</f>
        <v>https://tidewaywealth.co.uk/wp-content/uploads/2023/07/Equity-Growth-E2-30th-June-2023-public.pdf</v>
      </c>
    </row>
    <row r="12" spans="1:10" x14ac:dyDescent="0.25">
      <c r="A12" t="s">
        <v>41</v>
      </c>
      <c r="B12" t="str">
        <f>'PDF Scraping'!D11</f>
        <v>https://tidewaywealth.co.uk/wp-content/uploads/2023/07/Equity-Blend-E3-30th-June-2023-Public.pdf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D1" sqref="D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/>
      <c r="C2" s="5"/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/>
      <c r="C3" s="5"/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/>
      <c r="C4" s="5"/>
      <c r="D4" s="5"/>
      <c r="E4" s="5"/>
      <c r="F4" s="5"/>
    </row>
    <row r="5" spans="1:6" x14ac:dyDescent="0.25">
      <c r="A5" t="str">
        <f>IF(Input!A6="","",Input!A6)</f>
        <v>Multi-asset Cautious (DD1)</v>
      </c>
      <c r="B5" s="1"/>
      <c r="C5" s="5"/>
      <c r="D5" s="5"/>
      <c r="E5" s="5"/>
      <c r="F5" s="5"/>
    </row>
    <row r="6" spans="1:6" x14ac:dyDescent="0.25">
      <c r="A6" t="str">
        <f>IF(Input!A7="","",Input!A7)</f>
        <v>Multi-asset Moderate (DD2)</v>
      </c>
      <c r="B6" s="1"/>
      <c r="C6" s="5"/>
      <c r="D6" s="5"/>
      <c r="E6" s="5"/>
      <c r="F6" s="5"/>
    </row>
    <row r="7" spans="1:6" x14ac:dyDescent="0.25">
      <c r="A7" t="str">
        <f>IF(Input!A8="","",Input!A8)</f>
        <v>Multi-asset Balanced (DD3)</v>
      </c>
      <c r="B7" s="1"/>
      <c r="C7" s="5"/>
      <c r="D7" s="5"/>
      <c r="E7" s="5"/>
      <c r="F7" s="5"/>
    </row>
    <row r="8" spans="1:6" x14ac:dyDescent="0.25">
      <c r="A8" t="str">
        <f>IF(Input!A9="","",Input!A9)</f>
        <v>Multi-asset Growth (DD4)</v>
      </c>
      <c r="B8" s="1"/>
      <c r="C8" s="5"/>
      <c r="D8" s="5"/>
      <c r="E8" s="5"/>
      <c r="F8" s="5"/>
    </row>
    <row r="9" spans="1:6" x14ac:dyDescent="0.25">
      <c r="A9" t="str">
        <f>IF(Input!A10="","",Input!A10)</f>
        <v>Equity Income (E1)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Equity Growth (E2)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Equity Blend (E3)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/>
  </sheetViews>
  <sheetFormatPr defaultRowHeight="15" x14ac:dyDescent="0.25"/>
  <cols>
    <col min="1" max="1" width="27.5703125" bestFit="1" customWidth="1"/>
    <col min="2" max="2" width="31.42578125" bestFit="1" customWidth="1"/>
    <col min="3" max="3" width="20.5703125" bestFit="1" customWidth="1"/>
    <col min="4" max="4" width="10.7109375" bestFit="1" customWidth="1"/>
    <col min="5" max="5" width="12.5703125" bestFit="1" customWidth="1"/>
    <col min="6" max="6" width="12.7109375" bestFit="1" customWidth="1"/>
    <col min="7" max="7" width="6.8554687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</row>
    <row r="2" spans="1:30" x14ac:dyDescent="0.25">
      <c r="A2" t="str">
        <f>IF(Input!A3="","",Input!A3)</f>
        <v>Lower Risk Fixed Income (B1)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13" sqref="D4:D13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  <c r="D2" s="8" t="s">
        <v>49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  <c r="D3" s="8" t="s">
        <v>50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  <c r="D4" s="8" t="s">
        <v>51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  <c r="D5" s="8" t="s">
        <v>52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  <c r="D6" s="8" t="s">
        <v>53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  <c r="D7" s="8" t="s">
        <v>54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  <c r="D8" s="8" t="s">
        <v>55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  <c r="D9" s="8" t="s">
        <v>56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  <c r="D10" s="8" t="s">
        <v>57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  <c r="D11" s="8" t="s">
        <v>58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0</v>
      </c>
      <c r="C2">
        <f>IF(A2="","",SUM('Asset Allocation'!B2))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</v>
      </c>
      <c r="C3">
        <f>IF(A3="","",SUM('Asset Allocation'!B3))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</v>
      </c>
      <c r="C4">
        <f>IF(A4="","",SUM('Asset Allocation'!B4))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</v>
      </c>
      <c r="C5">
        <f>IF(A5="","",SUM('Asset Allocation'!B5))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</v>
      </c>
      <c r="C6">
        <f>IF(A6="","",SUM('Asset Allocation'!B6))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</v>
      </c>
      <c r="C7">
        <f>IF(A7="","",SUM('Asset Allocation'!B7))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0</v>
      </c>
      <c r="C8">
        <f>IF(A8="","",SUM('Asset Allocation'!B8))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0</v>
      </c>
      <c r="C5" s="6">
        <f>IFERROR(IF(A5="","",SUM('Asset Allocation'!E5)),0)</f>
        <v>0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</v>
      </c>
      <c r="C6" s="6">
        <f>IFERROR(IF(A6="","",SUM('Asset Allocation'!E6)),0)</f>
        <v>0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</v>
      </c>
      <c r="C7" s="6">
        <f>IFERROR(IF(A7="","",SUM('Asset Allocation'!E7)),0)</f>
        <v>0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</v>
      </c>
      <c r="C8" s="6">
        <f>IFERROR(IF(A8="","",SUM('Asset Allocation'!E8)),0)</f>
        <v>0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0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0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0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0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</v>
      </c>
      <c r="C11" s="6">
        <f>IFERROR(IF(A11="","",SUM('Asset Allocation'!E11)),0)</f>
        <v>0</v>
      </c>
      <c r="D11" s="6">
        <f>IFERROR(IF(A11="","",SUM('Asset Allocation'!I11)),0)</f>
        <v>0</v>
      </c>
      <c r="E11" s="6">
        <f>IFERROR(IF(A11="","",SUM('Asset Allocation'!G11)),0)</f>
        <v>0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0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0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0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0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0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0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2023-08-26T17:13:21Z</dcterms:modified>
</cp:coreProperties>
</file>