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deway Discretionary Fund Management Services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2" i="3"/>
  <c r="B10" i="1" l="1"/>
  <c r="B11" i="1"/>
  <c r="B12" i="1"/>
  <c r="B4" i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<sst xmlns="http://schemas.openxmlformats.org/spreadsheetml/2006/main" count="80" uniqueCount="59">
  <si>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</si>
  <si>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</si>
  <si>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</si>
  <si>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</si>
  <si>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</si>
  <si>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</si>
  <si>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</si>
  <si>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</si>
  <si>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</si>
  <si>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</si>
  <si>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</si>
  <si>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</si>
  <si>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</si>
  <si>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</si>
  <si>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</si>
  <si>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</si>
  <si>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</si>
  <si>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</si>
  <si>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</si>
  <si>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</si>
  <si>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</si>
  <si>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</si>
  <si>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</si>
  <si>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</si>
  <si>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</si>
  <si>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</si>
  <si>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</si>
  <si>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</si>
  <si>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</si>
  <si>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</si>
  <si>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</si>
  <si>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</si>
  <si>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Lower Risk Fixed Income (B1)</t>
  </si>
  <si>
    <t>The Balanced Fixed Income (B2)</t>
  </si>
  <si>
    <t>Higher Yield Fixed Income (B3)</t>
  </si>
  <si>
    <t>Multi-asset Cautious (DD1)</t>
  </si>
  <si>
    <t>Multi-asset Moderate (DD2)</t>
  </si>
  <si>
    <t>Multi-asset Balanced (DD3)</t>
  </si>
  <si>
    <t>Multi-asset Growth (DD4)</t>
  </si>
  <si>
    <t>Equity Income (E1)</t>
  </si>
  <si>
    <t>Equity Growth (E2)</t>
  </si>
  <si>
    <t>Equity Blend (E3)</t>
  </si>
  <si>
    <t>https://tidewaywealth.co.uk/tailored-investment-portfolios/</t>
  </si>
  <si>
    <t>Forecast average ongoing fund costs:</t>
  </si>
  <si>
    <t>Short-Dated Fixed Income (&lt;5 years)</t>
  </si>
  <si>
    <t>Fixed Income (&gt;5 years)</t>
  </si>
  <si>
    <t>Alternatives</t>
  </si>
  <si>
    <t>Equity Income</t>
  </si>
  <si>
    <t>Equity Growth</t>
  </si>
  <si>
    <t>https://tidewaywealth.co.uk/wp-content/uploads/2023/07/Low-Risk-Bond-B1-Public-30th-June-2023.pdf</t>
  </si>
  <si>
    <t>https://tidewaywealth.co.uk/wp-content/uploads/2023/07/Balanced-Fixed-Income-B2-Public-30th-June-2023.pdf</t>
  </si>
  <si>
    <t>https://tidewaywealth.co.uk/wp-content/uploads/2023/07/Higher-Yield-Fixed-Income-B3-public-30th-June-2023.pdf</t>
  </si>
  <si>
    <t>https://tidewaywealth.co.uk/wp-content/uploads/2023/07/Multi-asset-Cautious-DD1-Public-30th-June-2023.pdf</t>
  </si>
  <si>
    <t>https://tidewaywealth.co.uk/wp-content/uploads/2023/07/Multiasset-Moderate-DD2-30th-June-2023-Public.pdf</t>
  </si>
  <si>
    <t>https://tidewaywealth.co.uk/wp-content/uploads/2023/07/Multiasset-Balanced-DD3-30th-June-2023-Public.pdf</t>
  </si>
  <si>
    <t>https://tidewaywealth.co.uk/wp-content/uploads/2023/07/Mulitiasset-Growth-DD4-30th-June-2023-Public.pdf</t>
  </si>
  <si>
    <t>https://tidewaywealth.co.uk/wp-content/uploads/2023/07/Equity-Income-E1-30th-June-2023-Public.pdf</t>
  </si>
  <si>
    <t>https://tidewaywealth.co.uk/wp-content/uploads/2023/07/Equity-Growth-E2-30th-June-2023-public.pdf</t>
  </si>
  <si>
    <t>https://tidewaywealth.co.uk/wp-content/uploads/2023/07/Equity-Blend-E3-30th-June-2023-Public.pdf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</si>
</sst>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6</xdr:col>
      <xdr:colOff>305232</xdr:colOff>
      <xdr:row>7</xdr:row>
      <xdr:rowOff>171569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7C9FED-C75A-D0BA-5467-FA0A95927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962832" cy="13018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31750</xdr:rowOff>
    </xdr:from>
    <xdr:to>
      <xdr:col>4</xdr:col>
      <xdr:colOff>224203</xdr:colOff>
      <xdr:row>21</xdr:row>
      <xdr:rowOff>19232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66BF29-828F-CC27-1B7D-BDFE05E24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04950"/>
          <a:ext cx="2662603" cy="23814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311354</xdr:colOff>
      <xdr:row>18</xdr:row>
      <xdr:rowOff>95416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CAC072-1187-D3E4-1D10-F7BCC4D0F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968954" cy="32259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2" sqref="H2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2"/>
  <sheetViews>
    <sheetView workbookViewId="0">
      <selection activeCell="A3" sqref="A3:A12"/>
    </sheetView>
  </sheetViews>
  <sheetFormatPr defaultRowHeight="15" x14ac:dyDescent="0.25"/>
  <cols>
    <col min="1" max="1" width="29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https://tidewaywealth.co.uk/wp-content/uploads/2023/07/Low-Risk-Bond-B1-Public-30th-June-2023.pdf</v>
      </c>
      <c r="J3" s="4"/>
    </row>
    <row r="4" spans="1:10" x14ac:dyDescent="0.25">
      <c r="A4" t="s">
        <v>33</v>
      </c>
      <c r="B4" t="str">
        <f>'PDF Scraping'!D3</f>
        <v>https://tidewaywealth.co.uk/wp-content/uploads/2023/07/Balanced-Fixed-Income-B2-Public-30th-June-2023.pdf</v>
      </c>
      <c r="J4" s="4"/>
    </row>
    <row r="5" spans="1:10" x14ac:dyDescent="0.25">
      <c r="A5" t="s">
        <v>34</v>
      </c>
      <c r="B5" t="str">
        <f>'PDF Scraping'!D4</f>
        <v>https://tidewaywealth.co.uk/wp-content/uploads/2023/07/Higher-Yield-Fixed-Income-B3-public-30th-June-2023.pdf</v>
      </c>
    </row>
    <row r="6" spans="1:10" x14ac:dyDescent="0.25">
      <c r="A6" t="s">
        <v>35</v>
      </c>
      <c r="B6" t="str">
        <f>'PDF Scraping'!D5</f>
        <v>https://tidewaywealth.co.uk/wp-content/uploads/2023/07/Multi-asset-Cautious-DD1-Public-30th-June-2023.pdf</v>
      </c>
    </row>
    <row r="7" spans="1:10" x14ac:dyDescent="0.25">
      <c r="A7" t="s">
        <v>36</v>
      </c>
      <c r="B7" t="str">
        <f>'PDF Scraping'!D6</f>
        <v>https://tidewaywealth.co.uk/wp-content/uploads/2023/07/Multiasset-Moderate-DD2-30th-June-2023-Public.pdf</v>
      </c>
    </row>
    <row r="8" spans="1:10" x14ac:dyDescent="0.25">
      <c r="A8" t="s">
        <v>37</v>
      </c>
      <c r="B8" t="str">
        <f>'PDF Scraping'!D7</f>
        <v>https://tidewaywealth.co.uk/wp-content/uploads/2023/07/Multiasset-Balanced-DD3-30th-June-2023-Public.pdf</v>
      </c>
    </row>
    <row r="9" spans="1:10" x14ac:dyDescent="0.25">
      <c r="A9" t="s">
        <v>38</v>
      </c>
      <c r="B9" t="str">
        <f>'PDF Scraping'!D8</f>
        <v>https://tidewaywealth.co.uk/wp-content/uploads/2023/07/Mulitiasset-Growth-DD4-30th-June-2023-Public.pdf</v>
      </c>
    </row>
    <row r="10" spans="1:10" x14ac:dyDescent="0.25">
      <c r="A10" t="s">
        <v>39</v>
      </c>
      <c r="B10" t="str">
        <f>'PDF Scraping'!D9</f>
        <v>https://tidewaywealth.co.uk/wp-content/uploads/2023/07/Equity-Income-E1-30th-June-2023-Public.pdf</v>
      </c>
    </row>
    <row r="11" spans="1:10" x14ac:dyDescent="0.25">
      <c r="A11" t="s">
        <v>40</v>
      </c>
      <c r="B11" t="str">
        <f>'PDF Scraping'!D10</f>
        <v>https://tidewaywealth.co.uk/wp-content/uploads/2023/07/Equity-Growth-E2-30th-June-2023-public.pdf</v>
      </c>
    </row>
    <row r="12" spans="1:10" x14ac:dyDescent="0.25">
      <c r="A12" t="s">
        <v>41</v>
      </c>
      <c r="B12" t="str">
        <f>'PDF Scraping'!D11</f>
        <v>https://tidewaywealth.co.uk/wp-content/uploads/2023/07/Equity-Blend-E3-30th-June-2023-Public.pdf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E14" sqref="E14"/>
    </sheetView>
  </sheetViews>
  <sheetFormatPr defaultRowHeight="15" x14ac:dyDescent="0.25"/>
  <cols>
    <col min="1" max="1" width="29.710937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43</v>
      </c>
    </row>
    <row r="2" spans="1:6" x14ac:dyDescent="0.25">
      <c r="A2" t="str">
        <f>IF(Input!A3="","",Input!A3)</f>
        <v>Lower Risk Fixed Income (B1)</v>
      </c>
      <c r="B2" s="1">
        <v>45107</v>
      </c>
      <c r="C2" s="5">
        <v>4.5999999999999999E-3</v>
      </c>
      <c r="D2" s="5"/>
      <c r="E2" s="5"/>
      <c r="F2" s="5"/>
    </row>
    <row r="3" spans="1:6" x14ac:dyDescent="0.25">
      <c r="A3" t="str">
        <f>IF(Input!A4="","",Input!A4)</f>
        <v>The Balanced Fixed Income (B2)</v>
      </c>
      <c r="B3" s="1">
        <v>45107</v>
      </c>
      <c r="C3" s="5">
        <v>5.6999999999999993E-3</v>
      </c>
      <c r="D3" s="5"/>
      <c r="E3" s="5"/>
      <c r="F3" s="5"/>
    </row>
    <row r="4" spans="1:6" x14ac:dyDescent="0.25">
      <c r="A4" t="str">
        <f>IF(Input!A5="","",Input!A5)</f>
        <v>Higher Yield Fixed Income (B3)</v>
      </c>
      <c r="B4" s="1">
        <v>45107</v>
      </c>
      <c r="C4" s="5">
        <v>6.7000000000000002E-3</v>
      </c>
      <c r="D4" s="5"/>
      <c r="E4" s="5"/>
      <c r="F4" s="5"/>
    </row>
    <row r="5" spans="1:6" x14ac:dyDescent="0.25">
      <c r="A5" t="str">
        <f>IF(Input!A6="","",Input!A6)</f>
        <v>Multi-asset Cautious (DD1)</v>
      </c>
      <c r="B5" s="1">
        <v>45107</v>
      </c>
      <c r="C5" s="5">
        <v>6.9999999999999993E-3</v>
      </c>
      <c r="D5" s="5"/>
      <c r="E5" s="5"/>
      <c r="F5" s="5"/>
    </row>
    <row r="6" spans="1:6" x14ac:dyDescent="0.25">
      <c r="A6" t="str">
        <f>IF(Input!A7="","",Input!A7)</f>
        <v>Multi-asset Moderate (DD2)</v>
      </c>
      <c r="B6" s="1">
        <v>45107</v>
      </c>
      <c r="C6" s="5">
        <v>7.4999999999999997E-3</v>
      </c>
      <c r="D6" s="5"/>
      <c r="E6" s="5"/>
      <c r="F6" s="5"/>
    </row>
    <row r="7" spans="1:6" x14ac:dyDescent="0.25">
      <c r="A7" t="str">
        <f>IF(Input!A8="","",Input!A8)</f>
        <v>Multi-asset Balanced (DD3)</v>
      </c>
      <c r="B7" s="1">
        <v>45107</v>
      </c>
      <c r="C7" s="5">
        <v>7.7000000000000002E-3</v>
      </c>
      <c r="D7" s="5"/>
      <c r="E7" s="5"/>
      <c r="F7" s="5"/>
    </row>
    <row r="8" spans="1:6" x14ac:dyDescent="0.25">
      <c r="A8" t="str">
        <f>IF(Input!A9="","",Input!A9)</f>
        <v>Multi-asset Growth (DD4)</v>
      </c>
      <c r="B8" s="1">
        <v>45107</v>
      </c>
      <c r="C8" s="5">
        <v>7.8000000000000005E-3</v>
      </c>
      <c r="D8" s="5"/>
      <c r="E8" s="5"/>
      <c r="F8" s="5"/>
    </row>
    <row r="9" spans="1:6" x14ac:dyDescent="0.25">
      <c r="A9" t="str">
        <f>IF(Input!A10="","",Input!A10)</f>
        <v>Equity Income (E1)</v>
      </c>
      <c r="B9" s="1">
        <v>45107</v>
      </c>
      <c r="C9" s="5">
        <v>9.1999999999999998E-3</v>
      </c>
      <c r="D9" s="5"/>
      <c r="E9" s="5"/>
      <c r="F9" s="5"/>
    </row>
    <row r="10" spans="1:6" x14ac:dyDescent="0.25">
      <c r="A10" t="str">
        <f>IF(Input!A11="","",Input!A11)</f>
        <v>Equity Growth (E2)</v>
      </c>
      <c r="B10" s="1">
        <v>45107</v>
      </c>
      <c r="C10" s="5">
        <v>7.4000000000000003E-3</v>
      </c>
      <c r="D10" s="5"/>
      <c r="E10" s="5"/>
      <c r="F10" s="5"/>
    </row>
    <row r="11" spans="1:6" x14ac:dyDescent="0.25">
      <c r="A11" t="str">
        <f>IF(Input!A12="","",Input!A12)</f>
        <v>Equity Blend (E3)</v>
      </c>
      <c r="B11" s="1">
        <v>45107</v>
      </c>
      <c r="C11" s="5">
        <v>8.0000000000000002E-3</v>
      </c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B2" sqref="B2"/>
    </sheetView>
  </sheetViews>
  <sheetFormatPr defaultRowHeight="15" x14ac:dyDescent="0.25"/>
  <cols>
    <col min="1" max="1" width="29.7109375" bestFit="1" customWidth="1"/>
    <col min="2" max="2" width="31.42578125" bestFit="1" customWidth="1"/>
    <col min="3" max="3" width="22.28515625" bestFit="1" customWidth="1"/>
    <col min="4" max="4" width="11.85546875" bestFit="1" customWidth="1"/>
    <col min="5" max="5" width="13.7109375" bestFit="1" customWidth="1"/>
    <col min="6" max="6" width="12.7109375" bestFit="1" customWidth="1"/>
    <col min="7" max="7" width="8.14062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</row>
    <row r="2" spans="1:30" x14ac:dyDescent="0.25">
      <c r="A2" t="str">
        <f>IF(Input!A3="","",Input!A3)</f>
        <v>Lower Risk Fixed Income (B1)</v>
      </c>
      <c r="B2" s="5">
        <v>1</v>
      </c>
      <c r="C2" s="5"/>
      <c r="D2" s="5"/>
      <c r="E2" s="5"/>
      <c r="F2" s="5"/>
      <c r="G2" s="5">
        <f>SUM(B2:F2)</f>
        <v>1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The Balanced Fixed Income (B2)</v>
      </c>
      <c r="B3" s="5">
        <v>0.52500000000000002</v>
      </c>
      <c r="C3" s="5">
        <v>0.47499999999999998</v>
      </c>
      <c r="D3" s="5"/>
      <c r="E3" s="5"/>
      <c r="F3" s="5"/>
      <c r="G3" s="5">
        <f t="shared" ref="G3:G11" si="0">SUM(B3:F3)</f>
        <v>1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Higher Yield Fixed Income (B3)</v>
      </c>
      <c r="B4" s="5">
        <v>0.25</v>
      </c>
      <c r="C4" s="5">
        <v>0.75</v>
      </c>
      <c r="D4" s="5"/>
      <c r="E4" s="5"/>
      <c r="F4" s="5"/>
      <c r="G4" s="5">
        <f t="shared" si="0"/>
        <v>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Multi-asset Cautious (DD1)</v>
      </c>
      <c r="B5" s="5">
        <v>0.4975</v>
      </c>
      <c r="C5" s="5">
        <v>0.17499999999999999</v>
      </c>
      <c r="D5" s="5">
        <v>0.22750000000000001</v>
      </c>
      <c r="E5" s="5">
        <v>4.1500000000000002E-2</v>
      </c>
      <c r="F5" s="5">
        <v>5.8499999999999996E-2</v>
      </c>
      <c r="G5" s="5">
        <f t="shared" si="0"/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Multi-asset Moderate (DD2)</v>
      </c>
      <c r="B6" s="5">
        <v>0.33750000000000002</v>
      </c>
      <c r="C6" s="5">
        <v>0.21249999999999999</v>
      </c>
      <c r="D6" s="5">
        <v>0.22</v>
      </c>
      <c r="E6" s="5">
        <v>0.1038</v>
      </c>
      <c r="F6" s="5">
        <v>0.14630000000000001</v>
      </c>
      <c r="G6" s="5">
        <f t="shared" si="0"/>
        <v>1.0201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Multi-asset Balanced (DD3)</v>
      </c>
      <c r="B7" s="5">
        <v>0.17249999999999999</v>
      </c>
      <c r="C7" s="5">
        <v>0.21249999999999999</v>
      </c>
      <c r="D7" s="5">
        <v>0.215</v>
      </c>
      <c r="E7" s="5">
        <v>0.16600000000000001</v>
      </c>
      <c r="F7" s="5">
        <v>0.23399999999999999</v>
      </c>
      <c r="G7" s="5">
        <f t="shared" si="0"/>
        <v>1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Multi-asset Growth (DD4)</v>
      </c>
      <c r="B8" s="5">
        <v>6.25E-2</v>
      </c>
      <c r="C8" s="5">
        <v>0.1875</v>
      </c>
      <c r="D8" s="5">
        <v>0.2</v>
      </c>
      <c r="E8" s="5">
        <v>0.22829999999999998</v>
      </c>
      <c r="F8" s="5">
        <v>0.32179999999999997</v>
      </c>
      <c r="G8" s="5">
        <f t="shared" si="0"/>
        <v>1.0001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Equity Income (E1)</v>
      </c>
      <c r="B9" s="5">
        <v>1</v>
      </c>
      <c r="C9" s="5"/>
      <c r="D9" s="5"/>
      <c r="E9" s="5"/>
      <c r="F9" s="5"/>
      <c r="G9" s="5">
        <f t="shared" si="0"/>
        <v>1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Equity Growth (E2)</v>
      </c>
      <c r="B10" s="5">
        <v>1</v>
      </c>
      <c r="C10" s="5"/>
      <c r="D10" s="5"/>
      <c r="E10" s="5"/>
      <c r="F10" s="5"/>
      <c r="G10" s="5">
        <f t="shared" si="0"/>
        <v>1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Equity Blend (E3)</v>
      </c>
      <c r="B11" s="5">
        <v>0.41499999999999998</v>
      </c>
      <c r="C11" s="5">
        <v>0.58499999999999996</v>
      </c>
      <c r="D11" s="5"/>
      <c r="E11" s="5"/>
      <c r="F11" s="5"/>
      <c r="G11" s="5">
        <f t="shared" si="0"/>
        <v>1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14" sqref="D14"/>
    </sheetView>
  </sheetViews>
  <sheetFormatPr defaultRowHeight="15" x14ac:dyDescent="0.25"/>
  <cols>
    <col min="1" max="1" width="29.7109375" bestFit="1" customWidth="1"/>
    <col min="2" max="2" width="57" bestFit="1" customWidth="1"/>
    <col min="3" max="3" width="29.7109375" bestFit="1" customWidth="1"/>
    <col min="4" max="4" width="107.855468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Lower Risk Fixed Income (B1)</v>
      </c>
      <c r="B2" t="s">
        <v>42</v>
      </c>
      <c r="C2" t="s">
        <v>32</v>
      </c>
      <c r="D2" s="8" t="s">
        <v>49</v>
      </c>
    </row>
    <row r="3" spans="1:5" x14ac:dyDescent="0.25">
      <c r="A3" t="str">
        <f>IF(Input!A4="","",Input!A4)</f>
        <v>The Balanced Fixed Income (B2)</v>
      </c>
      <c r="B3" t="s">
        <v>42</v>
      </c>
      <c r="C3" t="s">
        <v>33</v>
      </c>
      <c r="D3" s="8" t="s">
        <v>50</v>
      </c>
    </row>
    <row r="4" spans="1:5" x14ac:dyDescent="0.25">
      <c r="A4" t="str">
        <f>IF(Input!A5="","",Input!A5)</f>
        <v>Higher Yield Fixed Income (B3)</v>
      </c>
      <c r="B4" t="s">
        <v>42</v>
      </c>
      <c r="C4" t="s">
        <v>34</v>
      </c>
      <c r="D4" s="8" t="s">
        <v>51</v>
      </c>
    </row>
    <row r="5" spans="1:5" x14ac:dyDescent="0.25">
      <c r="A5" t="str">
        <f>IF(Input!A6="","",Input!A6)</f>
        <v>Multi-asset Cautious (DD1)</v>
      </c>
      <c r="B5" t="s">
        <v>42</v>
      </c>
      <c r="C5" t="s">
        <v>35</v>
      </c>
      <c r="D5" s="8" t="s">
        <v>52</v>
      </c>
    </row>
    <row r="6" spans="1:5" x14ac:dyDescent="0.25">
      <c r="A6" t="str">
        <f>IF(Input!A7="","",Input!A7)</f>
        <v>Multi-asset Moderate (DD2)</v>
      </c>
      <c r="B6" t="s">
        <v>42</v>
      </c>
      <c r="C6" t="s">
        <v>36</v>
      </c>
      <c r="D6" s="8" t="s">
        <v>53</v>
      </c>
    </row>
    <row r="7" spans="1:5" x14ac:dyDescent="0.25">
      <c r="A7" t="str">
        <f>IF(Input!A8="","",Input!A8)</f>
        <v>Multi-asset Balanced (DD3)</v>
      </c>
      <c r="B7" t="s">
        <v>42</v>
      </c>
      <c r="C7" t="s">
        <v>37</v>
      </c>
      <c r="D7" s="8" t="s">
        <v>54</v>
      </c>
    </row>
    <row r="8" spans="1:5" x14ac:dyDescent="0.25">
      <c r="A8" t="str">
        <f>IF(Input!A9="","",Input!A9)</f>
        <v>Multi-asset Growth (DD4)</v>
      </c>
      <c r="B8" t="s">
        <v>42</v>
      </c>
      <c r="C8" t="s">
        <v>38</v>
      </c>
      <c r="D8" s="8" t="s">
        <v>55</v>
      </c>
    </row>
    <row r="9" spans="1:5" x14ac:dyDescent="0.25">
      <c r="A9" t="str">
        <f>IF(Input!A10="","",Input!A10)</f>
        <v>Equity Income (E1)</v>
      </c>
      <c r="B9" t="s">
        <v>42</v>
      </c>
      <c r="C9" t="s">
        <v>39</v>
      </c>
      <c r="D9" s="8" t="s">
        <v>56</v>
      </c>
    </row>
    <row r="10" spans="1:5" x14ac:dyDescent="0.25">
      <c r="A10" t="str">
        <f>IF(Input!A11="","",Input!A11)</f>
        <v>Equity Growth (E2)</v>
      </c>
      <c r="B10" t="s">
        <v>42</v>
      </c>
      <c r="C10" t="s">
        <v>40</v>
      </c>
      <c r="D10" s="8" t="s">
        <v>57</v>
      </c>
    </row>
    <row r="11" spans="1:5" x14ac:dyDescent="0.25">
      <c r="A11" t="str">
        <f>IF(Input!A12="","",Input!A12)</f>
        <v>Equity Blend (E3)</v>
      </c>
      <c r="B11" t="s">
        <v>42</v>
      </c>
      <c r="C11" t="s">
        <v>41</v>
      </c>
      <c r="D11" s="8" t="s">
        <v>58</v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Lower Risk Fixed Income (B1)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The Balanced Fixed Income (B2)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Higher Yield Fixed Income (B3)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>Multi-asset Cautious (DD1)</v>
      </c>
      <c r="B5" s="1">
        <f>IF(A5="","",EOMONTH(DATE(YEAR(IF(A5="","",'Additional Information'!B5)),MONTH(IF(A5="","",'Additional Information'!B5)),DAY(IF(A5="","",'Additional Information'!B5))),0))</f>
        <v>45107</v>
      </c>
    </row>
    <row r="6" spans="1:2" x14ac:dyDescent="0.25">
      <c r="A6" t="str">
        <f>IF(Input!A7="","",Input!A7)</f>
        <v>Multi-asset Moderate (DD2)</v>
      </c>
      <c r="B6" s="1">
        <f>IF(A6="","",EOMONTH(DATE(YEAR(IF(A6="","",'Additional Information'!B6)),MONTH(IF(A6="","",'Additional Information'!B6)),DAY(IF(A6="","",'Additional Information'!B6))),0))</f>
        <v>45107</v>
      </c>
    </row>
    <row r="7" spans="1:2" x14ac:dyDescent="0.25">
      <c r="A7" t="str">
        <f>IF(Input!A8="","",Input!A8)</f>
        <v>Multi-asset Balanced (DD3)</v>
      </c>
      <c r="B7" s="1">
        <f>IF(A7="","",EOMONTH(DATE(YEAR(IF(A7="","",'Additional Information'!B7)),MONTH(IF(A7="","",'Additional Information'!B7)),DAY(IF(A7="","",'Additional Information'!B7))),0))</f>
        <v>45107</v>
      </c>
    </row>
    <row r="8" spans="1:2" x14ac:dyDescent="0.25">
      <c r="A8" t="str">
        <f>IF(Input!A9="","",Input!A9)</f>
        <v>Multi-asset Growth (DD4)</v>
      </c>
      <c r="B8" s="1">
        <f>IF(A8="","",EOMONTH(DATE(YEAR(IF(A8="","",'Additional Information'!B8)),MONTH(IF(A8="","",'Additional Information'!B8)),DAY(IF(A8="","",'Additional Information'!B8))),0))</f>
        <v>45107</v>
      </c>
    </row>
    <row r="9" spans="1:2" x14ac:dyDescent="0.25">
      <c r="A9" t="str">
        <f>IF(Input!A10="","",Input!A10)</f>
        <v>Equity Income (E1)</v>
      </c>
      <c r="B9" s="1">
        <f>IF(A9="","",EOMONTH(DATE(YEAR(IF(A9="","",'Additional Information'!B9)),MONTH(IF(A9="","",'Additional Information'!B9)),DAY(IF(A9="","",'Additional Information'!B9))),0))</f>
        <v>45107</v>
      </c>
    </row>
    <row r="10" spans="1:2" x14ac:dyDescent="0.25">
      <c r="A10" t="str">
        <f>IF(Input!A11="","",Input!A11)</f>
        <v>Equity Growth (E2)</v>
      </c>
      <c r="B10" s="1">
        <f>IF(A10="","",EOMONTH(DATE(YEAR(IF(A10="","",'Additional Information'!B10)),MONTH(IF(A10="","",'Additional Information'!B10)),DAY(IF(A10="","",'Additional Information'!B10))),0))</f>
        <v>45107</v>
      </c>
    </row>
    <row r="11" spans="1:2" x14ac:dyDescent="0.25">
      <c r="A11" t="str">
        <f>IF(Input!A12="","",Input!A12)</f>
        <v>Equity Blend (E3)</v>
      </c>
      <c r="B11" s="1">
        <f>IF(A11="","",EOMONTH(DATE(YEAR(IF(A11="","",'Additional Information'!B11)),MONTH(IF(A11="","",'Additional Information'!B11)),DAY(IF(A11="","",'Additional Information'!B11))),0))</f>
        <v>45107</v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Lower Risk Fixed Income (B1)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4.5999999999999999E-3</v>
      </c>
    </row>
    <row r="3" spans="1:4" x14ac:dyDescent="0.25">
      <c r="A3" t="str">
        <f>IF(Input!A4="","",Input!A4)</f>
        <v>The Balanced Fixed Income (B2)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5.6999999999999993E-3</v>
      </c>
    </row>
    <row r="4" spans="1:4" x14ac:dyDescent="0.25">
      <c r="A4" t="str">
        <f>IF(Input!A5="","",Input!A5)</f>
        <v>Higher Yield Fixed Income (B3)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6.7000000000000002E-3</v>
      </c>
    </row>
    <row r="5" spans="1:4" x14ac:dyDescent="0.25">
      <c r="A5" t="str">
        <f>IF(Input!A6="","",Input!A6)</f>
        <v>Multi-asset Cautious (DD1)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6.9999999999999993E-3</v>
      </c>
    </row>
    <row r="6" spans="1:4" x14ac:dyDescent="0.25">
      <c r="A6" t="str">
        <f>IF(Input!A7="","",Input!A7)</f>
        <v>Multi-asset Moderate (DD2)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7.4999999999999997E-3</v>
      </c>
    </row>
    <row r="7" spans="1:4" x14ac:dyDescent="0.25">
      <c r="A7" t="str">
        <f>IF(Input!A8="","",Input!A8)</f>
        <v>Multi-asset Balanced (DD3)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7.7000000000000002E-3</v>
      </c>
    </row>
    <row r="8" spans="1:4" x14ac:dyDescent="0.25">
      <c r="A8" t="str">
        <f>IF(Input!A9="","",Input!A9)</f>
        <v>Multi-asset Growth (DD4)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7.8000000000000005E-3</v>
      </c>
    </row>
    <row r="9" spans="1:4" x14ac:dyDescent="0.25">
      <c r="A9" t="str">
        <f>IF(Input!A10="","",Input!A10)</f>
        <v>Equity Income (E1)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9.1999999999999998E-3</v>
      </c>
    </row>
    <row r="10" spans="1:4" x14ac:dyDescent="0.25">
      <c r="A10" t="str">
        <f>IF(Input!A11="","",Input!A11)</f>
        <v>Equity Growth (E2)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7.4000000000000003E-3</v>
      </c>
    </row>
    <row r="11" spans="1:4" x14ac:dyDescent="0.25">
      <c r="A11" t="str">
        <f>IF(Input!A12="","",Input!A12)</f>
        <v>Equity Blend (E3)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8.0000000000000002E-3</v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Lower Risk Fixed Income (B1)</v>
      </c>
      <c r="B2">
        <f>IF(A2="","",SUM('Asset Allocation'!C2))</f>
        <v>0</v>
      </c>
      <c r="C2">
        <f>IF(A2="","",SUM('Asset Allocation'!B2))</f>
        <v>1</v>
      </c>
      <c r="G2">
        <f>IF(A2="","",SUM('Asset Allocation'!D2))</f>
        <v>0</v>
      </c>
      <c r="H2">
        <f t="shared" ref="H2:H50" si="0">IF(A2="","",1-SUM(B2:G2))</f>
        <v>0</v>
      </c>
    </row>
    <row r="3" spans="1:8" x14ac:dyDescent="0.25">
      <c r="A3" t="str">
        <f>IF(Input!A4="","",Input!A4)</f>
        <v>The Balanced Fixed Income (B2)</v>
      </c>
      <c r="B3">
        <f>IF(A3="","",SUM('Asset Allocation'!C3))</f>
        <v>0.47499999999999998</v>
      </c>
      <c r="C3">
        <f>IF(A3="","",SUM('Asset Allocation'!B3))</f>
        <v>0.52500000000000002</v>
      </c>
      <c r="G3">
        <f>IF(A3="","",SUM('Asset Allocation'!D3))</f>
        <v>0</v>
      </c>
      <c r="H3">
        <f t="shared" si="0"/>
        <v>0</v>
      </c>
    </row>
    <row r="4" spans="1:8" x14ac:dyDescent="0.25">
      <c r="A4" t="str">
        <f>IF(Input!A5="","",Input!A5)</f>
        <v>Higher Yield Fixed Income (B3)</v>
      </c>
      <c r="B4">
        <f>IF(A4="","",SUM('Asset Allocation'!C4))</f>
        <v>0.75</v>
      </c>
      <c r="C4">
        <f>IF(A4="","",SUM('Asset Allocation'!B4))</f>
        <v>0.25</v>
      </c>
      <c r="G4">
        <f>IF(A4="","",SUM('Asset Allocation'!D4))</f>
        <v>0</v>
      </c>
      <c r="H4">
        <f t="shared" si="0"/>
        <v>0</v>
      </c>
    </row>
    <row r="5" spans="1:8" x14ac:dyDescent="0.25">
      <c r="A5" t="str">
        <f>IF(Input!A6="","",Input!A6)</f>
        <v>Multi-asset Cautious (DD1)</v>
      </c>
      <c r="B5">
        <f>IF(A5="","",SUM('Asset Allocation'!C5))</f>
        <v>0.17499999999999999</v>
      </c>
      <c r="C5">
        <f>IF(A5="","",SUM('Asset Allocation'!B5))</f>
        <v>0.4975</v>
      </c>
      <c r="G5">
        <f>IF(A5="","",SUM('Asset Allocation'!D5))</f>
        <v>0.22750000000000001</v>
      </c>
      <c r="H5">
        <f t="shared" si="0"/>
        <v>9.9999999999999978E-2</v>
      </c>
    </row>
    <row r="6" spans="1:8" x14ac:dyDescent="0.25">
      <c r="A6" t="str">
        <f>IF(Input!A7="","",Input!A7)</f>
        <v>Multi-asset Moderate (DD2)</v>
      </c>
      <c r="B6">
        <f>IF(A6="","",SUM('Asset Allocation'!C6))</f>
        <v>0.21249999999999999</v>
      </c>
      <c r="C6">
        <f>IF(A6="","",SUM('Asset Allocation'!B6))</f>
        <v>0.33750000000000002</v>
      </c>
      <c r="G6">
        <f>IF(A6="","",SUM('Asset Allocation'!D6))</f>
        <v>0.22</v>
      </c>
      <c r="H6">
        <f t="shared" si="0"/>
        <v>0.22999999999999998</v>
      </c>
    </row>
    <row r="7" spans="1:8" x14ac:dyDescent="0.25">
      <c r="A7" t="str">
        <f>IF(Input!A8="","",Input!A8)</f>
        <v>Multi-asset Balanced (DD3)</v>
      </c>
      <c r="B7">
        <f>IF(A7="","",SUM('Asset Allocation'!C7))</f>
        <v>0.21249999999999999</v>
      </c>
      <c r="C7">
        <f>IF(A7="","",SUM('Asset Allocation'!B7))</f>
        <v>0.17249999999999999</v>
      </c>
      <c r="G7">
        <f>IF(A7="","",SUM('Asset Allocation'!D7))</f>
        <v>0.215</v>
      </c>
      <c r="H7">
        <f t="shared" si="0"/>
        <v>0.4</v>
      </c>
    </row>
    <row r="8" spans="1:8" x14ac:dyDescent="0.25">
      <c r="A8" t="str">
        <f>IF(Input!A9="","",Input!A9)</f>
        <v>Multi-asset Growth (DD4)</v>
      </c>
      <c r="B8">
        <f>IF(A8="","",SUM('Asset Allocation'!C8))</f>
        <v>0.1875</v>
      </c>
      <c r="C8">
        <f>IF(A8="","",SUM('Asset Allocation'!B8))</f>
        <v>6.25E-2</v>
      </c>
      <c r="G8">
        <f>IF(A8="","",SUM('Asset Allocation'!D8))</f>
        <v>0.2</v>
      </c>
      <c r="H8">
        <f t="shared" si="0"/>
        <v>0.55000000000000004</v>
      </c>
    </row>
    <row r="9" spans="1:8" x14ac:dyDescent="0.25">
      <c r="A9" t="str">
        <f>IF(Input!A10="","",Input!A10)</f>
        <v>Equity Income (E1)</v>
      </c>
      <c r="B9">
        <f>IF(A9="","",SUM('Asset Allocation'!C9))</f>
        <v>0</v>
      </c>
      <c r="C9">
        <f>IF(A9="","",SUM('Asset Allocation'!B9))</f>
        <v>1</v>
      </c>
      <c r="G9">
        <f>IF(A9="","",SUM('Asset Allocation'!D9))</f>
        <v>0</v>
      </c>
      <c r="H9">
        <f t="shared" si="0"/>
        <v>0</v>
      </c>
    </row>
    <row r="10" spans="1:8" x14ac:dyDescent="0.25">
      <c r="A10" t="str">
        <f>IF(Input!A11="","",Input!A11)</f>
        <v>Equity Growth (E2)</v>
      </c>
      <c r="B10">
        <f>IF(A10="","",SUM('Asset Allocation'!C10))</f>
        <v>0</v>
      </c>
      <c r="C10">
        <f>IF(A10="","",SUM('Asset Allocation'!B10))</f>
        <v>1</v>
      </c>
      <c r="G10">
        <f>IF(A10="","",SUM('Asset Allocation'!D10))</f>
        <v>0</v>
      </c>
      <c r="H10">
        <f t="shared" si="0"/>
        <v>0</v>
      </c>
    </row>
    <row r="11" spans="1:8" x14ac:dyDescent="0.25">
      <c r="A11" t="str">
        <f>IF(Input!A12="","",Input!A12)</f>
        <v>Equity Blend (E3)</v>
      </c>
      <c r="B11">
        <f>IF(A11="","",SUM('Asset Allocation'!C11))</f>
        <v>0.58499999999999996</v>
      </c>
      <c r="C11">
        <f>IF(A11="","",SUM('Asset Allocation'!B11))</f>
        <v>0.41499999999999998</v>
      </c>
      <c r="G11">
        <f>IF(A11="","",SUM('Asset Allocation'!D11))</f>
        <v>0</v>
      </c>
      <c r="H11">
        <f t="shared" si="0"/>
        <v>0</v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Lower Risk Fixed Income (B1)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1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The Balanced Fixed Income (B2)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1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Higher Yield Fixed Income (B3)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1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Multi-asset Cautious (DD1)</v>
      </c>
      <c r="B5" s="6">
        <f>IFERROR(IF(A5="","",SUM('Asset Allocation'!F5)),0)</f>
        <v>5.8499999999999996E-2</v>
      </c>
      <c r="C5" s="6">
        <f>IFERROR(IF(A5="","",SUM('Asset Allocation'!E5)),0)</f>
        <v>4.1500000000000002E-2</v>
      </c>
      <c r="D5" s="6">
        <f>IFERROR(IF(A5="","",SUM('Asset Allocation'!I5)),0)</f>
        <v>0</v>
      </c>
      <c r="E5" s="6">
        <f>IFERROR(IF(A5="","",SUM('Asset Allocation'!G5)),0)</f>
        <v>1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Multi-asset Moderate (DD2)</v>
      </c>
      <c r="B6" s="6">
        <f>IFERROR(IF(A6="","",SUM('Asset Allocation'!F6)),0)</f>
        <v>0.14630000000000001</v>
      </c>
      <c r="C6" s="6">
        <f>IFERROR(IF(A6="","",SUM('Asset Allocation'!E6)),0)</f>
        <v>0.1038</v>
      </c>
      <c r="D6" s="6">
        <f>IFERROR(IF(A6="","",SUM('Asset Allocation'!I6)),0)</f>
        <v>0</v>
      </c>
      <c r="E6" s="6">
        <f>IFERROR(IF(A6="","",SUM('Asset Allocation'!G6)),0)</f>
        <v>1.0201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Multi-asset Balanced (DD3)</v>
      </c>
      <c r="B7" s="6">
        <f>IFERROR(IF(A7="","",SUM('Asset Allocation'!F7)),0)</f>
        <v>0.23399999999999999</v>
      </c>
      <c r="C7" s="6">
        <f>IFERROR(IF(A7="","",SUM('Asset Allocation'!E7)),0)</f>
        <v>0.16600000000000001</v>
      </c>
      <c r="D7" s="6">
        <f>IFERROR(IF(A7="","",SUM('Asset Allocation'!I7)),0)</f>
        <v>0</v>
      </c>
      <c r="E7" s="6">
        <f>IFERROR(IF(A7="","",SUM('Asset Allocation'!G7)),0)</f>
        <v>1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Multi-asset Growth (DD4)</v>
      </c>
      <c r="B8" s="6">
        <f>IFERROR(IF(A8="","",SUM('Asset Allocation'!F8)),0)</f>
        <v>0.32179999999999997</v>
      </c>
      <c r="C8" s="6">
        <f>IFERROR(IF(A8="","",SUM('Asset Allocation'!E8)),0)</f>
        <v>0.22829999999999998</v>
      </c>
      <c r="D8" s="6">
        <f>IFERROR(IF(A8="","",SUM('Asset Allocation'!I8)),0)</f>
        <v>0</v>
      </c>
      <c r="E8" s="6">
        <f>IFERROR(IF(A8="","",SUM('Asset Allocation'!G8)),0)</f>
        <v>1.0001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Equity Income (E1)</v>
      </c>
      <c r="B9" s="6">
        <f>IFERROR(IF(A9="","",SUM('Asset Allocation'!F9)),0)</f>
        <v>0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1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Equity Growth (E2)</v>
      </c>
      <c r="B10" s="6">
        <f>IFERROR(IF(A10="","",SUM('Asset Allocation'!F10)),0)</f>
        <v>0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1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Equity Blend (E3)</v>
      </c>
      <c r="B11" s="6">
        <f>IFERROR(IF(A11="","",SUM('Asset Allocation'!F11)),0)</f>
        <v>0</v>
      </c>
      <c r="C11" s="6">
        <f>IFERROR(IF(A11="","",SUM('Asset Allocation'!E11)),0)</f>
        <v>0</v>
      </c>
      <c r="D11" s="6">
        <f>IFERROR(IF(A11="","",SUM('Asset Allocation'!I11)),0)</f>
        <v>0</v>
      </c>
      <c r="E11" s="6">
        <f>IFERROR(IF(A11="","",SUM('Asset Allocation'!G11)),0)</f>
        <v>1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Lower Risk Fixed Income (B1)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The Balanced Fixed Income (B2)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Higher Yield Fixed Income (B3)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Multi-asset Cautious (DD1)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Multi-asset Moderate (DD2)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Multi-asset Balanced (DD3)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Multi-asset Growth (DD4)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Equity Income (E1)</v>
      </c>
      <c r="H9">
        <f>IFERROR(IF(A9="","",SUM('Asset Allocation'!B9)/'Broad Asset Allocation'!C9),0)</f>
        <v>1</v>
      </c>
    </row>
    <row r="10" spans="1:8" x14ac:dyDescent="0.25">
      <c r="A10" t="str">
        <f>IF(Input!A11="","",Input!A11)</f>
        <v>Equity Growth (E2)</v>
      </c>
      <c r="H10">
        <f>IFERROR(IF(A10="","",SUM('Asset Allocation'!B10)/'Broad Asset Allocation'!C10),0)</f>
        <v>1</v>
      </c>
    </row>
    <row r="11" spans="1:8" x14ac:dyDescent="0.25">
      <c r="A11" t="str">
        <f>IF(Input!A12="","",Input!A12)</f>
        <v>Equity Blend (E3)</v>
      </c>
      <c r="H11">
        <f>IFERROR(IF(A11="","",SUM('Asset Allocation'!B11)/'Broad Asset Allocation'!C11),0)</f>
        <v>1</v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2023-09-25T07:52:58Z</dcterms:modified>
</cp:coreProperties>
</file>