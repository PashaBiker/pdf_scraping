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8_milestone\Morningstar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6" i="3" l="1"/>
  <c r="X20" i="3"/>
  <c r="X21" i="3"/>
  <c r="X22" i="3"/>
  <c r="X23" i="3"/>
  <c r="X24" i="3"/>
  <c r="X34" i="3" l="1"/>
  <c r="A14" i="3" l="1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7" i="3"/>
  <c r="X18" i="3"/>
  <c r="X19" i="3"/>
  <c r="X25" i="3"/>
  <c r="X26" i="3"/>
  <c r="X27" i="3"/>
  <c r="X28" i="3"/>
  <c r="X29" i="3"/>
  <c r="X30" i="3"/>
  <c r="X31" i="3"/>
  <c r="X32" i="3"/>
  <c r="X33" i="3"/>
  <c r="X2" i="3"/>
  <c r="B31" i="1" l="1"/>
  <c r="B32" i="1"/>
  <c r="B33" i="1"/>
  <c r="B34" i="1"/>
  <c r="B35" i="1"/>
  <c r="B26" i="1"/>
  <c r="B27" i="1"/>
  <c r="B28" i="1"/>
  <c r="B29" i="1"/>
  <c r="B30" i="1"/>
  <c r="A25" i="35"/>
  <c r="A26" i="35"/>
  <c r="A27" i="35"/>
  <c r="A28" i="35"/>
  <c r="A29" i="35"/>
  <c r="B21" i="1"/>
  <c r="B22" i="1"/>
  <c r="B23" i="1"/>
  <c r="B24" i="1"/>
  <c r="B25" i="1"/>
  <c r="B15" i="1"/>
  <c r="B16" i="1"/>
  <c r="B17" i="1"/>
  <c r="B18" i="1"/>
  <c r="B19" i="1"/>
  <c r="B20" i="1"/>
  <c r="A14" i="35"/>
  <c r="A15" i="35"/>
  <c r="A16" i="35"/>
  <c r="A17" i="35"/>
  <c r="A18" i="35"/>
  <c r="A19" i="35"/>
  <c r="A20" i="35"/>
  <c r="B8" i="1"/>
  <c r="B9" i="1"/>
  <c r="B10" i="1"/>
  <c r="B11" i="1"/>
  <c r="B12" i="1"/>
  <c r="B13" i="1"/>
  <c r="B14" i="1"/>
  <c r="A12" i="35"/>
  <c r="A13" i="35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4" i="35"/>
  <c r="A23" i="35"/>
  <c r="A22" i="35"/>
  <c r="A21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5" i="7" l="1"/>
  <c r="G25" i="7"/>
  <c r="C25" i="7"/>
  <c r="D25" i="7"/>
  <c r="E25" i="7"/>
  <c r="B25" i="7"/>
  <c r="G5" i="7"/>
  <c r="E5" i="7"/>
  <c r="C5" i="7"/>
  <c r="B5" i="7"/>
  <c r="D5" i="7"/>
  <c r="F5" i="7"/>
  <c r="G13" i="7"/>
  <c r="F13" i="7"/>
  <c r="C13" i="7"/>
  <c r="D13" i="7"/>
  <c r="B13" i="7"/>
  <c r="E13" i="7"/>
  <c r="D21" i="7"/>
  <c r="E21" i="7"/>
  <c r="F21" i="7"/>
  <c r="G21" i="7"/>
  <c r="C21" i="7"/>
  <c r="B21" i="7"/>
  <c r="G29" i="7"/>
  <c r="E29" i="7"/>
  <c r="C29" i="7"/>
  <c r="D29" i="7"/>
  <c r="B29" i="7"/>
  <c r="F29" i="7"/>
  <c r="D37" i="7"/>
  <c r="G37" i="7"/>
  <c r="E37" i="7"/>
  <c r="C37" i="7"/>
  <c r="B37" i="7"/>
  <c r="F37" i="7"/>
  <c r="G45" i="7"/>
  <c r="B45" i="7"/>
  <c r="C45" i="7"/>
  <c r="D45" i="7"/>
  <c r="E45" i="7"/>
  <c r="F45" i="7"/>
  <c r="E9" i="7"/>
  <c r="G9" i="7"/>
  <c r="F9" i="7"/>
  <c r="B9" i="7"/>
  <c r="C9" i="7"/>
  <c r="D9" i="7"/>
  <c r="F2" i="7"/>
  <c r="E2" i="7"/>
  <c r="D2" i="7"/>
  <c r="B2" i="7"/>
  <c r="C2" i="7"/>
  <c r="G2" i="7"/>
  <c r="B6" i="7"/>
  <c r="C6" i="7"/>
  <c r="F6" i="7"/>
  <c r="G6" i="7"/>
  <c r="D6" i="7"/>
  <c r="E6" i="7"/>
  <c r="G14" i="7"/>
  <c r="B14" i="7"/>
  <c r="C14" i="7"/>
  <c r="D14" i="7"/>
  <c r="E14" i="7"/>
  <c r="F14" i="7"/>
  <c r="B22" i="7"/>
  <c r="C22" i="7"/>
  <c r="F22" i="7"/>
  <c r="D22" i="7"/>
  <c r="E22" i="7"/>
  <c r="G22" i="7"/>
  <c r="F30" i="7"/>
  <c r="B30" i="7"/>
  <c r="G30" i="7"/>
  <c r="C30" i="7"/>
  <c r="D30" i="7"/>
  <c r="E30" i="7"/>
  <c r="B38" i="7"/>
  <c r="C38" i="7"/>
  <c r="D38" i="7"/>
  <c r="E38" i="7"/>
  <c r="F38" i="7"/>
  <c r="G38" i="7"/>
  <c r="F46" i="7"/>
  <c r="G46" i="7"/>
  <c r="B46" i="7"/>
  <c r="C46" i="7"/>
  <c r="E46" i="7"/>
  <c r="D46" i="7"/>
  <c r="E33" i="7"/>
  <c r="F33" i="7"/>
  <c r="G33" i="7"/>
  <c r="D33" i="7"/>
  <c r="B33" i="7"/>
  <c r="C33" i="7"/>
  <c r="B15" i="7"/>
  <c r="C15" i="7"/>
  <c r="D15" i="7"/>
  <c r="E15" i="7"/>
  <c r="G15" i="7"/>
  <c r="F15" i="7"/>
  <c r="C23" i="7"/>
  <c r="D23" i="7"/>
  <c r="E23" i="7"/>
  <c r="B23" i="7"/>
  <c r="F23" i="7"/>
  <c r="G23" i="7"/>
  <c r="C31" i="7"/>
  <c r="D31" i="7"/>
  <c r="E31" i="7"/>
  <c r="G31" i="7"/>
  <c r="B31" i="7"/>
  <c r="F31" i="7"/>
  <c r="C39" i="7"/>
  <c r="D39" i="7"/>
  <c r="B39" i="7"/>
  <c r="E39" i="7"/>
  <c r="G39" i="7"/>
  <c r="F39" i="7"/>
  <c r="C47" i="7"/>
  <c r="D47" i="7"/>
  <c r="E47" i="7"/>
  <c r="F47" i="7"/>
  <c r="G47" i="7"/>
  <c r="B47" i="7"/>
  <c r="G17" i="7"/>
  <c r="F17" i="7"/>
  <c r="B17" i="7"/>
  <c r="C17" i="7"/>
  <c r="D17" i="7"/>
  <c r="E17" i="7"/>
  <c r="B10" i="7"/>
  <c r="G10" i="7"/>
  <c r="C10" i="7"/>
  <c r="E10" i="7"/>
  <c r="F10" i="7"/>
  <c r="D10" i="7"/>
  <c r="C7" i="7"/>
  <c r="D7" i="7"/>
  <c r="B7" i="7"/>
  <c r="E7" i="7"/>
  <c r="F7" i="7"/>
  <c r="G7" i="7"/>
  <c r="D8" i="7"/>
  <c r="E8" i="7"/>
  <c r="F8" i="7"/>
  <c r="G8" i="7"/>
  <c r="B8" i="7"/>
  <c r="C8" i="7"/>
  <c r="E16" i="7"/>
  <c r="F16" i="7"/>
  <c r="C16" i="7"/>
  <c r="G16" i="7"/>
  <c r="B16" i="7"/>
  <c r="D16" i="7"/>
  <c r="E24" i="7"/>
  <c r="F24" i="7"/>
  <c r="C24" i="7"/>
  <c r="G24" i="7"/>
  <c r="B24" i="7"/>
  <c r="D24" i="7"/>
  <c r="E32" i="7"/>
  <c r="F32" i="7"/>
  <c r="D32" i="7"/>
  <c r="G32" i="7"/>
  <c r="B32" i="7"/>
  <c r="C32" i="7"/>
  <c r="C40" i="7"/>
  <c r="D40" i="7"/>
  <c r="E40" i="7"/>
  <c r="F40" i="7"/>
  <c r="G40" i="7"/>
  <c r="B40" i="7"/>
  <c r="E48" i="7"/>
  <c r="F48" i="7"/>
  <c r="C48" i="7"/>
  <c r="G48" i="7"/>
  <c r="B48" i="7"/>
  <c r="D48" i="7"/>
  <c r="G41" i="7"/>
  <c r="E41" i="7"/>
  <c r="C41" i="7"/>
  <c r="B41" i="7"/>
  <c r="D41" i="7"/>
  <c r="F41" i="7"/>
  <c r="B18" i="7"/>
  <c r="C18" i="7"/>
  <c r="E18" i="7"/>
  <c r="F18" i="7"/>
  <c r="G18" i="7"/>
  <c r="D18" i="7"/>
  <c r="F42" i="7"/>
  <c r="B42" i="7"/>
  <c r="C42" i="7"/>
  <c r="G42" i="7"/>
  <c r="D42" i="7"/>
  <c r="E42" i="7"/>
  <c r="C3" i="7"/>
  <c r="D3" i="7"/>
  <c r="B3" i="7"/>
  <c r="E3" i="7"/>
  <c r="F3" i="7"/>
  <c r="G3" i="7"/>
  <c r="C11" i="7"/>
  <c r="D11" i="7"/>
  <c r="E11" i="7"/>
  <c r="F11" i="7"/>
  <c r="G11" i="7"/>
  <c r="B11" i="7"/>
  <c r="C19" i="7"/>
  <c r="D19" i="7"/>
  <c r="B19" i="7"/>
  <c r="E19" i="7"/>
  <c r="F19" i="7"/>
  <c r="G19" i="7"/>
  <c r="C27" i="7"/>
  <c r="D27" i="7"/>
  <c r="B27" i="7"/>
  <c r="E27" i="7"/>
  <c r="F27" i="7"/>
  <c r="G27" i="7"/>
  <c r="C35" i="7"/>
  <c r="D35" i="7"/>
  <c r="B35" i="7"/>
  <c r="E35" i="7"/>
  <c r="F35" i="7"/>
  <c r="G35" i="7"/>
  <c r="C43" i="7"/>
  <c r="D43" i="7"/>
  <c r="E43" i="7"/>
  <c r="G43" i="7"/>
  <c r="B43" i="7"/>
  <c r="F43" i="7"/>
  <c r="D49" i="7"/>
  <c r="G49" i="7"/>
  <c r="E49" i="7"/>
  <c r="C49" i="7"/>
  <c r="B49" i="7"/>
  <c r="F49" i="7"/>
  <c r="G26" i="7"/>
  <c r="B26" i="7"/>
  <c r="C26" i="7"/>
  <c r="E26" i="7"/>
  <c r="D26" i="7"/>
  <c r="F26" i="7"/>
  <c r="B34" i="7"/>
  <c r="C34" i="7"/>
  <c r="E34" i="7"/>
  <c r="G34" i="7"/>
  <c r="D34" i="7"/>
  <c r="F34" i="7"/>
  <c r="B50" i="7"/>
  <c r="C50" i="7"/>
  <c r="G50" i="7"/>
  <c r="D50" i="7"/>
  <c r="E50" i="7"/>
  <c r="F50" i="7"/>
  <c r="B4" i="7"/>
  <c r="C4" i="7"/>
  <c r="E4" i="7"/>
  <c r="F4" i="7"/>
  <c r="G4" i="7"/>
  <c r="D4" i="7"/>
  <c r="E12" i="7"/>
  <c r="F12" i="7"/>
  <c r="D12" i="7"/>
  <c r="G12" i="7"/>
  <c r="C12" i="7"/>
  <c r="B12" i="7"/>
  <c r="E20" i="7"/>
  <c r="F20" i="7"/>
  <c r="C20" i="7"/>
  <c r="D20" i="7"/>
  <c r="G20" i="7"/>
  <c r="B20" i="7"/>
  <c r="E28" i="7"/>
  <c r="F28" i="7"/>
  <c r="D28" i="7"/>
  <c r="G28" i="7"/>
  <c r="B28" i="7"/>
  <c r="C28" i="7"/>
  <c r="E36" i="7"/>
  <c r="C36" i="7"/>
  <c r="F36" i="7"/>
  <c r="G36" i="7"/>
  <c r="B36" i="7"/>
  <c r="D36" i="7"/>
  <c r="E44" i="7"/>
  <c r="F44" i="7"/>
  <c r="C44" i="7"/>
  <c r="G44" i="7"/>
  <c r="B44" i="7"/>
  <c r="D44" i="7"/>
  <c r="D18" i="4"/>
  <c r="E18" i="4"/>
  <c r="F18" i="4"/>
  <c r="G18" i="4"/>
  <c r="B18" i="4"/>
  <c r="C18" i="4"/>
  <c r="H18" i="8" s="1"/>
  <c r="D42" i="4"/>
  <c r="E42" i="4"/>
  <c r="F42" i="4"/>
  <c r="G42" i="4"/>
  <c r="C42" i="4"/>
  <c r="B42" i="4"/>
  <c r="F3" i="4"/>
  <c r="C3" i="4"/>
  <c r="H3" i="8" s="1"/>
  <c r="G3" i="4"/>
  <c r="B3" i="4"/>
  <c r="D3" i="4"/>
  <c r="E3" i="4"/>
  <c r="F43" i="4"/>
  <c r="G43" i="4"/>
  <c r="B43" i="4"/>
  <c r="C43" i="4"/>
  <c r="E43" i="4"/>
  <c r="D43" i="4"/>
  <c r="B20" i="4"/>
  <c r="E20" i="4"/>
  <c r="C20" i="4"/>
  <c r="H20" i="8" s="1"/>
  <c r="D20" i="4"/>
  <c r="G20" i="4"/>
  <c r="F20" i="4"/>
  <c r="B28" i="4"/>
  <c r="E28" i="4"/>
  <c r="C28" i="4"/>
  <c r="H28" i="8" s="1"/>
  <c r="D28" i="4"/>
  <c r="F28" i="4"/>
  <c r="G28" i="4"/>
  <c r="B13" i="4"/>
  <c r="C13" i="4"/>
  <c r="H13" i="8" s="1"/>
  <c r="D13" i="4"/>
  <c r="E13" i="4"/>
  <c r="F13" i="4"/>
  <c r="G13" i="4"/>
  <c r="B45" i="4"/>
  <c r="C45" i="4"/>
  <c r="D45" i="4"/>
  <c r="F45" i="4"/>
  <c r="G45" i="4"/>
  <c r="E45" i="4"/>
  <c r="D6" i="4"/>
  <c r="E6" i="4"/>
  <c r="F6" i="4"/>
  <c r="G6" i="4"/>
  <c r="C6" i="4"/>
  <c r="H6" i="8" s="1"/>
  <c r="B6" i="4"/>
  <c r="D22" i="4"/>
  <c r="F22" i="4"/>
  <c r="E22" i="4"/>
  <c r="G22" i="4"/>
  <c r="B22" i="4"/>
  <c r="C22" i="4"/>
  <c r="H22" i="8" s="1"/>
  <c r="H38" i="4"/>
  <c r="D38" i="4"/>
  <c r="F38" i="4"/>
  <c r="E38" i="4"/>
  <c r="G38" i="4"/>
  <c r="C38" i="4"/>
  <c r="B38" i="4"/>
  <c r="F7" i="4"/>
  <c r="G7" i="4"/>
  <c r="B7" i="4"/>
  <c r="C7" i="4"/>
  <c r="H7" i="8" s="1"/>
  <c r="D7" i="4"/>
  <c r="E7" i="4"/>
  <c r="F15" i="4"/>
  <c r="C15" i="4"/>
  <c r="H15" i="8" s="1"/>
  <c r="G15" i="4"/>
  <c r="B15" i="4"/>
  <c r="D15" i="4"/>
  <c r="E15" i="4"/>
  <c r="F23" i="4"/>
  <c r="G23" i="4"/>
  <c r="B23" i="4"/>
  <c r="C23" i="4"/>
  <c r="H23" i="8" s="1"/>
  <c r="D23" i="4"/>
  <c r="E23" i="4"/>
  <c r="F31" i="4"/>
  <c r="C31" i="4"/>
  <c r="H31" i="8" s="1"/>
  <c r="G31" i="4"/>
  <c r="B31" i="4"/>
  <c r="D31" i="4"/>
  <c r="E31" i="4"/>
  <c r="F39" i="4"/>
  <c r="B39" i="4"/>
  <c r="G39" i="4"/>
  <c r="C39" i="4"/>
  <c r="D39" i="4"/>
  <c r="E39" i="4"/>
  <c r="F47" i="4"/>
  <c r="G47" i="4"/>
  <c r="B47" i="4"/>
  <c r="C47" i="4"/>
  <c r="D47" i="4"/>
  <c r="E47" i="4"/>
  <c r="D10" i="4"/>
  <c r="E10" i="4"/>
  <c r="F10" i="4"/>
  <c r="G10" i="4"/>
  <c r="B10" i="4"/>
  <c r="C10" i="4"/>
  <c r="H10" i="8" s="1"/>
  <c r="D26" i="4"/>
  <c r="E26" i="4"/>
  <c r="F26" i="4"/>
  <c r="G26" i="4"/>
  <c r="B26" i="4"/>
  <c r="C26" i="4"/>
  <c r="H26" i="8" s="1"/>
  <c r="D50" i="4"/>
  <c r="E50" i="4"/>
  <c r="F50" i="4"/>
  <c r="G50" i="4"/>
  <c r="B50" i="4"/>
  <c r="C50" i="4"/>
  <c r="B4" i="4"/>
  <c r="C4" i="4"/>
  <c r="H4" i="8" s="1"/>
  <c r="D4" i="4"/>
  <c r="E4" i="4"/>
  <c r="F4" i="4"/>
  <c r="G4" i="4"/>
  <c r="B36" i="4"/>
  <c r="C36" i="4"/>
  <c r="D36" i="4"/>
  <c r="E36" i="4"/>
  <c r="F36" i="4"/>
  <c r="G36" i="4"/>
  <c r="B5" i="4"/>
  <c r="D5" i="4"/>
  <c r="C5" i="4"/>
  <c r="H5" i="8" s="1"/>
  <c r="G5" i="4"/>
  <c r="E5" i="4"/>
  <c r="F5" i="4"/>
  <c r="B37" i="4"/>
  <c r="C37" i="4"/>
  <c r="D37" i="4"/>
  <c r="G37" i="4"/>
  <c r="E37" i="4"/>
  <c r="F37" i="4"/>
  <c r="D14" i="4"/>
  <c r="F14" i="4"/>
  <c r="E14" i="4"/>
  <c r="G14" i="4"/>
  <c r="B14" i="4"/>
  <c r="C14" i="4"/>
  <c r="H14" i="8" s="1"/>
  <c r="D46" i="4"/>
  <c r="F46" i="4"/>
  <c r="E46" i="4"/>
  <c r="G46" i="4"/>
  <c r="B46" i="4"/>
  <c r="C46" i="4"/>
  <c r="B8" i="4"/>
  <c r="C8" i="4"/>
  <c r="H8" i="8" s="1"/>
  <c r="D8" i="4"/>
  <c r="E8" i="4"/>
  <c r="F8" i="4"/>
  <c r="G8" i="4"/>
  <c r="B16" i="4"/>
  <c r="C16" i="4"/>
  <c r="H16" i="8" s="1"/>
  <c r="D16" i="4"/>
  <c r="E16" i="4"/>
  <c r="F16" i="4"/>
  <c r="G16" i="4"/>
  <c r="E24" i="4"/>
  <c r="B24" i="4"/>
  <c r="C24" i="4"/>
  <c r="H24" i="8" s="1"/>
  <c r="D24" i="4"/>
  <c r="F24" i="4"/>
  <c r="G24" i="4"/>
  <c r="D32" i="4"/>
  <c r="B32" i="4"/>
  <c r="E32" i="4"/>
  <c r="C32" i="4"/>
  <c r="H32" i="8" s="1"/>
  <c r="F32" i="4"/>
  <c r="G32" i="4"/>
  <c r="E40" i="4"/>
  <c r="B40" i="4"/>
  <c r="D40" i="4"/>
  <c r="C40" i="4"/>
  <c r="F40" i="4"/>
  <c r="G40" i="4"/>
  <c r="D48" i="4"/>
  <c r="E48" i="4"/>
  <c r="B48" i="4"/>
  <c r="C48" i="4"/>
  <c r="G48" i="4"/>
  <c r="F48" i="4"/>
  <c r="C2" i="4"/>
  <c r="H2" i="8" s="1"/>
  <c r="B2" i="4"/>
  <c r="G2" i="4"/>
  <c r="F2" i="4"/>
  <c r="E2" i="4"/>
  <c r="D2" i="4"/>
  <c r="D34" i="4"/>
  <c r="E34" i="4"/>
  <c r="F34" i="4"/>
  <c r="G34" i="4"/>
  <c r="C34" i="4"/>
  <c r="H34" i="8" s="1"/>
  <c r="B34" i="4"/>
  <c r="F11" i="4"/>
  <c r="G11" i="4"/>
  <c r="B11" i="4"/>
  <c r="C11" i="4"/>
  <c r="H11" i="8" s="1"/>
  <c r="E11" i="4"/>
  <c r="D11" i="4"/>
  <c r="F19" i="4"/>
  <c r="G19" i="4"/>
  <c r="B19" i="4"/>
  <c r="C19" i="4"/>
  <c r="H19" i="8" s="1"/>
  <c r="D19" i="4"/>
  <c r="E19" i="4"/>
  <c r="F27" i="4"/>
  <c r="G27" i="4"/>
  <c r="B27" i="4"/>
  <c r="C27" i="4"/>
  <c r="H27" i="8" s="1"/>
  <c r="D27" i="4"/>
  <c r="E27" i="4"/>
  <c r="F35" i="4"/>
  <c r="C35" i="4"/>
  <c r="G35" i="4"/>
  <c r="B35" i="4"/>
  <c r="D35" i="4"/>
  <c r="E35" i="4"/>
  <c r="B12" i="4"/>
  <c r="C12" i="4"/>
  <c r="H12" i="8" s="1"/>
  <c r="D12" i="4"/>
  <c r="E12" i="4"/>
  <c r="G12" i="4"/>
  <c r="F12" i="4"/>
  <c r="B44" i="4"/>
  <c r="D44" i="4"/>
  <c r="E44" i="4"/>
  <c r="C44" i="4"/>
  <c r="G44" i="4"/>
  <c r="F44" i="4"/>
  <c r="B21" i="4"/>
  <c r="C21" i="4"/>
  <c r="H21" i="8" s="1"/>
  <c r="D21" i="4"/>
  <c r="E21" i="4"/>
  <c r="F21" i="4"/>
  <c r="G21" i="4"/>
  <c r="B29" i="4"/>
  <c r="C29" i="4"/>
  <c r="H29" i="8" s="1"/>
  <c r="D29" i="4"/>
  <c r="E29" i="4"/>
  <c r="F29" i="4"/>
  <c r="G29" i="4"/>
  <c r="D30" i="4"/>
  <c r="F30" i="4"/>
  <c r="E30" i="4"/>
  <c r="G30" i="4"/>
  <c r="B30" i="4"/>
  <c r="C30" i="4"/>
  <c r="H30" i="8" s="1"/>
  <c r="B9" i="4"/>
  <c r="D9" i="4"/>
  <c r="C9" i="4"/>
  <c r="H9" i="8" s="1"/>
  <c r="E9" i="4"/>
  <c r="F9" i="4"/>
  <c r="G9" i="4"/>
  <c r="B17" i="4"/>
  <c r="D17" i="4"/>
  <c r="C17" i="4"/>
  <c r="H17" i="8" s="1"/>
  <c r="E17" i="4"/>
  <c r="F17" i="4"/>
  <c r="G17" i="4"/>
  <c r="B25" i="4"/>
  <c r="D25" i="4"/>
  <c r="C25" i="4"/>
  <c r="H25" i="8" s="1"/>
  <c r="G25" i="4"/>
  <c r="E25" i="4"/>
  <c r="F25" i="4"/>
  <c r="B33" i="4"/>
  <c r="D33" i="4"/>
  <c r="C33" i="4"/>
  <c r="H33" i="8" s="1"/>
  <c r="E33" i="4"/>
  <c r="F33" i="4"/>
  <c r="G33" i="4"/>
  <c r="B41" i="4"/>
  <c r="D41" i="4"/>
  <c r="C41" i="4"/>
  <c r="G41" i="4"/>
  <c r="E41" i="4"/>
  <c r="F41" i="4"/>
  <c r="B49" i="4"/>
  <c r="D49" i="4"/>
  <c r="C49" i="4"/>
  <c r="F49" i="4"/>
  <c r="G49" i="4"/>
  <c r="E49" i="4"/>
  <c r="C7" i="31"/>
  <c r="D7" i="31"/>
  <c r="C15" i="31"/>
  <c r="D15" i="31"/>
  <c r="D23" i="31"/>
  <c r="C23" i="31"/>
  <c r="C31" i="31"/>
  <c r="D31" i="31"/>
  <c r="C39" i="31"/>
  <c r="D39" i="31"/>
  <c r="C47" i="31"/>
  <c r="D47" i="31"/>
  <c r="D16" i="31"/>
  <c r="C16" i="31"/>
  <c r="D24" i="31"/>
  <c r="C24" i="31"/>
  <c r="D32" i="31"/>
  <c r="C32" i="31"/>
  <c r="D40" i="31"/>
  <c r="C40" i="31"/>
  <c r="D48" i="31"/>
  <c r="C48" i="31"/>
  <c r="D9" i="31"/>
  <c r="C9" i="31"/>
  <c r="D17" i="31"/>
  <c r="C17" i="31"/>
  <c r="D25" i="31"/>
  <c r="C25" i="31"/>
  <c r="D33" i="31"/>
  <c r="C33" i="31"/>
  <c r="D41" i="31"/>
  <c r="C41" i="31"/>
  <c r="D49" i="31"/>
  <c r="C49" i="31"/>
  <c r="D8" i="31"/>
  <c r="C8" i="31"/>
  <c r="D2" i="31"/>
  <c r="C2" i="31"/>
  <c r="D10" i="31"/>
  <c r="C10" i="31"/>
  <c r="D18" i="31"/>
  <c r="C18" i="31"/>
  <c r="D26" i="31"/>
  <c r="C26" i="31"/>
  <c r="D34" i="31"/>
  <c r="C34" i="31"/>
  <c r="D42" i="31"/>
  <c r="C42" i="31"/>
  <c r="D50" i="31"/>
  <c r="C50" i="31"/>
  <c r="D3" i="31"/>
  <c r="C3" i="31"/>
  <c r="D11" i="31"/>
  <c r="C11" i="31"/>
  <c r="D19" i="31"/>
  <c r="C19" i="31"/>
  <c r="D27" i="31"/>
  <c r="C27" i="31"/>
  <c r="D35" i="31"/>
  <c r="C35" i="31"/>
  <c r="D43" i="31"/>
  <c r="C43" i="31"/>
  <c r="C4" i="31"/>
  <c r="D4" i="31"/>
  <c r="D12" i="31"/>
  <c r="C12" i="31"/>
  <c r="C20" i="31"/>
  <c r="D20" i="31"/>
  <c r="D28" i="31"/>
  <c r="C28" i="31"/>
  <c r="C36" i="31"/>
  <c r="D36" i="31"/>
  <c r="D44" i="31"/>
  <c r="C44" i="31"/>
  <c r="D5" i="31"/>
  <c r="C5" i="31"/>
  <c r="D13" i="31"/>
  <c r="C13" i="31"/>
  <c r="C21" i="31"/>
  <c r="D21" i="31"/>
  <c r="C29" i="31"/>
  <c r="D29" i="31"/>
  <c r="D37" i="31"/>
  <c r="C37" i="31"/>
  <c r="C45" i="31"/>
  <c r="D45" i="31"/>
  <c r="D6" i="31"/>
  <c r="C6" i="31"/>
  <c r="D14" i="31"/>
  <c r="C14" i="31"/>
  <c r="C22" i="31"/>
  <c r="D22" i="31"/>
  <c r="D30" i="31"/>
  <c r="C30" i="31"/>
  <c r="D38" i="31"/>
  <c r="C38" i="31"/>
  <c r="D46" i="31"/>
  <c r="C46" i="31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3" i="4" l="1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<sst xmlns="http://schemas.openxmlformats.org/spreadsheetml/2006/main" count="230" uniqueCount="110">
  <si>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</si>
  <si>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</si>
  <si>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</si>
  <si>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</si>
  <si>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</si>
  <si>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</si>
  <si>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</si>
  <si>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</si>
  <si>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</si>
  <si>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</si>
  <si>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</si>
  <si>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</si>
  <si>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</si>
  <si>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</si>
  <si>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</si>
  <si>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</si>
  <si>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</si>
  <si>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</si>
  <si>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</si>
  <si>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</si>
  <si>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</si>
  <si>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</si>
  <si>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</si>
  <si>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</si>
  <si>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</si>
  <si>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</si>
  <si>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</si>
  <si>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</si>
  <si>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</si>
  <si>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</si>
  <si>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</si>
  <si>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1Y</t>
  </si>
  <si>
    <t>Dropdown</t>
  </si>
  <si>
    <t>Fixed Income</t>
  </si>
  <si>
    <t>Cautious Active Portfolio</t>
  </si>
  <si>
    <t>Moderately Cautious Active Portfolio</t>
  </si>
  <si>
    <t>Moderate Active Portfolio</t>
  </si>
  <si>
    <t>Moderately Adventurous Active Portfolio</t>
  </si>
  <si>
    <t>Adventurous Active Portfolio</t>
  </si>
  <si>
    <t>Active</t>
  </si>
  <si>
    <t>https://www.morningstar.com/en-uk/products/morningstar-managed-portfolios?RED-MMP0018</t>
  </si>
  <si>
    <t>https://www.morningstar.com/en-uk/products/morningstar-managed-portfolios?RED-MMP0019</t>
  </si>
  <si>
    <t>https://www.morningstar.com/en-uk/products/morningstar-managed-portfolios?RED-MMP0020</t>
  </si>
  <si>
    <t>https://www.morningstar.com/en-uk/products/morningstar-managed-portfolios?RED-MMP0021</t>
  </si>
  <si>
    <t>https://www.morningstar.com/en-uk/products/morningstar-managed-portfolios?RED-MMP0022</t>
  </si>
  <si>
    <t>Cautious Passive Portfolio</t>
  </si>
  <si>
    <t>Moderately Cautious Passive Portfolio</t>
  </si>
  <si>
    <t>Moderate Passive Portfolio</t>
  </si>
  <si>
    <t>Moderately Adventurous Passive Portfolio</t>
  </si>
  <si>
    <t>Adventurous Passive Portfolio</t>
  </si>
  <si>
    <t>Passive</t>
  </si>
  <si>
    <t>Income</t>
  </si>
  <si>
    <t>Moderately Cautious Income Portfolio</t>
  </si>
  <si>
    <t>Moderate Income Portfolio</t>
  </si>
  <si>
    <t>Governed</t>
  </si>
  <si>
    <t>Governed Portfolio - Cautious Growth</t>
  </si>
  <si>
    <t>Governed Portfolio - Moderately Cautious Growth</t>
  </si>
  <si>
    <t>Governed Portfolio - Moderate Growth</t>
  </si>
  <si>
    <t>Governed Portfolio - Moderately Adventurous Growth</t>
  </si>
  <si>
    <t>Governed Portfolio - Adventurous Growth</t>
  </si>
  <si>
    <t>Governed Portfolio - Moderately Cautious Income</t>
  </si>
  <si>
    <t>ESG</t>
  </si>
  <si>
    <t>ESG – Cautious Portfolio</t>
  </si>
  <si>
    <t>ESG – Moderately Cautious Portfolio</t>
  </si>
  <si>
    <t>ESG – Moderate Portfolio</t>
  </si>
  <si>
    <t>ESG – Moderately Adventurous Portfolio</t>
  </si>
  <si>
    <t>ESG – Adventurous Portfolio</t>
  </si>
  <si>
    <t>International</t>
  </si>
  <si>
    <t>GBP</t>
  </si>
  <si>
    <t>International GBP - Cautious Growth</t>
  </si>
  <si>
    <t>International GBP - Moderately Cautious Growth</t>
  </si>
  <si>
    <t>International GBP - Moderate Growth</t>
  </si>
  <si>
    <t>International GBP - Moderately Adventurous Growth</t>
  </si>
  <si>
    <t>International GBP - Adventurous Growth</t>
  </si>
  <si>
    <t>Blended</t>
  </si>
  <si>
    <t>Morningstar Blended Cautious Portfolio</t>
  </si>
  <si>
    <t>Morningstar Blended Moderately Cautious Portfolio</t>
  </si>
  <si>
    <t>Morningstar Blended Moderate Portfolio</t>
  </si>
  <si>
    <t>Morningstar Blended Moderately Adventurous Portfolio</t>
  </si>
  <si>
    <t>Morningstar Blended Adventurous Portfolio</t>
  </si>
  <si>
    <t>Annual Management Charge</t>
  </si>
  <si>
    <t>1Month</t>
  </si>
  <si>
    <t>Cash &amp; Cash Equivalents</t>
  </si>
  <si>
    <t>GBP Corporate Bond</t>
  </si>
  <si>
    <t>UK Equity</t>
  </si>
  <si>
    <t>Global High Yield Bond</t>
  </si>
  <si>
    <t>Other Bond</t>
  </si>
  <si>
    <t>Global Emerging Markets Bond</t>
  </si>
  <si>
    <t>Global Corporate Bond</t>
  </si>
  <si>
    <t>UK Gilts</t>
  </si>
  <si>
    <t>China Equity</t>
  </si>
  <si>
    <t>Global Inflation-Linked Bond</t>
  </si>
  <si>
    <t>North American Equity</t>
  </si>
  <si>
    <t>Japan Equity</t>
  </si>
  <si>
    <t>Other Equity</t>
  </si>
  <si>
    <t>Property</t>
  </si>
  <si>
    <t>European Equity</t>
  </si>
  <si>
    <t>Global Bond</t>
  </si>
  <si>
    <t>Emerging Markets Equity</t>
  </si>
  <si>
    <t>UK Inflation-Linked Bond</t>
  </si>
  <si>
    <t>Asia Dev ex Japan Equity</t>
  </si>
  <si>
    <t xml:space="preserve"> </t>
  </si>
  <si>
    <t>https://assets.contentstack.io/v3/assets/blt4eb669caa7dc65b2/blt8bcc19351a5e9180/6527c04b755edebe7fed362d/20230930_Morningstar_Active_Portfolio_Factsheets.pdf</t>
  </si>
  <si>
    <t>https://assets.contentstack.io/v3/assets/blt4eb669caa7dc65b2/bltfa6f25b50e8d0fda/6527c08f70acce324d6aecfc/20230930_Morningstar_Passive_Portfolio_Factsheets.pdf</t>
  </si>
  <si>
    <t>https://assets.contentstack.io/v3/assets/blt4eb669caa7dc65b2/blt2f96f2be93fb43c3/6527c0de31e1fa477a2aca2c/20230930_Morningstar_Income_Portfolio_Factsheets.pdf</t>
  </si>
  <si>
    <t>https://assets.contentstack.io/v3/assets/blt4eb669caa7dc65b2/blt040b4ef93b3a778c/6527c13e87b4dbe56e759193/20230930_Morningstar_Governed_Portfolio_Factsheets.pdf</t>
  </si>
  <si>
    <t>https://assets.contentstack.io/v3/assets/blt4eb669caa7dc65b2/blt9fba647afdcf0415/6527c189a0980f269cede97c/20230930_Morningstar_ESG_Portfolio_Factsheets.pdf</t>
  </si>
  <si>
    <t>https://assets.contentstack.io/v3/assets/blt4eb669caa7dc65b2/blt97375150a38687ed/6527c24831f9bb3fb796668b/20230930_Morningstar_International_GBP_Portfolio_Factsheets.pdf</t>
  </si>
  <si>
    <t>https://assets.contentstack.io/v3/assets/blt4eb669caa7dc65b2/blt2bba4d712fc3386d/6527c20c5a30453825005961/20230930_Morningstar_Blended_Portfolio_Factsheets.pdf</t>
  </si>
  <si>
    <t>30.09.2023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</si>
</sst>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Fill="1"/>
    <xf numFmtId="10" fontId="0" fillId="0" borderId="0" xfId="0" applyNumberFormat="1" applyFill="1"/>
    <xf numFmtId="0" fontId="0" fillId="0" borderId="0" xfId="0" applyFill="1" applyBorder="1"/>
    <xf numFmtId="10" fontId="0" fillId="0" borderId="0" xfId="0" applyNumberFormat="1" applyFill="1" applyBorder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44450</xdr:rowOff>
    </xdr:from>
    <xdr:to>
      <xdr:col>6</xdr:col>
      <xdr:colOff>320887</xdr:colOff>
      <xdr:row>15</xdr:row>
      <xdr:rowOff>178014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8CD2E1-19DA-B43D-3C57-C3599A5AB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3978487" cy="271166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17</xdr:row>
      <xdr:rowOff>44450</xdr:rowOff>
    </xdr:from>
    <xdr:to>
      <xdr:col>6</xdr:col>
      <xdr:colOff>324749</xdr:colOff>
      <xdr:row>31</xdr:row>
      <xdr:rowOff>63679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762A65C-E960-9D44-2E24-0EAAB7DC8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" y="3175000"/>
          <a:ext cx="3950599" cy="259732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13</xdr:col>
      <xdr:colOff>95443</xdr:colOff>
      <xdr:row>26</xdr:row>
      <xdr:rowOff>227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66EA6FC-ADE9-845A-0D36-A6CE48EAD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368300"/>
          <a:ext cx="3753043" cy="44198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R9" sqref="R9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5"/>
  <sheetViews>
    <sheetView workbookViewId="0">
      <selection activeCell="A15" sqref="A15"/>
    </sheetView>
  </sheetViews>
  <sheetFormatPr defaultRowHeight="15" x14ac:dyDescent="0.25"/>
  <cols>
    <col min="1" max="1" width="51.85546875" bestFit="1" customWidth="1"/>
    <col min="2" max="2" width="166.140625" bestFit="1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34</v>
      </c>
      <c r="B3" t="str">
        <f>'PDF Scraping'!D2</f>
        <v>https://assets.contentstack.io/v3/assets/blt4eb669caa7dc65b2/blt8bcc19351a5e9180/6527c04b755edebe7fed362d/20230930_Morningstar_Active_Portfolio_Factsheets.pdf</v>
      </c>
      <c r="J3" s="4"/>
    </row>
    <row r="4" spans="1:10" x14ac:dyDescent="0.25">
      <c r="A4" t="s">
        <v>35</v>
      </c>
      <c r="B4" t="str">
        <f>'PDF Scraping'!D3</f>
        <v>https://assets.contentstack.io/v3/assets/blt4eb669caa7dc65b2/blt8bcc19351a5e9180/6527c04b755edebe7fed362d/20230930_Morningstar_Active_Portfolio_Factsheets.pdf</v>
      </c>
      <c r="J4" s="4"/>
    </row>
    <row r="5" spans="1:10" x14ac:dyDescent="0.25">
      <c r="A5" t="s">
        <v>36</v>
      </c>
      <c r="B5" t="str">
        <f>'PDF Scraping'!D4</f>
        <v>https://assets.contentstack.io/v3/assets/blt4eb669caa7dc65b2/blt8bcc19351a5e9180/6527c04b755edebe7fed362d/20230930_Morningstar_Active_Portfolio_Factsheets.pdf</v>
      </c>
    </row>
    <row r="6" spans="1:10" x14ac:dyDescent="0.25">
      <c r="A6" t="s">
        <v>37</v>
      </c>
      <c r="B6" t="str">
        <f>'PDF Scraping'!D5</f>
        <v>https://assets.contentstack.io/v3/assets/blt4eb669caa7dc65b2/blt8bcc19351a5e9180/6527c04b755edebe7fed362d/20230930_Morningstar_Active_Portfolio_Factsheets.pdf</v>
      </c>
    </row>
    <row r="7" spans="1:10" x14ac:dyDescent="0.25">
      <c r="A7" t="s">
        <v>38</v>
      </c>
      <c r="B7" t="str">
        <f>'PDF Scraping'!D6</f>
        <v>https://assets.contentstack.io/v3/assets/blt4eb669caa7dc65b2/blt8bcc19351a5e9180/6527c04b755edebe7fed362d/20230930_Morningstar_Active_Portfolio_Factsheets.pdf</v>
      </c>
    </row>
    <row r="8" spans="1:10" x14ac:dyDescent="0.25">
      <c r="A8" t="s">
        <v>45</v>
      </c>
      <c r="B8" t="str">
        <f>'PDF Scraping'!D7</f>
        <v>https://assets.contentstack.io/v3/assets/blt4eb669caa7dc65b2/bltfa6f25b50e8d0fda/6527c08f70acce324d6aecfc/20230930_Morningstar_Passive_Portfolio_Factsheets.pdf</v>
      </c>
    </row>
    <row r="9" spans="1:10" x14ac:dyDescent="0.25">
      <c r="A9" t="s">
        <v>46</v>
      </c>
      <c r="B9" t="str">
        <f>'PDF Scraping'!D8</f>
        <v>https://assets.contentstack.io/v3/assets/blt4eb669caa7dc65b2/bltfa6f25b50e8d0fda/6527c08f70acce324d6aecfc/20230930_Morningstar_Passive_Portfolio_Factsheets.pdf</v>
      </c>
    </row>
    <row r="10" spans="1:10" x14ac:dyDescent="0.25">
      <c r="A10" t="s">
        <v>47</v>
      </c>
      <c r="B10" t="str">
        <f>'PDF Scraping'!D9</f>
        <v>https://assets.contentstack.io/v3/assets/blt4eb669caa7dc65b2/bltfa6f25b50e8d0fda/6527c08f70acce324d6aecfc/20230930_Morningstar_Passive_Portfolio_Factsheets.pdf</v>
      </c>
    </row>
    <row r="11" spans="1:10" x14ac:dyDescent="0.25">
      <c r="A11" t="s">
        <v>48</v>
      </c>
      <c r="B11" t="str">
        <f>'PDF Scraping'!D10</f>
        <v>https://assets.contentstack.io/v3/assets/blt4eb669caa7dc65b2/bltfa6f25b50e8d0fda/6527c08f70acce324d6aecfc/20230930_Morningstar_Passive_Portfolio_Factsheets.pdf</v>
      </c>
    </row>
    <row r="12" spans="1:10" x14ac:dyDescent="0.25">
      <c r="A12" t="s">
        <v>49</v>
      </c>
      <c r="B12" t="str">
        <f>'PDF Scraping'!D11</f>
        <v>https://assets.contentstack.io/v3/assets/blt4eb669caa7dc65b2/bltfa6f25b50e8d0fda/6527c08f70acce324d6aecfc/20230930_Morningstar_Passive_Portfolio_Factsheets.pdf</v>
      </c>
    </row>
    <row r="13" spans="1:10" x14ac:dyDescent="0.25">
      <c r="A13" t="s">
        <v>52</v>
      </c>
      <c r="B13" t="str">
        <f>'PDF Scraping'!D12</f>
        <v>https://assets.contentstack.io/v3/assets/blt4eb669caa7dc65b2/blt2f96f2be93fb43c3/6527c0de31e1fa477a2aca2c/20230930_Morningstar_Income_Portfolio_Factsheets.pdf</v>
      </c>
    </row>
    <row r="14" spans="1:10" x14ac:dyDescent="0.25">
      <c r="A14" t="s">
        <v>53</v>
      </c>
      <c r="B14" t="str">
        <f>'PDF Scraping'!D13</f>
        <v>https://assets.contentstack.io/v3/assets/blt4eb669caa7dc65b2/blt2f96f2be93fb43c3/6527c0de31e1fa477a2aca2c/20230930_Morningstar_Income_Portfolio_Factsheets.pdf</v>
      </c>
    </row>
    <row r="15" spans="1:10" x14ac:dyDescent="0.25">
      <c r="A15" t="s">
        <v>55</v>
      </c>
      <c r="B15" t="str">
        <f>'PDF Scraping'!D14</f>
        <v>https://assets.contentstack.io/v3/assets/blt4eb669caa7dc65b2/blt040b4ef93b3a778c/6527c13e87b4dbe56e759193/20230930_Morningstar_Governed_Portfolio_Factsheets.pdf</v>
      </c>
    </row>
    <row r="16" spans="1:10" x14ac:dyDescent="0.25">
      <c r="A16" t="s">
        <v>56</v>
      </c>
      <c r="B16" t="str">
        <f>'PDF Scraping'!D15</f>
        <v>https://assets.contentstack.io/v3/assets/blt4eb669caa7dc65b2/blt040b4ef93b3a778c/6527c13e87b4dbe56e759193/20230930_Morningstar_Governed_Portfolio_Factsheets.pdf</v>
      </c>
    </row>
    <row r="17" spans="1:2" x14ac:dyDescent="0.25">
      <c r="A17" t="s">
        <v>57</v>
      </c>
      <c r="B17" t="str">
        <f>'PDF Scraping'!D16</f>
        <v>https://assets.contentstack.io/v3/assets/blt4eb669caa7dc65b2/blt040b4ef93b3a778c/6527c13e87b4dbe56e759193/20230930_Morningstar_Governed_Portfolio_Factsheets.pdf</v>
      </c>
    </row>
    <row r="18" spans="1:2" x14ac:dyDescent="0.25">
      <c r="A18" t="s">
        <v>58</v>
      </c>
      <c r="B18" t="str">
        <f>'PDF Scraping'!D17</f>
        <v>https://assets.contentstack.io/v3/assets/blt4eb669caa7dc65b2/blt040b4ef93b3a778c/6527c13e87b4dbe56e759193/20230930_Morningstar_Governed_Portfolio_Factsheets.pdf</v>
      </c>
    </row>
    <row r="19" spans="1:2" x14ac:dyDescent="0.25">
      <c r="A19" t="s">
        <v>59</v>
      </c>
      <c r="B19" t="str">
        <f>'PDF Scraping'!D18</f>
        <v>https://assets.contentstack.io/v3/assets/blt4eb669caa7dc65b2/blt040b4ef93b3a778c/6527c13e87b4dbe56e759193/20230930_Morningstar_Governed_Portfolio_Factsheets.pdf</v>
      </c>
    </row>
    <row r="20" spans="1:2" x14ac:dyDescent="0.25">
      <c r="A20" t="s">
        <v>60</v>
      </c>
      <c r="B20" t="str">
        <f>'PDF Scraping'!D19</f>
        <v>https://assets.contentstack.io/v3/assets/blt4eb669caa7dc65b2/blt040b4ef93b3a778c/6527c13e87b4dbe56e759193/20230930_Morningstar_Governed_Portfolio_Factsheets.pdf</v>
      </c>
    </row>
    <row r="21" spans="1:2" x14ac:dyDescent="0.25">
      <c r="A21" t="s">
        <v>62</v>
      </c>
      <c r="B21" t="str">
        <f>'PDF Scraping'!D20</f>
        <v>https://assets.contentstack.io/v3/assets/blt4eb669caa7dc65b2/blt9fba647afdcf0415/6527c189a0980f269cede97c/20230930_Morningstar_ESG_Portfolio_Factsheets.pdf</v>
      </c>
    </row>
    <row r="22" spans="1:2" x14ac:dyDescent="0.25">
      <c r="A22" t="s">
        <v>63</v>
      </c>
      <c r="B22" t="str">
        <f>'PDF Scraping'!D21</f>
        <v>https://assets.contentstack.io/v3/assets/blt4eb669caa7dc65b2/blt9fba647afdcf0415/6527c189a0980f269cede97c/20230930_Morningstar_ESG_Portfolio_Factsheets.pdf</v>
      </c>
    </row>
    <row r="23" spans="1:2" x14ac:dyDescent="0.25">
      <c r="A23" t="s">
        <v>64</v>
      </c>
      <c r="B23" t="str">
        <f>'PDF Scraping'!D22</f>
        <v>https://assets.contentstack.io/v3/assets/blt4eb669caa7dc65b2/blt9fba647afdcf0415/6527c189a0980f269cede97c/20230930_Morningstar_ESG_Portfolio_Factsheets.pdf</v>
      </c>
    </row>
    <row r="24" spans="1:2" x14ac:dyDescent="0.25">
      <c r="A24" t="s">
        <v>65</v>
      </c>
      <c r="B24" t="str">
        <f>'PDF Scraping'!D23</f>
        <v>https://assets.contentstack.io/v3/assets/blt4eb669caa7dc65b2/blt9fba647afdcf0415/6527c189a0980f269cede97c/20230930_Morningstar_ESG_Portfolio_Factsheets.pdf</v>
      </c>
    </row>
    <row r="25" spans="1:2" x14ac:dyDescent="0.25">
      <c r="A25" t="s">
        <v>66</v>
      </c>
      <c r="B25" t="str">
        <f>'PDF Scraping'!D24</f>
        <v>https://assets.contentstack.io/v3/assets/blt4eb669caa7dc65b2/blt9fba647afdcf0415/6527c189a0980f269cede97c/20230930_Morningstar_ESG_Portfolio_Factsheets.pdf</v>
      </c>
    </row>
    <row r="26" spans="1:2" x14ac:dyDescent="0.25">
      <c r="A26" t="s">
        <v>69</v>
      </c>
      <c r="B26" t="str">
        <f>'PDF Scraping'!D25</f>
        <v>https://assets.contentstack.io/v3/assets/blt4eb669caa7dc65b2/blt97375150a38687ed/6527c24831f9bb3fb796668b/20230930_Morningstar_International_GBP_Portfolio_Factsheets.pdf</v>
      </c>
    </row>
    <row r="27" spans="1:2" x14ac:dyDescent="0.25">
      <c r="A27" t="s">
        <v>70</v>
      </c>
      <c r="B27" t="str">
        <f>'PDF Scraping'!D26</f>
        <v>https://assets.contentstack.io/v3/assets/blt4eb669caa7dc65b2/blt97375150a38687ed/6527c24831f9bb3fb796668b/20230930_Morningstar_International_GBP_Portfolio_Factsheets.pdf</v>
      </c>
    </row>
    <row r="28" spans="1:2" x14ac:dyDescent="0.25">
      <c r="A28" t="s">
        <v>71</v>
      </c>
      <c r="B28" t="str">
        <f>'PDF Scraping'!D27</f>
        <v>https://assets.contentstack.io/v3/assets/blt4eb669caa7dc65b2/blt97375150a38687ed/6527c24831f9bb3fb796668b/20230930_Morningstar_International_GBP_Portfolio_Factsheets.pdf</v>
      </c>
    </row>
    <row r="29" spans="1:2" x14ac:dyDescent="0.25">
      <c r="A29" t="s">
        <v>72</v>
      </c>
      <c r="B29" t="str">
        <f>'PDF Scraping'!D28</f>
        <v>https://assets.contentstack.io/v3/assets/blt4eb669caa7dc65b2/blt97375150a38687ed/6527c24831f9bb3fb796668b/20230930_Morningstar_International_GBP_Portfolio_Factsheets.pdf</v>
      </c>
    </row>
    <row r="30" spans="1:2" x14ac:dyDescent="0.25">
      <c r="A30" t="s">
        <v>73</v>
      </c>
      <c r="B30" t="str">
        <f>'PDF Scraping'!D29</f>
        <v>https://assets.contentstack.io/v3/assets/blt4eb669caa7dc65b2/blt97375150a38687ed/6527c24831f9bb3fb796668b/20230930_Morningstar_International_GBP_Portfolio_Factsheets.pdf</v>
      </c>
    </row>
    <row r="31" spans="1:2" x14ac:dyDescent="0.25">
      <c r="A31" t="s">
        <v>75</v>
      </c>
      <c r="B31" t="str">
        <f>'PDF Scraping'!D30</f>
        <v>https://assets.contentstack.io/v3/assets/blt4eb669caa7dc65b2/blt2bba4d712fc3386d/6527c20c5a30453825005961/20230930_Morningstar_Blended_Portfolio_Factsheets.pdf</v>
      </c>
    </row>
    <row r="32" spans="1:2" x14ac:dyDescent="0.25">
      <c r="A32" t="s">
        <v>76</v>
      </c>
      <c r="B32" t="str">
        <f>'PDF Scraping'!D31</f>
        <v>https://assets.contentstack.io/v3/assets/blt4eb669caa7dc65b2/blt2bba4d712fc3386d/6527c20c5a30453825005961/20230930_Morningstar_Blended_Portfolio_Factsheets.pdf</v>
      </c>
    </row>
    <row r="33" spans="1:2" x14ac:dyDescent="0.25">
      <c r="A33" t="s">
        <v>77</v>
      </c>
      <c r="B33" t="str">
        <f>'PDF Scraping'!D32</f>
        <v>https://assets.contentstack.io/v3/assets/blt4eb669caa7dc65b2/blt2bba4d712fc3386d/6527c20c5a30453825005961/20230930_Morningstar_Blended_Portfolio_Factsheets.pdf</v>
      </c>
    </row>
    <row r="34" spans="1:2" x14ac:dyDescent="0.25">
      <c r="A34" t="s">
        <v>78</v>
      </c>
      <c r="B34" t="str">
        <f>'PDF Scraping'!D33</f>
        <v>https://assets.contentstack.io/v3/assets/blt4eb669caa7dc65b2/blt2bba4d712fc3386d/6527c20c5a30453825005961/20230930_Morningstar_Blended_Portfolio_Factsheets.pdf</v>
      </c>
    </row>
    <row r="35" spans="1:2" x14ac:dyDescent="0.25">
      <c r="A35" t="s">
        <v>79</v>
      </c>
      <c r="B35" t="str">
        <f>'PDF Scraping'!D34</f>
        <v>https://assets.contentstack.io/v3/assets/blt4eb669caa7dc65b2/blt2bba4d712fc3386d/6527c20c5a30453825005961/20230930_Morningstar_Blended_Portfolio_Factsheets.pdf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C2" sqref="C2"/>
    </sheetView>
  </sheetViews>
  <sheetFormatPr defaultRowHeight="15" x14ac:dyDescent="0.25"/>
  <cols>
    <col min="1" max="1" width="51.85546875" bestFit="1" customWidth="1"/>
    <col min="2" max="2" width="10.140625" bestFit="1" customWidth="1"/>
    <col min="3" max="3" width="26.5703125" style="5" bestFit="1" customWidth="1"/>
    <col min="4" max="4" width="8.85546875" style="5" bestFit="1" customWidth="1"/>
    <col min="5" max="5" width="8.140625" style="5" bestFit="1" customWidth="1"/>
    <col min="6" max="6" width="13.7109375" bestFit="1" customWidth="1"/>
  </cols>
  <sheetData>
    <row r="1" spans="1:6" x14ac:dyDescent="0.25">
      <c r="B1" t="s">
        <v>26</v>
      </c>
      <c r="C1" s="5" t="s">
        <v>80</v>
      </c>
      <c r="D1" s="5" t="s">
        <v>31</v>
      </c>
      <c r="E1" s="5" t="s">
        <v>81</v>
      </c>
    </row>
    <row r="2" spans="1:6" x14ac:dyDescent="0.25">
      <c r="A2" t="str">
        <f>IF(Input!A3="","",Input!A3)</f>
        <v>Cautious Active Portfolio</v>
      </c>
      <c r="B2" s="1" t="s">
        <v>109</v>
      </c>
      <c r="C2" s="5">
        <v>3.0000000000000001E-3</v>
      </c>
      <c r="D2" s="5">
        <v>4.8399999999999999E-2</v>
      </c>
      <c r="E2" s="5">
        <v>-3.4999999999999996E-3</v>
      </c>
      <c r="F2" s="5"/>
    </row>
    <row r="3" spans="1:6" x14ac:dyDescent="0.25">
      <c r="A3" t="str">
        <f>IF(Input!A4="","",Input!A4)</f>
        <v>Moderately Cautious Active Portfolio</v>
      </c>
      <c r="B3" s="1" t="s">
        <v>109</v>
      </c>
      <c r="C3" s="5">
        <v>3.0000000000000001E-3</v>
      </c>
      <c r="D3" s="5">
        <v>6.1799999999999994E-2</v>
      </c>
      <c r="E3" s="5">
        <v>-2.2000000000000001E-3</v>
      </c>
      <c r="F3" s="5"/>
    </row>
    <row r="4" spans="1:6" x14ac:dyDescent="0.25">
      <c r="A4" t="str">
        <f>IF(Input!A5="","",Input!A5)</f>
        <v>Moderate Active Portfolio</v>
      </c>
      <c r="B4" s="1" t="s">
        <v>109</v>
      </c>
      <c r="C4" s="5">
        <v>3.0000000000000001E-3</v>
      </c>
      <c r="D4" s="5">
        <v>7.1800000000000003E-2</v>
      </c>
      <c r="E4" s="5">
        <v>-8.9999999999999998E-4</v>
      </c>
      <c r="F4" s="5"/>
    </row>
    <row r="5" spans="1:6" x14ac:dyDescent="0.25">
      <c r="A5" t="str">
        <f>IF(Input!A6="","",Input!A6)</f>
        <v>Moderately Adventurous Active Portfolio</v>
      </c>
      <c r="B5" s="1" t="s">
        <v>109</v>
      </c>
      <c r="C5" s="5">
        <v>3.0000000000000001E-3</v>
      </c>
      <c r="D5" s="5">
        <v>8.3699999999999997E-2</v>
      </c>
      <c r="E5" s="5">
        <v>-5.0000000000000001E-4</v>
      </c>
      <c r="F5" s="5"/>
    </row>
    <row r="6" spans="1:6" x14ac:dyDescent="0.25">
      <c r="A6" t="str">
        <f>IF(Input!A7="","",Input!A7)</f>
        <v>Adventurous Active Portfolio</v>
      </c>
      <c r="B6" s="1" t="s">
        <v>109</v>
      </c>
      <c r="C6" s="5">
        <v>3.0000000000000001E-3</v>
      </c>
      <c r="D6" s="5">
        <v>9.9399999999999988E-2</v>
      </c>
      <c r="E6" s="5">
        <v>4.0000000000000002E-4</v>
      </c>
      <c r="F6" s="5"/>
    </row>
    <row r="7" spans="1:6" x14ac:dyDescent="0.25">
      <c r="A7" t="str">
        <f>IF(Input!A8="","",Input!A8)</f>
        <v>Cautious Passive Portfolio</v>
      </c>
      <c r="B7" s="1" t="s">
        <v>109</v>
      </c>
      <c r="C7" s="5">
        <v>2E-3</v>
      </c>
      <c r="D7" s="5">
        <v>4.6399999999999997E-2</v>
      </c>
      <c r="E7" s="5">
        <v>-3.0000000000000001E-3</v>
      </c>
      <c r="F7" s="5"/>
    </row>
    <row r="8" spans="1:6" x14ac:dyDescent="0.25">
      <c r="A8" t="str">
        <f>IF(Input!A9="","",Input!A9)</f>
        <v>Moderately Cautious Passive Portfolio</v>
      </c>
      <c r="B8" s="1" t="s">
        <v>109</v>
      </c>
      <c r="C8" s="5">
        <v>2E-3</v>
      </c>
      <c r="D8" s="5">
        <v>5.7800000000000004E-2</v>
      </c>
      <c r="E8" s="5">
        <v>-1E-3</v>
      </c>
      <c r="F8" s="5"/>
    </row>
    <row r="9" spans="1:6" x14ac:dyDescent="0.25">
      <c r="A9" t="str">
        <f>IF(Input!A10="","",Input!A10)</f>
        <v>Moderate Passive Portfolio</v>
      </c>
      <c r="B9" s="1" t="s">
        <v>109</v>
      </c>
      <c r="C9" s="5">
        <v>2E-3</v>
      </c>
      <c r="D9" s="5">
        <v>7.2999999999999995E-2</v>
      </c>
      <c r="E9" s="5">
        <v>5.9999999999999995E-4</v>
      </c>
      <c r="F9" s="5"/>
    </row>
    <row r="10" spans="1:6" x14ac:dyDescent="0.25">
      <c r="A10" t="str">
        <f>IF(Input!A11="","",Input!A11)</f>
        <v>Moderately Adventurous Passive Portfolio</v>
      </c>
      <c r="B10" s="1" t="s">
        <v>109</v>
      </c>
      <c r="C10" s="5">
        <v>2E-3</v>
      </c>
      <c r="D10" s="5">
        <v>9.11E-2</v>
      </c>
      <c r="E10" s="5">
        <v>2.7000000000000001E-3</v>
      </c>
      <c r="F10" s="5"/>
    </row>
    <row r="11" spans="1:6" x14ac:dyDescent="0.25">
      <c r="A11" t="str">
        <f>IF(Input!A12="","",Input!A12)</f>
        <v>Adventurous Passive Portfolio</v>
      </c>
      <c r="B11" s="1" t="s">
        <v>109</v>
      </c>
      <c r="C11" s="5">
        <v>2E-3</v>
      </c>
      <c r="D11" s="5">
        <v>0.10630000000000001</v>
      </c>
      <c r="E11" s="5">
        <v>4.6999999999999993E-3</v>
      </c>
      <c r="F11" s="5"/>
    </row>
    <row r="12" spans="1:6" x14ac:dyDescent="0.25">
      <c r="A12" t="str">
        <f>IF(Input!A13="","",Input!A13)</f>
        <v>Moderately Cautious Income Portfolio</v>
      </c>
      <c r="B12" s="1" t="s">
        <v>109</v>
      </c>
      <c r="C12" s="5">
        <v>3.0000000000000001E-3</v>
      </c>
      <c r="D12" s="5">
        <v>3.32E-2</v>
      </c>
      <c r="E12" s="5">
        <v>-6.4000000000000003E-3</v>
      </c>
      <c r="F12" s="5"/>
    </row>
    <row r="13" spans="1:6" x14ac:dyDescent="0.25">
      <c r="A13" t="str">
        <f>IF(Input!A14="","",Input!A14)</f>
        <v>Moderate Income Portfolio</v>
      </c>
      <c r="B13" s="1" t="s">
        <v>109</v>
      </c>
      <c r="C13" s="5">
        <v>3.0000000000000001E-3</v>
      </c>
      <c r="D13" s="5">
        <v>4.87E-2</v>
      </c>
      <c r="E13" s="5">
        <v>-2.5000000000000001E-3</v>
      </c>
      <c r="F13" s="5"/>
    </row>
    <row r="14" spans="1:6" x14ac:dyDescent="0.25">
      <c r="A14" t="str">
        <f>IF(Input!A15="","",Input!A15)</f>
        <v>Governed Portfolio - Cautious Growth</v>
      </c>
      <c r="B14" s="1" t="s">
        <v>109</v>
      </c>
      <c r="C14" s="5">
        <v>1.5E-3</v>
      </c>
      <c r="D14" s="5">
        <v>5.4699999999999999E-2</v>
      </c>
      <c r="E14" s="5">
        <v>-3.5999999999999999E-3</v>
      </c>
      <c r="F14" s="5"/>
    </row>
    <row r="15" spans="1:6" x14ac:dyDescent="0.25">
      <c r="A15" t="str">
        <f>IF(Input!A16="","",Input!A16)</f>
        <v>Governed Portfolio - Moderately Cautious Growth</v>
      </c>
      <c r="B15" s="1" t="s">
        <v>109</v>
      </c>
      <c r="C15" s="5">
        <v>1.5E-3</v>
      </c>
      <c r="D15" s="5">
        <v>6.6199999999999995E-2</v>
      </c>
      <c r="E15" s="5">
        <v>-2.7000000000000001E-3</v>
      </c>
      <c r="F15" s="5"/>
    </row>
    <row r="16" spans="1:6" x14ac:dyDescent="0.25">
      <c r="A16" t="str">
        <f>IF(Input!A17="","",Input!A17)</f>
        <v>Governed Portfolio - Moderate Growth</v>
      </c>
      <c r="B16" s="1" t="s">
        <v>109</v>
      </c>
      <c r="C16" s="5">
        <v>1.5E-3</v>
      </c>
      <c r="D16" s="5">
        <v>7.7699999999999991E-2</v>
      </c>
      <c r="E16" s="5">
        <v>-1.7000000000000001E-3</v>
      </c>
      <c r="F16" s="5"/>
    </row>
    <row r="17" spans="1:6" x14ac:dyDescent="0.25">
      <c r="A17" t="str">
        <f>IF(Input!A18="","",Input!A18)</f>
        <v>Governed Portfolio - Moderately Adventurous Growth</v>
      </c>
      <c r="B17" s="1" t="s">
        <v>109</v>
      </c>
      <c r="C17" s="5">
        <v>1.5E-3</v>
      </c>
      <c r="D17" s="5">
        <v>8.7499999999999994E-2</v>
      </c>
      <c r="E17" s="5">
        <v>-1.2999999999999999E-3</v>
      </c>
      <c r="F17" s="5"/>
    </row>
    <row r="18" spans="1:6" x14ac:dyDescent="0.25">
      <c r="A18" t="str">
        <f>IF(Input!A19="","",Input!A19)</f>
        <v>Governed Portfolio - Adventurous Growth</v>
      </c>
      <c r="B18" s="1" t="s">
        <v>109</v>
      </c>
      <c r="C18" s="5">
        <v>1.5E-3</v>
      </c>
      <c r="D18" s="5">
        <v>0.1033</v>
      </c>
      <c r="E18" s="5">
        <v>-4.0000000000000002E-4</v>
      </c>
      <c r="F18" s="5"/>
    </row>
    <row r="19" spans="1:6" x14ac:dyDescent="0.25">
      <c r="A19" t="str">
        <f>IF(Input!A20="","",Input!A20)</f>
        <v>Governed Portfolio - Moderately Cautious Income</v>
      </c>
      <c r="B19" s="1" t="s">
        <v>109</v>
      </c>
      <c r="C19" s="5">
        <v>1.5E-3</v>
      </c>
      <c r="D19" s="5">
        <v>2.9700000000000001E-2</v>
      </c>
      <c r="E19" s="5">
        <v>-6.4000000000000003E-3</v>
      </c>
      <c r="F19" s="5"/>
    </row>
    <row r="20" spans="1:6" x14ac:dyDescent="0.25">
      <c r="A20" t="str">
        <f>IF(Input!A21="","",Input!A21)</f>
        <v>ESG – Cautious Portfolio</v>
      </c>
      <c r="B20" s="1" t="s">
        <v>109</v>
      </c>
      <c r="C20" s="5">
        <v>2.5000000000000001E-3</v>
      </c>
      <c r="D20" s="5">
        <v>2.7799999999999998E-2</v>
      </c>
      <c r="E20" s="5">
        <v>-5.3E-3</v>
      </c>
      <c r="F20" s="5"/>
    </row>
    <row r="21" spans="1:6" x14ac:dyDescent="0.25">
      <c r="A21" t="str">
        <f>IF(Input!A22="","",Input!A22)</f>
        <v>ESG – Moderately Cautious Portfolio</v>
      </c>
      <c r="B21" s="1" t="s">
        <v>109</v>
      </c>
      <c r="C21" s="5">
        <v>2.5000000000000001E-3</v>
      </c>
      <c r="D21" s="5">
        <v>4.3099999999999999E-2</v>
      </c>
      <c r="E21" s="5">
        <v>-3.9000000000000003E-3</v>
      </c>
      <c r="F21" s="5"/>
    </row>
    <row r="22" spans="1:6" x14ac:dyDescent="0.25">
      <c r="A22" t="str">
        <f>IF(Input!A23="","",Input!A23)</f>
        <v>ESG – Moderate Portfolio</v>
      </c>
      <c r="B22" s="1" t="s">
        <v>109</v>
      </c>
      <c r="C22" s="5">
        <v>2.5000000000000001E-3</v>
      </c>
      <c r="D22" s="5">
        <v>6.0999999999999999E-2</v>
      </c>
      <c r="E22" s="5">
        <v>-1.5E-3</v>
      </c>
      <c r="F22" s="5"/>
    </row>
    <row r="23" spans="1:6" x14ac:dyDescent="0.25">
      <c r="A23" t="str">
        <f>IF(Input!A24="","",Input!A24)</f>
        <v>ESG – Moderately Adventurous Portfolio</v>
      </c>
      <c r="B23" s="1" t="s">
        <v>109</v>
      </c>
      <c r="C23" s="5">
        <v>2.5000000000000001E-3</v>
      </c>
      <c r="D23" s="5">
        <v>7.46E-2</v>
      </c>
      <c r="E23" s="5">
        <v>2.0000000000000001E-4</v>
      </c>
      <c r="F23" s="5"/>
    </row>
    <row r="24" spans="1:6" x14ac:dyDescent="0.25">
      <c r="A24" t="str">
        <f>IF(Input!A25="","",Input!A25)</f>
        <v>ESG – Adventurous Portfolio</v>
      </c>
      <c r="B24" s="1" t="s">
        <v>109</v>
      </c>
      <c r="C24" s="5">
        <v>2.5000000000000001E-3</v>
      </c>
      <c r="D24" s="5">
        <v>8.9499999999999996E-2</v>
      </c>
      <c r="E24" s="5">
        <v>8.0000000000000004E-4</v>
      </c>
      <c r="F24" s="5"/>
    </row>
    <row r="25" spans="1:6" x14ac:dyDescent="0.25">
      <c r="A25" t="str">
        <f>IF(Input!A26="","",Input!A26)</f>
        <v>International GBP - Cautious Growth</v>
      </c>
      <c r="B25" s="7" t="s">
        <v>109</v>
      </c>
      <c r="C25" s="5">
        <v>2.5000000000000001E-3</v>
      </c>
      <c r="D25" s="5">
        <v>4.7E-2</v>
      </c>
      <c r="E25" s="5">
        <v>-2.8000000000000004E-3</v>
      </c>
    </row>
    <row r="26" spans="1:6" x14ac:dyDescent="0.25">
      <c r="A26" t="str">
        <f>IF(Input!A27="","",Input!A27)</f>
        <v>International GBP - Moderately Cautious Growth</v>
      </c>
      <c r="B26" s="7" t="s">
        <v>109</v>
      </c>
      <c r="C26" s="5">
        <v>2.5000000000000001E-3</v>
      </c>
      <c r="D26" s="5">
        <v>6.3600000000000004E-2</v>
      </c>
      <c r="E26" s="5">
        <v>-7.000000000000001E-4</v>
      </c>
    </row>
    <row r="27" spans="1:6" x14ac:dyDescent="0.25">
      <c r="A27" t="str">
        <f>IF(Input!A28="","",Input!A28)</f>
        <v>International GBP - Moderate Growth</v>
      </c>
      <c r="B27" s="7" t="s">
        <v>109</v>
      </c>
      <c r="C27" s="5">
        <v>2.5000000000000001E-3</v>
      </c>
      <c r="D27" s="5">
        <v>7.9600000000000004E-2</v>
      </c>
      <c r="E27" s="5">
        <v>1.8E-3</v>
      </c>
    </row>
    <row r="28" spans="1:6" x14ac:dyDescent="0.25">
      <c r="A28" t="str">
        <f>IF(Input!A29="","",Input!A29)</f>
        <v>International GBP - Moderately Adventurous Growth</v>
      </c>
      <c r="B28" s="7" t="s">
        <v>109</v>
      </c>
      <c r="C28" s="5">
        <v>2.5000000000000001E-3</v>
      </c>
      <c r="D28" s="5">
        <v>9.3800000000000008E-2</v>
      </c>
      <c r="E28" s="5">
        <v>3.2000000000000002E-3</v>
      </c>
    </row>
    <row r="29" spans="1:6" x14ac:dyDescent="0.25">
      <c r="A29" t="str">
        <f>IF(Input!A30="","",Input!A30)</f>
        <v>International GBP - Adventurous Growth</v>
      </c>
      <c r="B29" s="7" t="s">
        <v>109</v>
      </c>
      <c r="C29" s="5">
        <v>2.5000000000000001E-3</v>
      </c>
      <c r="D29" s="5">
        <v>0.1116</v>
      </c>
      <c r="E29" s="5">
        <v>4.7999999999999996E-3</v>
      </c>
    </row>
    <row r="30" spans="1:6" x14ac:dyDescent="0.25">
      <c r="A30" t="str">
        <f>IF(Input!A31="","",Input!A31)</f>
        <v>Morningstar Blended Cautious Portfolio</v>
      </c>
      <c r="B30" s="7" t="s">
        <v>109</v>
      </c>
      <c r="C30" s="5">
        <v>2E-3</v>
      </c>
      <c r="D30" s="5">
        <v>5.4699999999999999E-2</v>
      </c>
      <c r="E30" s="5">
        <v>-3.5999999999999999E-3</v>
      </c>
    </row>
    <row r="31" spans="1:6" x14ac:dyDescent="0.25">
      <c r="A31" t="str">
        <f>IF(Input!A32="","",Input!A32)</f>
        <v>Morningstar Blended Moderately Cautious Portfolio</v>
      </c>
      <c r="B31" s="7" t="s">
        <v>109</v>
      </c>
      <c r="C31" s="5">
        <v>2E-3</v>
      </c>
      <c r="D31" s="5">
        <v>6.6199999999999995E-2</v>
      </c>
      <c r="E31" s="5">
        <v>-2.7000000000000001E-3</v>
      </c>
    </row>
    <row r="32" spans="1:6" x14ac:dyDescent="0.25">
      <c r="A32" t="str">
        <f>IF(Input!A33="","",Input!A33)</f>
        <v>Morningstar Blended Moderate Portfolio</v>
      </c>
      <c r="B32" s="7" t="s">
        <v>109</v>
      </c>
      <c r="C32" s="5">
        <v>2E-3</v>
      </c>
      <c r="D32" s="5">
        <v>7.7699999999999991E-2</v>
      </c>
      <c r="E32" s="5">
        <v>-1.7000000000000001E-3</v>
      </c>
    </row>
    <row r="33" spans="1:5" x14ac:dyDescent="0.25">
      <c r="A33" t="str">
        <f>IF(Input!A34="","",Input!A34)</f>
        <v>Morningstar Blended Moderately Adventurous Portfolio</v>
      </c>
      <c r="B33" s="7" t="s">
        <v>109</v>
      </c>
      <c r="C33" s="5">
        <v>2E-3</v>
      </c>
      <c r="D33" s="5">
        <v>8.7499999999999994E-2</v>
      </c>
      <c r="E33" s="5">
        <v>-1.2999999999999999E-3</v>
      </c>
    </row>
    <row r="34" spans="1:5" x14ac:dyDescent="0.25">
      <c r="A34" t="str">
        <f>IF(Input!A35="","",Input!A35)</f>
        <v>Morningstar Blended Adventurous Portfolio</v>
      </c>
      <c r="B34" s="7" t="s">
        <v>109</v>
      </c>
      <c r="C34" s="5">
        <v>2E-3</v>
      </c>
      <c r="D34" s="5">
        <v>0.1033</v>
      </c>
      <c r="E34" s="5">
        <v>-4.0000000000000002E-4</v>
      </c>
    </row>
    <row r="35" spans="1:5" x14ac:dyDescent="0.25">
      <c r="A35" t="str">
        <f>IF(Input!A36="","",Input!A36)</f>
        <v/>
      </c>
    </row>
    <row r="36" spans="1:5" x14ac:dyDescent="0.25">
      <c r="A36" t="str">
        <f>IF(Input!A37="","",Input!A37)</f>
        <v/>
      </c>
    </row>
    <row r="37" spans="1:5" x14ac:dyDescent="0.25">
      <c r="A37" t="str">
        <f>IF(Input!A38="","",Input!A38)</f>
        <v/>
      </c>
    </row>
    <row r="38" spans="1:5" x14ac:dyDescent="0.25">
      <c r="A38" t="str">
        <f>IF(Input!A39="","",Input!A39)</f>
        <v/>
      </c>
    </row>
    <row r="39" spans="1:5" x14ac:dyDescent="0.25">
      <c r="A39" t="str">
        <f>IF(Input!A40="","",Input!A40)</f>
        <v/>
      </c>
    </row>
    <row r="40" spans="1:5" x14ac:dyDescent="0.25">
      <c r="A40" t="str">
        <f>IF(Input!A41="","",Input!A41)</f>
        <v/>
      </c>
    </row>
    <row r="41" spans="1:5" x14ac:dyDescent="0.25">
      <c r="A41" t="str">
        <f>IF(Input!A42="","",Input!A42)</f>
        <v/>
      </c>
    </row>
    <row r="42" spans="1:5" x14ac:dyDescent="0.25">
      <c r="A42" t="str">
        <f>IF(Input!A43="","",Input!A43)</f>
        <v/>
      </c>
    </row>
    <row r="43" spans="1:5" x14ac:dyDescent="0.25">
      <c r="A43" t="str">
        <f>IF(Input!A44="","",Input!A44)</f>
        <v/>
      </c>
    </row>
    <row r="44" spans="1:5" x14ac:dyDescent="0.25">
      <c r="A44" t="str">
        <f>IF(Input!A45="","",Input!A45)</f>
        <v/>
      </c>
    </row>
    <row r="45" spans="1:5" x14ac:dyDescent="0.25">
      <c r="A45" t="str">
        <f>IF(Input!A46="","",Input!A46)</f>
        <v/>
      </c>
    </row>
    <row r="46" spans="1:5" x14ac:dyDescent="0.25">
      <c r="A46" t="str">
        <f>IF(Input!A47="","",Input!A47)</f>
        <v/>
      </c>
    </row>
    <row r="47" spans="1:5" x14ac:dyDescent="0.25">
      <c r="A47" t="str">
        <f>IF(Input!A48="","",Input!A48)</f>
        <v/>
      </c>
    </row>
    <row r="48" spans="1:5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70" zoomScaleNormal="70" workbookViewId="0">
      <selection activeCell="K17" sqref="K17"/>
    </sheetView>
  </sheetViews>
  <sheetFormatPr defaultRowHeight="15" x14ac:dyDescent="0.25"/>
  <cols>
    <col min="1" max="1" width="51.85546875" bestFit="1" customWidth="1"/>
    <col min="2" max="2" width="12.85546875" bestFit="1" customWidth="1"/>
    <col min="3" max="3" width="7.42578125" bestFit="1" customWidth="1"/>
    <col min="4" max="4" width="22.7109375" bestFit="1" customWidth="1"/>
    <col min="5" max="5" width="19.140625" bestFit="1" customWidth="1"/>
    <col min="6" max="6" width="9.42578125" bestFit="1" customWidth="1"/>
    <col min="7" max="7" width="21.42578125" bestFit="1" customWidth="1"/>
    <col min="8" max="8" width="11.140625" bestFit="1" customWidth="1"/>
    <col min="9" max="9" width="28.7109375" bestFit="1" customWidth="1"/>
    <col min="10" max="10" width="21.42578125" bestFit="1" customWidth="1"/>
    <col min="11" max="11" width="8" bestFit="1" customWidth="1"/>
    <col min="12" max="12" width="12.7109375" bestFit="1" customWidth="1"/>
    <col min="13" max="13" width="12" bestFit="1" customWidth="1"/>
    <col min="14" max="14" width="26.85546875" bestFit="1" customWidth="1"/>
    <col min="15" max="15" width="21.42578125" bestFit="1" customWidth="1"/>
    <col min="16" max="16" width="12.140625" style="12" bestFit="1" customWidth="1"/>
    <col min="17" max="17" width="12.140625" bestFit="1" customWidth="1"/>
    <col min="18" max="18" width="8.7109375" bestFit="1" customWidth="1"/>
    <col min="19" max="19" width="15.5703125" bestFit="1" customWidth="1"/>
    <col min="20" max="20" width="12.5703125" bestFit="1" customWidth="1"/>
    <col min="21" max="21" width="23.7109375" bestFit="1" customWidth="1"/>
    <col min="22" max="22" width="23.42578125" bestFit="1" customWidth="1"/>
    <col min="23" max="23" width="23.28515625" style="10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A1" s="10"/>
      <c r="B1" s="10" t="s">
        <v>33</v>
      </c>
      <c r="C1" s="10" t="s">
        <v>2</v>
      </c>
      <c r="D1" s="10" t="s">
        <v>82</v>
      </c>
      <c r="E1" s="10" t="s">
        <v>83</v>
      </c>
      <c r="F1" s="10" t="s">
        <v>84</v>
      </c>
      <c r="G1" s="10" t="s">
        <v>85</v>
      </c>
      <c r="H1" s="10" t="s">
        <v>86</v>
      </c>
      <c r="I1" s="10" t="s">
        <v>87</v>
      </c>
      <c r="J1" s="10" t="s">
        <v>88</v>
      </c>
      <c r="K1" s="10" t="s">
        <v>89</v>
      </c>
      <c r="L1" s="10" t="s">
        <v>20</v>
      </c>
      <c r="M1" s="10" t="s">
        <v>90</v>
      </c>
      <c r="N1" s="10" t="s">
        <v>91</v>
      </c>
      <c r="O1" s="10" t="s">
        <v>92</v>
      </c>
      <c r="P1" s="12" t="s">
        <v>93</v>
      </c>
      <c r="Q1" s="10" t="s">
        <v>94</v>
      </c>
      <c r="R1" s="10" t="s">
        <v>95</v>
      </c>
      <c r="S1" s="10" t="s">
        <v>96</v>
      </c>
      <c r="T1" s="10" t="s">
        <v>97</v>
      </c>
      <c r="U1" s="10" t="s">
        <v>98</v>
      </c>
      <c r="V1" s="10" t="s">
        <v>99</v>
      </c>
      <c r="W1" s="10" t="s">
        <v>100</v>
      </c>
      <c r="X1" s="10" t="s">
        <v>101</v>
      </c>
      <c r="Y1" s="10"/>
      <c r="Z1" s="10"/>
    </row>
    <row r="2" spans="1:30" x14ac:dyDescent="0.25">
      <c r="A2" s="10" t="str">
        <f>IF(Input!A3="","",Input!A3)</f>
        <v>Cautious Active Portfolio</v>
      </c>
      <c r="B2" s="11">
        <v>0.72799999999999998</v>
      </c>
      <c r="C2" s="11">
        <v>0.217</v>
      </c>
      <c r="D2" s="11">
        <v>5.5E-2</v>
      </c>
      <c r="E2" s="11">
        <v>0.32299999999999995</v>
      </c>
      <c r="F2" s="11">
        <v>5.9000000000000004E-2</v>
      </c>
      <c r="G2" s="11"/>
      <c r="H2" s="11">
        <v>0.125</v>
      </c>
      <c r="I2" s="11">
        <v>3.5000000000000003E-2</v>
      </c>
      <c r="J2" s="11">
        <v>0.03</v>
      </c>
      <c r="K2" s="11">
        <v>0.115</v>
      </c>
      <c r="L2" s="11">
        <v>4.8000000000000001E-2</v>
      </c>
      <c r="M2" s="11">
        <v>1.3000000000000001E-2</v>
      </c>
      <c r="N2" s="11">
        <v>0.03</v>
      </c>
      <c r="O2" s="11">
        <v>5.5E-2</v>
      </c>
      <c r="P2" s="13">
        <v>1.4999999999999999E-2</v>
      </c>
      <c r="Q2" s="11"/>
      <c r="R2" s="11"/>
      <c r="S2" s="10"/>
      <c r="T2" s="11">
        <v>0.05</v>
      </c>
      <c r="U2" s="11">
        <v>2.7000000000000003E-2</v>
      </c>
      <c r="V2" s="11">
        <v>0.02</v>
      </c>
      <c r="X2" s="11">
        <f>SUM(B2:W2)+D2</f>
        <v>1.9999999999999996</v>
      </c>
      <c r="Y2" s="10"/>
      <c r="Z2" s="10"/>
    </row>
    <row r="3" spans="1:30" x14ac:dyDescent="0.25">
      <c r="A3" s="10" t="str">
        <f>IF(Input!A4="","",Input!A4)</f>
        <v>Moderately Cautious Active Portfolio</v>
      </c>
      <c r="B3" s="11">
        <v>0.54749999999999999</v>
      </c>
      <c r="C3" s="11">
        <v>0.41700000000000004</v>
      </c>
      <c r="D3" s="11">
        <v>3.5499999999999997E-2</v>
      </c>
      <c r="E3" s="11">
        <v>0.23749999999999999</v>
      </c>
      <c r="F3" s="11">
        <v>0.11699999999999999</v>
      </c>
      <c r="G3" s="11"/>
      <c r="H3" s="11">
        <v>0.09</v>
      </c>
      <c r="I3" s="11">
        <v>0.03</v>
      </c>
      <c r="J3" s="11">
        <v>2.5000000000000001E-2</v>
      </c>
      <c r="K3" s="11">
        <v>0.1</v>
      </c>
      <c r="L3" s="11">
        <v>8.3499999999999991E-2</v>
      </c>
      <c r="M3" s="11">
        <v>2.2000000000000002E-2</v>
      </c>
      <c r="N3" s="11">
        <v>0.02</v>
      </c>
      <c r="O3" s="11">
        <v>0.111</v>
      </c>
      <c r="P3" s="13">
        <v>3.3500000000000002E-2</v>
      </c>
      <c r="Q3" s="11"/>
      <c r="R3" s="11"/>
      <c r="S3" s="11">
        <v>1.3000000000000001E-2</v>
      </c>
      <c r="T3" s="11">
        <v>0.03</v>
      </c>
      <c r="U3" s="11">
        <v>3.7000000000000005E-2</v>
      </c>
      <c r="V3" s="11">
        <v>1.4999999999999999E-2</v>
      </c>
      <c r="X3" s="11">
        <f t="shared" ref="X3:X34" si="0">SUM(B3:W3)+D3</f>
        <v>2</v>
      </c>
      <c r="Y3" s="10"/>
      <c r="Z3" s="10"/>
    </row>
    <row r="4" spans="1:30" x14ac:dyDescent="0.25">
      <c r="A4" s="10" t="str">
        <f>IF(Input!A5="","",Input!A5)</f>
        <v>Moderate Active Portfolio</v>
      </c>
      <c r="B4" s="11">
        <v>0.35350000000000004</v>
      </c>
      <c r="C4" s="11">
        <v>0.61750000000000005</v>
      </c>
      <c r="D4" s="11">
        <v>2.8999999999999998E-2</v>
      </c>
      <c r="E4" s="11">
        <v>0.14949999999999999</v>
      </c>
      <c r="F4" s="11">
        <v>0.17600000000000002</v>
      </c>
      <c r="G4" s="11"/>
      <c r="H4" s="11">
        <v>0.05</v>
      </c>
      <c r="I4" s="11">
        <v>2.75E-2</v>
      </c>
      <c r="J4" s="11"/>
      <c r="K4" s="11">
        <v>7.400000000000001E-2</v>
      </c>
      <c r="L4" s="11">
        <v>0.126</v>
      </c>
      <c r="M4" s="11">
        <v>2.7999999999999997E-2</v>
      </c>
      <c r="N4" s="11">
        <v>0.02</v>
      </c>
      <c r="O4" s="11">
        <v>0.161</v>
      </c>
      <c r="P4" s="13">
        <v>4.7E-2</v>
      </c>
      <c r="Q4" s="11"/>
      <c r="R4" s="11"/>
      <c r="S4" s="11">
        <v>2.7999999999999997E-2</v>
      </c>
      <c r="T4" s="11">
        <v>3.2500000000000001E-2</v>
      </c>
      <c r="U4" s="11">
        <v>5.1500000000000004E-2</v>
      </c>
      <c r="V4" s="10"/>
      <c r="X4" s="11">
        <f t="shared" si="0"/>
        <v>2.0000000000000004</v>
      </c>
      <c r="Y4" s="10"/>
      <c r="Z4" s="10"/>
    </row>
    <row r="5" spans="1:30" x14ac:dyDescent="0.25">
      <c r="A5" s="10" t="str">
        <f>IF(Input!A6="","",Input!A6)</f>
        <v>Moderately Adventurous Active Portfolio</v>
      </c>
      <c r="B5" s="11">
        <v>0.16149999999999998</v>
      </c>
      <c r="C5" s="11">
        <v>0.81849999999999989</v>
      </c>
      <c r="D5" s="11">
        <v>0.02</v>
      </c>
      <c r="E5" s="11">
        <v>6.1500000000000006E-2</v>
      </c>
      <c r="F5" s="11">
        <v>0.22500000000000001</v>
      </c>
      <c r="G5" s="11"/>
      <c r="H5" s="11">
        <v>0.03</v>
      </c>
      <c r="I5" s="11">
        <v>1.1000000000000001E-2</v>
      </c>
      <c r="J5" s="11"/>
      <c r="K5" s="11">
        <v>4.8000000000000001E-2</v>
      </c>
      <c r="L5" s="11">
        <v>0.17800000000000002</v>
      </c>
      <c r="M5" s="11">
        <v>4.5999999999999999E-2</v>
      </c>
      <c r="N5" s="11"/>
      <c r="O5" s="11">
        <v>0.20600000000000002</v>
      </c>
      <c r="P5" s="13">
        <v>5.9000000000000004E-2</v>
      </c>
      <c r="Q5" s="11"/>
      <c r="R5" s="11"/>
      <c r="S5" s="11">
        <v>3.6499999999999998E-2</v>
      </c>
      <c r="T5" s="11">
        <v>1.1000000000000001E-2</v>
      </c>
      <c r="U5" s="11">
        <v>5.2499999999999998E-2</v>
      </c>
      <c r="V5" s="10"/>
      <c r="W5" s="11">
        <v>1.55E-2</v>
      </c>
      <c r="X5" s="11">
        <f t="shared" si="0"/>
        <v>1.9999999999999998</v>
      </c>
      <c r="Y5" s="10"/>
      <c r="Z5" s="10"/>
    </row>
    <row r="6" spans="1:30" x14ac:dyDescent="0.25">
      <c r="A6" s="10" t="str">
        <f>IF(Input!A7="","",Input!A7)</f>
        <v>Adventurous Active Portfolio</v>
      </c>
      <c r="B6" s="11">
        <v>1.2E-2</v>
      </c>
      <c r="C6" s="11">
        <v>0.96799999999999997</v>
      </c>
      <c r="D6" s="11">
        <v>0.02</v>
      </c>
      <c r="E6" s="11"/>
      <c r="F6" s="11">
        <v>0.27399999999999997</v>
      </c>
      <c r="G6" s="11"/>
      <c r="H6" s="11"/>
      <c r="I6" s="11"/>
      <c r="J6" s="11"/>
      <c r="K6" s="11"/>
      <c r="L6" s="11">
        <v>0.20600000000000002</v>
      </c>
      <c r="M6" s="11">
        <v>5.2999999999999999E-2</v>
      </c>
      <c r="N6" s="11"/>
      <c r="O6" s="11">
        <v>0.248</v>
      </c>
      <c r="P6" s="13">
        <v>6.9500000000000006E-2</v>
      </c>
      <c r="Q6" s="11"/>
      <c r="R6" s="11"/>
      <c r="S6" s="11">
        <v>0.04</v>
      </c>
      <c r="T6" s="11">
        <v>1.2E-2</v>
      </c>
      <c r="U6" s="11">
        <v>5.5500000000000001E-2</v>
      </c>
      <c r="V6" s="10"/>
      <c r="W6" s="11">
        <v>2.2000000000000002E-2</v>
      </c>
      <c r="X6" s="11">
        <f t="shared" si="0"/>
        <v>2</v>
      </c>
      <c r="Y6" s="10"/>
      <c r="Z6" s="10"/>
    </row>
    <row r="7" spans="1:30" x14ac:dyDescent="0.25">
      <c r="A7" s="10" t="str">
        <f>IF(Input!A8="","",Input!A8)</f>
        <v>Cautious Passive Portfolio</v>
      </c>
      <c r="B7" s="11">
        <v>0.73049999999999993</v>
      </c>
      <c r="C7" s="11">
        <v>0.2145</v>
      </c>
      <c r="D7" s="11">
        <v>5.5E-2</v>
      </c>
      <c r="E7" s="11">
        <v>0.33750000000000002</v>
      </c>
      <c r="F7" s="11">
        <v>6.25E-2</v>
      </c>
      <c r="G7" s="11"/>
      <c r="H7" s="11">
        <v>0.113</v>
      </c>
      <c r="I7" s="11">
        <v>0.04</v>
      </c>
      <c r="J7" s="11">
        <v>0.03</v>
      </c>
      <c r="K7" s="11">
        <v>0.115</v>
      </c>
      <c r="L7" s="11">
        <v>4.3499999999999997E-2</v>
      </c>
      <c r="M7" s="11">
        <v>1.1000000000000001E-2</v>
      </c>
      <c r="N7" s="11">
        <v>0.03</v>
      </c>
      <c r="O7" s="11">
        <v>4.7500000000000001E-2</v>
      </c>
      <c r="P7" s="13">
        <v>1.4499999999999999E-2</v>
      </c>
      <c r="Q7" s="11">
        <v>0.01</v>
      </c>
      <c r="R7" s="11"/>
      <c r="S7" s="11"/>
      <c r="T7" s="11">
        <v>4.4999999999999998E-2</v>
      </c>
      <c r="U7" s="11">
        <v>2.5499999999999998E-2</v>
      </c>
      <c r="V7" s="11">
        <v>0.02</v>
      </c>
      <c r="X7" s="11">
        <f t="shared" si="0"/>
        <v>2</v>
      </c>
      <c r="Y7" s="10"/>
      <c r="Z7" s="10"/>
      <c r="AD7" s="5"/>
    </row>
    <row r="8" spans="1:30" x14ac:dyDescent="0.25">
      <c r="A8" s="10" t="str">
        <f>IF(Input!A9="","",Input!A9)</f>
        <v>Moderately Cautious Passive Portfolio</v>
      </c>
      <c r="B8" s="11">
        <v>0.54749999999999999</v>
      </c>
      <c r="C8" s="11">
        <v>0.41499999999999998</v>
      </c>
      <c r="D8" s="11">
        <v>3.7499999999999999E-2</v>
      </c>
      <c r="E8" s="11">
        <v>0.25</v>
      </c>
      <c r="F8" s="11">
        <v>0.11749999999999999</v>
      </c>
      <c r="G8" s="11"/>
      <c r="H8" s="11">
        <v>0.10249999999999999</v>
      </c>
      <c r="I8" s="11">
        <v>3.5000000000000003E-2</v>
      </c>
      <c r="J8" s="11">
        <v>1.7500000000000002E-2</v>
      </c>
      <c r="K8" s="11">
        <v>9.2499999999999999E-2</v>
      </c>
      <c r="L8" s="11">
        <v>8.6500000000000007E-2</v>
      </c>
      <c r="M8" s="11">
        <v>1.55E-2</v>
      </c>
      <c r="N8" s="11">
        <v>0.02</v>
      </c>
      <c r="O8" s="11">
        <v>0.10400000000000001</v>
      </c>
      <c r="P8" s="13">
        <v>2.8999999999999998E-2</v>
      </c>
      <c r="Q8" s="11"/>
      <c r="R8" s="11"/>
      <c r="S8" s="11">
        <v>1.7500000000000002E-2</v>
      </c>
      <c r="T8" s="11">
        <v>1.4999999999999999E-2</v>
      </c>
      <c r="U8" s="11">
        <v>4.4999999999999998E-2</v>
      </c>
      <c r="V8" s="11">
        <v>1.4999999999999999E-2</v>
      </c>
      <c r="X8" s="11">
        <f t="shared" si="0"/>
        <v>2</v>
      </c>
      <c r="Y8" s="10"/>
      <c r="Z8" s="10"/>
    </row>
    <row r="9" spans="1:30" x14ac:dyDescent="0.25">
      <c r="A9" s="10" t="str">
        <f>IF(Input!A10="","",Input!A10)</f>
        <v>Moderate Passive Portfolio</v>
      </c>
      <c r="B9" s="11">
        <v>0.35499999999999998</v>
      </c>
      <c r="C9" s="11">
        <v>0.61499999999999999</v>
      </c>
      <c r="D9" s="11">
        <v>0.03</v>
      </c>
      <c r="E9" s="11">
        <v>0.151</v>
      </c>
      <c r="F9" s="11">
        <v>0.18149999999999999</v>
      </c>
      <c r="G9" s="11"/>
      <c r="H9" s="11">
        <v>7.4499999999999997E-2</v>
      </c>
      <c r="I9" s="11">
        <v>3.15E-2</v>
      </c>
      <c r="J9" s="11"/>
      <c r="K9" s="11">
        <v>5.2000000000000005E-2</v>
      </c>
      <c r="L9" s="11">
        <v>0.1075</v>
      </c>
      <c r="M9" s="11">
        <v>2.5000000000000001E-2</v>
      </c>
      <c r="N9" s="11">
        <v>0.02</v>
      </c>
      <c r="O9" s="11">
        <v>0.16899999999999998</v>
      </c>
      <c r="P9" s="13">
        <v>4.0999999999999995E-2</v>
      </c>
      <c r="Q9" s="11"/>
      <c r="R9" s="11"/>
      <c r="S9" s="11">
        <v>3.2500000000000001E-2</v>
      </c>
      <c r="T9" s="11">
        <v>2.6000000000000002E-2</v>
      </c>
      <c r="U9" s="11">
        <v>5.8499999999999996E-2</v>
      </c>
      <c r="V9" s="10"/>
      <c r="X9" s="11">
        <f t="shared" si="0"/>
        <v>2</v>
      </c>
      <c r="Y9" s="10"/>
      <c r="Z9" s="10"/>
    </row>
    <row r="10" spans="1:30" x14ac:dyDescent="0.25">
      <c r="A10" s="10" t="str">
        <f>IF(Input!A11="","",Input!A11)</f>
        <v>Moderately Adventurous Passive Portfolio</v>
      </c>
      <c r="B10" s="11">
        <v>0.16500000000000001</v>
      </c>
      <c r="C10" s="11">
        <v>0.81499999999999995</v>
      </c>
      <c r="D10" s="11">
        <v>0.02</v>
      </c>
      <c r="E10" s="11">
        <v>6.2E-2</v>
      </c>
      <c r="F10" s="11">
        <v>0.23300000000000001</v>
      </c>
      <c r="G10" s="11"/>
      <c r="H10" s="11">
        <v>3.7999999999999999E-2</v>
      </c>
      <c r="I10" s="11">
        <v>1.4999999999999999E-2</v>
      </c>
      <c r="J10" s="11"/>
      <c r="K10" s="11">
        <v>0.04</v>
      </c>
      <c r="L10" s="11">
        <v>0.13949999999999999</v>
      </c>
      <c r="M10" s="11">
        <v>3.9E-2</v>
      </c>
      <c r="N10" s="11"/>
      <c r="O10" s="11">
        <v>0.23199999999999998</v>
      </c>
      <c r="P10" s="13">
        <v>5.1500000000000004E-2</v>
      </c>
      <c r="Q10" s="11"/>
      <c r="R10" s="11"/>
      <c r="S10" s="11">
        <v>4.7500000000000001E-2</v>
      </c>
      <c r="T10" s="11">
        <v>0.01</v>
      </c>
      <c r="U10" s="11">
        <v>7.2499999999999995E-2</v>
      </c>
      <c r="V10" s="10"/>
      <c r="X10" s="11">
        <f t="shared" si="0"/>
        <v>2</v>
      </c>
      <c r="Y10" s="10"/>
      <c r="Z10" s="10"/>
    </row>
    <row r="11" spans="1:30" x14ac:dyDescent="0.25">
      <c r="A11" s="10" t="str">
        <f>IF(Input!A12="","",Input!A12)</f>
        <v>Adventurous Passive Portfolio</v>
      </c>
      <c r="B11" s="11">
        <v>1.4999999999999999E-2</v>
      </c>
      <c r="C11" s="11">
        <v>0.96499999999999997</v>
      </c>
      <c r="D11" s="11">
        <v>0.02</v>
      </c>
      <c r="E11" s="11"/>
      <c r="F11" s="11">
        <v>0.27750000000000002</v>
      </c>
      <c r="G11" s="11"/>
      <c r="H11" s="11"/>
      <c r="I11" s="11"/>
      <c r="J11" s="11"/>
      <c r="K11" s="11"/>
      <c r="L11" s="11">
        <v>0.16899999999999998</v>
      </c>
      <c r="M11" s="11">
        <v>0.05</v>
      </c>
      <c r="N11" s="11"/>
      <c r="O11" s="11">
        <v>0.26850000000000002</v>
      </c>
      <c r="P11" s="13">
        <v>0.06</v>
      </c>
      <c r="Q11" s="11"/>
      <c r="R11" s="10"/>
      <c r="S11" s="11">
        <v>0.05</v>
      </c>
      <c r="T11" s="11">
        <v>1.4999999999999999E-2</v>
      </c>
      <c r="U11" s="11">
        <v>0.09</v>
      </c>
      <c r="V11" s="10"/>
      <c r="X11" s="11">
        <f t="shared" si="0"/>
        <v>2</v>
      </c>
      <c r="Y11" s="10"/>
      <c r="Z11" s="10"/>
    </row>
    <row r="12" spans="1:30" s="10" customFormat="1" x14ac:dyDescent="0.25">
      <c r="A12" s="10" t="str">
        <f>IF(Input!A13="","",Input!A13)</f>
        <v>Moderately Cautious Income Portfolio</v>
      </c>
      <c r="B12" s="11">
        <v>0.65</v>
      </c>
      <c r="C12" s="11">
        <v>0.33</v>
      </c>
      <c r="D12" s="11">
        <v>0.02</v>
      </c>
      <c r="E12" s="11">
        <v>0.16</v>
      </c>
      <c r="F12" s="11">
        <v>0.125</v>
      </c>
      <c r="G12" s="11">
        <v>0.11</v>
      </c>
      <c r="H12" s="11">
        <v>0.1</v>
      </c>
      <c r="I12" s="11">
        <v>0.09</v>
      </c>
      <c r="J12" s="11">
        <v>0.08</v>
      </c>
      <c r="K12" s="11">
        <v>0.08</v>
      </c>
      <c r="L12" s="11">
        <v>5.5E-2</v>
      </c>
      <c r="M12" s="11">
        <v>0.03</v>
      </c>
      <c r="N12" s="11">
        <v>0.03</v>
      </c>
      <c r="O12" s="11">
        <v>0.03</v>
      </c>
      <c r="P12" s="13">
        <v>2.5000000000000001E-2</v>
      </c>
      <c r="Q12" s="11">
        <v>2.5000000000000001E-2</v>
      </c>
      <c r="R12" s="11">
        <v>2.5000000000000001E-2</v>
      </c>
      <c r="S12" s="11">
        <v>1.4999999999999999E-2</v>
      </c>
      <c r="T12" s="11"/>
      <c r="X12" s="11">
        <f t="shared" si="0"/>
        <v>2</v>
      </c>
    </row>
    <row r="13" spans="1:30" s="10" customFormat="1" x14ac:dyDescent="0.25">
      <c r="A13" s="10" t="str">
        <f>IF(Input!A14="","",Input!A14)</f>
        <v>Moderate Income Portfolio</v>
      </c>
      <c r="B13" s="11">
        <v>0.40500000000000003</v>
      </c>
      <c r="C13" s="11">
        <v>0.57499999999999996</v>
      </c>
      <c r="D13" s="11">
        <v>0.02</v>
      </c>
      <c r="E13" s="11">
        <v>0.12</v>
      </c>
      <c r="F13" s="11">
        <v>0.22</v>
      </c>
      <c r="G13" s="11">
        <v>9.5000000000000001E-2</v>
      </c>
      <c r="H13" s="11">
        <v>0.04</v>
      </c>
      <c r="I13" s="11">
        <v>0.06</v>
      </c>
      <c r="J13" s="11">
        <v>0.05</v>
      </c>
      <c r="K13" s="11">
        <v>0.04</v>
      </c>
      <c r="L13" s="11">
        <v>8.5000000000000006E-2</v>
      </c>
      <c r="M13" s="11">
        <v>0.04</v>
      </c>
      <c r="N13" s="11"/>
      <c r="O13" s="11">
        <v>5.5E-2</v>
      </c>
      <c r="P13" s="13">
        <v>0.04</v>
      </c>
      <c r="Q13" s="11">
        <v>0.04</v>
      </c>
      <c r="R13" s="11">
        <v>3.5000000000000003E-2</v>
      </c>
      <c r="S13" s="11">
        <v>0.03</v>
      </c>
      <c r="T13" s="11"/>
      <c r="U13" s="11">
        <v>0.03</v>
      </c>
      <c r="X13" s="11">
        <f t="shared" si="0"/>
        <v>2</v>
      </c>
    </row>
    <row r="14" spans="1:30" s="10" customFormat="1" x14ac:dyDescent="0.25">
      <c r="A14" s="10" t="str">
        <f>IF(Input!A15="","",Input!A15)</f>
        <v>Governed Portfolio - Cautious Growth</v>
      </c>
      <c r="B14" s="11">
        <v>0.72799999999999998</v>
      </c>
      <c r="C14" s="11">
        <v>0.217</v>
      </c>
      <c r="D14" s="11">
        <v>5.5E-2</v>
      </c>
      <c r="E14" s="11">
        <v>0.32299999999999995</v>
      </c>
      <c r="F14" s="11">
        <v>5.7999999999999996E-2</v>
      </c>
      <c r="G14" s="11"/>
      <c r="H14" s="11">
        <v>0.125</v>
      </c>
      <c r="I14" s="11">
        <v>3.5000000000000003E-2</v>
      </c>
      <c r="J14" s="11">
        <v>0.03</v>
      </c>
      <c r="K14" s="11">
        <v>0.115</v>
      </c>
      <c r="L14" s="11">
        <v>4.8000000000000001E-2</v>
      </c>
      <c r="M14" s="11">
        <v>1.3000000000000001E-2</v>
      </c>
      <c r="N14" s="11">
        <v>0.03</v>
      </c>
      <c r="O14" s="11">
        <v>5.6500000000000002E-2</v>
      </c>
      <c r="P14" s="13">
        <v>1.4499999999999999E-2</v>
      </c>
      <c r="Q14" s="11"/>
      <c r="R14" s="11"/>
      <c r="S14" s="11"/>
      <c r="T14" s="11">
        <v>0.05</v>
      </c>
      <c r="U14" s="11">
        <v>2.7000000000000003E-2</v>
      </c>
      <c r="V14" s="11">
        <v>0.02</v>
      </c>
      <c r="X14" s="11">
        <f t="shared" si="0"/>
        <v>1.9999999999999998</v>
      </c>
    </row>
    <row r="15" spans="1:30" s="10" customFormat="1" x14ac:dyDescent="0.25">
      <c r="A15" s="10" t="str">
        <f>IF(Input!A16="","",Input!A16)</f>
        <v>Governed Portfolio - Moderately Cautious Growth</v>
      </c>
      <c r="B15" s="11">
        <v>0.54749999999999999</v>
      </c>
      <c r="C15" s="11">
        <v>0.41499999999999998</v>
      </c>
      <c r="D15" s="11">
        <v>3.7499999999999999E-2</v>
      </c>
      <c r="E15" s="11">
        <v>0.23749999999999999</v>
      </c>
      <c r="F15" s="11">
        <v>0.11650000000000001</v>
      </c>
      <c r="G15" s="11"/>
      <c r="H15" s="11">
        <v>0.09</v>
      </c>
      <c r="I15" s="11">
        <v>0.03</v>
      </c>
      <c r="J15" s="11">
        <v>2.5000000000000001E-2</v>
      </c>
      <c r="K15" s="11">
        <v>0.1</v>
      </c>
      <c r="L15" s="11">
        <v>7.8E-2</v>
      </c>
      <c r="M15" s="11">
        <v>2.2000000000000002E-2</v>
      </c>
      <c r="N15" s="11">
        <v>0.02</v>
      </c>
      <c r="O15" s="11">
        <v>0.1115</v>
      </c>
      <c r="P15" s="13">
        <v>3.2500000000000001E-2</v>
      </c>
      <c r="Q15" s="11"/>
      <c r="R15" s="11"/>
      <c r="S15" s="11">
        <v>1.4499999999999999E-2</v>
      </c>
      <c r="T15" s="11">
        <v>0.03</v>
      </c>
      <c r="U15" s="11">
        <v>0.04</v>
      </c>
      <c r="V15" s="11">
        <v>1.4999999999999999E-2</v>
      </c>
      <c r="X15" s="11">
        <f t="shared" si="0"/>
        <v>2</v>
      </c>
    </row>
    <row r="16" spans="1:30" s="10" customFormat="1" x14ac:dyDescent="0.25">
      <c r="A16" s="10" t="str">
        <f>IF(Input!A17="","",Input!A17)</f>
        <v>Governed Portfolio - Moderate Growth</v>
      </c>
      <c r="B16" s="11">
        <v>0.35399999999999998</v>
      </c>
      <c r="C16" s="11">
        <v>0.61499999999999999</v>
      </c>
      <c r="D16" s="11">
        <v>3.1E-2</v>
      </c>
      <c r="E16" s="11">
        <v>0.15</v>
      </c>
      <c r="F16" s="11">
        <v>0.17399999999999999</v>
      </c>
      <c r="G16" s="11"/>
      <c r="H16" s="11">
        <v>0.05</v>
      </c>
      <c r="I16" s="11">
        <v>2.75E-2</v>
      </c>
      <c r="J16" s="11"/>
      <c r="K16" s="11">
        <v>7.400000000000001E-2</v>
      </c>
      <c r="L16" s="11">
        <v>0.111</v>
      </c>
      <c r="M16" s="11">
        <v>2.7999999999999997E-2</v>
      </c>
      <c r="N16" s="11">
        <v>0.02</v>
      </c>
      <c r="O16" s="11">
        <v>0.17300000000000001</v>
      </c>
      <c r="P16" s="13">
        <v>4.7500000000000001E-2</v>
      </c>
      <c r="Q16" s="11"/>
      <c r="R16" s="11"/>
      <c r="S16" s="11">
        <v>2.7999999999999997E-2</v>
      </c>
      <c r="T16" s="11">
        <v>3.2500000000000001E-2</v>
      </c>
      <c r="U16" s="11">
        <v>5.3499999999999999E-2</v>
      </c>
      <c r="X16" s="11">
        <f>SUM(B16:W16)+D16</f>
        <v>2.0000000000000004</v>
      </c>
    </row>
    <row r="17" spans="1:29" s="10" customFormat="1" x14ac:dyDescent="0.25">
      <c r="A17" s="10" t="str">
        <f>IF(Input!A18="","",Input!A18)</f>
        <v>Governed Portfolio - Moderately Adventurous Growth</v>
      </c>
      <c r="B17" s="11">
        <v>0.16149999999999998</v>
      </c>
      <c r="C17" s="11">
        <v>0.81849999999999989</v>
      </c>
      <c r="D17" s="11">
        <v>0.02</v>
      </c>
      <c r="E17" s="11">
        <v>6.1500000000000006E-2</v>
      </c>
      <c r="F17" s="11">
        <v>0.22399999999999998</v>
      </c>
      <c r="H17" s="11">
        <v>0.03</v>
      </c>
      <c r="I17" s="11">
        <v>1.1000000000000001E-2</v>
      </c>
      <c r="J17" s="11"/>
      <c r="K17" s="11">
        <v>4.8000000000000001E-2</v>
      </c>
      <c r="L17" s="11">
        <v>0.1565</v>
      </c>
      <c r="M17" s="11">
        <v>4.4000000000000004E-2</v>
      </c>
      <c r="N17" s="11"/>
      <c r="O17" s="11">
        <v>0.22899999999999998</v>
      </c>
      <c r="P17" s="13">
        <v>0.06</v>
      </c>
      <c r="Q17" s="11"/>
      <c r="R17" s="11"/>
      <c r="S17" s="11">
        <v>3.6499999999999998E-2</v>
      </c>
      <c r="T17" s="11">
        <v>1.1000000000000001E-2</v>
      </c>
      <c r="U17" s="11">
        <v>5.2999999999999999E-2</v>
      </c>
      <c r="W17" s="11">
        <v>1.55E-2</v>
      </c>
      <c r="X17" s="11">
        <f t="shared" si="0"/>
        <v>1.9999999999999998</v>
      </c>
      <c r="Y17" s="11"/>
      <c r="Z17" s="11"/>
      <c r="AB17" s="11"/>
    </row>
    <row r="18" spans="1:29" s="10" customFormat="1" x14ac:dyDescent="0.25">
      <c r="A18" s="10" t="str">
        <f>IF(Input!A19="","",Input!A19)</f>
        <v>Governed Portfolio - Adventurous Growth</v>
      </c>
      <c r="B18" s="11">
        <v>1.4999999999999999E-2</v>
      </c>
      <c r="C18" s="11">
        <v>0.96499999999999997</v>
      </c>
      <c r="D18" s="11">
        <v>0.02</v>
      </c>
      <c r="F18" s="11">
        <v>0.26500000000000001</v>
      </c>
      <c r="H18" s="11"/>
      <c r="I18" s="11"/>
      <c r="J18" s="11"/>
      <c r="K18" s="11"/>
      <c r="L18" s="11">
        <v>0.17850000000000002</v>
      </c>
      <c r="M18" s="11">
        <v>5.2000000000000005E-2</v>
      </c>
      <c r="N18" s="11"/>
      <c r="O18" s="11">
        <v>0.27550000000000002</v>
      </c>
      <c r="P18" s="13">
        <v>7.0999999999999994E-2</v>
      </c>
      <c r="Q18" s="11"/>
      <c r="R18" s="11"/>
      <c r="S18" s="11">
        <v>4.0999999999999995E-2</v>
      </c>
      <c r="T18" s="11">
        <v>1.4999999999999999E-2</v>
      </c>
      <c r="U18" s="11">
        <v>6.2E-2</v>
      </c>
      <c r="W18" s="11">
        <v>0.02</v>
      </c>
      <c r="X18" s="11">
        <f t="shared" si="0"/>
        <v>2</v>
      </c>
      <c r="Z18" s="11"/>
    </row>
    <row r="19" spans="1:29" s="10" customFormat="1" x14ac:dyDescent="0.25">
      <c r="A19" s="10" t="str">
        <f>IF(Input!A20="","",Input!A20)</f>
        <v>Governed Portfolio - Moderately Cautious Income</v>
      </c>
      <c r="B19" s="11">
        <v>0.65</v>
      </c>
      <c r="C19" s="11">
        <v>0.33</v>
      </c>
      <c r="D19" s="11">
        <v>0.02</v>
      </c>
      <c r="E19" s="11">
        <v>0.16</v>
      </c>
      <c r="F19" s="11">
        <v>0.125</v>
      </c>
      <c r="G19" s="11">
        <v>0.11</v>
      </c>
      <c r="H19" s="11">
        <v>0.1</v>
      </c>
      <c r="I19" s="11">
        <v>0.09</v>
      </c>
      <c r="J19" s="11">
        <v>0.08</v>
      </c>
      <c r="K19" s="11">
        <v>0.08</v>
      </c>
      <c r="L19" s="11">
        <v>5.5E-2</v>
      </c>
      <c r="M19" s="11">
        <v>0.03</v>
      </c>
      <c r="N19" s="11">
        <v>0.03</v>
      </c>
      <c r="O19" s="11">
        <v>0.03</v>
      </c>
      <c r="P19" s="13">
        <v>2.5000000000000001E-2</v>
      </c>
      <c r="Q19" s="11">
        <v>2.5000000000000001E-2</v>
      </c>
      <c r="R19" s="11">
        <v>2.5000000000000001E-2</v>
      </c>
      <c r="S19" s="11">
        <v>1.4999999999999999E-2</v>
      </c>
      <c r="T19" s="11"/>
      <c r="U19" s="11"/>
      <c r="W19" s="11"/>
      <c r="X19" s="11">
        <f t="shared" si="0"/>
        <v>2</v>
      </c>
      <c r="Y19" s="11"/>
    </row>
    <row r="20" spans="1:29" s="10" customFormat="1" x14ac:dyDescent="0.25">
      <c r="A20" s="10" t="str">
        <f>IF(Input!A21="","",Input!A21)</f>
        <v>ESG – Cautious Portfolio</v>
      </c>
      <c r="B20" s="11">
        <v>0.67749999999999999</v>
      </c>
      <c r="C20" s="11">
        <v>0.21</v>
      </c>
      <c r="D20" s="11">
        <v>0.1125</v>
      </c>
      <c r="E20" s="11">
        <v>0.20499999999999999</v>
      </c>
      <c r="F20" s="11">
        <v>5.45E-2</v>
      </c>
      <c r="H20" s="11">
        <v>0.27</v>
      </c>
      <c r="I20" s="11"/>
      <c r="J20" s="11">
        <v>0.01</v>
      </c>
      <c r="K20" s="11">
        <v>0.15</v>
      </c>
      <c r="L20" s="11">
        <v>6.3500000000000001E-2</v>
      </c>
      <c r="M20" s="11"/>
      <c r="N20" s="11"/>
      <c r="O20" s="11">
        <v>4.0999999999999995E-2</v>
      </c>
      <c r="P20" s="13">
        <v>1.1000000000000001E-2</v>
      </c>
      <c r="Q20" s="11"/>
      <c r="R20" s="11"/>
      <c r="S20" s="11">
        <v>0.01</v>
      </c>
      <c r="T20" s="11">
        <v>4.2500000000000003E-2</v>
      </c>
      <c r="U20" s="11">
        <v>0.01</v>
      </c>
      <c r="W20" s="11">
        <v>0.02</v>
      </c>
      <c r="X20" s="11">
        <f t="shared" si="0"/>
        <v>2</v>
      </c>
      <c r="Y20" s="11"/>
      <c r="Z20" s="11"/>
      <c r="AB20" s="11"/>
    </row>
    <row r="21" spans="1:29" s="10" customFormat="1" x14ac:dyDescent="0.25">
      <c r="A21" s="10" t="str">
        <f>IF(Input!A22="","",Input!A22)</f>
        <v>ESG – Moderately Cautious Portfolio</v>
      </c>
      <c r="B21" s="11">
        <v>0.51450000000000007</v>
      </c>
      <c r="C21" s="11">
        <v>0.41</v>
      </c>
      <c r="D21" s="11">
        <v>7.5499999999999998E-2</v>
      </c>
      <c r="E21" s="11">
        <v>0.154</v>
      </c>
      <c r="F21" s="11">
        <v>0.14300000000000002</v>
      </c>
      <c r="H21" s="11">
        <v>0.20800000000000002</v>
      </c>
      <c r="J21" s="11">
        <v>0.01</v>
      </c>
      <c r="K21" s="11">
        <v>0.1</v>
      </c>
      <c r="L21" s="11">
        <v>7.400000000000001E-2</v>
      </c>
      <c r="M21" s="11"/>
      <c r="N21" s="11"/>
      <c r="O21" s="11">
        <v>9.5000000000000001E-2</v>
      </c>
      <c r="P21" s="13">
        <v>2.0499999999999997E-2</v>
      </c>
      <c r="Q21" s="11"/>
      <c r="R21" s="11"/>
      <c r="S21" s="11">
        <v>1.7500000000000002E-2</v>
      </c>
      <c r="T21" s="11">
        <v>4.2500000000000003E-2</v>
      </c>
      <c r="U21" s="11">
        <v>1.4999999999999999E-2</v>
      </c>
      <c r="W21" s="11">
        <v>4.4999999999999998E-2</v>
      </c>
      <c r="X21" s="11">
        <f t="shared" si="0"/>
        <v>1.9999999999999998</v>
      </c>
      <c r="Y21" s="11"/>
      <c r="Z21" s="11"/>
    </row>
    <row r="22" spans="1:29" s="10" customFormat="1" x14ac:dyDescent="0.25">
      <c r="A22" s="10" t="str">
        <f>IF(Input!A23="","",Input!A23)</f>
        <v>ESG – Moderate Portfolio</v>
      </c>
      <c r="B22" s="11">
        <v>0.35299999999999998</v>
      </c>
      <c r="C22" s="11">
        <v>0.61</v>
      </c>
      <c r="D22" s="11">
        <v>3.7000000000000005E-2</v>
      </c>
      <c r="E22" s="11">
        <v>0.1195</v>
      </c>
      <c r="F22" s="11">
        <v>0.22</v>
      </c>
      <c r="H22" s="11">
        <v>9.0999999999999998E-2</v>
      </c>
      <c r="I22" s="11"/>
      <c r="J22" s="11"/>
      <c r="K22" s="11">
        <v>9.5000000000000001E-2</v>
      </c>
      <c r="L22" s="11">
        <v>8.7499999999999994E-2</v>
      </c>
      <c r="M22" s="11"/>
      <c r="N22" s="11"/>
      <c r="O22" s="11">
        <v>0.15</v>
      </c>
      <c r="P22" s="13">
        <v>3.0499999999999999E-2</v>
      </c>
      <c r="Q22" s="11"/>
      <c r="R22" s="11"/>
      <c r="S22" s="11">
        <v>0.03</v>
      </c>
      <c r="T22" s="11">
        <v>4.7500000000000001E-2</v>
      </c>
      <c r="U22" s="11">
        <v>2.5000000000000001E-2</v>
      </c>
      <c r="W22" s="11">
        <v>6.7000000000000004E-2</v>
      </c>
      <c r="X22" s="11">
        <f t="shared" si="0"/>
        <v>1.9999999999999996</v>
      </c>
      <c r="Y22" s="11"/>
      <c r="Z22" s="11"/>
    </row>
    <row r="23" spans="1:29" s="10" customFormat="1" x14ac:dyDescent="0.25">
      <c r="A23" s="10" t="str">
        <f>IF(Input!A24="","",Input!A24)</f>
        <v>ESG – Moderately Adventurous Portfolio</v>
      </c>
      <c r="B23" s="11">
        <v>0.17</v>
      </c>
      <c r="C23" s="11">
        <v>0.81</v>
      </c>
      <c r="D23" s="11">
        <v>0.02</v>
      </c>
      <c r="E23" s="11">
        <v>6.5000000000000002E-2</v>
      </c>
      <c r="F23" s="11">
        <v>0.29449999999999998</v>
      </c>
      <c r="H23" s="11">
        <v>1.4999999999999999E-2</v>
      </c>
      <c r="I23" s="11"/>
      <c r="J23" s="11"/>
      <c r="K23" s="11">
        <v>4.7500000000000001E-2</v>
      </c>
      <c r="L23" s="11">
        <v>0.13550000000000001</v>
      </c>
      <c r="M23" s="11"/>
      <c r="N23" s="11"/>
      <c r="O23" s="11">
        <v>0.1825</v>
      </c>
      <c r="P23" s="13">
        <v>0.04</v>
      </c>
      <c r="Q23" s="11"/>
      <c r="R23" s="11"/>
      <c r="S23" s="11">
        <v>3.5000000000000003E-2</v>
      </c>
      <c r="T23" s="11">
        <v>4.2500000000000003E-2</v>
      </c>
      <c r="U23" s="11">
        <v>3.5000000000000003E-2</v>
      </c>
      <c r="W23" s="11">
        <v>8.7499999999999994E-2</v>
      </c>
      <c r="X23" s="11">
        <f t="shared" si="0"/>
        <v>1.9999999999999996</v>
      </c>
      <c r="Y23" s="11"/>
      <c r="AB23" s="11"/>
    </row>
    <row r="24" spans="1:29" x14ac:dyDescent="0.25">
      <c r="A24" s="10" t="str">
        <f>IF(Input!A25="","",Input!A25)</f>
        <v>ESG – Adventurous Portfolio</v>
      </c>
      <c r="B24" s="11">
        <v>0.03</v>
      </c>
      <c r="C24" s="11">
        <v>0.95</v>
      </c>
      <c r="D24" s="11">
        <v>0.02</v>
      </c>
      <c r="E24" s="11"/>
      <c r="F24" s="11">
        <v>0.34149999999999997</v>
      </c>
      <c r="G24" s="10"/>
      <c r="H24" s="11"/>
      <c r="I24" s="11"/>
      <c r="J24" s="11"/>
      <c r="K24" s="11"/>
      <c r="L24" s="11">
        <v>0.17399999999999999</v>
      </c>
      <c r="M24" s="11"/>
      <c r="N24" s="11"/>
      <c r="O24" s="11">
        <v>0.20250000000000001</v>
      </c>
      <c r="P24" s="13">
        <v>4.7E-2</v>
      </c>
      <c r="Q24" s="11"/>
      <c r="R24" s="11"/>
      <c r="S24" s="11">
        <v>0.04</v>
      </c>
      <c r="T24" s="11">
        <v>0.03</v>
      </c>
      <c r="U24" s="11">
        <v>0.05</v>
      </c>
      <c r="V24" s="10"/>
      <c r="W24" s="11">
        <v>9.5000000000000001E-2</v>
      </c>
      <c r="X24" s="11">
        <f t="shared" si="0"/>
        <v>2</v>
      </c>
      <c r="Y24" s="11"/>
      <c r="Z24" s="11"/>
    </row>
    <row r="25" spans="1:29" x14ac:dyDescent="0.25">
      <c r="A25" s="10" t="str">
        <f>IF(Input!A26="","",Input!A26)</f>
        <v>International GBP - Cautious Growth</v>
      </c>
      <c r="B25" s="11">
        <v>0.71299999999999997</v>
      </c>
      <c r="C25" s="11">
        <v>0.215</v>
      </c>
      <c r="D25" s="11">
        <v>7.2000000000000008E-2</v>
      </c>
      <c r="E25" s="11">
        <v>0.308</v>
      </c>
      <c r="F25" s="11">
        <v>6.5000000000000002E-2</v>
      </c>
      <c r="G25" s="10"/>
      <c r="H25" s="11">
        <v>0.125</v>
      </c>
      <c r="I25" s="11">
        <v>3.5000000000000003E-2</v>
      </c>
      <c r="J25" s="11">
        <v>0.03</v>
      </c>
      <c r="K25" s="11">
        <v>0.115</v>
      </c>
      <c r="L25" s="11">
        <v>4.2500000000000003E-2</v>
      </c>
      <c r="M25" s="11">
        <v>1.1000000000000001E-2</v>
      </c>
      <c r="N25" s="11">
        <v>0.03</v>
      </c>
      <c r="O25" s="11">
        <v>5.3499999999999999E-2</v>
      </c>
      <c r="P25" s="13">
        <v>1.6E-2</v>
      </c>
      <c r="Q25" s="10"/>
      <c r="R25" s="11"/>
      <c r="S25" s="10"/>
      <c r="T25" s="11">
        <v>0.05</v>
      </c>
      <c r="U25" s="11">
        <v>2.7000000000000003E-2</v>
      </c>
      <c r="V25" s="11">
        <v>0.02</v>
      </c>
      <c r="W25" s="11"/>
      <c r="X25" s="11">
        <f t="shared" si="0"/>
        <v>2</v>
      </c>
      <c r="Y25" s="10"/>
      <c r="Z25" s="10"/>
      <c r="AB25" s="5"/>
    </row>
    <row r="26" spans="1:29" x14ac:dyDescent="0.25">
      <c r="A26" s="10" t="str">
        <f>IF(Input!A27="","",Input!A27)</f>
        <v>International GBP - Moderately Cautious Growth</v>
      </c>
      <c r="B26" s="11">
        <v>0.54200000000000004</v>
      </c>
      <c r="C26" s="11">
        <v>0.41499999999999998</v>
      </c>
      <c r="D26" s="11">
        <v>4.2999999999999997E-2</v>
      </c>
      <c r="E26" s="11">
        <v>0.23</v>
      </c>
      <c r="F26" s="11">
        <v>0.1245</v>
      </c>
      <c r="G26" s="10"/>
      <c r="H26" s="11">
        <v>0.09</v>
      </c>
      <c r="I26" s="11">
        <v>0.03</v>
      </c>
      <c r="J26" s="11">
        <v>2.5000000000000001E-2</v>
      </c>
      <c r="K26" s="11">
        <v>0.1</v>
      </c>
      <c r="L26" s="11">
        <v>9.4499999999999987E-2</v>
      </c>
      <c r="M26" s="11">
        <v>1.6500000000000001E-2</v>
      </c>
      <c r="N26" s="11">
        <v>2.2000000000000002E-2</v>
      </c>
      <c r="O26" s="11">
        <v>9.5000000000000001E-2</v>
      </c>
      <c r="P26" s="13">
        <v>3.3000000000000002E-2</v>
      </c>
      <c r="Q26" s="10"/>
      <c r="R26" s="11"/>
      <c r="S26" s="11">
        <v>1.3999999999999999E-2</v>
      </c>
      <c r="T26" s="11">
        <v>0.03</v>
      </c>
      <c r="U26" s="11">
        <v>3.7499999999999999E-2</v>
      </c>
      <c r="V26" s="11">
        <v>1.4999999999999999E-2</v>
      </c>
      <c r="W26" s="11"/>
      <c r="X26" s="11">
        <f t="shared" si="0"/>
        <v>2</v>
      </c>
      <c r="Y26" s="10"/>
      <c r="Z26" s="10"/>
      <c r="AB26" s="5"/>
    </row>
    <row r="27" spans="1:29" x14ac:dyDescent="0.25">
      <c r="A27" s="10" t="str">
        <f>IF(Input!A28="","",Input!A28)</f>
        <v>International GBP - Moderate Growth</v>
      </c>
      <c r="B27" s="11">
        <v>0.35549999999999998</v>
      </c>
      <c r="C27" s="11">
        <v>0.61499999999999999</v>
      </c>
      <c r="D27" s="11">
        <v>2.9500000000000002E-2</v>
      </c>
      <c r="E27" s="11">
        <v>0.153</v>
      </c>
      <c r="F27" s="11">
        <v>0.182</v>
      </c>
      <c r="G27" s="10"/>
      <c r="H27" s="11">
        <v>4.8499999999999995E-2</v>
      </c>
      <c r="I27" s="11">
        <v>2.75E-2</v>
      </c>
      <c r="J27" s="10"/>
      <c r="K27" s="11">
        <v>7.400000000000001E-2</v>
      </c>
      <c r="L27" s="11">
        <v>0.14400000000000002</v>
      </c>
      <c r="M27" s="11">
        <v>2.7000000000000003E-2</v>
      </c>
      <c r="N27" s="11">
        <v>0.02</v>
      </c>
      <c r="O27" s="11">
        <v>0.13400000000000001</v>
      </c>
      <c r="P27" s="13">
        <v>4.8000000000000001E-2</v>
      </c>
      <c r="Q27" s="10"/>
      <c r="R27" s="11"/>
      <c r="S27" s="11">
        <v>2.75E-2</v>
      </c>
      <c r="T27" s="11">
        <v>3.2500000000000001E-2</v>
      </c>
      <c r="U27" s="11">
        <v>5.2499999999999998E-2</v>
      </c>
      <c r="V27" s="10"/>
      <c r="W27" s="11"/>
      <c r="X27" s="11">
        <f t="shared" si="0"/>
        <v>2</v>
      </c>
      <c r="Y27" s="10"/>
      <c r="Z27" s="10"/>
      <c r="AB27" s="5"/>
    </row>
    <row r="28" spans="1:29" x14ac:dyDescent="0.25">
      <c r="A28" s="10" t="str">
        <f>IF(Input!A29="","",Input!A29)</f>
        <v>International GBP - Moderately Adventurous Growth</v>
      </c>
      <c r="B28" s="11">
        <v>0.16500000000000001</v>
      </c>
      <c r="C28" s="11">
        <v>0.81499999999999995</v>
      </c>
      <c r="D28" s="11">
        <v>0.02</v>
      </c>
      <c r="E28" s="11">
        <v>6.5000000000000002E-2</v>
      </c>
      <c r="F28" s="11">
        <v>0.23899999999999999</v>
      </c>
      <c r="G28" s="10"/>
      <c r="H28" s="11">
        <v>0.03</v>
      </c>
      <c r="I28" s="11">
        <v>1.1000000000000001E-2</v>
      </c>
      <c r="J28" s="10"/>
      <c r="K28" s="11">
        <v>4.8000000000000001E-2</v>
      </c>
      <c r="L28" s="11">
        <v>0.17899999999999999</v>
      </c>
      <c r="M28" s="11">
        <v>3.9E-2</v>
      </c>
      <c r="N28" s="11"/>
      <c r="O28" s="11">
        <v>0.183</v>
      </c>
      <c r="P28" s="13">
        <v>6.1500000000000006E-2</v>
      </c>
      <c r="Q28" s="10"/>
      <c r="R28" s="11"/>
      <c r="S28" s="11">
        <v>4.4999999999999998E-2</v>
      </c>
      <c r="T28" s="11">
        <v>1.1000000000000001E-2</v>
      </c>
      <c r="U28" s="11">
        <v>5.2499999999999998E-2</v>
      </c>
      <c r="V28" s="10"/>
      <c r="W28" s="11">
        <v>1.6E-2</v>
      </c>
      <c r="X28" s="11">
        <f t="shared" si="0"/>
        <v>1.9999999999999998</v>
      </c>
      <c r="Y28" s="10"/>
      <c r="Z28" s="10"/>
      <c r="AB28" s="5"/>
      <c r="AC28" s="5"/>
    </row>
    <row r="29" spans="1:29" x14ac:dyDescent="0.25">
      <c r="A29" s="10" t="str">
        <f>IF(Input!A30="","",Input!A30)</f>
        <v>International GBP - Adventurous Growth</v>
      </c>
      <c r="B29" s="11">
        <v>1.4999999999999999E-2</v>
      </c>
      <c r="C29" s="11">
        <v>0.96499999999999997</v>
      </c>
      <c r="D29" s="11">
        <v>0.02</v>
      </c>
      <c r="E29" s="10"/>
      <c r="F29" s="11">
        <v>0.28699999999999998</v>
      </c>
      <c r="G29" s="11"/>
      <c r="H29" s="10"/>
      <c r="I29" s="11"/>
      <c r="J29" s="11"/>
      <c r="K29" s="11"/>
      <c r="L29" s="11">
        <v>0.20850000000000002</v>
      </c>
      <c r="M29" s="11">
        <v>0.05</v>
      </c>
      <c r="N29" s="11"/>
      <c r="O29" s="11">
        <v>0.21199999999999999</v>
      </c>
      <c r="P29" s="13">
        <v>7.0999999999999994E-2</v>
      </c>
      <c r="Q29" s="10"/>
      <c r="R29" s="10"/>
      <c r="S29" s="11">
        <v>5.5999999999999994E-2</v>
      </c>
      <c r="T29" s="11">
        <v>1.4999999999999999E-2</v>
      </c>
      <c r="U29" s="11">
        <v>5.5500000000000001E-2</v>
      </c>
      <c r="V29" s="10"/>
      <c r="W29" s="11">
        <v>2.5000000000000001E-2</v>
      </c>
      <c r="X29" s="11">
        <f t="shared" si="0"/>
        <v>1.9999999999999998</v>
      </c>
      <c r="Y29" s="10"/>
      <c r="Z29" s="10"/>
    </row>
    <row r="30" spans="1:29" x14ac:dyDescent="0.25">
      <c r="A30" s="10" t="str">
        <f>IF(Input!A31="","",Input!A31)</f>
        <v>Morningstar Blended Cautious Portfolio</v>
      </c>
      <c r="B30" s="11">
        <v>0.72799999999999998</v>
      </c>
      <c r="C30" s="11">
        <v>0.217</v>
      </c>
      <c r="D30" s="11">
        <v>5.5E-2</v>
      </c>
      <c r="E30" s="11">
        <v>0.32299999999999995</v>
      </c>
      <c r="F30" s="11">
        <v>5.7999999999999996E-2</v>
      </c>
      <c r="G30" s="11"/>
      <c r="H30" s="11">
        <v>0.125</v>
      </c>
      <c r="I30" s="11">
        <v>3.5000000000000003E-2</v>
      </c>
      <c r="J30" s="11">
        <v>0.03</v>
      </c>
      <c r="K30" s="11">
        <v>0.115</v>
      </c>
      <c r="L30" s="11">
        <v>4.8000000000000001E-2</v>
      </c>
      <c r="M30" s="11">
        <v>1.3000000000000001E-2</v>
      </c>
      <c r="N30" s="11">
        <v>0.03</v>
      </c>
      <c r="O30" s="11">
        <v>5.6500000000000002E-2</v>
      </c>
      <c r="P30" s="13">
        <v>1.4499999999999999E-2</v>
      </c>
      <c r="Q30" s="10"/>
      <c r="R30" s="11"/>
      <c r="S30" s="11"/>
      <c r="T30" s="11">
        <v>0.05</v>
      </c>
      <c r="U30" s="11">
        <v>2.7000000000000003E-2</v>
      </c>
      <c r="V30" s="11">
        <v>0.02</v>
      </c>
      <c r="X30" s="11">
        <f t="shared" si="0"/>
        <v>1.9999999999999998</v>
      </c>
      <c r="Y30" s="10"/>
      <c r="Z30" s="10"/>
    </row>
    <row r="31" spans="1:29" x14ac:dyDescent="0.25">
      <c r="A31" s="10" t="str">
        <f>IF(Input!A32="","",Input!A32)</f>
        <v>Morningstar Blended Moderately Cautious Portfolio</v>
      </c>
      <c r="B31" s="11">
        <v>0.54749999999999999</v>
      </c>
      <c r="C31" s="11">
        <v>0.41499999999999998</v>
      </c>
      <c r="D31" s="11">
        <v>3.7499999999999999E-2</v>
      </c>
      <c r="E31" s="11">
        <v>0.23749999999999999</v>
      </c>
      <c r="F31" s="11">
        <v>0.11650000000000001</v>
      </c>
      <c r="G31" s="11"/>
      <c r="H31" s="11">
        <v>0.09</v>
      </c>
      <c r="I31" s="11">
        <v>0.03</v>
      </c>
      <c r="J31" s="11">
        <v>2.5000000000000001E-2</v>
      </c>
      <c r="K31" s="11">
        <v>0.1</v>
      </c>
      <c r="L31" s="11">
        <v>7.8E-2</v>
      </c>
      <c r="M31" s="11">
        <v>2.2000000000000002E-2</v>
      </c>
      <c r="N31" s="11">
        <v>0.02</v>
      </c>
      <c r="O31" s="11">
        <v>0.1115</v>
      </c>
      <c r="P31" s="13">
        <v>3.2500000000000001E-2</v>
      </c>
      <c r="Q31" s="11"/>
      <c r="R31" s="10"/>
      <c r="S31" s="11">
        <v>1.4499999999999999E-2</v>
      </c>
      <c r="T31" s="11">
        <v>0.03</v>
      </c>
      <c r="U31" s="11">
        <v>0.04</v>
      </c>
      <c r="V31" s="11">
        <v>1.4999999999999999E-2</v>
      </c>
      <c r="X31" s="11">
        <f t="shared" si="0"/>
        <v>2</v>
      </c>
      <c r="Y31" s="10"/>
      <c r="Z31" s="10"/>
    </row>
    <row r="32" spans="1:29" x14ac:dyDescent="0.25">
      <c r="A32" s="10" t="str">
        <f>IF(Input!A33="","",Input!A33)</f>
        <v>Morningstar Blended Moderate Portfolio</v>
      </c>
      <c r="B32" s="11">
        <v>0.35399999999999998</v>
      </c>
      <c r="C32" s="11">
        <v>0.61499999999999999</v>
      </c>
      <c r="D32" s="11">
        <v>3.1E-2</v>
      </c>
      <c r="E32" s="11">
        <v>0.15</v>
      </c>
      <c r="F32" s="11">
        <v>0.17399999999999999</v>
      </c>
      <c r="G32" s="11"/>
      <c r="H32" s="11">
        <v>0.05</v>
      </c>
      <c r="I32" s="11">
        <v>2.75E-2</v>
      </c>
      <c r="J32" s="10"/>
      <c r="K32" s="11">
        <v>7.400000000000001E-2</v>
      </c>
      <c r="L32" s="11">
        <v>0.111</v>
      </c>
      <c r="M32" s="11">
        <v>2.7999999999999997E-2</v>
      </c>
      <c r="N32" s="11">
        <v>0.02</v>
      </c>
      <c r="O32" s="11">
        <v>0.17300000000000001</v>
      </c>
      <c r="P32" s="13">
        <v>4.7500000000000001E-2</v>
      </c>
      <c r="Q32" s="11"/>
      <c r="R32" s="11"/>
      <c r="S32" s="11">
        <v>2.7999999999999997E-2</v>
      </c>
      <c r="T32" s="11">
        <v>3.2500000000000001E-2</v>
      </c>
      <c r="U32" s="11">
        <v>5.3499999999999999E-2</v>
      </c>
      <c r="V32" s="10"/>
      <c r="X32" s="11">
        <f t="shared" si="0"/>
        <v>2.0000000000000004</v>
      </c>
      <c r="Y32" s="10"/>
      <c r="Z32" s="10"/>
    </row>
    <row r="33" spans="1:27" x14ac:dyDescent="0.25">
      <c r="A33" s="10" t="str">
        <f>IF(Input!A34="","",Input!A34)</f>
        <v>Morningstar Blended Moderately Adventurous Portfolio</v>
      </c>
      <c r="B33" s="11">
        <v>0.16149999999999998</v>
      </c>
      <c r="C33" s="11">
        <v>0.81849999999999989</v>
      </c>
      <c r="D33" s="11">
        <v>0.02</v>
      </c>
      <c r="E33" s="11">
        <v>6.1500000000000006E-2</v>
      </c>
      <c r="F33" s="11">
        <v>0.22399999999999998</v>
      </c>
      <c r="G33" s="11"/>
      <c r="H33" s="11">
        <v>0.03</v>
      </c>
      <c r="I33" s="11">
        <v>1.1000000000000001E-2</v>
      </c>
      <c r="J33" s="10"/>
      <c r="K33" s="11">
        <v>4.8000000000000001E-2</v>
      </c>
      <c r="L33" s="11">
        <v>0.1565</v>
      </c>
      <c r="M33" s="11">
        <v>4.4000000000000004E-2</v>
      </c>
      <c r="N33" s="11"/>
      <c r="O33" s="11">
        <v>0.22899999999999998</v>
      </c>
      <c r="P33" s="13">
        <v>0.06</v>
      </c>
      <c r="Q33" s="11"/>
      <c r="R33" s="11"/>
      <c r="S33" s="11">
        <v>3.6499999999999998E-2</v>
      </c>
      <c r="T33" s="11">
        <v>1.1000000000000001E-2</v>
      </c>
      <c r="U33" s="11">
        <v>5.2999999999999999E-2</v>
      </c>
      <c r="V33" s="10"/>
      <c r="W33" s="11">
        <v>1.55E-2</v>
      </c>
      <c r="X33" s="11">
        <f t="shared" si="0"/>
        <v>1.9999999999999998</v>
      </c>
      <c r="Y33" s="10"/>
      <c r="Z33" s="10"/>
    </row>
    <row r="34" spans="1:27" x14ac:dyDescent="0.25">
      <c r="A34" s="10" t="str">
        <f>IF(Input!A35="","",Input!A35)</f>
        <v>Morningstar Blended Adventurous Portfolio</v>
      </c>
      <c r="B34" s="11">
        <v>1.4999999999999999E-2</v>
      </c>
      <c r="C34" s="11">
        <v>0.96499999999999997</v>
      </c>
      <c r="D34" s="11">
        <v>0.02</v>
      </c>
      <c r="E34" s="11"/>
      <c r="F34" s="11">
        <v>0.26500000000000001</v>
      </c>
      <c r="G34" s="11"/>
      <c r="H34" s="11"/>
      <c r="I34" s="10"/>
      <c r="J34" s="10"/>
      <c r="K34" s="10"/>
      <c r="L34" s="11">
        <v>0.17850000000000002</v>
      </c>
      <c r="M34" s="11">
        <v>5.2000000000000005E-2</v>
      </c>
      <c r="N34" s="11"/>
      <c r="O34" s="11">
        <v>0.27550000000000002</v>
      </c>
      <c r="P34" s="13">
        <v>7.0999999999999994E-2</v>
      </c>
      <c r="Q34" s="11"/>
      <c r="R34" s="11"/>
      <c r="S34" s="11">
        <v>4.0999999999999995E-2</v>
      </c>
      <c r="T34" s="11">
        <v>1.4999999999999999E-2</v>
      </c>
      <c r="U34" s="11">
        <v>6.2E-2</v>
      </c>
      <c r="V34" s="10"/>
      <c r="W34" s="11">
        <v>0.02</v>
      </c>
      <c r="X34" s="11">
        <f t="shared" si="0"/>
        <v>2</v>
      </c>
      <c r="Y34" s="10"/>
      <c r="Z34" s="10"/>
      <c r="AA34" s="5"/>
    </row>
    <row r="35" spans="1:27" x14ac:dyDescent="0.25">
      <c r="A35" s="10" t="str">
        <f>IF(Input!A36="","",Input!A36)</f>
        <v/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Q35" s="10"/>
      <c r="R35" s="10"/>
      <c r="S35" s="10"/>
      <c r="T35" s="10"/>
      <c r="U35" s="10"/>
      <c r="V35" s="10"/>
      <c r="X35" s="10"/>
      <c r="Y35" s="10"/>
      <c r="Z35" s="10"/>
    </row>
    <row r="36" spans="1:27" x14ac:dyDescent="0.25">
      <c r="A36" s="10" t="str">
        <f>IF(Input!A37="","",Input!A37)</f>
        <v/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Q36" s="10"/>
      <c r="R36" s="10"/>
      <c r="S36" s="10"/>
      <c r="T36" s="10"/>
      <c r="U36" s="10"/>
      <c r="V36" s="10"/>
      <c r="X36" s="10"/>
      <c r="Y36" s="10"/>
      <c r="Z36" s="10"/>
    </row>
    <row r="37" spans="1:27" x14ac:dyDescent="0.25">
      <c r="A37" s="10" t="str">
        <f>IF(Input!A38="","",Input!A38)</f>
        <v/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Q37" s="10"/>
      <c r="R37" s="10"/>
      <c r="S37" s="10"/>
      <c r="T37" s="10"/>
      <c r="U37" s="10"/>
      <c r="V37" s="10"/>
      <c r="X37" s="10"/>
      <c r="Y37" s="10"/>
      <c r="Z37" s="10"/>
    </row>
    <row r="38" spans="1:27" x14ac:dyDescent="0.25">
      <c r="A38" s="10" t="str">
        <f>IF(Input!A39="","",Input!A39)</f>
        <v/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Q38" s="10"/>
      <c r="R38" s="10"/>
      <c r="S38" s="10"/>
      <c r="T38" s="10"/>
      <c r="U38" s="10"/>
      <c r="V38" s="10"/>
      <c r="X38" s="10"/>
      <c r="Y38" s="10"/>
      <c r="Z38" s="10"/>
    </row>
    <row r="39" spans="1:27" x14ac:dyDescent="0.25">
      <c r="A39" s="10" t="str">
        <f>IF(Input!A40="","",Input!A40)</f>
        <v/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Q39" s="10"/>
      <c r="R39" s="10"/>
      <c r="S39" s="10"/>
      <c r="T39" s="10"/>
      <c r="U39" s="10"/>
      <c r="V39" s="10"/>
      <c r="X39" s="10"/>
      <c r="Y39" s="10"/>
      <c r="Z39" s="10"/>
    </row>
    <row r="40" spans="1:27" x14ac:dyDescent="0.25">
      <c r="A40" s="10" t="str">
        <f>IF(Input!A41="","",Input!A41)</f>
        <v/>
      </c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Q40" s="10"/>
      <c r="R40" s="10"/>
      <c r="S40" s="10"/>
      <c r="T40" s="10"/>
      <c r="U40" s="10"/>
      <c r="V40" s="10"/>
      <c r="X40" s="10"/>
      <c r="Y40" s="10"/>
      <c r="Z40" s="10"/>
    </row>
    <row r="41" spans="1:27" x14ac:dyDescent="0.25">
      <c r="A41" s="10" t="str">
        <f>IF(Input!A42="","",Input!A42)</f>
        <v/>
      </c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Q41" s="10"/>
      <c r="R41" s="10"/>
      <c r="S41" s="10"/>
      <c r="T41" s="10"/>
      <c r="U41" s="10"/>
      <c r="V41" s="10"/>
      <c r="X41" s="10"/>
      <c r="Y41" s="10"/>
      <c r="Z41" s="10"/>
    </row>
    <row r="42" spans="1:27" x14ac:dyDescent="0.25">
      <c r="A42" s="10" t="str">
        <f>IF(Input!A43="","",Input!A43)</f>
        <v/>
      </c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Q42" s="10"/>
      <c r="R42" s="10"/>
      <c r="S42" s="10"/>
      <c r="T42" s="10"/>
      <c r="U42" s="10"/>
      <c r="V42" s="10"/>
      <c r="X42" s="10"/>
      <c r="Y42" s="10"/>
      <c r="Z42" s="10"/>
    </row>
    <row r="43" spans="1:27" x14ac:dyDescent="0.25">
      <c r="A43" s="10" t="str">
        <f>IF(Input!A44="","",Input!A44)</f>
        <v/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Q43" s="10"/>
      <c r="R43" s="10"/>
      <c r="S43" s="10"/>
      <c r="T43" s="10"/>
      <c r="U43" s="10"/>
      <c r="V43" s="10"/>
      <c r="X43" s="10"/>
      <c r="Y43" s="10"/>
      <c r="Z43" s="10"/>
    </row>
    <row r="44" spans="1:27" x14ac:dyDescent="0.25">
      <c r="A44" s="10" t="str">
        <f>IF(Input!A45="","",Input!A45)</f>
        <v/>
      </c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Q44" s="10"/>
      <c r="R44" s="10"/>
      <c r="S44" s="10"/>
      <c r="T44" s="10"/>
      <c r="U44" s="10"/>
      <c r="V44" s="10"/>
      <c r="X44" s="10"/>
      <c r="Y44" s="10"/>
      <c r="Z44" s="10"/>
    </row>
    <row r="45" spans="1:27" x14ac:dyDescent="0.25">
      <c r="A45" s="10" t="str">
        <f>IF(Input!A46="","",Input!A46)</f>
        <v/>
      </c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Q45" s="10"/>
      <c r="R45" s="10"/>
      <c r="S45" s="10"/>
      <c r="T45" s="10"/>
      <c r="U45" s="10"/>
      <c r="V45" s="10"/>
      <c r="X45" s="10"/>
      <c r="Y45" s="10"/>
      <c r="Z45" s="10"/>
    </row>
    <row r="46" spans="1:27" x14ac:dyDescent="0.25">
      <c r="A46" s="10" t="str">
        <f>IF(Input!A47="","",Input!A47)</f>
        <v/>
      </c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Q46" s="10"/>
      <c r="R46" s="10"/>
      <c r="S46" s="10"/>
      <c r="T46" s="10"/>
      <c r="U46" s="10"/>
      <c r="V46" s="10"/>
      <c r="X46" s="10"/>
      <c r="Y46" s="10"/>
      <c r="Z46" s="10"/>
    </row>
    <row r="47" spans="1:27" x14ac:dyDescent="0.25">
      <c r="A47" s="10" t="str">
        <f>IF(Input!A48="","",Input!A48)</f>
        <v/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Q47" s="10"/>
      <c r="R47" s="10"/>
      <c r="S47" s="10"/>
      <c r="T47" s="10"/>
      <c r="U47" s="10"/>
      <c r="V47" s="10"/>
      <c r="X47" s="10"/>
      <c r="Y47" s="10"/>
      <c r="Z47" s="10"/>
    </row>
    <row r="48" spans="1:27" x14ac:dyDescent="0.25">
      <c r="A48" s="10" t="str">
        <f>IF(Input!A49="","",Input!A49)</f>
        <v/>
      </c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Q48" s="10"/>
      <c r="R48" s="10"/>
      <c r="S48" s="10"/>
      <c r="T48" s="10"/>
      <c r="U48" s="10"/>
      <c r="V48" s="10"/>
      <c r="X48" s="10"/>
      <c r="Y48" s="10"/>
      <c r="Z48" s="10"/>
    </row>
    <row r="49" spans="1:26" x14ac:dyDescent="0.25">
      <c r="A49" s="10" t="str">
        <f>IF(Input!A50="","",Input!A50)</f>
        <v/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Q49" s="10"/>
      <c r="R49" s="10"/>
      <c r="S49" s="10"/>
      <c r="T49" s="10"/>
      <c r="U49" s="10"/>
      <c r="V49" s="10"/>
      <c r="X49" s="10"/>
      <c r="Y49" s="10"/>
      <c r="Z49" s="10"/>
    </row>
    <row r="50" spans="1:26" x14ac:dyDescent="0.25">
      <c r="A50" s="10" t="str">
        <f>IF(Input!A51="","",Input!A51)</f>
        <v/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Q50" s="10"/>
      <c r="R50" s="10"/>
      <c r="S50" s="10"/>
      <c r="T50" s="10"/>
      <c r="U50" s="10"/>
      <c r="V50" s="10"/>
      <c r="X50" s="10"/>
      <c r="Y50" s="10"/>
      <c r="Z5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zoomScale="70" zoomScaleNormal="70" workbookViewId="0">
      <selection activeCell="B49" sqref="B49"/>
    </sheetView>
  </sheetViews>
  <sheetFormatPr defaultRowHeight="15" x14ac:dyDescent="0.25"/>
  <cols>
    <col min="1" max="1" width="51.85546875" bestFit="1" customWidth="1"/>
    <col min="2" max="2" width="89" bestFit="1" customWidth="1"/>
    <col min="3" max="3" width="16.140625" bestFit="1" customWidth="1"/>
    <col min="4" max="4" width="166.140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32</v>
      </c>
    </row>
    <row r="2" spans="1:5" x14ac:dyDescent="0.25">
      <c r="A2" t="str">
        <f>IF(Input!A3="","",Input!A3)</f>
        <v>Cautious Active Portfolio</v>
      </c>
      <c r="B2" s="10" t="s">
        <v>40</v>
      </c>
      <c r="C2" t="s">
        <v>39</v>
      </c>
      <c r="D2" s="8" t="s">
        <v>102</v>
      </c>
    </row>
    <row r="3" spans="1:5" x14ac:dyDescent="0.25">
      <c r="A3" t="str">
        <f>IF(Input!A4="","",Input!A4)</f>
        <v>Moderately Cautious Active Portfolio</v>
      </c>
      <c r="B3" s="10" t="s">
        <v>41</v>
      </c>
      <c r="C3" t="s">
        <v>39</v>
      </c>
      <c r="D3" s="8" t="s">
        <v>102</v>
      </c>
    </row>
    <row r="4" spans="1:5" x14ac:dyDescent="0.25">
      <c r="A4" t="str">
        <f>IF(Input!A5="","",Input!A5)</f>
        <v>Moderate Active Portfolio</v>
      </c>
      <c r="B4" s="10" t="s">
        <v>42</v>
      </c>
      <c r="C4" t="s">
        <v>39</v>
      </c>
      <c r="D4" s="8" t="s">
        <v>102</v>
      </c>
    </row>
    <row r="5" spans="1:5" x14ac:dyDescent="0.25">
      <c r="A5" t="str">
        <f>IF(Input!A6="","",Input!A6)</f>
        <v>Moderately Adventurous Active Portfolio</v>
      </c>
      <c r="B5" s="10" t="s">
        <v>43</v>
      </c>
      <c r="C5" t="s">
        <v>39</v>
      </c>
      <c r="D5" s="8" t="s">
        <v>102</v>
      </c>
    </row>
    <row r="6" spans="1:5" x14ac:dyDescent="0.25">
      <c r="A6" t="str">
        <f>IF(Input!A7="","",Input!A7)</f>
        <v>Adventurous Active Portfolio</v>
      </c>
      <c r="B6" s="10" t="s">
        <v>44</v>
      </c>
      <c r="C6" t="s">
        <v>39</v>
      </c>
      <c r="D6" s="8" t="s">
        <v>102</v>
      </c>
    </row>
    <row r="7" spans="1:5" x14ac:dyDescent="0.25">
      <c r="A7" t="str">
        <f>IF(Input!A8="","",Input!A8)</f>
        <v>Cautious Passive Portfolio</v>
      </c>
      <c r="B7" s="10" t="s">
        <v>44</v>
      </c>
      <c r="C7" t="s">
        <v>50</v>
      </c>
      <c r="D7" s="8" t="s">
        <v>103</v>
      </c>
    </row>
    <row r="8" spans="1:5" x14ac:dyDescent="0.25">
      <c r="A8" t="str">
        <f>IF(Input!A9="","",Input!A9)</f>
        <v>Moderately Cautious Passive Portfolio</v>
      </c>
      <c r="B8" s="10" t="s">
        <v>44</v>
      </c>
      <c r="C8" t="s">
        <v>50</v>
      </c>
      <c r="D8" s="8" t="s">
        <v>103</v>
      </c>
    </row>
    <row r="9" spans="1:5" x14ac:dyDescent="0.25">
      <c r="A9" t="str">
        <f>IF(Input!A10="","",Input!A10)</f>
        <v>Moderate Passive Portfolio</v>
      </c>
      <c r="B9" s="10" t="s">
        <v>44</v>
      </c>
      <c r="C9" t="s">
        <v>50</v>
      </c>
      <c r="D9" s="8" t="s">
        <v>103</v>
      </c>
    </row>
    <row r="10" spans="1:5" x14ac:dyDescent="0.25">
      <c r="A10" t="str">
        <f>IF(Input!A11="","",Input!A11)</f>
        <v>Moderately Adventurous Passive Portfolio</v>
      </c>
      <c r="B10" s="10" t="s">
        <v>44</v>
      </c>
      <c r="C10" t="s">
        <v>50</v>
      </c>
      <c r="D10" s="8" t="s">
        <v>103</v>
      </c>
    </row>
    <row r="11" spans="1:5" x14ac:dyDescent="0.25">
      <c r="A11" t="str">
        <f>IF(Input!A12="","",Input!A12)</f>
        <v>Adventurous Passive Portfolio</v>
      </c>
      <c r="B11" s="10" t="s">
        <v>44</v>
      </c>
      <c r="C11" t="s">
        <v>50</v>
      </c>
      <c r="D11" s="8" t="s">
        <v>103</v>
      </c>
    </row>
    <row r="12" spans="1:5" x14ac:dyDescent="0.25">
      <c r="A12" t="str">
        <f>IF(Input!A13="","",Input!A13)</f>
        <v>Moderately Cautious Income Portfolio</v>
      </c>
      <c r="B12" t="s">
        <v>44</v>
      </c>
      <c r="C12" t="s">
        <v>51</v>
      </c>
      <c r="D12" s="8" t="s">
        <v>104</v>
      </c>
    </row>
    <row r="13" spans="1:5" x14ac:dyDescent="0.25">
      <c r="A13" t="str">
        <f>IF(Input!A14="","",Input!A14)</f>
        <v>Moderate Income Portfolio</v>
      </c>
      <c r="B13" t="s">
        <v>44</v>
      </c>
      <c r="C13" t="s">
        <v>51</v>
      </c>
      <c r="D13" s="8" t="s">
        <v>104</v>
      </c>
    </row>
    <row r="14" spans="1:5" x14ac:dyDescent="0.25">
      <c r="A14" t="str">
        <f>IF(Input!A15="","",Input!A15)</f>
        <v>Governed Portfolio - Cautious Growth</v>
      </c>
      <c r="B14" t="s">
        <v>44</v>
      </c>
      <c r="C14" t="s">
        <v>54</v>
      </c>
      <c r="D14" s="8" t="s">
        <v>105</v>
      </c>
    </row>
    <row r="15" spans="1:5" x14ac:dyDescent="0.25">
      <c r="A15" t="str">
        <f>IF(Input!A16="","",Input!A16)</f>
        <v>Governed Portfolio - Moderately Cautious Growth</v>
      </c>
      <c r="B15" t="s">
        <v>44</v>
      </c>
      <c r="C15" t="s">
        <v>54</v>
      </c>
      <c r="D15" s="8" t="s">
        <v>105</v>
      </c>
    </row>
    <row r="16" spans="1:5" x14ac:dyDescent="0.25">
      <c r="A16" t="str">
        <f>IF(Input!A17="","",Input!A17)</f>
        <v>Governed Portfolio - Moderate Growth</v>
      </c>
      <c r="B16" t="s">
        <v>44</v>
      </c>
      <c r="C16" t="s">
        <v>54</v>
      </c>
      <c r="D16" s="8" t="s">
        <v>105</v>
      </c>
    </row>
    <row r="17" spans="1:5" x14ac:dyDescent="0.25">
      <c r="A17" t="str">
        <f>IF(Input!A18="","",Input!A18)</f>
        <v>Governed Portfolio - Moderately Adventurous Growth</v>
      </c>
      <c r="B17" t="s">
        <v>44</v>
      </c>
      <c r="C17" t="s">
        <v>54</v>
      </c>
      <c r="D17" s="8" t="s">
        <v>105</v>
      </c>
    </row>
    <row r="18" spans="1:5" x14ac:dyDescent="0.25">
      <c r="A18" t="str">
        <f>IF(Input!A19="","",Input!A19)</f>
        <v>Governed Portfolio - Adventurous Growth</v>
      </c>
      <c r="B18" t="s">
        <v>44</v>
      </c>
      <c r="C18" t="s">
        <v>54</v>
      </c>
      <c r="D18" s="8" t="s">
        <v>105</v>
      </c>
    </row>
    <row r="19" spans="1:5" x14ac:dyDescent="0.25">
      <c r="A19" t="str">
        <f>IF(Input!A20="","",Input!A20)</f>
        <v>Governed Portfolio - Moderately Cautious Income</v>
      </c>
      <c r="B19" t="s">
        <v>44</v>
      </c>
      <c r="C19" t="s">
        <v>54</v>
      </c>
      <c r="D19" s="8" t="s">
        <v>105</v>
      </c>
    </row>
    <row r="20" spans="1:5" x14ac:dyDescent="0.25">
      <c r="A20" t="str">
        <f>IF(Input!A21="","",Input!A21)</f>
        <v>ESG – Cautious Portfolio</v>
      </c>
      <c r="B20" t="s">
        <v>44</v>
      </c>
      <c r="C20" t="s">
        <v>61</v>
      </c>
      <c r="D20" s="8" t="s">
        <v>106</v>
      </c>
    </row>
    <row r="21" spans="1:5" x14ac:dyDescent="0.25">
      <c r="A21" t="str">
        <f>IF(Input!A22="","",Input!A22)</f>
        <v>ESG – Moderately Cautious Portfolio</v>
      </c>
      <c r="B21" t="s">
        <v>44</v>
      </c>
      <c r="C21" t="s">
        <v>61</v>
      </c>
      <c r="D21" s="8" t="s">
        <v>106</v>
      </c>
    </row>
    <row r="22" spans="1:5" x14ac:dyDescent="0.25">
      <c r="A22" t="str">
        <f>IF(Input!A23="","",Input!A23)</f>
        <v>ESG – Moderate Portfolio</v>
      </c>
      <c r="B22" t="s">
        <v>44</v>
      </c>
      <c r="C22" t="s">
        <v>61</v>
      </c>
      <c r="D22" s="8" t="s">
        <v>106</v>
      </c>
    </row>
    <row r="23" spans="1:5" x14ac:dyDescent="0.25">
      <c r="A23" t="str">
        <f>IF(Input!A24="","",Input!A24)</f>
        <v>ESG – Moderately Adventurous Portfolio</v>
      </c>
      <c r="B23" t="s">
        <v>44</v>
      </c>
      <c r="C23" t="s">
        <v>61</v>
      </c>
      <c r="D23" s="8" t="s">
        <v>106</v>
      </c>
    </row>
    <row r="24" spans="1:5" x14ac:dyDescent="0.25">
      <c r="A24" t="str">
        <f>IF(Input!A25="","",Input!A25)</f>
        <v>ESG – Adventurous Portfolio</v>
      </c>
      <c r="B24" t="s">
        <v>44</v>
      </c>
      <c r="C24" t="s">
        <v>61</v>
      </c>
      <c r="D24" s="8" t="s">
        <v>106</v>
      </c>
    </row>
    <row r="25" spans="1:5" x14ac:dyDescent="0.25">
      <c r="A25" t="str">
        <f>IF(Input!A26="","",Input!A26)</f>
        <v>International GBP - Cautious Growth</v>
      </c>
      <c r="B25" t="s">
        <v>44</v>
      </c>
      <c r="C25" t="s">
        <v>67</v>
      </c>
      <c r="D25" s="8" t="s">
        <v>107</v>
      </c>
      <c r="E25" t="s">
        <v>68</v>
      </c>
    </row>
    <row r="26" spans="1:5" x14ac:dyDescent="0.25">
      <c r="A26" t="str">
        <f>IF(Input!A27="","",Input!A27)</f>
        <v>International GBP - Moderately Cautious Growth</v>
      </c>
      <c r="B26" t="s">
        <v>44</v>
      </c>
      <c r="C26" t="s">
        <v>67</v>
      </c>
      <c r="D26" s="8" t="s">
        <v>107</v>
      </c>
      <c r="E26" t="s">
        <v>68</v>
      </c>
    </row>
    <row r="27" spans="1:5" x14ac:dyDescent="0.25">
      <c r="A27" t="str">
        <f>IF(Input!A28="","",Input!A28)</f>
        <v>International GBP - Moderate Growth</v>
      </c>
      <c r="B27" t="s">
        <v>44</v>
      </c>
      <c r="C27" t="s">
        <v>67</v>
      </c>
      <c r="D27" s="8" t="s">
        <v>107</v>
      </c>
      <c r="E27" t="s">
        <v>68</v>
      </c>
    </row>
    <row r="28" spans="1:5" x14ac:dyDescent="0.25">
      <c r="A28" t="str">
        <f>IF(Input!A29="","",Input!A29)</f>
        <v>International GBP - Moderately Adventurous Growth</v>
      </c>
      <c r="B28" t="s">
        <v>44</v>
      </c>
      <c r="C28" t="s">
        <v>67</v>
      </c>
      <c r="D28" s="8" t="s">
        <v>107</v>
      </c>
      <c r="E28" t="s">
        <v>68</v>
      </c>
    </row>
    <row r="29" spans="1:5" x14ac:dyDescent="0.25">
      <c r="A29" t="str">
        <f>IF(Input!A30="","",Input!A30)</f>
        <v>International GBP - Adventurous Growth</v>
      </c>
      <c r="B29" t="s">
        <v>44</v>
      </c>
      <c r="C29" t="s">
        <v>67</v>
      </c>
      <c r="D29" s="8" t="s">
        <v>107</v>
      </c>
      <c r="E29" t="s">
        <v>68</v>
      </c>
    </row>
    <row r="30" spans="1:5" x14ac:dyDescent="0.25">
      <c r="A30" t="str">
        <f>IF(Input!A31="","",Input!A31)</f>
        <v>Morningstar Blended Cautious Portfolio</v>
      </c>
      <c r="B30" t="s">
        <v>44</v>
      </c>
      <c r="C30" t="s">
        <v>74</v>
      </c>
      <c r="D30" s="8" t="s">
        <v>108</v>
      </c>
    </row>
    <row r="31" spans="1:5" x14ac:dyDescent="0.25">
      <c r="A31" t="str">
        <f>IF(Input!A32="","",Input!A32)</f>
        <v>Morningstar Blended Moderately Cautious Portfolio</v>
      </c>
      <c r="B31" t="s">
        <v>44</v>
      </c>
      <c r="C31" t="s">
        <v>74</v>
      </c>
      <c r="D31" s="8" t="s">
        <v>108</v>
      </c>
    </row>
    <row r="32" spans="1:5" x14ac:dyDescent="0.25">
      <c r="A32" t="str">
        <f>IF(Input!A33="","",Input!A33)</f>
        <v>Morningstar Blended Moderate Portfolio</v>
      </c>
      <c r="B32" t="s">
        <v>44</v>
      </c>
      <c r="C32" t="s">
        <v>74</v>
      </c>
      <c r="D32" s="8" t="s">
        <v>108</v>
      </c>
    </row>
    <row r="33" spans="1:4" x14ac:dyDescent="0.25">
      <c r="A33" t="str">
        <f>IF(Input!A34="","",Input!A34)</f>
        <v>Morningstar Blended Moderately Adventurous Portfolio</v>
      </c>
      <c r="B33" t="s">
        <v>44</v>
      </c>
      <c r="C33" t="s">
        <v>74</v>
      </c>
      <c r="D33" s="8" t="s">
        <v>108</v>
      </c>
    </row>
    <row r="34" spans="1:4" x14ac:dyDescent="0.25">
      <c r="A34" t="str">
        <f>IF(Input!A35="","",Input!A35)</f>
        <v>Morningstar Blended Adventurous Portfolio</v>
      </c>
      <c r="B34" t="s">
        <v>44</v>
      </c>
      <c r="C34" t="s">
        <v>74</v>
      </c>
      <c r="D34" s="8" t="s">
        <v>108</v>
      </c>
    </row>
    <row r="35" spans="1:4" x14ac:dyDescent="0.25">
      <c r="A35" t="str">
        <f>IF(Input!A36="","",Input!A36)</f>
        <v/>
      </c>
    </row>
    <row r="36" spans="1:4" x14ac:dyDescent="0.25">
      <c r="A36" t="str">
        <f>IF(Input!A37="","",Input!A37)</f>
        <v/>
      </c>
    </row>
    <row r="37" spans="1:4" x14ac:dyDescent="0.25">
      <c r="A37" t="str">
        <f>IF(Input!A38="","",Input!A38)</f>
        <v/>
      </c>
    </row>
    <row r="38" spans="1:4" x14ac:dyDescent="0.25">
      <c r="A38" t="str">
        <f>IF(Input!A39="","",Input!A39)</f>
        <v/>
      </c>
    </row>
    <row r="39" spans="1:4" x14ac:dyDescent="0.25">
      <c r="A39" t="str">
        <f>IF(Input!A40="","",Input!A40)</f>
        <v/>
      </c>
    </row>
    <row r="40" spans="1:4" x14ac:dyDescent="0.25">
      <c r="A40" t="str">
        <f>IF(Input!A41="","",Input!A41)</f>
        <v/>
      </c>
    </row>
    <row r="41" spans="1:4" x14ac:dyDescent="0.25">
      <c r="A41" t="str">
        <f>IF(Input!A42="","",Input!A42)</f>
        <v/>
      </c>
    </row>
    <row r="42" spans="1:4" x14ac:dyDescent="0.25">
      <c r="A42" t="str">
        <f>IF(Input!A43="","",Input!A43)</f>
        <v/>
      </c>
    </row>
    <row r="43" spans="1:4" x14ac:dyDescent="0.25">
      <c r="A43" t="str">
        <f>IF(Input!A44="","",Input!A44)</f>
        <v/>
      </c>
    </row>
    <row r="44" spans="1:4" x14ac:dyDescent="0.25">
      <c r="A44" t="str">
        <f>IF(Input!A45="","",Input!A45)</f>
        <v/>
      </c>
    </row>
    <row r="45" spans="1:4" x14ac:dyDescent="0.25">
      <c r="A45" t="str">
        <f>IF(Input!A46="","",Input!A46)</f>
        <v/>
      </c>
    </row>
    <row r="46" spans="1:4" x14ac:dyDescent="0.25">
      <c r="A46" t="str">
        <f>IF(Input!A47="","",Input!A47)</f>
        <v/>
      </c>
    </row>
    <row r="47" spans="1:4" x14ac:dyDescent="0.25">
      <c r="A47" t="str">
        <f>IF(Input!A48="","",Input!A48)</f>
        <v/>
      </c>
    </row>
    <row r="48" spans="1:4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Cautious Active Portfolio</v>
      </c>
      <c r="B2" s="1">
        <f>IF(A2="","",DATE(YEAR(IF(A2="","",'Additional Information'!B2)),MONTH(IF(A2="","",'Additional Information'!B2)),DAY(IF(A2="","",'Additional Information'!B2))))</f>
        <v>45199</v>
      </c>
    </row>
    <row r="3" spans="1:2" x14ac:dyDescent="0.25">
      <c r="A3" t="str">
        <f>IF(Input!A4="","",Input!A4)</f>
        <v>Moderately Cautious Active Portfolio</v>
      </c>
      <c r="B3" s="1">
        <f>IF(A3="","",DATE(YEAR(IF(A3="","",'Additional Information'!B3)),MONTH(IF(A3="","",'Additional Information'!B3)),DAY(IF(A3="","",'Additional Information'!B3))))</f>
        <v>45199</v>
      </c>
    </row>
    <row r="4" spans="1:2" x14ac:dyDescent="0.25">
      <c r="A4" t="str">
        <f>IF(Input!A5="","",Input!A5)</f>
        <v>Moderate Active Portfolio</v>
      </c>
      <c r="B4" s="1">
        <f>IF(A4="","",DATE(YEAR(IF(A4="","",'Additional Information'!B4)),MONTH(IF(A4="","",'Additional Information'!B4)),DAY(IF(A4="","",'Additional Information'!B4))))</f>
        <v>45199</v>
      </c>
    </row>
    <row r="5" spans="1:2" x14ac:dyDescent="0.25">
      <c r="A5" t="str">
        <f>IF(Input!A6="","",Input!A6)</f>
        <v>Moderately Adventurous Active Portfolio</v>
      </c>
      <c r="B5" s="1">
        <f>IF(A5="","",DATE(YEAR(IF(A5="","",'Additional Information'!B5)),MONTH(IF(A5="","",'Additional Information'!B5)),DAY(IF(A5="","",'Additional Information'!B5))))</f>
        <v>45199</v>
      </c>
    </row>
    <row r="6" spans="1:2" x14ac:dyDescent="0.25">
      <c r="A6" t="str">
        <f>IF(Input!A7="","",Input!A7)</f>
        <v>Adventurous Active Portfolio</v>
      </c>
      <c r="B6" s="1">
        <f>IF(A6="","",DATE(YEAR(IF(A6="","",'Additional Information'!B6)),MONTH(IF(A6="","",'Additional Information'!B6)),DAY(IF(A6="","",'Additional Information'!B6))))</f>
        <v>45199</v>
      </c>
    </row>
    <row r="7" spans="1:2" x14ac:dyDescent="0.25">
      <c r="A7" t="str">
        <f>IF(Input!A8="","",Input!A8)</f>
        <v>Cautious Passive Portfolio</v>
      </c>
      <c r="B7" s="1">
        <f>IF(A7="","",DATE(YEAR(IF(A7="","",'Additional Information'!B7)),MONTH(IF(A7="","",'Additional Information'!B7)),DAY(IF(A7="","",'Additional Information'!B7))))</f>
        <v>45199</v>
      </c>
    </row>
    <row r="8" spans="1:2" x14ac:dyDescent="0.25">
      <c r="A8" t="str">
        <f>IF(Input!A9="","",Input!A9)</f>
        <v>Moderately Cautious Passive Portfolio</v>
      </c>
      <c r="B8" s="1">
        <f>IF(A8="","",DATE(YEAR(IF(A8="","",'Additional Information'!B8)),MONTH(IF(A8="","",'Additional Information'!B8)),DAY(IF(A8="","",'Additional Information'!B8))))</f>
        <v>45199</v>
      </c>
    </row>
    <row r="9" spans="1:2" x14ac:dyDescent="0.25">
      <c r="A9" t="str">
        <f>IF(Input!A10="","",Input!A10)</f>
        <v>Moderate Passive Portfolio</v>
      </c>
      <c r="B9" s="1">
        <f>IF(A9="","",DATE(YEAR(IF(A9="","",'Additional Information'!B9)),MONTH(IF(A9="","",'Additional Information'!B9)),DAY(IF(A9="","",'Additional Information'!B9))))</f>
        <v>45199</v>
      </c>
    </row>
    <row r="10" spans="1:2" x14ac:dyDescent="0.25">
      <c r="A10" t="str">
        <f>IF(Input!A11="","",Input!A11)</f>
        <v>Moderately Adventurous Passive Portfolio</v>
      </c>
      <c r="B10" s="1">
        <f>IF(A10="","",DATE(YEAR(IF(A10="","",'Additional Information'!B10)),MONTH(IF(A10="","",'Additional Information'!B10)),DAY(IF(A10="","",'Additional Information'!B10))))</f>
        <v>45199</v>
      </c>
    </row>
    <row r="11" spans="1:2" x14ac:dyDescent="0.25">
      <c r="A11" t="str">
        <f>IF(Input!A12="","",Input!A12)</f>
        <v>Adventurous Passive Portfolio</v>
      </c>
      <c r="B11" s="1">
        <f>IF(A11="","",DATE(YEAR(IF(A11="","",'Additional Information'!B11)),MONTH(IF(A11="","",'Additional Information'!B11)),DAY(IF(A11="","",'Additional Information'!B11))))</f>
        <v>45199</v>
      </c>
    </row>
    <row r="12" spans="1:2" x14ac:dyDescent="0.25">
      <c r="A12" t="str">
        <f>IF(Input!A13="","",Input!A13)</f>
        <v>Moderately Cautious Income Portfolio</v>
      </c>
      <c r="B12" s="1">
        <f>IF(A12="","",DATE(YEAR(IF(A12="","",'Additional Information'!B12)),MONTH(IF(A12="","",'Additional Information'!B12)),DAY(IF(A12="","",'Additional Information'!B12))))</f>
        <v>45199</v>
      </c>
    </row>
    <row r="13" spans="1:2" x14ac:dyDescent="0.25">
      <c r="A13" t="str">
        <f>IF(Input!A14="","",Input!A14)</f>
        <v>Moderate Income Portfolio</v>
      </c>
      <c r="B13" s="1">
        <f>IF(A13="","",DATE(YEAR(IF(A13="","",'Additional Information'!B13)),MONTH(IF(A13="","",'Additional Information'!B13)),DAY(IF(A13="","",'Additional Information'!B13))))</f>
        <v>45199</v>
      </c>
    </row>
    <row r="14" spans="1:2" x14ac:dyDescent="0.25">
      <c r="A14" t="str">
        <f>IF(Input!A15="","",Input!A15)</f>
        <v>Governed Portfolio - Cautious Growth</v>
      </c>
      <c r="B14" s="1">
        <f>IF(A14="","",DATE(YEAR(IF(A14="","",'Additional Information'!B14)),MONTH(IF(A14="","",'Additional Information'!B14)),DAY(IF(A14="","",'Additional Information'!B14))))</f>
        <v>45199</v>
      </c>
    </row>
    <row r="15" spans="1:2" x14ac:dyDescent="0.25">
      <c r="A15" t="str">
        <f>IF(Input!A16="","",Input!A16)</f>
        <v>Governed Portfolio - Moderately Cautious Growth</v>
      </c>
      <c r="B15" s="1">
        <f>IF(A15="","",DATE(YEAR(IF(A15="","",'Additional Information'!B15)),MONTH(IF(A15="","",'Additional Information'!B15)),DAY(IF(A15="","",'Additional Information'!B15))))</f>
        <v>45199</v>
      </c>
    </row>
    <row r="16" spans="1:2" x14ac:dyDescent="0.25">
      <c r="A16" t="str">
        <f>IF(Input!A17="","",Input!A17)</f>
        <v>Governed Portfolio - Moderate Growth</v>
      </c>
      <c r="B16" s="1">
        <f>IF(A16="","",DATE(YEAR(IF(A16="","",'Additional Information'!B16)),MONTH(IF(A16="","",'Additional Information'!B16)),DAY(IF(A16="","",'Additional Information'!B16))))</f>
        <v>45199</v>
      </c>
    </row>
    <row r="17" spans="1:2" x14ac:dyDescent="0.25">
      <c r="A17" t="str">
        <f>IF(Input!A18="","",Input!A18)</f>
        <v>Governed Portfolio - Moderately Adventurous Growth</v>
      </c>
      <c r="B17" s="1">
        <f>IF(A17="","",DATE(YEAR(IF(A17="","",'Additional Information'!B17)),MONTH(IF(A17="","",'Additional Information'!B17)),DAY(IF(A17="","",'Additional Information'!B17))))</f>
        <v>45199</v>
      </c>
    </row>
    <row r="18" spans="1:2" x14ac:dyDescent="0.25">
      <c r="A18" t="str">
        <f>IF(Input!A19="","",Input!A19)</f>
        <v>Governed Portfolio - Adventurous Growth</v>
      </c>
      <c r="B18" s="1">
        <f>IF(A18="","",DATE(YEAR(IF(A18="","",'Additional Information'!B18)),MONTH(IF(A18="","",'Additional Information'!B18)),DAY(IF(A18="","",'Additional Information'!B18))))</f>
        <v>45199</v>
      </c>
    </row>
    <row r="19" spans="1:2" x14ac:dyDescent="0.25">
      <c r="A19" t="str">
        <f>IF(Input!A20="","",Input!A20)</f>
        <v>Governed Portfolio - Moderately Cautious Income</v>
      </c>
      <c r="B19" s="1">
        <f>IF(A19="","",DATE(YEAR(IF(A19="","",'Additional Information'!B19)),MONTH(IF(A19="","",'Additional Information'!B19)),DAY(IF(A19="","",'Additional Information'!B19))))</f>
        <v>45199</v>
      </c>
    </row>
    <row r="20" spans="1:2" x14ac:dyDescent="0.25">
      <c r="A20" t="str">
        <f>IF(Input!A21="","",Input!A21)</f>
        <v>ESG – Cautious Portfolio</v>
      </c>
      <c r="B20" s="1">
        <f>IF(A20="","",DATE(YEAR(IF(A20="","",'Additional Information'!B20)),MONTH(IF(A20="","",'Additional Information'!B20)),DAY(IF(A20="","",'Additional Information'!B20))))</f>
        <v>45199</v>
      </c>
    </row>
    <row r="21" spans="1:2" x14ac:dyDescent="0.25">
      <c r="A21" t="str">
        <f>IF(Input!A22="","",Input!A22)</f>
        <v>ESG – Moderately Cautious Portfolio</v>
      </c>
      <c r="B21" s="1">
        <f>IF(A21="","",DATE(YEAR(IF(A21="","",'Additional Information'!B21)),MONTH(IF(A21="","",'Additional Information'!B21)),DAY(IF(A21="","",'Additional Information'!B21))))</f>
        <v>45199</v>
      </c>
    </row>
    <row r="22" spans="1:2" x14ac:dyDescent="0.25">
      <c r="A22" t="str">
        <f>IF(Input!A23="","",Input!A23)</f>
        <v>ESG – Moderate Portfolio</v>
      </c>
      <c r="B22" s="1">
        <f>IF(A22="","",DATE(YEAR(IF(A22="","",'Additional Information'!B22)),MONTH(IF(A22="","",'Additional Information'!B22)),DAY(IF(A22="","",'Additional Information'!B22))))</f>
        <v>45199</v>
      </c>
    </row>
    <row r="23" spans="1:2" x14ac:dyDescent="0.25">
      <c r="A23" t="str">
        <f>IF(Input!A24="","",Input!A24)</f>
        <v>ESG – Moderately Adventurous Portfolio</v>
      </c>
      <c r="B23" s="1">
        <f>IF(A23="","",DATE(YEAR(IF(A23="","",'Additional Information'!B23)),MONTH(IF(A23="","",'Additional Information'!B23)),DAY(IF(A23="","",'Additional Information'!B23))))</f>
        <v>45199</v>
      </c>
    </row>
    <row r="24" spans="1:2" x14ac:dyDescent="0.25">
      <c r="A24" t="str">
        <f>IF(Input!A25="","",Input!A25)</f>
        <v>ESG – Adventurous Portfolio</v>
      </c>
      <c r="B24" s="1">
        <f>IF(A24="","",DATE(YEAR(IF(A24="","",'Additional Information'!B24)),MONTH(IF(A24="","",'Additional Information'!B24)),DAY(IF(A24="","",'Additional Information'!B24))))</f>
        <v>45199</v>
      </c>
    </row>
    <row r="25" spans="1:2" x14ac:dyDescent="0.25">
      <c r="A25" t="str">
        <f>IF(Input!A26="","",Input!A26)</f>
        <v>International GBP - Cautious Growth</v>
      </c>
      <c r="B25" s="1">
        <f>IF(A25="","",DATE(YEAR(IF(A25="","",'Additional Information'!B25)),MONTH(IF(A25="","",'Additional Information'!B25)),DAY(IF(A25="","",'Additional Information'!B25))))</f>
        <v>45199</v>
      </c>
    </row>
    <row r="26" spans="1:2" x14ac:dyDescent="0.25">
      <c r="A26" t="str">
        <f>IF(Input!A27="","",Input!A27)</f>
        <v>International GBP - Moderately Cautious Growth</v>
      </c>
      <c r="B26" s="1">
        <f>IF(A26="","",DATE(YEAR(IF(A26="","",'Additional Information'!B26)),MONTH(IF(A26="","",'Additional Information'!B26)),DAY(IF(A26="","",'Additional Information'!B26))))</f>
        <v>45199</v>
      </c>
    </row>
    <row r="27" spans="1:2" x14ac:dyDescent="0.25">
      <c r="A27" t="str">
        <f>IF(Input!A28="","",Input!A28)</f>
        <v>International GBP - Moderate Growth</v>
      </c>
      <c r="B27" s="1">
        <f>IF(A27="","",DATE(YEAR(IF(A27="","",'Additional Information'!B27)),MONTH(IF(A27="","",'Additional Information'!B27)),DAY(IF(A27="","",'Additional Information'!B27))))</f>
        <v>45199</v>
      </c>
    </row>
    <row r="28" spans="1:2" x14ac:dyDescent="0.25">
      <c r="A28" t="str">
        <f>IF(Input!A29="","",Input!A29)</f>
        <v>International GBP - Moderately Adventurous Growth</v>
      </c>
      <c r="B28" s="1">
        <f>IF(A28="","",DATE(YEAR(IF(A28="","",'Additional Information'!B28)),MONTH(IF(A28="","",'Additional Information'!B28)),DAY(IF(A28="","",'Additional Information'!B28))))</f>
        <v>45199</v>
      </c>
    </row>
    <row r="29" spans="1:2" x14ac:dyDescent="0.25">
      <c r="A29" t="str">
        <f>IF(Input!A30="","",Input!A30)</f>
        <v>International GBP - Adventurous Growth</v>
      </c>
      <c r="B29" s="1">
        <f>IF(A29="","",DATE(YEAR(IF(A29="","",'Additional Information'!B29)),MONTH(IF(A29="","",'Additional Information'!B29)),DAY(IF(A29="","",'Additional Information'!B29))))</f>
        <v>45199</v>
      </c>
    </row>
    <row r="30" spans="1:2" x14ac:dyDescent="0.25">
      <c r="A30" t="str">
        <f>IF(Input!A31="","",Input!A31)</f>
        <v>Morningstar Blended Cautious Portfolio</v>
      </c>
      <c r="B30" s="1">
        <f>IF(A30="","",DATE(YEAR(IF(A30="","",'Additional Information'!B30)),MONTH(IF(A30="","",'Additional Information'!B30)),DAY(IF(A30="","",'Additional Information'!B30))))</f>
        <v>45199</v>
      </c>
    </row>
    <row r="31" spans="1:2" x14ac:dyDescent="0.25">
      <c r="A31" t="str">
        <f>IF(Input!A32="","",Input!A32)</f>
        <v>Morningstar Blended Moderately Cautious Portfolio</v>
      </c>
      <c r="B31" s="1">
        <f>IF(A31="","",DATE(YEAR(IF(A31="","",'Additional Information'!B31)),MONTH(IF(A31="","",'Additional Information'!B31)),DAY(IF(A31="","",'Additional Information'!B31))))</f>
        <v>45199</v>
      </c>
    </row>
    <row r="32" spans="1:2" x14ac:dyDescent="0.25">
      <c r="A32" t="str">
        <f>IF(Input!A33="","",Input!A33)</f>
        <v>Morningstar Blended Moderate Portfolio</v>
      </c>
      <c r="B32" s="1">
        <f>IF(A32="","",DATE(YEAR(IF(A32="","",'Additional Information'!B32)),MONTH(IF(A32="","",'Additional Information'!B32)),DAY(IF(A32="","",'Additional Information'!B32))))</f>
        <v>45199</v>
      </c>
    </row>
    <row r="33" spans="1:2" x14ac:dyDescent="0.25">
      <c r="A33" t="str">
        <f>IF(Input!A34="","",Input!A34)</f>
        <v>Morningstar Blended Moderately Adventurous Portfolio</v>
      </c>
      <c r="B33" s="1">
        <f>IF(A33="","",DATE(YEAR(IF(A33="","",'Additional Information'!B33)),MONTH(IF(A33="","",'Additional Information'!B33)),DAY(IF(A33="","",'Additional Information'!B33))))</f>
        <v>45199</v>
      </c>
    </row>
    <row r="34" spans="1:2" x14ac:dyDescent="0.25">
      <c r="A34" t="str">
        <f>IF(Input!A35="","",Input!A35)</f>
        <v>Morningstar Blended Adventurous Portfolio</v>
      </c>
      <c r="B34" s="1">
        <f>IF(A34="","",DATE(YEAR(IF(A34="","",'Additional Information'!B34)),MONTH(IF(A34="","",'Additional Information'!B34)),DAY(IF(A34="","",'Additional Information'!B34))))</f>
        <v>45199</v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Cautious Active Portfolio</v>
      </c>
      <c r="C2">
        <f>IF(A2="","",'Additional Information'!E2)</f>
        <v>-3.4999999999999996E-3</v>
      </c>
      <c r="D2" s="5">
        <f>IF(A2="","",SUM('Additional Information'!C2,'Additional Information'!D2))</f>
        <v>5.1400000000000001E-2</v>
      </c>
    </row>
    <row r="3" spans="1:4" x14ac:dyDescent="0.25">
      <c r="A3" t="str">
        <f>IF(Input!A4="","",Input!A4)</f>
        <v>Moderately Cautious Active Portfolio</v>
      </c>
      <c r="C3">
        <f>IF(A3="","",'Additional Information'!E3)</f>
        <v>-2.2000000000000001E-3</v>
      </c>
      <c r="D3" s="5">
        <f>IF(A3="","",SUM('Additional Information'!C3,'Additional Information'!D3))</f>
        <v>6.4799999999999996E-2</v>
      </c>
    </row>
    <row r="4" spans="1:4" x14ac:dyDescent="0.25">
      <c r="A4" t="str">
        <f>IF(Input!A5="","",Input!A5)</f>
        <v>Moderate Active Portfolio</v>
      </c>
      <c r="C4">
        <f>IF(A4="","",'Additional Information'!E4)</f>
        <v>-8.9999999999999998E-4</v>
      </c>
      <c r="D4" s="5">
        <f>IF(A4="","",SUM('Additional Information'!C4,'Additional Information'!D4))</f>
        <v>7.4800000000000005E-2</v>
      </c>
    </row>
    <row r="5" spans="1:4" x14ac:dyDescent="0.25">
      <c r="A5" t="str">
        <f>IF(Input!A6="","",Input!A6)</f>
        <v>Moderately Adventurous Active Portfolio</v>
      </c>
      <c r="C5">
        <f>IF(A5="","",'Additional Information'!E5)</f>
        <v>-5.0000000000000001E-4</v>
      </c>
      <c r="D5" s="5">
        <f>IF(A5="","",SUM('Additional Information'!C5,'Additional Information'!D5))</f>
        <v>8.6699999999999999E-2</v>
      </c>
    </row>
    <row r="6" spans="1:4" x14ac:dyDescent="0.25">
      <c r="A6" t="str">
        <f>IF(Input!A7="","",Input!A7)</f>
        <v>Adventurous Active Portfolio</v>
      </c>
      <c r="C6">
        <f>IF(A6="","",'Additional Information'!E6)</f>
        <v>4.0000000000000002E-4</v>
      </c>
      <c r="D6" s="5">
        <f>IF(A6="","",SUM('Additional Information'!C6,'Additional Information'!D6))</f>
        <v>0.10239999999999999</v>
      </c>
    </row>
    <row r="7" spans="1:4" x14ac:dyDescent="0.25">
      <c r="A7" t="str">
        <f>IF(Input!A8="","",Input!A8)</f>
        <v>Cautious Passive Portfolio</v>
      </c>
      <c r="C7">
        <f>IF(A7="","",'Additional Information'!E7)</f>
        <v>-3.0000000000000001E-3</v>
      </c>
      <c r="D7" s="5">
        <f>IF(A7="","",SUM('Additional Information'!C7,'Additional Information'!D7))</f>
        <v>4.8399999999999999E-2</v>
      </c>
    </row>
    <row r="8" spans="1:4" x14ac:dyDescent="0.25">
      <c r="A8" t="str">
        <f>IF(Input!A9="","",Input!A9)</f>
        <v>Moderately Cautious Passive Portfolio</v>
      </c>
      <c r="C8">
        <f>IF(A8="","",'Additional Information'!E8)</f>
        <v>-1E-3</v>
      </c>
      <c r="D8" s="5">
        <f>IF(A8="","",SUM('Additional Information'!C8,'Additional Information'!D8))</f>
        <v>5.9800000000000006E-2</v>
      </c>
    </row>
    <row r="9" spans="1:4" x14ac:dyDescent="0.25">
      <c r="A9" t="str">
        <f>IF(Input!A10="","",Input!A10)</f>
        <v>Moderate Passive Portfolio</v>
      </c>
      <c r="C9">
        <f>IF(A9="","",'Additional Information'!E9)</f>
        <v>5.9999999999999995E-4</v>
      </c>
      <c r="D9" s="5">
        <f>IF(A9="","",SUM('Additional Information'!C9,'Additional Information'!D9))</f>
        <v>7.4999999999999997E-2</v>
      </c>
    </row>
    <row r="10" spans="1:4" x14ac:dyDescent="0.25">
      <c r="A10" t="str">
        <f>IF(Input!A11="","",Input!A11)</f>
        <v>Moderately Adventurous Passive Portfolio</v>
      </c>
      <c r="C10">
        <f>IF(A10="","",'Additional Information'!E10)</f>
        <v>2.7000000000000001E-3</v>
      </c>
      <c r="D10" s="5">
        <f>IF(A10="","",SUM('Additional Information'!C10,'Additional Information'!D10))</f>
        <v>9.3100000000000002E-2</v>
      </c>
    </row>
    <row r="11" spans="1:4" x14ac:dyDescent="0.25">
      <c r="A11" t="str">
        <f>IF(Input!A12="","",Input!A12)</f>
        <v>Adventurous Passive Portfolio</v>
      </c>
      <c r="C11">
        <f>IF(A11="","",'Additional Information'!E11)</f>
        <v>4.6999999999999993E-3</v>
      </c>
      <c r="D11" s="5">
        <f>IF(A11="","",SUM('Additional Information'!C11,'Additional Information'!D11))</f>
        <v>0.10830000000000001</v>
      </c>
    </row>
    <row r="12" spans="1:4" x14ac:dyDescent="0.25">
      <c r="A12" t="str">
        <f>IF(Input!A13="","",Input!A13)</f>
        <v>Moderately Cautious Income Portfolio</v>
      </c>
      <c r="C12">
        <f>IF(A12="","",'Additional Information'!E12)</f>
        <v>-6.4000000000000003E-3</v>
      </c>
      <c r="D12" s="5">
        <f>IF(A12="","",SUM('Additional Information'!C12,'Additional Information'!D12))</f>
        <v>3.6200000000000003E-2</v>
      </c>
    </row>
    <row r="13" spans="1:4" x14ac:dyDescent="0.25">
      <c r="A13" t="str">
        <f>IF(Input!A14="","",Input!A14)</f>
        <v>Moderate Income Portfolio</v>
      </c>
      <c r="C13">
        <f>IF(A13="","",'Additional Information'!E13)</f>
        <v>-2.5000000000000001E-3</v>
      </c>
      <c r="D13" s="5">
        <f>IF(A13="","",SUM('Additional Information'!C13,'Additional Information'!D13))</f>
        <v>5.1700000000000003E-2</v>
      </c>
    </row>
    <row r="14" spans="1:4" x14ac:dyDescent="0.25">
      <c r="A14" t="str">
        <f>IF(Input!A15="","",Input!A15)</f>
        <v>Governed Portfolio - Cautious Growth</v>
      </c>
      <c r="C14">
        <f>IF(A14="","",'Additional Information'!E16)</f>
        <v>-1.7000000000000001E-3</v>
      </c>
      <c r="D14" s="5">
        <f>IF(A14="","",SUM('Additional Information'!C14,'Additional Information'!D14))</f>
        <v>5.62E-2</v>
      </c>
    </row>
    <row r="15" spans="1:4" x14ac:dyDescent="0.25">
      <c r="A15" t="str">
        <f>IF(Input!A16="","",Input!A16)</f>
        <v>Governed Portfolio - Moderately Cautious Growth</v>
      </c>
      <c r="C15">
        <f>IF(A15="","",'Additional Information'!E17)</f>
        <v>-1.2999999999999999E-3</v>
      </c>
      <c r="D15" s="5">
        <f>IF(A15="","",SUM('Additional Information'!C15,'Additional Information'!D15))</f>
        <v>6.7699999999999996E-2</v>
      </c>
    </row>
    <row r="16" spans="1:4" x14ac:dyDescent="0.25">
      <c r="A16" t="str">
        <f>IF(Input!A17="","",Input!A17)</f>
        <v>Governed Portfolio - Moderate Growth</v>
      </c>
      <c r="C16" t="e">
        <f>IF(A16="","",'Additional Information'!#REF!)</f>
        <v>#REF!</v>
      </c>
      <c r="D16" s="5">
        <f>IF(A16="","",SUM('Additional Information'!C16,'Additional Information'!D16))</f>
        <v>7.9199999999999993E-2</v>
      </c>
    </row>
    <row r="17" spans="1:4" x14ac:dyDescent="0.25">
      <c r="A17" t="str">
        <f>IF(Input!A18="","",Input!A18)</f>
        <v>Governed Portfolio - Moderately Adventurous Growth</v>
      </c>
      <c r="C17" t="e">
        <f>IF(A17="","",'Additional Information'!#REF!)</f>
        <v>#REF!</v>
      </c>
      <c r="D17" s="5">
        <f>IF(A17="","",SUM('Additional Information'!C17,'Additional Information'!D17))</f>
        <v>8.8999999999999996E-2</v>
      </c>
    </row>
    <row r="18" spans="1:4" x14ac:dyDescent="0.25">
      <c r="A18" t="str">
        <f>IF(Input!A19="","",Input!A19)</f>
        <v>Governed Portfolio - Adventurous Growth</v>
      </c>
      <c r="C18">
        <f>IF(A18="","",'Additional Information'!E18)</f>
        <v>-4.0000000000000002E-4</v>
      </c>
      <c r="D18" s="5">
        <f>IF(A18="","",SUM('Additional Information'!C18,'Additional Information'!D18))</f>
        <v>0.1048</v>
      </c>
    </row>
    <row r="19" spans="1:4" x14ac:dyDescent="0.25">
      <c r="A19" t="str">
        <f>IF(Input!A20="","",Input!A20)</f>
        <v>Governed Portfolio - Moderately Cautious Income</v>
      </c>
      <c r="C19">
        <f>IF(A19="","",'Additional Information'!E19)</f>
        <v>-6.4000000000000003E-3</v>
      </c>
      <c r="D19" s="5">
        <f>IF(A19="","",SUM('Additional Information'!C19,'Additional Information'!D19))</f>
        <v>3.1200000000000002E-2</v>
      </c>
    </row>
    <row r="20" spans="1:4" x14ac:dyDescent="0.25">
      <c r="A20" t="str">
        <f>IF(Input!A21="","",Input!A21)</f>
        <v>ESG – Cautious Portfolio</v>
      </c>
      <c r="C20">
        <f>IF(A20="","",'Additional Information'!E20)</f>
        <v>-5.3E-3</v>
      </c>
      <c r="D20" s="5">
        <f>IF(A20="","",SUM('Additional Information'!C20,'Additional Information'!D20))</f>
        <v>3.0299999999999997E-2</v>
      </c>
    </row>
    <row r="21" spans="1:4" x14ac:dyDescent="0.25">
      <c r="A21" t="str">
        <f>IF(Input!A22="","",Input!A22)</f>
        <v>ESG – Moderately Cautious Portfolio</v>
      </c>
      <c r="C21">
        <f>IF(A21="","",'Additional Information'!E21)</f>
        <v>-3.9000000000000003E-3</v>
      </c>
      <c r="D21" s="5">
        <f>IF(A21="","",SUM('Additional Information'!C21,'Additional Information'!D21))</f>
        <v>4.5600000000000002E-2</v>
      </c>
    </row>
    <row r="22" spans="1:4" x14ac:dyDescent="0.25">
      <c r="A22" t="str">
        <f>IF(Input!A23="","",Input!A23)</f>
        <v>ESG – Moderate Portfolio</v>
      </c>
      <c r="C22">
        <f>IF(A22="","",'Additional Information'!E22)</f>
        <v>-1.5E-3</v>
      </c>
      <c r="D22" s="5">
        <f>IF(A22="","",SUM('Additional Information'!C22,'Additional Information'!D22))</f>
        <v>6.3500000000000001E-2</v>
      </c>
    </row>
    <row r="23" spans="1:4" x14ac:dyDescent="0.25">
      <c r="A23" t="str">
        <f>IF(Input!A24="","",Input!A24)</f>
        <v>ESG – Moderately Adventurous Portfolio</v>
      </c>
      <c r="C23">
        <f>IF(A23="","",'Additional Information'!E23)</f>
        <v>2.0000000000000001E-4</v>
      </c>
      <c r="D23" s="5">
        <f>IF(A23="","",SUM('Additional Information'!C23,'Additional Information'!D23))</f>
        <v>7.7100000000000002E-2</v>
      </c>
    </row>
    <row r="24" spans="1:4" x14ac:dyDescent="0.25">
      <c r="A24" t="str">
        <f>IF(Input!A25="","",Input!A25)</f>
        <v>ESG – Adventurous Portfolio</v>
      </c>
      <c r="C24">
        <f>IF(A24="","",'Additional Information'!E24)</f>
        <v>8.0000000000000004E-4</v>
      </c>
      <c r="D24" s="5">
        <f>IF(A24="","",SUM('Additional Information'!C24,'Additional Information'!D24))</f>
        <v>9.1999999999999998E-2</v>
      </c>
    </row>
    <row r="25" spans="1:4" x14ac:dyDescent="0.25">
      <c r="A25" t="str">
        <f>IF(Input!A26="","",Input!A26)</f>
        <v>International GBP - Cautious Growth</v>
      </c>
      <c r="C25">
        <f>IF(A25="","",'Additional Information'!E25)</f>
        <v>-2.8000000000000004E-3</v>
      </c>
      <c r="D25" s="5">
        <f>IF(A25="","",SUM('Additional Information'!C25,'Additional Information'!D25))</f>
        <v>4.9500000000000002E-2</v>
      </c>
    </row>
    <row r="26" spans="1:4" x14ac:dyDescent="0.25">
      <c r="A26" t="str">
        <f>IF(Input!A27="","",Input!A27)</f>
        <v>International GBP - Moderately Cautious Growth</v>
      </c>
      <c r="C26">
        <f>IF(A26="","",'Additional Information'!E26)</f>
        <v>-7.000000000000001E-4</v>
      </c>
      <c r="D26" s="5">
        <f>IF(A26="","",SUM('Additional Information'!C26,'Additional Information'!D26))</f>
        <v>6.6100000000000006E-2</v>
      </c>
    </row>
    <row r="27" spans="1:4" x14ac:dyDescent="0.25">
      <c r="A27" t="str">
        <f>IF(Input!A28="","",Input!A28)</f>
        <v>International GBP - Moderate Growth</v>
      </c>
      <c r="C27">
        <f>IF(A27="","",'Additional Information'!E27)</f>
        <v>1.8E-3</v>
      </c>
      <c r="D27" s="5">
        <f>IF(A27="","",SUM('Additional Information'!C27,'Additional Information'!D27))</f>
        <v>8.2100000000000006E-2</v>
      </c>
    </row>
    <row r="28" spans="1:4" x14ac:dyDescent="0.25">
      <c r="A28" t="str">
        <f>IF(Input!A29="","",Input!A29)</f>
        <v>International GBP - Moderately Adventurous Growth</v>
      </c>
      <c r="C28">
        <f>IF(A28="","",'Additional Information'!E28)</f>
        <v>3.2000000000000002E-3</v>
      </c>
      <c r="D28" s="5">
        <f>IF(A28="","",SUM('Additional Information'!C28,'Additional Information'!D28))</f>
        <v>9.6300000000000011E-2</v>
      </c>
    </row>
    <row r="29" spans="1:4" x14ac:dyDescent="0.25">
      <c r="A29" t="str">
        <f>IF(Input!A30="","",Input!A30)</f>
        <v>International GBP - Adventurous Growth</v>
      </c>
      <c r="C29">
        <f>IF(A29="","",'Additional Information'!E29)</f>
        <v>4.7999999999999996E-3</v>
      </c>
      <c r="D29" s="5">
        <f>IF(A29="","",SUM('Additional Information'!C29,'Additional Information'!D29))</f>
        <v>0.11410000000000001</v>
      </c>
    </row>
    <row r="30" spans="1:4" x14ac:dyDescent="0.25">
      <c r="A30" t="str">
        <f>IF(Input!A31="","",Input!A31)</f>
        <v>Morningstar Blended Cautious Portfolio</v>
      </c>
      <c r="C30">
        <f>IF(A30="","",'Additional Information'!E30)</f>
        <v>-3.5999999999999999E-3</v>
      </c>
      <c r="D30" s="5">
        <f>IF(A30="","",SUM('Additional Information'!C30,'Additional Information'!D30))</f>
        <v>5.67E-2</v>
      </c>
    </row>
    <row r="31" spans="1:4" x14ac:dyDescent="0.25">
      <c r="A31" t="str">
        <f>IF(Input!A32="","",Input!A32)</f>
        <v>Morningstar Blended Moderately Cautious Portfolio</v>
      </c>
      <c r="C31">
        <f>IF(A31="","",'Additional Information'!E31)</f>
        <v>-2.7000000000000001E-3</v>
      </c>
      <c r="D31" s="5">
        <f>IF(A31="","",SUM('Additional Information'!C31,'Additional Information'!D31))</f>
        <v>6.8199999999999997E-2</v>
      </c>
    </row>
    <row r="32" spans="1:4" x14ac:dyDescent="0.25">
      <c r="A32" t="str">
        <f>IF(Input!A33="","",Input!A33)</f>
        <v>Morningstar Blended Moderate Portfolio</v>
      </c>
      <c r="C32">
        <f>IF(A32="","",'Additional Information'!E32)</f>
        <v>-1.7000000000000001E-3</v>
      </c>
      <c r="D32" s="5">
        <f>IF(A32="","",SUM('Additional Information'!C32,'Additional Information'!D32))</f>
        <v>7.9699999999999993E-2</v>
      </c>
    </row>
    <row r="33" spans="1:4" x14ac:dyDescent="0.25">
      <c r="A33" t="str">
        <f>IF(Input!A34="","",Input!A34)</f>
        <v>Morningstar Blended Moderately Adventurous Portfolio</v>
      </c>
      <c r="C33">
        <f>IF(A33="","",'Additional Information'!E33)</f>
        <v>-1.2999999999999999E-3</v>
      </c>
      <c r="D33" s="5">
        <f>IF(A33="","",SUM('Additional Information'!C33,'Additional Information'!D33))</f>
        <v>8.9499999999999996E-2</v>
      </c>
    </row>
    <row r="34" spans="1:4" x14ac:dyDescent="0.25">
      <c r="A34" t="str">
        <f>IF(Input!A35="","",Input!A35)</f>
        <v>Morningstar Blended Adventurous Portfolio</v>
      </c>
      <c r="C34">
        <f>IF(A34="","",'Additional Information'!E34)</f>
        <v>-4.0000000000000002E-4</v>
      </c>
      <c r="D34" s="5">
        <f>IF(A34="","",SUM('Additional Information'!C34,'Additional Information'!D34))</f>
        <v>0.1053</v>
      </c>
    </row>
    <row r="35" spans="1:4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Cautious Active Portfolio</v>
      </c>
      <c r="B2">
        <f>IF(A2="","",SUM('Asset Allocation'!B2))</f>
        <v>0.72799999999999998</v>
      </c>
      <c r="C2">
        <f>IF(A2="","",SUM('Asset Allocation'!C2))</f>
        <v>0.217</v>
      </c>
      <c r="D2">
        <f>IF(A2="","",SUM('Asset Allocation'!D2))</f>
        <v>5.5E-2</v>
      </c>
      <c r="E2">
        <f>IF(A2="","",SUM('Asset Allocation'!F2))</f>
        <v>5.9000000000000004E-2</v>
      </c>
      <c r="F2">
        <f>IF(A2="","",SUM('Asset Allocation'!E2))</f>
        <v>0.32299999999999995</v>
      </c>
      <c r="G2">
        <f>IF(A2="","",SUM('Asset Allocation'!G2))</f>
        <v>0</v>
      </c>
      <c r="H2">
        <f t="shared" ref="H2:H50" si="0">IF(A2="","",1-SUM(B2:G2))</f>
        <v>-0.3819999999999999</v>
      </c>
    </row>
    <row r="3" spans="1:8" x14ac:dyDescent="0.25">
      <c r="A3" t="str">
        <f>IF(Input!A4="","",Input!A4)</f>
        <v>Moderately Cautious Active Portfolio</v>
      </c>
      <c r="B3">
        <f>IF(A3="","",SUM('Asset Allocation'!B3))</f>
        <v>0.54749999999999999</v>
      </c>
      <c r="C3">
        <f>IF(A3="","",SUM('Asset Allocation'!C3))</f>
        <v>0.41700000000000004</v>
      </c>
      <c r="D3">
        <f>IF(A3="","",SUM('Asset Allocation'!D3))</f>
        <v>3.5499999999999997E-2</v>
      </c>
      <c r="E3">
        <f>IF(A3="","",SUM('Asset Allocation'!F3))</f>
        <v>0.11699999999999999</v>
      </c>
      <c r="F3">
        <f>IF(A3="","",SUM('Asset Allocation'!E3))</f>
        <v>0.23749999999999999</v>
      </c>
      <c r="G3">
        <f>IF(A3="","",SUM('Asset Allocation'!G3))</f>
        <v>0</v>
      </c>
      <c r="H3">
        <f t="shared" si="0"/>
        <v>-0.35450000000000004</v>
      </c>
    </row>
    <row r="4" spans="1:8" x14ac:dyDescent="0.25">
      <c r="A4" t="str">
        <f>IF(Input!A5="","",Input!A5)</f>
        <v>Moderate Active Portfolio</v>
      </c>
      <c r="B4">
        <f>IF(A4="","",SUM('Asset Allocation'!B4))</f>
        <v>0.35350000000000004</v>
      </c>
      <c r="C4">
        <f>IF(A4="","",SUM('Asset Allocation'!C4))</f>
        <v>0.61750000000000005</v>
      </c>
      <c r="D4">
        <f>IF(A4="","",SUM('Asset Allocation'!D4))</f>
        <v>2.8999999999999998E-2</v>
      </c>
      <c r="E4">
        <f>IF(A4="","",SUM('Asset Allocation'!F4))</f>
        <v>0.17600000000000002</v>
      </c>
      <c r="F4">
        <f>IF(A4="","",SUM('Asset Allocation'!E4))</f>
        <v>0.14949999999999999</v>
      </c>
      <c r="G4">
        <f>IF(A4="","",SUM('Asset Allocation'!G4))</f>
        <v>0</v>
      </c>
      <c r="H4">
        <f t="shared" si="0"/>
        <v>-0.3254999999999999</v>
      </c>
    </row>
    <row r="5" spans="1:8" x14ac:dyDescent="0.25">
      <c r="A5" t="str">
        <f>IF(Input!A6="","",Input!A6)</f>
        <v>Moderately Adventurous Active Portfolio</v>
      </c>
      <c r="B5">
        <f>IF(A5="","",SUM('Asset Allocation'!B5))</f>
        <v>0.16149999999999998</v>
      </c>
      <c r="C5">
        <f>IF(A5="","",SUM('Asset Allocation'!C5))</f>
        <v>0.81849999999999989</v>
      </c>
      <c r="D5">
        <f>IF(A5="","",SUM('Asset Allocation'!D5))</f>
        <v>0.02</v>
      </c>
      <c r="E5">
        <f>IF(A5="","",SUM('Asset Allocation'!F5))</f>
        <v>0.22500000000000001</v>
      </c>
      <c r="F5">
        <f>IF(A5="","",SUM('Asset Allocation'!E5))</f>
        <v>6.1500000000000006E-2</v>
      </c>
      <c r="G5">
        <f>IF(A5="","",SUM('Asset Allocation'!G5))</f>
        <v>0</v>
      </c>
      <c r="H5">
        <f t="shared" si="0"/>
        <v>-0.28649999999999998</v>
      </c>
    </row>
    <row r="6" spans="1:8" x14ac:dyDescent="0.25">
      <c r="A6" t="str">
        <f>IF(Input!A7="","",Input!A7)</f>
        <v>Adventurous Active Portfolio</v>
      </c>
      <c r="B6">
        <f>IF(A6="","",SUM('Asset Allocation'!B6))</f>
        <v>1.2E-2</v>
      </c>
      <c r="C6">
        <f>IF(A6="","",SUM('Asset Allocation'!C6))</f>
        <v>0.96799999999999997</v>
      </c>
      <c r="D6">
        <f>IF(A6="","",SUM('Asset Allocation'!D6))</f>
        <v>0.02</v>
      </c>
      <c r="E6">
        <f>IF(A6="","",SUM('Asset Allocation'!F6))</f>
        <v>0.27399999999999997</v>
      </c>
      <c r="F6">
        <f>IF(A6="","",SUM('Asset Allocation'!E6))</f>
        <v>0</v>
      </c>
      <c r="G6">
        <f>IF(A6="","",SUM('Asset Allocation'!G6))</f>
        <v>0</v>
      </c>
      <c r="H6">
        <f t="shared" si="0"/>
        <v>-0.27400000000000002</v>
      </c>
    </row>
    <row r="7" spans="1:8" x14ac:dyDescent="0.25">
      <c r="A7" t="str">
        <f>IF(Input!A8="","",Input!A8)</f>
        <v>Cautious Passive Portfolio</v>
      </c>
      <c r="B7">
        <f>IF(A7="","",SUM('Asset Allocation'!B7))</f>
        <v>0.73049999999999993</v>
      </c>
      <c r="C7">
        <f>IF(A7="","",SUM('Asset Allocation'!C7))</f>
        <v>0.2145</v>
      </c>
      <c r="D7">
        <f>IF(A7="","",SUM('Asset Allocation'!D7))</f>
        <v>5.5E-2</v>
      </c>
      <c r="E7">
        <f>IF(A7="","",SUM('Asset Allocation'!F7))</f>
        <v>6.25E-2</v>
      </c>
      <c r="F7">
        <f>IF(A7="","",SUM('Asset Allocation'!E7))</f>
        <v>0.33750000000000002</v>
      </c>
      <c r="G7">
        <f>IF(A7="","",SUM('Asset Allocation'!G7))</f>
        <v>0</v>
      </c>
      <c r="H7">
        <f t="shared" si="0"/>
        <v>-0.39999999999999991</v>
      </c>
    </row>
    <row r="8" spans="1:8" x14ac:dyDescent="0.25">
      <c r="A8" t="str">
        <f>IF(Input!A9="","",Input!A9)</f>
        <v>Moderately Cautious Passive Portfolio</v>
      </c>
      <c r="B8">
        <f>IF(A8="","",SUM('Asset Allocation'!B8))</f>
        <v>0.54749999999999999</v>
      </c>
      <c r="C8">
        <f>IF(A8="","",SUM('Asset Allocation'!C8))</f>
        <v>0.41499999999999998</v>
      </c>
      <c r="D8">
        <f>IF(A8="","",SUM('Asset Allocation'!D8))</f>
        <v>3.7499999999999999E-2</v>
      </c>
      <c r="E8">
        <f>IF(A8="","",SUM('Asset Allocation'!F8))</f>
        <v>0.11749999999999999</v>
      </c>
      <c r="F8">
        <f>IF(A8="","",SUM('Asset Allocation'!E8))</f>
        <v>0.25</v>
      </c>
      <c r="G8">
        <f>IF(A8="","",SUM('Asset Allocation'!G8))</f>
        <v>0</v>
      </c>
      <c r="H8">
        <f t="shared" si="0"/>
        <v>-0.36749999999999994</v>
      </c>
    </row>
    <row r="9" spans="1:8" x14ac:dyDescent="0.25">
      <c r="A9" t="str">
        <f>IF(Input!A10="","",Input!A10)</f>
        <v>Moderate Passive Portfolio</v>
      </c>
      <c r="B9">
        <f>IF(A9="","",SUM('Asset Allocation'!B9))</f>
        <v>0.35499999999999998</v>
      </c>
      <c r="C9">
        <f>IF(A9="","",SUM('Asset Allocation'!C9))</f>
        <v>0.61499999999999999</v>
      </c>
      <c r="D9">
        <f>IF(A9="","",SUM('Asset Allocation'!D9))</f>
        <v>0.03</v>
      </c>
      <c r="E9">
        <f>IF(A9="","",SUM('Asset Allocation'!F9))</f>
        <v>0.18149999999999999</v>
      </c>
      <c r="F9">
        <f>IF(A9="","",SUM('Asset Allocation'!E9))</f>
        <v>0.151</v>
      </c>
      <c r="G9">
        <f>IF(A9="","",SUM('Asset Allocation'!G9))</f>
        <v>0</v>
      </c>
      <c r="H9">
        <f t="shared" si="0"/>
        <v>-0.33250000000000002</v>
      </c>
    </row>
    <row r="10" spans="1:8" x14ac:dyDescent="0.25">
      <c r="A10" t="str">
        <f>IF(Input!A11="","",Input!A11)</f>
        <v>Moderately Adventurous Passive Portfolio</v>
      </c>
      <c r="B10">
        <f>IF(A10="","",SUM('Asset Allocation'!B10))</f>
        <v>0.16500000000000001</v>
      </c>
      <c r="C10">
        <f>IF(A10="","",SUM('Asset Allocation'!C10))</f>
        <v>0.81499999999999995</v>
      </c>
      <c r="D10">
        <f>IF(A10="","",SUM('Asset Allocation'!D10))</f>
        <v>0.02</v>
      </c>
      <c r="E10">
        <f>IF(A10="","",SUM('Asset Allocation'!F10))</f>
        <v>0.23300000000000001</v>
      </c>
      <c r="F10">
        <f>IF(A10="","",SUM('Asset Allocation'!E10))</f>
        <v>6.2E-2</v>
      </c>
      <c r="G10">
        <f>IF(A10="","",SUM('Asset Allocation'!G10))</f>
        <v>0</v>
      </c>
      <c r="H10">
        <f t="shared" si="0"/>
        <v>-0.29500000000000015</v>
      </c>
    </row>
    <row r="11" spans="1:8" x14ac:dyDescent="0.25">
      <c r="A11" t="str">
        <f>IF(Input!A12="","",Input!A12)</f>
        <v>Adventurous Passive Portfolio</v>
      </c>
      <c r="B11">
        <f>IF(A11="","",SUM('Asset Allocation'!B11))</f>
        <v>1.4999999999999999E-2</v>
      </c>
      <c r="C11">
        <f>IF(A11="","",SUM('Asset Allocation'!C11))</f>
        <v>0.96499999999999997</v>
      </c>
      <c r="D11">
        <f>IF(A11="","",SUM('Asset Allocation'!D11))</f>
        <v>0.02</v>
      </c>
      <c r="E11">
        <f>IF(A11="","",SUM('Asset Allocation'!F11))</f>
        <v>0.27750000000000002</v>
      </c>
      <c r="F11">
        <f>IF(A11="","",SUM('Asset Allocation'!E11))</f>
        <v>0</v>
      </c>
      <c r="G11">
        <f>IF(A11="","",SUM('Asset Allocation'!G11))</f>
        <v>0</v>
      </c>
      <c r="H11">
        <f t="shared" si="0"/>
        <v>-0.27750000000000008</v>
      </c>
    </row>
    <row r="12" spans="1:8" x14ac:dyDescent="0.25">
      <c r="A12" t="str">
        <f>IF(Input!A13="","",Input!A13)</f>
        <v>Moderately Cautious Income Portfolio</v>
      </c>
      <c r="B12">
        <f>IF(A12="","",SUM('Asset Allocation'!B12))</f>
        <v>0.65</v>
      </c>
      <c r="C12">
        <f>IF(A12="","",SUM('Asset Allocation'!C12))</f>
        <v>0.33</v>
      </c>
      <c r="D12">
        <f>IF(A12="","",SUM('Asset Allocation'!D12))</f>
        <v>0.02</v>
      </c>
      <c r="E12">
        <f>IF(A12="","",SUM('Asset Allocation'!F12))</f>
        <v>0.125</v>
      </c>
      <c r="F12">
        <f>IF(A12="","",SUM('Asset Allocation'!E12))</f>
        <v>0.16</v>
      </c>
      <c r="G12">
        <f>IF(A12="","",SUM('Asset Allocation'!G12))</f>
        <v>0.11</v>
      </c>
      <c r="H12">
        <f t="shared" si="0"/>
        <v>-0.39500000000000002</v>
      </c>
    </row>
    <row r="13" spans="1:8" x14ac:dyDescent="0.25">
      <c r="A13" t="str">
        <f>IF(Input!A14="","",Input!A14)</f>
        <v>Moderate Income Portfolio</v>
      </c>
      <c r="B13">
        <f>IF(A13="","",SUM('Asset Allocation'!B13))</f>
        <v>0.40500000000000003</v>
      </c>
      <c r="C13">
        <f>IF(A13="","",SUM('Asset Allocation'!C13))</f>
        <v>0.57499999999999996</v>
      </c>
      <c r="D13">
        <f>IF(A13="","",SUM('Asset Allocation'!D13))</f>
        <v>0.02</v>
      </c>
      <c r="E13">
        <f>IF(A13="","",SUM('Asset Allocation'!F13))</f>
        <v>0.22</v>
      </c>
      <c r="F13">
        <f>IF(A13="","",SUM('Asset Allocation'!E13))</f>
        <v>0.12</v>
      </c>
      <c r="G13">
        <f>IF(A13="","",SUM('Asset Allocation'!G13))</f>
        <v>9.5000000000000001E-2</v>
      </c>
      <c r="H13">
        <f t="shared" si="0"/>
        <v>-0.43499999999999983</v>
      </c>
    </row>
    <row r="14" spans="1:8" x14ac:dyDescent="0.25">
      <c r="A14" t="str">
        <f>IF(Input!A15="","",Input!A15)</f>
        <v>Governed Portfolio - Cautious Growth</v>
      </c>
      <c r="B14">
        <f>IF(A14="","",SUM('Asset Allocation'!B14))</f>
        <v>0.72799999999999998</v>
      </c>
      <c r="C14">
        <f>IF(A14="","",SUM('Asset Allocation'!C14))</f>
        <v>0.217</v>
      </c>
      <c r="D14">
        <f>IF(A14="","",SUM('Asset Allocation'!D14))</f>
        <v>5.5E-2</v>
      </c>
      <c r="E14">
        <f>IF(A14="","",SUM('Asset Allocation'!F14))</f>
        <v>5.7999999999999996E-2</v>
      </c>
      <c r="F14">
        <f>IF(A14="","",SUM('Asset Allocation'!E14))</f>
        <v>0.32299999999999995</v>
      </c>
      <c r="G14">
        <f>IF(A14="","",SUM('Asset Allocation'!G14))</f>
        <v>0</v>
      </c>
      <c r="H14">
        <f t="shared" si="0"/>
        <v>-0.38100000000000001</v>
      </c>
    </row>
    <row r="15" spans="1:8" x14ac:dyDescent="0.25">
      <c r="A15" t="str">
        <f>IF(Input!A16="","",Input!A16)</f>
        <v>Governed Portfolio - Moderately Cautious Growth</v>
      </c>
      <c r="B15">
        <f>IF(A15="","",SUM('Asset Allocation'!B15))</f>
        <v>0.54749999999999999</v>
      </c>
      <c r="C15">
        <f>IF(A15="","",SUM('Asset Allocation'!C15))</f>
        <v>0.41499999999999998</v>
      </c>
      <c r="D15">
        <f>IF(A15="","",SUM('Asset Allocation'!D15))</f>
        <v>3.7499999999999999E-2</v>
      </c>
      <c r="E15">
        <f>IF(A15="","",SUM('Asset Allocation'!F15))</f>
        <v>0.11650000000000001</v>
      </c>
      <c r="F15">
        <f>IF(A15="","",SUM('Asset Allocation'!E15))</f>
        <v>0.23749999999999999</v>
      </c>
      <c r="G15">
        <f>IF(A15="","",SUM('Asset Allocation'!G15))</f>
        <v>0</v>
      </c>
      <c r="H15">
        <f t="shared" si="0"/>
        <v>-0.35399999999999987</v>
      </c>
    </row>
    <row r="16" spans="1:8" x14ac:dyDescent="0.25">
      <c r="A16" t="str">
        <f>IF(Input!A17="","",Input!A17)</f>
        <v>Governed Portfolio - Moderate Growth</v>
      </c>
      <c r="B16">
        <f>IF(A16="","",SUM('Asset Allocation'!B16))</f>
        <v>0.35399999999999998</v>
      </c>
      <c r="C16">
        <f>IF(A16="","",SUM('Asset Allocation'!C16))</f>
        <v>0.61499999999999999</v>
      </c>
      <c r="D16">
        <f>IF(A16="","",SUM('Asset Allocation'!D16))</f>
        <v>3.1E-2</v>
      </c>
      <c r="E16">
        <f>IF(A16="","",SUM('Asset Allocation'!F16))</f>
        <v>0.17399999999999999</v>
      </c>
      <c r="F16">
        <f>IF(A16="","",SUM('Asset Allocation'!E16))</f>
        <v>0.15</v>
      </c>
      <c r="G16">
        <f>IF(A16="","",SUM('Asset Allocation'!G16))</f>
        <v>0</v>
      </c>
      <c r="H16">
        <f t="shared" si="0"/>
        <v>-0.32399999999999984</v>
      </c>
    </row>
    <row r="17" spans="1:8" x14ac:dyDescent="0.25">
      <c r="A17" t="str">
        <f>IF(Input!A18="","",Input!A18)</f>
        <v>Governed Portfolio - Moderately Adventurous Growth</v>
      </c>
      <c r="B17">
        <f>IF(A17="","",SUM('Asset Allocation'!B17))</f>
        <v>0.16149999999999998</v>
      </c>
      <c r="C17">
        <f>IF(A17="","",SUM('Asset Allocation'!C17))</f>
        <v>0.81849999999999989</v>
      </c>
      <c r="D17">
        <f>IF(A17="","",SUM('Asset Allocation'!D17))</f>
        <v>0.02</v>
      </c>
      <c r="E17">
        <f>IF(A17="","",SUM('Asset Allocation'!F17))</f>
        <v>0.22399999999999998</v>
      </c>
      <c r="F17">
        <f>IF(A17="","",SUM('Asset Allocation'!E17))</f>
        <v>6.1500000000000006E-2</v>
      </c>
      <c r="G17">
        <f>IF(A17="","",SUM('Asset Allocation'!G17))</f>
        <v>0</v>
      </c>
      <c r="H17">
        <f t="shared" si="0"/>
        <v>-0.28549999999999986</v>
      </c>
    </row>
    <row r="18" spans="1:8" x14ac:dyDescent="0.25">
      <c r="A18" t="str">
        <f>IF(Input!A19="","",Input!A19)</f>
        <v>Governed Portfolio - Adventurous Growth</v>
      </c>
      <c r="B18">
        <f>IF(A18="","",SUM('Asset Allocation'!B18))</f>
        <v>1.4999999999999999E-2</v>
      </c>
      <c r="C18">
        <f>IF(A18="","",SUM('Asset Allocation'!C18))</f>
        <v>0.96499999999999997</v>
      </c>
      <c r="D18">
        <f>IF(A18="","",SUM('Asset Allocation'!D18))</f>
        <v>0.02</v>
      </c>
      <c r="E18">
        <f>IF(A18="","",SUM('Asset Allocation'!F18))</f>
        <v>0.26500000000000001</v>
      </c>
      <c r="F18">
        <f>IF(A18="","",SUM('Asset Allocation'!E18))</f>
        <v>0</v>
      </c>
      <c r="G18">
        <f>IF(A18="","",SUM('Asset Allocation'!G18))</f>
        <v>0</v>
      </c>
      <c r="H18">
        <f t="shared" si="0"/>
        <v>-0.26500000000000012</v>
      </c>
    </row>
    <row r="19" spans="1:8" x14ac:dyDescent="0.25">
      <c r="A19" t="str">
        <f>IF(Input!A20="","",Input!A20)</f>
        <v>Governed Portfolio - Moderately Cautious Income</v>
      </c>
      <c r="B19">
        <f>IF(A19="","",SUM('Asset Allocation'!B19))</f>
        <v>0.65</v>
      </c>
      <c r="C19">
        <f>IF(A19="","",SUM('Asset Allocation'!C19))</f>
        <v>0.33</v>
      </c>
      <c r="D19">
        <f>IF(A19="","",SUM('Asset Allocation'!D19))</f>
        <v>0.02</v>
      </c>
      <c r="E19">
        <f>IF(A19="","",SUM('Asset Allocation'!F19))</f>
        <v>0.125</v>
      </c>
      <c r="F19">
        <f>IF(A19="","",SUM('Asset Allocation'!E19))</f>
        <v>0.16</v>
      </c>
      <c r="G19">
        <f>IF(A19="","",SUM('Asset Allocation'!G19))</f>
        <v>0.11</v>
      </c>
      <c r="H19">
        <f t="shared" si="0"/>
        <v>-0.39500000000000002</v>
      </c>
    </row>
    <row r="20" spans="1:8" x14ac:dyDescent="0.25">
      <c r="A20" t="str">
        <f>IF(Input!A21="","",Input!A21)</f>
        <v>ESG – Cautious Portfolio</v>
      </c>
      <c r="B20">
        <f>IF(A20="","",SUM('Asset Allocation'!B20))</f>
        <v>0.67749999999999999</v>
      </c>
      <c r="C20">
        <f>IF(A20="","",SUM('Asset Allocation'!C20))</f>
        <v>0.21</v>
      </c>
      <c r="D20">
        <f>IF(A20="","",SUM('Asset Allocation'!D20))</f>
        <v>0.1125</v>
      </c>
      <c r="E20">
        <f>IF(A20="","",SUM('Asset Allocation'!F20))</f>
        <v>5.45E-2</v>
      </c>
      <c r="F20">
        <f>IF(A20="","",SUM('Asset Allocation'!E20))</f>
        <v>0.20499999999999999</v>
      </c>
      <c r="G20">
        <f>IF(A20="","",SUM('Asset Allocation'!G20))</f>
        <v>0</v>
      </c>
      <c r="H20">
        <f t="shared" si="0"/>
        <v>-0.25950000000000006</v>
      </c>
    </row>
    <row r="21" spans="1:8" x14ac:dyDescent="0.25">
      <c r="A21" t="str">
        <f>IF(Input!A22="","",Input!A22)</f>
        <v>ESG – Moderately Cautious Portfolio</v>
      </c>
      <c r="B21">
        <f>IF(A21="","",SUM('Asset Allocation'!B21))</f>
        <v>0.51450000000000007</v>
      </c>
      <c r="C21">
        <f>IF(A21="","",SUM('Asset Allocation'!C21))</f>
        <v>0.41</v>
      </c>
      <c r="D21">
        <f>IF(A21="","",SUM('Asset Allocation'!D21))</f>
        <v>7.5499999999999998E-2</v>
      </c>
      <c r="E21">
        <f>IF(A21="","",SUM('Asset Allocation'!F21))</f>
        <v>0.14300000000000002</v>
      </c>
      <c r="F21">
        <f>IF(A21="","",SUM('Asset Allocation'!E21))</f>
        <v>0.154</v>
      </c>
      <c r="G21">
        <f>IF(A21="","",SUM('Asset Allocation'!G21))</f>
        <v>0</v>
      </c>
      <c r="H21">
        <f t="shared" si="0"/>
        <v>-0.29699999999999993</v>
      </c>
    </row>
    <row r="22" spans="1:8" x14ac:dyDescent="0.25">
      <c r="A22" t="str">
        <f>IF(Input!A23="","",Input!A23)</f>
        <v>ESG – Moderate Portfolio</v>
      </c>
      <c r="B22">
        <f>IF(A22="","",SUM('Asset Allocation'!B22))</f>
        <v>0.35299999999999998</v>
      </c>
      <c r="C22">
        <f>IF(A22="","",SUM('Asset Allocation'!C22))</f>
        <v>0.61</v>
      </c>
      <c r="D22">
        <f>IF(A22="","",SUM('Asset Allocation'!D22))</f>
        <v>3.7000000000000005E-2</v>
      </c>
      <c r="E22">
        <f>IF(A22="","",SUM('Asset Allocation'!F22))</f>
        <v>0.22</v>
      </c>
      <c r="F22">
        <f>IF(A22="","",SUM('Asset Allocation'!E22))</f>
        <v>0.1195</v>
      </c>
      <c r="G22">
        <f>IF(A22="","",SUM('Asset Allocation'!G22))</f>
        <v>0</v>
      </c>
      <c r="H22">
        <f t="shared" si="0"/>
        <v>-0.33949999999999991</v>
      </c>
    </row>
    <row r="23" spans="1:8" x14ac:dyDescent="0.25">
      <c r="A23" t="str">
        <f>IF(Input!A24="","",Input!A24)</f>
        <v>ESG – Moderately Adventurous Portfolio</v>
      </c>
      <c r="B23">
        <f>IF(A23="","",SUM('Asset Allocation'!B23))</f>
        <v>0.17</v>
      </c>
      <c r="C23">
        <f>IF(A23="","",SUM('Asset Allocation'!C23))</f>
        <v>0.81</v>
      </c>
      <c r="D23">
        <f>IF(A23="","",SUM('Asset Allocation'!D23))</f>
        <v>0.02</v>
      </c>
      <c r="E23">
        <f>IF(A23="","",SUM('Asset Allocation'!F23))</f>
        <v>0.29449999999999998</v>
      </c>
      <c r="F23">
        <f>IF(A23="","",SUM('Asset Allocation'!E23))</f>
        <v>6.5000000000000002E-2</v>
      </c>
      <c r="G23">
        <f>IF(A23="","",SUM('Asset Allocation'!G23))</f>
        <v>0</v>
      </c>
      <c r="H23">
        <f t="shared" si="0"/>
        <v>-0.35949999999999993</v>
      </c>
    </row>
    <row r="24" spans="1:8" x14ac:dyDescent="0.25">
      <c r="A24" t="str">
        <f>IF(Input!A25="","",Input!A25)</f>
        <v>ESG – Adventurous Portfolio</v>
      </c>
      <c r="B24">
        <f>IF(A24="","",SUM('Asset Allocation'!B24))</f>
        <v>0.03</v>
      </c>
      <c r="C24">
        <f>IF(A24="","",SUM('Asset Allocation'!C24))</f>
        <v>0.95</v>
      </c>
      <c r="D24">
        <f>IF(A24="","",SUM('Asset Allocation'!D24))</f>
        <v>0.02</v>
      </c>
      <c r="E24">
        <f>IF(A24="","",SUM('Asset Allocation'!F24))</f>
        <v>0.34149999999999997</v>
      </c>
      <c r="F24">
        <f>IF(A24="","",SUM('Asset Allocation'!E24))</f>
        <v>0</v>
      </c>
      <c r="G24">
        <f>IF(A24="","",SUM('Asset Allocation'!G24))</f>
        <v>0</v>
      </c>
      <c r="H24">
        <f t="shared" si="0"/>
        <v>-0.34149999999999991</v>
      </c>
    </row>
    <row r="25" spans="1:8" x14ac:dyDescent="0.25">
      <c r="A25" t="str">
        <f>IF(Input!A26="","",Input!A26)</f>
        <v>International GBP - Cautious Growth</v>
      </c>
      <c r="B25">
        <f>IF(A25="","",SUM('Asset Allocation'!B25))</f>
        <v>0.71299999999999997</v>
      </c>
      <c r="C25">
        <f>IF(A25="","",SUM('Asset Allocation'!C25))</f>
        <v>0.215</v>
      </c>
      <c r="D25">
        <f>IF(A25="","",SUM('Asset Allocation'!D25))</f>
        <v>7.2000000000000008E-2</v>
      </c>
      <c r="E25">
        <f>IF(A25="","",SUM('Asset Allocation'!F25))</f>
        <v>6.5000000000000002E-2</v>
      </c>
      <c r="F25">
        <f>IF(A25="","",SUM('Asset Allocation'!E25))</f>
        <v>0.308</v>
      </c>
      <c r="G25">
        <f>IF(A25="","",SUM('Asset Allocation'!G25))</f>
        <v>0</v>
      </c>
      <c r="H25">
        <f t="shared" si="0"/>
        <v>-0.373</v>
      </c>
    </row>
    <row r="26" spans="1:8" x14ac:dyDescent="0.25">
      <c r="A26" t="str">
        <f>IF(Input!A27="","",Input!A27)</f>
        <v>International GBP - Moderately Cautious Growth</v>
      </c>
      <c r="B26">
        <f>IF(A26="","",SUM('Asset Allocation'!B26))</f>
        <v>0.54200000000000004</v>
      </c>
      <c r="C26">
        <f>IF(A26="","",SUM('Asset Allocation'!C26))</f>
        <v>0.41499999999999998</v>
      </c>
      <c r="D26">
        <f>IF(A26="","",SUM('Asset Allocation'!D26))</f>
        <v>4.2999999999999997E-2</v>
      </c>
      <c r="E26">
        <f>IF(A26="","",SUM('Asset Allocation'!F26))</f>
        <v>0.1245</v>
      </c>
      <c r="F26">
        <f>IF(A26="","",SUM('Asset Allocation'!E26))</f>
        <v>0.23</v>
      </c>
      <c r="G26">
        <f>IF(A26="","",SUM('Asset Allocation'!G26))</f>
        <v>0</v>
      </c>
      <c r="H26">
        <f t="shared" si="0"/>
        <v>-0.35450000000000004</v>
      </c>
    </row>
    <row r="27" spans="1:8" x14ac:dyDescent="0.25">
      <c r="A27" t="str">
        <f>IF(Input!A28="","",Input!A28)</f>
        <v>International GBP - Moderate Growth</v>
      </c>
      <c r="B27">
        <f>IF(A27="","",SUM('Asset Allocation'!B27))</f>
        <v>0.35549999999999998</v>
      </c>
      <c r="C27">
        <f>IF(A27="","",SUM('Asset Allocation'!C27))</f>
        <v>0.61499999999999999</v>
      </c>
      <c r="D27">
        <f>IF(A27="","",SUM('Asset Allocation'!D27))</f>
        <v>2.9500000000000002E-2</v>
      </c>
      <c r="E27">
        <f>IF(A27="","",SUM('Asset Allocation'!F27))</f>
        <v>0.182</v>
      </c>
      <c r="F27">
        <f>IF(A27="","",SUM('Asset Allocation'!E27))</f>
        <v>0.153</v>
      </c>
      <c r="G27">
        <f>IF(A27="","",SUM('Asset Allocation'!G27))</f>
        <v>0</v>
      </c>
      <c r="H27">
        <f t="shared" si="0"/>
        <v>-0.33499999999999996</v>
      </c>
    </row>
    <row r="28" spans="1:8" x14ac:dyDescent="0.25">
      <c r="A28" t="str">
        <f>IF(Input!A29="","",Input!A29)</f>
        <v>International GBP - Moderately Adventurous Growth</v>
      </c>
      <c r="B28">
        <f>IF(A28="","",SUM('Asset Allocation'!B28))</f>
        <v>0.16500000000000001</v>
      </c>
      <c r="C28">
        <f>IF(A28="","",SUM('Asset Allocation'!C28))</f>
        <v>0.81499999999999995</v>
      </c>
      <c r="D28">
        <f>IF(A28="","",SUM('Asset Allocation'!D28))</f>
        <v>0.02</v>
      </c>
      <c r="E28">
        <f>IF(A28="","",SUM('Asset Allocation'!F28))</f>
        <v>0.23899999999999999</v>
      </c>
      <c r="F28">
        <f>IF(A28="","",SUM('Asset Allocation'!E28))</f>
        <v>6.5000000000000002E-2</v>
      </c>
      <c r="G28">
        <f>IF(A28="","",SUM('Asset Allocation'!G28))</f>
        <v>0</v>
      </c>
      <c r="H28">
        <f t="shared" si="0"/>
        <v>-0.30399999999999983</v>
      </c>
    </row>
    <row r="29" spans="1:8" x14ac:dyDescent="0.25">
      <c r="A29" t="str">
        <f>IF(Input!A30="","",Input!A30)</f>
        <v>International GBP - Adventurous Growth</v>
      </c>
      <c r="B29">
        <f>IF(A29="","",SUM('Asset Allocation'!B29))</f>
        <v>1.4999999999999999E-2</v>
      </c>
      <c r="C29">
        <f>IF(A29="","",SUM('Asset Allocation'!C29))</f>
        <v>0.96499999999999997</v>
      </c>
      <c r="D29">
        <f>IF(A29="","",SUM('Asset Allocation'!D29))</f>
        <v>0.02</v>
      </c>
      <c r="E29">
        <f>IF(A29="","",SUM('Asset Allocation'!F29))</f>
        <v>0.28699999999999998</v>
      </c>
      <c r="F29">
        <f>IF(A29="","",SUM('Asset Allocation'!E29))</f>
        <v>0</v>
      </c>
      <c r="G29">
        <f>IF(A29="","",SUM('Asset Allocation'!G29))</f>
        <v>0</v>
      </c>
      <c r="H29">
        <f t="shared" si="0"/>
        <v>-0.28699999999999992</v>
      </c>
    </row>
    <row r="30" spans="1:8" x14ac:dyDescent="0.25">
      <c r="A30" t="str">
        <f>IF(Input!A31="","",Input!A31)</f>
        <v>Morningstar Blended Cautious Portfolio</v>
      </c>
      <c r="B30">
        <f>IF(A30="","",SUM('Asset Allocation'!B30))</f>
        <v>0.72799999999999998</v>
      </c>
      <c r="C30">
        <f>IF(A30="","",SUM('Asset Allocation'!C30))</f>
        <v>0.217</v>
      </c>
      <c r="D30">
        <f>IF(A30="","",SUM('Asset Allocation'!D30))</f>
        <v>5.5E-2</v>
      </c>
      <c r="E30">
        <f>IF(A30="","",SUM('Asset Allocation'!F30))</f>
        <v>5.7999999999999996E-2</v>
      </c>
      <c r="F30">
        <f>IF(A30="","",SUM('Asset Allocation'!E30))</f>
        <v>0.32299999999999995</v>
      </c>
      <c r="G30">
        <f>IF(A30="","",SUM('Asset Allocation'!G30))</f>
        <v>0</v>
      </c>
      <c r="H30">
        <f t="shared" si="0"/>
        <v>-0.38100000000000001</v>
      </c>
    </row>
    <row r="31" spans="1:8" x14ac:dyDescent="0.25">
      <c r="A31" t="str">
        <f>IF(Input!A32="","",Input!A32)</f>
        <v>Morningstar Blended Moderately Cautious Portfolio</v>
      </c>
      <c r="B31">
        <f>IF(A31="","",SUM('Asset Allocation'!B31))</f>
        <v>0.54749999999999999</v>
      </c>
      <c r="C31">
        <f>IF(A31="","",SUM('Asset Allocation'!C31))</f>
        <v>0.41499999999999998</v>
      </c>
      <c r="D31">
        <f>IF(A31="","",SUM('Asset Allocation'!D31))</f>
        <v>3.7499999999999999E-2</v>
      </c>
      <c r="E31">
        <f>IF(A31="","",SUM('Asset Allocation'!F31))</f>
        <v>0.11650000000000001</v>
      </c>
      <c r="F31">
        <f>IF(A31="","",SUM('Asset Allocation'!E31))</f>
        <v>0.23749999999999999</v>
      </c>
      <c r="G31">
        <f>IF(A31="","",SUM('Asset Allocation'!G31))</f>
        <v>0</v>
      </c>
      <c r="H31">
        <f t="shared" si="0"/>
        <v>-0.35399999999999987</v>
      </c>
    </row>
    <row r="32" spans="1:8" x14ac:dyDescent="0.25">
      <c r="A32" t="str">
        <f>IF(Input!A33="","",Input!A33)</f>
        <v>Morningstar Blended Moderate Portfolio</v>
      </c>
      <c r="B32">
        <f>IF(A32="","",SUM('Asset Allocation'!B32))</f>
        <v>0.35399999999999998</v>
      </c>
      <c r="C32">
        <f>IF(A32="","",SUM('Asset Allocation'!C32))</f>
        <v>0.61499999999999999</v>
      </c>
      <c r="D32">
        <f>IF(A32="","",SUM('Asset Allocation'!D32))</f>
        <v>3.1E-2</v>
      </c>
      <c r="E32">
        <f>IF(A32="","",SUM('Asset Allocation'!F32))</f>
        <v>0.17399999999999999</v>
      </c>
      <c r="F32">
        <f>IF(A32="","",SUM('Asset Allocation'!E32))</f>
        <v>0.15</v>
      </c>
      <c r="G32">
        <f>IF(A32="","",SUM('Asset Allocation'!G32))</f>
        <v>0</v>
      </c>
      <c r="H32">
        <f t="shared" si="0"/>
        <v>-0.32399999999999984</v>
      </c>
    </row>
    <row r="33" spans="1:8" x14ac:dyDescent="0.25">
      <c r="A33" t="str">
        <f>IF(Input!A34="","",Input!A34)</f>
        <v>Morningstar Blended Moderately Adventurous Portfolio</v>
      </c>
      <c r="B33">
        <f>IF(A33="","",SUM('Asset Allocation'!B33))</f>
        <v>0.16149999999999998</v>
      </c>
      <c r="C33">
        <f>IF(A33="","",SUM('Asset Allocation'!C33))</f>
        <v>0.81849999999999989</v>
      </c>
      <c r="D33">
        <f>IF(A33="","",SUM('Asset Allocation'!D33))</f>
        <v>0.02</v>
      </c>
      <c r="E33">
        <f>IF(A33="","",SUM('Asset Allocation'!F33))</f>
        <v>0.22399999999999998</v>
      </c>
      <c r="F33">
        <f>IF(A33="","",SUM('Asset Allocation'!E33))</f>
        <v>6.1500000000000006E-2</v>
      </c>
      <c r="G33">
        <f>IF(A33="","",SUM('Asset Allocation'!G33))</f>
        <v>0</v>
      </c>
      <c r="H33">
        <f t="shared" si="0"/>
        <v>-0.28549999999999986</v>
      </c>
    </row>
    <row r="34" spans="1:8" x14ac:dyDescent="0.25">
      <c r="A34" t="str">
        <f>IF(Input!A35="","",Input!A35)</f>
        <v>Morningstar Blended Adventurous Portfolio</v>
      </c>
      <c r="B34">
        <f>IF(A34="","",SUM('Asset Allocation'!B34))</f>
        <v>1.4999999999999999E-2</v>
      </c>
      <c r="C34">
        <f>IF(A34="","",SUM('Asset Allocation'!C34))</f>
        <v>0.96499999999999997</v>
      </c>
      <c r="D34">
        <f>IF(A34="","",SUM('Asset Allocation'!D34))</f>
        <v>0.02</v>
      </c>
      <c r="E34">
        <f>IF(A34="","",SUM('Asset Allocation'!F34))</f>
        <v>0.26500000000000001</v>
      </c>
      <c r="F34">
        <f>IF(A34="","",SUM('Asset Allocation'!E34))</f>
        <v>0</v>
      </c>
      <c r="G34">
        <f>IF(A34="","",SUM('Asset Allocation'!G34))</f>
        <v>0</v>
      </c>
      <c r="H34">
        <f t="shared" si="0"/>
        <v>-0.26500000000000012</v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D35" t="str">
        <f>IF(A35="","",SUM('Asset Allocation'!D35))</f>
        <v/>
      </c>
      <c r="E35" t="str">
        <f>IF(A35="","",SUM('Asset Allocation'!F35))</f>
        <v/>
      </c>
      <c r="F35" t="str">
        <f>IF(A35="","",SUM('Asset Allocation'!E35))</f>
        <v/>
      </c>
      <c r="G35" t="str">
        <f>IF(A35="","",SUM('Asset Allocation'!G35))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D36" t="str">
        <f>IF(A36="","",SUM('Asset Allocation'!D36))</f>
        <v/>
      </c>
      <c r="E36" t="str">
        <f>IF(A36="","",SUM('Asset Allocation'!F36))</f>
        <v/>
      </c>
      <c r="F36" t="str">
        <f>IF(A36="","",SUM('Asset Allocation'!E36))</f>
        <v/>
      </c>
      <c r="G36" t="str">
        <f>IF(A36="","",SUM('Asset Allocation'!G36))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D37" t="str">
        <f>IF(A37="","",SUM('Asset Allocation'!D37))</f>
        <v/>
      </c>
      <c r="E37" t="str">
        <f>IF(A37="","",SUM('Asset Allocation'!F37))</f>
        <v/>
      </c>
      <c r="F37" t="str">
        <f>IF(A37="","",SUM('Asset Allocation'!E37))</f>
        <v/>
      </c>
      <c r="G37" t="str">
        <f>IF(A37="","",SUM('Asset Allocation'!G37))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D38" t="str">
        <f>IF(A38="","",SUM('Asset Allocation'!D38))</f>
        <v/>
      </c>
      <c r="E38" t="str">
        <f>IF(A38="","",SUM('Asset Allocation'!F38))</f>
        <v/>
      </c>
      <c r="F38" t="str">
        <f>IF(A38="","",SUM('Asset Allocation'!E38))</f>
        <v/>
      </c>
      <c r="G38" t="str">
        <f>IF(A38="","",SUM('Asset Allocation'!G38))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Allocation'!D39))</f>
        <v/>
      </c>
      <c r="E39" t="str">
        <f>IF(A39="","",SUM('Asset Allocation'!F39))</f>
        <v/>
      </c>
      <c r="F39" t="str">
        <f>IF(A39="","",SUM('Asset Allocation'!E39))</f>
        <v/>
      </c>
      <c r="G39" t="str">
        <f>IF(A39="","",SUM('Asset Allocation'!G39))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Allocation'!D40))</f>
        <v/>
      </c>
      <c r="E40" t="str">
        <f>IF(A40="","",SUM('Asset Allocation'!F40))</f>
        <v/>
      </c>
      <c r="F40" t="str">
        <f>IF(A40="","",SUM('Asset Allocation'!E40))</f>
        <v/>
      </c>
      <c r="G40" t="str">
        <f>IF(A40="","",SUM('Asset Allocation'!G40))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Allocation'!D41))</f>
        <v/>
      </c>
      <c r="E41" t="str">
        <f>IF(A41="","",SUM('Asset Allocation'!F41))</f>
        <v/>
      </c>
      <c r="F41" t="str">
        <f>IF(A41="","",SUM('Asset Allocation'!E41))</f>
        <v/>
      </c>
      <c r="G41" t="str">
        <f>IF(A41="","",SUM('Asset Allocation'!G41))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Allocation'!D42))</f>
        <v/>
      </c>
      <c r="E42" t="str">
        <f>IF(A42="","",SUM('Asset Allocation'!F42))</f>
        <v/>
      </c>
      <c r="F42" t="str">
        <f>IF(A42="","",SUM('Asset Allocation'!E42))</f>
        <v/>
      </c>
      <c r="G42" t="str">
        <f>IF(A42="","",SUM('Asset Allocation'!G42))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Allocation'!D43))</f>
        <v/>
      </c>
      <c r="E43" t="str">
        <f>IF(A43="","",SUM('Asset Allocation'!F43))</f>
        <v/>
      </c>
      <c r="F43" t="str">
        <f>IF(A43="","",SUM('Asset Allocation'!E43))</f>
        <v/>
      </c>
      <c r="G43" t="str">
        <f>IF(A43="","",SUM('Asset Allocation'!G43))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Allocation'!D44))</f>
        <v/>
      </c>
      <c r="E44" t="str">
        <f>IF(A44="","",SUM('Asset Allocation'!F44))</f>
        <v/>
      </c>
      <c r="F44" t="str">
        <f>IF(A44="","",SUM('Asset Allocation'!E44))</f>
        <v/>
      </c>
      <c r="G44" t="str">
        <f>IF(A44="","",SUM('Asset Allocation'!G44))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Allocation'!D45))</f>
        <v/>
      </c>
      <c r="E45" t="str">
        <f>IF(A45="","",SUM('Asset Allocation'!F45))</f>
        <v/>
      </c>
      <c r="F45" t="str">
        <f>IF(A45="","",SUM('Asset Allocation'!E45))</f>
        <v/>
      </c>
      <c r="G45" t="str">
        <f>IF(A45="","",SUM('Asset Allocation'!G45))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Allocation'!D46))</f>
        <v/>
      </c>
      <c r="E46" t="str">
        <f>IF(A46="","",SUM('Asset Allocation'!F46))</f>
        <v/>
      </c>
      <c r="F46" t="str">
        <f>IF(A46="","",SUM('Asset Allocation'!E46))</f>
        <v/>
      </c>
      <c r="G46" t="str">
        <f>IF(A46="","",SUM('Asset Allocation'!G46))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Allocation'!D47))</f>
        <v/>
      </c>
      <c r="E47" t="str">
        <f>IF(A47="","",SUM('Asset Allocation'!F47))</f>
        <v/>
      </c>
      <c r="F47" t="str">
        <f>IF(A47="","",SUM('Asset Allocation'!E47))</f>
        <v/>
      </c>
      <c r="G47" t="str">
        <f>IF(A47="","",SUM('Asset Allocation'!G47))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Allocation'!D48))</f>
        <v/>
      </c>
      <c r="E48" t="str">
        <f>IF(A48="","",SUM('Asset Allocation'!F48))</f>
        <v/>
      </c>
      <c r="F48" t="str">
        <f>IF(A48="","",SUM('Asset Allocation'!E48))</f>
        <v/>
      </c>
      <c r="G48" t="str">
        <f>IF(A48="","",SUM('Asset Allocation'!G48))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Allocation'!D49))</f>
        <v/>
      </c>
      <c r="E49" t="str">
        <f>IF(A49="","",SUM('Asset Allocation'!F49))</f>
        <v/>
      </c>
      <c r="F49" t="str">
        <f>IF(A49="","",SUM('Asset Allocation'!E49))</f>
        <v/>
      </c>
      <c r="G49" t="str">
        <f>IF(A49="","",SUM('Asset Allocation'!G49))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Allocation'!D50))</f>
        <v/>
      </c>
      <c r="E50" t="str">
        <f>IF(A50="","",SUM('Asset Allocation'!F50))</f>
        <v/>
      </c>
      <c r="F50" t="str">
        <f>IF(A50="","",SUM('Asset Allocation'!E50))</f>
        <v/>
      </c>
      <c r="G50" t="str">
        <f>IF(A50="","",SUM('Asset Allocation'!G50))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Cautious Active Portfolio</v>
      </c>
      <c r="B2" s="6">
        <f>IFERROR(IF(A2="","",SUM('Asset Allocation'!H2)),0)</f>
        <v>0.125</v>
      </c>
      <c r="C2" s="6">
        <f>IFERROR(IF(A2="","",SUM('Asset Allocation'!I2)),0)</f>
        <v>3.5000000000000003E-2</v>
      </c>
      <c r="D2" s="6">
        <f>IFERROR(IF(A2="","",SUM('Asset Allocation'!L2)),0)</f>
        <v>4.8000000000000001E-2</v>
      </c>
      <c r="E2" s="6">
        <f>IFERROR(IF(A2="","",SUM('Asset Allocation'!M2)),0)</f>
        <v>1.3000000000000001E-2</v>
      </c>
      <c r="F2" s="6">
        <f>IFERROR(IF(A2="","",SUM('Asset Allocation'!J2)),0)</f>
        <v>0.03</v>
      </c>
      <c r="G2" s="6">
        <f>IFERROR(IF(A2="","",SUM('Asset Allocation'!K2)),0)</f>
        <v>0.115</v>
      </c>
      <c r="H2" s="6"/>
    </row>
    <row r="3" spans="1:8" x14ac:dyDescent="0.25">
      <c r="A3" t="str">
        <f>IF(Input!A4="","",Input!A4)</f>
        <v>Moderately Cautious Active Portfolio</v>
      </c>
      <c r="B3" s="6">
        <f>IFERROR(IF(A3="","",SUM('Asset Allocation'!H3)),0)</f>
        <v>0.09</v>
      </c>
      <c r="C3" s="6">
        <f>IFERROR(IF(A3="","",SUM('Asset Allocation'!I3)),0)</f>
        <v>0.03</v>
      </c>
      <c r="D3" s="6">
        <f>IFERROR(IF(A3="","",SUM('Asset Allocation'!L3)),0)</f>
        <v>8.3499999999999991E-2</v>
      </c>
      <c r="E3" s="6">
        <f>IFERROR(IF(A3="","",SUM('Asset Allocation'!M3)),0)</f>
        <v>2.2000000000000002E-2</v>
      </c>
      <c r="F3" s="6">
        <f>IFERROR(IF(A3="","",SUM('Asset Allocation'!J3)),0)</f>
        <v>2.5000000000000001E-2</v>
      </c>
      <c r="G3" s="6">
        <f>IFERROR(IF(A3="","",SUM('Asset Allocation'!K3)),0)</f>
        <v>0.1</v>
      </c>
      <c r="H3" s="6"/>
    </row>
    <row r="4" spans="1:8" x14ac:dyDescent="0.25">
      <c r="A4" t="str">
        <f>IF(Input!A5="","",Input!A5)</f>
        <v>Moderate Active Portfolio</v>
      </c>
      <c r="B4" s="6">
        <f>IFERROR(IF(A4="","",SUM('Asset Allocation'!H4)),0)</f>
        <v>0.05</v>
      </c>
      <c r="C4" s="6">
        <f>IFERROR(IF(A4="","",SUM('Asset Allocation'!I4)),0)</f>
        <v>2.75E-2</v>
      </c>
      <c r="D4" s="6">
        <f>IFERROR(IF(A4="","",SUM('Asset Allocation'!L4)),0)</f>
        <v>0.126</v>
      </c>
      <c r="E4" s="6">
        <f>IFERROR(IF(A4="","",SUM('Asset Allocation'!M4)),0)</f>
        <v>2.7999999999999997E-2</v>
      </c>
      <c r="F4" s="6">
        <f>IFERROR(IF(A4="","",SUM('Asset Allocation'!J4)),0)</f>
        <v>0</v>
      </c>
      <c r="G4" s="6">
        <f>IFERROR(IF(A4="","",SUM('Asset Allocation'!K4)),0)</f>
        <v>7.400000000000001E-2</v>
      </c>
      <c r="H4" s="6"/>
    </row>
    <row r="5" spans="1:8" x14ac:dyDescent="0.25">
      <c r="A5" t="str">
        <f>IF(Input!A6="","",Input!A6)</f>
        <v>Moderately Adventurous Active Portfolio</v>
      </c>
      <c r="B5" s="6">
        <f>IFERROR(IF(A5="","",SUM('Asset Allocation'!H5)),0)</f>
        <v>0.03</v>
      </c>
      <c r="C5" s="6">
        <f>IFERROR(IF(A5="","",SUM('Asset Allocation'!I5)),0)</f>
        <v>1.1000000000000001E-2</v>
      </c>
      <c r="D5" s="6">
        <f>IFERROR(IF(A5="","",SUM('Asset Allocation'!L5)),0)</f>
        <v>0.17800000000000002</v>
      </c>
      <c r="E5" s="6">
        <f>IFERROR(IF(A5="","",SUM('Asset Allocation'!M5)),0)</f>
        <v>4.5999999999999999E-2</v>
      </c>
      <c r="F5" s="6">
        <f>IFERROR(IF(A5="","",SUM('Asset Allocation'!J5)),0)</f>
        <v>0</v>
      </c>
      <c r="G5" s="6">
        <f>IFERROR(IF(A5="","",SUM('Asset Allocation'!K5)),0)</f>
        <v>4.8000000000000001E-2</v>
      </c>
      <c r="H5" s="6"/>
    </row>
    <row r="6" spans="1:8" x14ac:dyDescent="0.25">
      <c r="A6" t="str">
        <f>IF(Input!A7="","",Input!A7)</f>
        <v>Adventurous Active Portfolio</v>
      </c>
      <c r="B6" s="6">
        <f>IFERROR(IF(A6="","",SUM('Asset Allocation'!H6)),0)</f>
        <v>0</v>
      </c>
      <c r="C6" s="6">
        <f>IFERROR(IF(A6="","",SUM('Asset Allocation'!I6)),0)</f>
        <v>0</v>
      </c>
      <c r="D6" s="6">
        <f>IFERROR(IF(A6="","",SUM('Asset Allocation'!L6)),0)</f>
        <v>0.20600000000000002</v>
      </c>
      <c r="E6" s="6">
        <f>IFERROR(IF(A6="","",SUM('Asset Allocation'!M6)),0)</f>
        <v>5.2999999999999999E-2</v>
      </c>
      <c r="F6" s="6">
        <f>IFERROR(IF(A6="","",SUM('Asset Allocation'!J6)),0)</f>
        <v>0</v>
      </c>
      <c r="G6" s="6">
        <f>IFERROR(IF(A6="","",SUM('Asset Allocation'!K6)),0)</f>
        <v>0</v>
      </c>
      <c r="H6" s="6"/>
    </row>
    <row r="7" spans="1:8" x14ac:dyDescent="0.25">
      <c r="A7" t="str">
        <f>IF(Input!A8="","",Input!A8)</f>
        <v>Cautious Passive Portfolio</v>
      </c>
      <c r="B7" s="6">
        <f>IFERROR(IF(A7="","",SUM('Asset Allocation'!H7)),0)</f>
        <v>0.113</v>
      </c>
      <c r="C7" s="6">
        <f>IFERROR(IF(A7="","",SUM('Asset Allocation'!I7)),0)</f>
        <v>0.04</v>
      </c>
      <c r="D7" s="6">
        <f>IFERROR(IF(A7="","",SUM('Asset Allocation'!L7)),0)</f>
        <v>4.3499999999999997E-2</v>
      </c>
      <c r="E7" s="6">
        <f>IFERROR(IF(A7="","",SUM('Asset Allocation'!M7)),0)</f>
        <v>1.1000000000000001E-2</v>
      </c>
      <c r="F7" s="6">
        <f>IFERROR(IF(A7="","",SUM('Asset Allocation'!J7)),0)</f>
        <v>0.03</v>
      </c>
      <c r="G7" s="6">
        <f>IFERROR(IF(A7="","",SUM('Asset Allocation'!K7)),0)</f>
        <v>0.115</v>
      </c>
      <c r="H7" s="6"/>
    </row>
    <row r="8" spans="1:8" x14ac:dyDescent="0.25">
      <c r="A8" t="str">
        <f>IF(Input!A9="","",Input!A9)</f>
        <v>Moderately Cautious Passive Portfolio</v>
      </c>
      <c r="B8" s="6">
        <f>IFERROR(IF(A8="","",SUM('Asset Allocation'!H8)),0)</f>
        <v>0.10249999999999999</v>
      </c>
      <c r="C8" s="6">
        <f>IFERROR(IF(A8="","",SUM('Asset Allocation'!I8)),0)</f>
        <v>3.5000000000000003E-2</v>
      </c>
      <c r="D8" s="6">
        <f>IFERROR(IF(A8="","",SUM('Asset Allocation'!L8)),0)</f>
        <v>8.6500000000000007E-2</v>
      </c>
      <c r="E8" s="6">
        <f>IFERROR(IF(A8="","",SUM('Asset Allocation'!M8)),0)</f>
        <v>1.55E-2</v>
      </c>
      <c r="F8" s="6">
        <f>IFERROR(IF(A8="","",SUM('Asset Allocation'!J8)),0)</f>
        <v>1.7500000000000002E-2</v>
      </c>
      <c r="G8" s="6">
        <f>IFERROR(IF(A8="","",SUM('Asset Allocation'!K8)),0)</f>
        <v>9.2499999999999999E-2</v>
      </c>
      <c r="H8" s="6"/>
    </row>
    <row r="9" spans="1:8" x14ac:dyDescent="0.25">
      <c r="A9" t="str">
        <f>IF(Input!A10="","",Input!A10)</f>
        <v>Moderate Passive Portfolio</v>
      </c>
      <c r="B9" s="6">
        <f>IFERROR(IF(A9="","",SUM('Asset Allocation'!H9)),0)</f>
        <v>7.4499999999999997E-2</v>
      </c>
      <c r="C9" s="6">
        <f>IFERROR(IF(A9="","",SUM('Asset Allocation'!I9)),0)</f>
        <v>3.15E-2</v>
      </c>
      <c r="D9" s="6">
        <f>IFERROR(IF(A9="","",SUM('Asset Allocation'!L9)),0)</f>
        <v>0.1075</v>
      </c>
      <c r="E9" s="6">
        <f>IFERROR(IF(A9="","",SUM('Asset Allocation'!M9)),0)</f>
        <v>2.5000000000000001E-2</v>
      </c>
      <c r="F9" s="6">
        <f>IFERROR(IF(A9="","",SUM('Asset Allocation'!J9)),0)</f>
        <v>0</v>
      </c>
      <c r="G9" s="6">
        <f>IFERROR(IF(A9="","",SUM('Asset Allocation'!K9)),0)</f>
        <v>5.2000000000000005E-2</v>
      </c>
      <c r="H9" s="6"/>
    </row>
    <row r="10" spans="1:8" x14ac:dyDescent="0.25">
      <c r="A10" t="str">
        <f>IF(Input!A11="","",Input!A11)</f>
        <v>Moderately Adventurous Passive Portfolio</v>
      </c>
      <c r="B10" s="6">
        <f>IFERROR(IF(A10="","",SUM('Asset Allocation'!H10)),0)</f>
        <v>3.7999999999999999E-2</v>
      </c>
      <c r="C10" s="6">
        <f>IFERROR(IF(A10="","",SUM('Asset Allocation'!I10)),0)</f>
        <v>1.4999999999999999E-2</v>
      </c>
      <c r="D10" s="6">
        <f>IFERROR(IF(A10="","",SUM('Asset Allocation'!L10)),0)</f>
        <v>0.13949999999999999</v>
      </c>
      <c r="E10" s="6">
        <f>IFERROR(IF(A10="","",SUM('Asset Allocation'!M10)),0)</f>
        <v>3.9E-2</v>
      </c>
      <c r="F10" s="6">
        <f>IFERROR(IF(A10="","",SUM('Asset Allocation'!J10)),0)</f>
        <v>0</v>
      </c>
      <c r="G10" s="6">
        <f>IFERROR(IF(A10="","",SUM('Asset Allocation'!K10)),0)</f>
        <v>0.04</v>
      </c>
      <c r="H10" s="6"/>
    </row>
    <row r="11" spans="1:8" x14ac:dyDescent="0.25">
      <c r="A11" t="str">
        <f>IF(Input!A12="","",Input!A12)</f>
        <v>Adventurous Passive Portfolio</v>
      </c>
      <c r="B11" s="6">
        <f>IFERROR(IF(A11="","",SUM('Asset Allocation'!H11)),0)</f>
        <v>0</v>
      </c>
      <c r="C11" s="6">
        <f>IFERROR(IF(A11="","",SUM('Asset Allocation'!I11)),0)</f>
        <v>0</v>
      </c>
      <c r="D11" s="6">
        <f>IFERROR(IF(A11="","",SUM('Asset Allocation'!L11)),0)</f>
        <v>0.16899999999999998</v>
      </c>
      <c r="E11" s="6">
        <f>IFERROR(IF(A11="","",SUM('Asset Allocation'!M11)),0)</f>
        <v>0.05</v>
      </c>
      <c r="F11" s="6">
        <f>IFERROR(IF(A11="","",SUM('Asset Allocation'!J11)),0)</f>
        <v>0</v>
      </c>
      <c r="G11" s="6">
        <f>IFERROR(IF(A11="","",SUM('Asset Allocation'!K11)),0)</f>
        <v>0</v>
      </c>
      <c r="H11" s="6"/>
    </row>
    <row r="12" spans="1:8" x14ac:dyDescent="0.25">
      <c r="A12" t="str">
        <f>IF(Input!A13="","",Input!A13)</f>
        <v>Moderately Cautious Income Portfolio</v>
      </c>
      <c r="B12" s="6">
        <f>IFERROR(IF(A12="","",SUM('Asset Allocation'!H12)),0)</f>
        <v>0.1</v>
      </c>
      <c r="C12" s="6">
        <f>IFERROR(IF(A12="","",SUM('Asset Allocation'!I12)),0)</f>
        <v>0.09</v>
      </c>
      <c r="D12" s="6">
        <f>IFERROR(IF(A12="","",SUM('Asset Allocation'!L12)),0)</f>
        <v>5.5E-2</v>
      </c>
      <c r="E12" s="6">
        <f>IFERROR(IF(A12="","",SUM('Asset Allocation'!M12)),0)</f>
        <v>0.03</v>
      </c>
      <c r="F12" s="6">
        <f>IFERROR(IF(A12="","",SUM('Asset Allocation'!J12)),0)</f>
        <v>0.08</v>
      </c>
      <c r="G12" s="6">
        <f>IFERROR(IF(A12="","",SUM('Asset Allocation'!K12)),0)</f>
        <v>0.08</v>
      </c>
      <c r="H12" s="6"/>
    </row>
    <row r="13" spans="1:8" x14ac:dyDescent="0.25">
      <c r="A13" t="str">
        <f>IF(Input!A14="","",Input!A14)</f>
        <v>Moderate Income Portfolio</v>
      </c>
      <c r="B13" s="6">
        <f>IFERROR(IF(A13="","",SUM('Asset Allocation'!H13)),0)</f>
        <v>0.04</v>
      </c>
      <c r="C13" s="6">
        <f>IFERROR(IF(A13="","",SUM('Asset Allocation'!I13)),0)</f>
        <v>0.06</v>
      </c>
      <c r="D13" s="6">
        <f>IFERROR(IF(A13="","",SUM('Asset Allocation'!L13)),0)</f>
        <v>8.5000000000000006E-2</v>
      </c>
      <c r="E13" s="6">
        <f>IFERROR(IF(A13="","",SUM('Asset Allocation'!M13)),0)</f>
        <v>0.04</v>
      </c>
      <c r="F13" s="6">
        <f>IFERROR(IF(A13="","",SUM('Asset Allocation'!J13)),0)</f>
        <v>0.05</v>
      </c>
      <c r="G13" s="6">
        <f>IFERROR(IF(A13="","",SUM('Asset Allocation'!K13)),0)</f>
        <v>0.04</v>
      </c>
      <c r="H13" s="6"/>
    </row>
    <row r="14" spans="1:8" x14ac:dyDescent="0.25">
      <c r="A14" t="str">
        <f>IF(Input!A15="","",Input!A15)</f>
        <v>Governed Portfolio - Cautious Growth</v>
      </c>
      <c r="B14" s="6">
        <f>IFERROR(IF(A14="","",SUM('Asset Allocation'!H14)),0)</f>
        <v>0.125</v>
      </c>
      <c r="C14" s="6">
        <f>IFERROR(IF(A14="","",SUM('Asset Allocation'!I14)),0)</f>
        <v>3.5000000000000003E-2</v>
      </c>
      <c r="D14" s="6">
        <f>IFERROR(IF(A14="","",SUM('Asset Allocation'!L14)),0)</f>
        <v>4.8000000000000001E-2</v>
      </c>
      <c r="E14" s="6">
        <f>IFERROR(IF(A14="","",SUM('Asset Allocation'!M14)),0)</f>
        <v>1.3000000000000001E-2</v>
      </c>
      <c r="F14" s="6">
        <f>IFERROR(IF(A14="","",SUM('Asset Allocation'!J14)),0)</f>
        <v>0.03</v>
      </c>
      <c r="G14" s="6">
        <f>IFERROR(IF(A14="","",SUM('Asset Allocation'!K14)),0)</f>
        <v>0.115</v>
      </c>
      <c r="H14" s="6"/>
    </row>
    <row r="15" spans="1:8" x14ac:dyDescent="0.25">
      <c r="A15" t="str">
        <f>IF(Input!A16="","",Input!A16)</f>
        <v>Governed Portfolio - Moderately Cautious Growth</v>
      </c>
      <c r="B15" s="6">
        <f>IFERROR(IF(A15="","",SUM('Asset Allocation'!H15)),0)</f>
        <v>0.09</v>
      </c>
      <c r="C15" s="6">
        <f>IFERROR(IF(A15="","",SUM('Asset Allocation'!I15)),0)</f>
        <v>0.03</v>
      </c>
      <c r="D15" s="6">
        <f>IFERROR(IF(A15="","",SUM('Asset Allocation'!L15)),0)</f>
        <v>7.8E-2</v>
      </c>
      <c r="E15" s="6">
        <f>IFERROR(IF(A15="","",SUM('Asset Allocation'!M15)),0)</f>
        <v>2.2000000000000002E-2</v>
      </c>
      <c r="F15" s="6">
        <f>IFERROR(IF(A15="","",SUM('Asset Allocation'!J15)),0)</f>
        <v>2.5000000000000001E-2</v>
      </c>
      <c r="G15" s="6">
        <f>IFERROR(IF(A15="","",SUM('Asset Allocation'!K15)),0)</f>
        <v>0.1</v>
      </c>
      <c r="H15" s="6"/>
    </row>
    <row r="16" spans="1:8" x14ac:dyDescent="0.25">
      <c r="A16" t="str">
        <f>IF(Input!A17="","",Input!A17)</f>
        <v>Governed Portfolio - Moderate Growth</v>
      </c>
      <c r="B16" s="6">
        <f>IFERROR(IF(A16="","",SUM('Asset Allocation'!H16)),0)</f>
        <v>0.05</v>
      </c>
      <c r="C16" s="6">
        <f>IFERROR(IF(A16="","",SUM('Asset Allocation'!I16)),0)</f>
        <v>2.75E-2</v>
      </c>
      <c r="D16" s="6">
        <f>IFERROR(IF(A16="","",SUM('Asset Allocation'!L16)),0)</f>
        <v>0.111</v>
      </c>
      <c r="E16" s="6">
        <f>IFERROR(IF(A16="","",SUM('Asset Allocation'!M16)),0)</f>
        <v>2.7999999999999997E-2</v>
      </c>
      <c r="F16" s="6">
        <f>IFERROR(IF(A16="","",SUM('Asset Allocation'!J16)),0)</f>
        <v>0</v>
      </c>
      <c r="G16" s="6">
        <f>IFERROR(IF(A16="","",SUM('Asset Allocation'!K16)),0)</f>
        <v>7.400000000000001E-2</v>
      </c>
      <c r="H16" s="6"/>
    </row>
    <row r="17" spans="1:8" x14ac:dyDescent="0.25">
      <c r="A17" t="str">
        <f>IF(Input!A18="","",Input!A18)</f>
        <v>Governed Portfolio - Moderately Adventurous Growth</v>
      </c>
      <c r="B17" s="6">
        <f>IFERROR(IF(A17="","",SUM('Asset Allocation'!H17)),0)</f>
        <v>0.03</v>
      </c>
      <c r="C17" s="6">
        <f>IFERROR(IF(A17="","",SUM('Asset Allocation'!I17)),0)</f>
        <v>1.1000000000000001E-2</v>
      </c>
      <c r="D17" s="6">
        <f>IFERROR(IF(A17="","",SUM('Asset Allocation'!L17)),0)</f>
        <v>0.1565</v>
      </c>
      <c r="E17" s="6">
        <f>IFERROR(IF(A17="","",SUM('Asset Allocation'!M17)),0)</f>
        <v>4.4000000000000004E-2</v>
      </c>
      <c r="F17" s="6">
        <f>IFERROR(IF(A17="","",SUM('Asset Allocation'!J17)),0)</f>
        <v>0</v>
      </c>
      <c r="G17" s="6">
        <f>IFERROR(IF(A17="","",SUM('Asset Allocation'!K17)),0)</f>
        <v>4.8000000000000001E-2</v>
      </c>
      <c r="H17" s="6"/>
    </row>
    <row r="18" spans="1:8" x14ac:dyDescent="0.25">
      <c r="A18" t="str">
        <f>IF(Input!A19="","",Input!A19)</f>
        <v>Governed Portfolio - Adventurous Growth</v>
      </c>
      <c r="B18" s="6">
        <f>IFERROR(IF(A18="","",SUM('Asset Allocation'!H18)),0)</f>
        <v>0</v>
      </c>
      <c r="C18" s="6">
        <f>IFERROR(IF(A18="","",SUM('Asset Allocation'!I18)),0)</f>
        <v>0</v>
      </c>
      <c r="D18" s="6">
        <f>IFERROR(IF(A18="","",SUM('Asset Allocation'!L18)),0)</f>
        <v>0.17850000000000002</v>
      </c>
      <c r="E18" s="6">
        <f>IFERROR(IF(A18="","",SUM('Asset Allocation'!M18)),0)</f>
        <v>5.2000000000000005E-2</v>
      </c>
      <c r="F18" s="6">
        <f>IFERROR(IF(A18="","",SUM('Asset Allocation'!J18)),0)</f>
        <v>0</v>
      </c>
      <c r="G18" s="6">
        <f>IFERROR(IF(A18="","",SUM('Asset Allocation'!K18)),0)</f>
        <v>0</v>
      </c>
      <c r="H18" s="6"/>
    </row>
    <row r="19" spans="1:8" x14ac:dyDescent="0.25">
      <c r="A19" t="str">
        <f>IF(Input!A20="","",Input!A20)</f>
        <v>Governed Portfolio - Moderately Cautious Income</v>
      </c>
      <c r="B19" s="6">
        <f>IFERROR(IF(A19="","",SUM('Asset Allocation'!H19)),0)</f>
        <v>0.1</v>
      </c>
      <c r="C19" s="6">
        <f>IFERROR(IF(A19="","",SUM('Asset Allocation'!I19)),0)</f>
        <v>0.09</v>
      </c>
      <c r="D19" s="6">
        <f>IFERROR(IF(A19="","",SUM('Asset Allocation'!L19)),0)</f>
        <v>5.5E-2</v>
      </c>
      <c r="E19" s="6">
        <f>IFERROR(IF(A19="","",SUM('Asset Allocation'!M19)),0)</f>
        <v>0.03</v>
      </c>
      <c r="F19" s="6">
        <f>IFERROR(IF(A19="","",SUM('Asset Allocation'!J19)),0)</f>
        <v>0.08</v>
      </c>
      <c r="G19" s="6">
        <f>IFERROR(IF(A19="","",SUM('Asset Allocation'!K19)),0)</f>
        <v>0.08</v>
      </c>
      <c r="H19" s="6"/>
    </row>
    <row r="20" spans="1:8" x14ac:dyDescent="0.25">
      <c r="A20" t="str">
        <f>IF(Input!A21="","",Input!A21)</f>
        <v>ESG – Cautious Portfolio</v>
      </c>
      <c r="B20" s="6">
        <f>IFERROR(IF(A20="","",SUM('Asset Allocation'!H20)),0)</f>
        <v>0.27</v>
      </c>
      <c r="C20" s="6">
        <f>IFERROR(IF(A20="","",SUM('Asset Allocation'!I20)),0)</f>
        <v>0</v>
      </c>
      <c r="D20" s="6">
        <f>IFERROR(IF(A20="","",SUM('Asset Allocation'!L20)),0)</f>
        <v>6.3500000000000001E-2</v>
      </c>
      <c r="E20" s="6">
        <f>IFERROR(IF(A20="","",SUM('Asset Allocation'!M20)),0)</f>
        <v>0</v>
      </c>
      <c r="F20" s="6">
        <f>IFERROR(IF(A20="","",SUM('Asset Allocation'!J20)),0)</f>
        <v>0.01</v>
      </c>
      <c r="G20" s="6">
        <f>IFERROR(IF(A20="","",SUM('Asset Allocation'!K20)),0)</f>
        <v>0.15</v>
      </c>
      <c r="H20" s="6"/>
    </row>
    <row r="21" spans="1:8" x14ac:dyDescent="0.25">
      <c r="A21" t="str">
        <f>IF(Input!A22="","",Input!A22)</f>
        <v>ESG – Moderately Cautious Portfolio</v>
      </c>
      <c r="B21" s="6">
        <f>IFERROR(IF(A21="","",SUM('Asset Allocation'!H21)),0)</f>
        <v>0.20800000000000002</v>
      </c>
      <c r="C21" s="6">
        <f>IFERROR(IF(A21="","",SUM('Asset Allocation'!I21)),0)</f>
        <v>0</v>
      </c>
      <c r="D21" s="6">
        <f>IFERROR(IF(A21="","",SUM('Asset Allocation'!L21)),0)</f>
        <v>7.400000000000001E-2</v>
      </c>
      <c r="E21" s="6">
        <f>IFERROR(IF(A21="","",SUM('Asset Allocation'!M21)),0)</f>
        <v>0</v>
      </c>
      <c r="F21" s="6">
        <f>IFERROR(IF(A21="","",SUM('Asset Allocation'!J21)),0)</f>
        <v>0.01</v>
      </c>
      <c r="G21" s="6">
        <f>IFERROR(IF(A21="","",SUM('Asset Allocation'!K21)),0)</f>
        <v>0.1</v>
      </c>
      <c r="H21" s="6"/>
    </row>
    <row r="22" spans="1:8" x14ac:dyDescent="0.25">
      <c r="A22" t="str">
        <f>IF(Input!A23="","",Input!A23)</f>
        <v>ESG – Moderate Portfolio</v>
      </c>
      <c r="B22" s="6">
        <f>IFERROR(IF(A22="","",SUM('Asset Allocation'!H22)),0)</f>
        <v>9.0999999999999998E-2</v>
      </c>
      <c r="C22" s="6">
        <f>IFERROR(IF(A22="","",SUM('Asset Allocation'!I22)),0)</f>
        <v>0</v>
      </c>
      <c r="D22" s="6">
        <f>IFERROR(IF(A22="","",SUM('Asset Allocation'!L22)),0)</f>
        <v>8.7499999999999994E-2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Allocation'!K22)),0)</f>
        <v>9.5000000000000001E-2</v>
      </c>
      <c r="H22" s="6"/>
    </row>
    <row r="23" spans="1:8" x14ac:dyDescent="0.25">
      <c r="A23" t="str">
        <f>IF(Input!A24="","",Input!A24)</f>
        <v>ESG – Moderately Adventurous Portfolio</v>
      </c>
      <c r="B23" s="6">
        <f>IFERROR(IF(A23="","",SUM('Asset Allocation'!H23)),0)</f>
        <v>1.4999999999999999E-2</v>
      </c>
      <c r="C23" s="6">
        <f>IFERROR(IF(A23="","",SUM('Asset Allocation'!I23)),0)</f>
        <v>0</v>
      </c>
      <c r="D23" s="6">
        <f>IFERROR(IF(A23="","",SUM('Asset Allocation'!L23)),0)</f>
        <v>0.13550000000000001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Allocation'!K23)),0)</f>
        <v>4.7500000000000001E-2</v>
      </c>
      <c r="H23" s="6"/>
    </row>
    <row r="24" spans="1:8" x14ac:dyDescent="0.25">
      <c r="A24" t="str">
        <f>IF(Input!A25="","",Input!A25)</f>
        <v>ESG – Adventurous Portfolio</v>
      </c>
      <c r="B24" s="6">
        <f>IFERROR(IF(A24="","",SUM('Asset Allocation'!H24)),0)</f>
        <v>0</v>
      </c>
      <c r="C24" s="6">
        <f>IFERROR(IF(A24="","",SUM('Asset Allocation'!I24)),0)</f>
        <v>0</v>
      </c>
      <c r="D24" s="6">
        <f>IFERROR(IF(A24="","",SUM('Asset Allocation'!L24)),0)</f>
        <v>0.17399999999999999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Allocation'!K24)),0)</f>
        <v>0</v>
      </c>
      <c r="H24" s="6"/>
    </row>
    <row r="25" spans="1:8" x14ac:dyDescent="0.25">
      <c r="A25" t="str">
        <f>IF(Input!A26="","",Input!A26)</f>
        <v>International GBP - Cautious Growth</v>
      </c>
      <c r="B25" s="6">
        <f>IFERROR(IF(A25="","",SUM('Asset Allocation'!H25)),0)</f>
        <v>0.125</v>
      </c>
      <c r="C25" s="6">
        <f>IFERROR(IF(A25="","",SUM('Asset Allocation'!I25)),0)</f>
        <v>3.5000000000000003E-2</v>
      </c>
      <c r="D25" s="6">
        <f>IFERROR(IF(A25="","",SUM('Asset Allocation'!L25)),0)</f>
        <v>4.2500000000000003E-2</v>
      </c>
      <c r="E25" s="6">
        <f>IFERROR(IF(A25="","",SUM('Asset Allocation'!M25)),0)</f>
        <v>1.1000000000000001E-2</v>
      </c>
      <c r="F25" s="6">
        <f>IFERROR(IF(A25="","",SUM('Asset Allocation'!J25)),0)</f>
        <v>0.03</v>
      </c>
      <c r="G25" s="6">
        <f>IFERROR(IF(A25="","",SUM('Asset Allocation'!K25)),0)</f>
        <v>0.115</v>
      </c>
      <c r="H25" s="6"/>
    </row>
    <row r="26" spans="1:8" x14ac:dyDescent="0.25">
      <c r="A26" t="str">
        <f>IF(Input!A27="","",Input!A27)</f>
        <v>International GBP - Moderately Cautious Growth</v>
      </c>
      <c r="B26" s="6">
        <f>IFERROR(IF(A26="","",SUM('Asset Allocation'!H26)),0)</f>
        <v>0.09</v>
      </c>
      <c r="C26" s="6">
        <f>IFERROR(IF(A26="","",SUM('Asset Allocation'!I26)),0)</f>
        <v>0.03</v>
      </c>
      <c r="D26" s="6">
        <f>IFERROR(IF(A26="","",SUM('Asset Allocation'!L26)),0)</f>
        <v>9.4499999999999987E-2</v>
      </c>
      <c r="E26" s="6">
        <f>IFERROR(IF(A26="","",SUM('Asset Allocation'!M26)),0)</f>
        <v>1.6500000000000001E-2</v>
      </c>
      <c r="F26" s="6">
        <f>IFERROR(IF(A26="","",SUM('Asset Allocation'!J26)),0)</f>
        <v>2.5000000000000001E-2</v>
      </c>
      <c r="G26" s="6">
        <f>IFERROR(IF(A26="","",SUM('Asset Allocation'!K26)),0)</f>
        <v>0.1</v>
      </c>
      <c r="H26" s="6"/>
    </row>
    <row r="27" spans="1:8" x14ac:dyDescent="0.25">
      <c r="A27" t="str">
        <f>IF(Input!A28="","",Input!A28)</f>
        <v>International GBP - Moderate Growth</v>
      </c>
      <c r="B27" s="6">
        <f>IFERROR(IF(A27="","",SUM('Asset Allocation'!H27)),0)</f>
        <v>4.8499999999999995E-2</v>
      </c>
      <c r="C27" s="6">
        <f>IFERROR(IF(A27="","",SUM('Asset Allocation'!I27)),0)</f>
        <v>2.75E-2</v>
      </c>
      <c r="D27" s="6">
        <f>IFERROR(IF(A27="","",SUM('Asset Allocation'!L27)),0)</f>
        <v>0.14400000000000002</v>
      </c>
      <c r="E27" s="6">
        <f>IFERROR(IF(A27="","",SUM('Asset Allocation'!M27)),0)</f>
        <v>2.7000000000000003E-2</v>
      </c>
      <c r="F27" s="6">
        <f>IFERROR(IF(A27="","",SUM('Asset Allocation'!J27)),0)</f>
        <v>0</v>
      </c>
      <c r="G27" s="6">
        <f>IFERROR(IF(A27="","",SUM('Asset Allocation'!K27)),0)</f>
        <v>7.400000000000001E-2</v>
      </c>
      <c r="H27" s="6"/>
    </row>
    <row r="28" spans="1:8" x14ac:dyDescent="0.25">
      <c r="A28" t="str">
        <f>IF(Input!A29="","",Input!A29)</f>
        <v>International GBP - Moderately Adventurous Growth</v>
      </c>
      <c r="B28" s="6">
        <f>IFERROR(IF(A28="","",SUM('Asset Allocation'!H28)),0)</f>
        <v>0.03</v>
      </c>
      <c r="C28" s="6">
        <f>IFERROR(IF(A28="","",SUM('Asset Allocation'!I28)),0)</f>
        <v>1.1000000000000001E-2</v>
      </c>
      <c r="D28" s="6">
        <f>IFERROR(IF(A28="","",SUM('Asset Allocation'!L28)),0)</f>
        <v>0.17899999999999999</v>
      </c>
      <c r="E28" s="6">
        <f>IFERROR(IF(A28="","",SUM('Asset Allocation'!M28)),0)</f>
        <v>3.9E-2</v>
      </c>
      <c r="F28" s="6">
        <f>IFERROR(IF(A28="","",SUM('Asset Allocation'!J28)),0)</f>
        <v>0</v>
      </c>
      <c r="G28" s="6">
        <f>IFERROR(IF(A28="","",SUM('Asset Allocation'!K28)),0)</f>
        <v>4.8000000000000001E-2</v>
      </c>
      <c r="H28" s="6"/>
    </row>
    <row r="29" spans="1:8" x14ac:dyDescent="0.25">
      <c r="A29" t="str">
        <f>IF(Input!A30="","",Input!A30)</f>
        <v>International GBP - Adventurous Growth</v>
      </c>
      <c r="B29" s="6">
        <f>IFERROR(IF(A29="","",SUM('Asset Allocation'!H29)),0)</f>
        <v>0</v>
      </c>
      <c r="C29" s="6">
        <f>IFERROR(IF(A29="","",SUM('Asset Allocation'!I29)),0)</f>
        <v>0</v>
      </c>
      <c r="D29" s="6">
        <f>IFERROR(IF(A29="","",SUM('Asset Allocation'!L29)),0)</f>
        <v>0.20850000000000002</v>
      </c>
      <c r="E29" s="6">
        <f>IFERROR(IF(A29="","",SUM('Asset Allocation'!M29)),0)</f>
        <v>0.05</v>
      </c>
      <c r="F29" s="6">
        <f>IFERROR(IF(A29="","",SUM('Asset Allocation'!J29)),0)</f>
        <v>0</v>
      </c>
      <c r="G29" s="6">
        <f>IFERROR(IF(A29="","",SUM('Asset Allocation'!K29)),0)</f>
        <v>0</v>
      </c>
      <c r="H29" s="6"/>
    </row>
    <row r="30" spans="1:8" x14ac:dyDescent="0.25">
      <c r="A30" t="str">
        <f>IF(Input!A31="","",Input!A31)</f>
        <v>Morningstar Blended Cautious Portfolio</v>
      </c>
      <c r="B30" s="6">
        <f>IFERROR(IF(A30="","",SUM('Asset Allocation'!H30)),0)</f>
        <v>0.125</v>
      </c>
      <c r="C30" s="6">
        <f>IFERROR(IF(A30="","",SUM('Asset Allocation'!I30)),0)</f>
        <v>3.5000000000000003E-2</v>
      </c>
      <c r="D30" s="6">
        <f>IFERROR(IF(A30="","",SUM('Asset Allocation'!L30)),0)</f>
        <v>4.8000000000000001E-2</v>
      </c>
      <c r="E30" s="6">
        <f>IFERROR(IF(A30="","",SUM('Asset Allocation'!M30)),0)</f>
        <v>1.3000000000000001E-2</v>
      </c>
      <c r="F30" s="6">
        <f>IFERROR(IF(A30="","",SUM('Asset Allocation'!J30)),0)</f>
        <v>0.03</v>
      </c>
      <c r="G30" s="6">
        <f>IFERROR(IF(A30="","",SUM('Asset Allocation'!K30)),0)</f>
        <v>0.115</v>
      </c>
      <c r="H30" s="6"/>
    </row>
    <row r="31" spans="1:8" x14ac:dyDescent="0.25">
      <c r="A31" t="str">
        <f>IF(Input!A32="","",Input!A32)</f>
        <v>Morningstar Blended Moderately Cautious Portfolio</v>
      </c>
      <c r="B31" s="6">
        <f>IFERROR(IF(A31="","",SUM('Asset Allocation'!H31)),0)</f>
        <v>0.09</v>
      </c>
      <c r="C31" s="6">
        <f>IFERROR(IF(A31="","",SUM('Asset Allocation'!I31)),0)</f>
        <v>0.03</v>
      </c>
      <c r="D31" s="6">
        <f>IFERROR(IF(A31="","",SUM('Asset Allocation'!L31)),0)</f>
        <v>7.8E-2</v>
      </c>
      <c r="E31" s="6">
        <f>IFERROR(IF(A31="","",SUM('Asset Allocation'!M31)),0)</f>
        <v>2.2000000000000002E-2</v>
      </c>
      <c r="F31" s="6">
        <f>IFERROR(IF(A31="","",SUM('Asset Allocation'!J31)),0)</f>
        <v>2.5000000000000001E-2</v>
      </c>
      <c r="G31" s="6">
        <f>IFERROR(IF(A31="","",SUM('Asset Allocation'!K31)),0)</f>
        <v>0.1</v>
      </c>
      <c r="H31" s="6"/>
    </row>
    <row r="32" spans="1:8" x14ac:dyDescent="0.25">
      <c r="A32" t="str">
        <f>IF(Input!A33="","",Input!A33)</f>
        <v>Morningstar Blended Moderate Portfolio</v>
      </c>
      <c r="B32" s="6">
        <f>IFERROR(IF(A32="","",SUM('Asset Allocation'!H32)),0)</f>
        <v>0.05</v>
      </c>
      <c r="C32" s="6">
        <f>IFERROR(IF(A32="","",SUM('Asset Allocation'!I32)),0)</f>
        <v>2.75E-2</v>
      </c>
      <c r="D32" s="6">
        <f>IFERROR(IF(A32="","",SUM('Asset Allocation'!L32)),0)</f>
        <v>0.111</v>
      </c>
      <c r="E32" s="6">
        <f>IFERROR(IF(A32="","",SUM('Asset Allocation'!M32)),0)</f>
        <v>2.7999999999999997E-2</v>
      </c>
      <c r="F32" s="6">
        <f>IFERROR(IF(A32="","",SUM('Asset Allocation'!J32)),0)</f>
        <v>0</v>
      </c>
      <c r="G32" s="6">
        <f>IFERROR(IF(A32="","",SUM('Asset Allocation'!K32)),0)</f>
        <v>7.400000000000001E-2</v>
      </c>
      <c r="H32" s="6"/>
    </row>
    <row r="33" spans="1:8" x14ac:dyDescent="0.25">
      <c r="A33" t="str">
        <f>IF(Input!A34="","",Input!A34)</f>
        <v>Morningstar Blended Moderately Adventurous Portfolio</v>
      </c>
      <c r="B33" s="6">
        <f>IFERROR(IF(A33="","",SUM('Asset Allocation'!H33)),0)</f>
        <v>0.03</v>
      </c>
      <c r="C33" s="6">
        <f>IFERROR(IF(A33="","",SUM('Asset Allocation'!I33)),0)</f>
        <v>1.1000000000000001E-2</v>
      </c>
      <c r="D33" s="6">
        <f>IFERROR(IF(A33="","",SUM('Asset Allocation'!L33)),0)</f>
        <v>0.1565</v>
      </c>
      <c r="E33" s="6">
        <f>IFERROR(IF(A33="","",SUM('Asset Allocation'!M33)),0)</f>
        <v>4.4000000000000004E-2</v>
      </c>
      <c r="F33" s="6">
        <f>IFERROR(IF(A33="","",SUM('Asset Allocation'!J33)),0)</f>
        <v>0</v>
      </c>
      <c r="G33" s="6">
        <f>IFERROR(IF(A33="","",SUM('Asset Allocation'!K33)),0)</f>
        <v>4.8000000000000001E-2</v>
      </c>
      <c r="H33" s="6"/>
    </row>
    <row r="34" spans="1:8" x14ac:dyDescent="0.25">
      <c r="A34" t="str">
        <f>IF(Input!A35="","",Input!A35)</f>
        <v>Morningstar Blended Adventurous Portfolio</v>
      </c>
      <c r="B34" s="6">
        <f>IFERROR(IF(A34="","",SUM('Asset Allocation'!H34)),0)</f>
        <v>0</v>
      </c>
      <c r="C34" s="6">
        <f>IFERROR(IF(A34="","",SUM('Asset Allocation'!I34)),0)</f>
        <v>0</v>
      </c>
      <c r="D34" s="6">
        <f>IFERROR(IF(A34="","",SUM('Asset Allocation'!L34)),0)</f>
        <v>0.17850000000000002</v>
      </c>
      <c r="E34" s="6">
        <f>IFERROR(IF(A34="","",SUM('Asset Allocation'!M34)),0)</f>
        <v>5.2000000000000005E-2</v>
      </c>
      <c r="F34" s="6">
        <f>IFERROR(IF(A34="","",SUM('Asset Allocation'!J34)),0)</f>
        <v>0</v>
      </c>
      <c r="G34" s="6">
        <f>IFERROR(IF(A34="","",SUM('Asset Allocation'!K34)),0)</f>
        <v>0</v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Allocation'!H35)),0)</f>
        <v/>
      </c>
      <c r="C35" s="6" t="str">
        <f>IFERROR(IF(A35="","",SUM('Asset Allocation'!I35)),0)</f>
        <v/>
      </c>
      <c r="D35" s="6" t="str">
        <f>IFERROR(IF(A35="","",SUM('Asset Allocation'!L35)),0)</f>
        <v/>
      </c>
      <c r="E35" s="6" t="str">
        <f>IFERROR(IF(A35="","",SUM('Asset Allocation'!M35)),0)</f>
        <v/>
      </c>
      <c r="F35" s="6" t="str">
        <f>IFERROR(IF(A35="","",SUM('Asset Allocation'!J35)),0)</f>
        <v/>
      </c>
      <c r="G35" s="6" t="str">
        <f>IFERROR(IF(A35="","",SUM('Asset Allocation'!K35)),0)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Allocation'!H36)),0)</f>
        <v/>
      </c>
      <c r="C36" s="6" t="str">
        <f>IFERROR(IF(A36="","",SUM('Asset Allocation'!I36)),0)</f>
        <v/>
      </c>
      <c r="D36" s="6" t="str">
        <f>IFERROR(IF(A36="","",SUM('Asset Allocation'!L36)),0)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Allocation'!K36)),0)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Allocation'!H37)),0)</f>
        <v/>
      </c>
      <c r="C37" s="6" t="str">
        <f>IFERROR(IF(A37="","",SUM('Asset Allocation'!I37)),0)</f>
        <v/>
      </c>
      <c r="D37" s="6" t="str">
        <f>IFERROR(IF(A37="","",SUM('Asset Allocation'!L37)),0)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Allocation'!K37)),0)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Allocation'!H38)),0)</f>
        <v/>
      </c>
      <c r="C38" s="6" t="str">
        <f>IFERROR(IF(A38="","",SUM('Asset Allocation'!I38)),0)</f>
        <v/>
      </c>
      <c r="D38" s="6" t="str">
        <f>IFERROR(IF(A38="","",SUM('Asset Allocation'!L38)),0)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Allocation'!K38)),0)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Allocation'!H39)),0)</f>
        <v/>
      </c>
      <c r="C39" s="6" t="str">
        <f>IFERROR(IF(A39="","",SUM('Asset Allocation'!I39)),0)</f>
        <v/>
      </c>
      <c r="D39" s="6" t="str">
        <f>IFERROR(IF(A39="","",SUM('Asset Allocation'!L39)),0)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Allocation'!K39)),0)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Allocation'!H40)),0)</f>
        <v/>
      </c>
      <c r="C40" s="6" t="str">
        <f>IFERROR(IF(A40="","",SUM('Asset Allocation'!I40)),0)</f>
        <v/>
      </c>
      <c r="D40" s="6" t="str">
        <f>IFERROR(IF(A40="","",SUM('Asset Allocation'!L40)),0)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Allocation'!K40)),0)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Allocation'!H41)),0)</f>
        <v/>
      </c>
      <c r="C41" s="6" t="str">
        <f>IFERROR(IF(A41="","",SUM('Asset Allocation'!I41)),0)</f>
        <v/>
      </c>
      <c r="D41" s="6" t="str">
        <f>IFERROR(IF(A41="","",SUM('Asset Allocation'!L41)),0)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Allocation'!K41)),0)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Allocation'!H42)),0)</f>
        <v/>
      </c>
      <c r="C42" s="6" t="str">
        <f>IFERROR(IF(A42="","",SUM('Asset Allocation'!I42)),0)</f>
        <v/>
      </c>
      <c r="D42" s="6" t="str">
        <f>IFERROR(IF(A42="","",SUM('Asset Allocation'!L42)),0)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Allocation'!K42)),0)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Allocation'!H43)),0)</f>
        <v/>
      </c>
      <c r="C43" s="6" t="str">
        <f>IFERROR(IF(A43="","",SUM('Asset Allocation'!I43)),0)</f>
        <v/>
      </c>
      <c r="D43" s="6" t="str">
        <f>IFERROR(IF(A43="","",SUM('Asset Allocation'!L43)),0)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Allocation'!K43)),0)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Allocation'!H44)),0)</f>
        <v/>
      </c>
      <c r="C44" s="6" t="str">
        <f>IFERROR(IF(A44="","",SUM('Asset Allocation'!I44)),0)</f>
        <v/>
      </c>
      <c r="D44" s="6" t="str">
        <f>IFERROR(IF(A44="","",SUM('Asset Allocation'!L44)),0)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Allocation'!K44)),0)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Allocation'!H45)),0)</f>
        <v/>
      </c>
      <c r="C45" s="6" t="str">
        <f>IFERROR(IF(A45="","",SUM('Asset Allocation'!I45)),0)</f>
        <v/>
      </c>
      <c r="D45" s="6" t="str">
        <f>IFERROR(IF(A45="","",SUM('Asset Allocation'!L45)),0)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Allocation'!K45)),0)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Allocation'!H46)),0)</f>
        <v/>
      </c>
      <c r="C46" s="6" t="str">
        <f>IFERROR(IF(A46="","",SUM('Asset Allocation'!I46)),0)</f>
        <v/>
      </c>
      <c r="D46" s="6" t="str">
        <f>IFERROR(IF(A46="","",SUM('Asset Allocation'!L46)),0)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Allocation'!K46)),0)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Allocation'!H47)),0)</f>
        <v/>
      </c>
      <c r="C47" s="6" t="str">
        <f>IFERROR(IF(A47="","",SUM('Asset Allocation'!I47)),0)</f>
        <v/>
      </c>
      <c r="D47" s="6" t="str">
        <f>IFERROR(IF(A47="","",SUM('Asset Allocation'!L47)),0)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Allocation'!K47)),0)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Allocation'!H48)),0)</f>
        <v/>
      </c>
      <c r="C48" s="6" t="str">
        <f>IFERROR(IF(A48="","",SUM('Asset Allocation'!I48)),0)</f>
        <v/>
      </c>
      <c r="D48" s="6" t="str">
        <f>IFERROR(IF(A48="","",SUM('Asset Allocation'!L48)),0)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Allocation'!K48)),0)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Allocation'!H49)),0)</f>
        <v/>
      </c>
      <c r="C49" s="6" t="str">
        <f>IFERROR(IF(A49="","",SUM('Asset Allocation'!I49)),0)</f>
        <v/>
      </c>
      <c r="D49" s="6" t="str">
        <f>IFERROR(IF(A49="","",SUM('Asset Allocation'!L49)),0)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Allocation'!K49)),0)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Allocation'!H50)),0)</f>
        <v/>
      </c>
      <c r="C50" s="6" t="str">
        <f>IFERROR(IF(A50="","",SUM('Asset Allocation'!I50)),0)</f>
        <v/>
      </c>
      <c r="D50" s="6" t="str">
        <f>IFERROR(IF(A50="","",SUM('Asset Allocation'!L50)),0)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Allocation'!K50)),0)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Cautious Active Portfolio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Moderately Cautious Active Portfolio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Moderate Active Portfolio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Moderately Adventurous Active Portfolio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Adventurous Active Portfolio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Cautious Passive Portfolio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Moderately Cautious Passive Portfolio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Moderate Passive Portfolio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Moderately Adventurous Passive Portfolio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Adventurous Passive Portfolio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Moderately Cautious Income Portfolio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Moderate Income Portfolio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Governed Portfolio - Cautious Growth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Governed Portfolio - Moderately Cautious Growth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Governed Portfolio - Moderate Growth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Governed Portfolio - Moderately Adventurous Growth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Governed Portfolio - Adventurous Growth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Governed Portfolio - Moderately Cautious Income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ESG – Cautious Portfolio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ESG – Moderately Cautious Portfolio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ESG – Moderate Portfolio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ESG – Moderately Adventurous Portfolio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ESG – Adventurous Portfolio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International GBP - Cautious Growth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International GBP - Moderately Cautious Growth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International GBP - Moderate Growth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International GBP - Moderately Adventurous Growth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International GBP - Adventurous Growth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>Morningstar Blended Cautious Portfolio</v>
      </c>
      <c r="H30">
        <f>IFERROR(IF(A30="","",SUM('Asset Allocation'!C30)/'Broad Asset Allocation'!C30),0)</f>
        <v>1</v>
      </c>
    </row>
    <row r="31" spans="1:8" x14ac:dyDescent="0.25">
      <c r="A31" t="str">
        <f>IF(Input!A32="","",Input!A32)</f>
        <v>Morningstar Blended Moderately Cautious Portfolio</v>
      </c>
      <c r="H31">
        <f>IFERROR(IF(A31="","",SUM('Asset Allocation'!C31)/'Broad Asset Allocation'!C31),0)</f>
        <v>1</v>
      </c>
    </row>
    <row r="32" spans="1:8" x14ac:dyDescent="0.25">
      <c r="A32" t="str">
        <f>IF(Input!A33="","",Input!A33)</f>
        <v>Morningstar Blended Moderate Portfolio</v>
      </c>
      <c r="H32">
        <f>IFERROR(IF(A32="","",SUM('Asset Allocation'!C32)/'Broad Asset Allocation'!C32),0)</f>
        <v>1</v>
      </c>
    </row>
    <row r="33" spans="1:8" x14ac:dyDescent="0.25">
      <c r="A33" t="str">
        <f>IF(Input!A34="","",Input!A34)</f>
        <v>Morningstar Blended Moderately Adventurous Portfolio</v>
      </c>
      <c r="H33">
        <f>IFERROR(IF(A33="","",SUM('Asset Allocation'!C33)/'Broad Asset Allocation'!C33),0)</f>
        <v>1</v>
      </c>
    </row>
    <row r="34" spans="1:8" x14ac:dyDescent="0.25">
      <c r="A34" t="str">
        <f>IF(Input!A35="","",Input!A35)</f>
        <v>Morningstar Blended Adventurous Portfolio</v>
      </c>
      <c r="H34">
        <f>IFERROR(IF(A34="","",SUM('Asset Allocation'!C34)/'Broad Asset Allocation'!C34),0)</f>
        <v>1</v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1.9E-2</v>
      </c>
      <c r="C2">
        <v>2.7999999999999997E-2</v>
      </c>
      <c r="D2">
        <v>3.3000000000000002E-2</v>
      </c>
      <c r="E2">
        <v>4.4999999999999998E-2</v>
      </c>
      <c r="F2">
        <v>5.5E-2</v>
      </c>
      <c r="G2">
        <v>6.4000000000000001E-2</v>
      </c>
      <c r="H2">
        <v>8.4000000000000005E-2</v>
      </c>
      <c r="I2">
        <v>2.7999999999999997E-2</v>
      </c>
      <c r="J2">
        <v>5.7000000000000002E-2</v>
      </c>
      <c r="K2">
        <v>5.0000000000000001E-3</v>
      </c>
      <c r="L2">
        <v>1.3999999999999999E-2</v>
      </c>
      <c r="M2">
        <v>2.2000000000000002E-2</v>
      </c>
      <c r="N2">
        <v>4.2000000000000003E-2</v>
      </c>
      <c r="O2">
        <v>5.7000000000000002E-2</v>
      </c>
      <c r="P2">
        <v>8.199999999999999E-2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5.5999999999999999E-3</v>
      </c>
      <c r="C2">
        <v>5.7000000000000002E-3</v>
      </c>
      <c r="D2">
        <v>5.7999999999999996E-3</v>
      </c>
      <c r="E2">
        <v>5.7000000000000002E-3</v>
      </c>
      <c r="F2">
        <v>5.7999999999999996E-3</v>
      </c>
      <c r="G2">
        <v>5.9000000000000007E-3</v>
      </c>
      <c r="H2">
        <v>6.0000000000000001E-3</v>
      </c>
      <c r="I2">
        <v>5.4999999999999997E-3</v>
      </c>
      <c r="J2">
        <v>6.0999999999999995E-3</v>
      </c>
      <c r="K2">
        <v>7.6000000000000009E-3</v>
      </c>
      <c r="L2">
        <v>7.7999999999999996E-3</v>
      </c>
      <c r="M2">
        <v>8.199999999999999E-3</v>
      </c>
      <c r="N2">
        <v>8.199999999999999E-3</v>
      </c>
      <c r="O2">
        <v>8.6E-3</v>
      </c>
      <c r="P2">
        <v>9.1000000000000004E-3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</v>
      </c>
      <c r="C2">
        <v>0.315</v>
      </c>
      <c r="D2">
        <v>0.42100000000000004</v>
      </c>
      <c r="E2">
        <v>0.54100000000000004</v>
      </c>
      <c r="F2">
        <v>0.65</v>
      </c>
      <c r="G2">
        <v>0.76200000000000001</v>
      </c>
      <c r="H2">
        <v>0.93</v>
      </c>
      <c r="I2">
        <v>0.44</v>
      </c>
      <c r="J2">
        <v>0.76500000000000001</v>
      </c>
      <c r="K2">
        <v>0.318</v>
      </c>
      <c r="L2">
        <v>0.42100000000000004</v>
      </c>
      <c r="M2">
        <v>0.54</v>
      </c>
      <c r="N2">
        <v>0.65</v>
      </c>
      <c r="O2">
        <v>0.7609999999999999</v>
      </c>
      <c r="P2">
        <v>0.92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</v>
      </c>
      <c r="C2">
        <v>0.41100000000000003</v>
      </c>
      <c r="D2">
        <v>0.33500000000000002</v>
      </c>
      <c r="E2">
        <v>0.252</v>
      </c>
      <c r="F2">
        <v>0.18</v>
      </c>
      <c r="G2">
        <v>0.08</v>
      </c>
      <c r="H2">
        <v>0</v>
      </c>
      <c r="I2">
        <v>0.33500000000000002</v>
      </c>
      <c r="J2">
        <v>0.08</v>
      </c>
      <c r="K2">
        <v>0.41</v>
      </c>
      <c r="L2">
        <v>0.32200000000000001</v>
      </c>
      <c r="M2">
        <v>0.23</v>
      </c>
      <c r="N2">
        <v>0.17499999999999999</v>
      </c>
      <c r="O2">
        <v>8.199999999999999E-2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4.2000000000000003E-2</v>
      </c>
      <c r="C2">
        <v>4.2000000000000003E-2</v>
      </c>
      <c r="D2">
        <v>4.2000000000000003E-2</v>
      </c>
      <c r="E2">
        <v>0.04</v>
      </c>
      <c r="F2">
        <v>3.5000000000000003E-2</v>
      </c>
      <c r="G2">
        <v>3.2000000000000001E-2</v>
      </c>
      <c r="H2">
        <v>0</v>
      </c>
      <c r="I2">
        <v>3.5000000000000003E-2</v>
      </c>
      <c r="J2">
        <v>2.5000000000000001E-2</v>
      </c>
      <c r="K2">
        <v>0.128</v>
      </c>
      <c r="L2">
        <v>0.12</v>
      </c>
      <c r="M2">
        <v>0.105</v>
      </c>
      <c r="N2">
        <v>5.5E-2</v>
      </c>
      <c r="O2">
        <v>0.04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4.4999999999999998E-2</v>
      </c>
      <c r="C2">
        <v>4.4999999999999998E-2</v>
      </c>
      <c r="D2">
        <v>4.4999999999999998E-2</v>
      </c>
      <c r="E2">
        <v>4.4999999999999998E-2</v>
      </c>
      <c r="F2">
        <v>4.4999999999999998E-2</v>
      </c>
      <c r="G2">
        <v>4.4999999999999998E-2</v>
      </c>
      <c r="H2">
        <v>0</v>
      </c>
      <c r="I2">
        <v>4.4999999999999998E-2</v>
      </c>
      <c r="J2">
        <v>4.4999999999999998E-2</v>
      </c>
      <c r="K2">
        <v>4.2000000000000003E-2</v>
      </c>
      <c r="L2">
        <v>4.4999999999999998E-2</v>
      </c>
      <c r="M2">
        <v>4.4999999999999998E-2</v>
      </c>
      <c r="N2">
        <v>4.4999999999999998E-2</v>
      </c>
      <c r="O2">
        <v>4.2000000000000003E-2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0.185</v>
      </c>
      <c r="C2">
        <v>0.16200000000000001</v>
      </c>
      <c r="D2">
        <v>0.13500000000000001</v>
      </c>
      <c r="E2">
        <v>0.10199999999999999</v>
      </c>
      <c r="F2">
        <v>7.0000000000000007E-2</v>
      </c>
      <c r="G2">
        <v>0.06</v>
      </c>
      <c r="H2">
        <v>0.04</v>
      </c>
      <c r="I2">
        <v>0.125</v>
      </c>
      <c r="J2">
        <v>6.5000000000000002E-2</v>
      </c>
      <c r="K2">
        <v>0.08</v>
      </c>
      <c r="L2">
        <v>7.0000000000000007E-2</v>
      </c>
      <c r="M2">
        <v>5.5E-2</v>
      </c>
      <c r="N2">
        <v>0.05</v>
      </c>
      <c r="O2">
        <v>5.5E-2</v>
      </c>
      <c r="P2">
        <v>0.04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2.7999999999999997E-2</v>
      </c>
      <c r="C2">
        <v>2.5000000000000001E-2</v>
      </c>
      <c r="D2">
        <v>2.2000000000000002E-2</v>
      </c>
      <c r="E2">
        <v>0.02</v>
      </c>
      <c r="F2">
        <v>0.02</v>
      </c>
      <c r="G2">
        <v>2.1000000000000001E-2</v>
      </c>
      <c r="H2">
        <v>0.03</v>
      </c>
      <c r="I2">
        <v>0.02</v>
      </c>
      <c r="J2">
        <v>0.02</v>
      </c>
      <c r="K2">
        <v>2.2000000000000002E-2</v>
      </c>
      <c r="L2">
        <v>2.2000000000000002E-2</v>
      </c>
      <c r="M2">
        <v>2.5000000000000001E-2</v>
      </c>
      <c r="N2">
        <v>2.5000000000000001E-2</v>
      </c>
      <c r="O2">
        <v>0.02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</v>
      </c>
      <c r="C2">
        <v>0</v>
      </c>
      <c r="D2">
        <v>0</v>
      </c>
      <c r="E2">
        <v>0</v>
      </c>
      <c r="F2">
        <v>-2.2204460492503131E-16</v>
      </c>
      <c r="G2">
        <v>0</v>
      </c>
      <c r="H2">
        <v>0</v>
      </c>
      <c r="I2">
        <v>0</v>
      </c>
      <c r="J2">
        <v>0</v>
      </c>
      <c r="K2">
        <v>0</v>
      </c>
      <c r="L2">
        <v>-2.2204460492503131E-16</v>
      </c>
      <c r="M2">
        <v>0</v>
      </c>
      <c r="N2">
        <v>0</v>
      </c>
      <c r="O2">
        <v>0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0.52900000000000003</v>
      </c>
      <c r="C2">
        <v>0.317</v>
      </c>
      <c r="D2">
        <v>0.30299999999999999</v>
      </c>
      <c r="E2">
        <v>0.28699999999999998</v>
      </c>
      <c r="F2">
        <v>0.28499999999999998</v>
      </c>
      <c r="G2">
        <v>0.28499999999999998</v>
      </c>
      <c r="H2">
        <v>0.28000000000000003</v>
      </c>
      <c r="I2">
        <v>0.34799999999999998</v>
      </c>
      <c r="J2">
        <v>0.28100000000000003</v>
      </c>
      <c r="K2">
        <v>0.34499999999999997</v>
      </c>
      <c r="L2">
        <v>0.36</v>
      </c>
      <c r="M2">
        <v>0.36799999999999999</v>
      </c>
      <c r="N2">
        <v>0.37</v>
      </c>
      <c r="O2">
        <v>0.38700000000000001</v>
      </c>
      <c r="P2">
        <v>0.38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0.37200000000000005</v>
      </c>
      <c r="C2">
        <v>0.39</v>
      </c>
      <c r="D2">
        <v>0.39299999999999996</v>
      </c>
      <c r="E2">
        <v>0.40799999999999997</v>
      </c>
      <c r="F2">
        <v>0.40799999999999997</v>
      </c>
      <c r="G2">
        <v>0.41100000000000003</v>
      </c>
      <c r="H2">
        <v>0.41399999999999998</v>
      </c>
      <c r="I2">
        <v>0.37799999999999995</v>
      </c>
      <c r="J2">
        <v>0.42399999999999999</v>
      </c>
      <c r="K2">
        <v>0.40100000000000002</v>
      </c>
      <c r="L2">
        <v>0.36700000000000005</v>
      </c>
      <c r="M2">
        <v>0.35499999999999998</v>
      </c>
      <c r="N2">
        <v>0.34799999999999998</v>
      </c>
      <c r="O2">
        <v>0.32799999999999996</v>
      </c>
      <c r="P2">
        <v>0.33399999999999996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4.0999999999999995E-2</v>
      </c>
      <c r="C2">
        <v>0.11900000000000001</v>
      </c>
      <c r="D2">
        <v>0.11900000000000001</v>
      </c>
      <c r="E2">
        <v>0.125</v>
      </c>
      <c r="F2">
        <v>0.12300000000000001</v>
      </c>
      <c r="G2">
        <v>0.121</v>
      </c>
      <c r="H2">
        <v>0.124</v>
      </c>
      <c r="I2">
        <v>0.12</v>
      </c>
      <c r="J2">
        <v>0.11699999999999999</v>
      </c>
      <c r="K2">
        <v>5.5999999999999994E-2</v>
      </c>
      <c r="L2">
        <v>6.0999999999999999E-2</v>
      </c>
      <c r="M2">
        <v>6.5000000000000002E-2</v>
      </c>
      <c r="N2">
        <v>6.6000000000000003E-2</v>
      </c>
      <c r="O2">
        <v>6.9000000000000006E-2</v>
      </c>
      <c r="P2">
        <v>7.0999999999999994E-2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1.7000000000000001E-2</v>
      </c>
      <c r="C2">
        <v>0.04</v>
      </c>
      <c r="D2">
        <v>3.6000000000000004E-2</v>
      </c>
      <c r="E2">
        <v>3.7000000000000005E-2</v>
      </c>
      <c r="F2">
        <v>3.7000000000000005E-2</v>
      </c>
      <c r="G2">
        <v>3.6000000000000004E-2</v>
      </c>
      <c r="H2">
        <v>3.7999999999999999E-2</v>
      </c>
      <c r="I2">
        <v>3.9E-2</v>
      </c>
      <c r="J2">
        <v>4.0999999999999995E-2</v>
      </c>
      <c r="K2">
        <v>2.3E-2</v>
      </c>
      <c r="L2">
        <v>2.5000000000000001E-2</v>
      </c>
      <c r="M2">
        <v>2.6000000000000002E-2</v>
      </c>
      <c r="N2">
        <v>2.7000000000000003E-2</v>
      </c>
      <c r="O2">
        <v>2.7999999999999997E-2</v>
      </c>
      <c r="P2">
        <v>2.8999999999999998E-2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9.0000000000000011E-3</v>
      </c>
      <c r="C2">
        <v>6.3E-2</v>
      </c>
      <c r="D2">
        <v>0.09</v>
      </c>
      <c r="E2">
        <v>7.400000000000001E-2</v>
      </c>
      <c r="F2">
        <v>7.400000000000001E-2</v>
      </c>
      <c r="G2">
        <v>9.0999999999999998E-2</v>
      </c>
      <c r="H2">
        <v>8.8000000000000009E-2</v>
      </c>
      <c r="I2">
        <v>0.105</v>
      </c>
      <c r="J2">
        <v>7.4999999999999997E-2</v>
      </c>
      <c r="K2">
        <v>0.13100000000000001</v>
      </c>
      <c r="L2">
        <v>0.115</v>
      </c>
      <c r="M2">
        <v>0.10300000000000001</v>
      </c>
      <c r="N2">
        <v>0.10300000000000001</v>
      </c>
      <c r="O2">
        <v>0.10099999999999999</v>
      </c>
      <c r="P2">
        <v>0.1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3.2000000000000001E-2</v>
      </c>
      <c r="C2">
        <v>7.0999999999999994E-2</v>
      </c>
      <c r="D2">
        <v>5.9000000000000004E-2</v>
      </c>
      <c r="E2">
        <v>6.9000000000000006E-2</v>
      </c>
      <c r="F2">
        <v>7.2999999999999995E-2</v>
      </c>
      <c r="G2">
        <v>5.5999999999999994E-2</v>
      </c>
      <c r="H2">
        <v>5.5999999999999994E-2</v>
      </c>
      <c r="I2">
        <v>0.01</v>
      </c>
      <c r="J2">
        <v>6.2E-2</v>
      </c>
      <c r="K2">
        <v>4.4000000000000004E-2</v>
      </c>
      <c r="L2">
        <v>7.2000000000000008E-2</v>
      </c>
      <c r="M2">
        <v>8.3000000000000004E-2</v>
      </c>
      <c r="N2">
        <v>8.5999999999999993E-2</v>
      </c>
      <c r="O2">
        <v>8.6999999999999994E-2</v>
      </c>
      <c r="P2">
        <v>8.5999999999999993E-2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2023-10-31T19:08:20Z</dcterms:modified>
</cp:coreProperties>
</file>