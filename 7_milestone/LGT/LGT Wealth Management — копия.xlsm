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7_milestone\LGT\"/>
    </mc:Choice>
  </mc:AlternateContent>
  <bookViews>
    <workbookView xWindow="765" yWindow="765" windowWidth="14400" windowHeight="727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" i="3"/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7" i="31" l="1"/>
  <c r="F7" i="31"/>
  <c r="C7" i="31"/>
  <c r="D7" i="31"/>
  <c r="E7" i="31"/>
  <c r="G7" i="31"/>
  <c r="D40" i="31"/>
  <c r="E40" i="31"/>
  <c r="F40" i="31"/>
  <c r="G40" i="31"/>
  <c r="B40" i="31"/>
  <c r="C40" i="31"/>
  <c r="F9" i="31"/>
  <c r="G9" i="31"/>
  <c r="B9" i="31"/>
  <c r="C9" i="31"/>
  <c r="D9" i="31"/>
  <c r="E9" i="31"/>
  <c r="F17" i="31"/>
  <c r="G17" i="31"/>
  <c r="C17" i="31"/>
  <c r="B17" i="31"/>
  <c r="D17" i="31"/>
  <c r="E17" i="31"/>
  <c r="F25" i="31"/>
  <c r="G25" i="31"/>
  <c r="B25" i="31"/>
  <c r="C25" i="31"/>
  <c r="D25" i="31"/>
  <c r="E25" i="31"/>
  <c r="F33" i="31"/>
  <c r="G33" i="31"/>
  <c r="B33" i="31"/>
  <c r="C33" i="31"/>
  <c r="D33" i="31"/>
  <c r="E33" i="31"/>
  <c r="F41" i="31"/>
  <c r="G41" i="31"/>
  <c r="C41" i="31"/>
  <c r="B41" i="31"/>
  <c r="D41" i="31"/>
  <c r="E41" i="31"/>
  <c r="F49" i="31"/>
  <c r="G49" i="31"/>
  <c r="B49" i="31"/>
  <c r="C49" i="31"/>
  <c r="D49" i="31"/>
  <c r="E49" i="31"/>
  <c r="B15" i="31"/>
  <c r="C15" i="31"/>
  <c r="D15" i="31"/>
  <c r="F15" i="31"/>
  <c r="E15" i="31"/>
  <c r="G15" i="31"/>
  <c r="D32" i="31"/>
  <c r="E32" i="31"/>
  <c r="F32" i="31"/>
  <c r="G32" i="31"/>
  <c r="B32" i="31"/>
  <c r="C32" i="31"/>
  <c r="E2" i="31"/>
  <c r="G2" i="31"/>
  <c r="F2" i="31"/>
  <c r="C2" i="31"/>
  <c r="B2" i="31"/>
  <c r="B10" i="31"/>
  <c r="D10" i="31"/>
  <c r="C10" i="31"/>
  <c r="E10" i="31"/>
  <c r="F10" i="31"/>
  <c r="G10" i="31"/>
  <c r="D18" i="31"/>
  <c r="B18" i="31"/>
  <c r="C18" i="31"/>
  <c r="E18" i="31"/>
  <c r="F18" i="31"/>
  <c r="G18" i="31"/>
  <c r="E26" i="31"/>
  <c r="B26" i="31"/>
  <c r="C26" i="31"/>
  <c r="D26" i="31"/>
  <c r="F26" i="31"/>
  <c r="G26" i="31"/>
  <c r="E34" i="31"/>
  <c r="B34" i="31"/>
  <c r="D34" i="31"/>
  <c r="C34" i="31"/>
  <c r="F34" i="31"/>
  <c r="G34" i="31"/>
  <c r="D42" i="31"/>
  <c r="B42" i="31"/>
  <c r="C42" i="31"/>
  <c r="E42" i="31"/>
  <c r="F42" i="31"/>
  <c r="G42" i="31"/>
  <c r="E50" i="31"/>
  <c r="B50" i="31"/>
  <c r="D50" i="31"/>
  <c r="C50" i="31"/>
  <c r="F50" i="31"/>
  <c r="G50" i="31"/>
  <c r="B47" i="31"/>
  <c r="F47" i="31"/>
  <c r="C47" i="31"/>
  <c r="D47" i="31"/>
  <c r="G47" i="31"/>
  <c r="E47" i="31"/>
  <c r="D24" i="31"/>
  <c r="E24" i="31"/>
  <c r="F24" i="31"/>
  <c r="G24" i="31"/>
  <c r="B24" i="31"/>
  <c r="C24" i="31"/>
  <c r="B11" i="31"/>
  <c r="C11" i="31"/>
  <c r="G11" i="31"/>
  <c r="D11" i="31"/>
  <c r="F11" i="31"/>
  <c r="E11" i="31"/>
  <c r="B19" i="31"/>
  <c r="C19" i="31"/>
  <c r="D19" i="31"/>
  <c r="F19" i="31"/>
  <c r="G19" i="31"/>
  <c r="E19" i="31"/>
  <c r="B27" i="31"/>
  <c r="C27" i="31"/>
  <c r="F27" i="31"/>
  <c r="D27" i="31"/>
  <c r="E27" i="31"/>
  <c r="G27" i="31"/>
  <c r="B35" i="31"/>
  <c r="F35" i="31"/>
  <c r="C35" i="31"/>
  <c r="D35" i="31"/>
  <c r="E35" i="31"/>
  <c r="G35" i="31"/>
  <c r="B43" i="31"/>
  <c r="G43" i="31"/>
  <c r="C43" i="31"/>
  <c r="F43" i="31"/>
  <c r="D43" i="31"/>
  <c r="E43" i="31"/>
  <c r="B23" i="31"/>
  <c r="C23" i="31"/>
  <c r="F23" i="31"/>
  <c r="G23" i="31"/>
  <c r="D23" i="31"/>
  <c r="E23" i="31"/>
  <c r="D8" i="31"/>
  <c r="E8" i="31"/>
  <c r="F8" i="31"/>
  <c r="G8" i="31"/>
  <c r="B8" i="31"/>
  <c r="C8" i="31"/>
  <c r="B3" i="31"/>
  <c r="C3" i="31"/>
  <c r="D3" i="31"/>
  <c r="F3" i="31"/>
  <c r="G3" i="31"/>
  <c r="E3" i="31"/>
  <c r="D4" i="31"/>
  <c r="E4" i="31"/>
  <c r="F4" i="31"/>
  <c r="G4" i="31"/>
  <c r="B4" i="31"/>
  <c r="C4" i="31"/>
  <c r="D12" i="31"/>
  <c r="E12" i="31"/>
  <c r="F12" i="31"/>
  <c r="G12" i="31"/>
  <c r="B12" i="31"/>
  <c r="C12" i="31"/>
  <c r="D20" i="31"/>
  <c r="E20" i="31"/>
  <c r="F20" i="31"/>
  <c r="G20" i="31"/>
  <c r="B20" i="31"/>
  <c r="C20" i="31"/>
  <c r="D28" i="31"/>
  <c r="E28" i="31"/>
  <c r="F28" i="31"/>
  <c r="G28" i="31"/>
  <c r="B28" i="31"/>
  <c r="C28" i="31"/>
  <c r="D36" i="31"/>
  <c r="E36" i="31"/>
  <c r="F36" i="31"/>
  <c r="G36" i="31"/>
  <c r="B36" i="31"/>
  <c r="C36" i="31"/>
  <c r="D44" i="31"/>
  <c r="E44" i="31"/>
  <c r="F44" i="31"/>
  <c r="G44" i="31"/>
  <c r="B44" i="31"/>
  <c r="C44" i="31"/>
  <c r="B31" i="31"/>
  <c r="C31" i="31"/>
  <c r="F31" i="31"/>
  <c r="D31" i="31"/>
  <c r="G31" i="31"/>
  <c r="E31" i="31"/>
  <c r="D48" i="31"/>
  <c r="E48" i="31"/>
  <c r="F48" i="31"/>
  <c r="G48" i="31"/>
  <c r="B48" i="31"/>
  <c r="C48" i="31"/>
  <c r="F5" i="31"/>
  <c r="C5" i="31"/>
  <c r="G5" i="31"/>
  <c r="B5" i="31"/>
  <c r="D5" i="31"/>
  <c r="E5" i="31"/>
  <c r="F13" i="31"/>
  <c r="C13" i="31"/>
  <c r="G13" i="31"/>
  <c r="B13" i="31"/>
  <c r="D13" i="31"/>
  <c r="E13" i="31"/>
  <c r="F21" i="31"/>
  <c r="B21" i="31"/>
  <c r="C21" i="31"/>
  <c r="G21" i="31"/>
  <c r="D21" i="31"/>
  <c r="E21" i="31"/>
  <c r="F29" i="31"/>
  <c r="B29" i="31"/>
  <c r="G29" i="31"/>
  <c r="C29" i="31"/>
  <c r="D29" i="31"/>
  <c r="E29" i="31"/>
  <c r="F37" i="31"/>
  <c r="G37" i="31"/>
  <c r="B37" i="31"/>
  <c r="C37" i="31"/>
  <c r="D37" i="31"/>
  <c r="E37" i="31"/>
  <c r="F45" i="31"/>
  <c r="G45" i="31"/>
  <c r="B45" i="31"/>
  <c r="D45" i="31"/>
  <c r="E45" i="31"/>
  <c r="C45" i="31"/>
  <c r="B39" i="31"/>
  <c r="C39" i="31"/>
  <c r="G39" i="31"/>
  <c r="D39" i="31"/>
  <c r="F39" i="31"/>
  <c r="E39" i="31"/>
  <c r="D16" i="31"/>
  <c r="E16" i="31"/>
  <c r="F16" i="31"/>
  <c r="G16" i="31"/>
  <c r="B16" i="31"/>
  <c r="C16" i="31"/>
  <c r="D6" i="31"/>
  <c r="E6" i="31"/>
  <c r="B6" i="31"/>
  <c r="C6" i="31"/>
  <c r="F6" i="31"/>
  <c r="G6" i="31"/>
  <c r="D14" i="31"/>
  <c r="B14" i="31"/>
  <c r="E14" i="31"/>
  <c r="C14" i="31"/>
  <c r="F14" i="31"/>
  <c r="G14" i="31"/>
  <c r="B22" i="31"/>
  <c r="C22" i="31"/>
  <c r="D22" i="31"/>
  <c r="E22" i="31"/>
  <c r="F22" i="31"/>
  <c r="G22" i="31"/>
  <c r="E30" i="31"/>
  <c r="B30" i="31"/>
  <c r="D30" i="31"/>
  <c r="C30" i="31"/>
  <c r="F30" i="31"/>
  <c r="G30" i="31"/>
  <c r="E38" i="31"/>
  <c r="B38" i="31"/>
  <c r="C38" i="31"/>
  <c r="D38" i="31"/>
  <c r="F38" i="31"/>
  <c r="G38" i="31"/>
  <c r="E46" i="31"/>
  <c r="B46" i="31"/>
  <c r="C46" i="31"/>
  <c r="D46" i="31"/>
  <c r="F46" i="31"/>
  <c r="G46" i="31"/>
  <c r="H39" i="8"/>
  <c r="B1" i="39" a="1"/>
  <c r="B1" i="39" s="1"/>
  <c r="B1" i="38" a="1"/>
  <c r="B1" i="38" s="1"/>
  <c r="B1" i="37" a="1"/>
  <c r="B1" i="37" s="1"/>
  <c r="C36" i="7"/>
  <c r="H36" i="7"/>
  <c r="C45" i="7"/>
  <c r="H45" i="7"/>
  <c r="C30" i="7"/>
  <c r="H30" i="7"/>
  <c r="C38" i="7"/>
  <c r="H38" i="7"/>
  <c r="H46" i="7"/>
  <c r="C46" i="7"/>
  <c r="C31" i="7"/>
  <c r="H31" i="7"/>
  <c r="C39" i="7"/>
  <c r="H39" i="7"/>
  <c r="C47" i="7"/>
  <c r="H47" i="7"/>
  <c r="C29" i="7"/>
  <c r="H29" i="7"/>
  <c r="C24" i="7"/>
  <c r="H24" i="7"/>
  <c r="C32" i="7"/>
  <c r="H32" i="7"/>
  <c r="C40" i="7"/>
  <c r="H40" i="7"/>
  <c r="C48" i="7"/>
  <c r="H48" i="7"/>
  <c r="C25" i="7"/>
  <c r="H25" i="7"/>
  <c r="C33" i="7"/>
  <c r="H33" i="7"/>
  <c r="C41" i="7"/>
  <c r="H41" i="7"/>
  <c r="C49" i="7"/>
  <c r="H49" i="7"/>
  <c r="H44" i="7"/>
  <c r="C44" i="7"/>
  <c r="C37" i="7"/>
  <c r="H37" i="7"/>
  <c r="C26" i="7"/>
  <c r="H26" i="7"/>
  <c r="C34" i="7"/>
  <c r="H34" i="7"/>
  <c r="C42" i="7"/>
  <c r="H42" i="7"/>
  <c r="H50" i="7"/>
  <c r="C50" i="7"/>
  <c r="C27" i="7"/>
  <c r="H27" i="7"/>
  <c r="C35" i="7"/>
  <c r="H35" i="7"/>
  <c r="C43" i="7"/>
  <c r="H43" i="7"/>
  <c r="C28" i="7"/>
  <c r="H28" i="7"/>
  <c r="C3" i="4"/>
  <c r="H3" i="8" s="1"/>
  <c r="F3" i="4"/>
  <c r="B3" i="4"/>
  <c r="G3" i="4"/>
  <c r="C27" i="4"/>
  <c r="B27" i="4"/>
  <c r="F27" i="4"/>
  <c r="G27" i="4"/>
  <c r="B22" i="4"/>
  <c r="C22" i="4"/>
  <c r="H22" i="8" s="1"/>
  <c r="F22" i="4"/>
  <c r="G22" i="4"/>
  <c r="G19" i="4"/>
  <c r="C19" i="4"/>
  <c r="H19" i="8" s="1"/>
  <c r="B19" i="4"/>
  <c r="F19" i="4"/>
  <c r="B6" i="4"/>
  <c r="C6" i="4"/>
  <c r="H6" i="8" s="1"/>
  <c r="F6" i="4"/>
  <c r="G6" i="4"/>
  <c r="B38" i="4"/>
  <c r="C38" i="4"/>
  <c r="F38" i="4"/>
  <c r="G38" i="4"/>
  <c r="C31" i="4"/>
  <c r="B31" i="4"/>
  <c r="F31" i="4"/>
  <c r="G31" i="4"/>
  <c r="B8" i="4"/>
  <c r="C8" i="4"/>
  <c r="H8" i="8" s="1"/>
  <c r="F8" i="4"/>
  <c r="G8" i="4"/>
  <c r="B24" i="4"/>
  <c r="C24" i="4"/>
  <c r="F24" i="4"/>
  <c r="G24" i="4"/>
  <c r="B40" i="4"/>
  <c r="C40" i="4"/>
  <c r="F40" i="4"/>
  <c r="G40" i="4"/>
  <c r="G9" i="4"/>
  <c r="C9" i="4"/>
  <c r="H9" i="8" s="1"/>
  <c r="F9" i="4"/>
  <c r="B9" i="4"/>
  <c r="F17" i="4"/>
  <c r="B17" i="4"/>
  <c r="C17" i="4"/>
  <c r="H17" i="8" s="1"/>
  <c r="G17" i="4"/>
  <c r="G25" i="4"/>
  <c r="F25" i="4"/>
  <c r="B25" i="4"/>
  <c r="C25" i="4"/>
  <c r="F33" i="4"/>
  <c r="G33" i="4"/>
  <c r="B33" i="4"/>
  <c r="C33" i="4"/>
  <c r="B41" i="4"/>
  <c r="C41" i="4"/>
  <c r="F41" i="4"/>
  <c r="G41" i="4"/>
  <c r="G49" i="4"/>
  <c r="B49" i="4"/>
  <c r="C49" i="4"/>
  <c r="F49" i="4"/>
  <c r="B11" i="4"/>
  <c r="C11" i="4"/>
  <c r="H11" i="8" s="1"/>
  <c r="F11" i="4"/>
  <c r="G11" i="4"/>
  <c r="G35" i="4"/>
  <c r="C35" i="4"/>
  <c r="B35" i="4"/>
  <c r="F35" i="4"/>
  <c r="B14" i="4"/>
  <c r="C14" i="4"/>
  <c r="H14" i="8" s="1"/>
  <c r="F14" i="4"/>
  <c r="G14" i="4"/>
  <c r="B30" i="4"/>
  <c r="C30" i="4"/>
  <c r="F30" i="4"/>
  <c r="G30" i="4"/>
  <c r="B46" i="4"/>
  <c r="C46" i="4"/>
  <c r="F46" i="4"/>
  <c r="G46" i="4"/>
  <c r="C7" i="4"/>
  <c r="H7" i="8" s="1"/>
  <c r="F7" i="4"/>
  <c r="B7" i="4"/>
  <c r="G7" i="4"/>
  <c r="C15" i="4"/>
  <c r="H15" i="8" s="1"/>
  <c r="G15" i="4"/>
  <c r="B15" i="4"/>
  <c r="F15" i="4"/>
  <c r="C23" i="4"/>
  <c r="H23" i="8" s="1"/>
  <c r="G23" i="4"/>
  <c r="B23" i="4"/>
  <c r="F23" i="4"/>
  <c r="C39" i="4"/>
  <c r="G39" i="4"/>
  <c r="B39" i="4"/>
  <c r="F39" i="4"/>
  <c r="B16" i="4"/>
  <c r="C16" i="4"/>
  <c r="H16" i="8" s="1"/>
  <c r="F16" i="4"/>
  <c r="G16" i="4"/>
  <c r="B32" i="4"/>
  <c r="C32" i="4"/>
  <c r="F32" i="4"/>
  <c r="G32" i="4"/>
  <c r="B48" i="4"/>
  <c r="C48" i="4"/>
  <c r="F48" i="4"/>
  <c r="G48" i="4"/>
  <c r="F2" i="4"/>
  <c r="C2" i="4"/>
  <c r="H2" i="8" s="1"/>
  <c r="B2" i="4"/>
  <c r="G2" i="4"/>
  <c r="B10" i="4"/>
  <c r="C10" i="4"/>
  <c r="H10" i="8" s="1"/>
  <c r="F10" i="4"/>
  <c r="G10" i="4"/>
  <c r="B18" i="4"/>
  <c r="C18" i="4"/>
  <c r="H18" i="8" s="1"/>
  <c r="F18" i="4"/>
  <c r="G18" i="4"/>
  <c r="B26" i="4"/>
  <c r="C26" i="4"/>
  <c r="F26" i="4"/>
  <c r="G26" i="4"/>
  <c r="B34" i="4"/>
  <c r="C34" i="4"/>
  <c r="F34" i="4"/>
  <c r="G34" i="4"/>
  <c r="B42" i="4"/>
  <c r="C42" i="4"/>
  <c r="F42" i="4"/>
  <c r="G42" i="4"/>
  <c r="B50" i="4"/>
  <c r="C50" i="4"/>
  <c r="F50" i="4"/>
  <c r="G50" i="4"/>
  <c r="G43" i="4"/>
  <c r="C43" i="4"/>
  <c r="F43" i="4"/>
  <c r="B43" i="4"/>
  <c r="B4" i="4"/>
  <c r="C4" i="4"/>
  <c r="H4" i="8" s="1"/>
  <c r="F4" i="4"/>
  <c r="G4" i="4"/>
  <c r="B12" i="4"/>
  <c r="C12" i="4"/>
  <c r="H12" i="8" s="1"/>
  <c r="F12" i="4"/>
  <c r="G12" i="4"/>
  <c r="B20" i="4"/>
  <c r="C20" i="4"/>
  <c r="H20" i="8" s="1"/>
  <c r="F20" i="4"/>
  <c r="G20" i="4"/>
  <c r="B28" i="4"/>
  <c r="C28" i="4"/>
  <c r="F28" i="4"/>
  <c r="G28" i="4"/>
  <c r="B36" i="4"/>
  <c r="C36" i="4"/>
  <c r="F36" i="4"/>
  <c r="G36" i="4"/>
  <c r="B44" i="4"/>
  <c r="C44" i="4"/>
  <c r="F44" i="4"/>
  <c r="G44" i="4"/>
  <c r="G5" i="4"/>
  <c r="B5" i="4"/>
  <c r="C5" i="4"/>
  <c r="H5" i="8" s="1"/>
  <c r="F5" i="4"/>
  <c r="C13" i="4"/>
  <c r="H13" i="8" s="1"/>
  <c r="F13" i="4"/>
  <c r="B13" i="4"/>
  <c r="G13" i="4"/>
  <c r="F21" i="4"/>
  <c r="B21" i="4"/>
  <c r="C21" i="4"/>
  <c r="H21" i="8" s="1"/>
  <c r="G21" i="4"/>
  <c r="G29" i="4"/>
  <c r="F29" i="4"/>
  <c r="B29" i="4"/>
  <c r="C29" i="4"/>
  <c r="F37" i="4"/>
  <c r="B37" i="4"/>
  <c r="C37" i="4"/>
  <c r="G37" i="4"/>
  <c r="G45" i="4"/>
  <c r="B45" i="4"/>
  <c r="C45" i="4"/>
  <c r="F45" i="4"/>
  <c r="C47" i="4"/>
  <c r="F47" i="4"/>
  <c r="B47" i="4"/>
  <c r="G47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18" i="7" l="1"/>
  <c r="H18" i="7"/>
  <c r="C11" i="7"/>
  <c r="H11" i="7"/>
  <c r="C6" i="7"/>
  <c r="H6" i="7"/>
  <c r="C13" i="7"/>
  <c r="H13" i="7"/>
  <c r="C23" i="7"/>
  <c r="H23" i="7"/>
  <c r="C7" i="7"/>
  <c r="H7" i="7"/>
  <c r="C19" i="7"/>
  <c r="H19" i="7"/>
  <c r="C5" i="7"/>
  <c r="H5" i="7"/>
  <c r="C20" i="7"/>
  <c r="H20" i="7"/>
  <c r="C14" i="7"/>
  <c r="H14" i="7"/>
  <c r="C22" i="7"/>
  <c r="H22" i="7"/>
  <c r="C17" i="7"/>
  <c r="H17" i="7"/>
  <c r="C21" i="7"/>
  <c r="H21" i="7"/>
  <c r="C12" i="7"/>
  <c r="H12" i="7"/>
  <c r="C8" i="7"/>
  <c r="H8" i="7"/>
  <c r="C10" i="7"/>
  <c r="H10" i="7"/>
  <c r="C16" i="7"/>
  <c r="H16" i="7"/>
  <c r="C9" i="7"/>
  <c r="H9" i="7"/>
  <c r="H2" i="7"/>
  <c r="C2" i="7"/>
  <c r="C15" i="7"/>
  <c r="H15" i="7"/>
  <c r="C3" i="7"/>
  <c r="H3" i="7"/>
  <c r="C4" i="7"/>
  <c r="H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<sst xmlns="http://schemas.openxmlformats.org/spreadsheetml/2006/main" count="164" uniqueCount="108">
  <si>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</si>
  <si>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</si>
  <si>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</si>
  <si>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</si>
  <si>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</si>
  <si>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</si>
  <si>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</si>
  <si>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</si>
  <si>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</si>
  <si>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</si>
  <si>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</si>
  <si>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</si>
  <si>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</si>
  <si>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</si>
  <si>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</si>
  <si>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</si>
  <si>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</si>
  <si>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</si>
  <si>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</si>
  <si>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</si>
  <si>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</si>
  <si>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</si>
  <si>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</si>
  <si>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</si>
  <si>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</si>
  <si>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</si>
  <si>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</si>
  <si>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</si>
  <si>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MPS Strategic Income</t>
  </si>
  <si>
    <t>MPS Growth</t>
  </si>
  <si>
    <t>MPS Defensive</t>
  </si>
  <si>
    <t>MPS Balanced</t>
  </si>
  <si>
    <t>MPS Adventurous</t>
  </si>
  <si>
    <t>MPS Cautious</t>
  </si>
  <si>
    <t>https://www.lgtwm.com/uk-en/financial-advisers/publications-for-financial-advisers/factsheets#id_114634_114622</t>
  </si>
  <si>
    <t>Sustainable MPS Growth</t>
  </si>
  <si>
    <t>Sustainable MPS Defensive</t>
  </si>
  <si>
    <t>Sustainable MPS Cautious</t>
  </si>
  <si>
    <t>Sustainable MPS Balanced</t>
  </si>
  <si>
    <t>Sustainable MPS Adventurous</t>
  </si>
  <si>
    <t>https://www.lgtwm.com/uk-en/financial-advisers/publications-for-financial-advisers/factsheets#id_114634_114630</t>
  </si>
  <si>
    <t>International MPS GBP Defensive</t>
  </si>
  <si>
    <t>International MPS GBP Cautious</t>
  </si>
  <si>
    <t>International MPS Strategic Income</t>
  </si>
  <si>
    <t>International MPS GBP Growth</t>
  </si>
  <si>
    <t>International MPS GBP Balanced</t>
  </si>
  <si>
    <t>International MPS GBP Adventurous</t>
  </si>
  <si>
    <t>https://www.lgtwm.com/uk-en/financial-advisers/publications-for-financial-advisers/factsheets#id_114634_114626</t>
  </si>
  <si>
    <t>International Sustainable MPS GBP Growth</t>
  </si>
  <si>
    <t>International Sustainable MPS GBP Defensive</t>
  </si>
  <si>
    <t>International Sustainable MPS GBP Cautious</t>
  </si>
  <si>
    <t>International Sustainable MPS GBP Balanced</t>
  </si>
  <si>
    <t>International Sustainable MPS GBP Adventurous</t>
  </si>
  <si>
    <t>https://www.lgtwm.com/uk-en/financial-advisers/publications-for-financial-advisers/factsheets#id_114634_114628</t>
  </si>
  <si>
    <t>MPS factsheets</t>
  </si>
  <si>
    <t>SMPS factsheets</t>
  </si>
  <si>
    <t>International MPS factsheets</t>
  </si>
  <si>
    <t>International SMPS factsheets</t>
  </si>
  <si>
    <t>Annual management charge</t>
  </si>
  <si>
    <t>OCF</t>
  </si>
  <si>
    <t>1 year</t>
  </si>
  <si>
    <t>1 month</t>
  </si>
  <si>
    <t>UK equity</t>
  </si>
  <si>
    <t>Fixed interest</t>
  </si>
  <si>
    <t>Overseas equity</t>
  </si>
  <si>
    <t>Absolute return</t>
  </si>
  <si>
    <t>Infrastructure</t>
  </si>
  <si>
    <t>Equities</t>
  </si>
  <si>
    <t>Alternatives</t>
  </si>
  <si>
    <t>Liquidity strategies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</si>
  <si>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</si>
  <si>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</si>
  <si>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</si>
  <si>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</si>
  <si>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</si>
  <si>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</si>
  <si>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</si>
  <si>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Growth</t>
  </si>
  <si>
    <t>Defensive</t>
  </si>
  <si>
    <t>Balanced</t>
  </si>
  <si>
    <t>Adventurous</t>
  </si>
  <si>
    <t>Cautious</t>
  </si>
  <si>
    <t>3 month</t>
  </si>
  <si>
    <t>6 month</t>
  </si>
  <si>
    <t>3 year</t>
  </si>
  <si>
    <t>5 year</t>
  </si>
  <si>
    <t>YTD</t>
  </si>
  <si>
    <t>https://www.lgtwm.com/resource/blob/34706/c53439ee55a136be100095e8c056a6c4/growth-data.pdf</t>
  </si>
  <si>
    <t>https://www.lgtwm.com/resource/blob/34702/5e7227087527ae41fdf8198e386630b7/defensive-data.pdf</t>
  </si>
  <si>
    <t>https://www.lgtwm.com/resource/blob/34698/d35bf2c8edb2ccf39deb321a1e7da99c/cautious-data.pdf</t>
  </si>
  <si>
    <t>https://www.lgtwm.com/resource/blob/34680/67dd9b25073f22a769b36c45f5942f26/balanced-data.pdf</t>
  </si>
  <si>
    <t>https://www.lgtwm.com/resource/blob/34652/c85d1586c72064b720b2ce4941165bc6/adventurous-data.pdf</t>
  </si>
  <si>
    <t>https://www.lgtwm.com/resource/blob/35000/d784d961b3ea095528b2e2ac1a2047f0/sustainable-mps-growth-data.pdf</t>
  </si>
  <si>
    <t>https://www.lgtwm.com/resource/blob/34998/c6dfc77444516267b08043a53a3e6e01/sustainable-mps-defensive-data.pdf</t>
  </si>
  <si>
    <t>https://www.lgtwm.com/resource/blob/34996/41cd0ff9b149cfa98ce02e537c4e41a3/sustainable-mps-cautious-data.pdf</t>
  </si>
  <si>
    <t>https://www.lgtwm.com/resource/blob/34994/ebeab58c5de6b083514520a02743c205/sustainable-mps-balanced-data.pdf</t>
  </si>
  <si>
    <t>https://www.lgtwm.com/resource/blob/34944/f43a6a4a1e216288c344778e9847dca4/sustainable-mps-adventurous-data.pdf</t>
  </si>
  <si>
    <t>https://www.lgtwm.com/resource/blob/152626/c6e0176a1f76d983aa2e95500c372896/imps-strategicincome-factsheet-en-data.pdf</t>
  </si>
  <si>
    <t>https://www.lgtwm.com/resource/blob/125254/559dc2484f1698348bd1f2620c38a0dc/imps-growthgbp-factsheet-en-data.pdf</t>
  </si>
  <si>
    <t>https://www.lgtwm.com/resource/blob/125260/cc4b8ee6cf09ab66186631ff2050609a/imps-defensivegbp-factsheet-en-data.pdf</t>
  </si>
  <si>
    <t>https://www.lgtwm.com/resource/blob/125236/c7b49020f799285b27426241977afb33/imps-cautiousgbp-factsheet-en-data.pdf</t>
  </si>
  <si>
    <t>https://www.lgtwm.com/resource/blob/125242/e95674b89fde1486b255639b878b8ab2/imps-balancedgbp-factsheet-en-data.pdf</t>
  </si>
  <si>
    <t>https://www.lgtwm.com/resource/blob/125248/16df853c9ace92d073f30f3bfb5ba5c9/imps-adventurousgbp-factsheet-en-data.pdf</t>
  </si>
  <si>
    <t>https://www.lgtwm.com/resource/blob/125268/b59c7d00f78efbf9202ae1a4594b97e0/ismps-growthgbp-factsheet-en-data.pdf</t>
  </si>
  <si>
    <t>https://www.lgtwm.com/resource/blob/125274/65aaec2c88a921b5791076b3200df1f8/ismps-defensivegbp-factsheet-en-data.pdf</t>
  </si>
  <si>
    <t>https://www.lgtwm.com/resource/blob/125280/461fbb7eecd3297cecfd32102c7f0eb7/ismps-cautiousgbp-factsheet-en-data.pdf</t>
  </si>
  <si>
    <t>https://www.lgtwm.com/resource/blob/125286/673c37b3c2064565877ca13e703ade30/ismps-balancedgbp-factsheet-en-data.pdf</t>
  </si>
  <si>
    <t>https://www.lgtwm.com/resource/blob/125292/5558fa78cca52c68aac95ed3af35559f/ismps-adventurousgbp-factsheet-en-data.pdf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</si>
</sst>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0" fontId="0" fillId="2" borderId="0" xfId="0" applyFill="1"/>
    <xf numFmtId="0" fontId="7" fillId="0" borderId="0" xfId="0" applyFont="1"/>
    <xf numFmtId="10" fontId="0" fillId="0" borderId="0" xfId="2" applyNumberFormat="1" applyFont="1" applyFill="1"/>
    <xf numFmtId="15" fontId="0" fillId="0" borderId="0" xfId="0" applyNumberForma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63501</xdr:colOff>
      <xdr:row>1</xdr:row>
      <xdr:rowOff>107950</xdr:rowOff>
    </xdr:from>
    <xdr:to>
      <xdr:col>6</xdr:col>
      <xdr:colOff>185871</xdr:colOff>
      <xdr:row>15</xdr:row>
      <xdr:rowOff>108195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F3F4EEE-B2E9-A338-1ADA-A9042377E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1" y="292100"/>
          <a:ext cx="3779970" cy="25783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165100</xdr:rowOff>
    </xdr:from>
    <xdr:to>
      <xdr:col>6</xdr:col>
      <xdr:colOff>329767</xdr:colOff>
      <xdr:row>27</xdr:row>
      <xdr:rowOff>101797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0320DB-B07E-5DA0-4A6D-5B06B94BE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27350"/>
          <a:ext cx="3987367" cy="2146497"/>
        </a:xfrm>
        <a:prstGeom prst="rect">
          <a:avLst/>
        </a:prstGeom>
      </xdr:spPr>
    </xdr:pic>
    <xdr:clientData/>
  </xdr:twoCellAnchor>
  <xdr:twoCellAnchor editAs="oneCell">
    <xdr:from>
      <xdr:col>6</xdr:col>
      <xdr:colOff>593546</xdr:colOff>
      <xdr:row>1</xdr:row>
      <xdr:rowOff>82550</xdr:rowOff>
    </xdr:from>
    <xdr:to>
      <xdr:col>14</xdr:col>
      <xdr:colOff>25665</xdr:colOff>
      <xdr:row>21</xdr:row>
      <xdr:rowOff>89127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1A0450-0059-1631-1558-F6A671525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1146" y="266700"/>
          <a:ext cx="4308919" cy="36895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10" workbookViewId="0">
      <selection activeCell="H3" sqref="H3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4"/>
  <sheetViews>
    <sheetView workbookViewId="0">
      <selection activeCell="B3" sqref="B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>
        <f>'PDF Scraping'!D2</f>
        <v>0</v>
      </c>
      <c r="J3" s="4"/>
    </row>
    <row r="4" spans="1:10" x14ac:dyDescent="0.25">
      <c r="A4" t="s">
        <v>29</v>
      </c>
      <c r="B4" t="str">
        <f>'PDF Scraping'!D3</f>
        <v>https://www.lgtwm.com/resource/blob/34706/c53439ee55a136be100095e8c056a6c4/growth-data.pdf</v>
      </c>
      <c r="J4" s="4"/>
    </row>
    <row r="5" spans="1:10" x14ac:dyDescent="0.25">
      <c r="A5" t="s">
        <v>30</v>
      </c>
      <c r="B5" t="str">
        <f>'PDF Scraping'!D4</f>
        <v>https://www.lgtwm.com/resource/blob/34702/5e7227087527ae41fdf8198e386630b7/defensive-data.pdf</v>
      </c>
    </row>
    <row r="6" spans="1:10" x14ac:dyDescent="0.25">
      <c r="A6" t="s">
        <v>31</v>
      </c>
      <c r="B6" t="str">
        <f>'PDF Scraping'!D5</f>
        <v>https://www.lgtwm.com/resource/blob/34680/67dd9b25073f22a769b36c45f5942f26/balanced-data.pdf</v>
      </c>
    </row>
    <row r="7" spans="1:10" x14ac:dyDescent="0.25">
      <c r="A7" t="s">
        <v>32</v>
      </c>
      <c r="B7" t="str">
        <f>'PDF Scraping'!D6</f>
        <v>https://www.lgtwm.com/resource/blob/34652/c85d1586c72064b720b2ce4941165bc6/adventurous-data.pdf</v>
      </c>
    </row>
    <row r="8" spans="1:10" x14ac:dyDescent="0.25">
      <c r="A8" t="s">
        <v>33</v>
      </c>
      <c r="B8" t="str">
        <f>'PDF Scraping'!D7</f>
        <v>https://www.lgtwm.com/resource/blob/34698/d35bf2c8edb2ccf39deb321a1e7da99c/cautious-data.pdf</v>
      </c>
    </row>
    <row r="9" spans="1:10" x14ac:dyDescent="0.25">
      <c r="A9" t="s">
        <v>35</v>
      </c>
      <c r="B9" t="str">
        <f>'PDF Scraping'!D8</f>
        <v>https://www.lgtwm.com/resource/blob/35000/d784d961b3ea095528b2e2ac1a2047f0/sustainable-mps-growth-data.pdf</v>
      </c>
    </row>
    <row r="10" spans="1:10" x14ac:dyDescent="0.25">
      <c r="A10" t="s">
        <v>36</v>
      </c>
      <c r="B10" t="str">
        <f>'PDF Scraping'!D9</f>
        <v>https://www.lgtwm.com/resource/blob/34998/c6dfc77444516267b08043a53a3e6e01/sustainable-mps-defensive-data.pdf</v>
      </c>
    </row>
    <row r="11" spans="1:10" x14ac:dyDescent="0.25">
      <c r="A11" t="s">
        <v>37</v>
      </c>
      <c r="B11" t="str">
        <f>'PDF Scraping'!D10</f>
        <v>https://www.lgtwm.com/resource/blob/34996/41cd0ff9b149cfa98ce02e537c4e41a3/sustainable-mps-cautious-data.pdf</v>
      </c>
    </row>
    <row r="12" spans="1:10" x14ac:dyDescent="0.25">
      <c r="A12" t="s">
        <v>38</v>
      </c>
      <c r="B12" t="str">
        <f>'PDF Scraping'!D11</f>
        <v>https://www.lgtwm.com/resource/blob/34994/ebeab58c5de6b083514520a02743c205/sustainable-mps-balanced-data.pdf</v>
      </c>
    </row>
    <row r="13" spans="1:10" x14ac:dyDescent="0.25">
      <c r="A13" t="s">
        <v>39</v>
      </c>
      <c r="B13" t="str">
        <f>'PDF Scraping'!D12</f>
        <v>https://www.lgtwm.com/resource/blob/34944/f43a6a4a1e216288c344778e9847dca4/sustainable-mps-adventurous-data.pdf</v>
      </c>
    </row>
    <row r="14" spans="1:10" x14ac:dyDescent="0.25">
      <c r="A14" t="s">
        <v>43</v>
      </c>
      <c r="B14" t="str">
        <f>'PDF Scraping'!D13</f>
        <v>https://www.lgtwm.com/resource/blob/152626/c6e0176a1f76d983aa2e95500c372896/imps-strategicincome-factsheet-en-data.pdf</v>
      </c>
    </row>
    <row r="15" spans="1:10" x14ac:dyDescent="0.25">
      <c r="A15" t="s">
        <v>44</v>
      </c>
      <c r="B15" t="str">
        <f>'PDF Scraping'!D14</f>
        <v>https://www.lgtwm.com/resource/blob/125254/559dc2484f1698348bd1f2620c38a0dc/imps-growthgbp-factsheet-en-data.pdf</v>
      </c>
    </row>
    <row r="16" spans="1:10" x14ac:dyDescent="0.25">
      <c r="A16" t="s">
        <v>41</v>
      </c>
      <c r="B16" t="str">
        <f>'PDF Scraping'!D15</f>
        <v>https://www.lgtwm.com/resource/blob/125260/cc4b8ee6cf09ab66186631ff2050609a/imps-defensivegbp-factsheet-en-data.pdf</v>
      </c>
    </row>
    <row r="17" spans="1:2" x14ac:dyDescent="0.25">
      <c r="A17" t="s">
        <v>42</v>
      </c>
      <c r="B17" t="str">
        <f>'PDF Scraping'!D16</f>
        <v>https://www.lgtwm.com/resource/blob/125236/c7b49020f799285b27426241977afb33/imps-cautiousgbp-factsheet-en-data.pdf</v>
      </c>
    </row>
    <row r="18" spans="1:2" x14ac:dyDescent="0.25">
      <c r="A18" t="s">
        <v>45</v>
      </c>
      <c r="B18" t="str">
        <f>'PDF Scraping'!D17</f>
        <v>https://www.lgtwm.com/resource/blob/125242/e95674b89fde1486b255639b878b8ab2/imps-balancedgbp-factsheet-en-data.pdf</v>
      </c>
    </row>
    <row r="19" spans="1:2" x14ac:dyDescent="0.25">
      <c r="A19" t="s">
        <v>46</v>
      </c>
      <c r="B19" t="str">
        <f>'PDF Scraping'!D18</f>
        <v>https://www.lgtwm.com/resource/blob/125248/16df853c9ace92d073f30f3bfb5ba5c9/imps-adventurousgbp-factsheet-en-data.pdf</v>
      </c>
    </row>
    <row r="20" spans="1:2" x14ac:dyDescent="0.25">
      <c r="A20" t="s">
        <v>48</v>
      </c>
      <c r="B20" t="str">
        <f>'PDF Scraping'!D19</f>
        <v>https://www.lgtwm.com/resource/blob/125268/b59c7d00f78efbf9202ae1a4594b97e0/ismps-growthgbp-factsheet-en-data.pdf</v>
      </c>
    </row>
    <row r="21" spans="1:2" x14ac:dyDescent="0.25">
      <c r="A21" t="s">
        <v>49</v>
      </c>
      <c r="B21" t="str">
        <f>'PDF Scraping'!D20</f>
        <v>https://www.lgtwm.com/resource/blob/125274/65aaec2c88a921b5791076b3200df1f8/ismps-defensivegbp-factsheet-en-data.pdf</v>
      </c>
    </row>
    <row r="22" spans="1:2" x14ac:dyDescent="0.25">
      <c r="A22" t="s">
        <v>50</v>
      </c>
      <c r="B22" t="str">
        <f>'PDF Scraping'!D21</f>
        <v>https://www.lgtwm.com/resource/blob/125280/461fbb7eecd3297cecfd32102c7f0eb7/ismps-cautiousgbp-factsheet-en-data.pdf</v>
      </c>
    </row>
    <row r="23" spans="1:2" x14ac:dyDescent="0.25">
      <c r="A23" t="s">
        <v>51</v>
      </c>
      <c r="B23" t="str">
        <f>'PDF Scraping'!D22</f>
        <v>https://www.lgtwm.com/resource/blob/125286/673c37b3c2064565877ca13e703ade30/ismps-balancedgbp-factsheet-en-data.pdf</v>
      </c>
    </row>
    <row r="24" spans="1:2" x14ac:dyDescent="0.25">
      <c r="A24" t="s">
        <v>52</v>
      </c>
      <c r="B24" t="str">
        <f>'PDF Scraping'!D23</f>
        <v>https://www.lgtwm.com/resource/blob/125292/5558fa78cca52c68aac95ed3af35559f/ismps-adventurousgbp-factsheet-en-data.pdf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K50"/>
  <sheetViews>
    <sheetView topLeftCell="B1" workbookViewId="0">
      <selection activeCell="K2" sqref="K2"/>
    </sheetView>
  </sheetViews>
  <sheetFormatPr defaultRowHeight="15" x14ac:dyDescent="0.25"/>
  <cols>
    <col min="1" max="1" width="44.5703125" bestFit="1" customWidth="1"/>
    <col min="2" max="2" width="10.140625" bestFit="1" customWidth="1"/>
    <col min="3" max="3" width="26.28515625" bestFit="1" customWidth="1"/>
    <col min="4" max="4" width="6.140625" bestFit="1" customWidth="1"/>
    <col min="5" max="7" width="8.28515625" bestFit="1" customWidth="1"/>
    <col min="8" max="9" width="6.85546875" bestFit="1" customWidth="1"/>
    <col min="10" max="10" width="7.140625" bestFit="1" customWidth="1"/>
    <col min="11" max="11" width="6.140625" bestFit="1" customWidth="1"/>
  </cols>
  <sheetData>
    <row r="1" spans="1:11" x14ac:dyDescent="0.25">
      <c r="B1" t="s">
        <v>22</v>
      </c>
      <c r="C1" t="s">
        <v>58</v>
      </c>
      <c r="D1" t="s">
        <v>59</v>
      </c>
      <c r="E1" t="s">
        <v>61</v>
      </c>
      <c r="F1" t="s">
        <v>82</v>
      </c>
      <c r="G1" t="s">
        <v>83</v>
      </c>
      <c r="H1" t="s">
        <v>60</v>
      </c>
      <c r="I1" t="s">
        <v>84</v>
      </c>
      <c r="J1" t="s">
        <v>85</v>
      </c>
      <c r="K1" t="s">
        <v>86</v>
      </c>
    </row>
    <row r="2" spans="1:11" x14ac:dyDescent="0.25">
      <c r="A2" t="str">
        <f>IF(Input!A3="","",Input!A3)</f>
        <v>MPS Strategic Income</v>
      </c>
      <c r="B2" s="1"/>
      <c r="C2" s="9"/>
      <c r="D2" s="9"/>
      <c r="E2" s="5"/>
      <c r="F2" s="5"/>
      <c r="G2" s="5"/>
      <c r="H2" s="5"/>
      <c r="I2" s="5"/>
      <c r="J2" s="5"/>
    </row>
    <row r="3" spans="1:11" x14ac:dyDescent="0.25">
      <c r="A3" t="str">
        <f>IF(Input!A4="","",Input!A4)</f>
        <v>MPS Growth</v>
      </c>
      <c r="B3" s="1">
        <v>45231</v>
      </c>
      <c r="C3" s="9">
        <v>2.5000000000000001E-3</v>
      </c>
      <c r="D3" s="9">
        <v>5.6999999999999993E-3</v>
      </c>
      <c r="E3" s="5">
        <v>-2.4900000000000002E-2</v>
      </c>
      <c r="F3" s="5">
        <v>-4.5400000000000003E-2</v>
      </c>
      <c r="G3" s="5">
        <v>-3.6600000000000001E-2</v>
      </c>
      <c r="H3" s="5">
        <v>2.5600000000000001E-2</v>
      </c>
      <c r="I3" s="5">
        <v>6.0400000000000002E-2</v>
      </c>
      <c r="J3" s="5">
        <v>0.19640000000000002</v>
      </c>
    </row>
    <row r="4" spans="1:11" x14ac:dyDescent="0.25">
      <c r="A4" t="str">
        <f>IF(Input!A5="","",Input!A5)</f>
        <v>MPS Defensive</v>
      </c>
      <c r="B4" s="1">
        <v>45231</v>
      </c>
      <c r="C4" s="9">
        <v>2.5000000000000001E-3</v>
      </c>
      <c r="D4" s="9">
        <v>4.0000000000000001E-3</v>
      </c>
      <c r="E4" s="5">
        <v>-8.1000000000000013E-3</v>
      </c>
      <c r="F4" s="5">
        <v>-1.5800000000000002E-2</v>
      </c>
      <c r="G4" s="5">
        <v>-1.9199999999999998E-2</v>
      </c>
      <c r="H4" s="5">
        <v>2.06E-2</v>
      </c>
      <c r="I4" s="5">
        <v>1.5100000000000001E-2</v>
      </c>
      <c r="J4" s="5">
        <v>9.2300000000000007E-2</v>
      </c>
    </row>
    <row r="5" spans="1:11" x14ac:dyDescent="0.25">
      <c r="A5" t="str">
        <f>IF(Input!A6="","",Input!A6)</f>
        <v>MPS Balanced</v>
      </c>
      <c r="B5" s="1">
        <v>45231</v>
      </c>
      <c r="C5" s="9">
        <v>2.5000000000000001E-3</v>
      </c>
      <c r="D5" s="9">
        <v>4.7999999999999996E-3</v>
      </c>
      <c r="E5" s="5">
        <v>-1.9799999999999998E-2</v>
      </c>
      <c r="F5" s="5">
        <v>-3.5299999999999998E-2</v>
      </c>
      <c r="G5" s="5">
        <v>-3.44E-2</v>
      </c>
      <c r="H5" s="5">
        <v>2.0400000000000001E-2</v>
      </c>
      <c r="I5" s="5">
        <v>4.6900000000000004E-2</v>
      </c>
      <c r="J5" s="5">
        <v>0.1789</v>
      </c>
    </row>
    <row r="6" spans="1:11" x14ac:dyDescent="0.25">
      <c r="A6" t="str">
        <f>IF(Input!A7="","",Input!A7)</f>
        <v>MPS Adventurous</v>
      </c>
      <c r="B6" s="1">
        <v>45231</v>
      </c>
      <c r="C6" s="9">
        <v>2.5000000000000001E-3</v>
      </c>
      <c r="D6" s="9">
        <v>5.3E-3</v>
      </c>
      <c r="E6" s="5">
        <v>-2.8799999999999999E-2</v>
      </c>
      <c r="F6" s="5">
        <v>-5.04E-2</v>
      </c>
      <c r="G6" s="5">
        <v>-2.41E-2</v>
      </c>
      <c r="H6" s="5">
        <v>2.7799999999999998E-2</v>
      </c>
      <c r="I6" s="5">
        <v>7.6999999999999999E-2</v>
      </c>
      <c r="J6" s="5">
        <v>0.24609999999999999</v>
      </c>
    </row>
    <row r="7" spans="1:11" x14ac:dyDescent="0.25">
      <c r="A7" t="str">
        <f>IF(Input!A8="","",Input!A8)</f>
        <v>MPS Cautious</v>
      </c>
      <c r="B7" s="1">
        <v>45231</v>
      </c>
      <c r="C7" s="9">
        <v>2.5000000000000001E-3</v>
      </c>
      <c r="D7" s="9">
        <v>4.4000000000000003E-3</v>
      </c>
      <c r="E7" s="5">
        <v>-1.3899999999999999E-2</v>
      </c>
      <c r="F7" s="5">
        <v>-2.4500000000000001E-2</v>
      </c>
      <c r="G7" s="5">
        <v>-2.5600000000000001E-2</v>
      </c>
      <c r="H7" s="5">
        <v>1.5600000000000001E-2</v>
      </c>
      <c r="I7" s="5">
        <v>4.0899999999999999E-2</v>
      </c>
      <c r="J7" s="5">
        <v>0.12570000000000001</v>
      </c>
    </row>
    <row r="8" spans="1:11" x14ac:dyDescent="0.25">
      <c r="A8" t="str">
        <f>IF(Input!A9="","",Input!A9)</f>
        <v>Sustainable MPS Growth</v>
      </c>
      <c r="B8" s="1">
        <v>45231</v>
      </c>
      <c r="C8" s="9">
        <v>2.5000000000000001E-3</v>
      </c>
      <c r="D8" s="9">
        <v>6.0999999999999995E-3</v>
      </c>
      <c r="E8" s="5">
        <v>-3.5499999999999997E-2</v>
      </c>
      <c r="F8" s="5">
        <v>-6.7699999999999996E-2</v>
      </c>
      <c r="G8" s="5">
        <v>-3.8300000000000001E-2</v>
      </c>
      <c r="H8" s="5">
        <v>-2.3999999999999998E-3</v>
      </c>
      <c r="I8" s="5">
        <v>3.8399999999999997E-2</v>
      </c>
    </row>
    <row r="9" spans="1:11" x14ac:dyDescent="0.25">
      <c r="A9" t="str">
        <f>IF(Input!A10="","",Input!A10)</f>
        <v>Sustainable MPS Defensive</v>
      </c>
      <c r="B9" s="1">
        <v>45231</v>
      </c>
      <c r="C9" s="9">
        <v>2.5000000000000001E-3</v>
      </c>
      <c r="D9" s="9">
        <v>4.0000000000000001E-3</v>
      </c>
      <c r="E9" s="5">
        <v>-8.8000000000000005E-3</v>
      </c>
      <c r="F9" s="5">
        <v>-1.9599999999999999E-2</v>
      </c>
      <c r="G9" s="5">
        <v>-1.43E-2</v>
      </c>
      <c r="H9" s="5">
        <v>1.3500000000000002E-2</v>
      </c>
      <c r="I9" s="5">
        <v>-2.5499999999999998E-2</v>
      </c>
    </row>
    <row r="10" spans="1:11" x14ac:dyDescent="0.25">
      <c r="A10" t="str">
        <f>IF(Input!A11="","",Input!A11)</f>
        <v>Sustainable MPS Cautious</v>
      </c>
      <c r="B10" s="1">
        <v>45231</v>
      </c>
      <c r="C10" s="9">
        <v>2.5000000000000001E-3</v>
      </c>
      <c r="D10" s="9">
        <v>4.5999999999999999E-3</v>
      </c>
      <c r="E10" s="5">
        <v>-1.55E-2</v>
      </c>
      <c r="F10" s="5">
        <v>-3.0099999999999998E-2</v>
      </c>
      <c r="G10" s="5">
        <v>-1.6299999999999999E-2</v>
      </c>
      <c r="H10" s="5">
        <v>1.3899999999999999E-2</v>
      </c>
      <c r="I10" s="5">
        <v>2.7000000000000001E-3</v>
      </c>
    </row>
    <row r="11" spans="1:11" x14ac:dyDescent="0.25">
      <c r="A11" t="str">
        <f>IF(Input!A12="","",Input!A12)</f>
        <v>Sustainable MPS Balanced</v>
      </c>
      <c r="B11" s="1">
        <v>45231</v>
      </c>
      <c r="C11" s="9">
        <v>2.5000000000000001E-3</v>
      </c>
      <c r="D11" s="9">
        <v>5.1999999999999998E-3</v>
      </c>
      <c r="E11" s="5">
        <v>-2.35E-2</v>
      </c>
      <c r="F11" s="5">
        <v>-4.4000000000000004E-2</v>
      </c>
      <c r="G11" s="5">
        <v>-2.1400000000000002E-2</v>
      </c>
      <c r="H11" s="5">
        <v>1.0200000000000001E-2</v>
      </c>
      <c r="I11" s="5">
        <v>4.2300000000000004E-2</v>
      </c>
    </row>
    <row r="12" spans="1:11" x14ac:dyDescent="0.25">
      <c r="A12" t="str">
        <f>IF(Input!A13="","",Input!A13)</f>
        <v>Sustainable MPS Adventurous</v>
      </c>
      <c r="B12" s="1">
        <v>45231</v>
      </c>
      <c r="C12" s="9">
        <v>2.5000000000000001E-3</v>
      </c>
      <c r="D12" s="9">
        <v>6.4000000000000003E-3</v>
      </c>
      <c r="E12" s="5">
        <v>-4.6799999999999994E-2</v>
      </c>
      <c r="F12" s="5">
        <v>-8.6999999999999994E-2</v>
      </c>
      <c r="G12" s="5">
        <v>-5.0599999999999999E-2</v>
      </c>
      <c r="H12" s="5">
        <v>-1.21E-2</v>
      </c>
      <c r="I12" s="5">
        <v>3.5299999999999998E-2</v>
      </c>
    </row>
    <row r="13" spans="1:11" x14ac:dyDescent="0.25">
      <c r="A13" t="str">
        <f>IF(Input!A14="","",Input!A14)</f>
        <v>International MPS Strategic Income</v>
      </c>
      <c r="B13" s="1">
        <v>45231</v>
      </c>
      <c r="C13" s="9">
        <v>2.5000000000000001E-3</v>
      </c>
      <c r="D13" s="9">
        <v>6.6E-3</v>
      </c>
      <c r="E13" s="5"/>
      <c r="F13" s="5"/>
    </row>
    <row r="14" spans="1:11" x14ac:dyDescent="0.25">
      <c r="A14" t="str">
        <f>IF(Input!A15="","",Input!A15)</f>
        <v>International MPS GBP Growth</v>
      </c>
      <c r="B14" s="1">
        <v>45231</v>
      </c>
      <c r="C14" s="9">
        <v>2.5000000000000001E-3</v>
      </c>
      <c r="D14" s="9">
        <v>7.3000000000000001E-3</v>
      </c>
      <c r="E14" s="5"/>
      <c r="F14" s="5"/>
    </row>
    <row r="15" spans="1:11" x14ac:dyDescent="0.25">
      <c r="A15" t="str">
        <f>IF(Input!A16="","",Input!A16)</f>
        <v>International MPS GBP Defensive</v>
      </c>
      <c r="B15" s="1">
        <v>45231</v>
      </c>
      <c r="C15" s="9">
        <v>2.5000000000000001E-3</v>
      </c>
      <c r="D15" s="9">
        <v>5.3E-3</v>
      </c>
      <c r="E15" s="5">
        <v>-8.5000000000000006E-3</v>
      </c>
      <c r="F15" s="5">
        <v>-2.1000000000000001E-2</v>
      </c>
      <c r="H15" s="5">
        <v>2.52E-2</v>
      </c>
      <c r="I15" s="5">
        <v>-1.9799999999999998E-2</v>
      </c>
      <c r="J15" s="5">
        <v>0.11449999999999999</v>
      </c>
      <c r="K15" s="5">
        <v>9.1000000000000004E-3</v>
      </c>
    </row>
    <row r="16" spans="1:11" x14ac:dyDescent="0.25">
      <c r="A16" t="str">
        <f>IF(Input!A17="","",Input!A17)</f>
        <v>International MPS GBP Cautious</v>
      </c>
      <c r="B16" s="1">
        <v>45231</v>
      </c>
      <c r="C16" s="9">
        <v>2.5000000000000001E-3</v>
      </c>
      <c r="D16" s="9">
        <v>5.7999999999999996E-3</v>
      </c>
      <c r="E16" s="5"/>
      <c r="F16" s="5"/>
    </row>
    <row r="17" spans="1:11" x14ac:dyDescent="0.25">
      <c r="A17" t="str">
        <f>IF(Input!A18="","",Input!A18)</f>
        <v>International MPS GBP Balanced</v>
      </c>
      <c r="B17" s="1">
        <v>45231</v>
      </c>
      <c r="C17" s="9">
        <v>2.5000000000000001E-3</v>
      </c>
      <c r="D17" s="9">
        <v>6.4000000000000003E-3</v>
      </c>
      <c r="E17" s="5">
        <v>-1.8000000000000002E-2</v>
      </c>
      <c r="F17" s="5">
        <v>-3.7000000000000005E-2</v>
      </c>
      <c r="H17" s="5">
        <v>2.3399999999999997E-2</v>
      </c>
      <c r="I17" s="5">
        <v>2.5499999999999998E-2</v>
      </c>
      <c r="J17" s="5">
        <v>0.18640000000000001</v>
      </c>
      <c r="K17" s="5">
        <v>1.3899999999999999E-2</v>
      </c>
    </row>
    <row r="18" spans="1:11" x14ac:dyDescent="0.25">
      <c r="A18" t="str">
        <f>IF(Input!A19="","",Input!A19)</f>
        <v>International MPS GBP Adventurous</v>
      </c>
      <c r="B18" s="1">
        <v>45231</v>
      </c>
      <c r="C18" s="9">
        <v>2.5000000000000001E-3</v>
      </c>
      <c r="D18" s="9">
        <v>6.9999999999999993E-3</v>
      </c>
      <c r="E18" s="5">
        <v>-2.9700000000000001E-2</v>
      </c>
      <c r="F18" s="5">
        <v>-5.6600000000000004E-2</v>
      </c>
      <c r="H18" s="5">
        <v>2.06E-2</v>
      </c>
      <c r="I18" s="5">
        <v>5.8400000000000001E-2</v>
      </c>
      <c r="J18" s="5">
        <v>0.29570000000000002</v>
      </c>
      <c r="K18" s="5">
        <v>8.8000000000000005E-3</v>
      </c>
    </row>
    <row r="19" spans="1:11" x14ac:dyDescent="0.25">
      <c r="A19" t="str">
        <f>IF(Input!A20="","",Input!A20)</f>
        <v>International Sustainable MPS GBP Growth</v>
      </c>
      <c r="B19" s="1">
        <v>45231</v>
      </c>
      <c r="C19" s="9">
        <v>2.5000000000000001E-3</v>
      </c>
      <c r="D19" s="9">
        <v>6.8000000000000005E-3</v>
      </c>
      <c r="E19" s="5"/>
      <c r="F19" s="5"/>
    </row>
    <row r="20" spans="1:11" x14ac:dyDescent="0.25">
      <c r="A20" t="str">
        <f>IF(Input!A21="","",Input!A21)</f>
        <v>International Sustainable MPS GBP Defensive</v>
      </c>
      <c r="B20" s="1">
        <v>45231</v>
      </c>
      <c r="C20" s="9">
        <v>2.5000000000000001E-3</v>
      </c>
      <c r="D20" s="9">
        <v>4.5000000000000005E-3</v>
      </c>
      <c r="E20" s="5">
        <v>-9.3999999999999986E-3</v>
      </c>
      <c r="F20" s="5">
        <v>-0.02</v>
      </c>
      <c r="G20" s="5">
        <v>-1.29E-2</v>
      </c>
      <c r="H20" s="5">
        <v>2.1000000000000001E-2</v>
      </c>
    </row>
    <row r="21" spans="1:11" x14ac:dyDescent="0.25">
      <c r="A21" t="str">
        <f>IF(Input!A22="","",Input!A22)</f>
        <v>International Sustainable MPS GBP Cautious</v>
      </c>
      <c r="B21" s="1">
        <v>45231</v>
      </c>
      <c r="C21" s="9">
        <v>2.5000000000000001E-3</v>
      </c>
      <c r="D21" s="9">
        <v>5.0000000000000001E-3</v>
      </c>
      <c r="E21" s="5"/>
      <c r="F21" s="5"/>
    </row>
    <row r="22" spans="1:11" x14ac:dyDescent="0.25">
      <c r="A22" t="str">
        <f>IF(Input!A23="","",Input!A23)</f>
        <v>International Sustainable MPS GBP Balanced</v>
      </c>
      <c r="B22" s="1">
        <v>45231</v>
      </c>
      <c r="C22" s="9">
        <v>2.5000000000000001E-3</v>
      </c>
      <c r="D22" s="9">
        <v>5.6999999999999993E-3</v>
      </c>
      <c r="E22" s="5">
        <v>-2.4300000000000002E-2</v>
      </c>
      <c r="F22" s="5">
        <v>-4.5999999999999999E-2</v>
      </c>
      <c r="G22" s="5">
        <v>-2.5699999999999997E-2</v>
      </c>
      <c r="H22" s="5">
        <v>1.41E-2</v>
      </c>
    </row>
    <row r="23" spans="1:11" x14ac:dyDescent="0.25">
      <c r="A23" t="str">
        <f>IF(Input!A24="","",Input!A24)</f>
        <v>International Sustainable MPS GBP Adventurous</v>
      </c>
      <c r="B23" s="1">
        <v>45231</v>
      </c>
      <c r="C23" s="9">
        <v>2.5000000000000001E-3</v>
      </c>
      <c r="D23" s="9">
        <v>7.1999999999999998E-3</v>
      </c>
      <c r="E23" s="5">
        <v>-4.3700000000000003E-2</v>
      </c>
      <c r="F23" s="5">
        <v>-7.9699999999999993E-2</v>
      </c>
      <c r="G23" s="5">
        <v>-4.3700000000000003E-2</v>
      </c>
      <c r="H23" s="5">
        <v>1E-4</v>
      </c>
    </row>
    <row r="24" spans="1:11" x14ac:dyDescent="0.25">
      <c r="A24" t="str">
        <f>IF(Input!A25="","",Input!A25)</f>
        <v/>
      </c>
      <c r="B24" s="1"/>
      <c r="E24" s="5"/>
      <c r="F24" s="5"/>
    </row>
    <row r="25" spans="1:11" x14ac:dyDescent="0.25">
      <c r="A25" t="str">
        <f>IF(Input!A26="","",Input!A26)</f>
        <v/>
      </c>
      <c r="B25" s="10"/>
      <c r="C25" s="5"/>
    </row>
    <row r="26" spans="1:11" x14ac:dyDescent="0.25">
      <c r="A26" t="str">
        <f>IF(Input!A27="","",Input!A27)</f>
        <v/>
      </c>
      <c r="B26" s="10"/>
      <c r="C26" s="5"/>
    </row>
    <row r="27" spans="1:11" x14ac:dyDescent="0.25">
      <c r="A27" t="str">
        <f>IF(Input!A28="","",Input!A28)</f>
        <v/>
      </c>
      <c r="B27" s="10"/>
      <c r="C27" s="5"/>
    </row>
    <row r="28" spans="1:11" x14ac:dyDescent="0.25">
      <c r="A28" t="str">
        <f>IF(Input!A29="","",Input!A29)</f>
        <v/>
      </c>
      <c r="B28" s="10"/>
      <c r="C28" s="5"/>
    </row>
    <row r="29" spans="1:11" x14ac:dyDescent="0.25">
      <c r="A29" t="str">
        <f>IF(Input!A30="","",Input!A30)</f>
        <v/>
      </c>
      <c r="B29" s="10"/>
      <c r="C29" s="5"/>
    </row>
    <row r="30" spans="1:11" x14ac:dyDescent="0.25">
      <c r="A30" t="str">
        <f>IF(Input!A31="","",Input!A31)</f>
        <v/>
      </c>
      <c r="B30" s="10"/>
      <c r="C30" s="5"/>
    </row>
    <row r="31" spans="1:11" x14ac:dyDescent="0.25">
      <c r="A31" t="str">
        <f>IF(Input!A32="","",Input!A32)</f>
        <v/>
      </c>
      <c r="B31" s="10"/>
      <c r="C31" s="5"/>
    </row>
    <row r="32" spans="1:11" x14ac:dyDescent="0.25">
      <c r="A32" t="str">
        <f>IF(Input!A33="","",Input!A33)</f>
        <v/>
      </c>
      <c r="B32" s="10"/>
      <c r="C32" s="5"/>
    </row>
    <row r="33" spans="1:3" x14ac:dyDescent="0.25">
      <c r="A33" t="str">
        <f>IF(Input!A34="","",Input!A34)</f>
        <v/>
      </c>
      <c r="B33" s="10"/>
      <c r="C33" s="5"/>
    </row>
    <row r="34" spans="1:3" x14ac:dyDescent="0.25">
      <c r="A34" t="str">
        <f>IF(Input!A35="","",Input!A35)</f>
        <v/>
      </c>
      <c r="B34" s="10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L14" sqref="L14"/>
    </sheetView>
  </sheetViews>
  <sheetFormatPr defaultColWidth="41.5703125" defaultRowHeight="15" x14ac:dyDescent="0.25"/>
  <cols>
    <col min="1" max="1" width="44.5703125" bestFit="1" customWidth="1"/>
    <col min="2" max="2" width="13.42578125" bestFit="1" customWidth="1"/>
    <col min="3" max="3" width="9.5703125" bestFit="1" customWidth="1"/>
    <col min="4" max="4" width="15.42578125" bestFit="1" customWidth="1"/>
    <col min="5" max="5" width="15.140625" bestFit="1" customWidth="1"/>
    <col min="6" max="6" width="13.28515625" bestFit="1" customWidth="1"/>
    <col min="7" max="7" width="7.140625" bestFit="1" customWidth="1"/>
    <col min="8" max="8" width="8.140625" bestFit="1" customWidth="1"/>
    <col min="9" max="9" width="11.85546875" bestFit="1" customWidth="1"/>
    <col min="10" max="10" width="18.140625" bestFit="1" customWidth="1"/>
  </cols>
  <sheetData>
    <row r="1" spans="1:30" x14ac:dyDescent="0.25">
      <c r="B1" t="s">
        <v>63</v>
      </c>
      <c r="C1" t="s">
        <v>62</v>
      </c>
      <c r="D1" t="s">
        <v>64</v>
      </c>
      <c r="E1" t="s">
        <v>65</v>
      </c>
      <c r="F1" t="s">
        <v>66</v>
      </c>
      <c r="G1" t="s">
        <v>4</v>
      </c>
      <c r="H1" t="s">
        <v>67</v>
      </c>
      <c r="I1" t="s">
        <v>68</v>
      </c>
      <c r="J1" t="s">
        <v>69</v>
      </c>
    </row>
    <row r="2" spans="1:30" x14ac:dyDescent="0.25">
      <c r="A2" t="str">
        <f>IF(Input!A3="","",Input!A3)</f>
        <v>MPS Strategic Income</v>
      </c>
      <c r="B2" s="5"/>
      <c r="C2" s="5"/>
      <c r="D2" s="5"/>
      <c r="E2" s="5"/>
      <c r="F2" s="5"/>
      <c r="G2" s="5"/>
      <c r="H2" s="5"/>
      <c r="I2" s="5"/>
      <c r="J2" s="5"/>
      <c r="K2" s="5">
        <f>SUM(B2:J2)</f>
        <v>0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MPS Growth</v>
      </c>
      <c r="B3" s="5">
        <v>0.15</v>
      </c>
      <c r="C3" s="5">
        <v>0.09</v>
      </c>
      <c r="D3" s="5">
        <v>0.61</v>
      </c>
      <c r="E3" s="5">
        <v>7.0000000000000007E-2</v>
      </c>
      <c r="F3" s="5">
        <v>0.05</v>
      </c>
      <c r="G3" s="5">
        <v>0.03</v>
      </c>
      <c r="H3" s="5"/>
      <c r="I3" s="5"/>
      <c r="J3" s="5"/>
      <c r="K3" s="5">
        <f t="shared" ref="K3:K23" si="0">SUM(B3:J3)</f>
        <v>1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MPS Defensive</v>
      </c>
      <c r="B4" s="5">
        <v>0.46</v>
      </c>
      <c r="C4" s="5">
        <v>0.05</v>
      </c>
      <c r="D4" s="5">
        <v>0.14000000000000001</v>
      </c>
      <c r="E4" s="5">
        <v>0.19</v>
      </c>
      <c r="F4" s="5">
        <v>0</v>
      </c>
      <c r="G4" s="5">
        <v>0.16</v>
      </c>
      <c r="H4" s="5"/>
      <c r="I4" s="5"/>
      <c r="J4" s="5"/>
      <c r="K4" s="5">
        <f t="shared" si="0"/>
        <v>1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MPS Balanced</v>
      </c>
      <c r="B5" s="5">
        <v>0.27</v>
      </c>
      <c r="C5" s="5">
        <v>0.1</v>
      </c>
      <c r="D5" s="5">
        <v>0.43</v>
      </c>
      <c r="E5" s="5">
        <v>0.13</v>
      </c>
      <c r="F5" s="5">
        <v>0</v>
      </c>
      <c r="G5" s="5">
        <v>7.0000000000000007E-2</v>
      </c>
      <c r="H5" s="5"/>
      <c r="I5" s="5"/>
      <c r="J5" s="5"/>
      <c r="K5" s="5">
        <f t="shared" si="0"/>
        <v>1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MPS Adventurous</v>
      </c>
      <c r="B6" s="5">
        <v>0.03</v>
      </c>
      <c r="C6" s="5">
        <v>7.0000000000000007E-2</v>
      </c>
      <c r="D6" s="5">
        <v>0.8</v>
      </c>
      <c r="E6" s="5">
        <v>0.04</v>
      </c>
      <c r="F6" s="5">
        <v>0.04</v>
      </c>
      <c r="G6" s="5">
        <v>0.02</v>
      </c>
      <c r="H6" s="5"/>
      <c r="I6" s="5"/>
      <c r="J6" s="5"/>
      <c r="K6" s="5">
        <f t="shared" si="0"/>
        <v>1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MPS Cautious</v>
      </c>
      <c r="B7" s="5">
        <v>0.39</v>
      </c>
      <c r="C7" s="5">
        <v>7.0000000000000007E-2</v>
      </c>
      <c r="D7" s="5">
        <v>0.28999999999999998</v>
      </c>
      <c r="E7" s="5">
        <v>0.17</v>
      </c>
      <c r="F7" s="5">
        <v>0</v>
      </c>
      <c r="G7" s="5">
        <v>0.08</v>
      </c>
      <c r="H7" s="5"/>
      <c r="I7" s="5"/>
      <c r="J7" s="5"/>
      <c r="K7" s="5">
        <f t="shared" si="0"/>
        <v>1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Sustainable MPS Growth</v>
      </c>
      <c r="B8" s="5">
        <v>0.18</v>
      </c>
      <c r="C8" s="5">
        <v>0.02</v>
      </c>
      <c r="D8" s="5">
        <v>0.74</v>
      </c>
      <c r="E8" s="5"/>
      <c r="G8" s="5">
        <v>0.02</v>
      </c>
      <c r="H8" s="5"/>
      <c r="I8" s="5">
        <v>0.04</v>
      </c>
      <c r="J8" s="5">
        <v>0</v>
      </c>
      <c r="K8" s="5">
        <f t="shared" si="0"/>
        <v>1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Sustainable MPS Defensive</v>
      </c>
      <c r="B9" s="5">
        <v>0.57999999999999996</v>
      </c>
      <c r="C9" s="5">
        <v>0</v>
      </c>
      <c r="D9" s="5">
        <v>0.19</v>
      </c>
      <c r="E9" s="5"/>
      <c r="F9" s="5"/>
      <c r="G9" s="5">
        <v>0.15</v>
      </c>
      <c r="H9" s="5"/>
      <c r="I9" s="5">
        <v>0.08</v>
      </c>
      <c r="J9" s="5">
        <v>0</v>
      </c>
      <c r="K9" s="5">
        <f t="shared" si="0"/>
        <v>1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Sustainable MPS Cautious</v>
      </c>
      <c r="B10" s="5">
        <v>0.46</v>
      </c>
      <c r="C10" s="5">
        <v>0</v>
      </c>
      <c r="D10" s="5">
        <v>0.35</v>
      </c>
      <c r="E10" s="5"/>
      <c r="F10" s="5"/>
      <c r="G10" s="5">
        <v>0.12</v>
      </c>
      <c r="H10" s="5"/>
      <c r="I10" s="5">
        <v>7.0000000000000007E-2</v>
      </c>
      <c r="J10" s="5">
        <v>0</v>
      </c>
      <c r="K10" s="5">
        <f t="shared" si="0"/>
        <v>1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Sustainable MPS Balanced</v>
      </c>
      <c r="B11" s="5">
        <v>0.31</v>
      </c>
      <c r="C11" s="5">
        <v>0</v>
      </c>
      <c r="D11" s="5">
        <v>0.54</v>
      </c>
      <c r="E11" s="5"/>
      <c r="F11" s="5"/>
      <c r="G11" s="5">
        <v>0.08</v>
      </c>
      <c r="H11" s="5"/>
      <c r="I11" s="5">
        <v>7.0000000000000007E-2</v>
      </c>
      <c r="J11" s="5">
        <v>0</v>
      </c>
      <c r="K11" s="5">
        <f t="shared" si="0"/>
        <v>1</v>
      </c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Sustainable MPS Adventurous</v>
      </c>
      <c r="B12" s="5">
        <v>0.04</v>
      </c>
      <c r="C12" s="5">
        <v>0.03</v>
      </c>
      <c r="D12" s="5">
        <v>0.9</v>
      </c>
      <c r="E12" s="5"/>
      <c r="F12" s="5"/>
      <c r="G12" s="5">
        <v>0.03</v>
      </c>
      <c r="H12" s="5"/>
      <c r="I12" s="5">
        <v>0</v>
      </c>
      <c r="J12" s="5">
        <v>0</v>
      </c>
      <c r="K12" s="5">
        <f t="shared" si="0"/>
        <v>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International MPS Strategic Income</v>
      </c>
      <c r="B13" s="5">
        <v>0.41</v>
      </c>
      <c r="C13" s="5"/>
      <c r="D13" s="5"/>
      <c r="E13" s="5"/>
      <c r="F13" s="5"/>
      <c r="G13" s="5">
        <v>0.05</v>
      </c>
      <c r="H13" s="5">
        <v>0.54</v>
      </c>
      <c r="I13" s="5">
        <v>0</v>
      </c>
      <c r="J13" s="5"/>
      <c r="K13" s="5">
        <f t="shared" si="0"/>
        <v>1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International MPS GBP Growth</v>
      </c>
      <c r="B14" s="5"/>
      <c r="C14" s="5"/>
      <c r="D14" s="5"/>
      <c r="E14" s="5"/>
      <c r="F14" s="5"/>
      <c r="G14" s="5">
        <v>0.03</v>
      </c>
      <c r="H14" s="5">
        <v>0.74</v>
      </c>
      <c r="I14" s="5">
        <v>7.0000000000000007E-2</v>
      </c>
      <c r="J14" s="5"/>
      <c r="K14" s="5">
        <f t="shared" si="0"/>
        <v>0.84000000000000008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International MPS GBP Defensive</v>
      </c>
      <c r="B15" s="5">
        <v>0.53</v>
      </c>
      <c r="C15" s="5"/>
      <c r="D15" s="5"/>
      <c r="E15" s="5"/>
      <c r="F15" s="5"/>
      <c r="G15" s="5">
        <v>0.12</v>
      </c>
      <c r="H15" s="5">
        <v>0.23</v>
      </c>
      <c r="I15" s="5">
        <v>0.11</v>
      </c>
      <c r="J15" s="5"/>
      <c r="K15" s="5">
        <f t="shared" si="0"/>
        <v>0.99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International MPS GBP Cautious</v>
      </c>
      <c r="B16" s="5">
        <v>0.44</v>
      </c>
      <c r="C16" s="5"/>
      <c r="D16" s="5"/>
      <c r="E16" s="5"/>
      <c r="F16" s="5"/>
      <c r="G16" s="5">
        <v>7.0000000000000007E-2</v>
      </c>
      <c r="H16" s="5">
        <v>0.38</v>
      </c>
      <c r="I16" s="5">
        <v>0.1</v>
      </c>
      <c r="J16" s="5"/>
      <c r="K16" s="5">
        <f t="shared" si="0"/>
        <v>0.99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International MPS GBP Balanced</v>
      </c>
      <c r="B17" s="5">
        <v>0.28999999999999998</v>
      </c>
      <c r="C17" s="5"/>
      <c r="D17" s="5"/>
      <c r="G17" s="5">
        <v>7.0000000000000007E-2</v>
      </c>
      <c r="H17" s="5">
        <v>0.55000000000000004</v>
      </c>
      <c r="I17" s="5">
        <v>0.09</v>
      </c>
      <c r="J17" s="5"/>
      <c r="K17" s="5">
        <f t="shared" si="0"/>
        <v>1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International MPS GBP Adventurous</v>
      </c>
      <c r="B18" s="5">
        <v>0.04</v>
      </c>
      <c r="C18" s="5"/>
      <c r="D18" s="5"/>
      <c r="G18" s="5">
        <v>0.02</v>
      </c>
      <c r="H18" s="5">
        <v>0.92</v>
      </c>
      <c r="I18" s="5">
        <v>0.02</v>
      </c>
      <c r="J18" s="5"/>
      <c r="K18" s="5">
        <f t="shared" si="0"/>
        <v>1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International Sustainable MPS GBP Growth</v>
      </c>
      <c r="B19" s="5">
        <v>0.13</v>
      </c>
      <c r="D19" s="5"/>
      <c r="E19" s="5"/>
      <c r="G19" s="5">
        <v>0.06</v>
      </c>
      <c r="H19" s="5">
        <v>0.75</v>
      </c>
      <c r="I19" s="5">
        <v>0.06</v>
      </c>
      <c r="J19" s="5"/>
      <c r="K19" s="5">
        <f t="shared" si="0"/>
        <v>1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International Sustainable MPS GBP Defensive</v>
      </c>
      <c r="B20" s="5">
        <v>0.53</v>
      </c>
      <c r="E20" s="5"/>
      <c r="G20" s="5">
        <v>0.14000000000000001</v>
      </c>
      <c r="H20" s="5">
        <v>0.23</v>
      </c>
      <c r="I20" s="5">
        <v>0.1</v>
      </c>
      <c r="J20" s="5"/>
      <c r="K20" s="5">
        <f t="shared" si="0"/>
        <v>1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International Sustainable MPS GBP Cautious</v>
      </c>
      <c r="B21" s="5">
        <v>0.42</v>
      </c>
      <c r="C21" s="5"/>
      <c r="D21" s="5"/>
      <c r="E21" s="5"/>
      <c r="G21" s="5">
        <v>0.11</v>
      </c>
      <c r="H21" s="5">
        <v>0.38</v>
      </c>
      <c r="I21" s="5">
        <v>0.09</v>
      </c>
      <c r="J21" s="5"/>
      <c r="K21" s="5">
        <f t="shared" si="0"/>
        <v>1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International Sustainable MPS GBP Balanced</v>
      </c>
      <c r="B22" s="5">
        <v>0.31</v>
      </c>
      <c r="C22" s="5"/>
      <c r="D22" s="5"/>
      <c r="G22" s="5">
        <v>0.09</v>
      </c>
      <c r="H22" s="5">
        <v>0.53</v>
      </c>
      <c r="I22" s="5">
        <v>0.08</v>
      </c>
      <c r="J22" s="5"/>
      <c r="K22" s="5">
        <f t="shared" si="0"/>
        <v>1.01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International Sustainable MPS GBP Adventurous</v>
      </c>
      <c r="B23" s="5">
        <v>0.05</v>
      </c>
      <c r="C23" s="5"/>
      <c r="D23" s="5"/>
      <c r="G23" s="5">
        <v>0.04</v>
      </c>
      <c r="H23" s="5">
        <v>0.09</v>
      </c>
      <c r="I23" s="5">
        <v>0.02</v>
      </c>
      <c r="J23" s="5"/>
      <c r="K23" s="5">
        <f t="shared" si="0"/>
        <v>0.19999999999999998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8" sqref="C8"/>
    </sheetView>
  </sheetViews>
  <sheetFormatPr defaultRowHeight="15" x14ac:dyDescent="0.25"/>
  <cols>
    <col min="1" max="1" width="31.140625" bestFit="1" customWidth="1"/>
    <col min="4" max="4" width="8.7109375" style="7"/>
  </cols>
  <sheetData>
    <row r="1" spans="1:5" x14ac:dyDescent="0.25">
      <c r="A1" t="s">
        <v>0</v>
      </c>
      <c r="B1" t="s">
        <v>23</v>
      </c>
      <c r="C1" t="s">
        <v>24</v>
      </c>
      <c r="D1" s="7" t="s">
        <v>25</v>
      </c>
      <c r="E1" s="3" t="s">
        <v>27</v>
      </c>
    </row>
    <row r="2" spans="1:5" x14ac:dyDescent="0.25">
      <c r="A2" t="str">
        <f>IF(Input!A3="","",Input!A3)</f>
        <v>MPS Strategic Income</v>
      </c>
      <c r="B2" t="s">
        <v>34</v>
      </c>
      <c r="C2" t="s">
        <v>28</v>
      </c>
      <c r="E2" t="s">
        <v>54</v>
      </c>
    </row>
    <row r="3" spans="1:5" x14ac:dyDescent="0.25">
      <c r="A3" t="str">
        <f>IF(Input!A4="","",Input!A4)</f>
        <v>MPS Growth</v>
      </c>
      <c r="B3" t="s">
        <v>34</v>
      </c>
      <c r="C3" t="s">
        <v>77</v>
      </c>
      <c r="D3" s="7" t="s">
        <v>87</v>
      </c>
      <c r="E3" t="s">
        <v>54</v>
      </c>
    </row>
    <row r="4" spans="1:5" x14ac:dyDescent="0.25">
      <c r="A4" t="str">
        <f>IF(Input!A5="","",Input!A5)</f>
        <v>MPS Defensive</v>
      </c>
      <c r="B4" t="s">
        <v>34</v>
      </c>
      <c r="C4" t="s">
        <v>78</v>
      </c>
      <c r="D4" s="7" t="s">
        <v>88</v>
      </c>
      <c r="E4" t="s">
        <v>54</v>
      </c>
    </row>
    <row r="5" spans="1:5" x14ac:dyDescent="0.25">
      <c r="A5" t="str">
        <f>IF(Input!A6="","",Input!A6)</f>
        <v>MPS Balanced</v>
      </c>
      <c r="B5" t="s">
        <v>34</v>
      </c>
      <c r="C5" t="s">
        <v>79</v>
      </c>
      <c r="D5" s="7" t="s">
        <v>90</v>
      </c>
      <c r="E5" t="s">
        <v>54</v>
      </c>
    </row>
    <row r="6" spans="1:5" x14ac:dyDescent="0.25">
      <c r="A6" t="str">
        <f>IF(Input!A7="","",Input!A7)</f>
        <v>MPS Adventurous</v>
      </c>
      <c r="B6" t="s">
        <v>34</v>
      </c>
      <c r="C6" t="s">
        <v>80</v>
      </c>
      <c r="D6" s="7" t="s">
        <v>91</v>
      </c>
      <c r="E6" t="s">
        <v>54</v>
      </c>
    </row>
    <row r="7" spans="1:5" x14ac:dyDescent="0.25">
      <c r="A7" t="str">
        <f>IF(Input!A8="","",Input!A8)</f>
        <v>MPS Cautious</v>
      </c>
      <c r="B7" t="s">
        <v>34</v>
      </c>
      <c r="C7" t="s">
        <v>81</v>
      </c>
      <c r="D7" s="7" t="s">
        <v>89</v>
      </c>
      <c r="E7" t="s">
        <v>54</v>
      </c>
    </row>
    <row r="8" spans="1:5" x14ac:dyDescent="0.25">
      <c r="A8" t="str">
        <f>IF(Input!A9="","",Input!A9)</f>
        <v>Sustainable MPS Growth</v>
      </c>
      <c r="B8" t="s">
        <v>40</v>
      </c>
      <c r="C8" t="s">
        <v>35</v>
      </c>
      <c r="D8" s="7" t="s">
        <v>92</v>
      </c>
      <c r="E8" t="s">
        <v>55</v>
      </c>
    </row>
    <row r="9" spans="1:5" x14ac:dyDescent="0.25">
      <c r="A9" t="str">
        <f>IF(Input!A10="","",Input!A10)</f>
        <v>Sustainable MPS Defensive</v>
      </c>
      <c r="B9" t="s">
        <v>40</v>
      </c>
      <c r="C9" t="s">
        <v>36</v>
      </c>
      <c r="D9" s="7" t="s">
        <v>93</v>
      </c>
      <c r="E9" t="s">
        <v>55</v>
      </c>
    </row>
    <row r="10" spans="1:5" x14ac:dyDescent="0.25">
      <c r="A10" t="str">
        <f>IF(Input!A11="","",Input!A11)</f>
        <v>Sustainable MPS Cautious</v>
      </c>
      <c r="B10" t="s">
        <v>40</v>
      </c>
      <c r="C10" t="s">
        <v>37</v>
      </c>
      <c r="D10" s="7" t="s">
        <v>94</v>
      </c>
      <c r="E10" t="s">
        <v>55</v>
      </c>
    </row>
    <row r="11" spans="1:5" x14ac:dyDescent="0.25">
      <c r="A11" t="str">
        <f>IF(Input!A12="","",Input!A12)</f>
        <v>Sustainable MPS Balanced</v>
      </c>
      <c r="B11" t="s">
        <v>40</v>
      </c>
      <c r="C11" t="s">
        <v>38</v>
      </c>
      <c r="D11" s="7" t="s">
        <v>95</v>
      </c>
      <c r="E11" t="s">
        <v>55</v>
      </c>
    </row>
    <row r="12" spans="1:5" x14ac:dyDescent="0.25">
      <c r="A12" t="str">
        <f>IF(Input!A13="","",Input!A13)</f>
        <v>Sustainable MPS Adventurous</v>
      </c>
      <c r="B12" t="s">
        <v>40</v>
      </c>
      <c r="C12" t="s">
        <v>39</v>
      </c>
      <c r="D12" s="7" t="s">
        <v>96</v>
      </c>
      <c r="E12" t="s">
        <v>55</v>
      </c>
    </row>
    <row r="13" spans="1:5" x14ac:dyDescent="0.25">
      <c r="A13" t="str">
        <f>IF(Input!A14="","",Input!A14)</f>
        <v>International MPS Strategic Income</v>
      </c>
      <c r="B13" t="s">
        <v>47</v>
      </c>
      <c r="C13" t="s">
        <v>43</v>
      </c>
      <c r="D13" s="7" t="s">
        <v>97</v>
      </c>
      <c r="E13" t="s">
        <v>56</v>
      </c>
    </row>
    <row r="14" spans="1:5" x14ac:dyDescent="0.25">
      <c r="A14" t="str">
        <f>IF(Input!A15="","",Input!A15)</f>
        <v>International MPS GBP Growth</v>
      </c>
      <c r="B14" t="s">
        <v>47</v>
      </c>
      <c r="C14" t="s">
        <v>44</v>
      </c>
      <c r="D14" s="7" t="s">
        <v>98</v>
      </c>
      <c r="E14" t="s">
        <v>56</v>
      </c>
    </row>
    <row r="15" spans="1:5" x14ac:dyDescent="0.25">
      <c r="A15" t="str">
        <f>IF(Input!A16="","",Input!A16)</f>
        <v>International MPS GBP Defensive</v>
      </c>
      <c r="B15" t="s">
        <v>47</v>
      </c>
      <c r="C15" t="s">
        <v>41</v>
      </c>
      <c r="D15" s="7" t="s">
        <v>99</v>
      </c>
      <c r="E15" t="s">
        <v>56</v>
      </c>
    </row>
    <row r="16" spans="1:5" x14ac:dyDescent="0.25">
      <c r="A16" t="str">
        <f>IF(Input!A17="","",Input!A17)</f>
        <v>International MPS GBP Cautious</v>
      </c>
      <c r="B16" t="s">
        <v>47</v>
      </c>
      <c r="C16" t="s">
        <v>42</v>
      </c>
      <c r="D16" s="7" t="s">
        <v>100</v>
      </c>
      <c r="E16" t="s">
        <v>56</v>
      </c>
    </row>
    <row r="17" spans="1:5" x14ac:dyDescent="0.25">
      <c r="A17" t="str">
        <f>IF(Input!A18="","",Input!A18)</f>
        <v>International MPS GBP Balanced</v>
      </c>
      <c r="B17" t="s">
        <v>47</v>
      </c>
      <c r="C17" t="s">
        <v>45</v>
      </c>
      <c r="D17" s="7" t="s">
        <v>101</v>
      </c>
      <c r="E17" t="s">
        <v>56</v>
      </c>
    </row>
    <row r="18" spans="1:5" x14ac:dyDescent="0.25">
      <c r="A18" t="str">
        <f>IF(Input!A19="","",Input!A19)</f>
        <v>International MPS GBP Adventurous</v>
      </c>
      <c r="B18" t="s">
        <v>47</v>
      </c>
      <c r="C18" t="s">
        <v>46</v>
      </c>
      <c r="D18" s="7" t="s">
        <v>102</v>
      </c>
      <c r="E18" t="s">
        <v>56</v>
      </c>
    </row>
    <row r="19" spans="1:5" x14ac:dyDescent="0.25">
      <c r="A19" t="str">
        <f>IF(Input!A20="","",Input!A20)</f>
        <v>International Sustainable MPS GBP Growth</v>
      </c>
      <c r="B19" t="s">
        <v>53</v>
      </c>
      <c r="C19" t="s">
        <v>48</v>
      </c>
      <c r="D19" s="7" t="s">
        <v>103</v>
      </c>
      <c r="E19" t="s">
        <v>57</v>
      </c>
    </row>
    <row r="20" spans="1:5" x14ac:dyDescent="0.25">
      <c r="A20" t="str">
        <f>IF(Input!A21="","",Input!A21)</f>
        <v>International Sustainable MPS GBP Defensive</v>
      </c>
      <c r="B20" t="s">
        <v>53</v>
      </c>
      <c r="C20" t="s">
        <v>49</v>
      </c>
      <c r="D20" s="7" t="s">
        <v>104</v>
      </c>
      <c r="E20" t="s">
        <v>57</v>
      </c>
    </row>
    <row r="21" spans="1:5" x14ac:dyDescent="0.25">
      <c r="A21" t="str">
        <f>IF(Input!A22="","",Input!A22)</f>
        <v>International Sustainable MPS GBP Cautious</v>
      </c>
      <c r="B21" t="s">
        <v>53</v>
      </c>
      <c r="C21" t="s">
        <v>50</v>
      </c>
      <c r="D21" s="7" t="s">
        <v>105</v>
      </c>
      <c r="E21" t="s">
        <v>57</v>
      </c>
    </row>
    <row r="22" spans="1:5" x14ac:dyDescent="0.25">
      <c r="A22" t="str">
        <f>IF(Input!A23="","",Input!A23)</f>
        <v>International Sustainable MPS GBP Balanced</v>
      </c>
      <c r="B22" t="s">
        <v>53</v>
      </c>
      <c r="C22" t="s">
        <v>51</v>
      </c>
      <c r="D22" s="7" t="s">
        <v>106</v>
      </c>
      <c r="E22" t="s">
        <v>57</v>
      </c>
    </row>
    <row r="23" spans="1:5" x14ac:dyDescent="0.25">
      <c r="A23" t="str">
        <f>IF(Input!A24="","",Input!A24)</f>
        <v>International Sustainable MPS GBP Adventurous</v>
      </c>
      <c r="B23" t="s">
        <v>53</v>
      </c>
      <c r="C23" t="s">
        <v>52</v>
      </c>
      <c r="D23" s="7" t="s">
        <v>107</v>
      </c>
      <c r="E23" t="s">
        <v>57</v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MPS Strategic Income</v>
      </c>
      <c r="B2" s="1" t="e">
        <f>IF(A2="","",EOMONTH(DATE(YEAR(IF(A2="","",'Additional Information'!B2)),MONTH(IF(A2="","",'Additional Information'!B2)),DAY(IF(A2="","",'Additional Information'!B2))),-1))</f>
        <v>#NUM!</v>
      </c>
    </row>
    <row r="3" spans="1:2" x14ac:dyDescent="0.25">
      <c r="A3" t="str">
        <f>IF(Input!A4="","",Input!A4)</f>
        <v>MPS Growth</v>
      </c>
      <c r="B3" s="1">
        <f>IF(A3="","",EOMONTH(DATE(YEAR(IF(A3="","",'Additional Information'!B3)),MONTH(IF(A3="","",'Additional Information'!B3)),DAY(IF(A3="","",'Additional Information'!B3))),-1))</f>
        <v>45230</v>
      </c>
    </row>
    <row r="4" spans="1:2" x14ac:dyDescent="0.25">
      <c r="A4" t="str">
        <f>IF(Input!A5="","",Input!A5)</f>
        <v>MPS Defensive</v>
      </c>
      <c r="B4" s="1">
        <f>IF(A4="","",EOMONTH(DATE(YEAR(IF(A4="","",'Additional Information'!B4)),MONTH(IF(A4="","",'Additional Information'!B4)),DAY(IF(A4="","",'Additional Information'!B4))),-1))</f>
        <v>45230</v>
      </c>
    </row>
    <row r="5" spans="1:2" x14ac:dyDescent="0.25">
      <c r="A5" t="str">
        <f>IF(Input!A6="","",Input!A6)</f>
        <v>MPS Balanced</v>
      </c>
      <c r="B5" s="1">
        <f>IF(A5="","",EOMONTH(DATE(YEAR(IF(A5="","",'Additional Information'!B5)),MONTH(IF(A5="","",'Additional Information'!B5)),DAY(IF(A5="","",'Additional Information'!B5))),-1))</f>
        <v>45230</v>
      </c>
    </row>
    <row r="6" spans="1:2" x14ac:dyDescent="0.25">
      <c r="A6" t="str">
        <f>IF(Input!A7="","",Input!A7)</f>
        <v>MPS Adventurous</v>
      </c>
      <c r="B6" s="1">
        <f>IF(A6="","",EOMONTH(DATE(YEAR(IF(A6="","",'Additional Information'!B6)),MONTH(IF(A6="","",'Additional Information'!B6)),DAY(IF(A6="","",'Additional Information'!B6))),-1))</f>
        <v>45230</v>
      </c>
    </row>
    <row r="7" spans="1:2" x14ac:dyDescent="0.25">
      <c r="A7" t="str">
        <f>IF(Input!A8="","",Input!A8)</f>
        <v>MPS Cautious</v>
      </c>
      <c r="B7" s="1">
        <f>IF(A7="","",EOMONTH(DATE(YEAR(IF(A7="","",'Additional Information'!B7)),MONTH(IF(A7="","",'Additional Information'!B7)),DAY(IF(A7="","",'Additional Information'!B7))),-1))</f>
        <v>45230</v>
      </c>
    </row>
    <row r="8" spans="1:2" x14ac:dyDescent="0.25">
      <c r="A8" t="str">
        <f>IF(Input!A9="","",Input!A9)</f>
        <v>Sustainable MPS Growth</v>
      </c>
      <c r="B8" s="1">
        <f>IF(A8="","",EOMONTH(DATE(YEAR(IF(A8="","",'Additional Information'!B8)),MONTH(IF(A8="","",'Additional Information'!B8)),DAY(IF(A8="","",'Additional Information'!B8))),-1))</f>
        <v>45230</v>
      </c>
    </row>
    <row r="9" spans="1:2" x14ac:dyDescent="0.25">
      <c r="A9" t="str">
        <f>IF(Input!A10="","",Input!A10)</f>
        <v>Sustainable MPS Defensive</v>
      </c>
      <c r="B9" s="1">
        <f>IF(A9="","",EOMONTH(DATE(YEAR(IF(A9="","",'Additional Information'!B9)),MONTH(IF(A9="","",'Additional Information'!B9)),DAY(IF(A9="","",'Additional Information'!B9))),-1))</f>
        <v>45230</v>
      </c>
    </row>
    <row r="10" spans="1:2" x14ac:dyDescent="0.25">
      <c r="A10" t="str">
        <f>IF(Input!A11="","",Input!A11)</f>
        <v>Sustainable MPS Cautious</v>
      </c>
      <c r="B10" s="1">
        <f>IF(A10="","",EOMONTH(DATE(YEAR(IF(A10="","",'Additional Information'!B10)),MONTH(IF(A10="","",'Additional Information'!B10)),DAY(IF(A10="","",'Additional Information'!B10))),-1))</f>
        <v>45230</v>
      </c>
    </row>
    <row r="11" spans="1:2" x14ac:dyDescent="0.25">
      <c r="A11" t="str">
        <f>IF(Input!A12="","",Input!A12)</f>
        <v>Sustainable MPS Balanced</v>
      </c>
      <c r="B11" s="1">
        <f>IF(A11="","",EOMONTH(DATE(YEAR(IF(A11="","",'Additional Information'!B11)),MONTH(IF(A11="","",'Additional Information'!B11)),DAY(IF(A11="","",'Additional Information'!B11))),-1))</f>
        <v>45230</v>
      </c>
    </row>
    <row r="12" spans="1:2" x14ac:dyDescent="0.25">
      <c r="A12" t="str">
        <f>IF(Input!A13="","",Input!A13)</f>
        <v>Sustainable MPS Adventurous</v>
      </c>
      <c r="B12" s="1">
        <f>IF(A12="","",EOMONTH(DATE(YEAR(IF(A12="","",'Additional Information'!B12)),MONTH(IF(A12="","",'Additional Information'!B12)),DAY(IF(A12="","",'Additional Information'!B12))),-1))</f>
        <v>45230</v>
      </c>
    </row>
    <row r="13" spans="1:2" x14ac:dyDescent="0.25">
      <c r="A13" t="str">
        <f>IF(Input!A14="","",Input!A14)</f>
        <v>International MPS Strategic Income</v>
      </c>
      <c r="B13" s="1">
        <f>IF(A13="","",EOMONTH(DATE(YEAR(IF(A13="","",'Additional Information'!B13)),MONTH(IF(A13="","",'Additional Information'!B13)),DAY(IF(A13="","",'Additional Information'!B13))),-1))</f>
        <v>45230</v>
      </c>
    </row>
    <row r="14" spans="1:2" x14ac:dyDescent="0.25">
      <c r="A14" t="str">
        <f>IF(Input!A15="","",Input!A15)</f>
        <v>International MPS GBP Growth</v>
      </c>
      <c r="B14" s="1">
        <f>IF(A14="","",EOMONTH(DATE(YEAR(IF(A14="","",'Additional Information'!B14)),MONTH(IF(A14="","",'Additional Information'!B14)),DAY(IF(A14="","",'Additional Information'!B14))),-1))</f>
        <v>45230</v>
      </c>
    </row>
    <row r="15" spans="1:2" x14ac:dyDescent="0.25">
      <c r="A15" t="str">
        <f>IF(Input!A16="","",Input!A16)</f>
        <v>International MPS GBP Defensive</v>
      </c>
      <c r="B15" s="1">
        <f>IF(A15="","",EOMONTH(DATE(YEAR(IF(A15="","",'Additional Information'!B15)),MONTH(IF(A15="","",'Additional Information'!B15)),DAY(IF(A15="","",'Additional Information'!B15))),-1))</f>
        <v>45230</v>
      </c>
    </row>
    <row r="16" spans="1:2" x14ac:dyDescent="0.25">
      <c r="A16" t="str">
        <f>IF(Input!A17="","",Input!A17)</f>
        <v>International MPS GBP Cautious</v>
      </c>
      <c r="B16" s="1">
        <f>IF(A16="","",EOMONTH(DATE(YEAR(IF(A16="","",'Additional Information'!B16)),MONTH(IF(A16="","",'Additional Information'!B16)),DAY(IF(A16="","",'Additional Information'!B16))),-1))</f>
        <v>45230</v>
      </c>
    </row>
    <row r="17" spans="1:2" x14ac:dyDescent="0.25">
      <c r="A17" t="str">
        <f>IF(Input!A18="","",Input!A18)</f>
        <v>International MPS GBP Balanced</v>
      </c>
      <c r="B17" s="1">
        <f>IF(A17="","",EOMONTH(DATE(YEAR(IF(A17="","",'Additional Information'!B17)),MONTH(IF(A17="","",'Additional Information'!B17)),DAY(IF(A17="","",'Additional Information'!B17))),-1))</f>
        <v>45230</v>
      </c>
    </row>
    <row r="18" spans="1:2" x14ac:dyDescent="0.25">
      <c r="A18" t="str">
        <f>IF(Input!A19="","",Input!A19)</f>
        <v>International MPS GBP Adventurous</v>
      </c>
      <c r="B18" s="1">
        <f>IF(A18="","",EOMONTH(DATE(YEAR(IF(A18="","",'Additional Information'!B18)),MONTH(IF(A18="","",'Additional Information'!B18)),DAY(IF(A18="","",'Additional Information'!B18))),-1))</f>
        <v>45230</v>
      </c>
    </row>
    <row r="19" spans="1:2" x14ac:dyDescent="0.25">
      <c r="A19" t="str">
        <f>IF(Input!A20="","",Input!A20)</f>
        <v>International Sustainable MPS GBP Growth</v>
      </c>
      <c r="B19" s="1">
        <f>IF(A19="","",EOMONTH(DATE(YEAR(IF(A19="","",'Additional Information'!B19)),MONTH(IF(A19="","",'Additional Information'!B19)),DAY(IF(A19="","",'Additional Information'!B19))),-1))</f>
        <v>45230</v>
      </c>
    </row>
    <row r="20" spans="1:2" x14ac:dyDescent="0.25">
      <c r="A20" t="str">
        <f>IF(Input!A21="","",Input!A21)</f>
        <v>International Sustainable MPS GBP Defensive</v>
      </c>
      <c r="B20" s="1">
        <f>IF(A20="","",EOMONTH(DATE(YEAR(IF(A20="","",'Additional Information'!B20)),MONTH(IF(A20="","",'Additional Information'!B20)),DAY(IF(A20="","",'Additional Information'!B20))),-1))</f>
        <v>45230</v>
      </c>
    </row>
    <row r="21" spans="1:2" x14ac:dyDescent="0.25">
      <c r="A21" t="str">
        <f>IF(Input!A22="","",Input!A22)</f>
        <v>International Sustainable MPS GBP Cautious</v>
      </c>
      <c r="B21" s="1">
        <f>IF(A21="","",EOMONTH(DATE(YEAR(IF(A21="","",'Additional Information'!B21)),MONTH(IF(A21="","",'Additional Information'!B21)),DAY(IF(A21="","",'Additional Information'!B21))),-1))</f>
        <v>45230</v>
      </c>
    </row>
    <row r="22" spans="1:2" x14ac:dyDescent="0.25">
      <c r="A22" t="str">
        <f>IF(Input!A23="","",Input!A23)</f>
        <v>International Sustainable MPS GBP Balanced</v>
      </c>
      <c r="B22" s="1">
        <f>IF(A22="","",EOMONTH(DATE(YEAR(IF(A22="","",'Additional Information'!B22)),MONTH(IF(A22="","",'Additional Information'!B22)),DAY(IF(A22="","",'Additional Information'!B22))),-1))</f>
        <v>45230</v>
      </c>
    </row>
    <row r="23" spans="1:2" x14ac:dyDescent="0.25">
      <c r="A23" t="str">
        <f>IF(Input!A24="","",Input!A24)</f>
        <v>International Sustainable MPS GBP Adventurous</v>
      </c>
      <c r="B23" s="1">
        <f>IF(A23="","",EOMONTH(DATE(YEAR(IF(A23="","",'Additional Information'!B23)),MONTH(IF(A23="","",'Additional Information'!B23)),DAY(IF(A23="","",'Additional Information'!B23))),-1))</f>
        <v>45230</v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Information'!B24))),-1))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Information'!B25))),-1))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Information'!B26))),-1))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Information'!B27))),-1))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Information'!B28))),-1))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Information'!B29))),-1))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Information'!B30))),-1))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Information'!B31))),-1))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Information'!B32))),-1))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Information'!B33))),-1))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Information'!B34))),-1))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Information'!B35))),-1))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Information'!B36))),-1))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Information'!B37))),-1))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Information'!B38))),-1))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Information'!B39))),-1))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Information'!B40))),-1))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Information'!B41))),-1))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Information'!B42))),-1))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Information'!B43))),-1))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Information'!B44))),-1))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Information'!B45))),-1))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Information'!B46))),-1))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Information'!B47))),-1))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Information'!B48))),-1))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Information'!B49))),-1))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Information'!B50))),-1))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73</v>
      </c>
      <c r="D1" t="s">
        <v>18</v>
      </c>
      <c r="E1" t="s">
        <v>70</v>
      </c>
      <c r="F1" t="s">
        <v>74</v>
      </c>
      <c r="G1" t="s">
        <v>75</v>
      </c>
    </row>
    <row r="2" spans="1:7" x14ac:dyDescent="0.25">
      <c r="A2" t="str">
        <f>IF(Input!A3="","",Input!A3)</f>
        <v>MPS Strategic Income</v>
      </c>
      <c r="B2" t="str">
        <f>IF(A2="","",IF(OR('Additional Information'!E2="",'Additional Information'!E2="-"),"",'Additional Information'!E2))</f>
        <v/>
      </c>
      <c r="C2" t="str">
        <f>IF(A2="","",IF(OR('Additional Information'!H2="",'Additional Information'!H2="-"),"",'Additional Information'!H2))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Information'!I2="",'Additional Information'!I2="-"),"",'Additional Information'!I2))</f>
        <v/>
      </c>
      <c r="G2" t="str">
        <f>IF(A2="","",IF(OR('Additional Information'!J2="",'Additional Information'!J2="-"),"",'Additional Information'!J2))</f>
        <v/>
      </c>
    </row>
    <row r="3" spans="1:7" x14ac:dyDescent="0.25">
      <c r="A3" t="str">
        <f>IF(Input!A4="","",Input!A4)</f>
        <v>MPS Growth</v>
      </c>
      <c r="B3">
        <f>IF(A3="","",IF(OR('Additional Information'!E3="",'Additional Information'!E3="-"),"",'Additional Information'!E3))</f>
        <v>-2.4900000000000002E-2</v>
      </c>
      <c r="C3">
        <f>IF(A3="","",IF(OR('Additional Information'!H3="",'Additional Information'!H3="-"),"",'Additional Information'!H3))</f>
        <v>2.5600000000000001E-2</v>
      </c>
      <c r="D3" s="5">
        <f>IF(A3="","",SUM('Additional Information'!C3,'Additional Information'!D3))</f>
        <v>8.199999999999999E-3</v>
      </c>
      <c r="E3">
        <f>IF(A3="","",SUM('Additional Information'!C3))</f>
        <v>2.5000000000000001E-3</v>
      </c>
      <c r="F3">
        <f>IF(A3="","",IF(OR('Additional Information'!I3="",'Additional Information'!I3="-"),"",'Additional Information'!I3))</f>
        <v>6.0400000000000002E-2</v>
      </c>
      <c r="G3">
        <f>IF(A3="","",IF(OR('Additional Information'!J3="",'Additional Information'!J3="-"),"",'Additional Information'!J3))</f>
        <v>0.19640000000000002</v>
      </c>
    </row>
    <row r="4" spans="1:7" x14ac:dyDescent="0.25">
      <c r="A4" t="str">
        <f>IF(Input!A5="","",Input!A5)</f>
        <v>MPS Defensive</v>
      </c>
      <c r="B4">
        <f>IF(A4="","",IF(OR('Additional Information'!E4="",'Additional Information'!E4="-"),"",'Additional Information'!E4))</f>
        <v>-8.1000000000000013E-3</v>
      </c>
      <c r="C4">
        <f>IF(A4="","",IF(OR('Additional Information'!H4="",'Additional Information'!H4="-"),"",'Additional Information'!H4))</f>
        <v>2.06E-2</v>
      </c>
      <c r="D4" s="5">
        <f>IF(A4="","",SUM('Additional Information'!C4,'Additional Information'!D4))</f>
        <v>6.5000000000000006E-3</v>
      </c>
      <c r="E4">
        <f>IF(A4="","",SUM('Additional Information'!C4))</f>
        <v>2.5000000000000001E-3</v>
      </c>
      <c r="F4">
        <f>IF(A4="","",IF(OR('Additional Information'!I4="",'Additional Information'!I4="-"),"",'Additional Information'!I4))</f>
        <v>1.5100000000000001E-2</v>
      </c>
      <c r="G4">
        <f>IF(A4="","",IF(OR('Additional Information'!J4="",'Additional Information'!J4="-"),"",'Additional Information'!J4))</f>
        <v>9.2300000000000007E-2</v>
      </c>
    </row>
    <row r="5" spans="1:7" x14ac:dyDescent="0.25">
      <c r="A5" t="str">
        <f>IF(Input!A6="","",Input!A6)</f>
        <v>MPS Balanced</v>
      </c>
      <c r="B5">
        <f>IF(A5="","",IF(OR('Additional Information'!E5="",'Additional Information'!E5="-"),"",'Additional Information'!E5))</f>
        <v>-1.9799999999999998E-2</v>
      </c>
      <c r="C5">
        <f>IF(A5="","",IF(OR('Additional Information'!H5="",'Additional Information'!H5="-"),"",'Additional Information'!H5))</f>
        <v>2.0400000000000001E-2</v>
      </c>
      <c r="D5" s="5">
        <f>IF(A5="","",SUM('Additional Information'!C5,'Additional Information'!D5))</f>
        <v>7.2999999999999992E-3</v>
      </c>
      <c r="E5">
        <f>IF(A5="","",SUM('Additional Information'!C5))</f>
        <v>2.5000000000000001E-3</v>
      </c>
      <c r="F5">
        <f>IF(A5="","",IF(OR('Additional Information'!I5="",'Additional Information'!I5="-"),"",'Additional Information'!I5))</f>
        <v>4.6900000000000004E-2</v>
      </c>
      <c r="G5">
        <f>IF(A5="","",IF(OR('Additional Information'!J5="",'Additional Information'!J5="-"),"",'Additional Information'!J5))</f>
        <v>0.1789</v>
      </c>
    </row>
    <row r="6" spans="1:7" x14ac:dyDescent="0.25">
      <c r="A6" t="str">
        <f>IF(Input!A7="","",Input!A7)</f>
        <v>MPS Adventurous</v>
      </c>
      <c r="B6">
        <f>IF(A6="","",IF(OR('Additional Information'!E6="",'Additional Information'!E6="-"),"",'Additional Information'!E6))</f>
        <v>-2.8799999999999999E-2</v>
      </c>
      <c r="C6">
        <f>IF(A6="","",IF(OR('Additional Information'!H6="",'Additional Information'!H6="-"),"",'Additional Information'!H6))</f>
        <v>2.7799999999999998E-2</v>
      </c>
      <c r="D6" s="5">
        <f>IF(A6="","",SUM('Additional Information'!C6,'Additional Information'!D6))</f>
        <v>7.7999999999999996E-3</v>
      </c>
      <c r="E6">
        <f>IF(A6="","",SUM('Additional Information'!C6))</f>
        <v>2.5000000000000001E-3</v>
      </c>
      <c r="F6">
        <f>IF(A6="","",IF(OR('Additional Information'!I6="",'Additional Information'!I6="-"),"",'Additional Information'!I6))</f>
        <v>7.6999999999999999E-2</v>
      </c>
      <c r="G6">
        <f>IF(A6="","",IF(OR('Additional Information'!J6="",'Additional Information'!J6="-"),"",'Additional Information'!J6))</f>
        <v>0.24609999999999999</v>
      </c>
    </row>
    <row r="7" spans="1:7" x14ac:dyDescent="0.25">
      <c r="A7" t="str">
        <f>IF(Input!A8="","",Input!A8)</f>
        <v>MPS Cautious</v>
      </c>
      <c r="B7">
        <f>IF(A7="","",IF(OR('Additional Information'!E7="",'Additional Information'!E7="-"),"",'Additional Information'!E7))</f>
        <v>-1.3899999999999999E-2</v>
      </c>
      <c r="C7">
        <f>IF(A7="","",IF(OR('Additional Information'!H7="",'Additional Information'!H7="-"),"",'Additional Information'!H7))</f>
        <v>1.5600000000000001E-2</v>
      </c>
      <c r="D7" s="5">
        <f>IF(A7="","",SUM('Additional Information'!C7,'Additional Information'!D7))</f>
        <v>6.8999999999999999E-3</v>
      </c>
      <c r="E7">
        <f>IF(A7="","",SUM('Additional Information'!C7))</f>
        <v>2.5000000000000001E-3</v>
      </c>
      <c r="F7">
        <f>IF(A7="","",IF(OR('Additional Information'!I7="",'Additional Information'!I7="-"),"",'Additional Information'!I7))</f>
        <v>4.0899999999999999E-2</v>
      </c>
      <c r="G7">
        <f>IF(A7="","",IF(OR('Additional Information'!J7="",'Additional Information'!J7="-"),"",'Additional Information'!J7))</f>
        <v>0.12570000000000001</v>
      </c>
    </row>
    <row r="8" spans="1:7" x14ac:dyDescent="0.25">
      <c r="A8" t="str">
        <f>IF(Input!A9="","",Input!A9)</f>
        <v>Sustainable MPS Growth</v>
      </c>
      <c r="B8">
        <f>IF(A8="","",IF(OR('Additional Information'!E8="",'Additional Information'!E8="-"),"",'Additional Information'!E8))</f>
        <v>-3.5499999999999997E-2</v>
      </c>
      <c r="C8">
        <f>IF(A8="","",IF(OR('Additional Information'!H8="",'Additional Information'!H8="-"),"",'Additional Information'!H8))</f>
        <v>-2.3999999999999998E-3</v>
      </c>
      <c r="D8" s="5">
        <f>IF(A8="","",SUM('Additional Information'!C8,'Additional Information'!D8))</f>
        <v>8.6E-3</v>
      </c>
      <c r="E8">
        <f>IF(A8="","",SUM('Additional Information'!C8))</f>
        <v>2.5000000000000001E-3</v>
      </c>
      <c r="F8">
        <f>IF(A8="","",IF(OR('Additional Information'!I8="",'Additional Information'!I8="-"),"",'Additional Information'!I8))</f>
        <v>3.8399999999999997E-2</v>
      </c>
      <c r="G8" t="str">
        <f>IF(A8="","",IF(OR('Additional Information'!J8="",'Additional Information'!J8="-"),"",'Additional Information'!J8))</f>
        <v/>
      </c>
    </row>
    <row r="9" spans="1:7" x14ac:dyDescent="0.25">
      <c r="A9" t="str">
        <f>IF(Input!A10="","",Input!A10)</f>
        <v>Sustainable MPS Defensive</v>
      </c>
      <c r="B9">
        <f>IF(A9="","",IF(OR('Additional Information'!E9="",'Additional Information'!E9="-"),"",'Additional Information'!E9))</f>
        <v>-8.8000000000000005E-3</v>
      </c>
      <c r="C9">
        <f>IF(A9="","",IF(OR('Additional Information'!H9="",'Additional Information'!H9="-"),"",'Additional Information'!H9))</f>
        <v>1.3500000000000002E-2</v>
      </c>
      <c r="D9" s="5">
        <f>IF(A9="","",SUM('Additional Information'!C9,'Additional Information'!D9))</f>
        <v>6.5000000000000006E-3</v>
      </c>
      <c r="E9">
        <f>IF(A9="","",SUM('Additional Information'!C9))</f>
        <v>2.5000000000000001E-3</v>
      </c>
      <c r="F9">
        <f>IF(A9="","",IF(OR('Additional Information'!I9="",'Additional Information'!I9="-"),"",'Additional Information'!I9))</f>
        <v>-2.5499999999999998E-2</v>
      </c>
      <c r="G9" t="str">
        <f>IF(A9="","",IF(OR('Additional Information'!J9="",'Additional Information'!J9="-"),"",'Additional Information'!J9))</f>
        <v/>
      </c>
    </row>
    <row r="10" spans="1:7" x14ac:dyDescent="0.25">
      <c r="A10" t="str">
        <f>IF(Input!A11="","",Input!A11)</f>
        <v>Sustainable MPS Cautious</v>
      </c>
      <c r="B10">
        <f>IF(A10="","",IF(OR('Additional Information'!E10="",'Additional Information'!E10="-"),"",'Additional Information'!E10))</f>
        <v>-1.55E-2</v>
      </c>
      <c r="C10">
        <f>IF(A10="","",IF(OR('Additional Information'!H10="",'Additional Information'!H10="-"),"",'Additional Information'!H10))</f>
        <v>1.3899999999999999E-2</v>
      </c>
      <c r="D10" s="5">
        <f>IF(A10="","",SUM('Additional Information'!C10,'Additional Information'!D10))</f>
        <v>7.1000000000000004E-3</v>
      </c>
      <c r="E10">
        <f>IF(A10="","",SUM('Additional Information'!C10))</f>
        <v>2.5000000000000001E-3</v>
      </c>
      <c r="F10">
        <f>IF(A10="","",IF(OR('Additional Information'!I10="",'Additional Information'!I10="-"),"",'Additional Information'!I10))</f>
        <v>2.7000000000000001E-3</v>
      </c>
      <c r="G10" t="str">
        <f>IF(A10="","",IF(OR('Additional Information'!J10="",'Additional Information'!J10="-"),"",'Additional Information'!J10))</f>
        <v/>
      </c>
    </row>
    <row r="11" spans="1:7" x14ac:dyDescent="0.25">
      <c r="A11" t="str">
        <f>IF(Input!A12="","",Input!A12)</f>
        <v>Sustainable MPS Balanced</v>
      </c>
      <c r="B11">
        <f>IF(A11="","",IF(OR('Additional Information'!E11="",'Additional Information'!E11="-"),"",'Additional Information'!E11))</f>
        <v>-2.35E-2</v>
      </c>
      <c r="C11">
        <f>IF(A11="","",IF(OR('Additional Information'!H11="",'Additional Information'!H11="-"),"",'Additional Information'!H11))</f>
        <v>1.0200000000000001E-2</v>
      </c>
      <c r="D11" s="5">
        <f>IF(A11="","",SUM('Additional Information'!C11,'Additional Information'!D11))</f>
        <v>7.7000000000000002E-3</v>
      </c>
      <c r="E11">
        <f>IF(A11="","",SUM('Additional Information'!C11))</f>
        <v>2.5000000000000001E-3</v>
      </c>
      <c r="F11">
        <f>IF(A11="","",IF(OR('Additional Information'!I11="",'Additional Information'!I11="-"),"",'Additional Information'!I11))</f>
        <v>4.2300000000000004E-2</v>
      </c>
      <c r="G11" t="str">
        <f>IF(A11="","",IF(OR('Additional Information'!J11="",'Additional Information'!J11="-"),"",'Additional Information'!J11))</f>
        <v/>
      </c>
    </row>
    <row r="12" spans="1:7" x14ac:dyDescent="0.25">
      <c r="A12" t="str">
        <f>IF(Input!A13="","",Input!A13)</f>
        <v>Sustainable MPS Adventurous</v>
      </c>
      <c r="B12">
        <f>IF(A12="","",IF(OR('Additional Information'!E12="",'Additional Information'!E12="-"),"",'Additional Information'!E12))</f>
        <v>-4.6799999999999994E-2</v>
      </c>
      <c r="C12">
        <f>IF(A12="","",IF(OR('Additional Information'!H12="",'Additional Information'!H12="-"),"",'Additional Information'!H12))</f>
        <v>-1.21E-2</v>
      </c>
      <c r="D12" s="5">
        <f>IF(A12="","",SUM('Additional Information'!C12,'Additional Information'!D12))</f>
        <v>8.8999999999999999E-3</v>
      </c>
      <c r="E12">
        <f>IF(A12="","",SUM('Additional Information'!C12))</f>
        <v>2.5000000000000001E-3</v>
      </c>
      <c r="F12">
        <f>IF(A12="","",IF(OR('Additional Information'!I12="",'Additional Information'!I12="-"),"",'Additional Information'!I12))</f>
        <v>3.5299999999999998E-2</v>
      </c>
      <c r="G12" t="str">
        <f>IF(A12="","",IF(OR('Additional Information'!J12="",'Additional Information'!J12="-"),"",'Additional Information'!J12))</f>
        <v/>
      </c>
    </row>
    <row r="13" spans="1:7" x14ac:dyDescent="0.25">
      <c r="A13" t="str">
        <f>IF(Input!A14="","",Input!A14)</f>
        <v>International MPS Strategic Income</v>
      </c>
      <c r="B13" t="str">
        <f>IF(A13="","",IF(OR('Additional Information'!E13="",'Additional Information'!E13="-"),"",'Additional Information'!E13))</f>
        <v/>
      </c>
      <c r="C13" t="str">
        <f>IF(A13="","",IF(OR('Additional Information'!H13="",'Additional Information'!H13="-"),"",'Additional Information'!H13))</f>
        <v/>
      </c>
      <c r="D13" s="5">
        <f>IF(A13="","",SUM('Additional Information'!C13,'Additional Information'!D13))</f>
        <v>9.1000000000000004E-3</v>
      </c>
      <c r="E13">
        <f>IF(A13="","",SUM('Additional Information'!C13))</f>
        <v>2.5000000000000001E-3</v>
      </c>
      <c r="F13" t="str">
        <f>IF(A13="","",IF(OR('Additional Information'!I13="",'Additional Information'!I13="-"),"",'Additional Information'!I13))</f>
        <v/>
      </c>
      <c r="G13" t="str">
        <f>IF(A13="","",IF(OR('Additional Information'!J13="",'Additional Information'!J13="-"),"",'Additional Information'!J13))</f>
        <v/>
      </c>
    </row>
    <row r="14" spans="1:7" x14ac:dyDescent="0.25">
      <c r="A14" t="str">
        <f>IF(Input!A15="","",Input!A15)</f>
        <v>International MPS GBP Growth</v>
      </c>
      <c r="B14" t="str">
        <f>IF(A14="","",IF(OR('Additional Information'!E14="",'Additional Information'!E14="-"),"",'Additional Information'!E14))</f>
        <v/>
      </c>
      <c r="C14" t="str">
        <f>IF(A14="","",IF(OR('Additional Information'!H14="",'Additional Information'!H14="-"),"",'Additional Information'!H14))</f>
        <v/>
      </c>
      <c r="D14" s="5">
        <f>IF(A14="","",SUM('Additional Information'!C14,'Additional Information'!D14))</f>
        <v>9.7999999999999997E-3</v>
      </c>
      <c r="E14">
        <f>IF(A14="","",SUM('Additional Information'!C14))</f>
        <v>2.5000000000000001E-3</v>
      </c>
      <c r="F14" t="str">
        <f>IF(A14="","",IF(OR('Additional Information'!I14="",'Additional Information'!I14="-"),"",'Additional Information'!I14))</f>
        <v/>
      </c>
      <c r="G14" t="str">
        <f>IF(A14="","",IF(OR('Additional Information'!J14="",'Additional Information'!J14="-"),"",'Additional Information'!J14))</f>
        <v/>
      </c>
    </row>
    <row r="15" spans="1:7" x14ac:dyDescent="0.25">
      <c r="A15" t="str">
        <f>IF(Input!A16="","",Input!A16)</f>
        <v>International MPS GBP Defensive</v>
      </c>
      <c r="B15">
        <f>IF(A15="","",IF(OR('Additional Information'!E15="",'Additional Information'!E15="-"),"",'Additional Information'!E15))</f>
        <v>-8.5000000000000006E-3</v>
      </c>
      <c r="C15">
        <f>IF(A15="","",IF(OR('Additional Information'!H15="",'Additional Information'!H15="-"),"",'Additional Information'!H15))</f>
        <v>2.52E-2</v>
      </c>
      <c r="D15" s="5">
        <f>IF(A15="","",SUM('Additional Information'!C15,'Additional Information'!D15))</f>
        <v>7.7999999999999996E-3</v>
      </c>
      <c r="E15">
        <f>IF(A15="","",SUM('Additional Information'!C15))</f>
        <v>2.5000000000000001E-3</v>
      </c>
      <c r="F15">
        <f>IF(A15="","",IF(OR('Additional Information'!I15="",'Additional Information'!I15="-"),"",'Additional Information'!I15))</f>
        <v>-1.9799999999999998E-2</v>
      </c>
      <c r="G15">
        <f>IF(A15="","",IF(OR('Additional Information'!J15="",'Additional Information'!J15="-"),"",'Additional Information'!J15))</f>
        <v>0.11449999999999999</v>
      </c>
    </row>
    <row r="16" spans="1:7" x14ac:dyDescent="0.25">
      <c r="A16" t="str">
        <f>IF(Input!A17="","",Input!A17)</f>
        <v>International MPS GBP Cautious</v>
      </c>
      <c r="B16" t="str">
        <f>IF(A16="","",IF(OR('Additional Information'!E16="",'Additional Information'!E16="-"),"",'Additional Information'!E16))</f>
        <v/>
      </c>
      <c r="C16" t="str">
        <f>IF(A16="","",IF(OR('Additional Information'!H16="",'Additional Information'!H16="-"),"",'Additional Information'!H16))</f>
        <v/>
      </c>
      <c r="D16" s="5">
        <f>IF(A16="","",SUM('Additional Information'!C16,'Additional Information'!D16))</f>
        <v>8.3000000000000001E-3</v>
      </c>
      <c r="E16">
        <f>IF(A16="","",SUM('Additional Information'!C16))</f>
        <v>2.5000000000000001E-3</v>
      </c>
      <c r="F16" t="str">
        <f>IF(A16="","",IF(OR('Additional Information'!I16="",'Additional Information'!I16="-"),"",'Additional Information'!I16))</f>
        <v/>
      </c>
      <c r="G16" t="str">
        <f>IF(A16="","",IF(OR('Additional Information'!J16="",'Additional Information'!J16="-"),"",'Additional Information'!J16))</f>
        <v/>
      </c>
    </row>
    <row r="17" spans="1:7" x14ac:dyDescent="0.25">
      <c r="A17" t="str">
        <f>IF(Input!A18="","",Input!A18)</f>
        <v>International MPS GBP Balanced</v>
      </c>
      <c r="B17">
        <f>IF(A17="","",IF(OR('Additional Information'!E17="",'Additional Information'!E17="-"),"",'Additional Information'!E17))</f>
        <v>-1.8000000000000002E-2</v>
      </c>
      <c r="C17">
        <f>IF(A17="","",IF(OR('Additional Information'!H17="",'Additional Information'!H17="-"),"",'Additional Information'!H17))</f>
        <v>2.3399999999999997E-2</v>
      </c>
      <c r="D17" s="5">
        <f>IF(A17="","",SUM('Additional Information'!C17,'Additional Information'!D17))</f>
        <v>8.8999999999999999E-3</v>
      </c>
      <c r="E17">
        <f>IF(A17="","",SUM('Additional Information'!C17))</f>
        <v>2.5000000000000001E-3</v>
      </c>
      <c r="F17">
        <f>IF(A17="","",IF(OR('Additional Information'!I17="",'Additional Information'!I17="-"),"",'Additional Information'!I17))</f>
        <v>2.5499999999999998E-2</v>
      </c>
      <c r="G17">
        <f>IF(A17="","",IF(OR('Additional Information'!J17="",'Additional Information'!J17="-"),"",'Additional Information'!J17))</f>
        <v>0.18640000000000001</v>
      </c>
    </row>
    <row r="18" spans="1:7" x14ac:dyDescent="0.25">
      <c r="A18" t="str">
        <f>IF(Input!A19="","",Input!A19)</f>
        <v>International MPS GBP Adventurous</v>
      </c>
      <c r="B18">
        <f>IF(A18="","",IF(OR('Additional Information'!E18="",'Additional Information'!E18="-"),"",'Additional Information'!E18))</f>
        <v>-2.9700000000000001E-2</v>
      </c>
      <c r="C18">
        <f>IF(A18="","",IF(OR('Additional Information'!H18="",'Additional Information'!H18="-"),"",'Additional Information'!H18))</f>
        <v>2.06E-2</v>
      </c>
      <c r="D18" s="5">
        <f>IF(A18="","",SUM('Additional Information'!C18,'Additional Information'!D18))</f>
        <v>9.4999999999999998E-3</v>
      </c>
      <c r="E18">
        <f>IF(A18="","",SUM('Additional Information'!C18))</f>
        <v>2.5000000000000001E-3</v>
      </c>
      <c r="F18">
        <f>IF(A18="","",IF(OR('Additional Information'!I18="",'Additional Information'!I18="-"),"",'Additional Information'!I18))</f>
        <v>5.8400000000000001E-2</v>
      </c>
      <c r="G18">
        <f>IF(A18="","",IF(OR('Additional Information'!J18="",'Additional Information'!J18="-"),"",'Additional Information'!J18))</f>
        <v>0.29570000000000002</v>
      </c>
    </row>
    <row r="19" spans="1:7" x14ac:dyDescent="0.25">
      <c r="A19" t="str">
        <f>IF(Input!A20="","",Input!A20)</f>
        <v>International Sustainable MPS GBP Growth</v>
      </c>
      <c r="B19" t="str">
        <f>IF(A19="","",IF(OR('Additional Information'!E19="",'Additional Information'!E19="-"),"",'Additional Information'!E19))</f>
        <v/>
      </c>
      <c r="C19" t="str">
        <f>IF(A19="","",IF(OR('Additional Information'!H19="",'Additional Information'!H19="-"),"",'Additional Information'!H19))</f>
        <v/>
      </c>
      <c r="D19" s="5">
        <f>IF(A19="","",SUM('Additional Information'!C19,'Additional Information'!D19))</f>
        <v>9.300000000000001E-3</v>
      </c>
      <c r="E19">
        <f>IF(A19="","",SUM('Additional Information'!C19))</f>
        <v>2.5000000000000001E-3</v>
      </c>
      <c r="F19" t="str">
        <f>IF(A19="","",IF(OR('Additional Information'!I19="",'Additional Information'!I19="-"),"",'Additional Information'!I19))</f>
        <v/>
      </c>
      <c r="G19" t="str">
        <f>IF(A19="","",IF(OR('Additional Information'!J19="",'Additional Information'!J19="-"),"",'Additional Information'!J19))</f>
        <v/>
      </c>
    </row>
    <row r="20" spans="1:7" x14ac:dyDescent="0.25">
      <c r="A20" t="str">
        <f>IF(Input!A21="","",Input!A21)</f>
        <v>International Sustainable MPS GBP Defensive</v>
      </c>
      <c r="B20">
        <f>IF(A20="","",IF(OR('Additional Information'!E20="",'Additional Information'!E20="-"),"",'Additional Information'!E20))</f>
        <v>-9.3999999999999986E-3</v>
      </c>
      <c r="C20">
        <f>IF(A20="","",IF(OR('Additional Information'!H20="",'Additional Information'!H20="-"),"",'Additional Information'!H20))</f>
        <v>2.1000000000000001E-2</v>
      </c>
      <c r="D20" s="5">
        <f>IF(A20="","",SUM('Additional Information'!C20,'Additional Information'!D20))</f>
        <v>7.000000000000001E-3</v>
      </c>
      <c r="E20">
        <f>IF(A20="","",SUM('Additional Information'!C20))</f>
        <v>2.5000000000000001E-3</v>
      </c>
      <c r="F20" t="str">
        <f>IF(A20="","",IF(OR('Additional Information'!I20="",'Additional Information'!I20="-"),"",'Additional Information'!I20))</f>
        <v/>
      </c>
      <c r="G20" t="str">
        <f>IF(A20="","",IF(OR('Additional Information'!J20="",'Additional Information'!J20="-"),"",'Additional Information'!J20))</f>
        <v/>
      </c>
    </row>
    <row r="21" spans="1:7" x14ac:dyDescent="0.25">
      <c r="A21" t="str">
        <f>IF(Input!A22="","",Input!A22)</f>
        <v>International Sustainable MPS GBP Cautious</v>
      </c>
      <c r="B21" t="str">
        <f>IF(A21="","",IF(OR('Additional Information'!E21="",'Additional Information'!E21="-"),"",'Additional Information'!E21))</f>
        <v/>
      </c>
      <c r="C21" t="str">
        <f>IF(A21="","",IF(OR('Additional Information'!H21="",'Additional Information'!H21="-"),"",'Additional Information'!H21))</f>
        <v/>
      </c>
      <c r="D21" s="5">
        <f>IF(A21="","",SUM('Additional Information'!C21,'Additional Information'!D21))</f>
        <v>7.4999999999999997E-3</v>
      </c>
      <c r="E21">
        <f>IF(A21="","",SUM('Additional Information'!C21))</f>
        <v>2.5000000000000001E-3</v>
      </c>
      <c r="F21" t="str">
        <f>IF(A21="","",IF(OR('Additional Information'!I21="",'Additional Information'!I21="-"),"",'Additional Information'!I21))</f>
        <v/>
      </c>
      <c r="G21" t="str">
        <f>IF(A21="","",IF(OR('Additional Information'!J21="",'Additional Information'!J21="-"),"",'Additional Information'!J21))</f>
        <v/>
      </c>
    </row>
    <row r="22" spans="1:7" x14ac:dyDescent="0.25">
      <c r="A22" t="str">
        <f>IF(Input!A23="","",Input!A23)</f>
        <v>International Sustainable MPS GBP Balanced</v>
      </c>
      <c r="B22">
        <f>IF(A22="","",IF(OR('Additional Information'!E22="",'Additional Information'!E22="-"),"",'Additional Information'!E22))</f>
        <v>-2.4300000000000002E-2</v>
      </c>
      <c r="C22">
        <f>IF(A22="","",IF(OR('Additional Information'!H22="",'Additional Information'!H22="-"),"",'Additional Information'!H22))</f>
        <v>1.41E-2</v>
      </c>
      <c r="D22" s="5">
        <f>IF(A22="","",SUM('Additional Information'!C22,'Additional Information'!D22))</f>
        <v>8.199999999999999E-3</v>
      </c>
      <c r="E22">
        <f>IF(A22="","",SUM('Additional Information'!C22))</f>
        <v>2.5000000000000001E-3</v>
      </c>
      <c r="F22" t="str">
        <f>IF(A22="","",IF(OR('Additional Information'!I22="",'Additional Information'!I22="-"),"",'Additional Information'!I22))</f>
        <v/>
      </c>
      <c r="G22" t="str">
        <f>IF(A22="","",IF(OR('Additional Information'!J22="",'Additional Information'!J22="-"),"",'Additional Information'!J22))</f>
        <v/>
      </c>
    </row>
    <row r="23" spans="1:7" x14ac:dyDescent="0.25">
      <c r="A23" t="str">
        <f>IF(Input!A24="","",Input!A24)</f>
        <v>International Sustainable MPS GBP Adventurous</v>
      </c>
      <c r="B23">
        <f>IF(A23="","",IF(OR('Additional Information'!E23="",'Additional Information'!E23="-"),"",'Additional Information'!E23))</f>
        <v>-4.3700000000000003E-2</v>
      </c>
      <c r="C23">
        <f>IF(A23="","",IF(OR('Additional Information'!H23="",'Additional Information'!H23="-"),"",'Additional Information'!H23))</f>
        <v>1E-4</v>
      </c>
      <c r="D23" s="5">
        <f>IF(A23="","",SUM('Additional Information'!C23,'Additional Information'!D23))</f>
        <v>9.7000000000000003E-3</v>
      </c>
      <c r="E23">
        <f>IF(A23="","",SUM('Additional Information'!C23))</f>
        <v>2.5000000000000001E-3</v>
      </c>
      <c r="F23" t="str">
        <f>IF(A23="","",IF(OR('Additional Information'!I23="",'Additional Information'!I23="-"),"",'Additional Information'!I23))</f>
        <v/>
      </c>
      <c r="G23" t="str">
        <f>IF(A23="","",IF(OR('Additional Information'!J23="",'Additional Information'!J23="-"),"",'Additional Information'!J23))</f>
        <v/>
      </c>
    </row>
    <row r="24" spans="1:7" x14ac:dyDescent="0.25">
      <c r="A24" t="str">
        <f>IF(Input!A25="","",Input!A25)</f>
        <v/>
      </c>
      <c r="B24" t="str">
        <f>IF(A24="","",IF(OR('Additional Information'!E24="",'Additional Information'!E24="-"),"",'Additional Information'!E24))</f>
        <v/>
      </c>
      <c r="C24" t="str">
        <f>IF(A24="","",IF(OR('Additional Information'!H24="",'Additional Information'!H24="-"),"",'Additional Information'!H24))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Information'!I24="",'Additional Information'!I24="-"),"",'Additional Information'!I24))</f>
        <v/>
      </c>
      <c r="G24" t="str">
        <f>IF(A24="","",IF(OR('Additional Information'!J24="",'Additional Information'!J24="-"),"",'Additional Information'!J24))</f>
        <v/>
      </c>
    </row>
    <row r="25" spans="1:7" x14ac:dyDescent="0.25">
      <c r="A25" t="str">
        <f>IF(Input!A26="","",Input!A26)</f>
        <v/>
      </c>
      <c r="B25" t="str">
        <f>IF(A25="","",IF(OR('Additional Information'!E25="",'Additional Information'!E25="-"),"",'Additional Information'!E25))</f>
        <v/>
      </c>
      <c r="C25" t="str">
        <f>IF(A25="","",IF(OR('Additional Information'!H25="",'Additional Information'!H25="-"),"",'Additional Information'!H25))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Information'!I25="",'Additional Information'!I25="-"),"",'Additional Information'!I25))</f>
        <v/>
      </c>
      <c r="G25" t="str">
        <f>IF(A25="","",IF(OR('Additional Information'!J25="",'Additional Information'!J25="-"),"",'Additional Information'!J25))</f>
        <v/>
      </c>
    </row>
    <row r="26" spans="1:7" x14ac:dyDescent="0.25">
      <c r="A26" t="str">
        <f>IF(Input!A27="","",Input!A27)</f>
        <v/>
      </c>
      <c r="B26" t="str">
        <f>IF(A26="","",IF(OR('Additional Information'!E26="",'Additional Information'!E26="-"),"",'Additional Information'!E26))</f>
        <v/>
      </c>
      <c r="C26" t="str">
        <f>IF(A26="","",IF(OR('Additional Information'!H26="",'Additional Information'!H26="-"),"",'Additional Information'!H26))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Information'!I26="",'Additional Information'!I26="-"),"",'Additional Information'!I26))</f>
        <v/>
      </c>
      <c r="G26" t="str">
        <f>IF(A26="","",IF(OR('Additional Information'!J26="",'Additional Information'!J26="-"),"",'Additional Information'!J26))</f>
        <v/>
      </c>
    </row>
    <row r="27" spans="1:7" x14ac:dyDescent="0.25">
      <c r="A27" t="str">
        <f>IF(Input!A28="","",Input!A28)</f>
        <v/>
      </c>
      <c r="B27" t="str">
        <f>IF(A27="","",IF(OR('Additional Information'!E27="",'Additional Information'!E27="-"),"",'Additional Information'!E27))</f>
        <v/>
      </c>
      <c r="C27" t="str">
        <f>IF(A27="","",IF(OR('Additional Information'!H27="",'Additional Information'!H27="-"),"",'Additional Information'!H27))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Information'!I27="",'Additional Information'!I27="-"),"",'Additional Information'!I27))</f>
        <v/>
      </c>
      <c r="G27" t="str">
        <f>IF(A27="","",IF(OR('Additional Information'!J27="",'Additional Information'!J27="-"),"",'Additional Information'!J27))</f>
        <v/>
      </c>
    </row>
    <row r="28" spans="1:7" x14ac:dyDescent="0.25">
      <c r="A28" t="str">
        <f>IF(Input!A29="","",Input!A29)</f>
        <v/>
      </c>
      <c r="B28" t="str">
        <f>IF(A28="","",IF(OR('Additional Information'!E28="",'Additional Information'!E28="-"),"",'Additional Information'!E28))</f>
        <v/>
      </c>
      <c r="C28" t="str">
        <f>IF(A28="","",IF(OR('Additional Information'!H28="",'Additional Information'!H28="-"),"",'Additional Information'!H28))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Information'!I28="",'Additional Information'!I28="-"),"",'Additional Information'!I28))</f>
        <v/>
      </c>
      <c r="G28" t="str">
        <f>IF(A28="","",IF(OR('Additional Information'!J28="",'Additional Information'!J28="-"),"",'Additional Information'!J28))</f>
        <v/>
      </c>
    </row>
    <row r="29" spans="1:7" x14ac:dyDescent="0.25">
      <c r="A29" t="str">
        <f>IF(Input!A30="","",Input!A30)</f>
        <v/>
      </c>
      <c r="B29" t="str">
        <f>IF(A29="","",IF(OR('Additional Information'!E29="",'Additional Information'!E29="-"),"",'Additional Information'!E29))</f>
        <v/>
      </c>
      <c r="C29" t="str">
        <f>IF(A29="","",IF(OR('Additional Information'!H29="",'Additional Information'!H29="-"),"",'Additional Information'!H29))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Information'!I29="",'Additional Information'!I29="-"),"",'Additional Information'!I29))</f>
        <v/>
      </c>
      <c r="G29" t="str">
        <f>IF(A29="","",IF(OR('Additional Information'!J29="",'Additional Information'!J29="-"),"",'Additional Information'!J29))</f>
        <v/>
      </c>
    </row>
    <row r="30" spans="1:7" x14ac:dyDescent="0.25">
      <c r="A30" t="str">
        <f>IF(Input!A31="","",Input!A31)</f>
        <v/>
      </c>
      <c r="B30" t="str">
        <f>IF(A30="","",IF(OR('Additional Information'!E30="",'Additional Information'!E30="-"),"",'Additional Information'!E30))</f>
        <v/>
      </c>
      <c r="C30" t="str">
        <f>IF(A30="","",IF(OR('Additional Information'!H30="",'Additional Information'!H30="-"),"",'Additional Information'!H30))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Information'!I30="",'Additional Information'!I30="-"),"",'Additional Information'!I30))</f>
        <v/>
      </c>
      <c r="G30" t="str">
        <f>IF(A30="","",IF(OR('Additional Information'!J30="",'Additional Information'!J30="-"),"",'Additional Information'!J30))</f>
        <v/>
      </c>
    </row>
    <row r="31" spans="1:7" x14ac:dyDescent="0.25">
      <c r="A31" t="str">
        <f>IF(Input!A32="","",Input!A32)</f>
        <v/>
      </c>
      <c r="B31" t="str">
        <f>IF(A31="","",IF(OR('Additional Information'!E31="",'Additional Information'!E31="-"),"",'Additional Information'!E31))</f>
        <v/>
      </c>
      <c r="C31" t="str">
        <f>IF(A31="","",IF(OR('Additional Information'!H31="",'Additional Information'!H31="-"),"",'Additional Information'!H31))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Information'!I31="",'Additional Information'!I31="-"),"",'Additional Information'!I31))</f>
        <v/>
      </c>
      <c r="G31" t="str">
        <f>IF(A31="","",IF(OR('Additional Information'!J31="",'Additional Information'!J31="-"),"",'Additional Information'!J31))</f>
        <v/>
      </c>
    </row>
    <row r="32" spans="1:7" x14ac:dyDescent="0.25">
      <c r="A32" t="str">
        <f>IF(Input!A33="","",Input!A33)</f>
        <v/>
      </c>
      <c r="B32" t="str">
        <f>IF(A32="","",IF(OR('Additional Information'!E32="",'Additional Information'!E32="-"),"",'Additional Information'!E32))</f>
        <v/>
      </c>
      <c r="C32" t="str">
        <f>IF(A32="","",IF(OR('Additional Information'!H32="",'Additional Information'!H32="-"),"",'Additional Information'!H32))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Information'!I32="",'Additional Information'!I32="-"),"",'Additional Information'!I32))</f>
        <v/>
      </c>
      <c r="G32" t="str">
        <f>IF(A32="","",IF(OR('Additional Information'!J32="",'Additional Information'!J32="-"),"",'Additional Information'!J32))</f>
        <v/>
      </c>
    </row>
    <row r="33" spans="1:7" x14ac:dyDescent="0.25">
      <c r="A33" t="str">
        <f>IF(Input!A34="","",Input!A34)</f>
        <v/>
      </c>
      <c r="B33" t="str">
        <f>IF(A33="","",IF(OR('Additional Information'!E33="",'Additional Information'!E33="-"),"",'Additional Information'!E33))</f>
        <v/>
      </c>
      <c r="C33" t="str">
        <f>IF(A33="","",IF(OR('Additional Information'!H33="",'Additional Information'!H33="-"),"",'Additional Information'!H33))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Information'!I33="",'Additional Information'!I33="-"),"",'Additional Information'!I33))</f>
        <v/>
      </c>
      <c r="G33" t="str">
        <f>IF(A33="","",IF(OR('Additional Information'!J33="",'Additional Information'!J33="-"),"",'Additional Information'!J33))</f>
        <v/>
      </c>
    </row>
    <row r="34" spans="1:7" x14ac:dyDescent="0.25">
      <c r="A34" t="str">
        <f>IF(Input!A35="","",Input!A35)</f>
        <v/>
      </c>
      <c r="B34" t="str">
        <f>IF(A34="","",IF(OR('Additional Information'!E34="",'Additional Information'!E34="-"),"",'Additional Information'!E34))</f>
        <v/>
      </c>
      <c r="C34" t="str">
        <f>IF(A34="","",IF(OR('Additional Information'!H34="",'Additional Information'!H34="-"),"",'Additional Information'!H34))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Information'!I34="",'Additional Information'!I34="-"),"",'Additional Information'!I34))</f>
        <v/>
      </c>
      <c r="G34" t="str">
        <f>IF(A34="","",IF(OR('Additional Information'!J34="",'Additional Information'!J34="-"),"",'Additional Information'!J34))</f>
        <v/>
      </c>
    </row>
    <row r="35" spans="1:7" x14ac:dyDescent="0.25">
      <c r="A35" t="str">
        <f>IF(Input!A36="","",Input!A36)</f>
        <v/>
      </c>
      <c r="B35" t="str">
        <f>IF(A35="","",IF(OR('Additional Information'!E35="",'Additional Information'!E35="-"),"",'Additional Information'!E35))</f>
        <v/>
      </c>
      <c r="C35" t="str">
        <f>IF(A35="","",IF(OR('Additional Information'!H35="",'Additional Information'!H35="-"),"",'Additional Information'!H35))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Information'!I35="",'Additional Information'!I35="-"),"",'Additional Information'!I35))</f>
        <v/>
      </c>
      <c r="G35" t="str">
        <f>IF(A35="","",IF(OR('Additional Information'!J35="",'Additional Information'!J35="-"),"",'Additional Information'!J35))</f>
        <v/>
      </c>
    </row>
    <row r="36" spans="1:7" x14ac:dyDescent="0.25">
      <c r="A36" t="str">
        <f>IF(Input!A37="","",Input!A37)</f>
        <v/>
      </c>
      <c r="B36" t="str">
        <f>IF(A36="","",IF(OR('Additional Information'!E36="",'Additional Information'!E36="-"),"",'Additional Information'!E36))</f>
        <v/>
      </c>
      <c r="C36" t="str">
        <f>IF(A36="","",IF(OR('Additional Information'!H36="",'Additional Information'!H36="-"),"",'Additional Information'!H36))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Information'!I36="",'Additional Information'!I36="-"),"",'Additional Information'!I36))</f>
        <v/>
      </c>
      <c r="G36" t="str">
        <f>IF(A36="","",IF(OR('Additional Information'!J36="",'Additional Information'!J36="-"),"",'Additional Information'!J36))</f>
        <v/>
      </c>
    </row>
    <row r="37" spans="1:7" x14ac:dyDescent="0.25">
      <c r="A37" t="str">
        <f>IF(Input!A38="","",Input!A38)</f>
        <v/>
      </c>
      <c r="B37" t="str">
        <f>IF(A37="","",IF(OR('Additional Information'!E37="",'Additional Information'!E37="-"),"",'Additional Information'!E37))</f>
        <v/>
      </c>
      <c r="C37" t="str">
        <f>IF(A37="","",IF(OR('Additional Information'!H37="",'Additional Information'!H37="-"),"",'Additional Information'!H37))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Information'!I37="",'Additional Information'!I37="-"),"",'Additional Information'!I37))</f>
        <v/>
      </c>
      <c r="G37" t="str">
        <f>IF(A37="","",IF(OR('Additional Information'!J37="",'Additional Information'!J37="-"),"",'Additional Information'!J37))</f>
        <v/>
      </c>
    </row>
    <row r="38" spans="1:7" x14ac:dyDescent="0.25">
      <c r="A38" t="str">
        <f>IF(Input!A39="","",Input!A39)</f>
        <v/>
      </c>
      <c r="B38" t="str">
        <f>IF(A38="","",IF(OR('Additional Information'!E38="",'Additional Information'!E38="-"),"",'Additional Information'!E38))</f>
        <v/>
      </c>
      <c r="C38" t="str">
        <f>IF(A38="","",IF(OR('Additional Information'!H38="",'Additional Information'!H38="-"),"",'Additional Information'!H38))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Information'!I38="",'Additional Information'!I38="-"),"",'Additional Information'!I38))</f>
        <v/>
      </c>
      <c r="G38" t="str">
        <f>IF(A38="","",IF(OR('Additional Information'!J38="",'Additional Information'!J38="-"),"",'Additional Information'!J38))</f>
        <v/>
      </c>
    </row>
    <row r="39" spans="1:7" x14ac:dyDescent="0.25">
      <c r="A39" t="str">
        <f>IF(Input!A40="","",Input!A40)</f>
        <v/>
      </c>
      <c r="B39" t="str">
        <f>IF(A39="","",IF(OR('Additional Information'!E39="",'Additional Information'!E39="-"),"",'Additional Information'!E39))</f>
        <v/>
      </c>
      <c r="C39" t="str">
        <f>IF(A39="","",IF(OR('Additional Information'!H39="",'Additional Information'!H39="-"),"",'Additional Information'!H39))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Information'!I39="",'Additional Information'!I39="-"),"",'Additional Information'!I39))</f>
        <v/>
      </c>
      <c r="G39" t="str">
        <f>IF(A39="","",IF(OR('Additional Information'!J39="",'Additional Information'!J39="-"),"",'Additional Information'!J39))</f>
        <v/>
      </c>
    </row>
    <row r="40" spans="1:7" x14ac:dyDescent="0.25">
      <c r="A40" t="str">
        <f>IF(Input!A41="","",Input!A41)</f>
        <v/>
      </c>
      <c r="B40" t="str">
        <f>IF(A40="","",IF(OR('Additional Information'!E40="",'Additional Information'!E40="-"),"",'Additional Information'!E40))</f>
        <v/>
      </c>
      <c r="C40" t="str">
        <f>IF(A40="","",IF(OR('Additional Information'!H40="",'Additional Information'!H40="-"),"",'Additional Information'!H40))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Information'!I40="",'Additional Information'!I40="-"),"",'Additional Information'!I40))</f>
        <v/>
      </c>
      <c r="G40" t="str">
        <f>IF(A40="","",IF(OR('Additional Information'!J40="",'Additional Information'!J40="-"),"",'Additional Information'!J40))</f>
        <v/>
      </c>
    </row>
    <row r="41" spans="1:7" x14ac:dyDescent="0.25">
      <c r="A41" t="str">
        <f>IF(Input!A42="","",Input!A42)</f>
        <v/>
      </c>
      <c r="B41" t="str">
        <f>IF(A41="","",IF(OR('Additional Information'!E41="",'Additional Information'!E41="-"),"",'Additional Information'!E41))</f>
        <v/>
      </c>
      <c r="C41" t="str">
        <f>IF(A41="","",IF(OR('Additional Information'!H41="",'Additional Information'!H41="-"),"",'Additional Information'!H41))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Information'!I41="",'Additional Information'!I41="-"),"",'Additional Information'!I41))</f>
        <v/>
      </c>
      <c r="G41" t="str">
        <f>IF(A41="","",IF(OR('Additional Information'!J41="",'Additional Information'!J41="-"),"",'Additional Information'!J41))</f>
        <v/>
      </c>
    </row>
    <row r="42" spans="1:7" x14ac:dyDescent="0.25">
      <c r="A42" t="str">
        <f>IF(Input!A43="","",Input!A43)</f>
        <v/>
      </c>
      <c r="B42" t="str">
        <f>IF(A42="","",IF(OR('Additional Information'!E42="",'Additional Information'!E42="-"),"",'Additional Information'!E42))</f>
        <v/>
      </c>
      <c r="C42" t="str">
        <f>IF(A42="","",IF(OR('Additional Information'!H42="",'Additional Information'!H42="-"),"",'Additional Information'!H42))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Information'!I42="",'Additional Information'!I42="-"),"",'Additional Information'!I42))</f>
        <v/>
      </c>
      <c r="G42" t="str">
        <f>IF(A42="","",IF(OR('Additional Information'!J42="",'Additional Information'!J42="-"),"",'Additional Information'!J42))</f>
        <v/>
      </c>
    </row>
    <row r="43" spans="1:7" x14ac:dyDescent="0.25">
      <c r="A43" t="str">
        <f>IF(Input!A44="","",Input!A44)</f>
        <v/>
      </c>
      <c r="B43" t="str">
        <f>IF(A43="","",IF(OR('Additional Information'!E43="",'Additional Information'!E43="-"),"",'Additional Information'!E43))</f>
        <v/>
      </c>
      <c r="C43" t="str">
        <f>IF(A43="","",IF(OR('Additional Information'!H43="",'Additional Information'!H43="-"),"",'Additional Information'!H43))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Information'!I43="",'Additional Information'!I43="-"),"",'Additional Information'!I43))</f>
        <v/>
      </c>
      <c r="G43" t="str">
        <f>IF(A43="","",IF(OR('Additional Information'!J43="",'Additional Information'!J43="-"),"",'Additional Information'!J43))</f>
        <v/>
      </c>
    </row>
    <row r="44" spans="1:7" x14ac:dyDescent="0.25">
      <c r="A44" t="str">
        <f>IF(Input!A45="","",Input!A45)</f>
        <v/>
      </c>
      <c r="B44" t="str">
        <f>IF(A44="","",IF(OR('Additional Information'!E44="",'Additional Information'!E44="-"),"",'Additional Information'!E44))</f>
        <v/>
      </c>
      <c r="C44" t="str">
        <f>IF(A44="","",IF(OR('Additional Information'!H44="",'Additional Information'!H44="-"),"",'Additional Information'!H44))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Information'!I44="",'Additional Information'!I44="-"),"",'Additional Information'!I44))</f>
        <v/>
      </c>
      <c r="G44" t="str">
        <f>IF(A44="","",IF(OR('Additional Information'!J44="",'Additional Information'!J44="-"),"",'Additional Information'!J44))</f>
        <v/>
      </c>
    </row>
    <row r="45" spans="1:7" x14ac:dyDescent="0.25">
      <c r="A45" t="str">
        <f>IF(Input!A46="","",Input!A46)</f>
        <v/>
      </c>
      <c r="B45" t="str">
        <f>IF(A45="","",IF(OR('Additional Information'!E45="",'Additional Information'!E45="-"),"",'Additional Information'!E45))</f>
        <v/>
      </c>
      <c r="C45" t="str">
        <f>IF(A45="","",IF(OR('Additional Information'!H45="",'Additional Information'!H45="-"),"",'Additional Information'!H45))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Information'!I45="",'Additional Information'!I45="-"),"",'Additional Information'!I45))</f>
        <v/>
      </c>
      <c r="G45" t="str">
        <f>IF(A45="","",IF(OR('Additional Information'!J45="",'Additional Information'!J45="-"),"",'Additional Information'!J45))</f>
        <v/>
      </c>
    </row>
    <row r="46" spans="1:7" x14ac:dyDescent="0.25">
      <c r="A46" t="str">
        <f>IF(Input!A47="","",Input!A47)</f>
        <v/>
      </c>
      <c r="B46" t="str">
        <f>IF(A46="","",IF(OR('Additional Information'!E46="",'Additional Information'!E46="-"),"",'Additional Information'!E46))</f>
        <v/>
      </c>
      <c r="C46" t="str">
        <f>IF(A46="","",IF(OR('Additional Information'!H46="",'Additional Information'!H46="-"),"",'Additional Information'!H46))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Information'!I46="",'Additional Information'!I46="-"),"",'Additional Information'!I46))</f>
        <v/>
      </c>
      <c r="G46" t="str">
        <f>IF(A46="","",IF(OR('Additional Information'!J46="",'Additional Information'!J46="-"),"",'Additional Information'!J46))</f>
        <v/>
      </c>
    </row>
    <row r="47" spans="1:7" x14ac:dyDescent="0.25">
      <c r="A47" t="str">
        <f>IF(Input!A48="","",Input!A48)</f>
        <v/>
      </c>
      <c r="B47" t="str">
        <f>IF(A47="","",IF(OR('Additional Information'!E47="",'Additional Information'!E47="-"),"",'Additional Information'!E47))</f>
        <v/>
      </c>
      <c r="C47" t="str">
        <f>IF(A47="","",IF(OR('Additional Information'!H47="",'Additional Information'!H47="-"),"",'Additional Information'!H47))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Information'!I47="",'Additional Information'!I47="-"),"",'Additional Information'!I47))</f>
        <v/>
      </c>
      <c r="G47" t="str">
        <f>IF(A47="","",IF(OR('Additional Information'!J47="",'Additional Information'!J47="-"),"",'Additional Information'!J47))</f>
        <v/>
      </c>
    </row>
    <row r="48" spans="1:7" x14ac:dyDescent="0.25">
      <c r="A48" t="str">
        <f>IF(Input!A49="","",Input!A49)</f>
        <v/>
      </c>
      <c r="B48" t="str">
        <f>IF(A48="","",IF(OR('Additional Information'!E48="",'Additional Information'!E48="-"),"",'Additional Information'!E48))</f>
        <v/>
      </c>
      <c r="C48" t="str">
        <f>IF(A48="","",IF(OR('Additional Information'!H48="",'Additional Information'!H48="-"),"",'Additional Information'!H48))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Information'!I48="",'Additional Information'!I48="-"),"",'Additional Information'!I48))</f>
        <v/>
      </c>
      <c r="G48" t="str">
        <f>IF(A48="","",IF(OR('Additional Information'!J48="",'Additional Information'!J48="-"),"",'Additional Information'!J48))</f>
        <v/>
      </c>
    </row>
    <row r="49" spans="1:7" x14ac:dyDescent="0.25">
      <c r="A49" t="str">
        <f>IF(Input!A50="","",Input!A50)</f>
        <v/>
      </c>
      <c r="B49" t="str">
        <f>IF(A49="","",IF(OR('Additional Information'!E49="",'Additional Information'!E49="-"),"",'Additional Information'!E49))</f>
        <v/>
      </c>
      <c r="C49" t="str">
        <f>IF(A49="","",IF(OR('Additional Information'!H49="",'Additional Information'!H49="-"),"",'Additional Information'!H49))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Information'!I49="",'Additional Information'!I49="-"),"",'Additional Information'!I49))</f>
        <v/>
      </c>
      <c r="G49" t="str">
        <f>IF(A49="","",IF(OR('Additional Information'!J49="",'Additional Information'!J49="-"),"",'Additional Information'!J49))</f>
        <v/>
      </c>
    </row>
    <row r="50" spans="1:7" x14ac:dyDescent="0.25">
      <c r="A50" t="str">
        <f>IF(Input!A51="","",Input!A51)</f>
        <v/>
      </c>
      <c r="B50" t="str">
        <f>IF(A50="","",IF(OR('Additional Information'!E50="",'Additional Information'!E50="-"),"",'Additional Information'!E50))</f>
        <v/>
      </c>
      <c r="C50" t="str">
        <f>IF(A50="","",IF(OR('Additional Information'!H50="",'Additional Information'!H50="-"),"",'Additional Information'!H50))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Information'!I50="",'Additional Information'!I50="-"),"",'Additional Information'!I50))</f>
        <v/>
      </c>
      <c r="G50" t="str">
        <f>IF(A50="","",IF(OR('Additional Information'!J50="",'Additional Information'!J50="-"),"",'Additional Information'!J50))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MPS Strategic Income</v>
      </c>
      <c r="B2">
        <f>IF(A2="","",SUM('Asset Allocation'!C2,'Asset Allocation'!D2,'Asset Allocation'!F2,'Asset Allocation'!H2))</f>
        <v>0</v>
      </c>
      <c r="C2">
        <f>IF(A2="","",SUM('Asset Allocation'!B2))</f>
        <v>0</v>
      </c>
      <c r="F2">
        <f>IF(A2="","",SUM('Asset Allocation'!E2,'Asset Allocation'!I2,'Asset Allocation'!J2))</f>
        <v>0</v>
      </c>
      <c r="G2">
        <f>IF(A2="","",SUM('Asset Allocation'!G2))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MPS Growth</v>
      </c>
      <c r="B3">
        <f>IF(A3="","",SUM('Asset Allocation'!C3,'Asset Allocation'!D3,'Asset Allocation'!F3,'Asset Allocation'!H3))</f>
        <v>0.75</v>
      </c>
      <c r="C3">
        <f>IF(A3="","",SUM('Asset Allocation'!B3))</f>
        <v>0.15</v>
      </c>
      <c r="F3">
        <f>IF(A3="","",SUM('Asset Allocation'!E3,'Asset Allocation'!I3,'Asset Allocation'!J3))</f>
        <v>7.0000000000000007E-2</v>
      </c>
      <c r="G3">
        <f>IF(A3="","",SUM('Asset Allocation'!G3))</f>
        <v>0.03</v>
      </c>
      <c r="H3">
        <f t="shared" si="0"/>
        <v>0</v>
      </c>
    </row>
    <row r="4" spans="1:8" x14ac:dyDescent="0.25">
      <c r="A4" t="str">
        <f>IF(Input!A5="","",Input!A5)</f>
        <v>MPS Defensive</v>
      </c>
      <c r="B4">
        <f>IF(A4="","",SUM('Asset Allocation'!C4,'Asset Allocation'!D4,'Asset Allocation'!F4,'Asset Allocation'!H4))</f>
        <v>0.19</v>
      </c>
      <c r="C4">
        <f>IF(A4="","",SUM('Asset Allocation'!B4))</f>
        <v>0.46</v>
      </c>
      <c r="F4">
        <f>IF(A4="","",SUM('Asset Allocation'!E4,'Asset Allocation'!I4,'Asset Allocation'!J4))</f>
        <v>0.19</v>
      </c>
      <c r="G4">
        <f>IF(A4="","",SUM('Asset Allocation'!G4))</f>
        <v>0.16</v>
      </c>
      <c r="H4">
        <f t="shared" si="0"/>
        <v>0</v>
      </c>
    </row>
    <row r="5" spans="1:8" x14ac:dyDescent="0.25">
      <c r="A5" t="str">
        <f>IF(Input!A6="","",Input!A6)</f>
        <v>MPS Balanced</v>
      </c>
      <c r="B5">
        <f>IF(A5="","",SUM('Asset Allocation'!C5,'Asset Allocation'!D5,'Asset Allocation'!F5,'Asset Allocation'!H5))</f>
        <v>0.53</v>
      </c>
      <c r="C5">
        <f>IF(A5="","",SUM('Asset Allocation'!B5))</f>
        <v>0.27</v>
      </c>
      <c r="F5">
        <f>IF(A5="","",SUM('Asset Allocation'!E5,'Asset Allocation'!I5,'Asset Allocation'!J5))</f>
        <v>0.13</v>
      </c>
      <c r="G5">
        <f>IF(A5="","",SUM('Asset Allocation'!G5))</f>
        <v>7.0000000000000007E-2</v>
      </c>
      <c r="H5">
        <f t="shared" si="0"/>
        <v>0</v>
      </c>
    </row>
    <row r="6" spans="1:8" x14ac:dyDescent="0.25">
      <c r="A6" t="str">
        <f>IF(Input!A7="","",Input!A7)</f>
        <v>MPS Adventurous</v>
      </c>
      <c r="B6">
        <f>IF(A6="","",SUM('Asset Allocation'!C6,'Asset Allocation'!D6,'Asset Allocation'!F6,'Asset Allocation'!H6))</f>
        <v>0.91000000000000014</v>
      </c>
      <c r="C6">
        <f>IF(A6="","",SUM('Asset Allocation'!B6))</f>
        <v>0.03</v>
      </c>
      <c r="F6">
        <f>IF(A6="","",SUM('Asset Allocation'!E6,'Asset Allocation'!I6,'Asset Allocation'!J6))</f>
        <v>0.04</v>
      </c>
      <c r="G6">
        <f>IF(A6="","",SUM('Asset Allocation'!G6))</f>
        <v>0.02</v>
      </c>
      <c r="H6">
        <f t="shared" si="0"/>
        <v>-2.2204460492503131E-16</v>
      </c>
    </row>
    <row r="7" spans="1:8" x14ac:dyDescent="0.25">
      <c r="A7" t="str">
        <f>IF(Input!A8="","",Input!A8)</f>
        <v>MPS Cautious</v>
      </c>
      <c r="B7">
        <f>IF(A7="","",SUM('Asset Allocation'!C7,'Asset Allocation'!D7,'Asset Allocation'!F7,'Asset Allocation'!H7))</f>
        <v>0.36</v>
      </c>
      <c r="C7">
        <f>IF(A7="","",SUM('Asset Allocation'!B7))</f>
        <v>0.39</v>
      </c>
      <c r="F7">
        <f>IF(A7="","",SUM('Asset Allocation'!E7,'Asset Allocation'!I7,'Asset Allocation'!J7))</f>
        <v>0.17</v>
      </c>
      <c r="G7">
        <f>IF(A7="","",SUM('Asset Allocation'!G7))</f>
        <v>0.08</v>
      </c>
      <c r="H7">
        <f t="shared" si="0"/>
        <v>0</v>
      </c>
    </row>
    <row r="8" spans="1:8" x14ac:dyDescent="0.25">
      <c r="A8" t="str">
        <f>IF(Input!A9="","",Input!A9)</f>
        <v>Sustainable MPS Growth</v>
      </c>
      <c r="B8">
        <f>IF(A8="","",SUM('Asset Allocation'!C8,'Asset Allocation'!D8,'Asset Allocation'!F8,'Asset Allocation'!H8))</f>
        <v>0.76</v>
      </c>
      <c r="C8">
        <f>IF(A8="","",SUM('Asset Allocation'!B8))</f>
        <v>0.18</v>
      </c>
      <c r="F8">
        <f>IF(A8="","",SUM('Asset Allocation'!E8,'Asset Allocation'!I8,'Asset Allocation'!J8))</f>
        <v>0.04</v>
      </c>
      <c r="G8">
        <f>IF(A8="","",SUM('Asset Allocation'!G8))</f>
        <v>0.02</v>
      </c>
      <c r="H8">
        <f t="shared" si="0"/>
        <v>0</v>
      </c>
    </row>
    <row r="9" spans="1:8" x14ac:dyDescent="0.25">
      <c r="A9" t="str">
        <f>IF(Input!A10="","",Input!A10)</f>
        <v>Sustainable MPS Defensive</v>
      </c>
      <c r="B9">
        <f>IF(A9="","",SUM('Asset Allocation'!C9,'Asset Allocation'!D9,'Asset Allocation'!F9,'Asset Allocation'!H9))</f>
        <v>0.19</v>
      </c>
      <c r="C9">
        <f>IF(A9="","",SUM('Asset Allocation'!B9))</f>
        <v>0.57999999999999996</v>
      </c>
      <c r="F9">
        <f>IF(A9="","",SUM('Asset Allocation'!E9,'Asset Allocation'!I9,'Asset Allocation'!J9))</f>
        <v>0.08</v>
      </c>
      <c r="G9">
        <f>IF(A9="","",SUM('Asset Allocation'!G9))</f>
        <v>0.15</v>
      </c>
      <c r="H9">
        <f t="shared" si="0"/>
        <v>0</v>
      </c>
    </row>
    <row r="10" spans="1:8" x14ac:dyDescent="0.25">
      <c r="A10" t="str">
        <f>IF(Input!A11="","",Input!A11)</f>
        <v>Sustainable MPS Cautious</v>
      </c>
      <c r="B10">
        <f>IF(A10="","",SUM('Asset Allocation'!C10,'Asset Allocation'!D10,'Asset Allocation'!F10,'Asset Allocation'!H10))</f>
        <v>0.35</v>
      </c>
      <c r="C10">
        <f>IF(A10="","",SUM('Asset Allocation'!B10))</f>
        <v>0.46</v>
      </c>
      <c r="F10">
        <f>IF(A10="","",SUM('Asset Allocation'!E10,'Asset Allocation'!I10,'Asset Allocation'!J10))</f>
        <v>7.0000000000000007E-2</v>
      </c>
      <c r="G10">
        <f>IF(A10="","",SUM('Asset Allocation'!G10))</f>
        <v>0.12</v>
      </c>
      <c r="H10">
        <f t="shared" si="0"/>
        <v>0</v>
      </c>
    </row>
    <row r="11" spans="1:8" x14ac:dyDescent="0.25">
      <c r="A11" t="str">
        <f>IF(Input!A12="","",Input!A12)</f>
        <v>Sustainable MPS Balanced</v>
      </c>
      <c r="B11">
        <f>IF(A11="","",SUM('Asset Allocation'!C11,'Asset Allocation'!D11,'Asset Allocation'!F11,'Asset Allocation'!H11))</f>
        <v>0.54</v>
      </c>
      <c r="C11">
        <f>IF(A11="","",SUM('Asset Allocation'!B11))</f>
        <v>0.31</v>
      </c>
      <c r="F11">
        <f>IF(A11="","",SUM('Asset Allocation'!E11,'Asset Allocation'!I11,'Asset Allocation'!J11))</f>
        <v>7.0000000000000007E-2</v>
      </c>
      <c r="G11">
        <f>IF(A11="","",SUM('Asset Allocation'!G11))</f>
        <v>0.08</v>
      </c>
      <c r="H11">
        <f t="shared" si="0"/>
        <v>-2.2204460492503131E-16</v>
      </c>
    </row>
    <row r="12" spans="1:8" x14ac:dyDescent="0.25">
      <c r="A12" t="str">
        <f>IF(Input!A13="","",Input!A13)</f>
        <v>Sustainable MPS Adventurous</v>
      </c>
      <c r="B12">
        <f>IF(A12="","",SUM('Asset Allocation'!C12,'Asset Allocation'!D12,'Asset Allocation'!F12,'Asset Allocation'!H12))</f>
        <v>0.93</v>
      </c>
      <c r="C12">
        <f>IF(A12="","",SUM('Asset Allocation'!B12))</f>
        <v>0.04</v>
      </c>
      <c r="F12">
        <f>IF(A12="","",SUM('Asset Allocation'!E12,'Asset Allocation'!I12,'Asset Allocation'!J12))</f>
        <v>0</v>
      </c>
      <c r="G12">
        <f>IF(A12="","",SUM('Asset Allocation'!G12))</f>
        <v>0.03</v>
      </c>
      <c r="H12">
        <f t="shared" si="0"/>
        <v>0</v>
      </c>
    </row>
    <row r="13" spans="1:8" x14ac:dyDescent="0.25">
      <c r="A13" t="str">
        <f>IF(Input!A14="","",Input!A14)</f>
        <v>International MPS Strategic Income</v>
      </c>
      <c r="B13">
        <f>IF(A13="","",SUM('Asset Allocation'!C13,'Asset Allocation'!D13,'Asset Allocation'!F13,'Asset Allocation'!H13))</f>
        <v>0.54</v>
      </c>
      <c r="C13">
        <f>IF(A13="","",SUM('Asset Allocation'!B13))</f>
        <v>0.41</v>
      </c>
      <c r="F13">
        <f>IF(A13="","",SUM('Asset Allocation'!E13,'Asset Allocation'!I13,'Asset Allocation'!J13))</f>
        <v>0</v>
      </c>
      <c r="G13">
        <f>IF(A13="","",SUM('Asset Allocation'!G13))</f>
        <v>0.05</v>
      </c>
      <c r="H13">
        <f t="shared" si="0"/>
        <v>0</v>
      </c>
    </row>
    <row r="14" spans="1:8" x14ac:dyDescent="0.25">
      <c r="A14" t="str">
        <f>IF(Input!A15="","",Input!A15)</f>
        <v>International MPS GBP Growth</v>
      </c>
      <c r="B14">
        <f>IF(A14="","",SUM('Asset Allocation'!C14,'Asset Allocation'!D14,'Asset Allocation'!F14,'Asset Allocation'!H14))</f>
        <v>0.74</v>
      </c>
      <c r="C14">
        <f>IF(A14="","",SUM('Asset Allocation'!B14))</f>
        <v>0</v>
      </c>
      <c r="F14">
        <f>IF(A14="","",SUM('Asset Allocation'!E14,'Asset Allocation'!I14,'Asset Allocation'!J14))</f>
        <v>7.0000000000000007E-2</v>
      </c>
      <c r="G14">
        <f>IF(A14="","",SUM('Asset Allocation'!G14))</f>
        <v>0.03</v>
      </c>
      <c r="H14">
        <f t="shared" si="0"/>
        <v>0.15999999999999992</v>
      </c>
    </row>
    <row r="15" spans="1:8" x14ac:dyDescent="0.25">
      <c r="A15" t="str">
        <f>IF(Input!A16="","",Input!A16)</f>
        <v>International MPS GBP Defensive</v>
      </c>
      <c r="B15">
        <f>IF(A15="","",SUM('Asset Allocation'!C15,'Asset Allocation'!D15,'Asset Allocation'!F15,'Asset Allocation'!H15))</f>
        <v>0.23</v>
      </c>
      <c r="C15">
        <f>IF(A15="","",SUM('Asset Allocation'!B15))</f>
        <v>0.53</v>
      </c>
      <c r="F15">
        <f>IF(A15="","",SUM('Asset Allocation'!E15,'Asset Allocation'!I15,'Asset Allocation'!J15))</f>
        <v>0.11</v>
      </c>
      <c r="G15">
        <f>IF(A15="","",SUM('Asset Allocation'!G15))</f>
        <v>0.12</v>
      </c>
      <c r="H15">
        <f t="shared" si="0"/>
        <v>1.0000000000000009E-2</v>
      </c>
    </row>
    <row r="16" spans="1:8" x14ac:dyDescent="0.25">
      <c r="A16" t="str">
        <f>IF(Input!A17="","",Input!A17)</f>
        <v>International MPS GBP Cautious</v>
      </c>
      <c r="B16">
        <f>IF(A16="","",SUM('Asset Allocation'!C16,'Asset Allocation'!D16,'Asset Allocation'!F16,'Asset Allocation'!H16))</f>
        <v>0.38</v>
      </c>
      <c r="C16">
        <f>IF(A16="","",SUM('Asset Allocation'!B16))</f>
        <v>0.44</v>
      </c>
      <c r="F16">
        <f>IF(A16="","",SUM('Asset Allocation'!E16,'Asset Allocation'!I16,'Asset Allocation'!J16))</f>
        <v>0.1</v>
      </c>
      <c r="G16">
        <f>IF(A16="","",SUM('Asset Allocation'!G16))</f>
        <v>7.0000000000000007E-2</v>
      </c>
      <c r="H16">
        <f t="shared" si="0"/>
        <v>1.0000000000000009E-2</v>
      </c>
    </row>
    <row r="17" spans="1:8" x14ac:dyDescent="0.25">
      <c r="A17" t="str">
        <f>IF(Input!A18="","",Input!A18)</f>
        <v>International MPS GBP Balanced</v>
      </c>
      <c r="B17">
        <f>IF(A17="","",SUM('Asset Allocation'!C17,'Asset Allocation'!D17,'Asset Allocation'!F17,'Asset Allocation'!H17))</f>
        <v>0.55000000000000004</v>
      </c>
      <c r="C17">
        <f>IF(A17="","",SUM('Asset Allocation'!B17))</f>
        <v>0.28999999999999998</v>
      </c>
      <c r="F17">
        <f>IF(A17="","",SUM('Asset Allocation'!E17,'Asset Allocation'!I17,'Asset Allocation'!J17))</f>
        <v>0.09</v>
      </c>
      <c r="G17">
        <f>IF(A17="","",SUM('Asset Allocation'!G17))</f>
        <v>7.0000000000000007E-2</v>
      </c>
      <c r="H17">
        <f t="shared" si="0"/>
        <v>0</v>
      </c>
    </row>
    <row r="18" spans="1:8" x14ac:dyDescent="0.25">
      <c r="A18" t="str">
        <f>IF(Input!A19="","",Input!A19)</f>
        <v>International MPS GBP Adventurous</v>
      </c>
      <c r="B18">
        <f>IF(A18="","",SUM('Asset Allocation'!C18,'Asset Allocation'!D18,'Asset Allocation'!F18,'Asset Allocation'!H18))</f>
        <v>0.92</v>
      </c>
      <c r="C18">
        <f>IF(A18="","",SUM('Asset Allocation'!B18))</f>
        <v>0.04</v>
      </c>
      <c r="F18">
        <f>IF(A18="","",SUM('Asset Allocation'!E18,'Asset Allocation'!I18,'Asset Allocation'!J18))</f>
        <v>0.02</v>
      </c>
      <c r="G18">
        <f>IF(A18="","",SUM('Asset Allocation'!G18))</f>
        <v>0.02</v>
      </c>
      <c r="H18">
        <f t="shared" si="0"/>
        <v>0</v>
      </c>
    </row>
    <row r="19" spans="1:8" x14ac:dyDescent="0.25">
      <c r="A19" t="str">
        <f>IF(Input!A20="","",Input!A20)</f>
        <v>International Sustainable MPS GBP Growth</v>
      </c>
      <c r="B19">
        <f>IF(A19="","",SUM('Asset Allocation'!C19,'Asset Allocation'!D19,'Asset Allocation'!F19,'Asset Allocation'!H19))</f>
        <v>0.75</v>
      </c>
      <c r="C19">
        <f>IF(A19="","",SUM('Asset Allocation'!B19))</f>
        <v>0.13</v>
      </c>
      <c r="F19">
        <f>IF(A19="","",SUM('Asset Allocation'!E19,'Asset Allocation'!I19,'Asset Allocation'!J19))</f>
        <v>0.06</v>
      </c>
      <c r="G19">
        <f>IF(A19="","",SUM('Asset Allocation'!G19))</f>
        <v>0.06</v>
      </c>
      <c r="H19">
        <f t="shared" si="0"/>
        <v>0</v>
      </c>
    </row>
    <row r="20" spans="1:8" x14ac:dyDescent="0.25">
      <c r="A20" t="str">
        <f>IF(Input!A21="","",Input!A21)</f>
        <v>International Sustainable MPS GBP Defensive</v>
      </c>
      <c r="B20">
        <f>IF(A20="","",SUM('Asset Allocation'!C20,'Asset Allocation'!D20,'Asset Allocation'!F20,'Asset Allocation'!H20))</f>
        <v>0.23</v>
      </c>
      <c r="C20">
        <f>IF(A20="","",SUM('Asset Allocation'!B20))</f>
        <v>0.53</v>
      </c>
      <c r="F20">
        <f>IF(A20="","",SUM('Asset Allocation'!E20,'Asset Allocation'!I20,'Asset Allocation'!J20))</f>
        <v>0.1</v>
      </c>
      <c r="G20">
        <f>IF(A20="","",SUM('Asset Allocation'!G20))</f>
        <v>0.14000000000000001</v>
      </c>
      <c r="H20">
        <f t="shared" si="0"/>
        <v>0</v>
      </c>
    </row>
    <row r="21" spans="1:8" x14ac:dyDescent="0.25">
      <c r="A21" t="str">
        <f>IF(Input!A22="","",Input!A22)</f>
        <v>International Sustainable MPS GBP Cautious</v>
      </c>
      <c r="B21">
        <f>IF(A21="","",SUM('Asset Allocation'!C21,'Asset Allocation'!D21,'Asset Allocation'!F21,'Asset Allocation'!H21))</f>
        <v>0.38</v>
      </c>
      <c r="C21">
        <f>IF(A21="","",SUM('Asset Allocation'!B21))</f>
        <v>0.42</v>
      </c>
      <c r="F21">
        <f>IF(A21="","",SUM('Asset Allocation'!E21,'Asset Allocation'!I21,'Asset Allocation'!J21))</f>
        <v>0.09</v>
      </c>
      <c r="G21">
        <f>IF(A21="","",SUM('Asset Allocation'!G21))</f>
        <v>0.11</v>
      </c>
      <c r="H21">
        <f t="shared" si="0"/>
        <v>0</v>
      </c>
    </row>
    <row r="22" spans="1:8" x14ac:dyDescent="0.25">
      <c r="A22" t="str">
        <f>IF(Input!A23="","",Input!A23)</f>
        <v>International Sustainable MPS GBP Balanced</v>
      </c>
      <c r="B22">
        <f>IF(A22="","",SUM('Asset Allocation'!C22,'Asset Allocation'!D22,'Asset Allocation'!F22,'Asset Allocation'!H22))</f>
        <v>0.53</v>
      </c>
      <c r="C22">
        <f>IF(A22="","",SUM('Asset Allocation'!B22))</f>
        <v>0.31</v>
      </c>
      <c r="F22">
        <f>IF(A22="","",SUM('Asset Allocation'!E22,'Asset Allocation'!I22,'Asset Allocation'!J22))</f>
        <v>0.08</v>
      </c>
      <c r="G22">
        <f>IF(A22="","",SUM('Asset Allocation'!G22))</f>
        <v>0.09</v>
      </c>
      <c r="H22">
        <f t="shared" si="0"/>
        <v>-1.0000000000000009E-2</v>
      </c>
    </row>
    <row r="23" spans="1:8" x14ac:dyDescent="0.25">
      <c r="A23" t="str">
        <f>IF(Input!A24="","",Input!A24)</f>
        <v>International Sustainable MPS GBP Adventurous</v>
      </c>
      <c r="B23">
        <f>IF(A23="","",SUM('Asset Allocation'!C23,'Asset Allocation'!D23,'Asset Allocation'!F23,'Asset Allocation'!H23))</f>
        <v>0.09</v>
      </c>
      <c r="C23">
        <f>IF(A23="","",SUM('Asset Allocation'!B23))</f>
        <v>0.05</v>
      </c>
      <c r="F23">
        <f>IF(A23="","",SUM('Asset Allocation'!E23,'Asset Allocation'!I23,'Asset Allocation'!J23))</f>
        <v>0.02</v>
      </c>
      <c r="G23">
        <f>IF(A23="","",SUM('Asset Allocation'!G23))</f>
        <v>0.04</v>
      </c>
      <c r="H23">
        <f t="shared" si="0"/>
        <v>0.8</v>
      </c>
    </row>
    <row r="24" spans="1:8" x14ac:dyDescent="0.25">
      <c r="A24" t="str">
        <f>IF(Input!A25="","",Input!A25)</f>
        <v/>
      </c>
      <c r="B24" t="str">
        <f>IF(A24="","",SUM('Asset Allocation'!C24,'Asset Allocation'!D24,'Asset Allocation'!F24,'Asset Allocation'!H24))</f>
        <v/>
      </c>
      <c r="C24" t="str">
        <f>IF(A24="","",SUM('Asset Allocation'!B24))</f>
        <v/>
      </c>
      <c r="F24" t="str">
        <f>IF(A24="","",SUM('Asset Allocation'!E24,'Asset Allocation'!I24,'Asset Allocation'!J24))</f>
        <v/>
      </c>
      <c r="G24" t="str">
        <f>IF(A24="","",SUM('Asset Allocation'!G24))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Allocation'!C25,'Asset Allocation'!D25,'Asset Allocation'!F25,'Asset Allocation'!H25))</f>
        <v/>
      </c>
      <c r="C25" t="str">
        <f>IF(A25="","",SUM('Asset Allocation'!B25))</f>
        <v/>
      </c>
      <c r="F25" t="str">
        <f>IF(A25="","",SUM('Asset Allocation'!E25,'Asset Allocation'!I25,'Asset Allocation'!J25))</f>
        <v/>
      </c>
      <c r="G25" t="str">
        <f>IF(A25="","",SUM('Asset Allocation'!G25))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Allocation'!C26,'Asset Allocation'!D26,'Asset Allocation'!F26,'Asset Allocation'!H26))</f>
        <v/>
      </c>
      <c r="C26" t="str">
        <f>IF(A26="","",SUM('Asset Allocation'!B26))</f>
        <v/>
      </c>
      <c r="F26" t="str">
        <f>IF(A26="","",SUM('Asset Allocation'!E26,'Asset Allocation'!I26,'Asset Allocation'!J26))</f>
        <v/>
      </c>
      <c r="G26" t="str">
        <f>IF(A26="","",SUM('Asset Allocation'!G26))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Allocation'!C27,'Asset Allocation'!D27,'Asset Allocation'!F27,'Asset Allocation'!H27))</f>
        <v/>
      </c>
      <c r="C27" t="str">
        <f>IF(A27="","",SUM('Asset Allocation'!B27))</f>
        <v/>
      </c>
      <c r="F27" t="str">
        <f>IF(A27="","",SUM('Asset Allocation'!E27,'Asset Allocation'!I27,'Asset Allocation'!J27))</f>
        <v/>
      </c>
      <c r="G27" t="str">
        <f>IF(A27="","",SUM('Asset Allocation'!G27))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Allocation'!C28,'Asset Allocation'!D28,'Asset Allocation'!F28,'Asset Allocation'!H28))</f>
        <v/>
      </c>
      <c r="C28" t="str">
        <f>IF(A28="","",SUM('Asset Allocation'!B28))</f>
        <v/>
      </c>
      <c r="F28" t="str">
        <f>IF(A28="","",SUM('Asset Allocation'!E28,'Asset Allocation'!I28,'Asset Allocation'!J28))</f>
        <v/>
      </c>
      <c r="G28" t="str">
        <f>IF(A28="","",SUM('Asset Allocation'!G28))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Allocation'!C29,'Asset Allocation'!D29,'Asset Allocation'!F29,'Asset Allocation'!H29))</f>
        <v/>
      </c>
      <c r="C29" t="str">
        <f>IF(A29="","",SUM('Asset Allocation'!B29))</f>
        <v/>
      </c>
      <c r="F29" t="str">
        <f>IF(A29="","",SUM('Asset Allocation'!E29,'Asset Allocation'!I29,'Asset Allocation'!J29))</f>
        <v/>
      </c>
      <c r="G29" t="str">
        <f>IF(A29="","",SUM('Asset Allocation'!G29))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Allocation'!C30,'Asset Allocation'!D30,'Asset Allocation'!F30,'Asset Allocation'!H30))</f>
        <v/>
      </c>
      <c r="C30" t="str">
        <f>IF(A30="","",SUM('Asset Allocation'!B30))</f>
        <v/>
      </c>
      <c r="F30" t="str">
        <f>IF(A30="","",SUM('Asset Allocation'!E30,'Asset Allocation'!I30,'Asset Allocation'!J30))</f>
        <v/>
      </c>
      <c r="G30" t="str">
        <f>IF(A30="","",SUM('Asset Allocation'!G30))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Allocation'!C31,'Asset Allocation'!D31,'Asset Allocation'!F31,'Asset Allocation'!H31))</f>
        <v/>
      </c>
      <c r="C31" t="str">
        <f>IF(A31="","",SUM('Asset Allocation'!B31))</f>
        <v/>
      </c>
      <c r="F31" t="str">
        <f>IF(A31="","",SUM('Asset Allocation'!E31,'Asset Allocation'!I31,'Asset Allocation'!J31))</f>
        <v/>
      </c>
      <c r="G31" t="str">
        <f>IF(A31="","",SUM('Asset Allocation'!G31))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Allocation'!C32,'Asset Allocation'!D32,'Asset Allocation'!F32,'Asset Allocation'!H32))</f>
        <v/>
      </c>
      <c r="C32" t="str">
        <f>IF(A32="","",SUM('Asset Allocation'!B32))</f>
        <v/>
      </c>
      <c r="F32" t="str">
        <f>IF(A32="","",SUM('Asset Allocation'!E32,'Asset Allocation'!I32,'Asset Allocation'!J32))</f>
        <v/>
      </c>
      <c r="G32" t="str">
        <f>IF(A32="","",SUM('Asset Allocation'!G32))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Allocation'!C33,'Asset Allocation'!D33,'Asset Allocation'!F33,'Asset Allocation'!H33))</f>
        <v/>
      </c>
      <c r="C33" t="str">
        <f>IF(A33="","",SUM('Asset Allocation'!B33))</f>
        <v/>
      </c>
      <c r="F33" t="str">
        <f>IF(A33="","",SUM('Asset Allocation'!E33,'Asset Allocation'!I33,'Asset Allocation'!J33))</f>
        <v/>
      </c>
      <c r="G33" t="str">
        <f>IF(A33="","",SUM('Asset Allocation'!G33))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Allocation'!C34,'Asset Allocation'!D34,'Asset Allocation'!F34,'Asset Allocation'!H34))</f>
        <v/>
      </c>
      <c r="C34" t="str">
        <f>IF(A34="","",SUM('Asset Allocation'!B34))</f>
        <v/>
      </c>
      <c r="F34" t="str">
        <f>IF(A34="","",SUM('Asset Allocation'!E34,'Asset Allocation'!I34,'Asset Allocation'!J34))</f>
        <v/>
      </c>
      <c r="G34" t="str">
        <f>IF(A34="","",SUM('Asset Allocation'!G34))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Allocation'!D35,'Asset Allocation'!F35,'Asset Allocation'!H35))</f>
        <v/>
      </c>
      <c r="C35" t="str">
        <f>IF(A35="","",SUM('Asset Allocation'!B35))</f>
        <v/>
      </c>
      <c r="F35" t="str">
        <f>IF(A35="","",SUM('Asset Allocation'!E35,'Asset Allocation'!I35,'Asset Allocation'!J35))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Allocation'!D36,'Asset Allocation'!F36,'Asset Allocation'!H36))</f>
        <v/>
      </c>
      <c r="C36" t="str">
        <f>IF(A36="","",SUM('Asset Allocation'!B36))</f>
        <v/>
      </c>
      <c r="F36" t="str">
        <f>IF(A36="","",SUM('Asset Allocation'!E36,'Asset Allocation'!I36,'Asset Allocation'!J36))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Allocation'!D37,'Asset Allocation'!F37,'Asset Allocation'!H37))</f>
        <v/>
      </c>
      <c r="C37" t="str">
        <f>IF(A37="","",SUM('Asset Allocation'!B37))</f>
        <v/>
      </c>
      <c r="F37" t="str">
        <f>IF(A37="","",SUM('Asset Allocation'!E37,'Asset Allocation'!I37,'Asset Allocation'!J37))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Allocation'!D38,'Asset Allocation'!F38,'Asset Allocation'!H38))</f>
        <v/>
      </c>
      <c r="C38" t="str">
        <f>IF(A38="","",SUM('Asset Allocation'!B38))</f>
        <v/>
      </c>
      <c r="F38" t="str">
        <f>IF(A38="","",SUM('Asset Allocation'!E38,'Asset Allocation'!I38,'Asset Allocation'!J38))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Allocation'!D39,'Asset Allocation'!F39,'Asset Allocation'!H39))</f>
        <v/>
      </c>
      <c r="C39" t="str">
        <f>IF(A39="","",SUM('Asset Allocation'!B39))</f>
        <v/>
      </c>
      <c r="F39" t="str">
        <f>IF(A39="","",SUM('Asset Allocation'!E39,'Asset Allocation'!I39,'Asset Allocation'!J39))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Allocation'!D40,'Asset Allocation'!F40,'Asset Allocation'!H40))</f>
        <v/>
      </c>
      <c r="C40" t="str">
        <f>IF(A40="","",SUM('Asset Allocation'!B40))</f>
        <v/>
      </c>
      <c r="F40" t="str">
        <f>IF(A40="","",SUM('Asset Allocation'!E40,'Asset Allocation'!I40,'Asset Allocation'!J40))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Allocation'!D41,'Asset Allocation'!F41,'Asset Allocation'!H41))</f>
        <v/>
      </c>
      <c r="C41" t="str">
        <f>IF(A41="","",SUM('Asset Allocation'!B41))</f>
        <v/>
      </c>
      <c r="F41" t="str">
        <f>IF(A41="","",SUM('Asset Allocation'!E41,'Asset Allocation'!I41,'Asset Allocation'!J41))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Allocation'!D42,'Asset Allocation'!F42,'Asset Allocation'!H42))</f>
        <v/>
      </c>
      <c r="C42" t="str">
        <f>IF(A42="","",SUM('Asset Allocation'!B42))</f>
        <v/>
      </c>
      <c r="F42" t="str">
        <f>IF(A42="","",SUM('Asset Allocation'!E42,'Asset Allocation'!I42,'Asset Allocation'!J42))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Allocation'!D43,'Asset Allocation'!F43,'Asset Allocation'!H43))</f>
        <v/>
      </c>
      <c r="C43" t="str">
        <f>IF(A43="","",SUM('Asset Allocation'!B43))</f>
        <v/>
      </c>
      <c r="F43" t="str">
        <f>IF(A43="","",SUM('Asset Allocation'!E43,'Asset Allocation'!I43,'Asset Allocation'!J43))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Allocation'!D44,'Asset Allocation'!F44,'Asset Allocation'!H44))</f>
        <v/>
      </c>
      <c r="C44" t="str">
        <f>IF(A44="","",SUM('Asset Allocation'!B44))</f>
        <v/>
      </c>
      <c r="F44" t="str">
        <f>IF(A44="","",SUM('Asset Allocation'!E44,'Asset Allocation'!I44,'Asset Allocation'!J44))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Allocation'!D45,'Asset Allocation'!F45,'Asset Allocation'!H45))</f>
        <v/>
      </c>
      <c r="C45" t="str">
        <f>IF(A45="","",SUM('Asset Allocation'!B45))</f>
        <v/>
      </c>
      <c r="F45" t="str">
        <f>IF(A45="","",SUM('Asset Allocation'!E45,'Asset Allocation'!I45,'Asset Allocation'!J45))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Allocation'!D46,'Asset Allocation'!F46,'Asset Allocation'!H46))</f>
        <v/>
      </c>
      <c r="C46" t="str">
        <f>IF(A46="","",SUM('Asset Allocation'!B46))</f>
        <v/>
      </c>
      <c r="F46" t="str">
        <f>IF(A46="","",SUM('Asset Allocation'!E46,'Asset Allocation'!I46,'Asset Allocation'!J46))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Allocation'!D47,'Asset Allocation'!F47,'Asset Allocation'!H47))</f>
        <v/>
      </c>
      <c r="C47" t="str">
        <f>IF(A47="","",SUM('Asset Allocation'!B47))</f>
        <v/>
      </c>
      <c r="F47" t="str">
        <f>IF(A47="","",SUM('Asset Allocation'!E47,'Asset Allocation'!I47,'Asset Allocation'!J47))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Allocation'!D48,'Asset Allocation'!F48,'Asset Allocation'!H48))</f>
        <v/>
      </c>
      <c r="C48" t="str">
        <f>IF(A48="","",SUM('Asset Allocation'!B48))</f>
        <v/>
      </c>
      <c r="F48" t="str">
        <f>IF(A48="","",SUM('Asset Allocation'!E48,'Asset Allocation'!I48,'Asset Allocation'!J48))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Allocation'!D49,'Asset Allocation'!F49,'Asset Allocation'!H49))</f>
        <v/>
      </c>
      <c r="C49" t="str">
        <f>IF(A49="","",SUM('Asset Allocation'!B49))</f>
        <v/>
      </c>
      <c r="F49" t="str">
        <f>IF(A49="","",SUM('Asset Allocation'!E49,'Asset Allocation'!I49,'Asset Allocation'!J49))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Allocation'!D50,'Asset Allocation'!F50,'Asset Allocation'!H50))</f>
        <v/>
      </c>
      <c r="C50" t="str">
        <f>IF(A50="","",SUM('Asset Allocation'!B50))</f>
        <v/>
      </c>
      <c r="F50" t="str">
        <f>IF(A50="","",SUM('Asset Allocation'!E50,'Asset Allocation'!I50,'Asset Allocation'!J50))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MPS Strategic Income</v>
      </c>
      <c r="B2" s="6"/>
      <c r="C2" s="6">
        <f>IFERROR(IF(A2="","",SUM('Asset Allocation'!C2)/'Broad Asset Allocation'!B2),0)</f>
        <v>0</v>
      </c>
      <c r="D2" s="6"/>
      <c r="E2" s="6"/>
      <c r="F2" s="6"/>
      <c r="G2" s="6"/>
      <c r="H2" s="6">
        <f>IFERROR(IF(A2="","",SUM('Asset Allocation'!D2,'Asset Allocation'!F2,'Asset Allocation'!H2)/'Broad Asset Allocation'!B2),0)</f>
        <v>0</v>
      </c>
    </row>
    <row r="3" spans="1:8" x14ac:dyDescent="0.25">
      <c r="A3" t="str">
        <f>IF(Input!A4="","",Input!A4)</f>
        <v>MPS Growth</v>
      </c>
      <c r="B3" s="6"/>
      <c r="C3" s="6">
        <f>IFERROR(IF(A3="","",SUM('Asset Allocation'!C3)/'Broad Asset Allocation'!B3),0)</f>
        <v>0.12</v>
      </c>
      <c r="D3" s="6"/>
      <c r="E3" s="6"/>
      <c r="F3" s="6"/>
      <c r="G3" s="6"/>
      <c r="H3" s="6">
        <f>IFERROR(IF(A3="","",SUM('Asset Allocation'!D3,'Asset Allocation'!F3,'Asset Allocation'!H3)/'Broad Asset Allocation'!B3),0)</f>
        <v>0.88</v>
      </c>
    </row>
    <row r="4" spans="1:8" x14ac:dyDescent="0.25">
      <c r="A4" t="str">
        <f>IF(Input!A5="","",Input!A5)</f>
        <v>MPS Defensive</v>
      </c>
      <c r="B4" s="6"/>
      <c r="C4" s="6">
        <f>IFERROR(IF(A4="","",SUM('Asset Allocation'!C4)/'Broad Asset Allocation'!B4),0)</f>
        <v>0.26315789473684209</v>
      </c>
      <c r="D4" s="6"/>
      <c r="E4" s="6"/>
      <c r="F4" s="6"/>
      <c r="G4" s="6"/>
      <c r="H4" s="6">
        <f>IFERROR(IF(A4="","",SUM('Asset Allocation'!D4,'Asset Allocation'!F4,'Asset Allocation'!H4)/'Broad Asset Allocation'!B4),0)</f>
        <v>0.73684210526315796</v>
      </c>
    </row>
    <row r="5" spans="1:8" x14ac:dyDescent="0.25">
      <c r="A5" t="str">
        <f>IF(Input!A6="","",Input!A6)</f>
        <v>MPS Balanced</v>
      </c>
      <c r="B5" s="6"/>
      <c r="C5" s="6">
        <f>IFERROR(IF(A5="","",SUM('Asset Allocation'!C5)/'Broad Asset Allocation'!B5),0)</f>
        <v>0.18867924528301888</v>
      </c>
      <c r="D5" s="6"/>
      <c r="E5" s="6"/>
      <c r="F5" s="6"/>
      <c r="G5" s="6"/>
      <c r="H5" s="6">
        <f>IFERROR(IF(A5="","",SUM('Asset Allocation'!D5,'Asset Allocation'!F5,'Asset Allocation'!H5)/'Broad Asset Allocation'!B5),0)</f>
        <v>0.81132075471698106</v>
      </c>
    </row>
    <row r="6" spans="1:8" x14ac:dyDescent="0.25">
      <c r="A6" t="str">
        <f>IF(Input!A7="","",Input!A7)</f>
        <v>MPS Adventurous</v>
      </c>
      <c r="B6" s="6"/>
      <c r="C6" s="6">
        <f>IFERROR(IF(A6="","",SUM('Asset Allocation'!C6)/'Broad Asset Allocation'!B6),0)</f>
        <v>7.6923076923076913E-2</v>
      </c>
      <c r="D6" s="6"/>
      <c r="E6" s="6"/>
      <c r="F6" s="6"/>
      <c r="G6" s="6"/>
      <c r="H6" s="6">
        <f>IFERROR(IF(A6="","",SUM('Asset Allocation'!D6,'Asset Allocation'!F6,'Asset Allocation'!H6)/'Broad Asset Allocation'!B6),0)</f>
        <v>0.92307692307692302</v>
      </c>
    </row>
    <row r="7" spans="1:8" x14ac:dyDescent="0.25">
      <c r="A7" t="str">
        <f>IF(Input!A8="","",Input!A8)</f>
        <v>MPS Cautious</v>
      </c>
      <c r="B7" s="6"/>
      <c r="C7" s="6">
        <f>IFERROR(IF(A7="","",SUM('Asset Allocation'!C7)/'Broad Asset Allocation'!B7),0)</f>
        <v>0.19444444444444448</v>
      </c>
      <c r="D7" s="6"/>
      <c r="E7" s="6"/>
      <c r="F7" s="6"/>
      <c r="G7" s="6"/>
      <c r="H7" s="6">
        <f>IFERROR(IF(A7="","",SUM('Asset Allocation'!D7,'Asset Allocation'!F7,'Asset Allocation'!H7)/'Broad Asset Allocation'!B7),0)</f>
        <v>0.80555555555555558</v>
      </c>
    </row>
    <row r="8" spans="1:8" x14ac:dyDescent="0.25">
      <c r="A8" t="str">
        <f>IF(Input!A9="","",Input!A9)</f>
        <v>Sustainable MPS Growth</v>
      </c>
      <c r="B8" s="6"/>
      <c r="C8" s="6">
        <f>IFERROR(IF(A8="","",SUM('Asset Allocation'!C8)/'Broad Asset Allocation'!B8),0)</f>
        <v>2.6315789473684209E-2</v>
      </c>
      <c r="D8" s="6"/>
      <c r="E8" s="6"/>
      <c r="F8" s="6"/>
      <c r="G8" s="6"/>
      <c r="H8" s="6">
        <f>IFERROR(IF(A8="","",SUM('Asset Allocation'!D8,'Asset Allocation'!F8,'Asset Allocation'!H8)/'Broad Asset Allocation'!B8),0)</f>
        <v>0.97368421052631582</v>
      </c>
    </row>
    <row r="9" spans="1:8" x14ac:dyDescent="0.25">
      <c r="A9" t="str">
        <f>IF(Input!A10="","",Input!A10)</f>
        <v>Sustainable MPS Defensive</v>
      </c>
      <c r="B9" s="6"/>
      <c r="C9" s="6">
        <f>IFERROR(IF(A9="","",SUM('Asset Allocation'!C9)/'Broad Asset Allocation'!B9),0)</f>
        <v>0</v>
      </c>
      <c r="D9" s="6"/>
      <c r="E9" s="6"/>
      <c r="F9" s="6"/>
      <c r="G9" s="6"/>
      <c r="H9" s="6">
        <f>IFERROR(IF(A9="","",SUM('Asset Allocation'!D9,'Asset Allocation'!F9,'Asset Allocation'!H9)/'Broad Asset Allocation'!B9),0)</f>
        <v>1</v>
      </c>
    </row>
    <row r="10" spans="1:8" x14ac:dyDescent="0.25">
      <c r="A10" t="str">
        <f>IF(Input!A11="","",Input!A11)</f>
        <v>Sustainable MPS Cautious</v>
      </c>
      <c r="B10" s="6"/>
      <c r="C10" s="6">
        <f>IFERROR(IF(A10="","",SUM('Asset Allocation'!C10)/'Broad Asset Allocation'!B10),0)</f>
        <v>0</v>
      </c>
      <c r="D10" s="6"/>
      <c r="E10" s="6"/>
      <c r="F10" s="6"/>
      <c r="G10" s="6"/>
      <c r="H10" s="6">
        <f>IFERROR(IF(A10="","",SUM('Asset Allocation'!D10,'Asset Allocation'!F10,'Asset Allocation'!H10)/'Broad Asset Allocation'!B10),0)</f>
        <v>1</v>
      </c>
    </row>
    <row r="11" spans="1:8" x14ac:dyDescent="0.25">
      <c r="A11" t="str">
        <f>IF(Input!A12="","",Input!A12)</f>
        <v>Sustainable MPS Balanced</v>
      </c>
      <c r="B11" s="6"/>
      <c r="C11" s="6">
        <f>IFERROR(IF(A11="","",SUM('Asset Allocation'!C11)/'Broad Asset Allocation'!B11),0)</f>
        <v>0</v>
      </c>
      <c r="D11" s="6"/>
      <c r="E11" s="6"/>
      <c r="F11" s="6"/>
      <c r="G11" s="6"/>
      <c r="H11" s="6">
        <f>IFERROR(IF(A11="","",SUM('Asset Allocation'!D11,'Asset Allocation'!F11,'Asset Allocation'!H11)/'Broad Asset Allocation'!B11),0)</f>
        <v>1</v>
      </c>
    </row>
    <row r="12" spans="1:8" x14ac:dyDescent="0.25">
      <c r="A12" t="str">
        <f>IF(Input!A13="","",Input!A13)</f>
        <v>Sustainable MPS Adventurous</v>
      </c>
      <c r="B12" s="6"/>
      <c r="C12" s="6">
        <f>IFERROR(IF(A12="","",SUM('Asset Allocation'!C12)/'Broad Asset Allocation'!B12),0)</f>
        <v>3.2258064516129031E-2</v>
      </c>
      <c r="D12" s="6"/>
      <c r="E12" s="6"/>
      <c r="F12" s="6"/>
      <c r="G12" s="6"/>
      <c r="H12" s="6">
        <f>IFERROR(IF(A12="","",SUM('Asset Allocation'!D12,'Asset Allocation'!F12,'Asset Allocation'!H12)/'Broad Asset Allocation'!B12),0)</f>
        <v>0.96774193548387089</v>
      </c>
    </row>
    <row r="13" spans="1:8" x14ac:dyDescent="0.25">
      <c r="A13" t="str">
        <f>IF(Input!A14="","",Input!A14)</f>
        <v>International MPS Strategic Income</v>
      </c>
      <c r="B13" s="6"/>
      <c r="C13" s="6">
        <f>IFERROR(IF(A13="","",SUM('Asset Allocation'!C13)/'Broad Asset Allocation'!B13),0)</f>
        <v>0</v>
      </c>
      <c r="D13" s="6"/>
      <c r="E13" s="6"/>
      <c r="F13" s="6"/>
      <c r="G13" s="6"/>
      <c r="H13" s="6">
        <f>IFERROR(IF(A13="","",SUM('Asset Allocation'!D13,'Asset Allocation'!F13,'Asset Allocation'!H13)/'Broad Asset Allocation'!B13),0)</f>
        <v>1</v>
      </c>
    </row>
    <row r="14" spans="1:8" x14ac:dyDescent="0.25">
      <c r="A14" t="str">
        <f>IF(Input!A15="","",Input!A15)</f>
        <v>International MPS GBP Growth</v>
      </c>
      <c r="B14" s="6"/>
      <c r="C14" s="6">
        <f>IFERROR(IF(A14="","",SUM('Asset Allocation'!C14)/'Broad Asset Allocation'!B14),0)</f>
        <v>0</v>
      </c>
      <c r="D14" s="6"/>
      <c r="E14" s="6"/>
      <c r="F14" s="6"/>
      <c r="G14" s="6"/>
      <c r="H14" s="6">
        <f>IFERROR(IF(A14="","",SUM('Asset Allocation'!D14,'Asset Allocation'!F14,'Asset Allocation'!H14)/'Broad Asset Allocation'!B14),0)</f>
        <v>1</v>
      </c>
    </row>
    <row r="15" spans="1:8" x14ac:dyDescent="0.25">
      <c r="A15" t="str">
        <f>IF(Input!A16="","",Input!A16)</f>
        <v>International MPS GBP Defensive</v>
      </c>
      <c r="B15" s="6"/>
      <c r="C15" s="6">
        <f>IFERROR(IF(A15="","",SUM('Asset Allocation'!C15)/'Broad Asset Allocation'!B15),0)</f>
        <v>0</v>
      </c>
      <c r="D15" s="6"/>
      <c r="E15" s="6"/>
      <c r="F15" s="6"/>
      <c r="G15" s="6"/>
      <c r="H15" s="6">
        <f>IFERROR(IF(A15="","",SUM('Asset Allocation'!D15,'Asset Allocation'!F15,'Asset Allocation'!H15)/'Broad Asset Allocation'!B15),0)</f>
        <v>1</v>
      </c>
    </row>
    <row r="16" spans="1:8" x14ac:dyDescent="0.25">
      <c r="A16" t="str">
        <f>IF(Input!A17="","",Input!A17)</f>
        <v>International MPS GBP Cautious</v>
      </c>
      <c r="B16" s="6"/>
      <c r="C16" s="6">
        <f>IFERROR(IF(A16="","",SUM('Asset Allocation'!C16)/'Broad Asset Allocation'!B16),0)</f>
        <v>0</v>
      </c>
      <c r="D16" s="6"/>
      <c r="E16" s="6"/>
      <c r="F16" s="6"/>
      <c r="G16" s="6"/>
      <c r="H16" s="6">
        <f>IFERROR(IF(A16="","",SUM('Asset Allocation'!D16,'Asset Allocation'!F16,'Asset Allocation'!H16)/'Broad Asset Allocation'!B16),0)</f>
        <v>1</v>
      </c>
    </row>
    <row r="17" spans="1:8" x14ac:dyDescent="0.25">
      <c r="A17" t="str">
        <f>IF(Input!A18="","",Input!A18)</f>
        <v>International MPS GBP Balanced</v>
      </c>
      <c r="B17" s="6"/>
      <c r="C17" s="6">
        <f>IFERROR(IF(A17="","",SUM('Asset Allocation'!C17)/'Broad Asset Allocation'!B17),0)</f>
        <v>0</v>
      </c>
      <c r="D17" s="6"/>
      <c r="E17" s="6"/>
      <c r="F17" s="6"/>
      <c r="G17" s="6"/>
      <c r="H17" s="6">
        <f>IFERROR(IF(A17="","",SUM('Asset Allocation'!D17,'Asset Allocation'!F17,'Asset Allocation'!H17)/'Broad Asset Allocation'!B17),0)</f>
        <v>1</v>
      </c>
    </row>
    <row r="18" spans="1:8" x14ac:dyDescent="0.25">
      <c r="A18" t="str">
        <f>IF(Input!A19="","",Input!A19)</f>
        <v>International MPS GBP Adventurous</v>
      </c>
      <c r="B18" s="6"/>
      <c r="C18" s="6">
        <f>IFERROR(IF(A18="","",SUM('Asset Allocation'!C18)/'Broad Asset Allocation'!B18),0)</f>
        <v>0</v>
      </c>
      <c r="D18" s="6"/>
      <c r="E18" s="6"/>
      <c r="F18" s="6"/>
      <c r="G18" s="6"/>
      <c r="H18" s="6">
        <f>IFERROR(IF(A18="","",SUM('Asset Allocation'!D18,'Asset Allocation'!F18,'Asset Allocation'!H18)/'Broad Asset Allocation'!B18),0)</f>
        <v>1</v>
      </c>
    </row>
    <row r="19" spans="1:8" x14ac:dyDescent="0.25">
      <c r="A19" t="str">
        <f>IF(Input!A20="","",Input!A20)</f>
        <v>International Sustainable MPS GBP Growth</v>
      </c>
      <c r="B19" s="6"/>
      <c r="C19" s="6">
        <f>IFERROR(IF(A19="","",SUM('Asset Allocation'!C19)/'Broad Asset Allocation'!B19),0)</f>
        <v>0</v>
      </c>
      <c r="D19" s="6"/>
      <c r="E19" s="6"/>
      <c r="F19" s="6"/>
      <c r="G19" s="6"/>
      <c r="H19" s="6">
        <f>IFERROR(IF(A19="","",SUM('Asset Allocation'!D19,'Asset Allocation'!F19,'Asset Allocation'!H19)/'Broad Asset Allocation'!B19),0)</f>
        <v>1</v>
      </c>
    </row>
    <row r="20" spans="1:8" x14ac:dyDescent="0.25">
      <c r="A20" t="str">
        <f>IF(Input!A21="","",Input!A21)</f>
        <v>International Sustainable MPS GBP Defensive</v>
      </c>
      <c r="B20" s="6"/>
      <c r="C20" s="6">
        <f>IFERROR(IF(A20="","",SUM('Asset Allocation'!C20)/'Broad Asset Allocation'!B20),0)</f>
        <v>0</v>
      </c>
      <c r="D20" s="6"/>
      <c r="E20" s="6"/>
      <c r="F20" s="6"/>
      <c r="G20" s="6"/>
      <c r="H20" s="6">
        <f>IFERROR(IF(A20="","",SUM('Asset Allocation'!D20,'Asset Allocation'!F20,'Asset Allocation'!H20)/'Broad Asset Allocation'!B20),0)</f>
        <v>1</v>
      </c>
    </row>
    <row r="21" spans="1:8" x14ac:dyDescent="0.25">
      <c r="A21" t="str">
        <f>IF(Input!A22="","",Input!A22)</f>
        <v>International Sustainable MPS GBP Cautious</v>
      </c>
      <c r="B21" s="6"/>
      <c r="C21" s="6">
        <f>IFERROR(IF(A21="","",SUM('Asset Allocation'!C21)/'Broad Asset Allocation'!B21),0)</f>
        <v>0</v>
      </c>
      <c r="D21" s="6"/>
      <c r="E21" s="6"/>
      <c r="F21" s="6"/>
      <c r="G21" s="6"/>
      <c r="H21" s="6">
        <f>IFERROR(IF(A21="","",SUM('Asset Allocation'!D21,'Asset Allocation'!F21,'Asset Allocation'!H21)/'Broad Asset Allocation'!B21),0)</f>
        <v>1</v>
      </c>
    </row>
    <row r="22" spans="1:8" x14ac:dyDescent="0.25">
      <c r="A22" t="str">
        <f>IF(Input!A23="","",Input!A23)</f>
        <v>International Sustainable MPS GBP Balanced</v>
      </c>
      <c r="B22" s="6"/>
      <c r="C22" s="6">
        <f>IFERROR(IF(A22="","",SUM('Asset Allocation'!C22)/'Broad Asset Allocation'!B22),0)</f>
        <v>0</v>
      </c>
      <c r="D22" s="6"/>
      <c r="E22" s="6"/>
      <c r="F22" s="6"/>
      <c r="G22" s="6"/>
      <c r="H22" s="6">
        <f>IFERROR(IF(A22="","",SUM('Asset Allocation'!D22,'Asset Allocation'!F22,'Asset Allocation'!H22)/'Broad Asset Allocation'!B22),0)</f>
        <v>1</v>
      </c>
    </row>
    <row r="23" spans="1:8" x14ac:dyDescent="0.25">
      <c r="A23" t="str">
        <f>IF(Input!A24="","",Input!A24)</f>
        <v>International Sustainable MPS GBP Adventurous</v>
      </c>
      <c r="B23" s="6"/>
      <c r="C23" s="6">
        <f>IFERROR(IF(A23="","",SUM('Asset Allocation'!C23)/'Broad Asset Allocation'!B23),0)</f>
        <v>0</v>
      </c>
      <c r="D23" s="6"/>
      <c r="E23" s="6"/>
      <c r="F23" s="6"/>
      <c r="G23" s="6"/>
      <c r="H23" s="6">
        <f>IFERROR(IF(A23="","",SUM('Asset Allocation'!D23,'Asset Allocation'!F23,'Asset Allocation'!H23)/'Broad Asset Allocation'!B23),0)</f>
        <v>1</v>
      </c>
    </row>
    <row r="24" spans="1:8" x14ac:dyDescent="0.25">
      <c r="A24" t="str">
        <f>IF(Input!A25="","",Input!A25)</f>
        <v/>
      </c>
      <c r="B24" s="6"/>
      <c r="C24" s="6" t="str">
        <f>IFERROR(IF(A24="","",SUM('Asset Allocation'!C24)/'Broad Asset Allocation'!B24),0)</f>
        <v/>
      </c>
      <c r="D24" s="6"/>
      <c r="E24" s="6"/>
      <c r="F24" s="6"/>
      <c r="G24" s="6"/>
      <c r="H24" s="6" t="str">
        <f>IFERROR(IF(A24="","",SUM('Asset Allocation'!D24,'Asset Allocation'!F24,'Asset Allocation'!H24)/'Broad Asset Allocation'!B24),0)</f>
        <v/>
      </c>
    </row>
    <row r="25" spans="1:8" x14ac:dyDescent="0.25">
      <c r="A25" t="str">
        <f>IF(Input!A26="","",Input!A26)</f>
        <v/>
      </c>
      <c r="B25" s="6"/>
      <c r="C25" s="6" t="str">
        <f>IFERROR(IF(A25="","",SUM('Asset Allocation'!C25)/'Broad Asset Allocation'!B25),0)</f>
        <v/>
      </c>
      <c r="D25" s="6"/>
      <c r="E25" s="6"/>
      <c r="F25" s="6"/>
      <c r="G25" s="6"/>
      <c r="H25" s="6" t="str">
        <f>IFERROR(IF(A25="","",SUM('Asset Allocation'!D25,'Asset Allocation'!F25,'Asset Allocation'!H25)/'Broad Asset Allocation'!B25),0)</f>
        <v/>
      </c>
    </row>
    <row r="26" spans="1:8" x14ac:dyDescent="0.25">
      <c r="A26" t="str">
        <f>IF(Input!A27="","",Input!A27)</f>
        <v/>
      </c>
      <c r="B26" s="6"/>
      <c r="C26" s="6" t="str">
        <f>IFERROR(IF(A26="","",SUM('Asset Allocation'!C26)/'Broad Asset Allocation'!B26),0)</f>
        <v/>
      </c>
      <c r="D26" s="6"/>
      <c r="E26" s="6"/>
      <c r="F26" s="6"/>
      <c r="G26" s="6"/>
      <c r="H26" s="6" t="str">
        <f>IFERROR(IF(A26="","",SUM('Asset Allocation'!D26,'Asset Allocation'!F26,'Asset Allocation'!H26)/'Broad Asset Allocation'!B26),0)</f>
        <v/>
      </c>
    </row>
    <row r="27" spans="1:8" x14ac:dyDescent="0.25">
      <c r="A27" t="str">
        <f>IF(Input!A28="","",Input!A28)</f>
        <v/>
      </c>
      <c r="B27" s="6"/>
      <c r="C27" s="6" t="str">
        <f>IFERROR(IF(A27="","",SUM('Asset Allocation'!C27)/'Broad Asset Allocation'!B27),0)</f>
        <v/>
      </c>
      <c r="D27" s="6"/>
      <c r="E27" s="6"/>
      <c r="F27" s="6"/>
      <c r="G27" s="6"/>
      <c r="H27" s="6" t="str">
        <f>IFERROR(IF(A27="","",SUM('Asset Allocation'!D27,'Asset Allocation'!F27,'Asset Allocation'!H27)/'Broad Asset Allocation'!B27),0)</f>
        <v/>
      </c>
    </row>
    <row r="28" spans="1:8" x14ac:dyDescent="0.25">
      <c r="A28" t="str">
        <f>IF(Input!A29="","",Input!A29)</f>
        <v/>
      </c>
      <c r="B28" s="6"/>
      <c r="C28" s="6" t="str">
        <f>IFERROR(IF(A28="","",SUM('Asset Allocation'!C28)/'Broad Asset Allocation'!B28),0)</f>
        <v/>
      </c>
      <c r="D28" s="6"/>
      <c r="E28" s="6"/>
      <c r="F28" s="6"/>
      <c r="G28" s="6"/>
      <c r="H28" s="6" t="str">
        <f>IFERROR(IF(A28="","",SUM('Asset Allocation'!D28,'Asset Allocation'!F28,'Asset Allocation'!H28)/'Broad Asset Allocation'!B28),0)</f>
        <v/>
      </c>
    </row>
    <row r="29" spans="1:8" x14ac:dyDescent="0.25">
      <c r="A29" t="str">
        <f>IF(Input!A30="","",Input!A30)</f>
        <v/>
      </c>
      <c r="B29" s="6"/>
      <c r="C29" s="6" t="str">
        <f>IFERROR(IF(A29="","",SUM('Asset Allocation'!C29)/'Broad Asset Allocation'!B29),0)</f>
        <v/>
      </c>
      <c r="D29" s="6"/>
      <c r="E29" s="6"/>
      <c r="F29" s="6"/>
      <c r="G29" s="6"/>
      <c r="H29" s="6" t="str">
        <f>IFERROR(IF(A29="","",SUM('Asset Allocation'!D29,'Asset Allocation'!F29,'Asset Allocation'!H29)/'Broad Asset Allocation'!B29),0)</f>
        <v/>
      </c>
    </row>
    <row r="30" spans="1:8" x14ac:dyDescent="0.25">
      <c r="A30" t="str">
        <f>IF(Input!A31="","",Input!A31)</f>
        <v/>
      </c>
      <c r="B30" s="6"/>
      <c r="C30" s="6" t="str">
        <f>IFERROR(IF(A30="","",SUM('Asset Allocation'!C30)/'Broad Asset Allocation'!B30),0)</f>
        <v/>
      </c>
      <c r="D30" s="6"/>
      <c r="E30" s="6"/>
      <c r="F30" s="6"/>
      <c r="G30" s="6"/>
      <c r="H30" s="6" t="str">
        <f>IFERROR(IF(A30="","",SUM('Asset Allocation'!D30,'Asset Allocation'!F30,'Asset Allocation'!H30)/'Broad Asset Allocation'!B30),0)</f>
        <v/>
      </c>
    </row>
    <row r="31" spans="1:8" x14ac:dyDescent="0.25">
      <c r="A31" t="str">
        <f>IF(Input!A32="","",Input!A32)</f>
        <v/>
      </c>
      <c r="B31" s="6"/>
      <c r="C31" s="6" t="str">
        <f>IFERROR(IF(A31="","",SUM('Asset Allocation'!C31)/'Broad Asset Allocation'!B31),0)</f>
        <v/>
      </c>
      <c r="D31" s="6"/>
      <c r="E31" s="6"/>
      <c r="F31" s="6"/>
      <c r="G31" s="6"/>
      <c r="H31" s="6" t="str">
        <f>IFERROR(IF(A31="","",SUM('Asset Allocation'!D31,'Asset Allocation'!F31,'Asset Allocation'!H31)/'Broad Asset Allocation'!B31),0)</f>
        <v/>
      </c>
    </row>
    <row r="32" spans="1:8" x14ac:dyDescent="0.25">
      <c r="A32" t="str">
        <f>IF(Input!A33="","",Input!A33)</f>
        <v/>
      </c>
      <c r="B32" s="6"/>
      <c r="C32" s="6" t="str">
        <f>IFERROR(IF(A32="","",SUM('Asset Allocation'!C32)/'Broad Asset Allocation'!B32),0)</f>
        <v/>
      </c>
      <c r="D32" s="6"/>
      <c r="E32" s="6"/>
      <c r="F32" s="6"/>
      <c r="G32" s="6"/>
      <c r="H32" s="6" t="str">
        <f>IFERROR(IF(A32="","",SUM('Asset Allocation'!D32,'Asset Allocation'!F32,'Asset Allocation'!H32)/'Broad Asset Allocation'!B32),0)</f>
        <v/>
      </c>
    </row>
    <row r="33" spans="1:8" x14ac:dyDescent="0.25">
      <c r="A33" t="str">
        <f>IF(Input!A34="","",Input!A34)</f>
        <v/>
      </c>
      <c r="B33" s="6"/>
      <c r="C33" s="6" t="str">
        <f>IFERROR(IF(A33="","",SUM('Asset Allocation'!C33)/'Broad Asset Allocation'!B33),0)</f>
        <v/>
      </c>
      <c r="D33" s="6"/>
      <c r="E33" s="6"/>
      <c r="F33" s="6"/>
      <c r="G33" s="6"/>
      <c r="H33" s="6" t="str">
        <f>IFERROR(IF(A33="","",SUM('Asset Allocation'!D33,'Asset Allocation'!F33,'Asset Allocation'!H33)/'Broad Asset Allocation'!B33),0)</f>
        <v/>
      </c>
    </row>
    <row r="34" spans="1:8" x14ac:dyDescent="0.25">
      <c r="A34" t="str">
        <f>IF(Input!A35="","",Input!A35)</f>
        <v/>
      </c>
      <c r="B34" s="6"/>
      <c r="C34" s="6" t="str">
        <f>IFERROR(IF(A34="","",SUM('Asset Allocation'!C34)/'Broad Asset Allocation'!B34),0)</f>
        <v/>
      </c>
      <c r="D34" s="6"/>
      <c r="E34" s="6"/>
      <c r="F34" s="6"/>
      <c r="G34" s="6"/>
      <c r="H34" s="6" t="str">
        <f>IFERROR(IF(A34="","",SUM('Asset Allocation'!D34,'Asset Allocation'!F34,'Asset Allocation'!H34)/'Broad Asset Allocation'!B34),0)</f>
        <v/>
      </c>
    </row>
    <row r="35" spans="1:8" x14ac:dyDescent="0.25">
      <c r="A35" t="str">
        <f>IF(Input!A36="","",Input!A36)</f>
        <v/>
      </c>
      <c r="B35" s="6"/>
      <c r="C35" s="6" t="str">
        <f>IFERROR(IF(A35="","",SUM('Asset Allocation'!C35)/'Broad Asset Allocation'!B35),0)</f>
        <v/>
      </c>
      <c r="D35" s="6"/>
      <c r="E35" s="6"/>
      <c r="F35" s="6"/>
      <c r="G35" s="6"/>
      <c r="H35" s="6" t="str">
        <f>IFERROR(IF(A35="","",SUM('Asset Allocation'!D35,'Asset Allocation'!F35,'Asset Allocation'!H35)/'Broad Asset Allocation'!B35),0)</f>
        <v/>
      </c>
    </row>
    <row r="36" spans="1:8" x14ac:dyDescent="0.25">
      <c r="A36" t="str">
        <f>IF(Input!A37="","",Input!A37)</f>
        <v/>
      </c>
      <c r="B36" s="6"/>
      <c r="C36" s="6" t="str">
        <f>IFERROR(IF(A36="","",SUM('Asset Allocation'!C36)/'Broad Asset Allocation'!B36),0)</f>
        <v/>
      </c>
      <c r="D36" s="6"/>
      <c r="E36" s="6"/>
      <c r="F36" s="6"/>
      <c r="G36" s="6"/>
      <c r="H36" s="6" t="str">
        <f>IFERROR(IF(A36="","",SUM('Asset Allocation'!D36,'Asset Allocation'!F36,'Asset Allocation'!H36)/'Broad Asset Allocation'!B36),0)</f>
        <v/>
      </c>
    </row>
    <row r="37" spans="1:8" x14ac:dyDescent="0.25">
      <c r="A37" t="str">
        <f>IF(Input!A38="","",Input!A38)</f>
        <v/>
      </c>
      <c r="B37" s="6"/>
      <c r="C37" s="6" t="str">
        <f>IFERROR(IF(A37="","",SUM('Asset Allocation'!C37)/'Broad Asset Allocation'!B37),0)</f>
        <v/>
      </c>
      <c r="D37" s="6"/>
      <c r="E37" s="6"/>
      <c r="F37" s="6"/>
      <c r="G37" s="6"/>
      <c r="H37" s="6" t="str">
        <f>IFERROR(IF(A37="","",SUM('Asset Allocation'!D37,'Asset Allocation'!F37,'Asset Allocation'!H37)/'Broad Asset Allocation'!B37),0)</f>
        <v/>
      </c>
    </row>
    <row r="38" spans="1:8" x14ac:dyDescent="0.25">
      <c r="A38" t="str">
        <f>IF(Input!A39="","",Input!A39)</f>
        <v/>
      </c>
      <c r="B38" s="6"/>
      <c r="C38" s="6" t="str">
        <f>IFERROR(IF(A38="","",SUM('Asset Allocation'!C38)/'Broad Asset Allocation'!B38),0)</f>
        <v/>
      </c>
      <c r="D38" s="6"/>
      <c r="E38" s="6"/>
      <c r="F38" s="6"/>
      <c r="G38" s="6"/>
      <c r="H38" s="6" t="str">
        <f>IFERROR(IF(A38="","",SUM('Asset Allocation'!D38,'Asset Allocation'!F38,'Asset Allocation'!H38)/'Broad Asset Allocation'!B38),0)</f>
        <v/>
      </c>
    </row>
    <row r="39" spans="1:8" x14ac:dyDescent="0.25">
      <c r="A39" t="str">
        <f>IF(Input!A40="","",Input!A40)</f>
        <v/>
      </c>
      <c r="B39" s="6"/>
      <c r="C39" s="6" t="str">
        <f>IFERROR(IF(A39="","",SUM('Asset Allocation'!C39)/'Broad Asset Allocation'!B39),0)</f>
        <v/>
      </c>
      <c r="D39" s="6"/>
      <c r="E39" s="6"/>
      <c r="F39" s="6"/>
      <c r="G39" s="6"/>
      <c r="H39" s="6" t="str">
        <f>IFERROR(IF(A39="","",SUM('Asset Allocation'!D39,'Asset Allocation'!F39,'Asset Allocation'!H39)/'Broad Asset Allocation'!B39),0)</f>
        <v/>
      </c>
    </row>
    <row r="40" spans="1:8" x14ac:dyDescent="0.25">
      <c r="A40" t="str">
        <f>IF(Input!A41="","",Input!A41)</f>
        <v/>
      </c>
      <c r="B40" s="6"/>
      <c r="C40" s="6" t="str">
        <f>IFERROR(IF(A40="","",SUM('Asset Allocation'!C40)/'Broad Asset Allocation'!B40),0)</f>
        <v/>
      </c>
      <c r="D40" s="6"/>
      <c r="E40" s="6"/>
      <c r="F40" s="6"/>
      <c r="G40" s="6"/>
      <c r="H40" s="6" t="str">
        <f>IFERROR(IF(A40="","",SUM('Asset Allocation'!D40,'Asset Allocation'!F40,'Asset Allocation'!H40)/'Broad Asset Allocation'!B40),0)</f>
        <v/>
      </c>
    </row>
    <row r="41" spans="1:8" x14ac:dyDescent="0.25">
      <c r="A41" t="str">
        <f>IF(Input!A42="","",Input!A42)</f>
        <v/>
      </c>
      <c r="B41" s="6"/>
      <c r="C41" s="6" t="str">
        <f>IFERROR(IF(A41="","",SUM('Asset Allocation'!C41)/'Broad Asset Allocation'!B41),0)</f>
        <v/>
      </c>
      <c r="D41" s="6"/>
      <c r="E41" s="6"/>
      <c r="F41" s="6"/>
      <c r="G41" s="6"/>
      <c r="H41" s="6" t="str">
        <f>IFERROR(IF(A41="","",SUM('Asset Allocation'!D41,'Asset Allocation'!F41,'Asset Allocation'!H41)/'Broad Asset Allocation'!B41),0)</f>
        <v/>
      </c>
    </row>
    <row r="42" spans="1:8" x14ac:dyDescent="0.25">
      <c r="A42" t="str">
        <f>IF(Input!A43="","",Input!A43)</f>
        <v/>
      </c>
      <c r="B42" s="6"/>
      <c r="C42" s="6" t="str">
        <f>IFERROR(IF(A42="","",SUM('Asset Allocation'!C42)/'Broad Asset Allocation'!B42),0)</f>
        <v/>
      </c>
      <c r="D42" s="6"/>
      <c r="E42" s="6"/>
      <c r="F42" s="6"/>
      <c r="G42" s="6"/>
      <c r="H42" s="6" t="str">
        <f>IFERROR(IF(A42="","",SUM('Asset Allocation'!D42,'Asset Allocation'!F42,'Asset Allocation'!H42)/'Broad Asset Allocation'!B42),0)</f>
        <v/>
      </c>
    </row>
    <row r="43" spans="1:8" x14ac:dyDescent="0.25">
      <c r="A43" t="str">
        <f>IF(Input!A44="","",Input!A44)</f>
        <v/>
      </c>
      <c r="B43" s="6"/>
      <c r="C43" s="6" t="str">
        <f>IFERROR(IF(A43="","",SUM('Asset Allocation'!C43)/'Broad Asset Allocation'!B43),0)</f>
        <v/>
      </c>
      <c r="D43" s="6"/>
      <c r="E43" s="6"/>
      <c r="F43" s="6"/>
      <c r="G43" s="6"/>
      <c r="H43" s="6" t="str">
        <f>IFERROR(IF(A43="","",SUM('Asset Allocation'!D43,'Asset Allocation'!F43,'Asset Allocation'!H43)/'Broad Asset Allocation'!B43),0)</f>
        <v/>
      </c>
    </row>
    <row r="44" spans="1:8" x14ac:dyDescent="0.25">
      <c r="A44" t="str">
        <f>IF(Input!A45="","",Input!A45)</f>
        <v/>
      </c>
      <c r="B44" s="6"/>
      <c r="C44" s="6" t="str">
        <f>IFERROR(IF(A44="","",SUM('Asset Allocation'!C44)/'Broad Asset Allocation'!B44),0)</f>
        <v/>
      </c>
      <c r="D44" s="6"/>
      <c r="E44" s="6"/>
      <c r="F44" s="6"/>
      <c r="G44" s="6"/>
      <c r="H44" s="6" t="str">
        <f>IFERROR(IF(A44="","",SUM('Asset Allocation'!D44,'Asset Allocation'!F44,'Asset Allocation'!H44)/'Broad Asset Allocation'!B44),0)</f>
        <v/>
      </c>
    </row>
    <row r="45" spans="1:8" x14ac:dyDescent="0.25">
      <c r="A45" t="str">
        <f>IF(Input!A46="","",Input!A46)</f>
        <v/>
      </c>
      <c r="B45" s="6"/>
      <c r="C45" s="6" t="str">
        <f>IFERROR(IF(A45="","",SUM('Asset Allocation'!C45)/'Broad Asset Allocation'!B45),0)</f>
        <v/>
      </c>
      <c r="D45" s="6"/>
      <c r="E45" s="6"/>
      <c r="F45" s="6"/>
      <c r="G45" s="6"/>
      <c r="H45" s="6" t="str">
        <f>IFERROR(IF(A45="","",SUM('Asset Allocation'!D45,'Asset Allocation'!F45,'Asset Allocation'!H45)/'Broad Asset Allocation'!B45),0)</f>
        <v/>
      </c>
    </row>
    <row r="46" spans="1:8" x14ac:dyDescent="0.25">
      <c r="A46" t="str">
        <f>IF(Input!A47="","",Input!A47)</f>
        <v/>
      </c>
      <c r="B46" s="6"/>
      <c r="C46" s="6" t="str">
        <f>IFERROR(IF(A46="","",SUM('Asset Allocation'!C46)/'Broad Asset Allocation'!B46),0)</f>
        <v/>
      </c>
      <c r="D46" s="6"/>
      <c r="E46" s="6"/>
      <c r="F46" s="6"/>
      <c r="G46" s="6"/>
      <c r="H46" s="6" t="str">
        <f>IFERROR(IF(A46="","",SUM('Asset Allocation'!D46,'Asset Allocation'!F46,'Asset Allocation'!H46)/'Broad Asset Allocation'!B46),0)</f>
        <v/>
      </c>
    </row>
    <row r="47" spans="1:8" x14ac:dyDescent="0.25">
      <c r="A47" t="str">
        <f>IF(Input!A48="","",Input!A48)</f>
        <v/>
      </c>
      <c r="B47" s="6"/>
      <c r="C47" s="6" t="str">
        <f>IFERROR(IF(A47="","",SUM('Asset Allocation'!C47)/'Broad Asset Allocation'!B47),0)</f>
        <v/>
      </c>
      <c r="D47" s="6"/>
      <c r="E47" s="6"/>
      <c r="F47" s="6"/>
      <c r="G47" s="6"/>
      <c r="H47" s="6" t="str">
        <f>IFERROR(IF(A47="","",SUM('Asset Allocation'!D47,'Asset Allocation'!F47,'Asset Allocation'!H47)/'Broad Asset Allocation'!B47),0)</f>
        <v/>
      </c>
    </row>
    <row r="48" spans="1:8" x14ac:dyDescent="0.25">
      <c r="A48" t="str">
        <f>IF(Input!A49="","",Input!A49)</f>
        <v/>
      </c>
      <c r="B48" s="6"/>
      <c r="C48" s="6" t="str">
        <f>IFERROR(IF(A48="","",SUM('Asset Allocation'!C48)/'Broad Asset Allocation'!B48),0)</f>
        <v/>
      </c>
      <c r="D48" s="6"/>
      <c r="E48" s="6"/>
      <c r="F48" s="6"/>
      <c r="G48" s="6"/>
      <c r="H48" s="6" t="str">
        <f>IFERROR(IF(A48="","",SUM('Asset Allocation'!D48,'Asset Allocation'!F48,'Asset Allocation'!H48)/'Broad Asset Allocation'!B48),0)</f>
        <v/>
      </c>
    </row>
    <row r="49" spans="1:8" x14ac:dyDescent="0.25">
      <c r="A49" t="str">
        <f>IF(Input!A50="","",Input!A50)</f>
        <v/>
      </c>
      <c r="B49" s="6"/>
      <c r="C49" s="6" t="str">
        <f>IFERROR(IF(A49="","",SUM('Asset Allocation'!C49)/'Broad Asset Allocation'!B49),0)</f>
        <v/>
      </c>
      <c r="D49" s="6"/>
      <c r="E49" s="6"/>
      <c r="F49" s="6"/>
      <c r="G49" s="6"/>
      <c r="H49" s="6" t="str">
        <f>IFERROR(IF(A49="","",SUM('Asset Allocation'!D49,'Asset Allocation'!F49,'Asset Allocation'!H49)/'Broad Asset Allocation'!B49),0)</f>
        <v/>
      </c>
    </row>
    <row r="50" spans="1:8" x14ac:dyDescent="0.25">
      <c r="A50" t="str">
        <f>IF(Input!A51="","",Input!A51)</f>
        <v/>
      </c>
      <c r="B50" s="6"/>
      <c r="C50" s="6" t="str">
        <f>IFERROR(IF(A50="","",SUM('Asset Allocation'!C50)/'Broad Asset Allocation'!B50),0)</f>
        <v/>
      </c>
      <c r="D50" s="6"/>
      <c r="E50" s="6"/>
      <c r="F50" s="6"/>
      <c r="G50" s="6"/>
      <c r="H50" s="6" t="str">
        <f>IFERROR(IF(A50="","",SUM('Asset Allocation'!D50,'Asset Allocation'!F50,'Asset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76</v>
      </c>
      <c r="F1" t="s">
        <v>71</v>
      </c>
      <c r="G1" t="s">
        <v>16</v>
      </c>
      <c r="H1" t="s">
        <v>72</v>
      </c>
    </row>
    <row r="2" spans="1:8" x14ac:dyDescent="0.25">
      <c r="A2" t="str">
        <f>IF(Input!A3="","",Input!A3)</f>
        <v>MPS Strategic Income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MPS Growth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MPS Defensive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MPS Balanced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MPS Adventurous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MPS Cautious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Sustainable MPS Growth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Sustainable MPS Defensive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Sustainable MPS Cautious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Sustainable MPS Balanced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>Sustainable MPS Adventurous</v>
      </c>
      <c r="H12">
        <f>IFERROR(IF(A12="","",SUM('Asset Allocation'!B12)/'Broad Asset Allocation'!C12),0)</f>
        <v>1</v>
      </c>
    </row>
    <row r="13" spans="1:8" x14ac:dyDescent="0.25">
      <c r="A13" t="str">
        <f>IF(Input!A14="","",Input!A14)</f>
        <v>International MPS Strategic Income</v>
      </c>
      <c r="H13">
        <f>IFERROR(IF(A13="","",SUM('Asset Allocation'!B13)/'Broad Asset Allocation'!C13),0)</f>
        <v>1</v>
      </c>
    </row>
    <row r="14" spans="1:8" x14ac:dyDescent="0.25">
      <c r="A14" t="str">
        <f>IF(Input!A15="","",Input!A15)</f>
        <v>International MPS GBP Growth</v>
      </c>
      <c r="H14">
        <f>IFERROR(IF(A14="","",SUM('Asset Allocation'!B14)/'Broad Asset Allocation'!C14),0)</f>
        <v>0</v>
      </c>
    </row>
    <row r="15" spans="1:8" x14ac:dyDescent="0.25">
      <c r="A15" t="str">
        <f>IF(Input!A16="","",Input!A16)</f>
        <v>International MPS GBP Defensive</v>
      </c>
      <c r="H15">
        <f>IFERROR(IF(A15="","",SUM('Asset Allocation'!B15)/'Broad Asset Allocation'!C15),0)</f>
        <v>1</v>
      </c>
    </row>
    <row r="16" spans="1:8" x14ac:dyDescent="0.25">
      <c r="A16" t="str">
        <f>IF(Input!A17="","",Input!A17)</f>
        <v>International MPS GBP Cautious</v>
      </c>
      <c r="H16">
        <f>IFERROR(IF(A16="","",SUM('Asset Allocation'!B16)/'Broad Asset Allocation'!C16),0)</f>
        <v>1</v>
      </c>
    </row>
    <row r="17" spans="1:8" x14ac:dyDescent="0.25">
      <c r="A17" t="str">
        <f>IF(Input!A18="","",Input!A18)</f>
        <v>International MPS GBP Balanced</v>
      </c>
      <c r="H17">
        <f>IFERROR(IF(A17="","",SUM('Asset Allocation'!B17)/'Broad Asset Allocation'!C17),0)</f>
        <v>1</v>
      </c>
    </row>
    <row r="18" spans="1:8" x14ac:dyDescent="0.25">
      <c r="A18" t="str">
        <f>IF(Input!A19="","",Input!A19)</f>
        <v>International MPS GBP Adventurous</v>
      </c>
      <c r="H18">
        <f>IFERROR(IF(A18="","",SUM('Asset Allocation'!B18)/'Broad Asset Allocation'!C18),0)</f>
        <v>1</v>
      </c>
    </row>
    <row r="19" spans="1:8" x14ac:dyDescent="0.25">
      <c r="A19" t="str">
        <f>IF(Input!A20="","",Input!A20)</f>
        <v>International Sustainable MPS GBP Growth</v>
      </c>
      <c r="H19">
        <f>IFERROR(IF(A19="","",SUM('Asset Allocation'!B19)/'Broad Asset Allocation'!C19),0)</f>
        <v>1</v>
      </c>
    </row>
    <row r="20" spans="1:8" x14ac:dyDescent="0.25">
      <c r="A20" t="str">
        <f>IF(Input!A21="","",Input!A21)</f>
        <v>International Sustainable MPS GBP Defensive</v>
      </c>
      <c r="H20">
        <f>IFERROR(IF(A20="","",SUM('Asset Allocation'!B20)/'Broad Asset Allocation'!C20),0)</f>
        <v>1</v>
      </c>
    </row>
    <row r="21" spans="1:8" x14ac:dyDescent="0.25">
      <c r="A21" t="str">
        <f>IF(Input!A22="","",Input!A22)</f>
        <v>International Sustainable MPS GBP Cautious</v>
      </c>
      <c r="H21">
        <f>IFERROR(IF(A21="","",SUM('Asset Allocation'!B21)/'Broad Asset Allocation'!C21),0)</f>
        <v>1</v>
      </c>
    </row>
    <row r="22" spans="1:8" x14ac:dyDescent="0.25">
      <c r="A22" t="str">
        <f>IF(Input!A23="","",Input!A23)</f>
        <v>International Sustainable MPS GBP Balanced</v>
      </c>
      <c r="H22">
        <f>IFERROR(IF(A22="","",SUM('Asset Allocation'!B22)/'Broad Asset Allocation'!C22),0)</f>
        <v>1</v>
      </c>
    </row>
    <row r="23" spans="1:8" x14ac:dyDescent="0.25">
      <c r="A23" t="str">
        <f>IF(Input!A24="","",Input!A24)</f>
        <v>International Sustainable MPS GBP Adventurous</v>
      </c>
      <c r="H23">
        <f>IFERROR(IF(A23="","",SUM('Asset Allocation'!B23)/'Broad Asset Allocation'!C23),0)</f>
        <v>1</v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2023-11-25T07:23:32Z</dcterms:modified>
</cp:coreProperties>
</file>