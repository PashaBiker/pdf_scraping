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2_milestone\Brooks\"/>
    </mc:Choice>
  </mc:AlternateContent>
  <bookViews>
    <workbookView xWindow="-105" yWindow="-105" windowWidth="19425" windowHeight="10305" tabRatio="908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6" r:id="rId5"/>
    <sheet name="Dates" sheetId="35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Annual Management Charge" sheetId="38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7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2" i="3"/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A5" i="36"/>
  <c r="E1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H51" i="8"/>
  <c r="B3" i="1" l="1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4" i="36"/>
  <c r="A3" i="36"/>
  <c r="A2" i="36"/>
  <c r="A50" i="35"/>
  <c r="B50" i="35" s="1"/>
  <c r="A49" i="35"/>
  <c r="B49" i="35" s="1"/>
  <c r="A48" i="35"/>
  <c r="B48" i="35" s="1"/>
  <c r="A47" i="35"/>
  <c r="B47" i="35" s="1"/>
  <c r="A46" i="35"/>
  <c r="B46" i="35" s="1"/>
  <c r="A45" i="35"/>
  <c r="B45" i="35" s="1"/>
  <c r="A44" i="35"/>
  <c r="B44" i="35" s="1"/>
  <c r="A43" i="35"/>
  <c r="B43" i="35" s="1"/>
  <c r="A42" i="35"/>
  <c r="B42" i="35" s="1"/>
  <c r="A41" i="35"/>
  <c r="B41" i="35" s="1"/>
  <c r="A40" i="35"/>
  <c r="B40" i="35" s="1"/>
  <c r="A39" i="35"/>
  <c r="B39" i="35" s="1"/>
  <c r="A38" i="35"/>
  <c r="B38" i="35" s="1"/>
  <c r="A37" i="35"/>
  <c r="B37" i="35" s="1"/>
  <c r="A36" i="35"/>
  <c r="B36" i="35" s="1"/>
  <c r="A35" i="35"/>
  <c r="B35" i="35" s="1"/>
  <c r="A34" i="35"/>
  <c r="B34" i="35" s="1"/>
  <c r="A33" i="35"/>
  <c r="B33" i="35" s="1"/>
  <c r="A32" i="35"/>
  <c r="B32" i="35" s="1"/>
  <c r="A31" i="35"/>
  <c r="B31" i="35" s="1"/>
  <c r="A30" i="35"/>
  <c r="B30" i="35" s="1"/>
  <c r="A29" i="35"/>
  <c r="B29" i="35" s="1"/>
  <c r="A28" i="35"/>
  <c r="B28" i="35" s="1"/>
  <c r="A27" i="35"/>
  <c r="B27" i="35" s="1"/>
  <c r="A26" i="35"/>
  <c r="B26" i="35" s="1"/>
  <c r="A25" i="35"/>
  <c r="B25" i="35" s="1"/>
  <c r="A24" i="35"/>
  <c r="B24" i="35" s="1"/>
  <c r="A23" i="35"/>
  <c r="B23" i="35" s="1"/>
  <c r="A22" i="35"/>
  <c r="B22" i="35" s="1"/>
  <c r="A21" i="35"/>
  <c r="B21" i="35" s="1"/>
  <c r="A20" i="35"/>
  <c r="B20" i="35" s="1"/>
  <c r="A19" i="35"/>
  <c r="B19" i="35" s="1"/>
  <c r="A18" i="35"/>
  <c r="B18" i="35" s="1"/>
  <c r="A17" i="35"/>
  <c r="B17" i="35" s="1"/>
  <c r="A16" i="35"/>
  <c r="B16" i="35" s="1"/>
  <c r="A15" i="35"/>
  <c r="B15" i="35" s="1"/>
  <c r="A14" i="35"/>
  <c r="B14" i="35" s="1"/>
  <c r="A13" i="35"/>
  <c r="B13" i="35" s="1"/>
  <c r="A12" i="35"/>
  <c r="B12" i="35" s="1"/>
  <c r="A11" i="35"/>
  <c r="B11" i="35" s="1"/>
  <c r="A10" i="35"/>
  <c r="B10" i="35" s="1"/>
  <c r="A9" i="35"/>
  <c r="B9" i="35" s="1"/>
  <c r="A8" i="35"/>
  <c r="B8" i="35" s="1"/>
  <c r="A7" i="35"/>
  <c r="B7" i="35" s="1"/>
  <c r="A6" i="35"/>
  <c r="B6" i="35" s="1"/>
  <c r="A5" i="35"/>
  <c r="B5" i="35" s="1"/>
  <c r="A4" i="35"/>
  <c r="B4" i="35" s="1"/>
  <c r="A3" i="35"/>
  <c r="B3" i="35" s="1"/>
  <c r="A2" i="35"/>
  <c r="B2" i="35" s="1"/>
  <c r="A1" i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D50" i="31" s="1"/>
  <c r="A49" i="31"/>
  <c r="D49" i="31" s="1"/>
  <c r="A48" i="31"/>
  <c r="D48" i="31" s="1"/>
  <c r="A47" i="31"/>
  <c r="D47" i="31" s="1"/>
  <c r="A46" i="31"/>
  <c r="D46" i="31" s="1"/>
  <c r="A45" i="31"/>
  <c r="D45" i="31" s="1"/>
  <c r="A44" i="31"/>
  <c r="D44" i="31" s="1"/>
  <c r="A43" i="31"/>
  <c r="D43" i="31" s="1"/>
  <c r="A42" i="31"/>
  <c r="D42" i="31" s="1"/>
  <c r="A41" i="31"/>
  <c r="D41" i="31" s="1"/>
  <c r="A40" i="31"/>
  <c r="D40" i="31" s="1"/>
  <c r="A39" i="31"/>
  <c r="D39" i="31" s="1"/>
  <c r="A38" i="31"/>
  <c r="D38" i="31" s="1"/>
  <c r="A37" i="31"/>
  <c r="D37" i="31" s="1"/>
  <c r="A36" i="31"/>
  <c r="D36" i="31" s="1"/>
  <c r="A35" i="31"/>
  <c r="D35" i="31" s="1"/>
  <c r="A34" i="31"/>
  <c r="D34" i="31" s="1"/>
  <c r="A33" i="31"/>
  <c r="D33" i="31" s="1"/>
  <c r="A32" i="31"/>
  <c r="D32" i="31" s="1"/>
  <c r="A31" i="31"/>
  <c r="D31" i="31" s="1"/>
  <c r="A30" i="31"/>
  <c r="D30" i="31" s="1"/>
  <c r="A29" i="31"/>
  <c r="D29" i="31" s="1"/>
  <c r="A28" i="31"/>
  <c r="D28" i="31" s="1"/>
  <c r="A27" i="31"/>
  <c r="D27" i="31" s="1"/>
  <c r="A26" i="31"/>
  <c r="D26" i="31" s="1"/>
  <c r="A25" i="31"/>
  <c r="D25" i="31" s="1"/>
  <c r="A24" i="31"/>
  <c r="D24" i="31" s="1"/>
  <c r="A23" i="31"/>
  <c r="D23" i="31" s="1"/>
  <c r="A22" i="31"/>
  <c r="D22" i="31" s="1"/>
  <c r="A21" i="31"/>
  <c r="D21" i="31" s="1"/>
  <c r="A20" i="31"/>
  <c r="D20" i="31" s="1"/>
  <c r="A19" i="31"/>
  <c r="D19" i="31" s="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2" i="31" l="1"/>
  <c r="E2" i="31"/>
  <c r="D10" i="31"/>
  <c r="E10" i="31"/>
  <c r="D18" i="31"/>
  <c r="E18" i="31"/>
  <c r="D17" i="31"/>
  <c r="E17" i="31"/>
  <c r="D4" i="31"/>
  <c r="E4" i="31"/>
  <c r="D12" i="31"/>
  <c r="E12" i="31"/>
  <c r="D5" i="31"/>
  <c r="E5" i="31"/>
  <c r="D13" i="31"/>
  <c r="E13" i="31"/>
  <c r="B1" i="37" a="1"/>
  <c r="B1" i="37" s="1"/>
  <c r="B1" i="38" a="1"/>
  <c r="B1" i="38" s="1"/>
  <c r="D6" i="31"/>
  <c r="E6" i="31"/>
  <c r="D14" i="31"/>
  <c r="E14" i="31"/>
  <c r="D3" i="31"/>
  <c r="E3" i="31"/>
  <c r="D7" i="31"/>
  <c r="E7" i="31"/>
  <c r="D15" i="31"/>
  <c r="E15" i="31"/>
  <c r="D9" i="31"/>
  <c r="E9" i="31"/>
  <c r="D11" i="31"/>
  <c r="E11" i="31"/>
  <c r="D8" i="31"/>
  <c r="E8" i="31"/>
  <c r="D16" i="31"/>
  <c r="E16" i="31"/>
  <c r="C44" i="7"/>
  <c r="D44" i="7"/>
  <c r="G44" i="7"/>
  <c r="B44" i="7"/>
  <c r="H44" i="7"/>
  <c r="B19" i="7"/>
  <c r="C19" i="7"/>
  <c r="D19" i="7"/>
  <c r="G19" i="7"/>
  <c r="H19" i="7"/>
  <c r="B27" i="7"/>
  <c r="C27" i="7"/>
  <c r="D27" i="7"/>
  <c r="G27" i="7"/>
  <c r="H27" i="7"/>
  <c r="B35" i="7"/>
  <c r="D35" i="7"/>
  <c r="H35" i="7"/>
  <c r="C35" i="7"/>
  <c r="G35" i="7"/>
  <c r="B43" i="7"/>
  <c r="D43" i="7"/>
  <c r="H43" i="7"/>
  <c r="C43" i="7"/>
  <c r="G43" i="7"/>
  <c r="C36" i="7"/>
  <c r="D36" i="7"/>
  <c r="G36" i="7"/>
  <c r="H36" i="7"/>
  <c r="B36" i="7"/>
  <c r="H21" i="7"/>
  <c r="B21" i="7"/>
  <c r="C21" i="7"/>
  <c r="D21" i="7"/>
  <c r="G21" i="7"/>
  <c r="H29" i="7"/>
  <c r="B29" i="7"/>
  <c r="C29" i="7"/>
  <c r="D29" i="7"/>
  <c r="G29" i="7"/>
  <c r="H37" i="7"/>
  <c r="B37" i="7"/>
  <c r="D37" i="7"/>
  <c r="C37" i="7"/>
  <c r="G37" i="7"/>
  <c r="H45" i="7"/>
  <c r="B45" i="7"/>
  <c r="D45" i="7"/>
  <c r="C45" i="7"/>
  <c r="G45" i="7"/>
  <c r="B22" i="7"/>
  <c r="C22" i="7"/>
  <c r="D22" i="7"/>
  <c r="G22" i="7"/>
  <c r="H22" i="7"/>
  <c r="B30" i="7"/>
  <c r="C30" i="7"/>
  <c r="G30" i="7"/>
  <c r="D30" i="7"/>
  <c r="H30" i="7"/>
  <c r="B38" i="7"/>
  <c r="C38" i="7"/>
  <c r="G38" i="7"/>
  <c r="D38" i="7"/>
  <c r="H38" i="7"/>
  <c r="B46" i="7"/>
  <c r="C46" i="7"/>
  <c r="G46" i="7"/>
  <c r="D46" i="7"/>
  <c r="H46" i="7"/>
  <c r="C28" i="7"/>
  <c r="D28" i="7"/>
  <c r="G28" i="7"/>
  <c r="H28" i="7"/>
  <c r="B28" i="7"/>
  <c r="D23" i="7"/>
  <c r="G23" i="7"/>
  <c r="H23" i="7"/>
  <c r="B23" i="7"/>
  <c r="C23" i="7"/>
  <c r="D31" i="7"/>
  <c r="G31" i="7"/>
  <c r="H31" i="7"/>
  <c r="B31" i="7"/>
  <c r="C31" i="7"/>
  <c r="D39" i="7"/>
  <c r="G39" i="7"/>
  <c r="H39" i="7"/>
  <c r="B39" i="7"/>
  <c r="C39" i="7"/>
  <c r="D47" i="7"/>
  <c r="G47" i="7"/>
  <c r="H47" i="7"/>
  <c r="B47" i="7"/>
  <c r="C47" i="7"/>
  <c r="C20" i="7"/>
  <c r="D20" i="7"/>
  <c r="G20" i="7"/>
  <c r="H20" i="7"/>
  <c r="B20" i="7"/>
  <c r="B24" i="7"/>
  <c r="C24" i="7"/>
  <c r="D24" i="7"/>
  <c r="G24" i="7"/>
  <c r="H24" i="7"/>
  <c r="C32" i="7"/>
  <c r="G32" i="7"/>
  <c r="D32" i="7"/>
  <c r="H32" i="7"/>
  <c r="B32" i="7"/>
  <c r="C40" i="7"/>
  <c r="G40" i="7"/>
  <c r="H40" i="7"/>
  <c r="B40" i="7"/>
  <c r="D40" i="7"/>
  <c r="C48" i="7"/>
  <c r="G48" i="7"/>
  <c r="D48" i="7"/>
  <c r="B48" i="7"/>
  <c r="H48" i="7"/>
  <c r="B25" i="7"/>
  <c r="C25" i="7"/>
  <c r="D25" i="7"/>
  <c r="G25" i="7"/>
  <c r="H25" i="7"/>
  <c r="B33" i="7"/>
  <c r="C33" i="7"/>
  <c r="D33" i="7"/>
  <c r="H33" i="7"/>
  <c r="G33" i="7"/>
  <c r="B41" i="7"/>
  <c r="C41" i="7"/>
  <c r="D41" i="7"/>
  <c r="H41" i="7"/>
  <c r="G41" i="7"/>
  <c r="B49" i="7"/>
  <c r="C49" i="7"/>
  <c r="D49" i="7"/>
  <c r="H49" i="7"/>
  <c r="G49" i="7"/>
  <c r="G26" i="7"/>
  <c r="H26" i="7"/>
  <c r="B26" i="7"/>
  <c r="C26" i="7"/>
  <c r="D26" i="7"/>
  <c r="G34" i="7"/>
  <c r="H34" i="7"/>
  <c r="C34" i="7"/>
  <c r="B34" i="7"/>
  <c r="D34" i="7"/>
  <c r="G42" i="7"/>
  <c r="H42" i="7"/>
  <c r="C42" i="7"/>
  <c r="B42" i="7"/>
  <c r="D42" i="7"/>
  <c r="G50" i="7"/>
  <c r="H50" i="7"/>
  <c r="C50" i="7"/>
  <c r="B50" i="7"/>
  <c r="D50" i="7"/>
  <c r="B4" i="4"/>
  <c r="C4" i="4"/>
  <c r="H4" i="8" s="1"/>
  <c r="F4" i="4"/>
  <c r="G4" i="4"/>
  <c r="B12" i="4"/>
  <c r="C12" i="7" s="1"/>
  <c r="G12" i="4"/>
  <c r="C12" i="4"/>
  <c r="H12" i="8" s="1"/>
  <c r="F12" i="4"/>
  <c r="H20" i="4"/>
  <c r="B20" i="4"/>
  <c r="G20" i="4"/>
  <c r="C20" i="4"/>
  <c r="F20" i="4"/>
  <c r="H28" i="4"/>
  <c r="B28" i="4"/>
  <c r="C28" i="4"/>
  <c r="G28" i="4"/>
  <c r="F28" i="4"/>
  <c r="H36" i="4"/>
  <c r="G36" i="4"/>
  <c r="B36" i="4"/>
  <c r="C36" i="4"/>
  <c r="F36" i="4"/>
  <c r="H44" i="4"/>
  <c r="B44" i="4"/>
  <c r="C44" i="4"/>
  <c r="G44" i="4"/>
  <c r="F44" i="4"/>
  <c r="C21" i="4"/>
  <c r="F21" i="4"/>
  <c r="G21" i="4"/>
  <c r="H21" i="4"/>
  <c r="B21" i="4"/>
  <c r="B6" i="4"/>
  <c r="C6" i="4"/>
  <c r="H6" i="8" s="1"/>
  <c r="F6" i="4"/>
  <c r="G6" i="4"/>
  <c r="F14" i="4"/>
  <c r="C14" i="4"/>
  <c r="H14" i="8" s="1"/>
  <c r="G14" i="4"/>
  <c r="B14" i="4"/>
  <c r="C14" i="7" s="1"/>
  <c r="F22" i="4"/>
  <c r="G22" i="4"/>
  <c r="C22" i="4"/>
  <c r="H22" i="4"/>
  <c r="B22" i="4"/>
  <c r="F30" i="4"/>
  <c r="C30" i="4"/>
  <c r="G30" i="4"/>
  <c r="H30" i="4"/>
  <c r="B30" i="4"/>
  <c r="F38" i="4"/>
  <c r="H38" i="4"/>
  <c r="G38" i="4"/>
  <c r="B38" i="4"/>
  <c r="C38" i="4"/>
  <c r="F46" i="4"/>
  <c r="H46" i="4"/>
  <c r="G46" i="4"/>
  <c r="C46" i="4"/>
  <c r="B46" i="4"/>
  <c r="C13" i="4"/>
  <c r="F13" i="4"/>
  <c r="G13" i="4"/>
  <c r="B13" i="4"/>
  <c r="H13" i="7" s="1"/>
  <c r="C7" i="4"/>
  <c r="H7" i="8" s="1"/>
  <c r="F7" i="4"/>
  <c r="B7" i="4"/>
  <c r="G7" i="4"/>
  <c r="B15" i="4"/>
  <c r="B15" i="7" s="1"/>
  <c r="C15" i="4"/>
  <c r="H15" i="8" s="1"/>
  <c r="F15" i="4"/>
  <c r="G15" i="4"/>
  <c r="B23" i="4"/>
  <c r="C23" i="4"/>
  <c r="F23" i="4"/>
  <c r="H23" i="4"/>
  <c r="G23" i="4"/>
  <c r="B31" i="4"/>
  <c r="H31" i="4"/>
  <c r="C31" i="4"/>
  <c r="F31" i="4"/>
  <c r="G31" i="4"/>
  <c r="B39" i="4"/>
  <c r="C39" i="4"/>
  <c r="F39" i="4"/>
  <c r="H39" i="4"/>
  <c r="G39" i="4"/>
  <c r="B47" i="4"/>
  <c r="H47" i="4"/>
  <c r="C47" i="4"/>
  <c r="F47" i="4"/>
  <c r="G47" i="4"/>
  <c r="C5" i="4"/>
  <c r="H5" i="8" s="1"/>
  <c r="F5" i="4"/>
  <c r="G5" i="4"/>
  <c r="B5" i="4"/>
  <c r="B8" i="4"/>
  <c r="C8" i="4"/>
  <c r="H8" i="8" s="1"/>
  <c r="F8" i="4"/>
  <c r="G8" i="4"/>
  <c r="B16" i="4"/>
  <c r="H16" i="7" s="1"/>
  <c r="G16" i="4"/>
  <c r="C16" i="4"/>
  <c r="H16" i="8" s="1"/>
  <c r="F16" i="4"/>
  <c r="B24" i="4"/>
  <c r="F24" i="4"/>
  <c r="G24" i="4"/>
  <c r="C24" i="4"/>
  <c r="H24" i="4"/>
  <c r="B32" i="4"/>
  <c r="F32" i="4"/>
  <c r="G32" i="4"/>
  <c r="C32" i="4"/>
  <c r="H32" i="4"/>
  <c r="B40" i="4"/>
  <c r="F40" i="4"/>
  <c r="G40" i="4"/>
  <c r="H40" i="4"/>
  <c r="C40" i="4"/>
  <c r="B48" i="4"/>
  <c r="G48" i="4"/>
  <c r="F48" i="4"/>
  <c r="H48" i="4"/>
  <c r="C48" i="4"/>
  <c r="B45" i="4"/>
  <c r="C45" i="4"/>
  <c r="F45" i="4"/>
  <c r="G45" i="4"/>
  <c r="H45" i="4"/>
  <c r="C9" i="4"/>
  <c r="H9" i="8" s="1"/>
  <c r="G9" i="4"/>
  <c r="B9" i="4"/>
  <c r="F9" i="4"/>
  <c r="G17" i="4"/>
  <c r="B17" i="4"/>
  <c r="H17" i="7" s="1"/>
  <c r="F17" i="4"/>
  <c r="C17" i="4"/>
  <c r="H17" i="8" s="1"/>
  <c r="G25" i="4"/>
  <c r="F25" i="4"/>
  <c r="H25" i="4"/>
  <c r="B25" i="4"/>
  <c r="C25" i="4"/>
  <c r="G33" i="4"/>
  <c r="B33" i="4"/>
  <c r="F33" i="4"/>
  <c r="C33" i="4"/>
  <c r="H33" i="4"/>
  <c r="G41" i="4"/>
  <c r="H41" i="4"/>
  <c r="F41" i="4"/>
  <c r="B41" i="4"/>
  <c r="C41" i="4"/>
  <c r="G49" i="4"/>
  <c r="B49" i="4"/>
  <c r="C49" i="4"/>
  <c r="F49" i="4"/>
  <c r="H49" i="4"/>
  <c r="F37" i="4"/>
  <c r="G37" i="4"/>
  <c r="B37" i="4"/>
  <c r="H37" i="4"/>
  <c r="C37" i="4"/>
  <c r="G2" i="4"/>
  <c r="B2" i="4"/>
  <c r="F2" i="4"/>
  <c r="C2" i="4"/>
  <c r="H2" i="8" s="1"/>
  <c r="B10" i="4"/>
  <c r="C10" i="4"/>
  <c r="H10" i="8" s="1"/>
  <c r="F10" i="4"/>
  <c r="G10" i="4"/>
  <c r="B18" i="4"/>
  <c r="C18" i="7" s="1"/>
  <c r="C18" i="4"/>
  <c r="H18" i="8" s="1"/>
  <c r="F18" i="4"/>
  <c r="G18" i="4"/>
  <c r="C26" i="4"/>
  <c r="B26" i="4"/>
  <c r="F26" i="4"/>
  <c r="G26" i="4"/>
  <c r="H26" i="4"/>
  <c r="C34" i="4"/>
  <c r="B34" i="4"/>
  <c r="F34" i="4"/>
  <c r="G34" i="4"/>
  <c r="H34" i="4"/>
  <c r="C42" i="4"/>
  <c r="F42" i="4"/>
  <c r="G42" i="4"/>
  <c r="B42" i="4"/>
  <c r="H42" i="4"/>
  <c r="C50" i="4"/>
  <c r="F50" i="4"/>
  <c r="G50" i="4"/>
  <c r="B50" i="4"/>
  <c r="H50" i="4"/>
  <c r="C29" i="4"/>
  <c r="F29" i="4"/>
  <c r="G29" i="4"/>
  <c r="H29" i="4"/>
  <c r="B29" i="4"/>
  <c r="C3" i="4"/>
  <c r="F3" i="4"/>
  <c r="G3" i="4"/>
  <c r="B3" i="4"/>
  <c r="B11" i="4"/>
  <c r="G11" i="4"/>
  <c r="F11" i="4"/>
  <c r="C11" i="4"/>
  <c r="C19" i="4"/>
  <c r="H19" i="4"/>
  <c r="B19" i="4"/>
  <c r="G19" i="4"/>
  <c r="F19" i="4"/>
  <c r="C27" i="4"/>
  <c r="H27" i="4"/>
  <c r="B27" i="4"/>
  <c r="F27" i="4"/>
  <c r="G27" i="4"/>
  <c r="C35" i="4"/>
  <c r="F35" i="4"/>
  <c r="G35" i="4"/>
  <c r="H35" i="4"/>
  <c r="B35" i="4"/>
  <c r="C43" i="4"/>
  <c r="F43" i="4"/>
  <c r="H43" i="4"/>
  <c r="B43" i="4"/>
  <c r="G43" i="4"/>
  <c r="C5" i="31"/>
  <c r="C13" i="31"/>
  <c r="C21" i="31"/>
  <c r="C29" i="31"/>
  <c r="C37" i="31"/>
  <c r="C45" i="31"/>
  <c r="C46" i="31"/>
  <c r="C38" i="31"/>
  <c r="C7" i="31"/>
  <c r="C15" i="31"/>
  <c r="C23" i="31"/>
  <c r="C31" i="31"/>
  <c r="C39" i="31"/>
  <c r="C47" i="31"/>
  <c r="C6" i="31"/>
  <c r="C30" i="31"/>
  <c r="C8" i="31"/>
  <c r="C16" i="31"/>
  <c r="C24" i="31"/>
  <c r="C32" i="31"/>
  <c r="C40" i="31"/>
  <c r="C48" i="31"/>
  <c r="C14" i="31"/>
  <c r="C22" i="31"/>
  <c r="C9" i="31"/>
  <c r="C17" i="31"/>
  <c r="C25" i="31"/>
  <c r="C33" i="31"/>
  <c r="C41" i="31"/>
  <c r="C49" i="31"/>
  <c r="C2" i="31"/>
  <c r="C10" i="31"/>
  <c r="C18" i="31"/>
  <c r="C26" i="31"/>
  <c r="C34" i="31"/>
  <c r="C42" i="31"/>
  <c r="C50" i="31"/>
  <c r="C3" i="31"/>
  <c r="C11" i="31"/>
  <c r="C19" i="31"/>
  <c r="C27" i="31"/>
  <c r="C35" i="31"/>
  <c r="C43" i="31"/>
  <c r="C4" i="31"/>
  <c r="C12" i="31"/>
  <c r="C20" i="31"/>
  <c r="C28" i="31"/>
  <c r="C36" i="31"/>
  <c r="C44" i="3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H14" i="7" l="1"/>
  <c r="G14" i="7"/>
  <c r="B14" i="7"/>
  <c r="B12" i="7"/>
  <c r="H12" i="7"/>
  <c r="G17" i="7"/>
  <c r="H13" i="4"/>
  <c r="H15" i="7"/>
  <c r="D17" i="7"/>
  <c r="C17" i="7"/>
  <c r="G13" i="7"/>
  <c r="C13" i="7"/>
  <c r="B13" i="7"/>
  <c r="D16" i="7"/>
  <c r="B17" i="7"/>
  <c r="C16" i="7"/>
  <c r="G12" i="7"/>
  <c r="D13" i="7"/>
  <c r="H18" i="7"/>
  <c r="G16" i="7"/>
  <c r="G18" i="7"/>
  <c r="D15" i="7"/>
  <c r="H18" i="4"/>
  <c r="B16" i="7"/>
  <c r="D12" i="7"/>
  <c r="B18" i="7"/>
  <c r="H14" i="4"/>
  <c r="H17" i="4"/>
  <c r="H16" i="4"/>
  <c r="H12" i="4"/>
  <c r="H13" i="8"/>
  <c r="D18" i="7"/>
  <c r="C15" i="7"/>
  <c r="D14" i="7"/>
  <c r="G15" i="7"/>
  <c r="H15" i="4"/>
  <c r="H4" i="4"/>
  <c r="H2" i="4"/>
  <c r="G10" i="7"/>
  <c r="H10" i="7"/>
  <c r="B10" i="7"/>
  <c r="D10" i="7"/>
  <c r="C10" i="7"/>
  <c r="H7" i="4"/>
  <c r="D7" i="7"/>
  <c r="G7" i="7"/>
  <c r="H7" i="7"/>
  <c r="C7" i="7"/>
  <c r="B7" i="7"/>
  <c r="H8" i="4"/>
  <c r="B8" i="7"/>
  <c r="C8" i="7"/>
  <c r="D8" i="7"/>
  <c r="G8" i="7"/>
  <c r="H8" i="7"/>
  <c r="H5" i="4"/>
  <c r="H5" i="7"/>
  <c r="B5" i="7"/>
  <c r="C5" i="7"/>
  <c r="G5" i="7"/>
  <c r="D5" i="7"/>
  <c r="B11" i="7"/>
  <c r="C11" i="7"/>
  <c r="D11" i="7"/>
  <c r="G11" i="7"/>
  <c r="H11" i="7"/>
  <c r="G2" i="7"/>
  <c r="D2" i="7"/>
  <c r="C2" i="7"/>
  <c r="B2" i="7"/>
  <c r="H2" i="7"/>
  <c r="H6" i="4"/>
  <c r="B6" i="7"/>
  <c r="C6" i="7"/>
  <c r="D6" i="7"/>
  <c r="G6" i="7"/>
  <c r="H6" i="7"/>
  <c r="B3" i="7"/>
  <c r="C3" i="7"/>
  <c r="D3" i="7"/>
  <c r="G3" i="7"/>
  <c r="H3" i="7"/>
  <c r="H3" i="4"/>
  <c r="H3" i="8"/>
  <c r="H9" i="4"/>
  <c r="B9" i="7"/>
  <c r="C9" i="7"/>
  <c r="D9" i="7"/>
  <c r="G9" i="7"/>
  <c r="H9" i="7"/>
  <c r="H11" i="4"/>
  <c r="H11" i="8"/>
  <c r="H10" i="4"/>
  <c r="C4" i="7"/>
  <c r="D4" i="7"/>
  <c r="G4" i="7"/>
  <c r="H4" i="7"/>
  <c r="B4" i="7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4"/>
  <c r="AW1" i="34"/>
  <c r="AV1" i="34"/>
  <c r="AU1" i="34"/>
  <c r="AT1" i="34"/>
  <c r="AS1" i="34"/>
  <c r="AR1" i="34"/>
  <c r="AQ1" i="34"/>
  <c r="AP1" i="34"/>
  <c r="AO1" i="34"/>
  <c r="AN1" i="34"/>
  <c r="AM1" i="34"/>
  <c r="AL1" i="34"/>
  <c r="AK1" i="34"/>
  <c r="AJ1" i="34"/>
  <c r="AI1" i="34"/>
  <c r="AH1" i="34"/>
  <c r="AG1" i="34"/>
  <c r="AF1" i="34"/>
  <c r="AE1" i="34"/>
  <c r="AD1" i="34"/>
  <c r="AC1" i="34"/>
  <c r="AB1" i="34"/>
  <c r="AA1" i="34"/>
  <c r="Z1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G1" i="34"/>
  <c r="F1" i="34"/>
  <c r="E1" i="34"/>
  <c r="D1" i="34"/>
  <c r="C1" i="34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<sst xmlns="http://schemas.openxmlformats.org/spreadsheetml/2006/main" count="152" uniqueCount="101">
  <si>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</si>
  <si>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</si>
  <si>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</si>
  <si>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</si>
  <si>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</si>
  <si>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</si>
  <si>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</si>
  <si>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</si>
  <si>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</si>
  <si>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</si>
  <si>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</si>
  <si>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</si>
  <si>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</si>
  <si>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</si>
  <si>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</si>
  <si>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</si>
  <si>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</si>
  <si>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</si>
  <si>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</si>
  <si>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</si>
  <si>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1 year Performance</t>
  </si>
  <si>
    <t>Total Fee</t>
  </si>
  <si>
    <t>Asset allocation</t>
  </si>
  <si>
    <t>Additional infirmation</t>
  </si>
  <si>
    <t>1 Month Performance</t>
  </si>
  <si>
    <t>Date</t>
  </si>
  <si>
    <t>PDF Name Match</t>
  </si>
  <si>
    <t>PDF Link</t>
  </si>
  <si>
    <t>Website</t>
  </si>
  <si>
    <t>Annual management charge (AMC)</t>
  </si>
  <si>
    <t>OCF</t>
  </si>
  <si>
    <t>UK Fixed Interest</t>
  </si>
  <si>
    <t>International Fixed Interest</t>
  </si>
  <si>
    <t>UK Equities</t>
  </si>
  <si>
    <t>North American Equities</t>
  </si>
  <si>
    <t>European Equities</t>
  </si>
  <si>
    <t>International &amp; Thematic Equities</t>
  </si>
  <si>
    <t>Hedge Funds &amp; Alternatives</t>
  </si>
  <si>
    <t>Structured Return</t>
  </si>
  <si>
    <t>Japan/Far East/Emerging</t>
  </si>
  <si>
    <t>Low Risk Portfolio Defensive Income</t>
  </si>
  <si>
    <t>Low-to-Medium Risk Portfolio Income</t>
  </si>
  <si>
    <t>Low-to-Medium Risk Portfolio Income and Growth</t>
  </si>
  <si>
    <t>Medium Risk Portfolio Income</t>
  </si>
  <si>
    <t>Medium Risk Portfolio Income and Growth</t>
  </si>
  <si>
    <t>Medium-to-High Risk Portfolio Growth</t>
  </si>
  <si>
    <t>High Risk Portfolio Growth</t>
  </si>
  <si>
    <t>No Data</t>
  </si>
  <si>
    <t>Annual Management Charge</t>
  </si>
  <si>
    <t>Emerging Market Debt</t>
  </si>
  <si>
    <t>Unclassified</t>
  </si>
  <si>
    <t>MPS Low Risk Defensive Income passive factsheet</t>
  </si>
  <si>
    <t>MPS Low to Medium Risk Income factsheet</t>
  </si>
  <si>
    <t>MPS Low to Medium Risk Income and Growth factsheet</t>
  </si>
  <si>
    <t>MPS Low to Medium Risk Income and Growth Passive factsheet</t>
  </si>
  <si>
    <t>MPS Medium Risk Income factsheet</t>
  </si>
  <si>
    <t>MPS Medium Risk Income and Growth factsheet</t>
  </si>
  <si>
    <t>MPS Medium Risk Income and Growth Passive factsheet</t>
  </si>
  <si>
    <t>MPS Medium to High Risk Growth factsheet</t>
  </si>
  <si>
    <t>MPS Medium to High Risk Growth Passive factsheet</t>
  </si>
  <si>
    <t>MPS High Risk Growth factsheet</t>
  </si>
  <si>
    <t>MPS High Risk Growth passive factsheet</t>
  </si>
  <si>
    <t>Responsible Investment - Advance High Risk (Growth) factsheet</t>
  </si>
  <si>
    <t>Responsible Investment - Advance Low Risk (Defensive income) factsheet</t>
  </si>
  <si>
    <t>Responsible Investment - Advance Low Medium Risk (Income &amp; Growth) factsheet</t>
  </si>
  <si>
    <t>Responsible Investment - Advance Medium Risk (Income &amp; Growth) factsheet</t>
  </si>
  <si>
    <t>Responsible Investment - Advance Medium High Risk (Growth) factsheet</t>
  </si>
  <si>
    <t>MPS Low Risk Defensive Income factsheet</t>
  </si>
  <si>
    <t>https://www.brooksmacdonald.com/investment-management/factsheets-and-literature</t>
  </si>
  <si>
    <t>Dropdown</t>
  </si>
  <si>
    <t>Factsheets</t>
  </si>
  <si>
    <t>Low Risk Portfolio Defensive Income passive</t>
  </si>
  <si>
    <t>Low-to-Medium Risk Portfolio Income and Growth Passive</t>
  </si>
  <si>
    <t>Medium Risk Portfolio Income and Growth Passive</t>
  </si>
  <si>
    <t>Medium-to-High Risk Portfolio Growth Passive</t>
  </si>
  <si>
    <t>High Risk Portfolio Growth passive</t>
  </si>
  <si>
    <t>Responsible Investment - Advance High Risk Portfolio (Growth)</t>
  </si>
  <si>
    <t>Responsible Investment - Advance Low Risk Portfolio (Defensive income)</t>
  </si>
  <si>
    <t>Responsible Investment - Advance Low Medium Risk Portfolio (Income &amp; Growth)</t>
  </si>
  <si>
    <t>Responsible Investment - Advance Medium Risk Portfolio (Income &amp; Growth)</t>
  </si>
  <si>
    <t>Responsible Investment - Advance Medium High Risk Portfolio (Growth)</t>
  </si>
  <si>
    <t>https://www.brooksmacdonald.com/~/media/Files/B/Brooks-Macdonald-V6/documents/factsheets/MPS-Adviser-Low-Risk-Defensive-Income-Factsheet.pdf</t>
  </si>
  <si>
    <t>https://www.brooksmacdonald.com/~/media/Files/B/Brooks-Macdonald-V6/documents/factsheets/MPS-Adviser-Low-Medium-Risk-Income-Factsheet.pdf</t>
  </si>
  <si>
    <t>https://www.brooksmacdonald.com/~/media/Files/B/Brooks-Macdonald-V6/documents/factsheets/MPS-Adviser-Low-Medium-Risk-Income-Growth-Factsheet.pdf</t>
  </si>
  <si>
    <t>https://www.brooksmacdonald.com/~/media/Files/B/Brooks-Macdonald-V6/documents/factsheets/MPS-Adviser-Low-Medium-Risk-Income-Growth-Passive-Factsheet.pdf</t>
  </si>
  <si>
    <t>https://www.brooksmacdonald.com/~/media/Files/B/Brooks-Macdonald-V6/documents/factsheets/MPS-Adviser-Medium-Risk-Income-Factsheet.pdf</t>
  </si>
  <si>
    <t>https://www.brooksmacdonald.com/~/media/Files/B/Brooks-Macdonald-V6/documents/factsheets/MPS-Adviser-Medium-Risk-Income-Growth-Factsheet.pdf</t>
  </si>
  <si>
    <t>https://www.brooksmacdonald.com/~/media/Files/B/Brooks-Macdonald-V6/documents/factsheets/MPS-Adviser-Medium-Risk-Income-Growth-Passive-Factsheet.pdf</t>
  </si>
  <si>
    <t>https://www.brooksmacdonald.com/~/media/Files/B/Brooks-Macdonald-V6/documents/factsheets/MPS-Adviser-Medium-High-Risk-Growth-Factsheet.pdf</t>
  </si>
  <si>
    <t>https://www.brooksmacdonald.com/~/media/Files/B/Brooks-Macdonald-V6/documents/factsheets/MPS-Adviser-Medium-High-Risk-Growth-Passive-Factsheet.pdf</t>
  </si>
  <si>
    <t>https://www.brooksmacdonald.com/~/media/Files/B/Brooks-Macdonald-V6/documents/factsheets/MPS-Adviser-High-Risk-Growth-Factsheet.pdf</t>
  </si>
  <si>
    <t>https://www.brooksmacdonald.com/~/media/Files/B/Brooks-Macdonald-V6/documents/factsheets/MPS-Plat-Low-Risk-Defensive-Income-passive-Factsheet.pdf</t>
  </si>
  <si>
    <t>https://www.brooksmacdonald.com/~/media/Files/B/Brooks-Macdonald-V6/documents/factsheets/MPS-Plat-High-Risk-Growth-Passive-Factsheet.pdf</t>
  </si>
  <si>
    <t>https://www.brooksmacdonald.com/~/media/Files/B/Brooks-Macdonald-V6/documents/responsible-investment/MPS-RIS-Adviser-LowMediumRiskAdvance-Income-Growth-Factsheet.pdf</t>
  </si>
  <si>
    <t>https://www.brooksmacdonald.com/~/media/Files/B/Brooks-Macdonald-V6/documents/responsible-investment/MPS-RIS-Adviser-MediumHighRiskAdvance-Growth-Factsheet.pdf</t>
  </si>
  <si>
    <t>https://www.brooksmacdonald.com/~/media/Files/B/Brooks-Macdonald-V6/documents/responsible-investment/MPS-RIS-Adviser-MediumRiskAdvance-Income-Growth-Factsheet.pdf</t>
  </si>
  <si>
    <t>https://www.brooksmacdonald.com/~/media/Files/B/Brooks-Macdonald-V6/documents/responsible-investment/PMPS-RIS-HighRiskAdvance-Factsheet.pdf</t>
  </si>
  <si>
    <t>https://www.brooksmacdonald.com/~/media/Files/B/Brooks-Macdonald-V6/documents/responsible-investment/PMPS-RIS-LowRiskAdvance-Factsheet.pdf</t>
  </si>
  <si>
    <t>Property</t>
  </si>
  <si>
    <t>31.07.2023</t>
  </si>
  <si>
    <t>30.06.2023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</si>
</sst>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10" fontId="0" fillId="0" borderId="0" xfId="0" applyNumberFormat="1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44450</xdr:rowOff>
    </xdr:from>
    <xdr:to>
      <xdr:col>6</xdr:col>
      <xdr:colOff>347271</xdr:colOff>
      <xdr:row>19</xdr:row>
      <xdr:rowOff>70096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4004871" cy="3340346"/>
        </a:xfrm>
        <a:prstGeom prst="rect">
          <a:avLst/>
        </a:prstGeom>
      </xdr:spPr>
    </xdr:pic>
    <xdr:clientData/>
  </xdr:twoCellAnchor>
  <xdr:twoCellAnchor editAs="oneCell">
    <xdr:from>
      <xdr:col>7</xdr:col>
      <xdr:colOff>171450</xdr:colOff>
      <xdr:row>1</xdr:row>
      <xdr:rowOff>6350</xdr:rowOff>
    </xdr:from>
    <xdr:to>
      <xdr:col>16</xdr:col>
      <xdr:colOff>559102</xdr:colOff>
      <xdr:row>22</xdr:row>
      <xdr:rowOff>70052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38650" y="190500"/>
          <a:ext cx="5874052" cy="39308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2</xdr:row>
          <xdr:rowOff>85725</xdr:rowOff>
        </xdr:from>
        <xdr:to>
          <xdr:col>11</xdr:col>
          <xdr:colOff>85725</xdr:colOff>
          <xdr:row>7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zoomScale="130" zoomScaleNormal="130" workbookViewId="0">
      <selection activeCell="J23" sqref="J23"/>
    </sheetView>
  </sheetViews>
  <sheetFormatPr defaultRowHeight="15" x14ac:dyDescent="0.25"/>
  <sheetData>
    <row r="1" spans="1:8" x14ac:dyDescent="0.25">
      <c r="A1" s="3" t="s">
        <v>23</v>
      </c>
      <c r="H1" s="3" t="s">
        <v>22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9"/>
  <sheetViews>
    <sheetView workbookViewId="0">
      <selection activeCell="A19" sqref="A19"/>
    </sheetView>
  </sheetViews>
  <sheetFormatPr defaultRowHeight="15" x14ac:dyDescent="0.25"/>
  <cols>
    <col min="1" max="1" width="51.855468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</row>
    <row r="2" spans="1:10" x14ac:dyDescent="0.25">
      <c r="A2" t="s">
        <v>0</v>
      </c>
      <c r="B2" t="s">
        <v>27</v>
      </c>
      <c r="C2" s="4"/>
    </row>
    <row r="3" spans="1:10" x14ac:dyDescent="0.25">
      <c r="A3" t="s">
        <v>40</v>
      </c>
      <c r="B3" t="str">
        <f>IF(A3="","",'PDF Scraping'!D2)</f>
        <v>https://www.brooksmacdonald.com/~/media/Files/B/Brooks-Macdonald-V6/documents/factsheets/MPS-Adviser-Low-Risk-Defensive-Income-Factsheet.pdf</v>
      </c>
      <c r="J3" s="4"/>
    </row>
    <row r="4" spans="1:10" x14ac:dyDescent="0.25">
      <c r="A4" t="s">
        <v>71</v>
      </c>
      <c r="B4" t="str">
        <f>IF(A4="","",'PDF Scraping'!D3)</f>
        <v>https://www.brooksmacdonald.com/~/media/Files/B/Brooks-Macdonald-V6/documents/factsheets/MPS-Plat-Low-Risk-Defensive-Income-passive-Factsheet.pdf</v>
      </c>
      <c r="J4" s="4"/>
    </row>
    <row r="5" spans="1:10" x14ac:dyDescent="0.25">
      <c r="A5" t="s">
        <v>41</v>
      </c>
      <c r="B5" t="str">
        <f>IF(A5="","",'PDF Scraping'!D4)</f>
        <v>https://www.brooksmacdonald.com/~/media/Files/B/Brooks-Macdonald-V6/documents/factsheets/MPS-Adviser-Low-Medium-Risk-Income-Factsheet.pdf</v>
      </c>
    </row>
    <row r="6" spans="1:10" x14ac:dyDescent="0.25">
      <c r="A6" t="s">
        <v>42</v>
      </c>
      <c r="B6" t="str">
        <f>IF(A6="","",'PDF Scraping'!D5)</f>
        <v>https://www.brooksmacdonald.com/~/media/Files/B/Brooks-Macdonald-V6/documents/factsheets/MPS-Adviser-Low-Medium-Risk-Income-Growth-Factsheet.pdf</v>
      </c>
    </row>
    <row r="7" spans="1:10" x14ac:dyDescent="0.25">
      <c r="A7" t="s">
        <v>72</v>
      </c>
      <c r="B7" t="str">
        <f>IF(A7="","",'PDF Scraping'!D6)</f>
        <v>https://www.brooksmacdonald.com/~/media/Files/B/Brooks-Macdonald-V6/documents/factsheets/MPS-Adviser-Low-Medium-Risk-Income-Growth-Passive-Factsheet.pdf</v>
      </c>
    </row>
    <row r="8" spans="1:10" x14ac:dyDescent="0.25">
      <c r="A8" t="s">
        <v>43</v>
      </c>
      <c r="B8" t="str">
        <f>IF(A8="","",'PDF Scraping'!D7)</f>
        <v>https://www.brooksmacdonald.com/~/media/Files/B/Brooks-Macdonald-V6/documents/factsheets/MPS-Adviser-Medium-Risk-Income-Factsheet.pdf</v>
      </c>
    </row>
    <row r="9" spans="1:10" x14ac:dyDescent="0.25">
      <c r="A9" t="s">
        <v>44</v>
      </c>
      <c r="B9" t="str">
        <f>IF(A9="","",'PDF Scraping'!D8)</f>
        <v>https://www.brooksmacdonald.com/~/media/Files/B/Brooks-Macdonald-V6/documents/factsheets/MPS-Adviser-Medium-Risk-Income-Growth-Factsheet.pdf</v>
      </c>
    </row>
    <row r="10" spans="1:10" x14ac:dyDescent="0.25">
      <c r="A10" t="s">
        <v>73</v>
      </c>
      <c r="B10" t="str">
        <f>IF(A10="","",'PDF Scraping'!D9)</f>
        <v>https://www.brooksmacdonald.com/~/media/Files/B/Brooks-Macdonald-V6/documents/factsheets/MPS-Adviser-Medium-Risk-Income-Growth-Passive-Factsheet.pdf</v>
      </c>
    </row>
    <row r="11" spans="1:10" x14ac:dyDescent="0.25">
      <c r="A11" t="s">
        <v>45</v>
      </c>
      <c r="B11" t="str">
        <f>IF(A11="","",'PDF Scraping'!D10)</f>
        <v>https://www.brooksmacdonald.com/~/media/Files/B/Brooks-Macdonald-V6/documents/factsheets/MPS-Adviser-Medium-High-Risk-Growth-Factsheet.pdf</v>
      </c>
    </row>
    <row r="12" spans="1:10" x14ac:dyDescent="0.25">
      <c r="A12" t="s">
        <v>74</v>
      </c>
      <c r="B12" t="str">
        <f>IF(A12="","",'PDF Scraping'!D11)</f>
        <v>https://www.brooksmacdonald.com/~/media/Files/B/Brooks-Macdonald-V6/documents/factsheets/MPS-Adviser-Medium-High-Risk-Growth-Passive-Factsheet.pdf</v>
      </c>
    </row>
    <row r="13" spans="1:10" x14ac:dyDescent="0.25">
      <c r="A13" t="s">
        <v>46</v>
      </c>
      <c r="B13" t="str">
        <f>IF(A13="","",'PDF Scraping'!D12)</f>
        <v>https://www.brooksmacdonald.com/~/media/Files/B/Brooks-Macdonald-V6/documents/factsheets/MPS-Adviser-High-Risk-Growth-Factsheet.pdf</v>
      </c>
    </row>
    <row r="14" spans="1:10" x14ac:dyDescent="0.25">
      <c r="A14" t="s">
        <v>75</v>
      </c>
      <c r="B14" t="str">
        <f>IF(A14="","",'PDF Scraping'!D13)</f>
        <v>https://www.brooksmacdonald.com/~/media/Files/B/Brooks-Macdonald-V6/documents/factsheets/MPS-Plat-High-Risk-Growth-Passive-Factsheet.pdf</v>
      </c>
    </row>
    <row r="15" spans="1:10" x14ac:dyDescent="0.25">
      <c r="A15" t="s">
        <v>76</v>
      </c>
      <c r="B15" t="str">
        <f>IF(A15="","",'PDF Scraping'!D14)</f>
        <v>https://www.brooksmacdonald.com/~/media/Files/B/Brooks-Macdonald-V6/documents/responsible-investment/PMPS-RIS-HighRiskAdvance-Factsheet.pdf</v>
      </c>
    </row>
    <row r="16" spans="1:10" x14ac:dyDescent="0.25">
      <c r="A16" t="s">
        <v>77</v>
      </c>
      <c r="B16" t="str">
        <f>IF(A16="","",'PDF Scraping'!D15)</f>
        <v>https://www.brooksmacdonald.com/~/media/Files/B/Brooks-Macdonald-V6/documents/responsible-investment/PMPS-RIS-LowRiskAdvance-Factsheet.pdf</v>
      </c>
    </row>
    <row r="17" spans="1:2" x14ac:dyDescent="0.25">
      <c r="A17" t="s">
        <v>78</v>
      </c>
      <c r="B17" t="str">
        <f>IF(A17="","",'PDF Scraping'!D16)</f>
        <v>https://www.brooksmacdonald.com/~/media/Files/B/Brooks-Macdonald-V6/documents/responsible-investment/MPS-RIS-Adviser-LowMediumRiskAdvance-Income-Growth-Factsheet.pdf</v>
      </c>
    </row>
    <row r="18" spans="1:2" x14ac:dyDescent="0.25">
      <c r="A18" t="s">
        <v>79</v>
      </c>
      <c r="B18" t="str">
        <f>IF(A18="","",'PDF Scraping'!D17)</f>
        <v>https://www.brooksmacdonald.com/~/media/Files/B/Brooks-Macdonald-V6/documents/responsible-investment/MPS-RIS-Adviser-MediumRiskAdvance-Income-Growth-Factsheet.pdf</v>
      </c>
    </row>
    <row r="19" spans="1:2" x14ac:dyDescent="0.25">
      <c r="A19" t="s">
        <v>80</v>
      </c>
      <c r="B19" t="str">
        <f>IF(A19="","",'PDF Scraping'!D18)</f>
        <v>https://www.brooksmacdonald.com/~/media/Files/B/Brooks-Macdonald-V6/documents/responsible-investment/MPS-RIS-Adviser-MediumHighRiskAdvance-Growth-Factsheet.pdf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E50"/>
  <sheetViews>
    <sheetView workbookViewId="0">
      <selection activeCell="E21" sqref="E21"/>
    </sheetView>
  </sheetViews>
  <sheetFormatPr defaultRowHeight="15" x14ac:dyDescent="0.25"/>
  <cols>
    <col min="1" max="1" width="75.28515625" bestFit="1" customWidth="1"/>
    <col min="2" max="2" width="10.140625" bestFit="1" customWidth="1"/>
    <col min="3" max="3" width="18.42578125" style="5" bestFit="1" customWidth="1"/>
    <col min="4" max="4" width="32.42578125" bestFit="1" customWidth="1"/>
    <col min="5" max="5" width="20.42578125" customWidth="1"/>
    <col min="6" max="6" width="21.5703125" bestFit="1" customWidth="1"/>
    <col min="7" max="7" width="13.7109375" bestFit="1" customWidth="1"/>
  </cols>
  <sheetData>
    <row r="1" spans="1:5" x14ac:dyDescent="0.25">
      <c r="B1" t="s">
        <v>25</v>
      </c>
      <c r="C1" s="5" t="s">
        <v>19</v>
      </c>
      <c r="D1" t="s">
        <v>29</v>
      </c>
      <c r="E1" t="s">
        <v>30</v>
      </c>
    </row>
    <row r="2" spans="1:5" x14ac:dyDescent="0.25">
      <c r="A2" t="str">
        <f>IF(Input!A3="","",Input!A3)</f>
        <v>Low Risk Portfolio Defensive Income</v>
      </c>
      <c r="B2" s="1" t="s">
        <v>99</v>
      </c>
      <c r="C2" s="5">
        <v>-2.1299999999999999E-2</v>
      </c>
      <c r="D2" s="5">
        <v>3.5999999999999999E-3</v>
      </c>
      <c r="E2" s="5">
        <v>3.5999999999999999E-3</v>
      </c>
    </row>
    <row r="3" spans="1:5" x14ac:dyDescent="0.25">
      <c r="A3" t="str">
        <f>IF(Input!A4="","",Input!A4)</f>
        <v>Low Risk Portfolio Defensive Income passive</v>
      </c>
      <c r="B3" s="1" t="s">
        <v>99</v>
      </c>
      <c r="C3" s="5">
        <v>-2.0099999999999996E-2</v>
      </c>
      <c r="D3" s="5">
        <v>0</v>
      </c>
      <c r="E3" s="5">
        <v>0</v>
      </c>
    </row>
    <row r="4" spans="1:5" x14ac:dyDescent="0.25">
      <c r="A4" t="str">
        <f>IF(Input!A5="","",Input!A5)</f>
        <v>Low-to-Medium Risk Portfolio Income</v>
      </c>
      <c r="B4" s="1" t="s">
        <v>99</v>
      </c>
      <c r="C4" s="5">
        <v>6.0999999999999995E-3</v>
      </c>
      <c r="D4" s="5">
        <v>4.0000000000000001E-3</v>
      </c>
      <c r="E4" s="5">
        <v>4.0000000000000001E-3</v>
      </c>
    </row>
    <row r="5" spans="1:5" x14ac:dyDescent="0.25">
      <c r="A5" t="str">
        <f>IF(Input!A6="","",Input!A6)</f>
        <v>Low-to-Medium Risk Portfolio Income and Growth</v>
      </c>
      <c r="B5" s="1" t="s">
        <v>99</v>
      </c>
      <c r="C5" s="5">
        <v>-2E-3</v>
      </c>
      <c r="D5" s="5">
        <v>4.3E-3</v>
      </c>
      <c r="E5" s="5">
        <v>4.3E-3</v>
      </c>
    </row>
    <row r="6" spans="1:5" x14ac:dyDescent="0.25">
      <c r="A6" t="str">
        <f>IF(Input!A7="","",Input!A7)</f>
        <v>Low-to-Medium Risk Portfolio Income and Growth Passive</v>
      </c>
      <c r="B6" s="1" t="s">
        <v>99</v>
      </c>
      <c r="C6" s="5">
        <v>1E-4</v>
      </c>
      <c r="D6" s="5">
        <v>1.2999999999999999E-3</v>
      </c>
      <c r="E6" s="5">
        <v>1.2999999999999999E-3</v>
      </c>
    </row>
    <row r="7" spans="1:5" x14ac:dyDescent="0.25">
      <c r="A7" t="str">
        <f>IF(Input!A8="","",Input!A8)</f>
        <v>Medium Risk Portfolio Income</v>
      </c>
      <c r="B7" s="1" t="s">
        <v>99</v>
      </c>
      <c r="C7" s="8">
        <v>3.0800000000000001E-2</v>
      </c>
      <c r="D7" s="5">
        <v>4.7999999999999996E-3</v>
      </c>
      <c r="E7" s="5">
        <v>4.7999999999999996E-3</v>
      </c>
    </row>
    <row r="8" spans="1:5" x14ac:dyDescent="0.25">
      <c r="A8" t="str">
        <f>IF(Input!A9="","",Input!A9)</f>
        <v>Medium Risk Portfolio Income and Growth</v>
      </c>
      <c r="B8" s="1" t="s">
        <v>99</v>
      </c>
      <c r="C8" s="8">
        <v>2.3399999999999997E-2</v>
      </c>
      <c r="D8" s="5">
        <v>5.3E-3</v>
      </c>
      <c r="E8" s="5">
        <v>5.3E-3</v>
      </c>
    </row>
    <row r="9" spans="1:5" x14ac:dyDescent="0.25">
      <c r="A9" t="str">
        <f>IF(Input!A10="","",Input!A10)</f>
        <v>Medium Risk Portfolio Income and Growth Passive</v>
      </c>
      <c r="B9" s="1" t="s">
        <v>99</v>
      </c>
      <c r="C9" s="8">
        <v>2.5099999999999997E-2</v>
      </c>
      <c r="D9" s="5">
        <v>1.2999999999999999E-3</v>
      </c>
      <c r="E9" s="5">
        <v>1.2999999999999999E-3</v>
      </c>
    </row>
    <row r="10" spans="1:5" x14ac:dyDescent="0.25">
      <c r="A10" t="str">
        <f>IF(Input!A11="","",Input!A11)</f>
        <v>Medium-to-High Risk Portfolio Growth</v>
      </c>
      <c r="B10" s="1" t="s">
        <v>99</v>
      </c>
      <c r="C10" s="8">
        <v>3.8100000000000002E-2</v>
      </c>
      <c r="D10" s="5">
        <v>5.4000000000000003E-3</v>
      </c>
      <c r="E10" s="5">
        <v>5.4000000000000003E-3</v>
      </c>
    </row>
    <row r="11" spans="1:5" x14ac:dyDescent="0.25">
      <c r="A11" t="str">
        <f>IF(Input!A12="","",Input!A12)</f>
        <v>Medium-to-High Risk Portfolio Growth Passive</v>
      </c>
      <c r="B11" s="1" t="s">
        <v>100</v>
      </c>
      <c r="C11" s="8">
        <v>7.8100000000000003E-2</v>
      </c>
      <c r="D11" s="5">
        <v>1.1999999999999999E-3</v>
      </c>
      <c r="E11" s="5">
        <v>1.1999999999999999E-3</v>
      </c>
    </row>
    <row r="12" spans="1:5" x14ac:dyDescent="0.25">
      <c r="A12" t="str">
        <f>IF(Input!A13="","",Input!A13)</f>
        <v>High Risk Portfolio Growth</v>
      </c>
      <c r="B12" s="1" t="s">
        <v>99</v>
      </c>
      <c r="C12" s="8">
        <v>4.3299999999999998E-2</v>
      </c>
      <c r="D12" s="5">
        <v>5.8999999999999999E-3</v>
      </c>
      <c r="E12" s="5">
        <v>5.8999999999999999E-3</v>
      </c>
    </row>
    <row r="13" spans="1:5" x14ac:dyDescent="0.25">
      <c r="A13" t="str">
        <f>IF(Input!A14="","",Input!A14)</f>
        <v>High Risk Portfolio Growth passive</v>
      </c>
      <c r="B13" t="s">
        <v>99</v>
      </c>
      <c r="C13" s="5">
        <v>4.7100000000000003E-2</v>
      </c>
      <c r="D13" s="5">
        <v>0</v>
      </c>
      <c r="E13" s="5">
        <v>0</v>
      </c>
    </row>
    <row r="14" spans="1:5" x14ac:dyDescent="0.25">
      <c r="A14" t="str">
        <f>IF(Input!A15="","",Input!A15)</f>
        <v>Responsible Investment - Advance High Risk Portfolio (Growth)</v>
      </c>
      <c r="B14" t="s">
        <v>99</v>
      </c>
      <c r="C14" s="5">
        <v>6.9999999999999993E-3</v>
      </c>
      <c r="D14" s="5">
        <v>0</v>
      </c>
      <c r="E14" s="5">
        <v>0</v>
      </c>
    </row>
    <row r="15" spans="1:5" x14ac:dyDescent="0.25">
      <c r="A15" t="str">
        <f>IF(Input!A16="","",Input!A16)</f>
        <v>Responsible Investment - Advance Low Risk Portfolio (Defensive income)</v>
      </c>
      <c r="B15" t="s">
        <v>99</v>
      </c>
      <c r="C15" s="5">
        <v>-3.73E-2</v>
      </c>
      <c r="D15" s="5">
        <v>0</v>
      </c>
      <c r="E15" s="5">
        <v>0</v>
      </c>
    </row>
    <row r="16" spans="1:5" x14ac:dyDescent="0.25">
      <c r="A16" t="str">
        <f>IF(Input!A17="","",Input!A17)</f>
        <v>Responsible Investment - Advance Low Medium Risk Portfolio (Income &amp; Growth)</v>
      </c>
      <c r="B16" t="s">
        <v>99</v>
      </c>
      <c r="C16" s="5">
        <v>-2.92E-2</v>
      </c>
      <c r="D16" s="5">
        <v>7.4999999999999997E-3</v>
      </c>
      <c r="E16" s="5">
        <v>6.5000000000000006E-3</v>
      </c>
    </row>
    <row r="17" spans="1:5" x14ac:dyDescent="0.25">
      <c r="A17" t="str">
        <f>IF(Input!A18="","",Input!A18)</f>
        <v>Responsible Investment - Advance Medium Risk Portfolio (Income &amp; Growth)</v>
      </c>
      <c r="B17" t="s">
        <v>99</v>
      </c>
      <c r="C17" s="5">
        <v>-1.5300000000000001E-2</v>
      </c>
      <c r="D17" s="5">
        <v>7.4999999999999997E-3</v>
      </c>
      <c r="E17" s="5">
        <v>7.0999999999999995E-3</v>
      </c>
    </row>
    <row r="18" spans="1:5" x14ac:dyDescent="0.25">
      <c r="A18" t="str">
        <f>IF(Input!A19="","",Input!A19)</f>
        <v>Responsible Investment - Advance Medium High Risk Portfolio (Growth)</v>
      </c>
      <c r="B18" t="s">
        <v>99</v>
      </c>
      <c r="C18" s="5">
        <v>2E-3</v>
      </c>
      <c r="D18" s="5">
        <v>7.4999999999999997E-3</v>
      </c>
      <c r="E18" s="5">
        <v>7.0999999999999995E-3</v>
      </c>
    </row>
    <row r="19" spans="1:5" x14ac:dyDescent="0.25">
      <c r="A19" t="str">
        <f>IF(Input!A20="","",Input!A20)</f>
        <v/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Q50"/>
  <sheetViews>
    <sheetView tabSelected="1" topLeftCell="F1" workbookViewId="0">
      <selection activeCell="O22" sqref="O22"/>
    </sheetView>
  </sheetViews>
  <sheetFormatPr defaultRowHeight="15" x14ac:dyDescent="0.25"/>
  <cols>
    <col min="1" max="1" width="75.28515625" bestFit="1" customWidth="1"/>
    <col min="2" max="2" width="14.85546875" bestFit="1" customWidth="1"/>
    <col min="3" max="3" width="23.5703125" bestFit="1" customWidth="1"/>
    <col min="4" max="4" width="10.140625" bestFit="1" customWidth="1"/>
    <col min="5" max="5" width="21.28515625" bestFit="1" customWidth="1"/>
    <col min="6" max="6" width="16" bestFit="1" customWidth="1"/>
    <col min="7" max="7" width="21.85546875" bestFit="1" customWidth="1"/>
    <col min="8" max="8" width="31.28515625" bestFit="1" customWidth="1"/>
    <col min="9" max="9" width="26.140625" bestFit="1" customWidth="1"/>
    <col min="10" max="10" width="16.85546875" bestFit="1" customWidth="1"/>
    <col min="11" max="11" width="8.7109375" bestFit="1" customWidth="1"/>
  </cols>
  <sheetData>
    <row r="1" spans="1:17" x14ac:dyDescent="0.25"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39</v>
      </c>
      <c r="H1" t="s">
        <v>36</v>
      </c>
      <c r="I1" t="s">
        <v>37</v>
      </c>
      <c r="J1" t="s">
        <v>38</v>
      </c>
      <c r="K1" t="s">
        <v>98</v>
      </c>
      <c r="L1" t="s">
        <v>4</v>
      </c>
    </row>
    <row r="2" spans="1:17" x14ac:dyDescent="0.25">
      <c r="A2" t="str">
        <f>IF(Input!A3="","",Input!A3)</f>
        <v>Low Risk Portfolio Defensive Income</v>
      </c>
      <c r="B2" s="5">
        <v>0.40740000000000004</v>
      </c>
      <c r="C2" s="5">
        <v>0.17809999999999998</v>
      </c>
      <c r="D2" s="5">
        <v>9.1600000000000001E-2</v>
      </c>
      <c r="E2" s="5">
        <v>2.07E-2</v>
      </c>
      <c r="F2" s="5"/>
      <c r="G2" s="5">
        <v>2.0199999999999999E-2</v>
      </c>
      <c r="H2" s="5">
        <v>8.0199999999999994E-2</v>
      </c>
      <c r="I2" s="5">
        <v>0.1002</v>
      </c>
      <c r="J2" s="5">
        <v>3.9900000000000005E-2</v>
      </c>
      <c r="L2" s="5">
        <v>6.1799999999999994E-2</v>
      </c>
      <c r="M2" s="5">
        <f t="shared" ref="M2:M18" si="0">SUM(B2:L2)</f>
        <v>1.0001</v>
      </c>
      <c r="N2" s="5"/>
      <c r="O2" s="5"/>
      <c r="P2" s="5"/>
      <c r="Q2" s="5"/>
    </row>
    <row r="3" spans="1:17" x14ac:dyDescent="0.25">
      <c r="A3" t="str">
        <f>IF(Input!A4="","",Input!A4)</f>
        <v>Low Risk Portfolio Defensive Income passive</v>
      </c>
      <c r="B3" s="5">
        <v>0.47600000000000003</v>
      </c>
      <c r="C3" s="5">
        <v>0.17780000000000001</v>
      </c>
      <c r="D3" s="5">
        <v>9.1999999999999998E-2</v>
      </c>
      <c r="E3" s="5">
        <v>2.0400000000000001E-2</v>
      </c>
      <c r="F3" s="5"/>
      <c r="G3" s="5">
        <v>1.9900000000000001E-2</v>
      </c>
      <c r="H3" s="5">
        <v>0.1116</v>
      </c>
      <c r="I3" s="5"/>
      <c r="J3" s="5">
        <v>3.9900000000000005E-2</v>
      </c>
      <c r="L3" s="5">
        <v>6.25E-2</v>
      </c>
      <c r="M3" s="5">
        <f t="shared" si="0"/>
        <v>1.0001000000000002</v>
      </c>
      <c r="N3" s="5"/>
      <c r="O3" s="5"/>
      <c r="P3" s="5"/>
      <c r="Q3" s="5"/>
    </row>
    <row r="4" spans="1:17" x14ac:dyDescent="0.25">
      <c r="A4" t="str">
        <f>IF(Input!A5="","",Input!A5)</f>
        <v>Low-to-Medium Risk Portfolio Income</v>
      </c>
      <c r="B4" s="5">
        <v>0.28660000000000002</v>
      </c>
      <c r="C4" s="5">
        <v>0.10830000000000001</v>
      </c>
      <c r="D4" s="5">
        <v>0.15160000000000001</v>
      </c>
      <c r="E4" s="5">
        <v>5.0999999999999997E-2</v>
      </c>
      <c r="F4" s="5">
        <v>0.02</v>
      </c>
      <c r="G4" s="5">
        <v>7.0699999999999999E-2</v>
      </c>
      <c r="H4" s="5">
        <v>0.10980000000000001</v>
      </c>
      <c r="I4" s="5">
        <v>9.9399999999999988E-2</v>
      </c>
      <c r="J4" s="5">
        <v>4.9800000000000004E-2</v>
      </c>
      <c r="L4" s="5">
        <v>5.2900000000000003E-2</v>
      </c>
      <c r="M4" s="5">
        <f t="shared" si="0"/>
        <v>1.0001</v>
      </c>
      <c r="N4" s="5"/>
      <c r="O4" s="5"/>
      <c r="P4" s="5"/>
      <c r="Q4" s="5"/>
    </row>
    <row r="5" spans="1:17" x14ac:dyDescent="0.25">
      <c r="A5" t="str">
        <f>IF(Input!A6="","",Input!A6)</f>
        <v>Low-to-Medium Risk Portfolio Income and Growth</v>
      </c>
      <c r="B5" s="5">
        <v>0.28699999999999998</v>
      </c>
      <c r="C5" s="5">
        <v>0.1084</v>
      </c>
      <c r="D5" s="5">
        <v>0.15279999999999999</v>
      </c>
      <c r="E5" s="5">
        <v>5.1299999999999998E-2</v>
      </c>
      <c r="F5" s="5">
        <v>2.0199999999999999E-2</v>
      </c>
      <c r="G5" s="5">
        <v>7.0300000000000001E-2</v>
      </c>
      <c r="H5" s="5">
        <v>0.1109</v>
      </c>
      <c r="I5" s="5">
        <v>9.9700000000000011E-2</v>
      </c>
      <c r="J5" s="5">
        <v>4.9800000000000004E-2</v>
      </c>
      <c r="L5" s="5">
        <v>4.9699999999999994E-2</v>
      </c>
      <c r="M5" s="5">
        <f t="shared" si="0"/>
        <v>1.0001</v>
      </c>
      <c r="N5" s="5"/>
      <c r="O5" s="5"/>
      <c r="P5" s="5"/>
      <c r="Q5" s="5"/>
    </row>
    <row r="6" spans="1:17" x14ac:dyDescent="0.25">
      <c r="A6" t="str">
        <f>IF(Input!A7="","",Input!A7)</f>
        <v>Low-to-Medium Risk Portfolio Income and Growth Passive</v>
      </c>
      <c r="B6" s="5">
        <v>0.35560000000000003</v>
      </c>
      <c r="C6" s="5">
        <v>0.1082</v>
      </c>
      <c r="D6" s="5">
        <v>0.1527</v>
      </c>
      <c r="E6" s="5">
        <v>5.0700000000000002E-2</v>
      </c>
      <c r="F6" s="5">
        <v>2.0099999999999996E-2</v>
      </c>
      <c r="G6" s="5">
        <v>7.0199999999999999E-2</v>
      </c>
      <c r="H6" s="5">
        <v>0.14169999999999999</v>
      </c>
      <c r="I6" s="5"/>
      <c r="J6" s="5">
        <v>4.9599999999999998E-2</v>
      </c>
      <c r="L6" s="5">
        <v>5.1200000000000002E-2</v>
      </c>
      <c r="M6" s="5">
        <f t="shared" si="0"/>
        <v>1</v>
      </c>
      <c r="N6" s="5"/>
      <c r="O6" s="5"/>
      <c r="P6" s="5"/>
      <c r="Q6" s="5"/>
    </row>
    <row r="7" spans="1:17" x14ac:dyDescent="0.25">
      <c r="A7" t="str">
        <f>IF(Input!A8="","",Input!A8)</f>
        <v>Medium Risk Portfolio Income</v>
      </c>
      <c r="B7" s="5">
        <v>0.16719999999999999</v>
      </c>
      <c r="C7" s="5">
        <v>3.8800000000000001E-2</v>
      </c>
      <c r="D7" s="5">
        <v>0.20120000000000002</v>
      </c>
      <c r="E7" s="5">
        <v>0.10980000000000001</v>
      </c>
      <c r="F7" s="5">
        <v>3.9800000000000002E-2</v>
      </c>
      <c r="G7" s="5">
        <v>0.1202</v>
      </c>
      <c r="H7" s="5">
        <v>0.15869999999999998</v>
      </c>
      <c r="I7" s="5">
        <v>7.8799999999999995E-2</v>
      </c>
      <c r="J7" s="5">
        <v>3.9599999999999996E-2</v>
      </c>
      <c r="L7" s="5">
        <v>4.5599999999999995E-2</v>
      </c>
      <c r="M7" s="5">
        <f t="shared" si="0"/>
        <v>0.99969999999999981</v>
      </c>
      <c r="N7" s="5"/>
      <c r="O7" s="5"/>
      <c r="P7" s="5"/>
      <c r="Q7" s="5"/>
    </row>
    <row r="8" spans="1:17" x14ac:dyDescent="0.25">
      <c r="A8" t="str">
        <f>IF(Input!A9="","",Input!A9)</f>
        <v>Medium Risk Portfolio Income and Growth</v>
      </c>
      <c r="B8" s="5">
        <v>0.16739999999999999</v>
      </c>
      <c r="C8" s="5">
        <v>3.8900000000000004E-2</v>
      </c>
      <c r="D8" s="5">
        <v>0.20269999999999999</v>
      </c>
      <c r="E8" s="5">
        <v>0.11230000000000001</v>
      </c>
      <c r="F8" s="5">
        <v>4.0099999999999997E-2</v>
      </c>
      <c r="G8" s="5">
        <v>0.1198</v>
      </c>
      <c r="H8" s="5">
        <v>0.16010000000000002</v>
      </c>
      <c r="I8" s="5">
        <v>7.9299999999999995E-2</v>
      </c>
      <c r="J8" s="5">
        <v>3.9599999999999996E-2</v>
      </c>
      <c r="L8" s="5">
        <v>3.9800000000000002E-2</v>
      </c>
      <c r="M8" s="5">
        <f t="shared" si="0"/>
        <v>1</v>
      </c>
      <c r="N8" s="5"/>
      <c r="O8" s="5"/>
      <c r="P8" s="5"/>
      <c r="Q8" s="5"/>
    </row>
    <row r="9" spans="1:17" x14ac:dyDescent="0.25">
      <c r="A9" t="str">
        <f>IF(Input!A10="","",Input!A10)</f>
        <v>Medium Risk Portfolio Income and Growth Passive</v>
      </c>
      <c r="B9" s="5">
        <v>0.22640000000000002</v>
      </c>
      <c r="C9" s="5">
        <v>3.9E-2</v>
      </c>
      <c r="D9" s="5">
        <v>0.2026</v>
      </c>
      <c r="E9" s="5">
        <v>0.11109999999999999</v>
      </c>
      <c r="F9" s="5">
        <v>0.04</v>
      </c>
      <c r="G9" s="5">
        <v>0.11960000000000001</v>
      </c>
      <c r="H9" s="5">
        <v>0.18140000000000001</v>
      </c>
      <c r="I9" s="5"/>
      <c r="J9" s="5">
        <v>3.95E-2</v>
      </c>
      <c r="L9" s="5">
        <v>4.0500000000000001E-2</v>
      </c>
      <c r="M9" s="5">
        <f t="shared" si="0"/>
        <v>1.0001000000000002</v>
      </c>
      <c r="N9" s="5"/>
      <c r="O9" s="5"/>
      <c r="P9" s="5"/>
      <c r="Q9" s="5"/>
    </row>
    <row r="10" spans="1:17" x14ac:dyDescent="0.25">
      <c r="A10" t="str">
        <f>IF(Input!A11="","",Input!A11)</f>
        <v>Medium-to-High Risk Portfolio Growth</v>
      </c>
      <c r="B10" s="5">
        <v>6.9000000000000006E-2</v>
      </c>
      <c r="C10" s="5">
        <v>1.89E-2</v>
      </c>
      <c r="D10" s="5">
        <v>0.2155</v>
      </c>
      <c r="E10" s="5">
        <v>0.1555</v>
      </c>
      <c r="F10" s="5">
        <v>5.0099999999999999E-2</v>
      </c>
      <c r="G10" s="5">
        <v>0.1691</v>
      </c>
      <c r="H10" s="5">
        <v>0.24109999999999998</v>
      </c>
      <c r="I10" s="5">
        <v>2.9600000000000001E-2</v>
      </c>
      <c r="J10" s="5">
        <v>2.0199999999999999E-2</v>
      </c>
      <c r="L10" s="5">
        <v>3.1E-2</v>
      </c>
      <c r="M10" s="5">
        <f t="shared" si="0"/>
        <v>1</v>
      </c>
      <c r="N10" s="5"/>
      <c r="O10" s="5"/>
      <c r="P10" s="5"/>
      <c r="Q10" s="5"/>
    </row>
    <row r="11" spans="1:17" x14ac:dyDescent="0.25">
      <c r="A11" t="str">
        <f>IF(Input!A12="","",Input!A12)</f>
        <v>Medium-to-High Risk Portfolio Growth Passive</v>
      </c>
      <c r="B11" s="5">
        <v>8.8499999999999995E-2</v>
      </c>
      <c r="C11" s="5">
        <v>1.95E-2</v>
      </c>
      <c r="D11" s="5">
        <v>0.21429999999999999</v>
      </c>
      <c r="E11" s="5">
        <v>0.156</v>
      </c>
      <c r="F11" s="5">
        <v>4.9100000000000005E-2</v>
      </c>
      <c r="G11" s="5">
        <v>0.16699999999999998</v>
      </c>
      <c r="H11" s="5">
        <v>0.25590000000000002</v>
      </c>
      <c r="I11" s="5"/>
      <c r="J11" s="5">
        <v>2.0099999999999996E-2</v>
      </c>
      <c r="L11" s="5">
        <v>2.9500000000000002E-2</v>
      </c>
      <c r="M11" s="5">
        <f t="shared" si="0"/>
        <v>0.9998999999999999</v>
      </c>
      <c r="N11" s="5"/>
      <c r="O11" s="5"/>
      <c r="P11" s="5"/>
      <c r="Q11" s="5"/>
    </row>
    <row r="12" spans="1:17" x14ac:dyDescent="0.25">
      <c r="A12" t="str">
        <f>IF(Input!A13="","",Input!A13)</f>
        <v>High Risk Portfolio Growth</v>
      </c>
      <c r="B12" s="5"/>
      <c r="C12" s="5">
        <v>1.89E-2</v>
      </c>
      <c r="D12" s="5">
        <v>0.24440000000000001</v>
      </c>
      <c r="E12" s="5">
        <v>0.17610000000000001</v>
      </c>
      <c r="F12" s="5">
        <v>0.06</v>
      </c>
      <c r="G12" s="5">
        <v>0.17949999999999999</v>
      </c>
      <c r="H12" s="5">
        <v>0.26140000000000002</v>
      </c>
      <c r="I12" s="5">
        <v>2.9600000000000001E-2</v>
      </c>
      <c r="J12" s="5"/>
      <c r="L12" s="5">
        <v>0.03</v>
      </c>
      <c r="M12" s="5">
        <f t="shared" si="0"/>
        <v>0.99990000000000012</v>
      </c>
      <c r="N12" s="5"/>
      <c r="O12" s="5"/>
      <c r="P12" s="5"/>
      <c r="Q12" s="5"/>
    </row>
    <row r="13" spans="1:17" x14ac:dyDescent="0.25">
      <c r="A13" t="str">
        <f>IF(Input!A14="","",Input!A14)</f>
        <v>High Risk Portfolio Growth passive</v>
      </c>
      <c r="B13" s="5">
        <v>2.9300000000000003E-2</v>
      </c>
      <c r="C13" s="5">
        <v>1.89E-2</v>
      </c>
      <c r="D13" s="5">
        <v>0.2445</v>
      </c>
      <c r="E13" s="5">
        <v>0.17699999999999999</v>
      </c>
      <c r="F13" s="5">
        <v>5.9000000000000004E-2</v>
      </c>
      <c r="G13" s="5">
        <v>0.17739999999999997</v>
      </c>
      <c r="H13" s="5">
        <v>0.26469999999999999</v>
      </c>
      <c r="L13" s="5">
        <v>2.9300000000000003E-2</v>
      </c>
      <c r="M13" s="5">
        <f t="shared" si="0"/>
        <v>1.0001000000000002</v>
      </c>
    </row>
    <row r="14" spans="1:17" x14ac:dyDescent="0.25">
      <c r="A14" t="str">
        <f>IF(Input!A15="","",Input!A15)</f>
        <v>Responsible Investment - Advance High Risk Portfolio (Growth)</v>
      </c>
      <c r="B14" s="5">
        <v>1.9699999999999999E-2</v>
      </c>
      <c r="D14" s="5">
        <v>0.25129999999999997</v>
      </c>
      <c r="E14" s="5">
        <v>0.16039999999999999</v>
      </c>
      <c r="F14" s="5">
        <v>6.0299999999999999E-2</v>
      </c>
      <c r="G14" s="5">
        <v>0.17829999999999999</v>
      </c>
      <c r="H14" s="5">
        <v>0.2702</v>
      </c>
      <c r="I14" s="5">
        <v>1.9900000000000001E-2</v>
      </c>
      <c r="K14" s="5">
        <v>2.0299999999999999E-2</v>
      </c>
      <c r="L14" s="5">
        <v>0.02</v>
      </c>
      <c r="M14" s="5">
        <f t="shared" si="0"/>
        <v>1.0004</v>
      </c>
    </row>
    <row r="15" spans="1:17" x14ac:dyDescent="0.25">
      <c r="A15" t="str">
        <f>IF(Input!A16="","",Input!A16)</f>
        <v>Responsible Investment - Advance Low Risk Portfolio (Defensive income)</v>
      </c>
      <c r="B15" s="5">
        <v>0.42799999999999999</v>
      </c>
      <c r="C15" s="5">
        <v>0.1779</v>
      </c>
      <c r="D15" s="5">
        <v>0.1014</v>
      </c>
      <c r="E15" s="5">
        <v>2.0299999999999999E-2</v>
      </c>
      <c r="H15" s="5">
        <v>9.11E-2</v>
      </c>
      <c r="I15" s="5">
        <v>9.9700000000000011E-2</v>
      </c>
      <c r="K15" s="5">
        <v>2.0400000000000001E-2</v>
      </c>
      <c r="L15" s="5">
        <v>6.0999999999999999E-2</v>
      </c>
      <c r="M15" s="5">
        <f t="shared" si="0"/>
        <v>0.99980000000000002</v>
      </c>
    </row>
    <row r="16" spans="1:17" x14ac:dyDescent="0.25">
      <c r="A16" t="str">
        <f>IF(Input!A17="","",Input!A17)</f>
        <v>Responsible Investment - Advance Low Medium Risk Portfolio (Income &amp; Growth)</v>
      </c>
      <c r="B16" s="5">
        <v>0.27800000000000002</v>
      </c>
      <c r="C16" s="5">
        <v>0.13819999999999999</v>
      </c>
      <c r="D16" s="5">
        <v>0.16200000000000001</v>
      </c>
      <c r="E16" s="5">
        <v>6.0499999999999998E-2</v>
      </c>
      <c r="F16" s="5">
        <v>2.0299999999999999E-2</v>
      </c>
      <c r="G16" s="5">
        <v>4.9599999999999998E-2</v>
      </c>
      <c r="H16" s="5">
        <v>0.13089999999999999</v>
      </c>
      <c r="I16" s="5">
        <v>9.9499999999999991E-2</v>
      </c>
      <c r="K16" s="5">
        <v>2.0400000000000001E-2</v>
      </c>
      <c r="L16" s="5">
        <v>4.0500000000000001E-2</v>
      </c>
      <c r="M16" s="5">
        <f t="shared" si="0"/>
        <v>0.99990000000000001</v>
      </c>
    </row>
    <row r="17" spans="1:13" x14ac:dyDescent="0.25">
      <c r="A17" t="str">
        <f>IF(Input!A18="","",Input!A18)</f>
        <v>Responsible Investment - Advance Medium Risk Portfolio (Income &amp; Growth)</v>
      </c>
      <c r="B17" s="5">
        <v>0.1636</v>
      </c>
      <c r="C17" s="5">
        <v>5.8899999999999994E-2</v>
      </c>
      <c r="D17" s="5">
        <v>0.20710000000000001</v>
      </c>
      <c r="E17" s="5">
        <v>0.10050000000000001</v>
      </c>
      <c r="F17" s="5">
        <v>4.0500000000000001E-2</v>
      </c>
      <c r="G17" s="5">
        <v>9.8800000000000013E-2</v>
      </c>
      <c r="H17" s="5">
        <v>0.20079999999999998</v>
      </c>
      <c r="I17" s="5">
        <v>7.9399999999999998E-2</v>
      </c>
      <c r="K17" s="5">
        <v>2.0299999999999999E-2</v>
      </c>
      <c r="L17" s="5">
        <v>3.0200000000000001E-2</v>
      </c>
      <c r="M17" s="5">
        <f t="shared" si="0"/>
        <v>1.0001</v>
      </c>
    </row>
    <row r="18" spans="1:13" x14ac:dyDescent="0.25">
      <c r="A18" t="str">
        <f>IF(Input!A19="","",Input!A19)</f>
        <v>Responsible Investment - Advance Medium High Risk Portfolio (Growth)</v>
      </c>
      <c r="B18" s="5">
        <v>5.9200000000000003E-2</v>
      </c>
      <c r="C18" s="5">
        <v>2.9399999999999999E-2</v>
      </c>
      <c r="D18" s="5">
        <v>0.2213</v>
      </c>
      <c r="E18" s="5">
        <v>0.14050000000000001</v>
      </c>
      <c r="F18" s="5">
        <v>5.0300000000000004E-2</v>
      </c>
      <c r="G18" s="5">
        <v>0.14880000000000002</v>
      </c>
      <c r="H18" s="5">
        <v>0.27039999999999997</v>
      </c>
      <c r="I18" s="5">
        <v>2.9600000000000001E-2</v>
      </c>
      <c r="K18" s="5">
        <v>2.0299999999999999E-2</v>
      </c>
      <c r="L18" s="5">
        <v>3.0099999999999998E-2</v>
      </c>
      <c r="M18" s="5">
        <f t="shared" si="0"/>
        <v>0.99990000000000001</v>
      </c>
    </row>
    <row r="19" spans="1:13" x14ac:dyDescent="0.25">
      <c r="A19" t="str">
        <f>IF(Input!A20="","",Input!A20)</f>
        <v/>
      </c>
    </row>
    <row r="20" spans="1:13" x14ac:dyDescent="0.25">
      <c r="A20" t="str">
        <f>IF(Input!A21="","",Input!A21)</f>
        <v/>
      </c>
    </row>
    <row r="21" spans="1:13" x14ac:dyDescent="0.25">
      <c r="A21" t="str">
        <f>IF(Input!A22="","",Input!A22)</f>
        <v/>
      </c>
    </row>
    <row r="22" spans="1:13" x14ac:dyDescent="0.25">
      <c r="A22" t="str">
        <f>IF(Input!A23="","",Input!A23)</f>
        <v/>
      </c>
    </row>
    <row r="23" spans="1:13" x14ac:dyDescent="0.25">
      <c r="A23" t="str">
        <f>IF(Input!A24="","",Input!A24)</f>
        <v/>
      </c>
    </row>
    <row r="24" spans="1:13" x14ac:dyDescent="0.25">
      <c r="A24" t="str">
        <f>IF(Input!A25="","",Input!A25)</f>
        <v/>
      </c>
    </row>
    <row r="25" spans="1:13" x14ac:dyDescent="0.25">
      <c r="A25" t="str">
        <f>IF(Input!A26="","",Input!A26)</f>
        <v/>
      </c>
    </row>
    <row r="26" spans="1:13" x14ac:dyDescent="0.25">
      <c r="A26" t="str">
        <f>IF(Input!A27="","",Input!A27)</f>
        <v/>
      </c>
    </row>
    <row r="27" spans="1:13" x14ac:dyDescent="0.25">
      <c r="A27" t="str">
        <f>IF(Input!A28="","",Input!A28)</f>
        <v/>
      </c>
    </row>
    <row r="28" spans="1:13" x14ac:dyDescent="0.25">
      <c r="A28" t="str">
        <f>IF(Input!A29="","",Input!A29)</f>
        <v/>
      </c>
    </row>
    <row r="29" spans="1:13" x14ac:dyDescent="0.25">
      <c r="A29" t="str">
        <f>IF(Input!A30="","",Input!A30)</f>
        <v/>
      </c>
    </row>
    <row r="30" spans="1:13" x14ac:dyDescent="0.25">
      <c r="A30" t="str">
        <f>IF(Input!A31="","",Input!A31)</f>
        <v/>
      </c>
    </row>
    <row r="31" spans="1:13" x14ac:dyDescent="0.25">
      <c r="A31" t="str">
        <f>IF(Input!A32="","",Input!A32)</f>
        <v/>
      </c>
    </row>
    <row r="32" spans="1:13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5" tint="0.79998168889431442"/>
  </sheetPr>
  <dimension ref="A1:E50"/>
  <sheetViews>
    <sheetView topLeftCell="B1" zoomScale="85" zoomScaleNormal="85" workbookViewId="0">
      <selection activeCell="D20" sqref="D20"/>
    </sheetView>
  </sheetViews>
  <sheetFormatPr defaultRowHeight="15" x14ac:dyDescent="0.25"/>
  <cols>
    <col min="1" max="1" width="75.28515625" bestFit="1" customWidth="1"/>
    <col min="2" max="2" width="82.140625" bestFit="1" customWidth="1"/>
    <col min="3" max="3" width="75.7109375" bestFit="1" customWidth="1"/>
    <col min="4" max="4" width="151.85546875" style="6" bestFit="1" customWidth="1"/>
  </cols>
  <sheetData>
    <row r="1" spans="1:5" x14ac:dyDescent="0.25">
      <c r="A1" t="s">
        <v>0</v>
      </c>
      <c r="B1" t="s">
        <v>28</v>
      </c>
      <c r="C1" t="s">
        <v>26</v>
      </c>
      <c r="D1" s="6" t="s">
        <v>27</v>
      </c>
      <c r="E1" t="s">
        <v>69</v>
      </c>
    </row>
    <row r="2" spans="1:5" x14ac:dyDescent="0.25">
      <c r="A2" t="str">
        <f>IF(Input!A3="","",Input!A3)</f>
        <v>Low Risk Portfolio Defensive Income</v>
      </c>
      <c r="B2" t="s">
        <v>68</v>
      </c>
      <c r="C2" t="s">
        <v>67</v>
      </c>
      <c r="D2" s="6" t="s">
        <v>81</v>
      </c>
      <c r="E2" t="s">
        <v>70</v>
      </c>
    </row>
    <row r="3" spans="1:5" x14ac:dyDescent="0.25">
      <c r="A3" t="str">
        <f>IF(Input!A4="","",Input!A4)</f>
        <v>Low Risk Portfolio Defensive Income passive</v>
      </c>
      <c r="B3" t="s">
        <v>68</v>
      </c>
      <c r="C3" t="s">
        <v>51</v>
      </c>
      <c r="D3" s="6" t="s">
        <v>91</v>
      </c>
      <c r="E3" t="s">
        <v>70</v>
      </c>
    </row>
    <row r="4" spans="1:5" x14ac:dyDescent="0.25">
      <c r="A4" t="str">
        <f>IF(Input!A5="","",Input!A5)</f>
        <v>Low-to-Medium Risk Portfolio Income</v>
      </c>
      <c r="B4" t="s">
        <v>68</v>
      </c>
      <c r="C4" t="s">
        <v>52</v>
      </c>
      <c r="D4" s="6" t="s">
        <v>82</v>
      </c>
      <c r="E4" t="s">
        <v>70</v>
      </c>
    </row>
    <row r="5" spans="1:5" x14ac:dyDescent="0.25">
      <c r="A5" t="str">
        <f>IF(Input!A6="","",Input!A6)</f>
        <v>Low-to-Medium Risk Portfolio Income and Growth</v>
      </c>
      <c r="B5" t="s">
        <v>68</v>
      </c>
      <c r="C5" t="s">
        <v>53</v>
      </c>
      <c r="D5" s="6" t="s">
        <v>83</v>
      </c>
      <c r="E5" t="s">
        <v>70</v>
      </c>
    </row>
    <row r="6" spans="1:5" x14ac:dyDescent="0.25">
      <c r="A6" t="str">
        <f>IF(Input!A7="","",Input!A7)</f>
        <v>Low-to-Medium Risk Portfolio Income and Growth Passive</v>
      </c>
      <c r="B6" t="s">
        <v>68</v>
      </c>
      <c r="C6" t="s">
        <v>54</v>
      </c>
      <c r="D6" s="6" t="s">
        <v>84</v>
      </c>
      <c r="E6" t="s">
        <v>70</v>
      </c>
    </row>
    <row r="7" spans="1:5" x14ac:dyDescent="0.25">
      <c r="A7" t="str">
        <f>IF(Input!A8="","",Input!A8)</f>
        <v>Medium Risk Portfolio Income</v>
      </c>
      <c r="B7" t="s">
        <v>68</v>
      </c>
      <c r="C7" t="s">
        <v>55</v>
      </c>
      <c r="D7" s="6" t="s">
        <v>85</v>
      </c>
      <c r="E7" t="s">
        <v>70</v>
      </c>
    </row>
    <row r="8" spans="1:5" x14ac:dyDescent="0.25">
      <c r="A8" t="str">
        <f>IF(Input!A9="","",Input!A9)</f>
        <v>Medium Risk Portfolio Income and Growth</v>
      </c>
      <c r="B8" t="s">
        <v>68</v>
      </c>
      <c r="C8" t="s">
        <v>56</v>
      </c>
      <c r="D8" s="6" t="s">
        <v>86</v>
      </c>
      <c r="E8" t="s">
        <v>70</v>
      </c>
    </row>
    <row r="9" spans="1:5" x14ac:dyDescent="0.25">
      <c r="A9" t="str">
        <f>IF(Input!A10="","",Input!A10)</f>
        <v>Medium Risk Portfolio Income and Growth Passive</v>
      </c>
      <c r="B9" t="s">
        <v>68</v>
      </c>
      <c r="C9" t="s">
        <v>57</v>
      </c>
      <c r="D9" s="6" t="s">
        <v>87</v>
      </c>
      <c r="E9" t="s">
        <v>70</v>
      </c>
    </row>
    <row r="10" spans="1:5" x14ac:dyDescent="0.25">
      <c r="A10" t="str">
        <f>IF(Input!A11="","",Input!A11)</f>
        <v>Medium-to-High Risk Portfolio Growth</v>
      </c>
      <c r="B10" t="s">
        <v>68</v>
      </c>
      <c r="C10" t="s">
        <v>58</v>
      </c>
      <c r="D10" s="6" t="s">
        <v>88</v>
      </c>
      <c r="E10" t="s">
        <v>70</v>
      </c>
    </row>
    <row r="11" spans="1:5" x14ac:dyDescent="0.25">
      <c r="A11" t="str">
        <f>IF(Input!A12="","",Input!A12)</f>
        <v>Medium-to-High Risk Portfolio Growth Passive</v>
      </c>
      <c r="B11" t="s">
        <v>68</v>
      </c>
      <c r="C11" t="s">
        <v>59</v>
      </c>
      <c r="D11" s="6" t="s">
        <v>89</v>
      </c>
      <c r="E11" t="s">
        <v>70</v>
      </c>
    </row>
    <row r="12" spans="1:5" x14ac:dyDescent="0.25">
      <c r="A12" t="str">
        <f>IF(Input!A13="","",Input!A13)</f>
        <v>High Risk Portfolio Growth</v>
      </c>
      <c r="B12" t="s">
        <v>68</v>
      </c>
      <c r="C12" t="s">
        <v>60</v>
      </c>
      <c r="D12" s="6" t="s">
        <v>90</v>
      </c>
      <c r="E12" t="s">
        <v>70</v>
      </c>
    </row>
    <row r="13" spans="1:5" x14ac:dyDescent="0.25">
      <c r="A13" t="str">
        <f>IF(Input!A14="","",Input!A14)</f>
        <v>High Risk Portfolio Growth passive</v>
      </c>
      <c r="B13" t="s">
        <v>68</v>
      </c>
      <c r="C13" t="s">
        <v>61</v>
      </c>
      <c r="D13" s="6" t="s">
        <v>92</v>
      </c>
      <c r="E13" t="s">
        <v>70</v>
      </c>
    </row>
    <row r="14" spans="1:5" x14ac:dyDescent="0.25">
      <c r="A14" t="str">
        <f>IF(Input!A15="","",Input!A15)</f>
        <v>Responsible Investment - Advance High Risk Portfolio (Growth)</v>
      </c>
      <c r="B14" t="s">
        <v>68</v>
      </c>
      <c r="C14" t="s">
        <v>62</v>
      </c>
      <c r="D14" s="6" t="s">
        <v>96</v>
      </c>
      <c r="E14" t="s">
        <v>70</v>
      </c>
    </row>
    <row r="15" spans="1:5" x14ac:dyDescent="0.25">
      <c r="A15" t="str">
        <f>IF(Input!A16="","",Input!A16)</f>
        <v>Responsible Investment - Advance Low Risk Portfolio (Defensive income)</v>
      </c>
      <c r="B15" t="s">
        <v>68</v>
      </c>
      <c r="C15" t="s">
        <v>63</v>
      </c>
      <c r="D15" s="6" t="s">
        <v>97</v>
      </c>
      <c r="E15" t="s">
        <v>70</v>
      </c>
    </row>
    <row r="16" spans="1:5" x14ac:dyDescent="0.25">
      <c r="A16" t="str">
        <f>IF(Input!A17="","",Input!A17)</f>
        <v>Responsible Investment - Advance Low Medium Risk Portfolio (Income &amp; Growth)</v>
      </c>
      <c r="B16" t="s">
        <v>68</v>
      </c>
      <c r="C16" t="s">
        <v>64</v>
      </c>
      <c r="D16" s="6" t="s">
        <v>93</v>
      </c>
      <c r="E16" t="s">
        <v>70</v>
      </c>
    </row>
    <row r="17" spans="1:5" x14ac:dyDescent="0.25">
      <c r="A17" t="str">
        <f>IF(Input!A18="","",Input!A18)</f>
        <v>Responsible Investment - Advance Medium Risk Portfolio (Income &amp; Growth)</v>
      </c>
      <c r="B17" t="s">
        <v>68</v>
      </c>
      <c r="C17" t="s">
        <v>65</v>
      </c>
      <c r="D17" s="6" t="s">
        <v>95</v>
      </c>
      <c r="E17" t="s">
        <v>70</v>
      </c>
    </row>
    <row r="18" spans="1:5" x14ac:dyDescent="0.25">
      <c r="A18" t="str">
        <f>IF(Input!A19="","",Input!A19)</f>
        <v>Responsible Investment - Advance Medium High Risk Portfolio (Growth)</v>
      </c>
      <c r="B18" t="s">
        <v>68</v>
      </c>
      <c r="C18" t="s">
        <v>66</v>
      </c>
      <c r="D18" s="6" t="s">
        <v>94</v>
      </c>
      <c r="E18" t="s">
        <v>70</v>
      </c>
    </row>
    <row r="19" spans="1:5" x14ac:dyDescent="0.25">
      <c r="A19" t="str">
        <f>IF(Input!A20="","",Input!A20)</f>
        <v/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4" tint="0.79998168889431442"/>
  </sheetPr>
  <dimension ref="A1:C50"/>
  <sheetViews>
    <sheetView workbookViewId="0">
      <selection activeCell="A9" sqref="A9"/>
    </sheetView>
  </sheetViews>
  <sheetFormatPr defaultRowHeight="15" x14ac:dyDescent="0.25"/>
  <cols>
    <col min="1" max="1" width="20.42578125" bestFit="1" customWidth="1"/>
    <col min="2" max="2" width="17.85546875" style="7" customWidth="1"/>
    <col min="3" max="3" width="10.42578125" bestFit="1" customWidth="1"/>
  </cols>
  <sheetData>
    <row r="1" spans="1:3" x14ac:dyDescent="0.25">
      <c r="B1" s="7" t="s">
        <v>25</v>
      </c>
    </row>
    <row r="2" spans="1:3" x14ac:dyDescent="0.25">
      <c r="A2" t="str">
        <f>IF(Input!A3="","",Input!A3)</f>
        <v>Low Risk Portfolio Defensive Income</v>
      </c>
      <c r="B2" s="7">
        <f>IF(A2="","",DATE(RIGHT(IF(A2="","",'Additional Information'!B2),4),MID(IF(A2="","",'Additional Information'!B2),4,2),LEFT(IF(A2="","",'Additional Information'!B2),2)))</f>
        <v>45138</v>
      </c>
    </row>
    <row r="3" spans="1:3" x14ac:dyDescent="0.25">
      <c r="A3" t="str">
        <f>IF(Input!A4="","",Input!A4)</f>
        <v>Low Risk Portfolio Defensive Income passive</v>
      </c>
      <c r="B3" s="7">
        <f>IF(A3="","",DATE(RIGHT(IF(A3="","",'Additional Information'!B3),4),MID(IF(A3="","",'Additional Information'!B3),4,2),LEFT(IF(A3="","",'Additional Information'!B3),2)))</f>
        <v>45138</v>
      </c>
      <c r="C3" s="1"/>
    </row>
    <row r="4" spans="1:3" x14ac:dyDescent="0.25">
      <c r="A4" t="str">
        <f>IF(Input!A5="","",Input!A5)</f>
        <v>Low-to-Medium Risk Portfolio Income</v>
      </c>
      <c r="B4" s="7">
        <f>IF(A4="","",DATE(RIGHT(IF(A4="","",'Additional Information'!B4),4),MID(IF(A4="","",'Additional Information'!B4),4,2),LEFT(IF(A4="","",'Additional Information'!B4),2)))</f>
        <v>45138</v>
      </c>
    </row>
    <row r="5" spans="1:3" x14ac:dyDescent="0.25">
      <c r="A5" t="str">
        <f>IF(Input!A6="","",Input!A6)</f>
        <v>Low-to-Medium Risk Portfolio Income and Growth</v>
      </c>
      <c r="B5" s="7">
        <f>IF(A5="","",DATE(RIGHT(IF(A5="","",'Additional Information'!B5),4),MID(IF(A5="","",'Additional Information'!B5),4,2),LEFT(IF(A5="","",'Additional Information'!B5),2)))</f>
        <v>45138</v>
      </c>
    </row>
    <row r="6" spans="1:3" x14ac:dyDescent="0.25">
      <c r="A6" t="str">
        <f>IF(Input!A7="","",Input!A7)</f>
        <v>Low-to-Medium Risk Portfolio Income and Growth Passive</v>
      </c>
      <c r="B6" s="7">
        <f>IF(A6="","",DATE(RIGHT(IF(A6="","",'Additional Information'!B6),4),MID(IF(A6="","",'Additional Information'!B6),4,2),LEFT(IF(A6="","",'Additional Information'!B6),2)))</f>
        <v>45138</v>
      </c>
    </row>
    <row r="7" spans="1:3" x14ac:dyDescent="0.25">
      <c r="A7" t="str">
        <f>IF(Input!A8="","",Input!A8)</f>
        <v>Medium Risk Portfolio Income</v>
      </c>
      <c r="B7" s="7">
        <f>IF(A7="","",DATE(RIGHT(IF(A7="","",'Additional Information'!B7),4),MID(IF(A7="","",'Additional Information'!B7),4,2),LEFT(IF(A7="","",'Additional Information'!B7),2)))</f>
        <v>45138</v>
      </c>
    </row>
    <row r="8" spans="1:3" x14ac:dyDescent="0.25">
      <c r="A8" t="str">
        <f>IF(Input!A9="","",Input!A9)</f>
        <v>Medium Risk Portfolio Income and Growth</v>
      </c>
      <c r="B8" s="7">
        <f>IF(A8="","",DATE(RIGHT(IF(A8="","",'Additional Information'!B8),4),MID(IF(A8="","",'Additional Information'!B8),4,2),LEFT(IF(A8="","",'Additional Information'!B8),2)))</f>
        <v>45138</v>
      </c>
    </row>
    <row r="9" spans="1:3" x14ac:dyDescent="0.25">
      <c r="A9" t="str">
        <f>IF(Input!A10="","",Input!A10)</f>
        <v>Medium Risk Portfolio Income and Growth Passive</v>
      </c>
      <c r="B9" s="7">
        <f>IF(A9="","",DATE(RIGHT(IF(A9="","",'Additional Information'!B9),4),MID(IF(A9="","",'Additional Information'!B9),4,2),LEFT(IF(A9="","",'Additional Information'!B9),2)))</f>
        <v>45138</v>
      </c>
    </row>
    <row r="10" spans="1:3" x14ac:dyDescent="0.25">
      <c r="A10" t="str">
        <f>IF(Input!A11="","",Input!A11)</f>
        <v>Medium-to-High Risk Portfolio Growth</v>
      </c>
      <c r="B10" s="7">
        <f>IF(A10="","",DATE(RIGHT(IF(A10="","",'Additional Information'!B10),4),MID(IF(A10="","",'Additional Information'!B10),4,2),LEFT(IF(A10="","",'Additional Information'!B10),2)))</f>
        <v>45138</v>
      </c>
    </row>
    <row r="11" spans="1:3" x14ac:dyDescent="0.25">
      <c r="A11" t="str">
        <f>IF(Input!A12="","",Input!A12)</f>
        <v>Medium-to-High Risk Portfolio Growth Passive</v>
      </c>
      <c r="B11" s="7">
        <f>IF(A11="","",DATE(RIGHT(IF(A11="","",'Additional Information'!B11),4),MID(IF(A11="","",'Additional Information'!B11),4,2),LEFT(IF(A11="","",'Additional Information'!B11),2)))</f>
        <v>45107</v>
      </c>
    </row>
    <row r="12" spans="1:3" x14ac:dyDescent="0.25">
      <c r="A12" t="str">
        <f>IF(Input!A13="","",Input!A13)</f>
        <v>High Risk Portfolio Growth</v>
      </c>
      <c r="B12" s="7">
        <f>IF(A12="","",DATE(RIGHT(IF(A12="","",'Additional Information'!B12),4),MID(IF(A12="","",'Additional Information'!B12),4,2),LEFT(IF(A12="","",'Additional Information'!B12),2)))</f>
        <v>45138</v>
      </c>
    </row>
    <row r="13" spans="1:3" x14ac:dyDescent="0.25">
      <c r="A13" t="str">
        <f>IF(Input!A14="","",Input!A14)</f>
        <v>High Risk Portfolio Growth passive</v>
      </c>
      <c r="B13" s="7">
        <f>IF(A13="","",DATE(RIGHT(IF(A13="","",'Additional Information'!B13),4),MID(IF(A13="","",'Additional Information'!B13),4,2),LEFT(IF(A13="","",'Additional Information'!B13),2)))</f>
        <v>45138</v>
      </c>
    </row>
    <row r="14" spans="1:3" x14ac:dyDescent="0.25">
      <c r="A14" t="str">
        <f>IF(Input!A15="","",Input!A15)</f>
        <v>Responsible Investment - Advance High Risk Portfolio (Growth)</v>
      </c>
      <c r="B14" s="7">
        <f>IF(A14="","",DATE(RIGHT(IF(A14="","",'Additional Information'!B14),4),MID(IF(A14="","",'Additional Information'!B14),4,2),LEFT(IF(A14="","",'Additional Information'!B14),2)))</f>
        <v>45138</v>
      </c>
    </row>
    <row r="15" spans="1:3" x14ac:dyDescent="0.25">
      <c r="A15" t="str">
        <f>IF(Input!A16="","",Input!A16)</f>
        <v>Responsible Investment - Advance Low Risk Portfolio (Defensive income)</v>
      </c>
      <c r="B15" s="7">
        <f>IF(A15="","",DATE(RIGHT(IF(A15="","",'Additional Information'!B15),4),MID(IF(A15="","",'Additional Information'!B15),4,2),LEFT(IF(A15="","",'Additional Information'!B15),2)))</f>
        <v>45138</v>
      </c>
    </row>
    <row r="16" spans="1:3" x14ac:dyDescent="0.25">
      <c r="A16" t="str">
        <f>IF(Input!A17="","",Input!A17)</f>
        <v>Responsible Investment - Advance Low Medium Risk Portfolio (Income &amp; Growth)</v>
      </c>
      <c r="B16" s="7">
        <f>IF(A16="","",DATE(RIGHT(IF(A16="","",'Additional Information'!B16),4),MID(IF(A16="","",'Additional Information'!B16),4,2),LEFT(IF(A16="","",'Additional Information'!B16),2)))</f>
        <v>45138</v>
      </c>
    </row>
    <row r="17" spans="1:2" x14ac:dyDescent="0.25">
      <c r="A17" t="str">
        <f>IF(Input!A18="","",Input!A18)</f>
        <v>Responsible Investment - Advance Medium Risk Portfolio (Income &amp; Growth)</v>
      </c>
      <c r="B17" s="7">
        <f>IF(A17="","",DATE(RIGHT(IF(A17="","",'Additional Information'!B17),4),MID(IF(A17="","",'Additional Information'!B17),4,2),LEFT(IF(A17="","",'Additional Information'!B17),2)))</f>
        <v>45138</v>
      </c>
    </row>
    <row r="18" spans="1:2" x14ac:dyDescent="0.25">
      <c r="A18" t="str">
        <f>IF(Input!A19="","",Input!A19)</f>
        <v>Responsible Investment - Advance Medium High Risk Portfolio (Growth)</v>
      </c>
      <c r="B18" s="7">
        <f>IF(A18="","",DATE(RIGHT(IF(A18="","",'Additional Information'!B18),4),MID(IF(A18="","",'Additional Information'!B18),4,2),LEFT(IF(A18="","",'Additional Information'!B18),2)))</f>
        <v>45138</v>
      </c>
    </row>
    <row r="19" spans="1:2" x14ac:dyDescent="0.25">
      <c r="A19" t="str">
        <f>IF(Input!A20="","",Input!A20)</f>
        <v/>
      </c>
      <c r="B19" s="7" t="str">
        <f>IF(A19="","",DATE(RIGHT(IF(A19="","",'Additional Information'!B19),4),MID(IF(A19="","",'Additional Information'!B19),4,2),LEFT(IF(A19="","",'Additional Information'!B19),2)))</f>
        <v/>
      </c>
    </row>
    <row r="20" spans="1:2" x14ac:dyDescent="0.25">
      <c r="A20" t="str">
        <f>IF(Input!A21="","",Input!A21)</f>
        <v/>
      </c>
      <c r="B20" s="7" t="str">
        <f>IF(A20="","",DATE(RIGHT(IF(A20="","",'Additional Information'!B20),4),MID(IF(A20="","",'Additional Information'!B20),4,2),LEFT(IF(A20="","",'Additional Information'!B20),2)))</f>
        <v/>
      </c>
    </row>
    <row r="21" spans="1:2" x14ac:dyDescent="0.25">
      <c r="A21" t="str">
        <f>IF(Input!A22="","",Input!A22)</f>
        <v/>
      </c>
      <c r="B21" s="7" t="str">
        <f>IF(A21="","",DATE(RIGHT(IF(A21="","",'Additional Information'!B21),4),MID(IF(A21="","",'Additional Information'!B21),4,2),LEFT(IF(A21="","",'Additional Information'!B21),2)))</f>
        <v/>
      </c>
    </row>
    <row r="22" spans="1:2" x14ac:dyDescent="0.25">
      <c r="A22" t="str">
        <f>IF(Input!A23="","",Input!A23)</f>
        <v/>
      </c>
      <c r="B22" s="7" t="str">
        <f>IF(A22="","",DATE(RIGHT(IF(A22="","",'Additional Information'!B22),4),MID(IF(A22="","",'Additional Information'!B22),4,2),LEFT(IF(A22="","",'Additional Information'!B22),2)))</f>
        <v/>
      </c>
    </row>
    <row r="23" spans="1:2" x14ac:dyDescent="0.25">
      <c r="A23" t="str">
        <f>IF(Input!A24="","",Input!A24)</f>
        <v/>
      </c>
      <c r="B23" s="7" t="str">
        <f>IF(A23="","",DATE(RIGHT(IF(A23="","",'Additional Information'!B23),4),MID(IF(A23="","",'Additional Information'!B23),4,2),LEFT(IF(A23="","",'Additional Information'!B23),2)))</f>
        <v/>
      </c>
    </row>
    <row r="24" spans="1:2" x14ac:dyDescent="0.25">
      <c r="A24" t="str">
        <f>IF(Input!A25="","",Input!A25)</f>
        <v/>
      </c>
      <c r="B24" s="7" t="str">
        <f>IF(A24="","",DATE(RIGHT(IF(A24="","",'Additional Information'!B24),4),MID(IF(A24="","",'Additional Information'!B24),4,2),LEFT(IF(A24="","",'Additional Information'!B24),2)))</f>
        <v/>
      </c>
    </row>
    <row r="25" spans="1:2" x14ac:dyDescent="0.25">
      <c r="A25" t="str">
        <f>IF(Input!A26="","",Input!A26)</f>
        <v/>
      </c>
      <c r="B25" s="7" t="str">
        <f>IF(A25="","",DATE(RIGHT(IF(A25="","",'Additional Information'!B25),4),MID(IF(A25="","",'Additional Information'!B25),4,2),LEFT(IF(A25="","",'Additional Information'!B25),2)))</f>
        <v/>
      </c>
    </row>
    <row r="26" spans="1:2" x14ac:dyDescent="0.25">
      <c r="A26" t="str">
        <f>IF(Input!A27="","",Input!A27)</f>
        <v/>
      </c>
      <c r="B26" s="7" t="str">
        <f>IF(A26="","",DATE(RIGHT(IF(A26="","",'Additional Information'!B26),4),MID(IF(A26="","",'Additional Information'!B26),4,2),LEFT(IF(A26="","",'Additional Information'!B26),2)))</f>
        <v/>
      </c>
    </row>
    <row r="27" spans="1:2" x14ac:dyDescent="0.25">
      <c r="A27" t="str">
        <f>IF(Input!A28="","",Input!A28)</f>
        <v/>
      </c>
      <c r="B27" s="7" t="str">
        <f>IF(A27="","",DATE(RIGHT(IF(A27="","",'Additional Information'!B27),4),MID(IF(A27="","",'Additional Information'!B27),4,2),LEFT(IF(A27="","",'Additional Information'!B27),2)))</f>
        <v/>
      </c>
    </row>
    <row r="28" spans="1:2" x14ac:dyDescent="0.25">
      <c r="A28" t="str">
        <f>IF(Input!A29="","",Input!A29)</f>
        <v/>
      </c>
      <c r="B28" s="7" t="str">
        <f>IF(A28="","",DATE(RIGHT(IF(A28="","",'Additional Information'!B28),4),MID(IF(A28="","",'Additional Information'!B28),4,2),LEFT(IF(A28="","",'Additional Information'!B28),2)))</f>
        <v/>
      </c>
    </row>
    <row r="29" spans="1:2" x14ac:dyDescent="0.25">
      <c r="A29" t="str">
        <f>IF(Input!A30="","",Input!A30)</f>
        <v/>
      </c>
      <c r="B29" s="7" t="str">
        <f>IF(A29="","",DATE(RIGHT(IF(A29="","",'Additional Information'!B29),4),MID(IF(A29="","",'Additional Information'!B29),4,2),LEFT(IF(A29="","",'Additional Information'!B29),2)))</f>
        <v/>
      </c>
    </row>
    <row r="30" spans="1:2" x14ac:dyDescent="0.25">
      <c r="A30" t="str">
        <f>IF(Input!A31="","",Input!A31)</f>
        <v/>
      </c>
      <c r="B30" s="7" t="str">
        <f>IF(A30="","",DATE(RIGHT(IF(A30="","",'Additional Information'!B30),4),MID(IF(A30="","",'Additional Information'!B30),4,2),LEFT(IF(A30="","",'Additional Information'!B30),2)))</f>
        <v/>
      </c>
    </row>
    <row r="31" spans="1:2" x14ac:dyDescent="0.25">
      <c r="A31" t="str">
        <f>IF(Input!A32="","",Input!A32)</f>
        <v/>
      </c>
      <c r="B31" s="7" t="str">
        <f>IF(A31="","",DATE(RIGHT(IF(A31="","",'Additional Information'!B31),4),MID(IF(A31="","",'Additional Information'!B31),4,2),LEFT(IF(A31="","",'Additional Information'!B31),2)))</f>
        <v/>
      </c>
    </row>
    <row r="32" spans="1:2" x14ac:dyDescent="0.25">
      <c r="A32" t="str">
        <f>IF(Input!A33="","",Input!A33)</f>
        <v/>
      </c>
      <c r="B32" s="7" t="str">
        <f>IF(A32="","",DATE(RIGHT(IF(A32="","",'Additional Information'!B32),4),MID(IF(A32="","",'Additional Information'!B32),4,2),LEFT(IF(A32="","",'Additional Information'!B32),2)))</f>
        <v/>
      </c>
    </row>
    <row r="33" spans="1:2" x14ac:dyDescent="0.25">
      <c r="A33" t="str">
        <f>IF(Input!A34="","",Input!A34)</f>
        <v/>
      </c>
      <c r="B33" s="7" t="str">
        <f>IF(A33="","",DATE(RIGHT(IF(A33="","",'Additional Information'!B33),4),MID(IF(A33="","",'Additional Information'!B33),4,2),LEFT(IF(A33="","",'Additional Information'!B33),2)))</f>
        <v/>
      </c>
    </row>
    <row r="34" spans="1:2" x14ac:dyDescent="0.25">
      <c r="A34" t="str">
        <f>IF(Input!A35="","",Input!A35)</f>
        <v/>
      </c>
      <c r="B34" s="7" t="str">
        <f>IF(A34="","",DATE(RIGHT(IF(A34="","",'Additional Information'!B34),4),MID(IF(A34="","",'Additional Information'!B34),4,2),LEFT(IF(A34="","",'Additional Information'!B34),2)))</f>
        <v/>
      </c>
    </row>
    <row r="35" spans="1:2" x14ac:dyDescent="0.25">
      <c r="A35" t="str">
        <f>IF(Input!A36="","",Input!A36)</f>
        <v/>
      </c>
      <c r="B35" s="7" t="str">
        <f>IF(A35="","",DATE(RIGHT(IF(A35="","",'Additional Information'!B35),4),MID(IF(A35="","",'Additional Information'!B35),4,2),LEFT(IF(A35="","",'Additional Information'!B35),2)))</f>
        <v/>
      </c>
    </row>
    <row r="36" spans="1:2" x14ac:dyDescent="0.25">
      <c r="A36" t="str">
        <f>IF(Input!A37="","",Input!A37)</f>
        <v/>
      </c>
      <c r="B36" s="7" t="str">
        <f>IF(A36="","",DATE(RIGHT(IF(A36="","",'Additional Information'!B36),4),MID(IF(A36="","",'Additional Information'!B36),4,2),LEFT(IF(A36="","",'Additional Information'!B36),2)))</f>
        <v/>
      </c>
    </row>
    <row r="37" spans="1:2" x14ac:dyDescent="0.25">
      <c r="A37" t="str">
        <f>IF(Input!A38="","",Input!A38)</f>
        <v/>
      </c>
      <c r="B37" s="7" t="str">
        <f>IF(A37="","",DATE(RIGHT(IF(A37="","",'Additional Information'!B37),4),MID(IF(A37="","",'Additional Information'!B37),4,2),LEFT(IF(A37="","",'Additional Information'!B37),2)))</f>
        <v/>
      </c>
    </row>
    <row r="38" spans="1:2" x14ac:dyDescent="0.25">
      <c r="A38" t="str">
        <f>IF(Input!A39="","",Input!A39)</f>
        <v/>
      </c>
      <c r="B38" s="7" t="str">
        <f>IF(A38="","",DATE(RIGHT(IF(A38="","",'Additional Information'!B38),4),MID(IF(A38="","",'Additional Information'!B38),4,2),LEFT(IF(A38="","",'Additional Information'!B38),2)))</f>
        <v/>
      </c>
    </row>
    <row r="39" spans="1:2" x14ac:dyDescent="0.25">
      <c r="A39" t="str">
        <f>IF(Input!A40="","",Input!A40)</f>
        <v/>
      </c>
      <c r="B39" s="7" t="str">
        <f>IF(A39="","",DATE(RIGHT(IF(A39="","",'Additional Information'!B39),4),MID(IF(A39="","",'Additional Information'!B39),4,2),LEFT(IF(A39="","",'Additional Information'!B39),2)))</f>
        <v/>
      </c>
    </row>
    <row r="40" spans="1:2" x14ac:dyDescent="0.25">
      <c r="A40" t="str">
        <f>IF(Input!A41="","",Input!A41)</f>
        <v/>
      </c>
      <c r="B40" s="7" t="str">
        <f>IF(A40="","",DATE(RIGHT(IF(A40="","",'Additional Information'!B40),4),MID(IF(A40="","",'Additional Information'!B40),4,2),LEFT(IF(A40="","",'Additional Information'!B40),2)))</f>
        <v/>
      </c>
    </row>
    <row r="41" spans="1:2" x14ac:dyDescent="0.25">
      <c r="A41" t="str">
        <f>IF(Input!A42="","",Input!A42)</f>
        <v/>
      </c>
      <c r="B41" s="7" t="str">
        <f>IF(A41="","",DATE(RIGHT(IF(A41="","",'Additional Information'!B41),4),MID(IF(A41="","",'Additional Information'!B41),4,2),LEFT(IF(A41="","",'Additional Information'!B41),2)))</f>
        <v/>
      </c>
    </row>
    <row r="42" spans="1:2" x14ac:dyDescent="0.25">
      <c r="A42" t="str">
        <f>IF(Input!A43="","",Input!A43)</f>
        <v/>
      </c>
      <c r="B42" s="7" t="str">
        <f>IF(A42="","",DATE(RIGHT(IF(A42="","",'Additional Information'!B42),4),MID(IF(A42="","",'Additional Information'!B42),4,2),LEFT(IF(A42="","",'Additional Information'!B42),2)))</f>
        <v/>
      </c>
    </row>
    <row r="43" spans="1:2" x14ac:dyDescent="0.25">
      <c r="A43" t="str">
        <f>IF(Input!A44="","",Input!A44)</f>
        <v/>
      </c>
      <c r="B43" s="7" t="str">
        <f>IF(A43="","",DATE(RIGHT(IF(A43="","",'Additional Information'!B43),4),MID(IF(A43="","",'Additional Information'!B43),4,2),LEFT(IF(A43="","",'Additional Information'!B43),2)))</f>
        <v/>
      </c>
    </row>
    <row r="44" spans="1:2" x14ac:dyDescent="0.25">
      <c r="A44" t="str">
        <f>IF(Input!A45="","",Input!A45)</f>
        <v/>
      </c>
      <c r="B44" s="7" t="str">
        <f>IF(A44="","",DATE(RIGHT(IF(A44="","",'Additional Information'!B44),4),MID(IF(A44="","",'Additional Information'!B44),4,2),LEFT(IF(A44="","",'Additional Information'!B44),2)))</f>
        <v/>
      </c>
    </row>
    <row r="45" spans="1:2" x14ac:dyDescent="0.25">
      <c r="A45" t="str">
        <f>IF(Input!A46="","",Input!A46)</f>
        <v/>
      </c>
      <c r="B45" s="7" t="str">
        <f>IF(A45="","",DATE(RIGHT(IF(A45="","",'Additional Information'!B45),4),MID(IF(A45="","",'Additional Information'!B45),4,2),LEFT(IF(A45="","",'Additional Information'!B45),2)))</f>
        <v/>
      </c>
    </row>
    <row r="46" spans="1:2" x14ac:dyDescent="0.25">
      <c r="A46" t="str">
        <f>IF(Input!A47="","",Input!A47)</f>
        <v/>
      </c>
      <c r="B46" s="7" t="str">
        <f>IF(A46="","",DATE(RIGHT(IF(A46="","",'Additional Information'!B46),4),MID(IF(A46="","",'Additional Information'!B46),4,2),LEFT(IF(A46="","",'Additional Information'!B46),2)))</f>
        <v/>
      </c>
    </row>
    <row r="47" spans="1:2" x14ac:dyDescent="0.25">
      <c r="A47" t="str">
        <f>IF(Input!A48="","",Input!A48)</f>
        <v/>
      </c>
      <c r="B47" s="7" t="str">
        <f>IF(A47="","",DATE(RIGHT(IF(A47="","",'Additional Information'!B47),4),MID(IF(A47="","",'Additional Information'!B47),4,2),LEFT(IF(A47="","",'Additional Information'!B47),2)))</f>
        <v/>
      </c>
    </row>
    <row r="48" spans="1:2" x14ac:dyDescent="0.25">
      <c r="A48" t="str">
        <f>IF(Input!A49="","",Input!A49)</f>
        <v/>
      </c>
      <c r="B48" s="7" t="str">
        <f>IF(A48="","",DATE(RIGHT(IF(A48="","",'Additional Information'!B48),4),MID(IF(A48="","",'Additional Information'!B48),4,2),LEFT(IF(A48="","",'Additional Information'!B48),2)))</f>
        <v/>
      </c>
    </row>
    <row r="49" spans="1:2" x14ac:dyDescent="0.25">
      <c r="A49" t="str">
        <f>IF(Input!A50="","",Input!A50)</f>
        <v/>
      </c>
      <c r="B49" s="7" t="str">
        <f>IF(A49="","",DATE(RIGHT(IF(A49="","",'Additional Information'!B49),4),MID(IF(A49="","",'Additional Information'!B49),4,2),LEFT(IF(A49="","",'Additional Information'!B49),2)))</f>
        <v/>
      </c>
    </row>
    <row r="50" spans="1:2" x14ac:dyDescent="0.25">
      <c r="A50" t="str">
        <f>IF(Input!A51="","",Input!A51)</f>
        <v/>
      </c>
      <c r="B50" s="7" t="str">
        <f>IF(A50="","",DATE(RIGHT(IF(A50="","",'Additional Information'!B50),4),MID(IF(A50="","",'Additional Information'!B50),4,2),LEFT(IF(A50="","",'Additional Information'!B50),2)))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eparedata.preparedata">
                <anchor moveWithCells="1" sizeWithCells="1">
                  <from>
                    <xdr:col>6</xdr:col>
                    <xdr:colOff>495300</xdr:colOff>
                    <xdr:row>2</xdr:row>
                    <xdr:rowOff>85725</xdr:rowOff>
                  </from>
                  <to>
                    <xdr:col>11</xdr:col>
                    <xdr:colOff>85725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E50"/>
  <sheetViews>
    <sheetView workbookViewId="0"/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24</v>
      </c>
      <c r="C1" t="s">
        <v>20</v>
      </c>
      <c r="D1" t="s">
        <v>21</v>
      </c>
      <c r="E1" t="s">
        <v>48</v>
      </c>
    </row>
    <row r="2" spans="1:5" x14ac:dyDescent="0.25">
      <c r="A2" t="str">
        <f>IF(Input!A3="","",Input!A3)</f>
        <v>Low Risk Portfolio Defensive Income</v>
      </c>
      <c r="C2">
        <f>IF(A2="","",'Additional Information'!C2)</f>
        <v>-2.1299999999999999E-2</v>
      </c>
      <c r="D2">
        <f>IF(A2="","",SUM('Additional Information'!D2,('Additional Information'!E2/100)))</f>
        <v>3.6359999999999999E-3</v>
      </c>
      <c r="E2">
        <f>IF(A2="","",'Additional Information'!D2)</f>
        <v>3.5999999999999999E-3</v>
      </c>
    </row>
    <row r="3" spans="1:5" x14ac:dyDescent="0.25">
      <c r="A3" t="str">
        <f>IF(Input!A4="","",Input!A4)</f>
        <v>Low Risk Portfolio Defensive Income passive</v>
      </c>
      <c r="C3">
        <f>IF(A3="","",'Additional Information'!C3)</f>
        <v>-2.0099999999999996E-2</v>
      </c>
      <c r="D3">
        <f>IF(A3="","",SUM('Additional Information'!D3,('Additional Information'!E3/100)))</f>
        <v>0</v>
      </c>
      <c r="E3">
        <f>IF(A3="","",'Additional Information'!D3)</f>
        <v>0</v>
      </c>
    </row>
    <row r="4" spans="1:5" x14ac:dyDescent="0.25">
      <c r="A4" t="str">
        <f>IF(Input!A5="","",Input!A5)</f>
        <v>Low-to-Medium Risk Portfolio Income</v>
      </c>
      <c r="C4">
        <f>IF(A4="","",'Additional Information'!C4)</f>
        <v>6.0999999999999995E-3</v>
      </c>
      <c r="D4">
        <f>IF(A4="","",SUM('Additional Information'!D4,('Additional Information'!E4/100)))</f>
        <v>4.0400000000000002E-3</v>
      </c>
      <c r="E4">
        <f>IF(A4="","",'Additional Information'!D4)</f>
        <v>4.0000000000000001E-3</v>
      </c>
    </row>
    <row r="5" spans="1:5" x14ac:dyDescent="0.25">
      <c r="A5" t="str">
        <f>IF(Input!A6="","",Input!A6)</f>
        <v>Low-to-Medium Risk Portfolio Income and Growth</v>
      </c>
      <c r="C5">
        <f>IF(A5="","",'Additional Information'!C5)</f>
        <v>-2E-3</v>
      </c>
      <c r="D5">
        <f>IF(A5="","",SUM('Additional Information'!D5,('Additional Information'!E5/100)))</f>
        <v>4.3429999999999996E-3</v>
      </c>
      <c r="E5">
        <f>IF(A5="","",'Additional Information'!D5)</f>
        <v>4.3E-3</v>
      </c>
    </row>
    <row r="6" spans="1:5" x14ac:dyDescent="0.25">
      <c r="A6" t="str">
        <f>IF(Input!A7="","",Input!A7)</f>
        <v>Low-to-Medium Risk Portfolio Income and Growth Passive</v>
      </c>
      <c r="C6">
        <f>IF(A6="","",'Additional Information'!C6)</f>
        <v>1E-4</v>
      </c>
      <c r="D6">
        <f>IF(A6="","",SUM('Additional Information'!D6,('Additional Information'!E6/100)))</f>
        <v>1.3129999999999999E-3</v>
      </c>
      <c r="E6">
        <f>IF(A6="","",'Additional Information'!D6)</f>
        <v>1.2999999999999999E-3</v>
      </c>
    </row>
    <row r="7" spans="1:5" x14ac:dyDescent="0.25">
      <c r="A7" t="str">
        <f>IF(Input!A8="","",Input!A8)</f>
        <v>Medium Risk Portfolio Income</v>
      </c>
      <c r="C7">
        <f>IF(A7="","",'Additional Information'!C7)</f>
        <v>3.0800000000000001E-2</v>
      </c>
      <c r="D7">
        <f>IF(A7="","",SUM('Additional Information'!D7,('Additional Information'!E7/100)))</f>
        <v>4.8479999999999999E-3</v>
      </c>
      <c r="E7">
        <f>IF(A7="","",'Additional Information'!D7)</f>
        <v>4.7999999999999996E-3</v>
      </c>
    </row>
    <row r="8" spans="1:5" x14ac:dyDescent="0.25">
      <c r="A8" t="str">
        <f>IF(Input!A9="","",Input!A9)</f>
        <v>Medium Risk Portfolio Income and Growth</v>
      </c>
      <c r="C8">
        <f>IF(A8="","",'Additional Information'!C8)</f>
        <v>2.3399999999999997E-2</v>
      </c>
      <c r="D8">
        <f>IF(A8="","",SUM('Additional Information'!D8,('Additional Information'!E8/100)))</f>
        <v>5.3530000000000001E-3</v>
      </c>
      <c r="E8">
        <f>IF(A8="","",'Additional Information'!D8)</f>
        <v>5.3E-3</v>
      </c>
    </row>
    <row r="9" spans="1:5" x14ac:dyDescent="0.25">
      <c r="A9" t="str">
        <f>IF(Input!A10="","",Input!A10)</f>
        <v>Medium Risk Portfolio Income and Growth Passive</v>
      </c>
      <c r="C9">
        <f>IF(A9="","",'Additional Information'!C9)</f>
        <v>2.5099999999999997E-2</v>
      </c>
      <c r="D9">
        <f>IF(A9="","",SUM('Additional Information'!D9,('Additional Information'!E9/100)))</f>
        <v>1.3129999999999999E-3</v>
      </c>
      <c r="E9">
        <f>IF(A9="","",'Additional Information'!D9)</f>
        <v>1.2999999999999999E-3</v>
      </c>
    </row>
    <row r="10" spans="1:5" x14ac:dyDescent="0.25">
      <c r="A10" t="str">
        <f>IF(Input!A11="","",Input!A11)</f>
        <v>Medium-to-High Risk Portfolio Growth</v>
      </c>
      <c r="C10">
        <f>IF(A10="","",'Additional Information'!C10)</f>
        <v>3.8100000000000002E-2</v>
      </c>
      <c r="D10">
        <f>IF(A10="","",SUM('Additional Information'!D10,('Additional Information'!E10/100)))</f>
        <v>5.4540000000000005E-3</v>
      </c>
      <c r="E10">
        <f>IF(A10="","",'Additional Information'!D10)</f>
        <v>5.4000000000000003E-3</v>
      </c>
    </row>
    <row r="11" spans="1:5" x14ac:dyDescent="0.25">
      <c r="A11" t="str">
        <f>IF(Input!A12="","",Input!A12)</f>
        <v>Medium-to-High Risk Portfolio Growth Passive</v>
      </c>
      <c r="C11">
        <f>IF(A11="","",'Additional Information'!C11)</f>
        <v>7.8100000000000003E-2</v>
      </c>
      <c r="D11">
        <f>IF(A11="","",SUM('Additional Information'!D11,('Additional Information'!E11/100)))</f>
        <v>1.212E-3</v>
      </c>
      <c r="E11">
        <f>IF(A11="","",'Additional Information'!D11)</f>
        <v>1.1999999999999999E-3</v>
      </c>
    </row>
    <row r="12" spans="1:5" x14ac:dyDescent="0.25">
      <c r="A12" t="str">
        <f>IF(Input!A13="","",Input!A13)</f>
        <v>High Risk Portfolio Growth</v>
      </c>
      <c r="C12">
        <f>IF(A12="","",'Additional Information'!C12)</f>
        <v>4.3299999999999998E-2</v>
      </c>
      <c r="D12">
        <f>IF(A12="","",SUM('Additional Information'!D12,('Additional Information'!E12/100)))</f>
        <v>5.9589999999999999E-3</v>
      </c>
      <c r="E12">
        <f>IF(A12="","",'Additional Information'!D12)</f>
        <v>5.8999999999999999E-3</v>
      </c>
    </row>
    <row r="13" spans="1:5" x14ac:dyDescent="0.25">
      <c r="A13" t="str">
        <f>IF(Input!A14="","",Input!A14)</f>
        <v>High Risk Portfolio Growth passive</v>
      </c>
      <c r="C13">
        <f>IF(A13="","",'Additional Information'!C13)</f>
        <v>4.7100000000000003E-2</v>
      </c>
      <c r="D13">
        <f>IF(A13="","",SUM('Additional Information'!D13,('Additional Information'!E13/100)))</f>
        <v>0</v>
      </c>
      <c r="E13">
        <f>IF(A13="","",'Additional Information'!D13)</f>
        <v>0</v>
      </c>
    </row>
    <row r="14" spans="1:5" x14ac:dyDescent="0.25">
      <c r="A14" t="str">
        <f>IF(Input!A15="","",Input!A15)</f>
        <v>Responsible Investment - Advance High Risk Portfolio (Growth)</v>
      </c>
      <c r="C14">
        <f>IF(A14="","",'Additional Information'!C14)</f>
        <v>6.9999999999999993E-3</v>
      </c>
      <c r="D14">
        <f>IF(A14="","",SUM('Additional Information'!D14,('Additional Information'!E14/100)))</f>
        <v>0</v>
      </c>
      <c r="E14">
        <f>IF(A14="","",'Additional Information'!D14)</f>
        <v>0</v>
      </c>
    </row>
    <row r="15" spans="1:5" x14ac:dyDescent="0.25">
      <c r="A15" t="str">
        <f>IF(Input!A16="","",Input!A16)</f>
        <v>Responsible Investment - Advance Low Risk Portfolio (Defensive income)</v>
      </c>
      <c r="C15">
        <f>IF(A15="","",'Additional Information'!C15)</f>
        <v>-3.73E-2</v>
      </c>
      <c r="D15">
        <f>IF(A15="","",SUM('Additional Information'!D15,('Additional Information'!E15/100)))</f>
        <v>0</v>
      </c>
      <c r="E15">
        <f>IF(A15="","",'Additional Information'!D15)</f>
        <v>0</v>
      </c>
    </row>
    <row r="16" spans="1:5" x14ac:dyDescent="0.25">
      <c r="A16" t="str">
        <f>IF(Input!A17="","",Input!A17)</f>
        <v>Responsible Investment - Advance Low Medium Risk Portfolio (Income &amp; Growth)</v>
      </c>
      <c r="C16">
        <f>IF(A16="","",'Additional Information'!C16)</f>
        <v>-2.92E-2</v>
      </c>
      <c r="D16">
        <f>IF(A16="","",SUM('Additional Information'!D16,('Additional Information'!E16/100)))</f>
        <v>7.5649999999999997E-3</v>
      </c>
      <c r="E16">
        <f>IF(A16="","",'Additional Information'!D16)</f>
        <v>7.4999999999999997E-3</v>
      </c>
    </row>
    <row r="17" spans="1:5" x14ac:dyDescent="0.25">
      <c r="A17" t="str">
        <f>IF(Input!A18="","",Input!A18)</f>
        <v>Responsible Investment - Advance Medium Risk Portfolio (Income &amp; Growth)</v>
      </c>
      <c r="C17">
        <f>IF(A17="","",'Additional Information'!C17)</f>
        <v>-1.5300000000000001E-2</v>
      </c>
      <c r="D17">
        <f>IF(A17="","",SUM('Additional Information'!D17,('Additional Information'!E17/100)))</f>
        <v>7.5709999999999996E-3</v>
      </c>
      <c r="E17">
        <f>IF(A17="","",'Additional Information'!D17)</f>
        <v>7.4999999999999997E-3</v>
      </c>
    </row>
    <row r="18" spans="1:5" x14ac:dyDescent="0.25">
      <c r="A18" t="str">
        <f>IF(Input!A19="","",Input!A19)</f>
        <v>Responsible Investment - Advance Medium High Risk Portfolio (Growth)</v>
      </c>
      <c r="C18">
        <f>IF(A18="","",'Additional Information'!C18)</f>
        <v>2E-3</v>
      </c>
      <c r="D18">
        <f>IF(A18="","",SUM('Additional Information'!D18,('Additional Information'!E18/100)))</f>
        <v>7.5709999999999996E-3</v>
      </c>
      <c r="E18">
        <f>IF(A18="","",'Additional Information'!D18)</f>
        <v>7.4999999999999997E-3</v>
      </c>
    </row>
    <row r="19" spans="1:5" x14ac:dyDescent="0.25">
      <c r="A19" t="str">
        <f>IF(Input!A20="","",Input!A20)</f>
        <v/>
      </c>
      <c r="C19" t="str">
        <f>IF(A19="","",'Additional Information'!C19)</f>
        <v/>
      </c>
      <c r="D19" t="str">
        <f>IF(A19="","",SUM('Additional Information'!D19,('Additional Information'!E19/100)))</f>
        <v/>
      </c>
      <c r="E19" t="str">
        <f>IF(A19="","",'Additional Information'!D19)</f>
        <v/>
      </c>
    </row>
    <row r="20" spans="1:5" x14ac:dyDescent="0.25">
      <c r="A20" t="str">
        <f>IF(Input!A21="","",Input!A21)</f>
        <v/>
      </c>
      <c r="C20" t="str">
        <f>IF(A20="","",'Additional Information'!C20)</f>
        <v/>
      </c>
      <c r="D20" t="str">
        <f>IF(A20="","",SUM('Additional Information'!D20,('Additional Information'!E20/100)))</f>
        <v/>
      </c>
      <c r="E20" t="str">
        <f>IF(A20="","",'Additional Information'!D20)</f>
        <v/>
      </c>
    </row>
    <row r="21" spans="1:5" x14ac:dyDescent="0.25">
      <c r="A21" t="str">
        <f>IF(Input!A22="","",Input!A22)</f>
        <v/>
      </c>
      <c r="C21" t="str">
        <f>IF(A21="","",'Additional Information'!C21)</f>
        <v/>
      </c>
      <c r="D21" t="str">
        <f>IF(A21="","",SUM('Additional Information'!D21,('Additional Information'!E21/100)))</f>
        <v/>
      </c>
      <c r="E21" t="str">
        <f>IF(A21="","",'Additional Information'!D21)</f>
        <v/>
      </c>
    </row>
    <row r="22" spans="1:5" x14ac:dyDescent="0.25">
      <c r="A22" t="str">
        <f>IF(Input!A23="","",Input!A23)</f>
        <v/>
      </c>
      <c r="C22" t="str">
        <f>IF(A22="","",'Additional Information'!C22)</f>
        <v/>
      </c>
      <c r="D22" t="str">
        <f>IF(A22="","",SUM('Additional Information'!D22,('Additional Information'!E22/100)))</f>
        <v/>
      </c>
      <c r="E22" t="str">
        <f>IF(A22="","",'Additional Information'!D22)</f>
        <v/>
      </c>
    </row>
    <row r="23" spans="1:5" x14ac:dyDescent="0.25">
      <c r="A23" t="str">
        <f>IF(Input!A24="","",Input!A24)</f>
        <v/>
      </c>
      <c r="C23" t="str">
        <f>IF(A23="","",'Additional Information'!C23)</f>
        <v/>
      </c>
      <c r="D23" t="str">
        <f>IF(A23="","",SUM('Additional Information'!D23,('Additional Information'!E23/100)))</f>
        <v/>
      </c>
      <c r="E23" t="str">
        <f>IF(A23="","",'Additional Information'!D23)</f>
        <v/>
      </c>
    </row>
    <row r="24" spans="1:5" x14ac:dyDescent="0.25">
      <c r="A24" t="str">
        <f>IF(Input!A25="","",Input!A25)</f>
        <v/>
      </c>
      <c r="C24" t="str">
        <f>IF(A24="","",'Additional Information'!C24)</f>
        <v/>
      </c>
      <c r="D24" t="str">
        <f>IF(A24="","",SUM('Additional Information'!D24,('Additional Information'!E24/100)))</f>
        <v/>
      </c>
      <c r="E24" t="str">
        <f>IF(A24="","",'Additional Information'!D24)</f>
        <v/>
      </c>
    </row>
    <row r="25" spans="1:5" x14ac:dyDescent="0.25">
      <c r="A25" t="str">
        <f>IF(Input!A26="","",Input!A26)</f>
        <v/>
      </c>
      <c r="C25" t="str">
        <f>IF(A25="","",'Additional Information'!C25)</f>
        <v/>
      </c>
      <c r="D25" t="str">
        <f>IF(A25="","",SUM('Additional Information'!D25,('Additional Information'!E25/100)))</f>
        <v/>
      </c>
      <c r="E25" t="str">
        <f>IF(A25="","",'Additional Information'!D25)</f>
        <v/>
      </c>
    </row>
    <row r="26" spans="1:5" x14ac:dyDescent="0.25">
      <c r="A26" t="str">
        <f>IF(Input!A27="","",Input!A27)</f>
        <v/>
      </c>
      <c r="C26" t="str">
        <f>IF(A26="","",'Additional Information'!C26)</f>
        <v/>
      </c>
      <c r="D26" t="str">
        <f>IF(A26="","",SUM('Additional Information'!D26,('Additional Information'!E26/100)))</f>
        <v/>
      </c>
      <c r="E26" t="str">
        <f>IF(A26="","",'Additional Information'!D26)</f>
        <v/>
      </c>
    </row>
    <row r="27" spans="1:5" x14ac:dyDescent="0.25">
      <c r="A27" t="str">
        <f>IF(Input!A28="","",Input!A28)</f>
        <v/>
      </c>
      <c r="C27" t="str">
        <f>IF(A27="","",'Additional Information'!C27)</f>
        <v/>
      </c>
      <c r="D27" t="str">
        <f>IF(A27="","",SUM('Additional Information'!D27,('Additional Information'!E27/100)))</f>
        <v/>
      </c>
      <c r="E27" t="str">
        <f>IF(A27="","",'Additional Information'!D27)</f>
        <v/>
      </c>
    </row>
    <row r="28" spans="1:5" x14ac:dyDescent="0.25">
      <c r="A28" t="str">
        <f>IF(Input!A29="","",Input!A29)</f>
        <v/>
      </c>
      <c r="C28" t="str">
        <f>IF(A28="","",'Additional Information'!C28)</f>
        <v/>
      </c>
      <c r="D28" t="str">
        <f>IF(A28="","",SUM('Additional Information'!D28,('Additional Information'!E28/100)))</f>
        <v/>
      </c>
      <c r="E28" t="str">
        <f>IF(A28="","",'Additional Information'!D28)</f>
        <v/>
      </c>
    </row>
    <row r="29" spans="1:5" x14ac:dyDescent="0.25">
      <c r="A29" t="str">
        <f>IF(Input!A30="","",Input!A30)</f>
        <v/>
      </c>
      <c r="C29" t="str">
        <f>IF(A29="","",'Additional Information'!C29)</f>
        <v/>
      </c>
      <c r="D29" t="str">
        <f>IF(A29="","",SUM('Additional Information'!D29,('Additional Information'!E29/100)))</f>
        <v/>
      </c>
      <c r="E29" t="str">
        <f>IF(A29="","",'Additional Information'!D29)</f>
        <v/>
      </c>
    </row>
    <row r="30" spans="1:5" x14ac:dyDescent="0.25">
      <c r="A30" t="str">
        <f>IF(Input!A31="","",Input!A31)</f>
        <v/>
      </c>
      <c r="C30" t="str">
        <f>IF(A30="","",'Additional Information'!C30)</f>
        <v/>
      </c>
      <c r="D30" t="str">
        <f>IF(A30="","",SUM('Additional Information'!D30,('Additional Information'!E30/100)))</f>
        <v/>
      </c>
      <c r="E30" t="str">
        <f>IF(A30="","",'Additional Information'!D30)</f>
        <v/>
      </c>
    </row>
    <row r="31" spans="1:5" x14ac:dyDescent="0.25">
      <c r="A31" t="str">
        <f>IF(Input!A32="","",Input!A32)</f>
        <v/>
      </c>
      <c r="C31" t="str">
        <f>IF(A31="","",'Additional Information'!C31)</f>
        <v/>
      </c>
      <c r="D31" t="str">
        <f>IF(A31="","",SUM('Additional Information'!D31,('Additional Information'!E31/100)))</f>
        <v/>
      </c>
      <c r="E31" t="str">
        <f>IF(A31="","",'Additional Information'!D31)</f>
        <v/>
      </c>
    </row>
    <row r="32" spans="1:5" x14ac:dyDescent="0.25">
      <c r="A32" t="str">
        <f>IF(Input!A33="","",Input!A33)</f>
        <v/>
      </c>
      <c r="C32" t="str">
        <f>IF(A32="","",'Additional Information'!C32)</f>
        <v/>
      </c>
      <c r="D32" t="str">
        <f>IF(A32="","",SUM('Additional Information'!D32,('Additional Information'!E32/100)))</f>
        <v/>
      </c>
      <c r="E32" t="str">
        <f>IF(A32="","",'Additional Information'!D32)</f>
        <v/>
      </c>
    </row>
    <row r="33" spans="1:5" x14ac:dyDescent="0.25">
      <c r="A33" t="str">
        <f>IF(Input!A34="","",Input!A34)</f>
        <v/>
      </c>
      <c r="C33" t="str">
        <f>IF(A33="","",'Additional Information'!C33)</f>
        <v/>
      </c>
      <c r="D33" t="str">
        <f>IF(A33="","",SUM('Additional Information'!D33,('Additional Information'!E33/100)))</f>
        <v/>
      </c>
      <c r="E33" t="str">
        <f>IF(A33="","",'Additional Information'!D33)</f>
        <v/>
      </c>
    </row>
    <row r="34" spans="1:5" x14ac:dyDescent="0.25">
      <c r="A34" t="str">
        <f>IF(Input!A35="","",Input!A35)</f>
        <v/>
      </c>
      <c r="C34" t="str">
        <f>IF(A34="","",'Additional Information'!C34)</f>
        <v/>
      </c>
      <c r="D34" t="str">
        <f>IF(A34="","",SUM('Additional Information'!D34,('Additional Information'!E34/100)))</f>
        <v/>
      </c>
      <c r="E34" t="str">
        <f>IF(A34="","",'Additional Information'!D34)</f>
        <v/>
      </c>
    </row>
    <row r="35" spans="1:5" x14ac:dyDescent="0.25">
      <c r="A35" t="str">
        <f>IF(Input!A36="","",Input!A36)</f>
        <v/>
      </c>
      <c r="C35" t="str">
        <f>IF(A35="","",'Additional Information'!C35)</f>
        <v/>
      </c>
      <c r="D35" t="str">
        <f>IF(A35="","",SUM('Additional Information'!D35,('Additional Information'!E35/100)))</f>
        <v/>
      </c>
      <c r="E35" t="str">
        <f>IF(A35="","",'Additional Information'!D35)</f>
        <v/>
      </c>
    </row>
    <row r="36" spans="1:5" x14ac:dyDescent="0.25">
      <c r="A36" t="str">
        <f>IF(Input!A37="","",Input!A37)</f>
        <v/>
      </c>
      <c r="C36" t="str">
        <f>IF(A36="","",'Additional Information'!C36)</f>
        <v/>
      </c>
      <c r="D36" t="str">
        <f>IF(A36="","",SUM('Additional Information'!D36,('Additional Information'!E36/100)))</f>
        <v/>
      </c>
      <c r="E36" t="str">
        <f>IF(A36="","",'Additional Information'!D36)</f>
        <v/>
      </c>
    </row>
    <row r="37" spans="1:5" x14ac:dyDescent="0.25">
      <c r="A37" t="str">
        <f>IF(Input!A38="","",Input!A38)</f>
        <v/>
      </c>
      <c r="C37" t="str">
        <f>IF(A37="","",'Additional Information'!C37)</f>
        <v/>
      </c>
      <c r="D37" t="str">
        <f>IF(A37="","",SUM('Additional Information'!D37,('Additional Information'!E37/100)))</f>
        <v/>
      </c>
      <c r="E37" t="str">
        <f>IF(A37="","",'Additional Information'!D37)</f>
        <v/>
      </c>
    </row>
    <row r="38" spans="1:5" x14ac:dyDescent="0.25">
      <c r="A38" t="str">
        <f>IF(Input!A39="","",Input!A39)</f>
        <v/>
      </c>
      <c r="C38" t="str">
        <f>IF(A38="","",'Additional Information'!C38)</f>
        <v/>
      </c>
      <c r="D38" t="str">
        <f>IF(A38="","",SUM('Additional Information'!D38,('Additional Information'!E38/100)))</f>
        <v/>
      </c>
      <c r="E38" t="str">
        <f>IF(A38="","",'Additional Information'!D38)</f>
        <v/>
      </c>
    </row>
    <row r="39" spans="1:5" x14ac:dyDescent="0.25">
      <c r="A39" t="str">
        <f>IF(Input!A40="","",Input!A40)</f>
        <v/>
      </c>
      <c r="C39" t="str">
        <f>IF(A39="","",'Additional Information'!C39)</f>
        <v/>
      </c>
      <c r="D39" t="str">
        <f>IF(A39="","",SUM('Additional Information'!D39,('Additional Information'!E39/100)))</f>
        <v/>
      </c>
      <c r="E39" t="str">
        <f>IF(A39="","",'Additional Information'!D39)</f>
        <v/>
      </c>
    </row>
    <row r="40" spans="1:5" x14ac:dyDescent="0.25">
      <c r="A40" t="str">
        <f>IF(Input!A41="","",Input!A41)</f>
        <v/>
      </c>
      <c r="C40" t="str">
        <f>IF(A40="","",'Additional Information'!C40)</f>
        <v/>
      </c>
      <c r="D40" t="str">
        <f>IF(A40="","",SUM('Additional Information'!D40,('Additional Information'!E40/100)))</f>
        <v/>
      </c>
      <c r="E40" t="str">
        <f>IF(A40="","",'Additional Information'!D40)</f>
        <v/>
      </c>
    </row>
    <row r="41" spans="1:5" x14ac:dyDescent="0.25">
      <c r="A41" t="str">
        <f>IF(Input!A42="","",Input!A42)</f>
        <v/>
      </c>
      <c r="C41" t="str">
        <f>IF(A41="","",'Additional Information'!C41)</f>
        <v/>
      </c>
      <c r="D41" t="str">
        <f>IF(A41="","",SUM('Additional Information'!D41,('Additional Information'!E41/100)))</f>
        <v/>
      </c>
      <c r="E41" t="str">
        <f>IF(A41="","",'Additional Information'!D41)</f>
        <v/>
      </c>
    </row>
    <row r="42" spans="1:5" x14ac:dyDescent="0.25">
      <c r="A42" t="str">
        <f>IF(Input!A43="","",Input!A43)</f>
        <v/>
      </c>
      <c r="C42" t="str">
        <f>IF(A42="","",'Additional Information'!C42)</f>
        <v/>
      </c>
      <c r="D42" t="str">
        <f>IF(A42="","",SUM('Additional Information'!D42,('Additional Information'!E42/100)))</f>
        <v/>
      </c>
      <c r="E42" t="str">
        <f>IF(A42="","",'Additional Information'!D42)</f>
        <v/>
      </c>
    </row>
    <row r="43" spans="1:5" x14ac:dyDescent="0.25">
      <c r="A43" t="str">
        <f>IF(Input!A44="","",Input!A44)</f>
        <v/>
      </c>
      <c r="C43" t="str">
        <f>IF(A43="","",'Additional Information'!C43)</f>
        <v/>
      </c>
      <c r="D43" t="str">
        <f>IF(A43="","",SUM('Additional Information'!D43,('Additional Information'!E43/100)))</f>
        <v/>
      </c>
      <c r="E43" t="str">
        <f>IF(A43="","",'Additional Information'!D43)</f>
        <v/>
      </c>
    </row>
    <row r="44" spans="1:5" x14ac:dyDescent="0.25">
      <c r="A44" t="str">
        <f>IF(Input!A45="","",Input!A45)</f>
        <v/>
      </c>
      <c r="C44" t="str">
        <f>IF(A44="","",'Additional Information'!C44)</f>
        <v/>
      </c>
      <c r="D44" t="str">
        <f>IF(A44="","",SUM('Additional Information'!D44,('Additional Information'!E44/100)))</f>
        <v/>
      </c>
      <c r="E44" t="str">
        <f>IF(A44="","",'Additional Information'!D44)</f>
        <v/>
      </c>
    </row>
    <row r="45" spans="1:5" x14ac:dyDescent="0.25">
      <c r="A45" t="str">
        <f>IF(Input!A46="","",Input!A46)</f>
        <v/>
      </c>
      <c r="C45" t="str">
        <f>IF(A45="","",'Additional Information'!C45)</f>
        <v/>
      </c>
      <c r="D45" t="str">
        <f>IF(A45="","",SUM('Additional Information'!D45,('Additional Information'!E45/100)))</f>
        <v/>
      </c>
      <c r="E45" t="str">
        <f>IF(A45="","",'Additional Information'!D45)</f>
        <v/>
      </c>
    </row>
    <row r="46" spans="1:5" x14ac:dyDescent="0.25">
      <c r="A46" t="str">
        <f>IF(Input!A47="","",Input!A47)</f>
        <v/>
      </c>
      <c r="C46" t="str">
        <f>IF(A46="","",'Additional Information'!C46)</f>
        <v/>
      </c>
      <c r="D46" t="str">
        <f>IF(A46="","",SUM('Additional Information'!D46,('Additional Information'!E46/100)))</f>
        <v/>
      </c>
      <c r="E46" t="str">
        <f>IF(A46="","",'Additional Information'!D46)</f>
        <v/>
      </c>
    </row>
    <row r="47" spans="1:5" x14ac:dyDescent="0.25">
      <c r="A47" t="str">
        <f>IF(Input!A48="","",Input!A48)</f>
        <v/>
      </c>
      <c r="C47" t="str">
        <f>IF(A47="","",'Additional Information'!C47)</f>
        <v/>
      </c>
      <c r="D47" t="str">
        <f>IF(A47="","",SUM('Additional Information'!D47,('Additional Information'!E47/100)))</f>
        <v/>
      </c>
      <c r="E47" t="str">
        <f>IF(A47="","",'Additional Information'!D47)</f>
        <v/>
      </c>
    </row>
    <row r="48" spans="1:5" x14ac:dyDescent="0.25">
      <c r="A48" t="str">
        <f>IF(Input!A49="","",Input!A49)</f>
        <v/>
      </c>
      <c r="C48" t="str">
        <f>IF(A48="","",'Additional Information'!C48)</f>
        <v/>
      </c>
      <c r="D48" t="str">
        <f>IF(A48="","",SUM('Additional Information'!D48,('Additional Information'!E48/100)))</f>
        <v/>
      </c>
      <c r="E48" t="str">
        <f>IF(A48="","",'Additional Information'!D48)</f>
        <v/>
      </c>
    </row>
    <row r="49" spans="1:5" x14ac:dyDescent="0.25">
      <c r="A49" t="str">
        <f>IF(Input!A50="","",Input!A50)</f>
        <v/>
      </c>
      <c r="C49" t="str">
        <f>IF(A49="","",'Additional Information'!C49)</f>
        <v/>
      </c>
      <c r="D49" t="str">
        <f>IF(A49="","",SUM('Additional Information'!D49,('Additional Information'!E49/100)))</f>
        <v/>
      </c>
      <c r="E49" t="str">
        <f>IF(A49="","",'Additional Information'!D49)</f>
        <v/>
      </c>
    </row>
    <row r="50" spans="1:5" x14ac:dyDescent="0.25">
      <c r="A50" t="str">
        <f>IF(Input!A51="","",Input!A51)</f>
        <v/>
      </c>
      <c r="C50" t="str">
        <f>IF(A50="","",'Additional Information'!C50)</f>
        <v/>
      </c>
      <c r="D50" t="str">
        <f>IF(A50="","",SUM('Additional Information'!D50,('Additional Information'!E50/100)))</f>
        <v/>
      </c>
      <c r="E50" t="str">
        <f>IF(A50="","",'Additional Information'!D50)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47</v>
      </c>
    </row>
    <row r="2" spans="1:8" x14ac:dyDescent="0.25">
      <c r="A2" t="str">
        <f>IF(Input!A3="","",Input!A3)</f>
        <v>Low Risk Portfolio Defensive Income</v>
      </c>
      <c r="B2">
        <f>IF(A2="","",SUM('Asset Allocation'!D2,'Asset Allocation'!E2,'Asset Allocation'!F2,'Asset Allocation'!G2,'Asset Allocation'!H2))</f>
        <v>0.2127</v>
      </c>
      <c r="C2">
        <f>IF(A2="","",SUM('Asset Allocation'!B2,'Asset Allocation'!C2))</f>
        <v>0.58550000000000002</v>
      </c>
      <c r="F2">
        <f>IF(A2="","",SUM('Asset Allocation'!I2,'Asset Allocation'!J2))</f>
        <v>0.1401</v>
      </c>
      <c r="G2">
        <f>IF(A2="","",SUM('Asset Allocation'!L2))</f>
        <v>6.1799999999999994E-2</v>
      </c>
      <c r="H2">
        <f>IF(A2="","",1-SUM(B2:G2))</f>
        <v>-9.9999999999988987E-5</v>
      </c>
    </row>
    <row r="3" spans="1:8" x14ac:dyDescent="0.25">
      <c r="A3" t="str">
        <f>IF(Input!A4="","",Input!A4)</f>
        <v>Low Risk Portfolio Defensive Income passive</v>
      </c>
      <c r="B3">
        <f>IF(A3="","",SUM('Asset Allocation'!D3,'Asset Allocation'!E3,'Asset Allocation'!F3,'Asset Allocation'!G3,'Asset Allocation'!H3))</f>
        <v>0.24390000000000001</v>
      </c>
      <c r="C3">
        <f>IF(A3="","",SUM('Asset Allocation'!B3,'Asset Allocation'!C3))</f>
        <v>0.65380000000000005</v>
      </c>
      <c r="F3">
        <f>IF(A3="","",SUM('Asset Allocation'!I3,'Asset Allocation'!J3))</f>
        <v>3.9900000000000005E-2</v>
      </c>
      <c r="G3">
        <f>IF(A3="","",SUM('Asset Allocation'!L3))</f>
        <v>6.25E-2</v>
      </c>
      <c r="H3">
        <f t="shared" ref="H3:H50" si="0">IF(A3="","",1-SUM(B3:G3))</f>
        <v>-1.0000000000021103E-4</v>
      </c>
    </row>
    <row r="4" spans="1:8" x14ac:dyDescent="0.25">
      <c r="A4" t="str">
        <f>IF(Input!A5="","",Input!A5)</f>
        <v>Low-to-Medium Risk Portfolio Income</v>
      </c>
      <c r="B4">
        <f>IF(A4="","",SUM('Asset Allocation'!D4,'Asset Allocation'!E4,'Asset Allocation'!F4,'Asset Allocation'!G4,'Asset Allocation'!H4))</f>
        <v>0.40310000000000001</v>
      </c>
      <c r="C4">
        <f>IF(A4="","",SUM('Asset Allocation'!B4,'Asset Allocation'!C4))</f>
        <v>0.39490000000000003</v>
      </c>
      <c r="F4">
        <f>IF(A4="","",SUM('Asset Allocation'!I4,'Asset Allocation'!J4))</f>
        <v>0.1492</v>
      </c>
      <c r="G4">
        <f>IF(A4="","",SUM('Asset Allocation'!L4))</f>
        <v>5.2900000000000003E-2</v>
      </c>
      <c r="H4">
        <f t="shared" si="0"/>
        <v>-9.9999999999988987E-5</v>
      </c>
    </row>
    <row r="5" spans="1:8" x14ac:dyDescent="0.25">
      <c r="A5" t="str">
        <f>IF(Input!A6="","",Input!A6)</f>
        <v>Low-to-Medium Risk Portfolio Income and Growth</v>
      </c>
      <c r="B5">
        <f>IF(A5="","",SUM('Asset Allocation'!D5,'Asset Allocation'!E5,'Asset Allocation'!F5,'Asset Allocation'!G5,'Asset Allocation'!H5))</f>
        <v>0.40549999999999997</v>
      </c>
      <c r="C5">
        <f>IF(A5="","",SUM('Asset Allocation'!B5,'Asset Allocation'!C5))</f>
        <v>0.39539999999999997</v>
      </c>
      <c r="F5">
        <f>IF(A5="","",SUM('Asset Allocation'!I5,'Asset Allocation'!J5))</f>
        <v>0.14950000000000002</v>
      </c>
      <c r="G5">
        <f>IF(A5="","",SUM('Asset Allocation'!L5))</f>
        <v>4.9699999999999994E-2</v>
      </c>
      <c r="H5">
        <f t="shared" si="0"/>
        <v>-9.9999999999988987E-5</v>
      </c>
    </row>
    <row r="6" spans="1:8" x14ac:dyDescent="0.25">
      <c r="A6" t="str">
        <f>IF(Input!A7="","",Input!A7)</f>
        <v>Low-to-Medium Risk Portfolio Income and Growth Passive</v>
      </c>
      <c r="B6">
        <f>IF(A6="","",SUM('Asset Allocation'!D6,'Asset Allocation'!E6,'Asset Allocation'!F6,'Asset Allocation'!G6,'Asset Allocation'!H6))</f>
        <v>0.43540000000000001</v>
      </c>
      <c r="C6">
        <f>IF(A6="","",SUM('Asset Allocation'!B6,'Asset Allocation'!C6))</f>
        <v>0.46380000000000005</v>
      </c>
      <c r="F6">
        <f>IF(A6="","",SUM('Asset Allocation'!I6,'Asset Allocation'!J6))</f>
        <v>4.9599999999999998E-2</v>
      </c>
      <c r="G6">
        <f>IF(A6="","",SUM('Asset Allocation'!L6))</f>
        <v>5.1200000000000002E-2</v>
      </c>
      <c r="H6">
        <f t="shared" si="0"/>
        <v>0</v>
      </c>
    </row>
    <row r="7" spans="1:8" x14ac:dyDescent="0.25">
      <c r="A7" t="str">
        <f>IF(Input!A8="","",Input!A8)</f>
        <v>Medium Risk Portfolio Income</v>
      </c>
      <c r="B7">
        <f>IF(A7="","",SUM('Asset Allocation'!D7,'Asset Allocation'!E7,'Asset Allocation'!F7,'Asset Allocation'!G7,'Asset Allocation'!H7))</f>
        <v>0.62970000000000004</v>
      </c>
      <c r="C7">
        <f>IF(A7="","",SUM('Asset Allocation'!B7,'Asset Allocation'!C7))</f>
        <v>0.20599999999999999</v>
      </c>
      <c r="F7">
        <f>IF(A7="","",SUM('Asset Allocation'!I7,'Asset Allocation'!J7))</f>
        <v>0.11839999999999999</v>
      </c>
      <c r="G7">
        <f>IF(A7="","",SUM('Asset Allocation'!L7))</f>
        <v>4.5599999999999995E-2</v>
      </c>
      <c r="H7">
        <f t="shared" si="0"/>
        <v>3.0000000000007798E-4</v>
      </c>
    </row>
    <row r="8" spans="1:8" x14ac:dyDescent="0.25">
      <c r="A8" t="str">
        <f>IF(Input!A9="","",Input!A9)</f>
        <v>Medium Risk Portfolio Income and Growth</v>
      </c>
      <c r="B8">
        <f>IF(A8="","",SUM('Asset Allocation'!D8,'Asset Allocation'!E8,'Asset Allocation'!F8,'Asset Allocation'!G8,'Asset Allocation'!H8))</f>
        <v>0.63500000000000001</v>
      </c>
      <c r="C8">
        <f>IF(A8="","",SUM('Asset Allocation'!B8,'Asset Allocation'!C8))</f>
        <v>0.20629999999999998</v>
      </c>
      <c r="F8">
        <f>IF(A8="","",SUM('Asset Allocation'!I8,'Asset Allocation'!J8))</f>
        <v>0.11889999999999999</v>
      </c>
      <c r="G8">
        <f>IF(A8="","",SUM('Asset Allocation'!L8))</f>
        <v>3.9800000000000002E-2</v>
      </c>
      <c r="H8">
        <f t="shared" si="0"/>
        <v>0</v>
      </c>
    </row>
    <row r="9" spans="1:8" x14ac:dyDescent="0.25">
      <c r="A9" t="str">
        <f>IF(Input!A10="","",Input!A10)</f>
        <v>Medium Risk Portfolio Income and Growth Passive</v>
      </c>
      <c r="B9">
        <f>IF(A9="","",SUM('Asset Allocation'!D9,'Asset Allocation'!E9,'Asset Allocation'!F9,'Asset Allocation'!G9,'Asset Allocation'!H9))</f>
        <v>0.65469999999999995</v>
      </c>
      <c r="C9">
        <f>IF(A9="","",SUM('Asset Allocation'!B9,'Asset Allocation'!C9))</f>
        <v>0.26540000000000002</v>
      </c>
      <c r="F9">
        <f>IF(A9="","",SUM('Asset Allocation'!I9,'Asset Allocation'!J9))</f>
        <v>3.95E-2</v>
      </c>
      <c r="G9">
        <f>IF(A9="","",SUM('Asset Allocation'!L9))</f>
        <v>4.0500000000000001E-2</v>
      </c>
      <c r="H9">
        <f t="shared" si="0"/>
        <v>-9.9999999999988987E-5</v>
      </c>
    </row>
    <row r="10" spans="1:8" x14ac:dyDescent="0.25">
      <c r="A10" t="str">
        <f>IF(Input!A11="","",Input!A11)</f>
        <v>Medium-to-High Risk Portfolio Growth</v>
      </c>
      <c r="B10">
        <f>IF(A10="","",SUM('Asset Allocation'!D10,'Asset Allocation'!E10,'Asset Allocation'!F10,'Asset Allocation'!G10,'Asset Allocation'!H10))</f>
        <v>0.83129999999999993</v>
      </c>
      <c r="C10">
        <f>IF(A10="","",SUM('Asset Allocation'!B10,'Asset Allocation'!C10))</f>
        <v>8.7900000000000006E-2</v>
      </c>
      <c r="F10">
        <f>IF(A10="","",SUM('Asset Allocation'!I10,'Asset Allocation'!J10))</f>
        <v>4.9799999999999997E-2</v>
      </c>
      <c r="G10">
        <f>IF(A10="","",SUM('Asset Allocation'!L10))</f>
        <v>3.1E-2</v>
      </c>
      <c r="H10">
        <f t="shared" si="0"/>
        <v>1.1102230246251565E-16</v>
      </c>
    </row>
    <row r="11" spans="1:8" x14ac:dyDescent="0.25">
      <c r="A11" t="str">
        <f>IF(Input!A12="","",Input!A12)</f>
        <v>Medium-to-High Risk Portfolio Growth Passive</v>
      </c>
      <c r="B11">
        <f>IF(A11="","",SUM('Asset Allocation'!D11,'Asset Allocation'!E11,'Asset Allocation'!F11,'Asset Allocation'!G11,'Asset Allocation'!H11))</f>
        <v>0.84230000000000005</v>
      </c>
      <c r="C11">
        <f>IF(A11="","",SUM('Asset Allocation'!B11,'Asset Allocation'!C11))</f>
        <v>0.108</v>
      </c>
      <c r="F11">
        <f>IF(A11="","",SUM('Asset Allocation'!I11,'Asset Allocation'!J11))</f>
        <v>2.0099999999999996E-2</v>
      </c>
      <c r="G11">
        <f>IF(A11="","",SUM('Asset Allocation'!L11))</f>
        <v>2.9500000000000002E-2</v>
      </c>
      <c r="H11">
        <f t="shared" si="0"/>
        <v>9.9999999999988987E-5</v>
      </c>
    </row>
    <row r="12" spans="1:8" x14ac:dyDescent="0.25">
      <c r="A12" t="str">
        <f>IF(Input!A13="","",Input!A13)</f>
        <v>High Risk Portfolio Growth</v>
      </c>
      <c r="B12">
        <f>IF(A12="","",SUM('Asset Allocation'!D12,'Asset Allocation'!E12,'Asset Allocation'!F12,'Asset Allocation'!G12,'Asset Allocation'!H12))</f>
        <v>0.9214</v>
      </c>
      <c r="C12">
        <f>IF(A12="","",SUM('Asset Allocation'!B12,'Asset Allocation'!C12))</f>
        <v>1.89E-2</v>
      </c>
      <c r="F12">
        <f>IF(A12="","",SUM('Asset Allocation'!I12,'Asset Allocation'!J12))</f>
        <v>2.9600000000000001E-2</v>
      </c>
      <c r="G12">
        <f>IF(A12="","",SUM('Asset Allocation'!L12))</f>
        <v>0.03</v>
      </c>
      <c r="H12">
        <f t="shared" si="0"/>
        <v>9.9999999999988987E-5</v>
      </c>
    </row>
    <row r="13" spans="1:8" x14ac:dyDescent="0.25">
      <c r="A13" t="str">
        <f>IF(Input!A14="","",Input!A14)</f>
        <v>High Risk Portfolio Growth passive</v>
      </c>
      <c r="B13">
        <f>IF(A13="","",SUM('Asset Allocation'!D13,'Asset Allocation'!E13,'Asset Allocation'!F13,'Asset Allocation'!G13,'Asset Allocation'!H13))</f>
        <v>0.92259999999999986</v>
      </c>
      <c r="C13">
        <f>IF(A13="","",SUM('Asset Allocation'!B13,'Asset Allocation'!C13))</f>
        <v>4.8200000000000007E-2</v>
      </c>
      <c r="F13">
        <f>IF(A13="","",SUM('Asset Allocation'!I13,'Asset Allocation'!J13))</f>
        <v>0</v>
      </c>
      <c r="G13">
        <f>IF(A13="","",SUM('Asset Allocation'!L13))</f>
        <v>2.9300000000000003E-2</v>
      </c>
      <c r="H13">
        <f t="shared" si="0"/>
        <v>-9.9999999999988987E-5</v>
      </c>
    </row>
    <row r="14" spans="1:8" x14ac:dyDescent="0.25">
      <c r="A14" t="str">
        <f>IF(Input!A15="","",Input!A15)</f>
        <v>Responsible Investment - Advance High Risk Portfolio (Growth)</v>
      </c>
      <c r="B14">
        <f>IF(A14="","",SUM('Asset Allocation'!D14,'Asset Allocation'!E14,'Asset Allocation'!F14,'Asset Allocation'!G14,'Asset Allocation'!H14))</f>
        <v>0.92049999999999998</v>
      </c>
      <c r="C14">
        <f>IF(A14="","",SUM('Asset Allocation'!B14,'Asset Allocation'!C14))</f>
        <v>1.9699999999999999E-2</v>
      </c>
      <c r="F14">
        <f>IF(A14="","",SUM('Asset Allocation'!I14,'Asset Allocation'!J14))</f>
        <v>1.9900000000000001E-2</v>
      </c>
      <c r="G14">
        <f>IF(A14="","",SUM('Asset Allocation'!L14))</f>
        <v>0.02</v>
      </c>
      <c r="H14">
        <f t="shared" si="0"/>
        <v>1.9899999999999918E-2</v>
      </c>
    </row>
    <row r="15" spans="1:8" x14ac:dyDescent="0.25">
      <c r="A15" t="str">
        <f>IF(Input!A16="","",Input!A16)</f>
        <v>Responsible Investment - Advance Low Risk Portfolio (Defensive income)</v>
      </c>
      <c r="B15">
        <f>IF(A15="","",SUM('Asset Allocation'!D15,'Asset Allocation'!E15,'Asset Allocation'!F15,'Asset Allocation'!G15,'Asset Allocation'!H15))</f>
        <v>0.21279999999999999</v>
      </c>
      <c r="C15">
        <f>IF(A15="","",SUM('Asset Allocation'!B15,'Asset Allocation'!C15))</f>
        <v>0.60589999999999999</v>
      </c>
      <c r="F15">
        <f>IF(A15="","",SUM('Asset Allocation'!I15,'Asset Allocation'!J15))</f>
        <v>9.9700000000000011E-2</v>
      </c>
      <c r="G15">
        <f>IF(A15="","",SUM('Asset Allocation'!L15))</f>
        <v>6.0999999999999999E-2</v>
      </c>
      <c r="H15">
        <f t="shared" si="0"/>
        <v>2.0599999999999952E-2</v>
      </c>
    </row>
    <row r="16" spans="1:8" x14ac:dyDescent="0.25">
      <c r="A16" t="str">
        <f>IF(Input!A17="","",Input!A17)</f>
        <v>Responsible Investment - Advance Low Medium Risk Portfolio (Income &amp; Growth)</v>
      </c>
      <c r="B16">
        <f>IF(A16="","",SUM('Asset Allocation'!D16,'Asset Allocation'!E16,'Asset Allocation'!F16,'Asset Allocation'!G16,'Asset Allocation'!H16))</f>
        <v>0.42330000000000001</v>
      </c>
      <c r="C16">
        <f>IF(A16="","",SUM('Asset Allocation'!B16,'Asset Allocation'!C16))</f>
        <v>0.41620000000000001</v>
      </c>
      <c r="F16">
        <f>IF(A16="","",SUM('Asset Allocation'!I16,'Asset Allocation'!J16))</f>
        <v>9.9499999999999991E-2</v>
      </c>
      <c r="G16">
        <f>IF(A16="","",SUM('Asset Allocation'!L16))</f>
        <v>4.0500000000000001E-2</v>
      </c>
      <c r="H16">
        <f t="shared" si="0"/>
        <v>2.0499999999999963E-2</v>
      </c>
    </row>
    <row r="17" spans="1:8" x14ac:dyDescent="0.25">
      <c r="A17" t="str">
        <f>IF(Input!A18="","",Input!A18)</f>
        <v>Responsible Investment - Advance Medium Risk Portfolio (Income &amp; Growth)</v>
      </c>
      <c r="B17">
        <f>IF(A17="","",SUM('Asset Allocation'!D17,'Asset Allocation'!E17,'Asset Allocation'!F17,'Asset Allocation'!G17,'Asset Allocation'!H17))</f>
        <v>0.64769999999999994</v>
      </c>
      <c r="C17">
        <f>IF(A17="","",SUM('Asset Allocation'!B17,'Asset Allocation'!C17))</f>
        <v>0.22249999999999998</v>
      </c>
      <c r="F17">
        <f>IF(A17="","",SUM('Asset Allocation'!I17,'Asset Allocation'!J17))</f>
        <v>7.9399999999999998E-2</v>
      </c>
      <c r="G17">
        <f>IF(A17="","",SUM('Asset Allocation'!L17))</f>
        <v>3.0200000000000001E-2</v>
      </c>
      <c r="H17">
        <f t="shared" si="0"/>
        <v>2.0200000000000107E-2</v>
      </c>
    </row>
    <row r="18" spans="1:8" x14ac:dyDescent="0.25">
      <c r="A18" t="str">
        <f>IF(Input!A19="","",Input!A19)</f>
        <v>Responsible Investment - Advance Medium High Risk Portfolio (Growth)</v>
      </c>
      <c r="B18">
        <f>IF(A18="","",SUM('Asset Allocation'!D18,'Asset Allocation'!E18,'Asset Allocation'!F18,'Asset Allocation'!G18,'Asset Allocation'!H18))</f>
        <v>0.83130000000000004</v>
      </c>
      <c r="C18">
        <f>IF(A18="","",SUM('Asset Allocation'!B18,'Asset Allocation'!C18))</f>
        <v>8.8599999999999998E-2</v>
      </c>
      <c r="F18">
        <f>IF(A18="","",SUM('Asset Allocation'!I18,'Asset Allocation'!J18))</f>
        <v>2.9600000000000001E-2</v>
      </c>
      <c r="G18">
        <f>IF(A18="","",SUM('Asset Allocation'!L18))</f>
        <v>3.0099999999999998E-2</v>
      </c>
      <c r="H18">
        <f t="shared" si="0"/>
        <v>2.0399999999999974E-2</v>
      </c>
    </row>
    <row r="19" spans="1:8" x14ac:dyDescent="0.25">
      <c r="A19" t="str">
        <f>IF(Input!A20="","",Input!A20)</f>
        <v/>
      </c>
      <c r="B19" t="str">
        <f>IF(A19="","",SUM('Asset Allocation'!D19,'Asset Allocation'!E19,'Asset Allocation'!F19,'Asset Allocation'!G19,'Asset Allocation'!H19))</f>
        <v/>
      </c>
      <c r="C19" t="str">
        <f>IF(A19="","",SUM('Asset Allocation'!B19,'Asset Allocation'!C19))</f>
        <v/>
      </c>
      <c r="F19" t="str">
        <f>IF(A19="","",SUM('Asset Allocation'!I19,'Asset Allocation'!J19))</f>
        <v/>
      </c>
      <c r="G19" t="str">
        <f>IF(A19="","",SUM('Asset Allocation'!K19))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Allocation'!D20,'Asset Allocation'!E20,'Asset Allocation'!F20,'Asset Allocation'!G20,'Asset Allocation'!H20))</f>
        <v/>
      </c>
      <c r="C20" t="str">
        <f>IF(A20="","",SUM('Asset Allocation'!B20,'Asset Allocation'!C20))</f>
        <v/>
      </c>
      <c r="F20" t="str">
        <f>IF(A20="","",SUM('Asset Allocation'!I20,'Asset Allocation'!J20))</f>
        <v/>
      </c>
      <c r="G20" t="str">
        <f>IF(A20="","",SUM('Asset Allocation'!K20))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Allocation'!D21,'Asset Allocation'!E21,'Asset Allocation'!F21,'Asset Allocation'!G21,'Asset Allocation'!H21))</f>
        <v/>
      </c>
      <c r="C21" t="str">
        <f>IF(A21="","",SUM('Asset Allocation'!B21,'Asset Allocation'!C21))</f>
        <v/>
      </c>
      <c r="F21" t="str">
        <f>IF(A21="","",SUM('Asset Allocation'!I21,'Asset Allocation'!J21))</f>
        <v/>
      </c>
      <c r="G21" t="str">
        <f>IF(A21="","",SUM('Asset Allocation'!K21))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Allocation'!D22,'Asset Allocation'!E22,'Asset Allocation'!F22,'Asset Allocation'!G22,'Asset Allocation'!H22))</f>
        <v/>
      </c>
      <c r="C22" t="str">
        <f>IF(A22="","",SUM('Asset Allocation'!B22,'Asset Allocation'!C22))</f>
        <v/>
      </c>
      <c r="F22" t="str">
        <f>IF(A22="","",SUM('Asset Allocation'!I22,'Asset Allocation'!J22))</f>
        <v/>
      </c>
      <c r="G22" t="str">
        <f>IF(A22="","",SUM('Asset Allocation'!K22))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Allocation'!D23,'Asset Allocation'!E23,'Asset Allocation'!F23,'Asset Allocation'!G23,'Asset Allocation'!H23))</f>
        <v/>
      </c>
      <c r="C23" t="str">
        <f>IF(A23="","",SUM('Asset Allocation'!B23,'Asset Allocation'!C23))</f>
        <v/>
      </c>
      <c r="F23" t="str">
        <f>IF(A23="","",SUM('Asset Allocation'!I23,'Asset Allocation'!J23))</f>
        <v/>
      </c>
      <c r="G23" t="str">
        <f>IF(A23="","",SUM('Asset Allocation'!K23))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Allocation'!D24,'Asset Allocation'!E24,'Asset Allocation'!F24,'Asset Allocation'!G24,'Asset Allocation'!H24))</f>
        <v/>
      </c>
      <c r="C24" t="str">
        <f>IF(A24="","",SUM('Asset Allocation'!B24,'Asset Allocation'!C24))</f>
        <v/>
      </c>
      <c r="F24" t="str">
        <f>IF(A24="","",SUM('Asset Allocation'!I24,'Asset Allocation'!J24))</f>
        <v/>
      </c>
      <c r="G24" t="str">
        <f>IF(A24="","",SUM('Asset Allocation'!K24))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Allocation'!D25,'Asset Allocation'!E25,'Asset Allocation'!F25,'Asset Allocation'!G25,'Asset Allocation'!H25))</f>
        <v/>
      </c>
      <c r="C25" t="str">
        <f>IF(A25="","",SUM('Asset Allocation'!B25,'Asset Allocation'!C25))</f>
        <v/>
      </c>
      <c r="F25" t="str">
        <f>IF(A25="","",SUM('Asset Allocation'!I25,'Asset Allocation'!J25))</f>
        <v/>
      </c>
      <c r="G25" t="str">
        <f>IF(A25="","",SUM('Asset Allocation'!K25))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Allocation'!D26,'Asset Allocation'!E26,'Asset Allocation'!F26,'Asset Allocation'!G26,'Asset Allocation'!H26))</f>
        <v/>
      </c>
      <c r="C26" t="str">
        <f>IF(A26="","",SUM('Asset Allocation'!B26,'Asset Allocation'!C26))</f>
        <v/>
      </c>
      <c r="F26" t="str">
        <f>IF(A26="","",SUM('Asset Allocation'!I26,'Asset Allocation'!J26))</f>
        <v/>
      </c>
      <c r="G26" t="str">
        <f>IF(A26="","",SUM('Asset Allocation'!K26))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Allocation'!D27,'Asset Allocation'!E27,'Asset Allocation'!F27,'Asset Allocation'!G27,'Asset Allocation'!H27))</f>
        <v/>
      </c>
      <c r="C27" t="str">
        <f>IF(A27="","",SUM('Asset Allocation'!B27,'Asset Allocation'!C27))</f>
        <v/>
      </c>
      <c r="F27" t="str">
        <f>IF(A27="","",SUM('Asset Allocation'!I27,'Asset Allocation'!J27))</f>
        <v/>
      </c>
      <c r="G27" t="str">
        <f>IF(A27="","",SUM('Asset Allocation'!K27))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Allocation'!D28,'Asset Allocation'!E28,'Asset Allocation'!F28,'Asset Allocation'!G28,'Asset Allocation'!H28))</f>
        <v/>
      </c>
      <c r="C28" t="str">
        <f>IF(A28="","",SUM('Asset Allocation'!B28,'Asset Allocation'!C28))</f>
        <v/>
      </c>
      <c r="F28" t="str">
        <f>IF(A28="","",SUM('Asset Allocation'!I28,'Asset Allocation'!J28))</f>
        <v/>
      </c>
      <c r="G28" t="str">
        <f>IF(A28="","",SUM('Asset Allocation'!K28))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Allocation'!D29,'Asset Allocation'!E29,'Asset Allocation'!F29,'Asset Allocation'!G29,'Asset Allocation'!H29))</f>
        <v/>
      </c>
      <c r="C29" t="str">
        <f>IF(A29="","",SUM('Asset Allocation'!B29,'Asset Allocation'!C29))</f>
        <v/>
      </c>
      <c r="F29" t="str">
        <f>IF(A29="","",SUM('Asset Allocation'!I29,'Asset Allocation'!J29))</f>
        <v/>
      </c>
      <c r="G29" t="str">
        <f>IF(A29="","",SUM('Asset Allocation'!K29))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Allocation'!D30,'Asset Allocation'!E30,'Asset Allocation'!F30,'Asset Allocation'!G30,'Asset Allocation'!H30))</f>
        <v/>
      </c>
      <c r="C30" t="str">
        <f>IF(A30="","",SUM('Asset Allocation'!B30,'Asset Allocation'!C30))</f>
        <v/>
      </c>
      <c r="F30" t="str">
        <f>IF(A30="","",SUM('Asset Allocation'!I30,'Asset Allocation'!J30))</f>
        <v/>
      </c>
      <c r="G30" t="str">
        <f>IF(A30="","",SUM('Asset Allocation'!K30))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Allocation'!D31,'Asset Allocation'!E31,'Asset Allocation'!F31,'Asset Allocation'!G31,'Asset Allocation'!H31))</f>
        <v/>
      </c>
      <c r="C31" t="str">
        <f>IF(A31="","",SUM('Asset Allocation'!B31,'Asset Allocation'!C31))</f>
        <v/>
      </c>
      <c r="F31" t="str">
        <f>IF(A31="","",SUM('Asset Allocation'!I31,'Asset Allocation'!J31))</f>
        <v/>
      </c>
      <c r="G31" t="str">
        <f>IF(A31="","",SUM('Asset Allocation'!K31))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Allocation'!D32,'Asset Allocation'!E32,'Asset Allocation'!F32,'Asset Allocation'!G32,'Asset Allocation'!H32))</f>
        <v/>
      </c>
      <c r="C32" t="str">
        <f>IF(A32="","",SUM('Asset Allocation'!B32,'Asset Allocation'!C32))</f>
        <v/>
      </c>
      <c r="F32" t="str">
        <f>IF(A32="","",SUM('Asset Allocation'!I32,'Asset Allocation'!J32))</f>
        <v/>
      </c>
      <c r="G32" t="str">
        <f>IF(A32="","",SUM('Asset Allocation'!K32))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Allocation'!D33,'Asset Allocation'!E33,'Asset Allocation'!F33,'Asset Allocation'!G33,'Asset Allocation'!H33))</f>
        <v/>
      </c>
      <c r="C33" t="str">
        <f>IF(A33="","",SUM('Asset Allocation'!B33,'Asset Allocation'!C33))</f>
        <v/>
      </c>
      <c r="F33" t="str">
        <f>IF(A33="","",SUM('Asset Allocation'!I33,'Asset Allocation'!J33))</f>
        <v/>
      </c>
      <c r="G33" t="str">
        <f>IF(A33="","",SUM('Asset Allocation'!K33))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Allocation'!D34,'Asset Allocation'!E34,'Asset Allocation'!F34,'Asset Allocation'!G34,'Asset Allocation'!H34))</f>
        <v/>
      </c>
      <c r="C34" t="str">
        <f>IF(A34="","",SUM('Asset Allocation'!B34,'Asset Allocation'!C34))</f>
        <v/>
      </c>
      <c r="F34" t="str">
        <f>IF(A34="","",SUM('Asset Allocation'!I34,'Asset Allocation'!J34))</f>
        <v/>
      </c>
      <c r="G34" t="str">
        <f>IF(A34="","",SUM('Asset Allocation'!K34))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Allocation'!D35,'Asset Allocation'!E35,'Asset Allocation'!F35,'Asset Allocation'!G35,'Asset Allocation'!H35))</f>
        <v/>
      </c>
      <c r="C35" t="str">
        <f>IF(A35="","",SUM('Asset Allocation'!B35,'Asset Allocation'!C35))</f>
        <v/>
      </c>
      <c r="F35" t="str">
        <f>IF(A35="","",SUM('Asset Allocation'!I35,'Asset Allocation'!J35))</f>
        <v/>
      </c>
      <c r="G35" t="str">
        <f>IF(A35="","",SUM('Asset Allocation'!K35))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Allocation'!D36,'Asset Allocation'!E36,'Asset Allocation'!F36,'Asset Allocation'!G36,'Asset Allocation'!H36))</f>
        <v/>
      </c>
      <c r="C36" t="str">
        <f>IF(A36="","",SUM('Asset Allocation'!B36,'Asset Allocation'!C36))</f>
        <v/>
      </c>
      <c r="F36" t="str">
        <f>IF(A36="","",SUM('Asset Allocation'!I36,'Asset Allocation'!J36))</f>
        <v/>
      </c>
      <c r="G36" t="str">
        <f>IF(A36="","",SUM('Asset Allocation'!K36))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Allocation'!D37,'Asset Allocation'!E37,'Asset Allocation'!F37,'Asset Allocation'!G37,'Asset Allocation'!H37))</f>
        <v/>
      </c>
      <c r="C37" t="str">
        <f>IF(A37="","",SUM('Asset Allocation'!B37,'Asset Allocation'!C37))</f>
        <v/>
      </c>
      <c r="F37" t="str">
        <f>IF(A37="","",SUM('Asset Allocation'!I37,'Asset Allocation'!J37))</f>
        <v/>
      </c>
      <c r="G37" t="str">
        <f>IF(A37="","",SUM('Asset Allocation'!K37))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Allocation'!D38,'Asset Allocation'!E38,'Asset Allocation'!F38,'Asset Allocation'!G38,'Asset Allocation'!H38))</f>
        <v/>
      </c>
      <c r="C38" t="str">
        <f>IF(A38="","",SUM('Asset Allocation'!B38,'Asset Allocation'!C38))</f>
        <v/>
      </c>
      <c r="F38" t="str">
        <f>IF(A38="","",SUM('Asset Allocation'!I38,'Asset Allocation'!J38))</f>
        <v/>
      </c>
      <c r="G38" t="str">
        <f>IF(A38="","",SUM('Asset Allocation'!K38))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Allocation'!D39,'Asset Allocation'!E39,'Asset Allocation'!F39,'Asset Allocation'!G39,'Asset Allocation'!H39))</f>
        <v/>
      </c>
      <c r="C39" t="str">
        <f>IF(A39="","",SUM('Asset Allocation'!B39,'Asset Allocation'!C39))</f>
        <v/>
      </c>
      <c r="F39" t="str">
        <f>IF(A39="","",SUM('Asset Allocation'!I39,'Asset Allocation'!J39))</f>
        <v/>
      </c>
      <c r="G39" t="str">
        <f>IF(A39="","",SUM('Asset Allocation'!K39))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Allocation'!D40,'Asset Allocation'!E40,'Asset Allocation'!F40,'Asset Allocation'!G40,'Asset Allocation'!H40))</f>
        <v/>
      </c>
      <c r="C40" t="str">
        <f>IF(A40="","",SUM('Asset Allocation'!B40,'Asset Allocation'!C40))</f>
        <v/>
      </c>
      <c r="F40" t="str">
        <f>IF(A40="","",SUM('Asset Allocation'!I40,'Asset Allocation'!J40))</f>
        <v/>
      </c>
      <c r="G40" t="str">
        <f>IF(A40="","",SUM('Asset Allocation'!K40))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Allocation'!D41,'Asset Allocation'!E41,'Asset Allocation'!F41,'Asset Allocation'!G41,'Asset Allocation'!H41))</f>
        <v/>
      </c>
      <c r="C41" t="str">
        <f>IF(A41="","",SUM('Asset Allocation'!B41,'Asset Allocation'!C41))</f>
        <v/>
      </c>
      <c r="F41" t="str">
        <f>IF(A41="","",SUM('Asset Allocation'!I41,'Asset Allocation'!J41))</f>
        <v/>
      </c>
      <c r="G41" t="str">
        <f>IF(A41="","",SUM('Asset Allocation'!K41))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Allocation'!D42,'Asset Allocation'!E42,'Asset Allocation'!F42,'Asset Allocation'!G42,'Asset Allocation'!H42))</f>
        <v/>
      </c>
      <c r="C42" t="str">
        <f>IF(A42="","",SUM('Asset Allocation'!B42,'Asset Allocation'!C42))</f>
        <v/>
      </c>
      <c r="F42" t="str">
        <f>IF(A42="","",SUM('Asset Allocation'!I42,'Asset Allocation'!J42))</f>
        <v/>
      </c>
      <c r="G42" t="str">
        <f>IF(A42="","",SUM('Asset Allocation'!K42))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Allocation'!D43,'Asset Allocation'!E43,'Asset Allocation'!F43,'Asset Allocation'!G43,'Asset Allocation'!H43))</f>
        <v/>
      </c>
      <c r="C43" t="str">
        <f>IF(A43="","",SUM('Asset Allocation'!B43,'Asset Allocation'!C43))</f>
        <v/>
      </c>
      <c r="F43" t="str">
        <f>IF(A43="","",SUM('Asset Allocation'!I43,'Asset Allocation'!J43))</f>
        <v/>
      </c>
      <c r="G43" t="str">
        <f>IF(A43="","",SUM('Asset Allocation'!K43))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Allocation'!D44,'Asset Allocation'!E44,'Asset Allocation'!F44,'Asset Allocation'!G44,'Asset Allocation'!H44))</f>
        <v/>
      </c>
      <c r="C44" t="str">
        <f>IF(A44="","",SUM('Asset Allocation'!B44,'Asset Allocation'!C44))</f>
        <v/>
      </c>
      <c r="F44" t="str">
        <f>IF(A44="","",SUM('Asset Allocation'!I44,'Asset Allocation'!J44))</f>
        <v/>
      </c>
      <c r="G44" t="str">
        <f>IF(A44="","",SUM('Asset Allocation'!K44))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Allocation'!D45,'Asset Allocation'!E45,'Asset Allocation'!F45,'Asset Allocation'!G45,'Asset Allocation'!H45))</f>
        <v/>
      </c>
      <c r="C45" t="str">
        <f>IF(A45="","",SUM('Asset Allocation'!B45,'Asset Allocation'!C45))</f>
        <v/>
      </c>
      <c r="F45" t="str">
        <f>IF(A45="","",SUM('Asset Allocation'!I45,'Asset Allocation'!J45))</f>
        <v/>
      </c>
      <c r="G45" t="str">
        <f>IF(A45="","",SUM('Asset Allocation'!K45))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Allocation'!D46,'Asset Allocation'!E46,'Asset Allocation'!F46,'Asset Allocation'!G46,'Asset Allocation'!H46))</f>
        <v/>
      </c>
      <c r="C46" t="str">
        <f>IF(A46="","",SUM('Asset Allocation'!B46,'Asset Allocation'!C46))</f>
        <v/>
      </c>
      <c r="F46" t="str">
        <f>IF(A46="","",SUM('Asset Allocation'!I46,'Asset Allocation'!J46))</f>
        <v/>
      </c>
      <c r="G46" t="str">
        <f>IF(A46="","",SUM('Asset Allocation'!K46))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Allocation'!D47,'Asset Allocation'!E47,'Asset Allocation'!F47,'Asset Allocation'!G47,'Asset Allocation'!H47))</f>
        <v/>
      </c>
      <c r="C47" t="str">
        <f>IF(A47="","",SUM('Asset Allocation'!B47,'Asset Allocation'!C47))</f>
        <v/>
      </c>
      <c r="F47" t="str">
        <f>IF(A47="","",SUM('Asset Allocation'!I47,'Asset Allocation'!J47))</f>
        <v/>
      </c>
      <c r="G47" t="str">
        <f>IF(A47="","",SUM('Asset Allocation'!K47))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Allocation'!D48,'Asset Allocation'!E48,'Asset Allocation'!F48,'Asset Allocation'!G48,'Asset Allocation'!H48))</f>
        <v/>
      </c>
      <c r="C48" t="str">
        <f>IF(A48="","",SUM('Asset Allocation'!B48,'Asset Allocation'!C48))</f>
        <v/>
      </c>
      <c r="F48" t="str">
        <f>IF(A48="","",SUM('Asset Allocation'!I48,'Asset Allocation'!J48))</f>
        <v/>
      </c>
      <c r="G48" t="str">
        <f>IF(A48="","",SUM('Asset Allocation'!K48))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Allocation'!D49,'Asset Allocation'!E49,'Asset Allocation'!F49,'Asset Allocation'!G49,'Asset Allocation'!H49))</f>
        <v/>
      </c>
      <c r="C49" t="str">
        <f>IF(A49="","",SUM('Asset Allocation'!B49,'Asset Allocation'!C49))</f>
        <v/>
      </c>
      <c r="F49" t="str">
        <f>IF(A49="","",SUM('Asset Allocation'!I49,'Asset Allocation'!J49))</f>
        <v/>
      </c>
      <c r="G49" t="str">
        <f>IF(A49="","",SUM('Asset Allocation'!K49))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Allocation'!D50,'Asset Allocation'!E50,'Asset Allocation'!F50,'Asset Allocation'!G50,'Asset Allocation'!H50))</f>
        <v/>
      </c>
      <c r="C50" t="str">
        <f>IF(A50="","",SUM('Asset Allocation'!B50,'Asset Allocation'!C50))</f>
        <v/>
      </c>
      <c r="F50" t="str">
        <f>IF(A50="","",SUM('Asset Allocation'!I50,'Asset Allocation'!J50))</f>
        <v/>
      </c>
      <c r="G50" t="str">
        <f>IF(A50="","",SUM('Asset Allocation'!K50))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Low Risk Portfolio Defensive Income</v>
      </c>
      <c r="B2">
        <f>IFERROR(IF(A2="","",SUM('Asset Allocation'!E2)/'Broad Asset Allocation'!B2),0)</f>
        <v>9.7320169252468267E-2</v>
      </c>
      <c r="C2">
        <f>IFERROR(IF(A2="","",SUM('Asset Allocation'!D2)/'Broad Asset Allocation'!B2),0)</f>
        <v>0.4306535025858016</v>
      </c>
      <c r="D2">
        <f>IFERROR(IF(A2="","",SUM('Asset Allocation'!F2)/'Broad Asset Allocation'!B2),0)</f>
        <v>0</v>
      </c>
      <c r="G2">
        <f>IFERROR(IF(A2="","",SUM('Asset Allocation'!G2)/'Broad Asset Allocation'!B2),0)</f>
        <v>9.4969440526563226E-2</v>
      </c>
      <c r="H2">
        <f>IFERROR(IF(A2="","",SUM('Asset Allocation'!H2)/'Broad Asset Allocation'!B2),0)</f>
        <v>0.37705688763516687</v>
      </c>
    </row>
    <row r="3" spans="1:8" x14ac:dyDescent="0.25">
      <c r="A3" t="str">
        <f>IF(Input!A4="","",Input!A4)</f>
        <v>Low Risk Portfolio Defensive Income passive</v>
      </c>
      <c r="B3">
        <f>IFERROR(IF(A3="","",SUM('Asset Allocation'!E3)/'Broad Asset Allocation'!B3),0)</f>
        <v>8.3640836408364089E-2</v>
      </c>
      <c r="C3">
        <f>IFERROR(IF(A3="","",SUM('Asset Allocation'!D3)/'Broad Asset Allocation'!B3),0)</f>
        <v>0.37720377203772038</v>
      </c>
      <c r="D3">
        <f>IFERROR(IF(A3="","",SUM('Asset Allocation'!F3)/'Broad Asset Allocation'!B3),0)</f>
        <v>0</v>
      </c>
      <c r="G3">
        <f>IFERROR(IF(A3="","",SUM('Asset Allocation'!G3)/'Broad Asset Allocation'!B3),0)</f>
        <v>8.1590815908159087E-2</v>
      </c>
      <c r="H3">
        <f>IFERROR(IF(A3="","",SUM('Asset Allocation'!H3)/'Broad Asset Allocation'!B3),0)</f>
        <v>0.45756457564575648</v>
      </c>
    </row>
    <row r="4" spans="1:8" x14ac:dyDescent="0.25">
      <c r="A4" t="str">
        <f>IF(Input!A5="","",Input!A5)</f>
        <v>Low-to-Medium Risk Portfolio Income</v>
      </c>
      <c r="B4">
        <f>IFERROR(IF(A4="","",SUM('Asset Allocation'!E4)/'Broad Asset Allocation'!B4),0)</f>
        <v>0.12651947407591166</v>
      </c>
      <c r="C4">
        <f>IFERROR(IF(A4="","",SUM('Asset Allocation'!D4)/'Broad Asset Allocation'!B4),0)</f>
        <v>0.37608533862565124</v>
      </c>
      <c r="D4">
        <f>IFERROR(IF(A4="","",SUM('Asset Allocation'!F4)/'Broad Asset Allocation'!B4),0)</f>
        <v>4.9615480029769288E-2</v>
      </c>
      <c r="G4">
        <f>IFERROR(IF(A4="","",SUM('Asset Allocation'!G4)/'Broad Asset Allocation'!B4),0)</f>
        <v>0.17539072190523441</v>
      </c>
      <c r="H4">
        <f>IFERROR(IF(A4="","",SUM('Asset Allocation'!H4)/'Broad Asset Allocation'!B4),0)</f>
        <v>0.27238898536343342</v>
      </c>
    </row>
    <row r="5" spans="1:8" x14ac:dyDescent="0.25">
      <c r="A5" t="str">
        <f>IF(Input!A6="","",Input!A6)</f>
        <v>Low-to-Medium Risk Portfolio Income and Growth</v>
      </c>
      <c r="B5">
        <f>IFERROR(IF(A5="","",SUM('Asset Allocation'!E5)/'Broad Asset Allocation'!B5),0)</f>
        <v>0.12651048088779285</v>
      </c>
      <c r="C5">
        <f>IFERROR(IF(A5="","",SUM('Asset Allocation'!D5)/'Broad Asset Allocation'!B5),0)</f>
        <v>0.37681874229346485</v>
      </c>
      <c r="D5">
        <f>IFERROR(IF(A5="","",SUM('Asset Allocation'!F5)/'Broad Asset Allocation'!B5),0)</f>
        <v>4.9815043156596794E-2</v>
      </c>
      <c r="G5">
        <f>IFERROR(IF(A5="","",SUM('Asset Allocation'!G5)/'Broad Asset Allocation'!B5),0)</f>
        <v>0.17336621454993836</v>
      </c>
      <c r="H5">
        <f>IFERROR(IF(A5="","",SUM('Asset Allocation'!H5)/'Broad Asset Allocation'!B5),0)</f>
        <v>0.27348951911220715</v>
      </c>
    </row>
    <row r="6" spans="1:8" x14ac:dyDescent="0.25">
      <c r="A6" t="str">
        <f>IF(Input!A7="","",Input!A7)</f>
        <v>Low-to-Medium Risk Portfolio Income and Growth Passive</v>
      </c>
      <c r="B6">
        <f>IFERROR(IF(A6="","",SUM('Asset Allocation'!E6)/'Broad Asset Allocation'!B6),0)</f>
        <v>0.11644464859898944</v>
      </c>
      <c r="C6">
        <f>IFERROR(IF(A6="","",SUM('Asset Allocation'!D6)/'Broad Asset Allocation'!B6),0)</f>
        <v>0.35071198897565459</v>
      </c>
      <c r="D6">
        <f>IFERROR(IF(A6="","",SUM('Asset Allocation'!F6)/'Broad Asset Allocation'!B6),0)</f>
        <v>4.6164446485989885E-2</v>
      </c>
      <c r="G6">
        <f>IFERROR(IF(A6="","",SUM('Asset Allocation'!G6)/'Broad Asset Allocation'!B6),0)</f>
        <v>0.16123105190629305</v>
      </c>
      <c r="H6">
        <f>IFERROR(IF(A6="","",SUM('Asset Allocation'!H6)/'Broad Asset Allocation'!B6),0)</f>
        <v>0.32544786403307302</v>
      </c>
    </row>
    <row r="7" spans="1:8" x14ac:dyDescent="0.25">
      <c r="A7" t="str">
        <f>IF(Input!A8="","",Input!A8)</f>
        <v>Medium Risk Portfolio Income</v>
      </c>
      <c r="B7">
        <f>IFERROR(IF(A7="","",SUM('Asset Allocation'!E7)/'Broad Asset Allocation'!B7),0)</f>
        <v>0.17436874702239161</v>
      </c>
      <c r="C7">
        <f>IFERROR(IF(A7="","",SUM('Asset Allocation'!D7)/'Broad Asset Allocation'!B7),0)</f>
        <v>0.31951723042718755</v>
      </c>
      <c r="D7">
        <f>IFERROR(IF(A7="","",SUM('Asset Allocation'!F7)/'Broad Asset Allocation'!B7),0)</f>
        <v>6.3204700651103701E-2</v>
      </c>
      <c r="G7">
        <f>IFERROR(IF(A7="","",SUM('Asset Allocation'!G7)/'Broad Asset Allocation'!B7),0)</f>
        <v>0.19088454819755438</v>
      </c>
      <c r="H7">
        <f>IFERROR(IF(A7="","",SUM('Asset Allocation'!H7)/'Broad Asset Allocation'!B7),0)</f>
        <v>0.25202477370176268</v>
      </c>
    </row>
    <row r="8" spans="1:8" x14ac:dyDescent="0.25">
      <c r="A8" t="str">
        <f>IF(Input!A9="","",Input!A9)</f>
        <v>Medium Risk Portfolio Income and Growth</v>
      </c>
      <c r="B8">
        <f>IFERROR(IF(A8="","",SUM('Asset Allocation'!E8)/'Broad Asset Allocation'!B8),0)</f>
        <v>0.17685039370078742</v>
      </c>
      <c r="C8">
        <f>IFERROR(IF(A8="","",SUM('Asset Allocation'!D8)/'Broad Asset Allocation'!B8),0)</f>
        <v>0.31921259842519684</v>
      </c>
      <c r="D8">
        <f>IFERROR(IF(A8="","",SUM('Asset Allocation'!F8)/'Broad Asset Allocation'!B8),0)</f>
        <v>6.3149606299212596E-2</v>
      </c>
      <c r="G8">
        <f>IFERROR(IF(A8="","",SUM('Asset Allocation'!G8)/'Broad Asset Allocation'!B8),0)</f>
        <v>0.18866141732283465</v>
      </c>
      <c r="H8">
        <f>IFERROR(IF(A8="","",SUM('Asset Allocation'!H8)/'Broad Asset Allocation'!B8),0)</f>
        <v>0.25212598425196853</v>
      </c>
    </row>
    <row r="9" spans="1:8" x14ac:dyDescent="0.25">
      <c r="A9" t="str">
        <f>IF(Input!A10="","",Input!A10)</f>
        <v>Medium Risk Portfolio Income and Growth Passive</v>
      </c>
      <c r="B9">
        <f>IFERROR(IF(A9="","",SUM('Asset Allocation'!E9)/'Broad Asset Allocation'!B9),0)</f>
        <v>0.16969604398961355</v>
      </c>
      <c r="C9">
        <f>IFERROR(IF(A9="","",SUM('Asset Allocation'!D9)/'Broad Asset Allocation'!B9),0)</f>
        <v>0.30945471208186959</v>
      </c>
      <c r="D9">
        <f>IFERROR(IF(A9="","",SUM('Asset Allocation'!F9)/'Broad Asset Allocation'!B9),0)</f>
        <v>6.1096685504811371E-2</v>
      </c>
      <c r="G9">
        <f>IFERROR(IF(A9="","",SUM('Asset Allocation'!G9)/'Broad Asset Allocation'!B9),0)</f>
        <v>0.18267908965938601</v>
      </c>
      <c r="H9">
        <f>IFERROR(IF(A9="","",SUM('Asset Allocation'!H9)/'Broad Asset Allocation'!B9),0)</f>
        <v>0.27707346876431954</v>
      </c>
    </row>
    <row r="10" spans="1:8" x14ac:dyDescent="0.25">
      <c r="A10" t="str">
        <f>IF(Input!A11="","",Input!A11)</f>
        <v>Medium-to-High Risk Portfolio Growth</v>
      </c>
      <c r="B10">
        <f>IFERROR(IF(A10="","",SUM('Asset Allocation'!E10)/'Broad Asset Allocation'!B10),0)</f>
        <v>0.1870564176590882</v>
      </c>
      <c r="C10">
        <f>IFERROR(IF(A10="","",SUM('Asset Allocation'!D10)/'Broad Asset Allocation'!B10),0)</f>
        <v>0.25923252736677493</v>
      </c>
      <c r="D10">
        <f>IFERROR(IF(A10="","",SUM('Asset Allocation'!F10)/'Broad Asset Allocation'!B10),0)</f>
        <v>6.0267051605918442E-2</v>
      </c>
      <c r="G10">
        <f>IFERROR(IF(A10="","",SUM('Asset Allocation'!G10)/'Broad Asset Allocation'!B10),0)</f>
        <v>0.2034163358594972</v>
      </c>
      <c r="H10">
        <f>IFERROR(IF(A10="","",SUM('Asset Allocation'!H10)/'Broad Asset Allocation'!B10),0)</f>
        <v>0.29002766750872128</v>
      </c>
    </row>
    <row r="11" spans="1:8" x14ac:dyDescent="0.25">
      <c r="A11" t="str">
        <f>IF(Input!A12="","",Input!A12)</f>
        <v>Medium-to-High Risk Portfolio Growth Passive</v>
      </c>
      <c r="B11">
        <f>IFERROR(IF(A11="","",SUM('Asset Allocation'!E11)/'Broad Asset Allocation'!B11),0)</f>
        <v>0.18520717084174285</v>
      </c>
      <c r="C11">
        <f>IFERROR(IF(A11="","",SUM('Asset Allocation'!D11)/'Broad Asset Allocation'!B11),0)</f>
        <v>0.25442241481657363</v>
      </c>
      <c r="D11">
        <f>IFERROR(IF(A11="","",SUM('Asset Allocation'!F11)/'Broad Asset Allocation'!B11),0)</f>
        <v>5.8292769796984452E-2</v>
      </c>
      <c r="G11">
        <f>IFERROR(IF(A11="","",SUM('Asset Allocation'!G11)/'Broad Asset Allocation'!B11),0)</f>
        <v>0.19826665083699391</v>
      </c>
      <c r="H11">
        <f>IFERROR(IF(A11="","",SUM('Asset Allocation'!H11)/'Broad Asset Allocation'!B11),0)</f>
        <v>0.30381099370770509</v>
      </c>
    </row>
    <row r="12" spans="1:8" x14ac:dyDescent="0.25">
      <c r="A12" t="str">
        <f>IF(Input!A13="","",Input!A13)</f>
        <v>High Risk Portfolio Growth</v>
      </c>
      <c r="B12">
        <f>IFERROR(IF(A12="","",SUM('Asset Allocation'!E12)/'Broad Asset Allocation'!B12),0)</f>
        <v>0.19112220533970045</v>
      </c>
      <c r="C12">
        <f>IFERROR(IF(A12="","",SUM('Asset Allocation'!D12)/'Broad Asset Allocation'!B12),0)</f>
        <v>0.26524853483828958</v>
      </c>
      <c r="D12">
        <f>IFERROR(IF(A12="","",SUM('Asset Allocation'!F12)/'Broad Asset Allocation'!B12),0)</f>
        <v>6.5118298241805941E-2</v>
      </c>
      <c r="G12">
        <f>IFERROR(IF(A12="","",SUM('Asset Allocation'!G12)/'Broad Asset Allocation'!B12),0)</f>
        <v>0.19481224224006946</v>
      </c>
      <c r="H12">
        <f>IFERROR(IF(A12="","",SUM('Asset Allocation'!H12)/'Broad Asset Allocation'!B12),0)</f>
        <v>0.28369871934013458</v>
      </c>
    </row>
    <row r="13" spans="1:8" x14ac:dyDescent="0.25">
      <c r="A13" t="str">
        <f>IF(Input!A14="","",Input!A14)</f>
        <v>High Risk Portfolio Growth passive</v>
      </c>
      <c r="B13">
        <f>IFERROR(IF(A13="","",SUM('Asset Allocation'!E13)/'Broad Asset Allocation'!B13),0)</f>
        <v>0.19184912204639065</v>
      </c>
      <c r="C13">
        <f>IFERROR(IF(A13="","",SUM('Asset Allocation'!D13)/'Broad Asset Allocation'!B13),0)</f>
        <v>0.26501192282679387</v>
      </c>
      <c r="D13">
        <f>IFERROR(IF(A13="","",SUM('Asset Allocation'!F13)/'Broad Asset Allocation'!B13),0)</f>
        <v>6.3949707348796889E-2</v>
      </c>
      <c r="G13">
        <f>IFERROR(IF(A13="","",SUM('Asset Allocation'!G13)/'Broad Asset Allocation'!B13),0)</f>
        <v>0.19228267938434859</v>
      </c>
      <c r="H13">
        <f>IFERROR(IF(A13="","",SUM('Asset Allocation'!H13)/'Broad Asset Allocation'!B13),0)</f>
        <v>0.28690656839367007</v>
      </c>
    </row>
    <row r="14" spans="1:8" x14ac:dyDescent="0.25">
      <c r="A14" t="str">
        <f>IF(Input!A15="","",Input!A15)</f>
        <v>Responsible Investment - Advance High Risk Portfolio (Growth)</v>
      </c>
      <c r="B14">
        <f>IFERROR(IF(A14="","",SUM('Asset Allocation'!E14)/'Broad Asset Allocation'!B14),0)</f>
        <v>0.17425312330255294</v>
      </c>
      <c r="C14">
        <f>IFERROR(IF(A14="","",SUM('Asset Allocation'!D14)/'Broad Asset Allocation'!B14),0)</f>
        <v>0.27300380228136878</v>
      </c>
      <c r="D14">
        <f>IFERROR(IF(A14="","",SUM('Asset Allocation'!F14)/'Broad Asset Allocation'!B14),0)</f>
        <v>6.5507876154263983E-2</v>
      </c>
      <c r="G14">
        <f>IFERROR(IF(A14="","",SUM('Asset Allocation'!G14)/'Broad Asset Allocation'!B14),0)</f>
        <v>0.19369907658881041</v>
      </c>
      <c r="H14">
        <f>IFERROR(IF(A14="","",SUM('Asset Allocation'!H14)/'Broad Asset Allocation'!B14),0)</f>
        <v>0.2935361216730038</v>
      </c>
    </row>
    <row r="15" spans="1:8" x14ac:dyDescent="0.25">
      <c r="A15" t="str">
        <f>IF(Input!A16="","",Input!A16)</f>
        <v>Responsible Investment - Advance Low Risk Portfolio (Defensive income)</v>
      </c>
      <c r="B15">
        <f>IFERROR(IF(A15="","",SUM('Asset Allocation'!E15)/'Broad Asset Allocation'!B15),0)</f>
        <v>9.5394736842105268E-2</v>
      </c>
      <c r="C15">
        <f>IFERROR(IF(A15="","",SUM('Asset Allocation'!D15)/'Broad Asset Allocation'!B15),0)</f>
        <v>0.47650375939849626</v>
      </c>
      <c r="D15">
        <f>IFERROR(IF(A15="","",SUM('Asset Allocation'!F15)/'Broad Asset Allocation'!B15),0)</f>
        <v>0</v>
      </c>
      <c r="G15">
        <f>IFERROR(IF(A15="","",SUM('Asset Allocation'!G15)/'Broad Asset Allocation'!B15),0)</f>
        <v>0</v>
      </c>
      <c r="H15">
        <f>IFERROR(IF(A15="","",SUM('Asset Allocation'!H15)/'Broad Asset Allocation'!B15),0)</f>
        <v>0.42810150375939854</v>
      </c>
    </row>
    <row r="16" spans="1:8" x14ac:dyDescent="0.25">
      <c r="A16" t="str">
        <f>IF(Input!A17="","",Input!A17)</f>
        <v>Responsible Investment - Advance Low Medium Risk Portfolio (Income &amp; Growth)</v>
      </c>
      <c r="B16">
        <f>IFERROR(IF(A16="","",SUM('Asset Allocation'!E16)/'Broad Asset Allocation'!B16),0)</f>
        <v>0.14292463973541222</v>
      </c>
      <c r="C16">
        <f>IFERROR(IF(A16="","",SUM('Asset Allocation'!D16)/'Broad Asset Allocation'!B16),0)</f>
        <v>0.38270729978738482</v>
      </c>
      <c r="D16">
        <f>IFERROR(IF(A16="","",SUM('Asset Allocation'!F16)/'Broad Asset Allocation'!B16),0)</f>
        <v>4.7956532010394515E-2</v>
      </c>
      <c r="G16">
        <f>IFERROR(IF(A16="","",SUM('Asset Allocation'!G16)/'Broad Asset Allocation'!B16),0)</f>
        <v>0.11717458067564375</v>
      </c>
      <c r="H16">
        <f>IFERROR(IF(A16="","",SUM('Asset Allocation'!H16)/'Broad Asset Allocation'!B16),0)</f>
        <v>0.30923694779116462</v>
      </c>
    </row>
    <row r="17" spans="1:8" x14ac:dyDescent="0.25">
      <c r="A17" t="str">
        <f>IF(Input!A18="","",Input!A18)</f>
        <v>Responsible Investment - Advance Medium Risk Portfolio (Income &amp; Growth)</v>
      </c>
      <c r="B17">
        <f>IFERROR(IF(A17="","",SUM('Asset Allocation'!E17)/'Broad Asset Allocation'!B17),0)</f>
        <v>0.15516442797591479</v>
      </c>
      <c r="C17">
        <f>IFERROR(IF(A17="","",SUM('Asset Allocation'!D17)/'Broad Asset Allocation'!B17),0)</f>
        <v>0.31974679635633785</v>
      </c>
      <c r="D17">
        <f>IFERROR(IF(A17="","",SUM('Asset Allocation'!F17)/'Broad Asset Allocation'!B17),0)</f>
        <v>6.2528948587308952E-2</v>
      </c>
      <c r="G17">
        <f>IFERROR(IF(A17="","",SUM('Asset Allocation'!G17)/'Broad Asset Allocation'!B17),0)</f>
        <v>0.1525397560599043</v>
      </c>
      <c r="H17">
        <f>IFERROR(IF(A17="","",SUM('Asset Allocation'!H17)/'Broad Asset Allocation'!B17),0)</f>
        <v>0.31002007102053419</v>
      </c>
    </row>
    <row r="18" spans="1:8" x14ac:dyDescent="0.25">
      <c r="A18" t="str">
        <f>IF(Input!A19="","",Input!A19)</f>
        <v>Responsible Investment - Advance Medium High Risk Portfolio (Growth)</v>
      </c>
      <c r="B18">
        <f>IFERROR(IF(A18="","",SUM('Asset Allocation'!E18)/'Broad Asset Allocation'!B18),0)</f>
        <v>0.16901239023216649</v>
      </c>
      <c r="C18">
        <f>IFERROR(IF(A18="","",SUM('Asset Allocation'!D18)/'Broad Asset Allocation'!B18),0)</f>
        <v>0.26620955130518464</v>
      </c>
      <c r="D18">
        <f>IFERROR(IF(A18="","",SUM('Asset Allocation'!F18)/'Broad Asset Allocation'!B18),0)</f>
        <v>6.0507638638277399E-2</v>
      </c>
      <c r="G18">
        <f>IFERROR(IF(A18="","",SUM('Asset Allocation'!G18)/'Broad Asset Allocation'!B18),0)</f>
        <v>0.17899675207506316</v>
      </c>
      <c r="H18">
        <f>IFERROR(IF(A18="","",SUM('Asset Allocation'!H18)/'Broad Asset Allocation'!B18),0)</f>
        <v>0.32527366774930827</v>
      </c>
    </row>
    <row r="19" spans="1:8" x14ac:dyDescent="0.25">
      <c r="A19" t="str">
        <f>IF(Input!A20="","",Input!A20)</f>
        <v/>
      </c>
      <c r="B19" t="str">
        <f>IFERROR(IF(A19="","",SUM('Asset Allocation'!E19)/'Broad Asset Allocation'!B19),0)</f>
        <v/>
      </c>
      <c r="C19" t="str">
        <f>IFERROR(IF(A19="","",SUM('Asset Allocation'!D19)/'Broad Asset Allocation'!B19),0)</f>
        <v/>
      </c>
      <c r="D19" t="str">
        <f>IFERROR(IF(A19="","",SUM('Asset Allocation'!F19)/'Broad Asset Allocation'!B19),0)</f>
        <v/>
      </c>
      <c r="G19" t="str">
        <f>IFERROR(IF(A19="","",SUM('Asset Allocation'!G19)/'Broad Asset Allocation'!B19),0)</f>
        <v/>
      </c>
      <c r="H19" t="str">
        <f>IFERROR(IF(A19="","",SUM('Asset Allocation'!H19)/'Broad Asset Allocation'!B19),0)</f>
        <v/>
      </c>
    </row>
    <row r="20" spans="1:8" x14ac:dyDescent="0.25">
      <c r="A20" t="str">
        <f>IF(Input!A21="","",Input!A21)</f>
        <v/>
      </c>
      <c r="B20" t="str">
        <f>IFERROR(IF(A20="","",SUM('Asset Allocation'!E20)/'Broad Asset Allocation'!B20),0)</f>
        <v/>
      </c>
      <c r="C20" t="str">
        <f>IFERROR(IF(A20="","",SUM('Asset Allocation'!D20)/'Broad Asset Allocation'!B20),0)</f>
        <v/>
      </c>
      <c r="D20" t="str">
        <f>IFERROR(IF(A20="","",SUM('Asset Allocation'!F20)/'Broad Asset Allocation'!B20),0)</f>
        <v/>
      </c>
      <c r="G20" t="str">
        <f>IFERROR(IF(A20="","",SUM('Asset Allocation'!G20)/'Broad Asset Allocation'!B20),0)</f>
        <v/>
      </c>
      <c r="H20" t="str">
        <f>IFERROR(IF(A20="","",SUM('Asset Allocation'!H20)/'Broad Asset Allocation'!B20),0)</f>
        <v/>
      </c>
    </row>
    <row r="21" spans="1:8" x14ac:dyDescent="0.25">
      <c r="A21" t="str">
        <f>IF(Input!A22="","",Input!A22)</f>
        <v/>
      </c>
      <c r="B21" t="str">
        <f>IFERROR(IF(A21="","",SUM('Asset Allocation'!E21)/'Broad Asset Allocation'!B21),0)</f>
        <v/>
      </c>
      <c r="C21" t="str">
        <f>IFERROR(IF(A21="","",SUM('Asset Allocation'!D21)/'Broad Asset Allocation'!B21),0)</f>
        <v/>
      </c>
      <c r="D21" t="str">
        <f>IFERROR(IF(A21="","",SUM('Asset Allocation'!F21)/'Broad Asset Allocation'!B21),0)</f>
        <v/>
      </c>
      <c r="G21" t="str">
        <f>IFERROR(IF(A21="","",SUM('Asset Allocation'!G21)/'Broad Asset Allocation'!B21),0)</f>
        <v/>
      </c>
      <c r="H21" t="str">
        <f>IFERROR(IF(A21="","",SUM('Asset Allocation'!H21)/'Broad Asset Allocation'!B21),0)</f>
        <v/>
      </c>
    </row>
    <row r="22" spans="1:8" x14ac:dyDescent="0.25">
      <c r="A22" t="str">
        <f>IF(Input!A23="","",Input!A23)</f>
        <v/>
      </c>
      <c r="B22" t="str">
        <f>IFERROR(IF(A22="","",SUM('Asset Allocation'!E22)/'Broad Asset Allocation'!B22),0)</f>
        <v/>
      </c>
      <c r="C22" t="str">
        <f>IFERROR(IF(A22="","",SUM('Asset Allocation'!D22)/'Broad Asset Allocation'!B22),0)</f>
        <v/>
      </c>
      <c r="D22" t="str">
        <f>IFERROR(IF(A22="","",SUM('Asset Allocation'!F22)/'Broad Asset Allocation'!B22),0)</f>
        <v/>
      </c>
      <c r="G22" t="str">
        <f>IFERROR(IF(A22="","",SUM('Asset Allocation'!G22)/'Broad Asset Allocation'!B22),0)</f>
        <v/>
      </c>
      <c r="H22" t="str">
        <f>IFERROR(IF(A22="","",SUM('Asset Allocation'!H22)/'Broad Asset Allocation'!B22),0)</f>
        <v/>
      </c>
    </row>
    <row r="23" spans="1:8" x14ac:dyDescent="0.25">
      <c r="A23" t="str">
        <f>IF(Input!A24="","",Input!A24)</f>
        <v/>
      </c>
      <c r="B23" t="str">
        <f>IFERROR(IF(A23="","",SUM('Asset Allocation'!E23)/'Broad Asset Allocation'!B23),0)</f>
        <v/>
      </c>
      <c r="C23" t="str">
        <f>IFERROR(IF(A23="","",SUM('Asset Allocation'!D23)/'Broad Asset Allocation'!B23),0)</f>
        <v/>
      </c>
      <c r="D23" t="str">
        <f>IFERROR(IF(A23="","",SUM('Asset Allocation'!F23)/'Broad Asset Allocation'!B23),0)</f>
        <v/>
      </c>
      <c r="G23" t="str">
        <f>IFERROR(IF(A23="","",SUM('Asset Allocation'!G23)/'Broad Asset Allocation'!B23),0)</f>
        <v/>
      </c>
      <c r="H23" t="str">
        <f>IFERROR(IF(A23="","",SUM('Asset Allocation'!H23)/'Broad Asset Allocation'!B23),0)</f>
        <v/>
      </c>
    </row>
    <row r="24" spans="1:8" x14ac:dyDescent="0.25">
      <c r="A24" t="str">
        <f>IF(Input!A25="","",Input!A25)</f>
        <v/>
      </c>
      <c r="B24" t="str">
        <f>IFERROR(IF(A24="","",SUM('Asset Allocation'!E24)/'Broad Asset Allocation'!B24),0)</f>
        <v/>
      </c>
      <c r="C24" t="str">
        <f>IFERROR(IF(A24="","",SUM('Asset Allocation'!D24)/'Broad Asset Allocation'!B24),0)</f>
        <v/>
      </c>
      <c r="D24" t="str">
        <f>IFERROR(IF(A24="","",SUM('Asset Allocation'!F24)/'Broad Asset Allocation'!B24),0)</f>
        <v/>
      </c>
      <c r="G24" t="str">
        <f>IFERROR(IF(A24="","",SUM('Asset Allocation'!G24)/'Broad Asset Allocation'!B24),0)</f>
        <v/>
      </c>
      <c r="H24" t="str">
        <f>IFERROR(IF(A24="","",SUM('Asset Allocation'!H24)/'Broad Asset Allocation'!B24),0)</f>
        <v/>
      </c>
    </row>
    <row r="25" spans="1:8" x14ac:dyDescent="0.25">
      <c r="A25" t="str">
        <f>IF(Input!A26="","",Input!A26)</f>
        <v/>
      </c>
      <c r="B25" t="str">
        <f>IFERROR(IF(A25="","",SUM('Asset Allocation'!E25)/'Broad Asset Allocation'!B25),0)</f>
        <v/>
      </c>
      <c r="C25" t="str">
        <f>IFERROR(IF(A25="","",SUM('Asset Allocation'!D25)/'Broad Asset Allocation'!B25),0)</f>
        <v/>
      </c>
      <c r="D25" t="str">
        <f>IFERROR(IF(A25="","",SUM('Asset Allocation'!F25)/'Broad Asset Allocation'!B25),0)</f>
        <v/>
      </c>
      <c r="G25" t="str">
        <f>IFERROR(IF(A25="","",SUM('Asset Allocation'!G25)/'Broad Asset Allocation'!B25),0)</f>
        <v/>
      </c>
      <c r="H25" t="str">
        <f>IFERROR(IF(A25="","",SUM('Asset Allocation'!H25)/'Broad Asset Allocation'!B25),0)</f>
        <v/>
      </c>
    </row>
    <row r="26" spans="1:8" x14ac:dyDescent="0.25">
      <c r="A26" t="str">
        <f>IF(Input!A27="","",Input!A27)</f>
        <v/>
      </c>
      <c r="B26" t="str">
        <f>IFERROR(IF(A26="","",SUM('Asset Allocation'!E26)/'Broad Asset Allocation'!B26),0)</f>
        <v/>
      </c>
      <c r="C26" t="str">
        <f>IFERROR(IF(A26="","",SUM('Asset Allocation'!D26)/'Broad Asset Allocation'!B26),0)</f>
        <v/>
      </c>
      <c r="D26" t="str">
        <f>IFERROR(IF(A26="","",SUM('Asset Allocation'!F26)/'Broad Asset Allocation'!B26),0)</f>
        <v/>
      </c>
      <c r="G26" t="str">
        <f>IFERROR(IF(A26="","",SUM('Asset Allocation'!G26)/'Broad Asset Allocation'!B26),0)</f>
        <v/>
      </c>
      <c r="H26" t="str">
        <f>IFERROR(IF(A26="","",SUM('Asset Allocation'!H26)/'Broad Asset Allocation'!B26),0)</f>
        <v/>
      </c>
    </row>
    <row r="27" spans="1:8" x14ac:dyDescent="0.25">
      <c r="A27" t="str">
        <f>IF(Input!A28="","",Input!A28)</f>
        <v/>
      </c>
      <c r="B27" t="str">
        <f>IFERROR(IF(A27="","",SUM('Asset Allocation'!E27)/'Broad Asset Allocation'!B27),0)</f>
        <v/>
      </c>
      <c r="C27" t="str">
        <f>IFERROR(IF(A27="","",SUM('Asset Allocation'!D27)/'Broad Asset Allocation'!B27),0)</f>
        <v/>
      </c>
      <c r="D27" t="str">
        <f>IFERROR(IF(A27="","",SUM('Asset Allocation'!F27)/'Broad Asset Allocation'!B27),0)</f>
        <v/>
      </c>
      <c r="G27" t="str">
        <f>IFERROR(IF(A27="","",SUM('Asset Allocation'!G27)/'Broad Asset Allocation'!B27),0)</f>
        <v/>
      </c>
      <c r="H27" t="str">
        <f>IFERROR(IF(A27="","",SUM('Asset Allocation'!H27)/'Broad Asset Allocation'!B27),0)</f>
        <v/>
      </c>
    </row>
    <row r="28" spans="1:8" x14ac:dyDescent="0.25">
      <c r="A28" t="str">
        <f>IF(Input!A29="","",Input!A29)</f>
        <v/>
      </c>
      <c r="B28" t="str">
        <f>IFERROR(IF(A28="","",SUM('Asset Allocation'!E28)/'Broad Asset Allocation'!B28),0)</f>
        <v/>
      </c>
      <c r="C28" t="str">
        <f>IFERROR(IF(A28="","",SUM('Asset Allocation'!D28)/'Broad Asset Allocation'!B28),0)</f>
        <v/>
      </c>
      <c r="D28" t="str">
        <f>IFERROR(IF(A28="","",SUM('Asset Allocation'!F28)/'Broad Asset Allocation'!B28),0)</f>
        <v/>
      </c>
      <c r="G28" t="str">
        <f>IFERROR(IF(A28="","",SUM('Asset Allocation'!G28)/'Broad Asset Allocation'!B28),0)</f>
        <v/>
      </c>
      <c r="H28" t="str">
        <f>IFERROR(IF(A28="","",SUM('Asset Allocation'!H28)/'Broad Asset Allocation'!B28),0)</f>
        <v/>
      </c>
    </row>
    <row r="29" spans="1:8" x14ac:dyDescent="0.25">
      <c r="A29" t="str">
        <f>IF(Input!A30="","",Input!A30)</f>
        <v/>
      </c>
      <c r="B29" t="str">
        <f>IFERROR(IF(A29="","",SUM('Asset Allocation'!E29)/'Broad Asset Allocation'!B29),0)</f>
        <v/>
      </c>
      <c r="C29" t="str">
        <f>IFERROR(IF(A29="","",SUM('Asset Allocation'!D29)/'Broad Asset Allocation'!B29),0)</f>
        <v/>
      </c>
      <c r="D29" t="str">
        <f>IFERROR(IF(A29="","",SUM('Asset Allocation'!F29)/'Broad Asset Allocation'!B29),0)</f>
        <v/>
      </c>
      <c r="G29" t="str">
        <f>IFERROR(IF(A29="","",SUM('Asset Allocation'!G29)/'Broad Asset Allocation'!B29),0)</f>
        <v/>
      </c>
      <c r="H29" t="str">
        <f>IFERROR(IF(A29="","",SUM('Asset Allocation'!H29)/'Broad Asset Allocation'!B29),0)</f>
        <v/>
      </c>
    </row>
    <row r="30" spans="1:8" x14ac:dyDescent="0.25">
      <c r="A30" t="str">
        <f>IF(Input!A31="","",Input!A31)</f>
        <v/>
      </c>
      <c r="B30" t="str">
        <f>IFERROR(IF(A30="","",SUM('Asset Allocation'!E30)/'Broad Asset Allocation'!B30),0)</f>
        <v/>
      </c>
      <c r="C30" t="str">
        <f>IFERROR(IF(A30="","",SUM('Asset Allocation'!D30)/'Broad Asset Allocation'!B30),0)</f>
        <v/>
      </c>
      <c r="D30" t="str">
        <f>IFERROR(IF(A30="","",SUM('Asset Allocation'!F30)/'Broad Asset Allocation'!B30),0)</f>
        <v/>
      </c>
      <c r="G30" t="str">
        <f>IFERROR(IF(A30="","",SUM('Asset Allocation'!G30)/'Broad Asset Allocation'!B30),0)</f>
        <v/>
      </c>
      <c r="H30" t="str">
        <f>IFERROR(IF(A30="","",SUM('Asset Allocation'!H30)/'Broad Asset Allocation'!B30),0)</f>
        <v/>
      </c>
    </row>
    <row r="31" spans="1:8" x14ac:dyDescent="0.25">
      <c r="A31" t="str">
        <f>IF(Input!A32="","",Input!A32)</f>
        <v/>
      </c>
      <c r="B31" t="str">
        <f>IFERROR(IF(A31="","",SUM('Asset Allocation'!E31)/'Broad Asset Allocation'!B31),0)</f>
        <v/>
      </c>
      <c r="C31" t="str">
        <f>IFERROR(IF(A31="","",SUM('Asset Allocation'!D31)/'Broad Asset Allocation'!B31),0)</f>
        <v/>
      </c>
      <c r="D31" t="str">
        <f>IFERROR(IF(A31="","",SUM('Asset Allocation'!F31)/'Broad Asset Allocation'!B31),0)</f>
        <v/>
      </c>
      <c r="G31" t="str">
        <f>IFERROR(IF(A31="","",SUM('Asset Allocation'!G31)/'Broad Asset Allocation'!B31),0)</f>
        <v/>
      </c>
      <c r="H31" t="str">
        <f>IFERROR(IF(A31="","",SUM('Asset Allocation'!H31)/'Broad Asset Allocation'!B31),0)</f>
        <v/>
      </c>
    </row>
    <row r="32" spans="1:8" x14ac:dyDescent="0.25">
      <c r="A32" t="str">
        <f>IF(Input!A33="","",Input!A33)</f>
        <v/>
      </c>
      <c r="B32" t="str">
        <f>IFERROR(IF(A32="","",SUM('Asset Allocation'!E32)/'Broad Asset Allocation'!B32),0)</f>
        <v/>
      </c>
      <c r="C32" t="str">
        <f>IFERROR(IF(A32="","",SUM('Asset Allocation'!D32)/'Broad Asset Allocation'!B32),0)</f>
        <v/>
      </c>
      <c r="D32" t="str">
        <f>IFERROR(IF(A32="","",SUM('Asset Allocation'!F32)/'Broad Asset Allocation'!B32),0)</f>
        <v/>
      </c>
      <c r="G32" t="str">
        <f>IFERROR(IF(A32="","",SUM('Asset Allocation'!G32)/'Broad Asset Allocation'!B32),0)</f>
        <v/>
      </c>
      <c r="H32" t="str">
        <f>IFERROR(IF(A32="","",SUM('Asset Allocation'!H32)/'Broad Asset Allocation'!B32),0)</f>
        <v/>
      </c>
    </row>
    <row r="33" spans="1:8" x14ac:dyDescent="0.25">
      <c r="A33" t="str">
        <f>IF(Input!A34="","",Input!A34)</f>
        <v/>
      </c>
      <c r="B33" t="str">
        <f>IFERROR(IF(A33="","",SUM('Asset Allocation'!E33)/'Broad Asset Allocation'!B33),0)</f>
        <v/>
      </c>
      <c r="C33" t="str">
        <f>IFERROR(IF(A33="","",SUM('Asset Allocation'!D33)/'Broad Asset Allocation'!B33),0)</f>
        <v/>
      </c>
      <c r="D33" t="str">
        <f>IFERROR(IF(A33="","",SUM('Asset Allocation'!F33)/'Broad Asset Allocation'!B33),0)</f>
        <v/>
      </c>
      <c r="G33" t="str">
        <f>IFERROR(IF(A33="","",SUM('Asset Allocation'!G33)/'Broad Asset Allocation'!B33),0)</f>
        <v/>
      </c>
      <c r="H33" t="str">
        <f>IFERROR(IF(A33="","",SUM('Asset Allocation'!H33)/'Broad Asset Allocation'!B33),0)</f>
        <v/>
      </c>
    </row>
    <row r="34" spans="1:8" x14ac:dyDescent="0.25">
      <c r="A34" t="str">
        <f>IF(Input!A35="","",Input!A35)</f>
        <v/>
      </c>
      <c r="B34" t="str">
        <f>IFERROR(IF(A34="","",SUM('Asset Allocation'!E34)/'Broad Asset Allocation'!B34),0)</f>
        <v/>
      </c>
      <c r="C34" t="str">
        <f>IFERROR(IF(A34="","",SUM('Asset Allocation'!D34)/'Broad Asset Allocation'!B34),0)</f>
        <v/>
      </c>
      <c r="D34" t="str">
        <f>IFERROR(IF(A34="","",SUM('Asset Allocation'!F34)/'Broad Asset Allocation'!B34),0)</f>
        <v/>
      </c>
      <c r="G34" t="str">
        <f>IFERROR(IF(A34="","",SUM('Asset Allocation'!G34)/'Broad Asset Allocation'!B34),0)</f>
        <v/>
      </c>
      <c r="H34" t="str">
        <f>IFERROR(IF(A34="","",SUM('Asset Allocation'!H34)/'Broad Asset Allocation'!B34),0)</f>
        <v/>
      </c>
    </row>
    <row r="35" spans="1:8" x14ac:dyDescent="0.25">
      <c r="A35" t="str">
        <f>IF(Input!A36="","",Input!A36)</f>
        <v/>
      </c>
      <c r="B35" t="str">
        <f>IFERROR(IF(A35="","",SUM('Asset Allocation'!E35)/'Broad Asset Allocation'!B35),0)</f>
        <v/>
      </c>
      <c r="C35" t="str">
        <f>IFERROR(IF(A35="","",SUM('Asset Allocation'!D35)/'Broad Asset Allocation'!B35),0)</f>
        <v/>
      </c>
      <c r="D35" t="str">
        <f>IFERROR(IF(A35="","",SUM('Asset Allocation'!F35)/'Broad Asset Allocation'!B35),0)</f>
        <v/>
      </c>
      <c r="G35" t="str">
        <f>IFERROR(IF(A35="","",SUM('Asset Allocation'!G35)/'Broad Asset Allocation'!B35),0)</f>
        <v/>
      </c>
      <c r="H35" t="str">
        <f>IFERROR(IF(A35="","",SUM('Asset Allocation'!H35)/'Broad Asset Allocation'!B35),0)</f>
        <v/>
      </c>
    </row>
    <row r="36" spans="1:8" x14ac:dyDescent="0.25">
      <c r="A36" t="str">
        <f>IF(Input!A37="","",Input!A37)</f>
        <v/>
      </c>
      <c r="B36" t="str">
        <f>IFERROR(IF(A36="","",SUM('Asset Allocation'!E36)/'Broad Asset Allocation'!B36),0)</f>
        <v/>
      </c>
      <c r="C36" t="str">
        <f>IFERROR(IF(A36="","",SUM('Asset Allocation'!D36)/'Broad Asset Allocation'!B36),0)</f>
        <v/>
      </c>
      <c r="D36" t="str">
        <f>IFERROR(IF(A36="","",SUM('Asset Allocation'!F36)/'Broad Asset Allocation'!B36),0)</f>
        <v/>
      </c>
      <c r="G36" t="str">
        <f>IFERROR(IF(A36="","",SUM('Asset Allocation'!G36)/'Broad Asset Allocation'!B36),0)</f>
        <v/>
      </c>
      <c r="H36" t="str">
        <f>IFERROR(IF(A36="","",SUM('Asset Allocation'!H36)/'Broad Asset Allocation'!B36),0)</f>
        <v/>
      </c>
    </row>
    <row r="37" spans="1:8" x14ac:dyDescent="0.25">
      <c r="A37" t="str">
        <f>IF(Input!A38="","",Input!A38)</f>
        <v/>
      </c>
      <c r="B37" t="str">
        <f>IFERROR(IF(A37="","",SUM('Asset Allocation'!E37)/'Broad Asset Allocation'!B37),0)</f>
        <v/>
      </c>
      <c r="C37" t="str">
        <f>IFERROR(IF(A37="","",SUM('Asset Allocation'!D37)/'Broad Asset Allocation'!B37),0)</f>
        <v/>
      </c>
      <c r="D37" t="str">
        <f>IFERROR(IF(A37="","",SUM('Asset Allocation'!F37)/'Broad Asset Allocation'!B37),0)</f>
        <v/>
      </c>
      <c r="G37" t="str">
        <f>IFERROR(IF(A37="","",SUM('Asset Allocation'!G37)/'Broad Asset Allocation'!B37),0)</f>
        <v/>
      </c>
      <c r="H37" t="str">
        <f>IFERROR(IF(A37="","",SUM('Asset Allocation'!H37)/'Broad Asset Allocation'!B37),0)</f>
        <v/>
      </c>
    </row>
    <row r="38" spans="1:8" x14ac:dyDescent="0.25">
      <c r="A38" t="str">
        <f>IF(Input!A39="","",Input!A39)</f>
        <v/>
      </c>
      <c r="B38" t="str">
        <f>IFERROR(IF(A38="","",SUM('Asset Allocation'!E38)/'Broad Asset Allocation'!B38),0)</f>
        <v/>
      </c>
      <c r="C38" t="str">
        <f>IFERROR(IF(A38="","",SUM('Asset Allocation'!D38)/'Broad Asset Allocation'!B38),0)</f>
        <v/>
      </c>
      <c r="D38" t="str">
        <f>IFERROR(IF(A38="","",SUM('Asset Allocation'!F38)/'Broad Asset Allocation'!B38),0)</f>
        <v/>
      </c>
      <c r="G38" t="str">
        <f>IFERROR(IF(A38="","",SUM('Asset Allocation'!G38)/'Broad Asset Allocation'!B38),0)</f>
        <v/>
      </c>
      <c r="H38" t="str">
        <f>IFERROR(IF(A38="","",SUM('Asset Allocation'!H38)/'Broad Asset Allocation'!B38),0)</f>
        <v/>
      </c>
    </row>
    <row r="39" spans="1:8" x14ac:dyDescent="0.25">
      <c r="A39" t="str">
        <f>IF(Input!A40="","",Input!A40)</f>
        <v/>
      </c>
      <c r="B39" t="str">
        <f>IFERROR(IF(A39="","",SUM('Asset Allocation'!E39)/'Broad Asset Allocation'!B39),0)</f>
        <v/>
      </c>
      <c r="C39" t="str">
        <f>IFERROR(IF(A39="","",SUM('Asset Allocation'!D39)/'Broad Asset Allocation'!B39),0)</f>
        <v/>
      </c>
      <c r="D39" t="str">
        <f>IFERROR(IF(A39="","",SUM('Asset Allocation'!F39)/'Broad Asset Allocation'!B39),0)</f>
        <v/>
      </c>
      <c r="G39" t="str">
        <f>IFERROR(IF(A39="","",SUM('Asset Allocation'!G39)/'Broad Asset Allocation'!B39),0)</f>
        <v/>
      </c>
      <c r="H39" t="str">
        <f>IFERROR(IF(A39="","",SUM('Asset Allocation'!H39)/'Broad Asset Allocation'!B39),0)</f>
        <v/>
      </c>
    </row>
    <row r="40" spans="1:8" x14ac:dyDescent="0.25">
      <c r="A40" t="str">
        <f>IF(Input!A41="","",Input!A41)</f>
        <v/>
      </c>
      <c r="B40" t="str">
        <f>IFERROR(IF(A40="","",SUM('Asset Allocation'!E40)/'Broad Asset Allocation'!B40),0)</f>
        <v/>
      </c>
      <c r="C40" t="str">
        <f>IFERROR(IF(A40="","",SUM('Asset Allocation'!D40)/'Broad Asset Allocation'!B40),0)</f>
        <v/>
      </c>
      <c r="D40" t="str">
        <f>IFERROR(IF(A40="","",SUM('Asset Allocation'!F40)/'Broad Asset Allocation'!B40),0)</f>
        <v/>
      </c>
      <c r="G40" t="str">
        <f>IFERROR(IF(A40="","",SUM('Asset Allocation'!G40)/'Broad Asset Allocation'!B40),0)</f>
        <v/>
      </c>
      <c r="H40" t="str">
        <f>IFERROR(IF(A40="","",SUM('Asset Allocation'!H40)/'Broad Asset Allocation'!B40),0)</f>
        <v/>
      </c>
    </row>
    <row r="41" spans="1:8" x14ac:dyDescent="0.25">
      <c r="A41" t="str">
        <f>IF(Input!A42="","",Input!A42)</f>
        <v/>
      </c>
      <c r="B41" t="str">
        <f>IFERROR(IF(A41="","",SUM('Asset Allocation'!E41)/'Broad Asset Allocation'!B41),0)</f>
        <v/>
      </c>
      <c r="C41" t="str">
        <f>IFERROR(IF(A41="","",SUM('Asset Allocation'!D41)/'Broad Asset Allocation'!B41),0)</f>
        <v/>
      </c>
      <c r="D41" t="str">
        <f>IFERROR(IF(A41="","",SUM('Asset Allocation'!F41)/'Broad Asset Allocation'!B41),0)</f>
        <v/>
      </c>
      <c r="G41" t="str">
        <f>IFERROR(IF(A41="","",SUM('Asset Allocation'!G41)/'Broad Asset Allocation'!B41),0)</f>
        <v/>
      </c>
      <c r="H41" t="str">
        <f>IFERROR(IF(A41="","",SUM('Asset Allocation'!H41)/'Broad Asset Allocation'!B41),0)</f>
        <v/>
      </c>
    </row>
    <row r="42" spans="1:8" x14ac:dyDescent="0.25">
      <c r="A42" t="str">
        <f>IF(Input!A43="","",Input!A43)</f>
        <v/>
      </c>
      <c r="B42" t="str">
        <f>IFERROR(IF(A42="","",SUM('Asset Allocation'!E42)/'Broad Asset Allocation'!B42),0)</f>
        <v/>
      </c>
      <c r="C42" t="str">
        <f>IFERROR(IF(A42="","",SUM('Asset Allocation'!D42)/'Broad Asset Allocation'!B42),0)</f>
        <v/>
      </c>
      <c r="D42" t="str">
        <f>IFERROR(IF(A42="","",SUM('Asset Allocation'!F42)/'Broad Asset Allocation'!B42),0)</f>
        <v/>
      </c>
      <c r="G42" t="str">
        <f>IFERROR(IF(A42="","",SUM('Asset Allocation'!G42)/'Broad Asset Allocation'!B42),0)</f>
        <v/>
      </c>
      <c r="H42" t="str">
        <f>IFERROR(IF(A42="","",SUM('Asset Allocation'!H42)/'Broad Asset Allocation'!B42),0)</f>
        <v/>
      </c>
    </row>
    <row r="43" spans="1:8" x14ac:dyDescent="0.25">
      <c r="A43" t="str">
        <f>IF(Input!A44="","",Input!A44)</f>
        <v/>
      </c>
      <c r="B43" t="str">
        <f>IFERROR(IF(A43="","",SUM('Asset Allocation'!E43)/'Broad Asset Allocation'!B43),0)</f>
        <v/>
      </c>
      <c r="C43" t="str">
        <f>IFERROR(IF(A43="","",SUM('Asset Allocation'!D43)/'Broad Asset Allocation'!B43),0)</f>
        <v/>
      </c>
      <c r="D43" t="str">
        <f>IFERROR(IF(A43="","",SUM('Asset Allocation'!F43)/'Broad Asset Allocation'!B43),0)</f>
        <v/>
      </c>
      <c r="G43" t="str">
        <f>IFERROR(IF(A43="","",SUM('Asset Allocation'!G43)/'Broad Asset Allocation'!B43),0)</f>
        <v/>
      </c>
      <c r="H43" t="str">
        <f>IFERROR(IF(A43="","",SUM('Asset Allocation'!H43)/'Broad Asset Allocation'!B43),0)</f>
        <v/>
      </c>
    </row>
    <row r="44" spans="1:8" x14ac:dyDescent="0.25">
      <c r="A44" t="str">
        <f>IF(Input!A45="","",Input!A45)</f>
        <v/>
      </c>
      <c r="B44" t="str">
        <f>IFERROR(IF(A44="","",SUM('Asset Allocation'!E44)/'Broad Asset Allocation'!B44),0)</f>
        <v/>
      </c>
      <c r="C44" t="str">
        <f>IFERROR(IF(A44="","",SUM('Asset Allocation'!D44)/'Broad Asset Allocation'!B44),0)</f>
        <v/>
      </c>
      <c r="D44" t="str">
        <f>IFERROR(IF(A44="","",SUM('Asset Allocation'!F44)/'Broad Asset Allocation'!B44),0)</f>
        <v/>
      </c>
      <c r="G44" t="str">
        <f>IFERROR(IF(A44="","",SUM('Asset Allocation'!G44)/'Broad Asset Allocation'!B44),0)</f>
        <v/>
      </c>
      <c r="H44" t="str">
        <f>IFERROR(IF(A44="","",SUM('Asset Allocation'!H44)/'Broad Asset Allocation'!B44),0)</f>
        <v/>
      </c>
    </row>
    <row r="45" spans="1:8" x14ac:dyDescent="0.25">
      <c r="A45" t="str">
        <f>IF(Input!A46="","",Input!A46)</f>
        <v/>
      </c>
      <c r="B45" t="str">
        <f>IFERROR(IF(A45="","",SUM('Asset Allocation'!E45)/'Broad Asset Allocation'!B45),0)</f>
        <v/>
      </c>
      <c r="C45" t="str">
        <f>IFERROR(IF(A45="","",SUM('Asset Allocation'!D45)/'Broad Asset Allocation'!B45),0)</f>
        <v/>
      </c>
      <c r="D45" t="str">
        <f>IFERROR(IF(A45="","",SUM('Asset Allocation'!F45)/'Broad Asset Allocation'!B45),0)</f>
        <v/>
      </c>
      <c r="G45" t="str">
        <f>IFERROR(IF(A45="","",SUM('Asset Allocation'!G45)/'Broad Asset Allocation'!B45),0)</f>
        <v/>
      </c>
      <c r="H45" t="str">
        <f>IFERROR(IF(A45="","",SUM('Asset Allocation'!H45)/'Broad Asset Allocation'!B45),0)</f>
        <v/>
      </c>
    </row>
    <row r="46" spans="1:8" x14ac:dyDescent="0.25">
      <c r="A46" t="str">
        <f>IF(Input!A47="","",Input!A47)</f>
        <v/>
      </c>
      <c r="B46" t="str">
        <f>IFERROR(IF(A46="","",SUM('Asset Allocation'!E46)/'Broad Asset Allocation'!B46),0)</f>
        <v/>
      </c>
      <c r="C46" t="str">
        <f>IFERROR(IF(A46="","",SUM('Asset Allocation'!D46)/'Broad Asset Allocation'!B46),0)</f>
        <v/>
      </c>
      <c r="D46" t="str">
        <f>IFERROR(IF(A46="","",SUM('Asset Allocation'!F46)/'Broad Asset Allocation'!B46),0)</f>
        <v/>
      </c>
      <c r="G46" t="str">
        <f>IFERROR(IF(A46="","",SUM('Asset Allocation'!G46)/'Broad Asset Allocation'!B46),0)</f>
        <v/>
      </c>
      <c r="H46" t="str">
        <f>IFERROR(IF(A46="","",SUM('Asset Allocation'!H46)/'Broad Asset Allocation'!B46),0)</f>
        <v/>
      </c>
    </row>
    <row r="47" spans="1:8" x14ac:dyDescent="0.25">
      <c r="A47" t="str">
        <f>IF(Input!A48="","",Input!A48)</f>
        <v/>
      </c>
      <c r="B47" t="str">
        <f>IFERROR(IF(A47="","",SUM('Asset Allocation'!E47)/'Broad Asset Allocation'!B47),0)</f>
        <v/>
      </c>
      <c r="C47" t="str">
        <f>IFERROR(IF(A47="","",SUM('Asset Allocation'!D47)/'Broad Asset Allocation'!B47),0)</f>
        <v/>
      </c>
      <c r="D47" t="str">
        <f>IFERROR(IF(A47="","",SUM('Asset Allocation'!F47)/'Broad Asset Allocation'!B47),0)</f>
        <v/>
      </c>
      <c r="G47" t="str">
        <f>IFERROR(IF(A47="","",SUM('Asset Allocation'!G47)/'Broad Asset Allocation'!B47),0)</f>
        <v/>
      </c>
      <c r="H47" t="str">
        <f>IFERROR(IF(A47="","",SUM('Asset Allocation'!H47)/'Broad Asset Allocation'!B47),0)</f>
        <v/>
      </c>
    </row>
    <row r="48" spans="1:8" x14ac:dyDescent="0.25">
      <c r="A48" t="str">
        <f>IF(Input!A49="","",Input!A49)</f>
        <v/>
      </c>
      <c r="B48" t="str">
        <f>IFERROR(IF(A48="","",SUM('Asset Allocation'!E48)/'Broad Asset Allocation'!B48),0)</f>
        <v/>
      </c>
      <c r="C48" t="str">
        <f>IFERROR(IF(A48="","",SUM('Asset Allocation'!D48)/'Broad Asset Allocation'!B48),0)</f>
        <v/>
      </c>
      <c r="D48" t="str">
        <f>IFERROR(IF(A48="","",SUM('Asset Allocation'!F48)/'Broad Asset Allocation'!B48),0)</f>
        <v/>
      </c>
      <c r="G48" t="str">
        <f>IFERROR(IF(A48="","",SUM('Asset Allocation'!G48)/'Broad Asset Allocation'!B48),0)</f>
        <v/>
      </c>
      <c r="H48" t="str">
        <f>IFERROR(IF(A48="","",SUM('Asset Allocation'!H48)/'Broad Asset Allocation'!B48),0)</f>
        <v/>
      </c>
    </row>
    <row r="49" spans="1:8" x14ac:dyDescent="0.25">
      <c r="A49" t="str">
        <f>IF(Input!A50="","",Input!A50)</f>
        <v/>
      </c>
      <c r="B49" t="str">
        <f>IFERROR(IF(A49="","",SUM('Asset Allocation'!E49)/'Broad Asset Allocation'!B49),0)</f>
        <v/>
      </c>
      <c r="C49" t="str">
        <f>IFERROR(IF(A49="","",SUM('Asset Allocation'!D49)/'Broad Asset Allocation'!B49),0)</f>
        <v/>
      </c>
      <c r="D49" t="str">
        <f>IFERROR(IF(A49="","",SUM('Asset Allocation'!F49)/'Broad Asset Allocation'!B49),0)</f>
        <v/>
      </c>
      <c r="G49" t="str">
        <f>IFERROR(IF(A49="","",SUM('Asset Allocation'!G49)/'Broad Asset Allocation'!B49),0)</f>
        <v/>
      </c>
      <c r="H49" t="str">
        <f>IFERROR(IF(A49="","",SUM('Asset Allocation'!H49)/'Broad Asset Allocation'!B49),0)</f>
        <v/>
      </c>
    </row>
    <row r="50" spans="1:8" x14ac:dyDescent="0.25">
      <c r="A50" t="str">
        <f>IF(Input!A51="","",Input!A51)</f>
        <v/>
      </c>
      <c r="B50" t="str">
        <f>IFERROR(IF(A50="","",SUM('Asset Allocation'!E50)/'Broad Asset Allocation'!B50),0)</f>
        <v/>
      </c>
      <c r="C50" t="str">
        <f>IFERROR(IF(A50="","",SUM('Asset Allocation'!D50)/'Broad Asset Allocation'!B50),0)</f>
        <v/>
      </c>
      <c r="D50" t="str">
        <f>IFERROR(IF(A50="","",SUM('Asset Allocation'!F50)/'Broad Asset Allocation'!B50),0)</f>
        <v/>
      </c>
      <c r="G50" t="str">
        <f>IFERROR(IF(A50="","",SUM('Asset Allocation'!G50)/'Broad Asset Allocation'!B50),0)</f>
        <v/>
      </c>
      <c r="H50" t="str">
        <f>IFERROR(IF(A50="","",SUM('Asset Allocation'!H50)/'Broad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1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49</v>
      </c>
      <c r="G1" t="s">
        <v>17</v>
      </c>
      <c r="H1" t="s">
        <v>50</v>
      </c>
    </row>
    <row r="2" spans="1:8" x14ac:dyDescent="0.25">
      <c r="A2" t="str">
        <f>IF(Input!A3="","",Input!A3)</f>
        <v>Low Risk Portfolio Defensive Income</v>
      </c>
      <c r="H2">
        <f>IFERROR(IF(A2="","",SUM('Asset Allocation'!B2,'Asset Allocation'!C2)/'Broad Asset Allocation'!C2),0)</f>
        <v>1</v>
      </c>
    </row>
    <row r="3" spans="1:8" x14ac:dyDescent="0.25">
      <c r="A3" t="str">
        <f>IF(Input!A4="","",Input!A4)</f>
        <v>Low Risk Portfolio Defensive Income passive</v>
      </c>
      <c r="H3">
        <f>IFERROR(IF(A3="","",SUM('Asset Allocation'!B3,'Asset Allocation'!C3)/'Broad Asset Allocation'!C3),0)</f>
        <v>1</v>
      </c>
    </row>
    <row r="4" spans="1:8" x14ac:dyDescent="0.25">
      <c r="A4" t="str">
        <f>IF(Input!A5="","",Input!A5)</f>
        <v>Low-to-Medium Risk Portfolio Income</v>
      </c>
      <c r="H4">
        <f>IFERROR(IF(A4="","",SUM('Asset Allocation'!B4,'Asset Allocation'!C4)/'Broad Asset Allocation'!C4),0)</f>
        <v>1</v>
      </c>
    </row>
    <row r="5" spans="1:8" x14ac:dyDescent="0.25">
      <c r="A5" t="str">
        <f>IF(Input!A6="","",Input!A6)</f>
        <v>Low-to-Medium Risk Portfolio Income and Growth</v>
      </c>
      <c r="H5">
        <f>IFERROR(IF(A5="","",SUM('Asset Allocation'!B5,'Asset Allocation'!C5)/'Broad Asset Allocation'!C5),0)</f>
        <v>1</v>
      </c>
    </row>
    <row r="6" spans="1:8" x14ac:dyDescent="0.25">
      <c r="A6" t="str">
        <f>IF(Input!A7="","",Input!A7)</f>
        <v>Low-to-Medium Risk Portfolio Income and Growth Passive</v>
      </c>
      <c r="H6">
        <f>IFERROR(IF(A6="","",SUM('Asset Allocation'!B6,'Asset Allocation'!C6)/'Broad Asset Allocation'!C6),0)</f>
        <v>1</v>
      </c>
    </row>
    <row r="7" spans="1:8" x14ac:dyDescent="0.25">
      <c r="A7" t="str">
        <f>IF(Input!A8="","",Input!A8)</f>
        <v>Medium Risk Portfolio Income</v>
      </c>
      <c r="H7">
        <f>IFERROR(IF(A7="","",SUM('Asset Allocation'!B7,'Asset Allocation'!C7)/'Broad Asset Allocation'!C7),0)</f>
        <v>1</v>
      </c>
    </row>
    <row r="8" spans="1:8" x14ac:dyDescent="0.25">
      <c r="A8" t="str">
        <f>IF(Input!A9="","",Input!A9)</f>
        <v>Medium Risk Portfolio Income and Growth</v>
      </c>
      <c r="H8">
        <f>IFERROR(IF(A8="","",SUM('Asset Allocation'!B8,'Asset Allocation'!C8)/'Broad Asset Allocation'!C8),0)</f>
        <v>1</v>
      </c>
    </row>
    <row r="9" spans="1:8" x14ac:dyDescent="0.25">
      <c r="A9" t="str">
        <f>IF(Input!A10="","",Input!A10)</f>
        <v>Medium Risk Portfolio Income and Growth Passive</v>
      </c>
      <c r="H9">
        <f>IFERROR(IF(A9="","",SUM('Asset Allocation'!B9,'Asset Allocation'!C9)/'Broad Asset Allocation'!C9),0)</f>
        <v>1</v>
      </c>
    </row>
    <row r="10" spans="1:8" x14ac:dyDescent="0.25">
      <c r="A10" t="str">
        <f>IF(Input!A11="","",Input!A11)</f>
        <v>Medium-to-High Risk Portfolio Growth</v>
      </c>
      <c r="H10">
        <f>IFERROR(IF(A10="","",SUM('Asset Allocation'!B10,'Asset Allocation'!C10)/'Broad Asset Allocation'!C10),0)</f>
        <v>1</v>
      </c>
    </row>
    <row r="11" spans="1:8" x14ac:dyDescent="0.25">
      <c r="A11" t="str">
        <f>IF(Input!A12="","",Input!A12)</f>
        <v>Medium-to-High Risk Portfolio Growth Passive</v>
      </c>
      <c r="H11">
        <f>IFERROR(IF(A11="","",SUM('Asset Allocation'!B11,'Asset Allocation'!C11)/'Broad Asset Allocation'!C11),0)</f>
        <v>1</v>
      </c>
    </row>
    <row r="12" spans="1:8" x14ac:dyDescent="0.25">
      <c r="A12" t="str">
        <f>IF(Input!A13="","",Input!A13)</f>
        <v>High Risk Portfolio Growth</v>
      </c>
      <c r="H12">
        <f>IFERROR(IF(A12="","",SUM('Asset Allocation'!B12,'Asset Allocation'!C12)/'Broad Asset Allocation'!C12),0)</f>
        <v>1</v>
      </c>
    </row>
    <row r="13" spans="1:8" x14ac:dyDescent="0.25">
      <c r="A13" t="str">
        <f>IF(Input!A14="","",Input!A14)</f>
        <v>High Risk Portfolio Growth passive</v>
      </c>
      <c r="H13">
        <f>IFERROR(IF(A13="","",SUM('Asset Allocation'!B13,'Asset Allocation'!C13)/'Broad Asset Allocation'!C13),0)</f>
        <v>1</v>
      </c>
    </row>
    <row r="14" spans="1:8" x14ac:dyDescent="0.25">
      <c r="A14" t="str">
        <f>IF(Input!A15="","",Input!A15)</f>
        <v>Responsible Investment - Advance High Risk Portfolio (Growth)</v>
      </c>
      <c r="H14">
        <f>IFERROR(IF(A14="","",SUM('Asset Allocation'!B14,'Asset Allocation'!C14)/'Broad Asset Allocation'!C14),0)</f>
        <v>1</v>
      </c>
    </row>
    <row r="15" spans="1:8" x14ac:dyDescent="0.25">
      <c r="A15" t="str">
        <f>IF(Input!A16="","",Input!A16)</f>
        <v>Responsible Investment - Advance Low Risk Portfolio (Defensive income)</v>
      </c>
      <c r="H15">
        <f>IFERROR(IF(A15="","",SUM('Asset Allocation'!B15,'Asset Allocation'!C15)/'Broad Asset Allocation'!C15),0)</f>
        <v>1</v>
      </c>
    </row>
    <row r="16" spans="1:8" x14ac:dyDescent="0.25">
      <c r="A16" t="str">
        <f>IF(Input!A17="","",Input!A17)</f>
        <v>Responsible Investment - Advance Low Medium Risk Portfolio (Income &amp; Growth)</v>
      </c>
      <c r="H16">
        <f>IFERROR(IF(A16="","",SUM('Asset Allocation'!B16,'Asset Allocation'!C16)/'Broad Asset Allocation'!C16),0)</f>
        <v>1</v>
      </c>
    </row>
    <row r="17" spans="1:8" x14ac:dyDescent="0.25">
      <c r="A17" t="str">
        <f>IF(Input!A18="","",Input!A18)</f>
        <v>Responsible Investment - Advance Medium Risk Portfolio (Income &amp; Growth)</v>
      </c>
      <c r="H17">
        <f>IFERROR(IF(A17="","",SUM('Asset Allocation'!B17,'Asset Allocation'!C17)/'Broad Asset Allocation'!C17),0)</f>
        <v>1</v>
      </c>
    </row>
    <row r="18" spans="1:8" x14ac:dyDescent="0.25">
      <c r="A18" t="str">
        <f>IF(Input!A19="","",Input!A19)</f>
        <v>Responsible Investment - Advance Medium High Risk Portfolio (Growth)</v>
      </c>
      <c r="H18">
        <f>IFERROR(IF(A18="","",SUM('Asset Allocation'!B18,'Asset Allocation'!C18)/'Broad Asset Allocation'!C18),0)</f>
        <v>1</v>
      </c>
    </row>
    <row r="19" spans="1:8" x14ac:dyDescent="0.25">
      <c r="A19" t="str">
        <f>IF(Input!A20="","",Input!A20)</f>
        <v/>
      </c>
      <c r="H19" t="str">
        <f>IFERROR(IF(A19="","",SUM('Asset Allocation'!B19,'Asset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Allocation'!B20,'Asset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Allocation'!B21,'Asset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Allocation'!B22,'Asset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Allocation'!B23,'Asset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Allocation'!B24,'Asset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Allocation'!B25,'Asset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Allocation'!B26,'Asset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Allocation'!B27,'Asset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Allocation'!B28,'Asset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Allocation'!B29,'Asset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Allocation'!B30,'Asset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Allocation'!B31,'Asset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Allocation'!B32,'Asset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Allocation'!B33,'Asset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Allocation'!B34,'Asset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Allocation'!B35,'Asset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Allocation'!B36,'Asset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Allocation'!B37,'Asset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Allocation'!B38,'Asset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Allocation'!B39,'Asset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Allocation'!B40,'Asset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Allocation'!B41,'Asset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Allocation'!B42,'Asset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Allocation'!B43,'Asset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Allocation'!B44,'Asset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Allocation'!B45,'Asset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Allocation'!B46,'Asset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Allocation'!B47,'Asset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Allocation'!B48,'Asset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Allocation'!B49,'Asset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Allocation'!B50,'Asset Allocation'!C50)/'Broad Asset Allocation'!C50),0)</f>
        <v/>
      </c>
    </row>
    <row r="51" spans="1:8" x14ac:dyDescent="0.25">
      <c r="A51" s="1"/>
      <c r="H51" t="str">
        <f>IFERROR(IF(A51="","",SUM('Asset Allocation'!B51,'Asset Allocation'!C51)/'Broad Asset Allocation'!C51),0)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8" spans="1:50" x14ac:dyDescent="0.25">
      <c r="A8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A1:AX5"/>
  <sheetViews>
    <sheetView workbookViewId="0">
      <selection sqref="A1:XFD1048576"/>
    </sheetView>
  </sheetViews>
  <sheetFormatPr defaultRowHeight="15" x14ac:dyDescent="0.25"/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</sheetData>
  <sortState ref="A2:AX5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activeCell="I13" sqref="I13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2023-09-13T22:35:34Z</dcterms:modified>
</cp:coreProperties>
</file>