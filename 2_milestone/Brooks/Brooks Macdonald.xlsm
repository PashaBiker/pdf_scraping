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Brooks Macdonald\"/>
    </mc:Choice>
  </mc:AlternateContent>
  <xr:revisionPtr revIDLastSave="0" documentId="13_ncr:1_{E2F45C1B-4953-49D2-B1FF-678D5C98F2C8}" xr6:coauthVersionLast="47" xr6:coauthVersionMax="47" xr10:uidLastSave="{00000000-0000-0000-0000-000000000000}"/>
  <bookViews>
    <workbookView xWindow="2280" yWindow="2280" windowWidth="14400" windowHeight="7270" tabRatio="908" firstSheet="4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1" l="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B1" i="38" a="1"/>
  <c r="B1" i="38" s="1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B1" i="37" s="1" a="1"/>
  <c r="B1" i="37" s="1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C44" i="7" l="1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H13" i="7"/>
  <c r="B13" i="7"/>
  <c r="C13" i="7"/>
  <c r="D13" i="7"/>
  <c r="G13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C12" i="7"/>
  <c r="D12" i="7"/>
  <c r="G12" i="7"/>
  <c r="H12" i="7"/>
  <c r="B12" i="7"/>
  <c r="B14" i="7"/>
  <c r="C14" i="7"/>
  <c r="D14" i="7"/>
  <c r="G14" i="7"/>
  <c r="H14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D15" i="7"/>
  <c r="G15" i="7"/>
  <c r="H15" i="7"/>
  <c r="B15" i="7"/>
  <c r="C15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16" i="7"/>
  <c r="C16" i="7"/>
  <c r="D16" i="7"/>
  <c r="G16" i="7"/>
  <c r="H16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B17" i="7"/>
  <c r="C17" i="7"/>
  <c r="D17" i="7"/>
  <c r="G17" i="7"/>
  <c r="H17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18" i="7"/>
  <c r="H18" i="7"/>
  <c r="B18" i="7"/>
  <c r="C18" i="7"/>
  <c r="D18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H12" i="4"/>
  <c r="B12" i="4"/>
  <c r="G12" i="4"/>
  <c r="C12" i="4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H14" i="4"/>
  <c r="C14" i="4"/>
  <c r="G14" i="4"/>
  <c r="B14" i="4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F13" i="4"/>
  <c r="G13" i="4"/>
  <c r="B13" i="4"/>
  <c r="H13" i="4"/>
  <c r="C7" i="4"/>
  <c r="H7" i="8" s="1"/>
  <c r="F7" i="4"/>
  <c r="B7" i="4"/>
  <c r="G7" i="4"/>
  <c r="B15" i="4"/>
  <c r="C15" i="4"/>
  <c r="H15" i="4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G16" i="4"/>
  <c r="C16" i="4"/>
  <c r="H16" i="4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H17" i="4"/>
  <c r="B17" i="4"/>
  <c r="F17" i="4"/>
  <c r="C17" i="4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4"/>
  <c r="F18" i="4"/>
  <c r="G18" i="4"/>
  <c r="H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4" i="4" l="1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<sst xmlns="http://schemas.openxmlformats.org/spreadsheetml/2006/main" count="88" uniqueCount="57">
  <si>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</si>
  <si>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</si>
  <si>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</si>
  <si>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</si>
  <si>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</si>
  <si>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</si>
  <si>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</si>
  <si>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</si>
  <si>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</si>
  <si>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</si>
  <si>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</si>
  <si>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</si>
  <si>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</si>
  <si>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</si>
  <si>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</si>
  <si>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</si>
  <si>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</si>
  <si>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</si>
  <si>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</si>
  <si>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</si>
  <si>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</si>
  <si>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</si>
  <si>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</si>
  <si>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</si>
  <si>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</si>
  <si>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</si>
  <si>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</si>
  <si>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</si>
  <si>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</si>
  <si>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Latest MPS Factsheets</t>
  </si>
  <si>
    <t>https://www.brooksmacdonald.com/investment-management/services/managed-portfolio-service/mps-active-range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</si>
  <si>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</si>
  <si>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</si>
  <si>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</si>
  <si>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</si>
  <si>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</si>
  <si>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</si>
  <si>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</si>
  <si>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</si>
  <si>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</si>
  <si>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</si>
  <si>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Low-to-Medium Risk Portfolio Income and Growth (Passive)</t>
  </si>
  <si>
    <t>Medium Risk Portfolio Income and Growth (Passive)</t>
  </si>
  <si>
    <t>Medium-to-High Risk Portfolio Growth (Passive)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</si>
  <si>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</si>
  <si>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</si>
  <si>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</si>
  <si>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</si>
  <si>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</si>
  <si>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</si>
  <si>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</si>
  <si>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</si>
  <si>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</si>
  <si>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</si>
  <si>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</si>
  <si>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</si>
  <si>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https://www.brooksmacdonald.com/~/media/Files/B/Brooks-Macdonald-V6/documents/factsheets/MPS-Retail-Factsheets.pdf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</si>
</sst>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88900</xdr:rowOff>
        </xdr:from>
        <xdr:to>
          <xdr:col>11</xdr:col>
          <xdr:colOff>88900</xdr:colOff>
          <xdr:row>7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H1"/>
  <sheetViews>
    <sheetView workbookViewId="0">
      <selection activeCell="A3" sqref="A3"/>
    </sheetView>
  </sheetViews>
  <sheetFormatPr defaultRowHeight="14.5" x14ac:dyDescent="0.35"/>
  <sheetData>
    <row r="1" spans="1:8" x14ac:dyDescent="0.3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2"/>
  <sheetViews>
    <sheetView workbookViewId="0">
      <selection activeCell="B5" sqref="B5"/>
    </sheetView>
  </sheetViews>
  <sheetFormatPr defaultRowHeight="14.5" x14ac:dyDescent="0.35"/>
  <cols>
    <col min="1" max="1" width="51.906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45138</v>
      </c>
      <c r="B1" s="3"/>
    </row>
    <row r="2" spans="1:10" x14ac:dyDescent="0.35">
      <c r="A2" t="s">
        <v>0</v>
      </c>
      <c r="B2" t="s">
        <v>27</v>
      </c>
      <c r="C2" s="4"/>
    </row>
    <row r="3" spans="1:10" x14ac:dyDescent="0.35">
      <c r="A3" t="s">
        <v>45</v>
      </c>
      <c r="B3" t="str">
        <f>IF(A3="","",'PDF Scraping'!D2)</f>
        <v>https://www.brooksmacdonald.com/~/media/Files/B/Brooks-Macdonald-V6/documents/factsheets/MPS-Retail-Factsheets.pdf</v>
      </c>
      <c r="J3" s="4"/>
    </row>
    <row r="4" spans="1:10" x14ac:dyDescent="0.35">
      <c r="A4" t="s">
        <v>46</v>
      </c>
      <c r="J4" s="4"/>
    </row>
    <row r="5" spans="1:10" x14ac:dyDescent="0.35">
      <c r="A5" t="s">
        <v>47</v>
      </c>
    </row>
    <row r="6" spans="1:10" x14ac:dyDescent="0.35">
      <c r="A6" t="s">
        <v>41</v>
      </c>
    </row>
    <row r="7" spans="1:10" x14ac:dyDescent="0.35">
      <c r="A7" t="s">
        <v>48</v>
      </c>
    </row>
    <row r="8" spans="1:10" x14ac:dyDescent="0.35">
      <c r="A8" t="s">
        <v>49</v>
      </c>
    </row>
    <row r="9" spans="1:10" x14ac:dyDescent="0.35">
      <c r="A9" t="s">
        <v>42</v>
      </c>
    </row>
    <row r="10" spans="1:10" x14ac:dyDescent="0.35">
      <c r="A10" t="s">
        <v>50</v>
      </c>
    </row>
    <row r="11" spans="1:10" x14ac:dyDescent="0.35">
      <c r="A11" t="s">
        <v>43</v>
      </c>
    </row>
    <row r="12" spans="1:10" x14ac:dyDescent="0.35">
      <c r="A12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E50"/>
  <sheetViews>
    <sheetView workbookViewId="0">
      <selection activeCell="C7" sqref="C7"/>
    </sheetView>
  </sheetViews>
  <sheetFormatPr defaultRowHeight="14.5" x14ac:dyDescent="0.35"/>
  <cols>
    <col min="1" max="2" width="19.1796875" customWidth="1"/>
    <col min="3" max="3" width="19.1796875" style="5" customWidth="1"/>
    <col min="4" max="4" width="30.36328125" bestFit="1" customWidth="1"/>
    <col min="5" max="5" width="20.36328125" customWidth="1"/>
    <col min="6" max="6" width="21.54296875" bestFit="1" customWidth="1"/>
    <col min="7" max="7" width="13.7265625" bestFit="1" customWidth="1"/>
  </cols>
  <sheetData>
    <row r="1" spans="1:5" x14ac:dyDescent="0.35">
      <c r="B1" t="s">
        <v>25</v>
      </c>
      <c r="C1" s="5" t="s">
        <v>19</v>
      </c>
      <c r="D1" t="s">
        <v>31</v>
      </c>
      <c r="E1" t="s">
        <v>32</v>
      </c>
    </row>
    <row r="2" spans="1:5" x14ac:dyDescent="0.35">
      <c r="A2" t="str">
        <f>IF(Input!A3="","",Input!A3)</f>
        <v>Low Risk Portfolio Defensive Income</v>
      </c>
      <c r="B2" s="1"/>
      <c r="D2" s="5"/>
      <c r="E2" s="5"/>
    </row>
    <row r="3" spans="1:5" x14ac:dyDescent="0.35">
      <c r="A3" t="str">
        <f>IF(Input!A4="","",Input!A4)</f>
        <v>Low-to-Medium Risk Portfolio Income</v>
      </c>
      <c r="B3" s="1"/>
      <c r="D3" s="5"/>
      <c r="E3" s="5"/>
    </row>
    <row r="4" spans="1:5" x14ac:dyDescent="0.35">
      <c r="A4" t="str">
        <f>IF(Input!A5="","",Input!A5)</f>
        <v>Low-to-Medium Risk Portfolio Income and Growth</v>
      </c>
      <c r="B4" s="1"/>
      <c r="D4" s="5"/>
      <c r="E4" s="5"/>
    </row>
    <row r="5" spans="1:5" x14ac:dyDescent="0.35">
      <c r="A5" t="str">
        <f>IF(Input!A6="","",Input!A6)</f>
        <v>Low-to-Medium Risk Portfolio Income and Growth (Passive)</v>
      </c>
      <c r="B5" s="1"/>
      <c r="D5" s="5"/>
      <c r="E5" s="5"/>
    </row>
    <row r="6" spans="1:5" x14ac:dyDescent="0.35">
      <c r="A6" t="str">
        <f>IF(Input!A7="","",Input!A7)</f>
        <v>Medium Risk Portfolio Income</v>
      </c>
      <c r="B6" s="1"/>
      <c r="D6" s="5"/>
      <c r="E6" s="5"/>
    </row>
    <row r="7" spans="1:5" x14ac:dyDescent="0.35">
      <c r="A7" t="str">
        <f>IF(Input!A8="","",Input!A8)</f>
        <v>Medium Risk Portfolio Income and Growth</v>
      </c>
      <c r="B7" s="1"/>
      <c r="D7" s="5"/>
      <c r="E7" s="5"/>
    </row>
    <row r="8" spans="1:5" x14ac:dyDescent="0.35">
      <c r="A8" t="str">
        <f>IF(Input!A9="","",Input!A9)</f>
        <v>Medium Risk Portfolio Income and Growth (Passive)</v>
      </c>
      <c r="B8" s="1"/>
      <c r="D8" s="5"/>
      <c r="E8" s="5"/>
    </row>
    <row r="9" spans="1:5" x14ac:dyDescent="0.35">
      <c r="A9" t="str">
        <f>IF(Input!A10="","",Input!A10)</f>
        <v>Medium-to-High Risk Portfolio Growth</v>
      </c>
      <c r="B9" s="1"/>
      <c r="D9" s="5"/>
      <c r="E9" s="5"/>
    </row>
    <row r="10" spans="1:5" x14ac:dyDescent="0.35">
      <c r="A10" t="str">
        <f>IF(Input!A11="","",Input!A11)</f>
        <v>Medium-to-High Risk Portfolio Growth (Passive)</v>
      </c>
      <c r="B10" s="1"/>
      <c r="D10" s="5"/>
      <c r="E10" s="5"/>
    </row>
    <row r="11" spans="1:5" x14ac:dyDescent="0.35">
      <c r="A11" t="str">
        <f>IF(Input!A12="","",Input!A12)</f>
        <v>High Risk Portfolio Growth</v>
      </c>
      <c r="B11" s="1"/>
      <c r="D11" s="5"/>
      <c r="E11" s="5"/>
    </row>
    <row r="12" spans="1:5" x14ac:dyDescent="0.35">
      <c r="A12" t="str">
        <f>IF(Input!A13="","",Input!A13)</f>
        <v/>
      </c>
      <c r="B12" s="1"/>
      <c r="D12" s="5"/>
      <c r="E12" s="5"/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Q50"/>
  <sheetViews>
    <sheetView workbookViewId="0">
      <selection activeCell="G2" sqref="G2"/>
    </sheetView>
  </sheetViews>
  <sheetFormatPr defaultRowHeight="14.5" x14ac:dyDescent="0.35"/>
  <cols>
    <col min="1" max="1" width="51.1796875" bestFit="1" customWidth="1"/>
    <col min="2" max="2" width="14.90625" bestFit="1" customWidth="1"/>
    <col min="3" max="3" width="23.6328125" bestFit="1" customWidth="1"/>
    <col min="4" max="4" width="10.08984375" bestFit="1" customWidth="1"/>
    <col min="5" max="5" width="21.26953125" bestFit="1" customWidth="1"/>
    <col min="6" max="6" width="16" bestFit="1" customWidth="1"/>
    <col min="7" max="7" width="21.81640625" bestFit="1" customWidth="1"/>
    <col min="8" max="8" width="28.90625" bestFit="1" customWidth="1"/>
    <col min="9" max="9" width="24" bestFit="1" customWidth="1"/>
    <col min="10" max="10" width="15.7265625" bestFit="1" customWidth="1"/>
    <col min="11" max="11" width="5.81640625" bestFit="1" customWidth="1"/>
  </cols>
  <sheetData>
    <row r="1" spans="1:17" x14ac:dyDescent="0.35"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44</v>
      </c>
      <c r="H1" t="s">
        <v>38</v>
      </c>
      <c r="I1" t="s">
        <v>39</v>
      </c>
      <c r="J1" t="s">
        <v>40</v>
      </c>
      <c r="K1" t="s">
        <v>4</v>
      </c>
    </row>
    <row r="2" spans="1:17" x14ac:dyDescent="0.35">
      <c r="A2" t="str">
        <f>IF(Input!A3="","",Input!A3)</f>
        <v>Low Risk Portfolio Defensive Income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35">
      <c r="A3" t="str">
        <f>IF(Input!A4="","",Input!A4)</f>
        <v>Low-to-Medium Risk Portfolio Income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35">
      <c r="A4" t="str">
        <f>IF(Input!A5="","",Input!A5)</f>
        <v>Low-to-Medium Risk Portfolio Income and Growth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35">
      <c r="A5" t="str">
        <f>IF(Input!A6="","",Input!A6)</f>
        <v>Low-to-Medium Risk Portfolio Income and Growth (Passive)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5">
      <c r="A6" t="str">
        <f>IF(Input!A7="","",Input!A7)</f>
        <v>Medium Risk Portfolio Income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35">
      <c r="A7" t="str">
        <f>IF(Input!A8="","",Input!A8)</f>
        <v>Medium Risk Portfolio Income and Growth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35">
      <c r="A8" t="str">
        <f>IF(Input!A9="","",Input!A9)</f>
        <v>Medium Risk Portfolio Income and Growth (Passive)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x14ac:dyDescent="0.35">
      <c r="A9" t="str">
        <f>IF(Input!A10="","",Input!A10)</f>
        <v>Medium-to-High Risk Portfolio Growth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5">
      <c r="A10" t="str">
        <f>IF(Input!A11="","",Input!A11)</f>
        <v>Medium-to-High Risk Portfolio Growth (Passive)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5">
      <c r="A11" t="str">
        <f>IF(Input!A12="","",Input!A12)</f>
        <v>High Risk Portfolio Growth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5">
      <c r="A13" t="str">
        <f>IF(Input!A14="","",Input!A14)</f>
        <v/>
      </c>
    </row>
    <row r="14" spans="1:17" x14ac:dyDescent="0.35">
      <c r="A14" t="str">
        <f>IF(Input!A15="","",Input!A15)</f>
        <v/>
      </c>
    </row>
    <row r="15" spans="1:17" x14ac:dyDescent="0.35">
      <c r="A15" t="str">
        <f>IF(Input!A16="","",Input!A16)</f>
        <v/>
      </c>
    </row>
    <row r="16" spans="1:17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EBEC5-3182-49A2-8B00-0219A78BBB75}">
  <sheetPr codeName="Sheet33">
    <tabColor theme="5" tint="0.79998168889431442"/>
  </sheetPr>
  <dimension ref="A1:D50"/>
  <sheetViews>
    <sheetView tabSelected="1" workbookViewId="0">
      <selection activeCell="D2" sqref="D2:D12"/>
    </sheetView>
  </sheetViews>
  <sheetFormatPr defaultRowHeight="14.5" x14ac:dyDescent="0.35"/>
  <cols>
    <col min="1" max="1" width="19.08984375" bestFit="1" customWidth="1"/>
    <col min="2" max="2" width="19.08984375" customWidth="1"/>
    <col min="3" max="3" width="19.08984375" bestFit="1" customWidth="1"/>
    <col min="4" max="4" width="8.7265625" style="6"/>
  </cols>
  <sheetData>
    <row r="1" spans="1:4" x14ac:dyDescent="0.35">
      <c r="A1" t="s">
        <v>0</v>
      </c>
      <c r="B1" t="s">
        <v>28</v>
      </c>
      <c r="C1" t="s">
        <v>26</v>
      </c>
      <c r="D1" s="6" t="s">
        <v>27</v>
      </c>
    </row>
    <row r="2" spans="1:4" x14ac:dyDescent="0.35">
      <c r="A2" t="str">
        <f>IF(Input!A3="","",Input!A3)</f>
        <v>Low Risk Portfolio Defensive Income</v>
      </c>
      <c r="B2" t="s">
        <v>30</v>
      </c>
      <c r="C2" t="s">
        <v>29</v>
      </c>
      <c r="D2" s="6" t="s">
        <v>56</v>
      </c>
    </row>
    <row r="3" spans="1:4" x14ac:dyDescent="0.35">
      <c r="A3" t="str">
        <f>IF(Input!A4="","",Input!A4)</f>
        <v>Low-to-Medium Risk Portfolio Income</v>
      </c>
      <c r="B3" t="s">
        <v>30</v>
      </c>
      <c r="C3" t="s">
        <v>29</v>
      </c>
      <c r="D3" s="6" t="s">
        <v>56</v>
      </c>
    </row>
    <row r="4" spans="1:4" x14ac:dyDescent="0.35">
      <c r="A4" t="str">
        <f>IF(Input!A5="","",Input!A5)</f>
        <v>Low-to-Medium Risk Portfolio Income and Growth</v>
      </c>
      <c r="B4" t="s">
        <v>30</v>
      </c>
      <c r="C4" t="s">
        <v>29</v>
      </c>
      <c r="D4" s="6" t="s">
        <v>56</v>
      </c>
    </row>
    <row r="5" spans="1:4" x14ac:dyDescent="0.35">
      <c r="A5" t="str">
        <f>IF(Input!A6="","",Input!A6)</f>
        <v>Low-to-Medium Risk Portfolio Income and Growth (Passive)</v>
      </c>
      <c r="B5" t="s">
        <v>30</v>
      </c>
      <c r="C5" t="s">
        <v>29</v>
      </c>
      <c r="D5" s="6" t="s">
        <v>56</v>
      </c>
    </row>
    <row r="6" spans="1:4" x14ac:dyDescent="0.35">
      <c r="A6" t="str">
        <f>IF(Input!A7="","",Input!A7)</f>
        <v>Medium Risk Portfolio Income</v>
      </c>
      <c r="B6" t="s">
        <v>30</v>
      </c>
      <c r="C6" t="s">
        <v>29</v>
      </c>
      <c r="D6" s="6" t="s">
        <v>56</v>
      </c>
    </row>
    <row r="7" spans="1:4" x14ac:dyDescent="0.35">
      <c r="A7" t="str">
        <f>IF(Input!A8="","",Input!A8)</f>
        <v>Medium Risk Portfolio Income and Growth</v>
      </c>
      <c r="B7" t="s">
        <v>30</v>
      </c>
      <c r="C7" t="s">
        <v>29</v>
      </c>
      <c r="D7" s="6" t="s">
        <v>56</v>
      </c>
    </row>
    <row r="8" spans="1:4" x14ac:dyDescent="0.35">
      <c r="A8" t="str">
        <f>IF(Input!A9="","",Input!A9)</f>
        <v>Medium Risk Portfolio Income and Growth (Passive)</v>
      </c>
      <c r="B8" t="s">
        <v>30</v>
      </c>
      <c r="C8" t="s">
        <v>29</v>
      </c>
      <c r="D8" s="6" t="s">
        <v>56</v>
      </c>
    </row>
    <row r="9" spans="1:4" x14ac:dyDescent="0.35">
      <c r="A9" t="str">
        <f>IF(Input!A10="","",Input!A10)</f>
        <v>Medium-to-High Risk Portfolio Growth</v>
      </c>
      <c r="B9" t="s">
        <v>30</v>
      </c>
      <c r="C9" t="s">
        <v>29</v>
      </c>
      <c r="D9" s="6" t="s">
        <v>56</v>
      </c>
    </row>
    <row r="10" spans="1:4" x14ac:dyDescent="0.35">
      <c r="A10" t="str">
        <f>IF(Input!A11="","",Input!A11)</f>
        <v>Medium-to-High Risk Portfolio Growth (Passive)</v>
      </c>
      <c r="B10" t="s">
        <v>30</v>
      </c>
      <c r="C10" t="s">
        <v>29</v>
      </c>
      <c r="D10" s="6" t="s">
        <v>56</v>
      </c>
    </row>
    <row r="11" spans="1:4" x14ac:dyDescent="0.35">
      <c r="A11" t="str">
        <f>IF(Input!A12="","",Input!A12)</f>
        <v>High Risk Portfolio Growth</v>
      </c>
      <c r="B11" t="s">
        <v>30</v>
      </c>
      <c r="C11" t="s">
        <v>29</v>
      </c>
      <c r="D11" s="6" t="s">
        <v>56</v>
      </c>
    </row>
    <row r="12" spans="1:4" x14ac:dyDescent="0.35">
      <c r="A12" t="str">
        <f>IF(Input!A13="","",Input!A13)</f>
        <v/>
      </c>
    </row>
    <row r="13" spans="1:4" x14ac:dyDescent="0.35">
      <c r="A13" t="str">
        <f>IF(Input!A14="","",Input!A14)</f>
        <v/>
      </c>
    </row>
    <row r="14" spans="1:4" x14ac:dyDescent="0.35">
      <c r="A14" t="str">
        <f>IF(Input!A15="","",Input!A15)</f>
        <v/>
      </c>
    </row>
    <row r="15" spans="1:4" x14ac:dyDescent="0.35">
      <c r="A15" t="str">
        <f>IF(Input!A16="","",Input!A16)</f>
        <v/>
      </c>
    </row>
    <row r="16" spans="1:4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9C91C-647D-4B22-AA77-918264674958}">
  <sheetPr codeName="Sheet32">
    <tabColor theme="4" tint="0.79998168889431442"/>
  </sheetPr>
  <dimension ref="A1:C50"/>
  <sheetViews>
    <sheetView workbookViewId="0">
      <selection activeCell="Z1" sqref="Z1:AA1048576"/>
    </sheetView>
  </sheetViews>
  <sheetFormatPr defaultRowHeight="14.5" x14ac:dyDescent="0.35"/>
  <cols>
    <col min="1" max="1" width="20.453125" bestFit="1" customWidth="1"/>
    <col min="2" max="2" width="17.81640625" style="7" customWidth="1"/>
    <col min="3" max="3" width="10.453125" bestFit="1" customWidth="1"/>
  </cols>
  <sheetData>
    <row r="1" spans="1:3" x14ac:dyDescent="0.35">
      <c r="B1" s="7" t="s">
        <v>25</v>
      </c>
    </row>
    <row r="2" spans="1:3" x14ac:dyDescent="0.35">
      <c r="A2" t="str">
        <f>IF(Input!A3="","",Input!A3)</f>
        <v>Low Risk Portfolio Defensive Income</v>
      </c>
      <c r="B2" s="7" t="e">
        <f>IF(A2="","",DATE(RIGHT(IF(A2="","",'Additional Information'!B2),4),MID(IF(A2="","",'Additional Information'!B2),4,2),LEFT(IF(A2="","",'Additional Information'!B2),2)))</f>
        <v>#VALUE!</v>
      </c>
    </row>
    <row r="3" spans="1:3" x14ac:dyDescent="0.35">
      <c r="A3" t="str">
        <f>IF(Input!A4="","",Input!A4)</f>
        <v>Low-to-Medium Risk Portfolio Income</v>
      </c>
      <c r="B3" s="7" t="e">
        <f>IF(A3="","",DATE(RIGHT(IF(A3="","",'Additional Information'!B3),4),MID(IF(A3="","",'Additional Information'!B3),4,2),LEFT(IF(A3="","",'Additional Information'!B3),2)))</f>
        <v>#VALUE!</v>
      </c>
      <c r="C3" s="1"/>
    </row>
    <row r="4" spans="1:3" x14ac:dyDescent="0.35">
      <c r="A4" t="str">
        <f>IF(Input!A5="","",Input!A5)</f>
        <v>Low-to-Medium Risk Portfolio Income and Growth</v>
      </c>
      <c r="B4" s="7" t="e">
        <f>IF(A4="","",DATE(RIGHT(IF(A4="","",'Additional Information'!B4),4),MID(IF(A4="","",'Additional Information'!B4),4,2),LEFT(IF(A4="","",'Additional Information'!B4),2)))</f>
        <v>#VALUE!</v>
      </c>
    </row>
    <row r="5" spans="1:3" x14ac:dyDescent="0.35">
      <c r="A5" t="str">
        <f>IF(Input!A6="","",Input!A6)</f>
        <v>Low-to-Medium Risk Portfolio Income and Growth (Passive)</v>
      </c>
      <c r="B5" s="7" t="e">
        <f>IF(A5="","",DATE(RIGHT(IF(A5="","",'Additional Information'!B5),4),MID(IF(A5="","",'Additional Information'!B5),4,2),LEFT(IF(A5="","",'Additional Information'!B5),2)))</f>
        <v>#VALUE!</v>
      </c>
    </row>
    <row r="6" spans="1:3" x14ac:dyDescent="0.35">
      <c r="A6" t="str">
        <f>IF(Input!A7="","",Input!A7)</f>
        <v>Medium Risk Portfolio Income</v>
      </c>
      <c r="B6" s="7" t="e">
        <f>IF(A6="","",DATE(RIGHT(IF(A6="","",'Additional Information'!B6),4),MID(IF(A6="","",'Additional Information'!B6),4,2),LEFT(IF(A6="","",'Additional Information'!B6),2)))</f>
        <v>#VALUE!</v>
      </c>
    </row>
    <row r="7" spans="1:3" x14ac:dyDescent="0.35">
      <c r="A7" t="str">
        <f>IF(Input!A8="","",Input!A8)</f>
        <v>Medium Risk Portfolio Income and Growth</v>
      </c>
      <c r="B7" s="7" t="e">
        <f>IF(A7="","",DATE(RIGHT(IF(A7="","",'Additional Information'!B7),4),MID(IF(A7="","",'Additional Information'!B7),4,2),LEFT(IF(A7="","",'Additional Information'!B7),2)))</f>
        <v>#VALUE!</v>
      </c>
    </row>
    <row r="8" spans="1:3" x14ac:dyDescent="0.35">
      <c r="A8" t="str">
        <f>IF(Input!A9="","",Input!A9)</f>
        <v>Medium Risk Portfolio Income and Growth (Passive)</v>
      </c>
      <c r="B8" s="7" t="e">
        <f>IF(A8="","",DATE(RIGHT(IF(A8="","",'Additional Information'!B8),4),MID(IF(A8="","",'Additional Information'!B8),4,2),LEFT(IF(A8="","",'Additional Information'!B8),2)))</f>
        <v>#VALUE!</v>
      </c>
    </row>
    <row r="9" spans="1:3" x14ac:dyDescent="0.35">
      <c r="A9" t="str">
        <f>IF(Input!A10="","",Input!A10)</f>
        <v>Medium-to-High Risk Portfolio Growth</v>
      </c>
      <c r="B9" s="7" t="e">
        <f>IF(A9="","",DATE(RIGHT(IF(A9="","",'Additional Information'!B9),4),MID(IF(A9="","",'Additional Information'!B9),4,2),LEFT(IF(A9="","",'Additional Information'!B9),2)))</f>
        <v>#VALUE!</v>
      </c>
    </row>
    <row r="10" spans="1:3" x14ac:dyDescent="0.35">
      <c r="A10" t="str">
        <f>IF(Input!A11="","",Input!A11)</f>
        <v>Medium-to-High Risk Portfolio Growth (Passive)</v>
      </c>
      <c r="B10" s="7" t="e">
        <f>IF(A10="","",DATE(RIGHT(IF(A10="","",'Additional Information'!B10),4),MID(IF(A10="","",'Additional Information'!B10),4,2),LEFT(IF(A10="","",'Additional Information'!B10),2)))</f>
        <v>#VALUE!</v>
      </c>
    </row>
    <row r="11" spans="1:3" x14ac:dyDescent="0.35">
      <c r="A11" t="str">
        <f>IF(Input!A12="","",Input!A12)</f>
        <v>High Risk Portfolio Growth</v>
      </c>
      <c r="B11" s="7" t="e">
        <f>IF(A11="","",DATE(RIGHT(IF(A11="","",'Additional Information'!B11),4),MID(IF(A11="","",'Additional Information'!B11),4,2),LEFT(IF(A11="","",'Additional Information'!B11),2)))</f>
        <v>#VALUE!</v>
      </c>
    </row>
    <row r="12" spans="1:3" x14ac:dyDescent="0.35">
      <c r="A12" t="str">
        <f>IF(Input!A13="","",Input!A13)</f>
        <v/>
      </c>
      <c r="B12" s="7" t="str">
        <f>IF(A12="","",DATE(RIGHT(IF(A12="","",'Additional Information'!B12),4),MID(IF(A12="","",'Additional Information'!B12),4,2),LEFT(IF(A12="","",'Additional Information'!B12),2)))</f>
        <v/>
      </c>
    </row>
    <row r="13" spans="1:3" x14ac:dyDescent="0.35">
      <c r="A13" t="str">
        <f>IF(Input!A14="","",Input!A14)</f>
        <v/>
      </c>
      <c r="B13" s="7" t="str">
        <f>IF(A13="","",DATE(RIGHT(IF(A13="","",'Additional Information'!B13),4),MID(IF(A13="","",'Additional Information'!B13),4,2),LEFT(IF(A13="","",'Additional Information'!B13),2)))</f>
        <v/>
      </c>
    </row>
    <row r="14" spans="1:3" x14ac:dyDescent="0.35">
      <c r="A14" t="str">
        <f>IF(Input!A15="","",Input!A15)</f>
        <v/>
      </c>
      <c r="B14" s="7" t="str">
        <f>IF(A14="","",DATE(RIGHT(IF(A14="","",'Additional Information'!B14),4),MID(IF(A14="","",'Additional Information'!B14),4,2),LEFT(IF(A14="","",'Additional Information'!B14),2)))</f>
        <v/>
      </c>
    </row>
    <row r="15" spans="1:3" x14ac:dyDescent="0.35">
      <c r="A15" t="str">
        <f>IF(Input!A16="","",Input!A16)</f>
        <v/>
      </c>
      <c r="B15" s="7" t="str">
        <f>IF(A15="","",DATE(RIGHT(IF(A15="","",'Additional Information'!B15),4),MID(IF(A15="","",'Additional Information'!B15),4,2),LEFT(IF(A15="","",'Additional Information'!B15),2)))</f>
        <v/>
      </c>
    </row>
    <row r="16" spans="1:3" x14ac:dyDescent="0.35">
      <c r="A16" t="str">
        <f>IF(Input!A17="","",Input!A17)</f>
        <v/>
      </c>
      <c r="B16" s="7" t="str">
        <f>IF(A16="","",DATE(RIGHT(IF(A16="","",'Additional Information'!B16),4),MID(IF(A16="","",'Additional Information'!B16),4,2),LEFT(IF(A16="","",'Additional Information'!B16),2)))</f>
        <v/>
      </c>
    </row>
    <row r="17" spans="1:2" x14ac:dyDescent="0.35">
      <c r="A17" t="str">
        <f>IF(Input!A18="","",Input!A18)</f>
        <v/>
      </c>
      <c r="B17" s="7" t="str">
        <f>IF(A17="","",DATE(RIGHT(IF(A17="","",'Additional Information'!B17),4),MID(IF(A17="","",'Additional Information'!B17),4,2),LEFT(IF(A17="","",'Additional Information'!B17),2)))</f>
        <v/>
      </c>
    </row>
    <row r="18" spans="1:2" x14ac:dyDescent="0.35">
      <c r="A18" t="str">
        <f>IF(Input!A19="","",Input!A19)</f>
        <v/>
      </c>
      <c r="B18" s="7" t="str">
        <f>IF(A18="","",DATE(RIGHT(IF(A18="","",'Additional Information'!B18),4),MID(IF(A18="","",'Additional Information'!B18),4,2),LEFT(IF(A18="","",'Additional Information'!B18),2)))</f>
        <v/>
      </c>
    </row>
    <row r="19" spans="1:2" x14ac:dyDescent="0.3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3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3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3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3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3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3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3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3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3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3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3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3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3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3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3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3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3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3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3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3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3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3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3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3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3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3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3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3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3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3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3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88900</xdr:rowOff>
                  </from>
                  <to>
                    <xdr:col>11</xdr:col>
                    <xdr:colOff>88900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5">
    <tabColor theme="4" tint="0.79998168889431442"/>
  </sheetPr>
  <dimension ref="A1:E50"/>
  <sheetViews>
    <sheetView workbookViewId="0"/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24</v>
      </c>
      <c r="C1" t="s">
        <v>20</v>
      </c>
      <c r="D1" t="s">
        <v>21</v>
      </c>
      <c r="E1" t="s">
        <v>53</v>
      </c>
    </row>
    <row r="2" spans="1:5" x14ac:dyDescent="0.35">
      <c r="A2" t="str">
        <f>IF(Input!A3="","",Input!A3)</f>
        <v>Low Risk Portfolio Defensive Income</v>
      </c>
      <c r="C2">
        <f>IF(A2="","",'Additional Information'!C2)</f>
        <v>0</v>
      </c>
      <c r="D2">
        <f>IF(A2="","",SUM('Additional Information'!D2,('Additional Information'!E2/100)))</f>
        <v>0</v>
      </c>
      <c r="E2">
        <f>IF(A2="","",'Additional Information'!D2)</f>
        <v>0</v>
      </c>
    </row>
    <row r="3" spans="1:5" x14ac:dyDescent="0.35">
      <c r="A3" t="str">
        <f>IF(Input!A4="","",Input!A4)</f>
        <v>Low-to-Medium Risk Portfolio Income</v>
      </c>
      <c r="C3">
        <f>IF(A3="","",'Additional Information'!C3)</f>
        <v>0</v>
      </c>
      <c r="D3">
        <f>IF(A3="","",SUM('Additional Information'!D3,('Additional Information'!E3/100)))</f>
        <v>0</v>
      </c>
      <c r="E3">
        <f>IF(A3="","",'Additional Information'!D3)</f>
        <v>0</v>
      </c>
    </row>
    <row r="4" spans="1:5" x14ac:dyDescent="0.35">
      <c r="A4" t="str">
        <f>IF(Input!A5="","",Input!A5)</f>
        <v>Low-to-Medium Risk Portfolio Income and Growth</v>
      </c>
      <c r="C4">
        <f>IF(A4="","",'Additional Information'!C4)</f>
        <v>0</v>
      </c>
      <c r="D4">
        <f>IF(A4="","",SUM('Additional Information'!D4,('Additional Information'!E4/100)))</f>
        <v>0</v>
      </c>
      <c r="E4">
        <f>IF(A4="","",'Additional Information'!D4)</f>
        <v>0</v>
      </c>
    </row>
    <row r="5" spans="1:5" x14ac:dyDescent="0.35">
      <c r="A5" t="str">
        <f>IF(Input!A6="","",Input!A6)</f>
        <v>Low-to-Medium Risk Portfolio Income and Growth (Passive)</v>
      </c>
      <c r="C5">
        <f>IF(A5="","",'Additional Information'!C5)</f>
        <v>0</v>
      </c>
      <c r="D5">
        <f>IF(A5="","",SUM('Additional Information'!D5,('Additional Information'!E5/100)))</f>
        <v>0</v>
      </c>
      <c r="E5">
        <f>IF(A5="","",'Additional Information'!D5)</f>
        <v>0</v>
      </c>
    </row>
    <row r="6" spans="1:5" x14ac:dyDescent="0.35">
      <c r="A6" t="str">
        <f>IF(Input!A7="","",Input!A7)</f>
        <v>Medium Risk Portfolio Income</v>
      </c>
      <c r="C6">
        <f>IF(A6="","",'Additional Information'!C6)</f>
        <v>0</v>
      </c>
      <c r="D6">
        <f>IF(A6="","",SUM('Additional Information'!D6,('Additional Information'!E6/100)))</f>
        <v>0</v>
      </c>
      <c r="E6">
        <f>IF(A6="","",'Additional Information'!D6)</f>
        <v>0</v>
      </c>
    </row>
    <row r="7" spans="1:5" x14ac:dyDescent="0.35">
      <c r="A7" t="str">
        <f>IF(Input!A8="","",Input!A8)</f>
        <v>Medium Risk Portfolio Income and Growth</v>
      </c>
      <c r="C7">
        <f>IF(A7="","",'Additional Information'!C7)</f>
        <v>0</v>
      </c>
      <c r="D7">
        <f>IF(A7="","",SUM('Additional Information'!D7,('Additional Information'!E7/100)))</f>
        <v>0</v>
      </c>
      <c r="E7">
        <f>IF(A7="","",'Additional Information'!D7)</f>
        <v>0</v>
      </c>
    </row>
    <row r="8" spans="1:5" x14ac:dyDescent="0.35">
      <c r="A8" t="str">
        <f>IF(Input!A9="","",Input!A9)</f>
        <v>Medium Risk Portfolio Income and Growth (Passive)</v>
      </c>
      <c r="C8">
        <f>IF(A8="","",'Additional Information'!C8)</f>
        <v>0</v>
      </c>
      <c r="D8">
        <f>IF(A8="","",SUM('Additional Information'!D8,('Additional Information'!E8/100)))</f>
        <v>0</v>
      </c>
      <c r="E8">
        <f>IF(A8="","",'Additional Information'!D8)</f>
        <v>0</v>
      </c>
    </row>
    <row r="9" spans="1:5" x14ac:dyDescent="0.35">
      <c r="A9" t="str">
        <f>IF(Input!A10="","",Input!A10)</f>
        <v>Medium-to-High Risk Portfolio Growth</v>
      </c>
      <c r="C9">
        <f>IF(A9="","",'Additional Information'!C9)</f>
        <v>0</v>
      </c>
      <c r="D9">
        <f>IF(A9="","",SUM('Additional Information'!D9,('Additional Information'!E9/100)))</f>
        <v>0</v>
      </c>
      <c r="E9">
        <f>IF(A9="","",'Additional Information'!D9)</f>
        <v>0</v>
      </c>
    </row>
    <row r="10" spans="1:5" x14ac:dyDescent="0.35">
      <c r="A10" t="str">
        <f>IF(Input!A11="","",Input!A11)</f>
        <v>Medium-to-High Risk Portfolio Growth (Passive)</v>
      </c>
      <c r="C10">
        <f>IF(A10="","",'Additional Information'!C10)</f>
        <v>0</v>
      </c>
      <c r="D10">
        <f>IF(A10="","",SUM('Additional Information'!D10,('Additional Information'!E10/100)))</f>
        <v>0</v>
      </c>
      <c r="E10">
        <f>IF(A10="","",'Additional Information'!D10)</f>
        <v>0</v>
      </c>
    </row>
    <row r="11" spans="1:5" x14ac:dyDescent="0.35">
      <c r="A11" t="str">
        <f>IF(Input!A12="","",Input!A12)</f>
        <v>High Risk Portfolio Growth</v>
      </c>
      <c r="C11">
        <f>IF(A11="","",'Additional Information'!C11)</f>
        <v>0</v>
      </c>
      <c r="D11">
        <f>IF(A11="","",SUM('Additional Information'!D11,('Additional Information'!E11/100)))</f>
        <v>0</v>
      </c>
      <c r="E11">
        <f>IF(A11="","",'Additional Information'!D11)</f>
        <v>0</v>
      </c>
    </row>
    <row r="12" spans="1:5" x14ac:dyDescent="0.3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Information'!D12,('Additional Information'!E12/100)))</f>
        <v/>
      </c>
      <c r="E12" t="str">
        <f>IF(A12="","",'Additional Information'!D12)</f>
        <v/>
      </c>
    </row>
    <row r="13" spans="1:5" x14ac:dyDescent="0.3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Information'!D13,('Additional Information'!E13/100)))</f>
        <v/>
      </c>
      <c r="E13" t="str">
        <f>IF(A13="","",'Additional Information'!D13)</f>
        <v/>
      </c>
    </row>
    <row r="14" spans="1:5" x14ac:dyDescent="0.3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Information'!D14,('Additional Information'!E14/100)))</f>
        <v/>
      </c>
      <c r="E14" t="str">
        <f>IF(A14="","",'Additional Information'!D14)</f>
        <v/>
      </c>
    </row>
    <row r="15" spans="1:5" x14ac:dyDescent="0.3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Information'!D15,('Additional Information'!E15/100)))</f>
        <v/>
      </c>
      <c r="E15" t="str">
        <f>IF(A15="","",'Additional Information'!D15)</f>
        <v/>
      </c>
    </row>
    <row r="16" spans="1:5" x14ac:dyDescent="0.3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Information'!D16,('Additional Information'!E16/100)))</f>
        <v/>
      </c>
      <c r="E16" t="str">
        <f>IF(A16="","",'Additional Information'!D16)</f>
        <v/>
      </c>
    </row>
    <row r="17" spans="1:5" x14ac:dyDescent="0.3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Information'!D17,('Additional Information'!E17/100)))</f>
        <v/>
      </c>
      <c r="E17" t="str">
        <f>IF(A17="","",'Additional Information'!D17)</f>
        <v/>
      </c>
    </row>
    <row r="18" spans="1:5" x14ac:dyDescent="0.3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Information'!D18,('Additional Information'!E18/100)))</f>
        <v/>
      </c>
      <c r="E18" t="str">
        <f>IF(A18="","",'Additional Information'!D18)</f>
        <v/>
      </c>
    </row>
    <row r="19" spans="1:5" x14ac:dyDescent="0.3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3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3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3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3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3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3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3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3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3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3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3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3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3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3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3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3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3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3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3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3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3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3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3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3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3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3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3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3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3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3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3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52</v>
      </c>
    </row>
    <row r="2" spans="1:8" x14ac:dyDescent="0.3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</v>
      </c>
      <c r="C2">
        <f>IF(A2="","",SUM('Asset Allocation'!B2,'Asset Allocation'!C2))</f>
        <v>0</v>
      </c>
      <c r="F2">
        <f>IF(A2="","",SUM('Asset Allocation'!I2,'Asset Allocation'!J2))</f>
        <v>0</v>
      </c>
      <c r="G2">
        <f>IF(A2="","",SUM('Asset Allocation'!K2))</f>
        <v>0</v>
      </c>
      <c r="H2">
        <f>IF(A2="","",1-SUM(B2:G2))</f>
        <v>1</v>
      </c>
    </row>
    <row r="3" spans="1:8" x14ac:dyDescent="0.35">
      <c r="A3" t="str">
        <f>IF(Input!A4="","",Input!A4)</f>
        <v>Low-to-Medium Risk Portfolio Income</v>
      </c>
      <c r="B3">
        <f>IF(A3="","",SUM('Asset Allocation'!D3,'Asset Allocation'!E3,'Asset Allocation'!F3,'Asset Allocation'!G3,'Asset Allocation'!H3))</f>
        <v>0</v>
      </c>
      <c r="C3">
        <f>IF(A3="","",SUM('Asset Allocation'!B3,'Asset Allocation'!C3))</f>
        <v>0</v>
      </c>
      <c r="F3">
        <f>IF(A3="","",SUM('Asset Allocation'!I3,'Asset Allocation'!J3))</f>
        <v>0</v>
      </c>
      <c r="G3">
        <f>IF(A3="","",SUM('Asset Allocation'!K3))</f>
        <v>0</v>
      </c>
      <c r="H3">
        <f t="shared" ref="H3:H50" si="0">IF(A3="","",1-SUM(B3:G3))</f>
        <v>1</v>
      </c>
    </row>
    <row r="4" spans="1:8" x14ac:dyDescent="0.35">
      <c r="A4" t="str">
        <f>IF(Input!A5="","",Input!A5)</f>
        <v>Low-to-Medium Risk Portfolio Income and Growth</v>
      </c>
      <c r="B4">
        <f>IF(A4="","",SUM('Asset Allocation'!D4,'Asset Allocation'!E4,'Asset Allocation'!F4,'Asset Allocation'!G4,'Asset Allocation'!H4))</f>
        <v>0</v>
      </c>
      <c r="C4">
        <f>IF(A4="","",SUM('Asset Allocation'!B4,'Asset Allocation'!C4))</f>
        <v>0</v>
      </c>
      <c r="F4">
        <f>IF(A4="","",SUM('Asset Allocation'!I4,'Asset Allocation'!J4))</f>
        <v>0</v>
      </c>
      <c r="G4">
        <f>IF(A4="","",SUM('Asset Allocation'!K4))</f>
        <v>0</v>
      </c>
      <c r="H4">
        <f t="shared" si="0"/>
        <v>1</v>
      </c>
    </row>
    <row r="5" spans="1:8" x14ac:dyDescent="0.35">
      <c r="A5" t="str">
        <f>IF(Input!A6="","",Input!A6)</f>
        <v>Low-to-Medium Risk Portfolio Income and Growth (Passive)</v>
      </c>
      <c r="B5">
        <f>IF(A5="","",SUM('Asset Allocation'!D5,'Asset Allocation'!E5,'Asset Allocation'!F5,'Asset Allocation'!G5,'Asset Allocation'!H5))</f>
        <v>0</v>
      </c>
      <c r="C5">
        <f>IF(A5="","",SUM('Asset Allocation'!B5,'Asset Allocation'!C5))</f>
        <v>0</v>
      </c>
      <c r="F5">
        <f>IF(A5="","",SUM('Asset Allocation'!I5,'Asset Allocation'!J5))</f>
        <v>0</v>
      </c>
      <c r="G5">
        <f>IF(A5="","",SUM('Asset Allocation'!K5))</f>
        <v>0</v>
      </c>
      <c r="H5">
        <f t="shared" si="0"/>
        <v>1</v>
      </c>
    </row>
    <row r="6" spans="1:8" x14ac:dyDescent="0.35">
      <c r="A6" t="str">
        <f>IF(Input!A7="","",Input!A7)</f>
        <v>Medium Risk Portfolio Income</v>
      </c>
      <c r="B6">
        <f>IF(A6="","",SUM('Asset Allocation'!D6,'Asset Allocation'!E6,'Asset Allocation'!F6,'Asset Allocation'!G6,'Asset Allocation'!H6))</f>
        <v>0</v>
      </c>
      <c r="C6">
        <f>IF(A6="","",SUM('Asset Allocation'!B6,'Asset Allocation'!C6))</f>
        <v>0</v>
      </c>
      <c r="F6">
        <f>IF(A6="","",SUM('Asset Allocation'!I6,'Asset Allocation'!J6))</f>
        <v>0</v>
      </c>
      <c r="G6">
        <f>IF(A6="","",SUM('Asset Allocation'!K6))</f>
        <v>0</v>
      </c>
      <c r="H6">
        <f t="shared" si="0"/>
        <v>1</v>
      </c>
    </row>
    <row r="7" spans="1:8" x14ac:dyDescent="0.35">
      <c r="A7" t="str">
        <f>IF(Input!A8="","",Input!A8)</f>
        <v>Medium Risk Portfolio Income and Growth</v>
      </c>
      <c r="B7">
        <f>IF(A7="","",SUM('Asset Allocation'!D7,'Asset Allocation'!E7,'Asset Allocation'!F7,'Asset Allocation'!G7,'Asset Allocation'!H7))</f>
        <v>0</v>
      </c>
      <c r="C7">
        <f>IF(A7="","",SUM('Asset Allocation'!B7,'Asset Allocation'!C7))</f>
        <v>0</v>
      </c>
      <c r="F7">
        <f>IF(A7="","",SUM('Asset Allocation'!I7,'Asset Allocation'!J7))</f>
        <v>0</v>
      </c>
      <c r="G7">
        <f>IF(A7="","",SUM('Asset Allocation'!K7))</f>
        <v>0</v>
      </c>
      <c r="H7">
        <f t="shared" si="0"/>
        <v>1</v>
      </c>
    </row>
    <row r="8" spans="1:8" x14ac:dyDescent="0.35">
      <c r="A8" t="str">
        <f>IF(Input!A9="","",Input!A9)</f>
        <v>Medium Risk Portfolio Income and Growth (Passive)</v>
      </c>
      <c r="B8">
        <f>IF(A8="","",SUM('Asset Allocation'!D8,'Asset Allocation'!E8,'Asset Allocation'!F8,'Asset Allocation'!G8,'Asset Allocation'!H8))</f>
        <v>0</v>
      </c>
      <c r="C8">
        <f>IF(A8="","",SUM('Asset Allocation'!B8,'Asset Allocation'!C8))</f>
        <v>0</v>
      </c>
      <c r="F8">
        <f>IF(A8="","",SUM('Asset Allocation'!I8,'Asset Allocation'!J8))</f>
        <v>0</v>
      </c>
      <c r="G8">
        <f>IF(A8="","",SUM('Asset Allocation'!K8))</f>
        <v>0</v>
      </c>
      <c r="H8">
        <f t="shared" si="0"/>
        <v>1</v>
      </c>
    </row>
    <row r="9" spans="1:8" x14ac:dyDescent="0.35">
      <c r="A9" t="str">
        <f>IF(Input!A10="","",Input!A10)</f>
        <v>Medium-to-High Risk Portfolio Growth</v>
      </c>
      <c r="B9">
        <f>IF(A9="","",SUM('Asset Allocation'!D9,'Asset Allocation'!E9,'Asset Allocation'!F9,'Asset Allocation'!G9,'Asset Allocation'!H9))</f>
        <v>0</v>
      </c>
      <c r="C9">
        <f>IF(A9="","",SUM('Asset Allocation'!B9,'Asset Allocation'!C9))</f>
        <v>0</v>
      </c>
      <c r="F9">
        <f>IF(A9="","",SUM('Asset Allocation'!I9,'Asset Allocation'!J9))</f>
        <v>0</v>
      </c>
      <c r="G9">
        <f>IF(A9="","",SUM('Asset Allocation'!K9))</f>
        <v>0</v>
      </c>
      <c r="H9">
        <f t="shared" si="0"/>
        <v>1</v>
      </c>
    </row>
    <row r="10" spans="1:8" x14ac:dyDescent="0.35">
      <c r="A10" t="str">
        <f>IF(Input!A11="","",Input!A11)</f>
        <v>Medium-to-High Risk Portfolio Growth (Passive)</v>
      </c>
      <c r="B10">
        <f>IF(A10="","",SUM('Asset Allocation'!D10,'Asset Allocation'!E10,'Asset Allocation'!F10,'Asset Allocation'!G10,'Asset Allocation'!H10))</f>
        <v>0</v>
      </c>
      <c r="C10">
        <f>IF(A10="","",SUM('Asset Allocation'!B10,'Asset Allocation'!C10))</f>
        <v>0</v>
      </c>
      <c r="F10">
        <f>IF(A10="","",SUM('Asset Allocation'!I10,'Asset Allocation'!J10))</f>
        <v>0</v>
      </c>
      <c r="G10">
        <f>IF(A10="","",SUM('Asset Allocation'!K10))</f>
        <v>0</v>
      </c>
      <c r="H10">
        <f t="shared" si="0"/>
        <v>1</v>
      </c>
    </row>
    <row r="11" spans="1:8" x14ac:dyDescent="0.35">
      <c r="A11" t="str">
        <f>IF(Input!A12="","",Input!A12)</f>
        <v>High Risk Portfolio Growth</v>
      </c>
      <c r="B11">
        <f>IF(A11="","",SUM('Asset Allocation'!D11,'Asset Allocation'!E11,'Asset Allocation'!F11,'Asset Allocation'!G11,'Asset Allocation'!H11))</f>
        <v>0</v>
      </c>
      <c r="C11">
        <f>IF(A11="","",SUM('Asset Allocation'!B11,'Asset Allocation'!C11))</f>
        <v>0</v>
      </c>
      <c r="F11">
        <f>IF(A11="","",SUM('Asset Allocation'!I11,'Asset Allocation'!J11))</f>
        <v>0</v>
      </c>
      <c r="G11">
        <f>IF(A11="","",SUM('Asset Allocation'!K11))</f>
        <v>0</v>
      </c>
      <c r="H11">
        <f t="shared" si="0"/>
        <v>1</v>
      </c>
    </row>
    <row r="12" spans="1:8" x14ac:dyDescent="0.35">
      <c r="A12" t="str">
        <f>IF(Input!A13="","",Input!A13)</f>
        <v/>
      </c>
      <c r="B12" t="str">
        <f>IF(A12="","",SUM('Asset Allocation'!D12,'Asset Allocation'!E12,'Asset Allocation'!F12,'Asset Allocation'!G12,'Asset Allocation'!H12))</f>
        <v/>
      </c>
      <c r="C12" t="str">
        <f>IF(A12="","",SUM('Asset Allocation'!B12,'Asset Allocation'!C12))</f>
        <v/>
      </c>
      <c r="F12" t="str">
        <f>IF(A12="","",SUM('Asset Allocation'!I12,'Asset Allocation'!J12))</f>
        <v/>
      </c>
      <c r="G12" t="str">
        <f>IF(A12="","",SUM('Asset Allocation'!K12))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Allocation'!D13,'Asset Allocation'!E13,'Asset Allocation'!F13,'Asset Allocation'!G13,'Asset Allocation'!H13))</f>
        <v/>
      </c>
      <c r="C13" t="str">
        <f>IF(A13="","",SUM('Asset Allocation'!B13,'Asset Allocation'!C13))</f>
        <v/>
      </c>
      <c r="F13" t="str">
        <f>IF(A13="","",SUM('Asset Allocation'!I13,'Asset Allocation'!J13))</f>
        <v/>
      </c>
      <c r="G13" t="str">
        <f>IF(A13="","",SUM('Asset Allocation'!K13))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Allocation'!D14,'Asset Allocation'!E14,'Asset Allocation'!F14,'Asset Allocation'!G14,'Asset Allocation'!H14))</f>
        <v/>
      </c>
      <c r="C14" t="str">
        <f>IF(A14="","",SUM('Asset Allocation'!B14,'Asset Allocation'!C14))</f>
        <v/>
      </c>
      <c r="F14" t="str">
        <f>IF(A14="","",SUM('Asset Allocation'!I14,'Asset Allocation'!J14))</f>
        <v/>
      </c>
      <c r="G14" t="str">
        <f>IF(A14="","",SUM('Asset Allocation'!K14))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Allocation'!D15,'Asset Allocation'!E15,'Asset Allocation'!F15,'Asset Allocation'!G15,'Asset Allocation'!H15))</f>
        <v/>
      </c>
      <c r="C15" t="str">
        <f>IF(A15="","",SUM('Asset Allocation'!B15,'Asset Allocation'!C15))</f>
        <v/>
      </c>
      <c r="F15" t="str">
        <f>IF(A15="","",SUM('Asset Allocation'!I15,'Asset Allocation'!J15))</f>
        <v/>
      </c>
      <c r="G15" t="str">
        <f>IF(A15="","",SUM('Asset Allocation'!K15))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Allocation'!D16,'Asset Allocation'!E16,'Asset Allocation'!F16,'Asset Allocation'!G16,'Asset Allocation'!H16))</f>
        <v/>
      </c>
      <c r="C16" t="str">
        <f>IF(A16="","",SUM('Asset Allocation'!B16,'Asset Allocation'!C16))</f>
        <v/>
      </c>
      <c r="F16" t="str">
        <f>IF(A16="","",SUM('Asset Allocation'!I16,'Asset Allocation'!J16))</f>
        <v/>
      </c>
      <c r="G16" t="str">
        <f>IF(A16="","",SUM('Asset Allocation'!K16))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Allocation'!D17,'Asset Allocation'!E17,'Asset Allocation'!F17,'Asset Allocation'!G17,'Asset Allocation'!H17))</f>
        <v/>
      </c>
      <c r="C17" t="str">
        <f>IF(A17="","",SUM('Asset Allocation'!B17,'Asset Allocation'!C17))</f>
        <v/>
      </c>
      <c r="F17" t="str">
        <f>IF(A17="","",SUM('Asset Allocation'!I17,'Asset Allocation'!J17))</f>
        <v/>
      </c>
      <c r="G17" t="str">
        <f>IF(A17="","",SUM('Asset Allocation'!K17))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Allocation'!D18,'Asset Allocation'!E18,'Asset Allocation'!F18,'Asset Allocation'!G18,'Asset Allocation'!H18))</f>
        <v/>
      </c>
      <c r="C18" t="str">
        <f>IF(A18="","",SUM('Asset Allocation'!B18,'Asset Allocation'!C18))</f>
        <v/>
      </c>
      <c r="F18" t="str">
        <f>IF(A18="","",SUM('Asset Allocation'!I18,'Asset Allocation'!J18))</f>
        <v/>
      </c>
      <c r="G18" t="str">
        <f>IF(A18="","",SUM('Asset Allocation'!K18))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8" max="8" width="17.45312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Low Risk Portfolio Defensive Income</v>
      </c>
      <c r="B2">
        <f>IFERROR(IF(A2="","",SUM('Asset Allocation'!E2)/'Broad Asset Allocation'!B2),0)</f>
        <v>0</v>
      </c>
      <c r="C2">
        <f>IFERROR(IF(A2="","",SUM('Asset Allocation'!D2)/'Broad Asset Allocation'!B2),0)</f>
        <v>0</v>
      </c>
      <c r="D2">
        <f>IFERROR(IF(A2="","",SUM('Asset Allocation'!F2)/'Broad Asset Allocation'!B2),0)</f>
        <v>0</v>
      </c>
      <c r="G2">
        <f>IFERROR(IF(A2="","",SUM('Asset Allocation'!G2)/'Broad Asset Allocation'!B2),0)</f>
        <v>0</v>
      </c>
      <c r="H2">
        <f>IFERROR(IF(A2="","",SUM('Asset Allocation'!H2)/'Broad Asset Allocation'!B2),0)</f>
        <v>0</v>
      </c>
    </row>
    <row r="3" spans="1:8" x14ac:dyDescent="0.35">
      <c r="A3" t="str">
        <f>IF(Input!A4="","",Input!A4)</f>
        <v>Low-to-Medium Risk Portfolio Income</v>
      </c>
      <c r="B3">
        <f>IFERROR(IF(A3="","",SUM('Asset Allocation'!E3)/'Broad Asset Allocation'!B3),0)</f>
        <v>0</v>
      </c>
      <c r="C3">
        <f>IFERROR(IF(A3="","",SUM('Asset Allocation'!D3)/'Broad Asset Allocation'!B3),0)</f>
        <v>0</v>
      </c>
      <c r="D3">
        <f>IFERROR(IF(A3="","",SUM('Asset Allocation'!F3)/'Broad Asset Allocation'!B3),0)</f>
        <v>0</v>
      </c>
      <c r="G3">
        <f>IFERROR(IF(A3="","",SUM('Asset Allocation'!G3)/'Broad Asset Allocation'!B3),0)</f>
        <v>0</v>
      </c>
      <c r="H3">
        <f>IFERROR(IF(A3="","",SUM('Asset Allocation'!H3)/'Broad Asset Allocation'!B3),0)</f>
        <v>0</v>
      </c>
    </row>
    <row r="4" spans="1:8" x14ac:dyDescent="0.35">
      <c r="A4" t="str">
        <f>IF(Input!A5="","",Input!A5)</f>
        <v>Low-to-Medium Risk Portfolio Income and Growth</v>
      </c>
      <c r="B4">
        <f>IFERROR(IF(A4="","",SUM('Asset Allocation'!E4)/'Broad Asset Allocation'!B4),0)</f>
        <v>0</v>
      </c>
      <c r="C4">
        <f>IFERROR(IF(A4="","",SUM('Asset Allocation'!D4)/'Broad Asset Allocation'!B4),0)</f>
        <v>0</v>
      </c>
      <c r="D4">
        <f>IFERROR(IF(A4="","",SUM('Asset Allocation'!F4)/'Broad Asset Allocation'!B4),0)</f>
        <v>0</v>
      </c>
      <c r="G4">
        <f>IFERROR(IF(A4="","",SUM('Asset Allocation'!G4)/'Broad Asset Allocation'!B4),0)</f>
        <v>0</v>
      </c>
      <c r="H4">
        <f>IFERROR(IF(A4="","",SUM('Asset Allocation'!H4)/'Broad Asset Allocation'!B4),0)</f>
        <v>0</v>
      </c>
    </row>
    <row r="5" spans="1:8" x14ac:dyDescent="0.35">
      <c r="A5" t="str">
        <f>IF(Input!A6="","",Input!A6)</f>
        <v>Low-to-Medium Risk Portfolio Income and Growth (Passive)</v>
      </c>
      <c r="B5">
        <f>IFERROR(IF(A5="","",SUM('Asset Allocation'!E5)/'Broad Asset Allocation'!B5),0)</f>
        <v>0</v>
      </c>
      <c r="C5">
        <f>IFERROR(IF(A5="","",SUM('Asset Allocation'!D5)/'Broad Asset Allocation'!B5),0)</f>
        <v>0</v>
      </c>
      <c r="D5">
        <f>IFERROR(IF(A5="","",SUM('Asset Allocation'!F5)/'Broad Asset Allocation'!B5),0)</f>
        <v>0</v>
      </c>
      <c r="G5">
        <f>IFERROR(IF(A5="","",SUM('Asset Allocation'!G5)/'Broad Asset Allocation'!B5),0)</f>
        <v>0</v>
      </c>
      <c r="H5">
        <f>IFERROR(IF(A5="","",SUM('Asset Allocation'!H5)/'Broad Asset Allocation'!B5),0)</f>
        <v>0</v>
      </c>
    </row>
    <row r="6" spans="1:8" x14ac:dyDescent="0.35">
      <c r="A6" t="str">
        <f>IF(Input!A7="","",Input!A7)</f>
        <v>Medium Risk Portfolio Income</v>
      </c>
      <c r="B6">
        <f>IFERROR(IF(A6="","",SUM('Asset Allocation'!E6)/'Broad Asset Allocation'!B6),0)</f>
        <v>0</v>
      </c>
      <c r="C6">
        <f>IFERROR(IF(A6="","",SUM('Asset Allocation'!D6)/'Broad Asset Allocation'!B6),0)</f>
        <v>0</v>
      </c>
      <c r="D6">
        <f>IFERROR(IF(A6="","",SUM('Asset Allocation'!F6)/'Broad Asset Allocation'!B6),0)</f>
        <v>0</v>
      </c>
      <c r="G6">
        <f>IFERROR(IF(A6="","",SUM('Asset Allocation'!G6)/'Broad Asset Allocation'!B6),0)</f>
        <v>0</v>
      </c>
      <c r="H6">
        <f>IFERROR(IF(A6="","",SUM('Asset Allocation'!H6)/'Broad Asset Allocation'!B6),0)</f>
        <v>0</v>
      </c>
    </row>
    <row r="7" spans="1:8" x14ac:dyDescent="0.35">
      <c r="A7" t="str">
        <f>IF(Input!A8="","",Input!A8)</f>
        <v>Medium Risk Portfolio Income and Growth</v>
      </c>
      <c r="B7">
        <f>IFERROR(IF(A7="","",SUM('Asset Allocation'!E7)/'Broad Asset Allocation'!B7),0)</f>
        <v>0</v>
      </c>
      <c r="C7">
        <f>IFERROR(IF(A7="","",SUM('Asset Allocation'!D7)/'Broad Asset Allocation'!B7),0)</f>
        <v>0</v>
      </c>
      <c r="D7">
        <f>IFERROR(IF(A7="","",SUM('Asset Allocation'!F7)/'Broad Asset Allocation'!B7),0)</f>
        <v>0</v>
      </c>
      <c r="G7">
        <f>IFERROR(IF(A7="","",SUM('Asset Allocation'!G7)/'Broad Asset Allocation'!B7),0)</f>
        <v>0</v>
      </c>
      <c r="H7">
        <f>IFERROR(IF(A7="","",SUM('Asset Allocation'!H7)/'Broad Asset Allocation'!B7),0)</f>
        <v>0</v>
      </c>
    </row>
    <row r="8" spans="1:8" x14ac:dyDescent="0.35">
      <c r="A8" t="str">
        <f>IF(Input!A9="","",Input!A9)</f>
        <v>Medium Risk Portfolio Income and Growth (Passive)</v>
      </c>
      <c r="B8">
        <f>IFERROR(IF(A8="","",SUM('Asset Allocation'!E8)/'Broad Asset Allocation'!B8),0)</f>
        <v>0</v>
      </c>
      <c r="C8">
        <f>IFERROR(IF(A8="","",SUM('Asset Allocation'!D8)/'Broad Asset Allocation'!B8),0)</f>
        <v>0</v>
      </c>
      <c r="D8">
        <f>IFERROR(IF(A8="","",SUM('Asset Allocation'!F8)/'Broad Asset Allocation'!B8),0)</f>
        <v>0</v>
      </c>
      <c r="G8">
        <f>IFERROR(IF(A8="","",SUM('Asset Allocation'!G8)/'Broad Asset Allocation'!B8),0)</f>
        <v>0</v>
      </c>
      <c r="H8">
        <f>IFERROR(IF(A8="","",SUM('Asset Allocation'!H8)/'Broad Asset Allocation'!B8),0)</f>
        <v>0</v>
      </c>
    </row>
    <row r="9" spans="1:8" x14ac:dyDescent="0.35">
      <c r="A9" t="str">
        <f>IF(Input!A10="","",Input!A10)</f>
        <v>Medium-to-High Risk Portfolio Growth</v>
      </c>
      <c r="B9">
        <f>IFERROR(IF(A9="","",SUM('Asset Allocation'!E9)/'Broad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G9">
        <f>IFERROR(IF(A9="","",SUM('Asset Allocation'!G9)/'Broad Asset Allocation'!B9),0)</f>
        <v>0</v>
      </c>
      <c r="H9">
        <f>IFERROR(IF(A9="","",SUM('Asset Allocation'!H9)/'Broad Asset Allocation'!B9),0)</f>
        <v>0</v>
      </c>
    </row>
    <row r="10" spans="1:8" x14ac:dyDescent="0.35">
      <c r="A10" t="str">
        <f>IF(Input!A11="","",Input!A11)</f>
        <v>Medium-to-High Risk Portfolio Growth (Passive)</v>
      </c>
      <c r="B10">
        <f>IFERROR(IF(A10="","",SUM('Asset Allocation'!E10)/'Broad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G10">
        <f>IFERROR(IF(A10="","",SUM('Asset Allocation'!G10)/'Broad Asset Allocation'!B10),0)</f>
        <v>0</v>
      </c>
      <c r="H10">
        <f>IFERROR(IF(A10="","",SUM('Asset Allocation'!H10)/'Broad Asset Allocation'!B10),0)</f>
        <v>0</v>
      </c>
    </row>
    <row r="11" spans="1:8" x14ac:dyDescent="0.35">
      <c r="A11" t="str">
        <f>IF(Input!A12="","",Input!A12)</f>
        <v>High Risk Portfolio Growth</v>
      </c>
      <c r="B11">
        <f>IFERROR(IF(A11="","",SUM('Asset Allocation'!E11)/'Broad Asset Allocation'!B11),0)</f>
        <v>0</v>
      </c>
      <c r="C11">
        <f>IFERROR(IF(A11="","",SUM('Asset Allocation'!D11)/'Broad Asset Allocation'!B11),0)</f>
        <v>0</v>
      </c>
      <c r="D11">
        <f>IFERROR(IF(A11="","",SUM('Asset Allocation'!F11)/'Broad Asset Allocation'!B11),0)</f>
        <v>0</v>
      </c>
      <c r="G11">
        <f>IFERROR(IF(A11="","",SUM('Asset Allocation'!G11)/'Broad Asset Allocation'!B11),0)</f>
        <v>0</v>
      </c>
      <c r="H11">
        <f>IFERROR(IF(A11="","",SUM('Asset Allocation'!H11)/'Broad Asset Allocation'!B11),0)</f>
        <v>0</v>
      </c>
    </row>
    <row r="12" spans="1:8" x14ac:dyDescent="0.35">
      <c r="A12" t="str">
        <f>IF(Input!A13="","",Input!A13)</f>
        <v/>
      </c>
      <c r="B12" t="str">
        <f>IFERROR(IF(A12="","",SUM('Asset Allocation'!E12)/'Broad Asset Allocation'!B12),0)</f>
        <v/>
      </c>
      <c r="C12" t="str">
        <f>IFERROR(IF(A12="","",SUM('Asset Allocation'!D12)/'Broad Asset Allocation'!B12),0)</f>
        <v/>
      </c>
      <c r="D12" t="str">
        <f>IFERROR(IF(A12="","",SUM('Asset Allocation'!F12)/'Broad Asset Allocation'!B12),0)</f>
        <v/>
      </c>
      <c r="G12" t="str">
        <f>IFERROR(IF(A12="","",SUM('Asset Allocation'!G12)/'Broad Asset Allocation'!B12),0)</f>
        <v/>
      </c>
      <c r="H12" t="str">
        <f>IFERROR(IF(A12="","",SUM('Asset Allocation'!H12)/'Broad Asset Allocation'!B12),0)</f>
        <v/>
      </c>
    </row>
    <row r="13" spans="1:8" x14ac:dyDescent="0.35">
      <c r="A13" t="str">
        <f>IF(Input!A14="","",Input!A14)</f>
        <v/>
      </c>
      <c r="B13" t="str">
        <f>IFERROR(IF(A13="","",SUM('Asset Allocation'!E13)/'Broad Asset Allocation'!B13),0)</f>
        <v/>
      </c>
      <c r="C13" t="str">
        <f>IFERROR(IF(A13="","",SUM('Asset Allocation'!D13)/'Broad Asset Allocation'!B13),0)</f>
        <v/>
      </c>
      <c r="D13" t="str">
        <f>IFERROR(IF(A13="","",SUM('Asset Allocation'!F13)/'Broad Asset Allocation'!B13),0)</f>
        <v/>
      </c>
      <c r="G13" t="str">
        <f>IFERROR(IF(A13="","",SUM('Asset Allocation'!G13)/'Broad Asset Allocation'!B13),0)</f>
        <v/>
      </c>
      <c r="H13" t="str">
        <f>IFERROR(IF(A13="","",SUM('Asset Allocation'!H13)/'Broad Asset Allocation'!B13),0)</f>
        <v/>
      </c>
    </row>
    <row r="14" spans="1:8" x14ac:dyDescent="0.35">
      <c r="A14" t="str">
        <f>IF(Input!A15="","",Input!A15)</f>
        <v/>
      </c>
      <c r="B14" t="str">
        <f>IFERROR(IF(A14="","",SUM('Asset Allocation'!E14)/'Broad Asset Allocation'!B14),0)</f>
        <v/>
      </c>
      <c r="C14" t="str">
        <f>IFERROR(IF(A14="","",SUM('Asset Allocation'!D14)/'Broad Asset Allocation'!B14),0)</f>
        <v/>
      </c>
      <c r="D14" t="str">
        <f>IFERROR(IF(A14="","",SUM('Asset Allocation'!F14)/'Broad Asset Allocation'!B14),0)</f>
        <v/>
      </c>
      <c r="G14" t="str">
        <f>IFERROR(IF(A14="","",SUM('Asset Allocation'!G14)/'Broad Asset Allocation'!B14),0)</f>
        <v/>
      </c>
      <c r="H14" t="str">
        <f>IFERROR(IF(A14="","",SUM('Asset Allocation'!H14)/'Broad Asset Allocation'!B14),0)</f>
        <v/>
      </c>
    </row>
    <row r="15" spans="1:8" x14ac:dyDescent="0.35">
      <c r="A15" t="str">
        <f>IF(Input!A16="","",Input!A16)</f>
        <v/>
      </c>
      <c r="B15" t="str">
        <f>IFERROR(IF(A15="","",SUM('Asset Allocation'!E15)/'Broad Asset Allocation'!B15),0)</f>
        <v/>
      </c>
      <c r="C15" t="str">
        <f>IFERROR(IF(A15="","",SUM('Asset Allocation'!D15)/'Broad Asset Allocation'!B15),0)</f>
        <v/>
      </c>
      <c r="D15" t="str">
        <f>IFERROR(IF(A15="","",SUM('Asset Allocation'!F15)/'Broad Asset Allocation'!B15),0)</f>
        <v/>
      </c>
      <c r="G15" t="str">
        <f>IFERROR(IF(A15="","",SUM('Asset Allocation'!G15)/'Broad Asset Allocation'!B15),0)</f>
        <v/>
      </c>
      <c r="H15" t="str">
        <f>IFERROR(IF(A15="","",SUM('Asset Allocation'!H15)/'Broad Asset Allocation'!B15),0)</f>
        <v/>
      </c>
    </row>
    <row r="16" spans="1:8" x14ac:dyDescent="0.35">
      <c r="A16" t="str">
        <f>IF(Input!A17="","",Input!A17)</f>
        <v/>
      </c>
      <c r="B16" t="str">
        <f>IFERROR(IF(A16="","",SUM('Asset Allocation'!E16)/'Broad Asset Allocation'!B16),0)</f>
        <v/>
      </c>
      <c r="C16" t="str">
        <f>IFERROR(IF(A16="","",SUM('Asset Allocation'!D16)/'Broad Asset Allocation'!B16),0)</f>
        <v/>
      </c>
      <c r="D16" t="str">
        <f>IFERROR(IF(A16="","",SUM('Asset Allocation'!F16)/'Broad Asset Allocation'!B16),0)</f>
        <v/>
      </c>
      <c r="G16" t="str">
        <f>IFERROR(IF(A16="","",SUM('Asset Allocation'!G16)/'Broad Asset Allocation'!B16),0)</f>
        <v/>
      </c>
      <c r="H16" t="str">
        <f>IFERROR(IF(A16="","",SUM('Asset Allocation'!H16)/'Broad Asset Allocation'!B16),0)</f>
        <v/>
      </c>
    </row>
    <row r="17" spans="1:8" x14ac:dyDescent="0.35">
      <c r="A17" t="str">
        <f>IF(Input!A18="","",Input!A18)</f>
        <v/>
      </c>
      <c r="B17" t="str">
        <f>IFERROR(IF(A17="","",SUM('Asset Allocation'!E17)/'Broad Asset Allocation'!B17),0)</f>
        <v/>
      </c>
      <c r="C17" t="str">
        <f>IFERROR(IF(A17="","",SUM('Asset Allocation'!D17)/'Broad Asset Allocation'!B17),0)</f>
        <v/>
      </c>
      <c r="D17" t="str">
        <f>IFERROR(IF(A17="","",SUM('Asset Allocation'!F17)/'Broad Asset Allocation'!B17),0)</f>
        <v/>
      </c>
      <c r="G17" t="str">
        <f>IFERROR(IF(A17="","",SUM('Asset Allocation'!G17)/'Broad Asset Allocation'!B17),0)</f>
        <v/>
      </c>
      <c r="H17" t="str">
        <f>IFERROR(IF(A17="","",SUM('Asset Allocation'!H17)/'Broad Asset Allocation'!B17),0)</f>
        <v/>
      </c>
    </row>
    <row r="18" spans="1:8" x14ac:dyDescent="0.35">
      <c r="A18" t="str">
        <f>IF(Input!A19="","",Input!A19)</f>
        <v/>
      </c>
      <c r="B18" t="str">
        <f>IFERROR(IF(A18="","",SUM('Asset Allocation'!E18)/'Broad Asset Allocation'!B18),0)</f>
        <v/>
      </c>
      <c r="C18" t="str">
        <f>IFERROR(IF(A18="","",SUM('Asset Allocation'!D18)/'Broad Asset Allocation'!B18),0)</f>
        <v/>
      </c>
      <c r="D18" t="str">
        <f>IFERROR(IF(A18="","",SUM('Asset Allocation'!F18)/'Broad Asset Allocation'!B18),0)</f>
        <v/>
      </c>
      <c r="G18" t="str">
        <f>IFERROR(IF(A18="","",SUM('Asset Allocation'!G18)/'Broad Asset Allocation'!B18),0)</f>
        <v/>
      </c>
      <c r="H18" t="str">
        <f>IFERROR(IF(A18="","",SUM('Asset Allocation'!H18)/'Broad Asset Allocation'!B18),0)</f>
        <v/>
      </c>
    </row>
    <row r="19" spans="1:8" x14ac:dyDescent="0.3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3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3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3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3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3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3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3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3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3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3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3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3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3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3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3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3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3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3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3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3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3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3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3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3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3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3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3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3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3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3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3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54</v>
      </c>
      <c r="G1" t="s">
        <v>17</v>
      </c>
      <c r="H1" t="s">
        <v>55</v>
      </c>
    </row>
    <row r="2" spans="1:8" x14ac:dyDescent="0.35">
      <c r="A2" t="str">
        <f>IF(Input!A3="","",Input!A3)</f>
        <v>Low Risk Portfolio Defensive Income</v>
      </c>
      <c r="H2">
        <f>IFERROR(IF(A2="","",SUM('Asset Allocation'!B2,'Asset Allocation'!C2)/'Broad Asset Allocation'!C2),0)</f>
        <v>0</v>
      </c>
    </row>
    <row r="3" spans="1:8" x14ac:dyDescent="0.35">
      <c r="A3" t="str">
        <f>IF(Input!A4="","",Input!A4)</f>
        <v>Low-to-Medium Risk Portfolio Income</v>
      </c>
      <c r="H3">
        <f>IFERROR(IF(A3="","",SUM('Asset Allocation'!B3,'Asset Allocation'!C3)/'Broad Asset Allocation'!C3),0)</f>
        <v>0</v>
      </c>
    </row>
    <row r="4" spans="1:8" x14ac:dyDescent="0.35">
      <c r="A4" t="str">
        <f>IF(Input!A5="","",Input!A5)</f>
        <v>Low-to-Medium Risk Portfolio Income and Growth</v>
      </c>
      <c r="H4">
        <f>IFERROR(IF(A4="","",SUM('Asset Allocation'!B4,'Asset Allocation'!C4)/'Broad Asset Allocation'!C4),0)</f>
        <v>0</v>
      </c>
    </row>
    <row r="5" spans="1:8" x14ac:dyDescent="0.35">
      <c r="A5" t="str">
        <f>IF(Input!A6="","",Input!A6)</f>
        <v>Low-to-Medium Risk Portfolio Income and Growth (Passive)</v>
      </c>
      <c r="H5">
        <f>IFERROR(IF(A5="","",SUM('Asset Allocation'!B5,'Asset Allocation'!C5)/'Broad Asset Allocation'!C5),0)</f>
        <v>0</v>
      </c>
    </row>
    <row r="6" spans="1:8" x14ac:dyDescent="0.35">
      <c r="A6" t="str">
        <f>IF(Input!A7="","",Input!A7)</f>
        <v>Medium Risk Portfolio Income</v>
      </c>
      <c r="H6">
        <f>IFERROR(IF(A6="","",SUM('Asset Allocation'!B6,'Asset Allocation'!C6)/'Broad Asset Allocation'!C6),0)</f>
        <v>0</v>
      </c>
    </row>
    <row r="7" spans="1:8" x14ac:dyDescent="0.35">
      <c r="A7" t="str">
        <f>IF(Input!A8="","",Input!A8)</f>
        <v>Medium Risk Portfolio Income and Growth</v>
      </c>
      <c r="H7">
        <f>IFERROR(IF(A7="","",SUM('Asset Allocation'!B7,'Asset Allocation'!C7)/'Broad Asset Allocation'!C7),0)</f>
        <v>0</v>
      </c>
    </row>
    <row r="8" spans="1:8" x14ac:dyDescent="0.35">
      <c r="A8" t="str">
        <f>IF(Input!A9="","",Input!A9)</f>
        <v>Medium Risk Portfolio Income and Growth (Passive)</v>
      </c>
      <c r="H8">
        <f>IFERROR(IF(A8="","",SUM('Asset Allocation'!B8,'Asset Allocation'!C8)/'Broad Asset Allocation'!C8),0)</f>
        <v>0</v>
      </c>
    </row>
    <row r="9" spans="1:8" x14ac:dyDescent="0.35">
      <c r="A9" t="str">
        <f>IF(Input!A10="","",Input!A10)</f>
        <v>Medium-to-High Risk Portfolio Growth</v>
      </c>
      <c r="H9">
        <f>IFERROR(IF(A9="","",SUM('Asset Allocation'!B9,'Asset Allocation'!C9)/'Broad Asset Allocation'!C9),0)</f>
        <v>0</v>
      </c>
    </row>
    <row r="10" spans="1:8" x14ac:dyDescent="0.35">
      <c r="A10" t="str">
        <f>IF(Input!A11="","",Input!A11)</f>
        <v>Medium-to-High Risk Portfolio Growth (Passive)</v>
      </c>
      <c r="H10">
        <f>IFERROR(IF(A10="","",SUM('Asset Allocation'!B10,'Asset Allocation'!C10)/'Broad Asset Allocation'!C10),0)</f>
        <v>0</v>
      </c>
    </row>
    <row r="11" spans="1:8" x14ac:dyDescent="0.35">
      <c r="A11" t="str">
        <f>IF(Input!A12="","",Input!A12)</f>
        <v>High Risk Portfolio Growth</v>
      </c>
      <c r="H11">
        <f>IFERROR(IF(A11="","",SUM('Asset Allocation'!B11,'Asset Allocation'!C11)/'Broad Asset Allocation'!C11),0)</f>
        <v>0</v>
      </c>
    </row>
    <row r="12" spans="1:8" x14ac:dyDescent="0.35">
      <c r="A12" t="str">
        <f>IF(Input!A13="","",Input!A13)</f>
        <v/>
      </c>
      <c r="H12" t="str">
        <f>IFERROR(IF(A12="","",SUM('Asset Allocation'!B12,'Asset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Allocation'!B13,'Asset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Allocation'!B14,'Asset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Allocation'!B15,'Asset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Allocation'!B16,'Asset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Allocation'!B17,'Asset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Allocation'!B18,'Asset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3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09EA-1D9D-4CD1-8ED2-B37C5F4F8049}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9B9E2-E21E-4B56-83EC-3310F9CFC0B2}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8" spans="1:50" x14ac:dyDescent="0.3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36D6-E740-44AC-9738-87752E32A62D}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4.5" x14ac:dyDescent="0.35"/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</sheetData>
  <sortState xmlns:xlrd2="http://schemas.microsoft.com/office/spreadsheetml/2017/richdata2"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Low-to-Medium Risk Portfolio Income</v>
      </c>
      <c r="D1" t="str">
        <v>Low-to-Medium Risk Portfolio Income and Growth</v>
      </c>
      <c r="E1" t="str">
        <v>Low-to-Medium Risk Portfolio Income and Growth (Passive)</v>
      </c>
      <c r="F1" t="str">
        <v>Medium Risk Portfolio Income</v>
      </c>
      <c r="G1" t="str">
        <v>Medium Risk Portfolio Income and Growth</v>
      </c>
      <c r="H1" t="str">
        <v>Medium Risk Portfolio Income and Growth (Passive)</v>
      </c>
      <c r="I1" t="str">
        <v>Medium-to-High Risk Portfolio Growth</v>
      </c>
      <c r="J1" t="str">
        <v>Medium-to-High Risk Portfolio Growth (Passive)</v>
      </c>
      <c r="K1" t="str">
        <v>High Risk Portfolio Growth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26</cp:lastModifiedBy>
  <dcterms:created xsi:type="dcterms:W3CDTF">2023-07-09T20:52:37Z</dcterms:created>
  <dcterms:modified xsi:type="dcterms:W3CDTF">2023-08-31T12:59:31Z</dcterms:modified>
</cp:coreProperties>
</file>