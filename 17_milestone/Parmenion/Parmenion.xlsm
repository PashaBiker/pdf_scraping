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7_milestone\Parmenion\"/>
    </mc:Choice>
  </mc:AlternateContent>
  <bookViews>
    <workbookView xWindow="-105" yWindow="-105" windowWidth="19425" windowHeight="1030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" i="1"/>
  <c r="B5" i="1"/>
  <c r="B6" i="1"/>
  <c r="B7" i="1"/>
  <c r="B8" i="1"/>
  <c r="B9" i="1"/>
  <c r="B10" i="1"/>
  <c r="B11" i="1"/>
  <c r="B12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D37" i="7"/>
  <c r="E37" i="7"/>
  <c r="G37" i="7"/>
  <c r="H37" i="7"/>
  <c r="B45" i="7"/>
  <c r="C45" i="7"/>
  <c r="D45" i="7"/>
  <c r="H45" i="7"/>
  <c r="E45" i="7"/>
  <c r="G45" i="7"/>
  <c r="C38" i="7"/>
  <c r="D38" i="7"/>
  <c r="C46" i="7"/>
  <c r="D46" i="7"/>
  <c r="E46" i="7"/>
  <c r="G46" i="7"/>
  <c r="H46" i="7"/>
  <c r="B46" i="7"/>
  <c r="E47" i="7"/>
  <c r="G47" i="7"/>
  <c r="H47" i="7"/>
  <c r="D47" i="7"/>
  <c r="B47" i="7"/>
  <c r="C47" i="7"/>
  <c r="H48" i="7"/>
  <c r="B48" i="7"/>
  <c r="E48" i="7"/>
  <c r="C48" i="7"/>
  <c r="D48" i="7"/>
  <c r="G48" i="7"/>
  <c r="H33" i="7"/>
  <c r="E33" i="7"/>
  <c r="G33" i="7"/>
  <c r="B49" i="7"/>
  <c r="H49" i="7"/>
  <c r="C49" i="7"/>
  <c r="D49" i="7"/>
  <c r="E49" i="7"/>
  <c r="G49" i="7"/>
  <c r="C40" i="7"/>
  <c r="G26" i="7"/>
  <c r="C42" i="7"/>
  <c r="D42" i="7"/>
  <c r="E42" i="7"/>
  <c r="G42" i="7"/>
  <c r="H42" i="7"/>
  <c r="B42" i="7"/>
  <c r="C50" i="7"/>
  <c r="D50" i="7"/>
  <c r="B50" i="7"/>
  <c r="E50" i="7"/>
  <c r="G50" i="7"/>
  <c r="H50" i="7"/>
  <c r="G35" i="7"/>
  <c r="H35" i="7"/>
  <c r="D35" i="7"/>
  <c r="B35" i="7"/>
  <c r="E43" i="7"/>
  <c r="G43" i="7"/>
  <c r="D43" i="7"/>
  <c r="H43" i="7"/>
  <c r="C43" i="7"/>
  <c r="B43" i="7"/>
  <c r="G28" i="7"/>
  <c r="C28" i="7"/>
  <c r="C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E39" i="7" s="1"/>
  <c r="D39" i="4"/>
  <c r="C39" i="4"/>
  <c r="H39" i="8" s="1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H33" i="8" s="1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7" s="1"/>
  <c r="C26" i="4"/>
  <c r="H26" i="8" s="1"/>
  <c r="D26" i="4"/>
  <c r="F26" i="4"/>
  <c r="B34" i="4"/>
  <c r="B34" i="7" s="1"/>
  <c r="F34" i="4"/>
  <c r="C34" i="4"/>
  <c r="H34" i="8" s="1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E27" i="7" s="1"/>
  <c r="C35" i="4"/>
  <c r="H35" i="8" s="1"/>
  <c r="D35" i="4"/>
  <c r="F35" i="4"/>
  <c r="G35" i="4"/>
  <c r="B35" i="4"/>
  <c r="C35" i="7" s="1"/>
  <c r="C43" i="4"/>
  <c r="D43" i="4"/>
  <c r="F43" i="4"/>
  <c r="G43" i="4"/>
  <c r="B43" i="4"/>
  <c r="D30" i="4"/>
  <c r="F30" i="4"/>
  <c r="G30" i="4"/>
  <c r="B30" i="4"/>
  <c r="D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7" s="1"/>
  <c r="D40" i="4"/>
  <c r="C40" i="4"/>
  <c r="H40" i="8" s="1"/>
  <c r="F40" i="4"/>
  <c r="G40" i="4"/>
  <c r="F41" i="4"/>
  <c r="C41" i="4"/>
  <c r="G41" i="4"/>
  <c r="B41" i="4"/>
  <c r="B41" i="7" s="1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H28" i="7" s="1"/>
  <c r="F28" i="4"/>
  <c r="G36" i="4"/>
  <c r="C36" i="4"/>
  <c r="H36" i="8" s="1"/>
  <c r="D36" i="4"/>
  <c r="B36" i="4"/>
  <c r="D36" i="7" s="1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E38" i="7" s="1"/>
  <c r="C38" i="4"/>
  <c r="H38" i="8" s="1"/>
  <c r="F31" i="4"/>
  <c r="B31" i="4"/>
  <c r="E31" i="7" s="1"/>
  <c r="C31" i="4"/>
  <c r="H31" i="8" s="1"/>
  <c r="G31" i="4"/>
  <c r="D31" i="4"/>
  <c r="B32" i="4"/>
  <c r="G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E29" i="7" s="1"/>
  <c r="C29" i="4"/>
  <c r="H29" i="8" s="1"/>
  <c r="D29" i="4"/>
  <c r="G29" i="4"/>
  <c r="F29" i="4"/>
  <c r="B37" i="4"/>
  <c r="B37" i="7" s="1"/>
  <c r="G37" i="4"/>
  <c r="C37" i="4"/>
  <c r="H37" i="8" s="1"/>
  <c r="D37" i="4"/>
  <c r="F37" i="4"/>
  <c r="C45" i="4"/>
  <c r="G45" i="4"/>
  <c r="B45" i="4"/>
  <c r="D45" i="4"/>
  <c r="F45" i="4"/>
  <c r="D2" i="31"/>
  <c r="B1" i="36" a="1"/>
  <c r="B1" i="36" s="1"/>
  <c r="H37" i="4"/>
  <c r="H46" i="4"/>
  <c r="H45" i="4"/>
  <c r="H48" i="4"/>
  <c r="H4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C39" i="7" l="1"/>
  <c r="H39" i="7"/>
  <c r="H33" i="4"/>
  <c r="G41" i="7"/>
  <c r="H34" i="7"/>
  <c r="D33" i="7"/>
  <c r="H32" i="7"/>
  <c r="B39" i="7"/>
  <c r="G40" i="7"/>
  <c r="B40" i="7"/>
  <c r="H41" i="4"/>
  <c r="H40" i="7"/>
  <c r="E41" i="7"/>
  <c r="G34" i="7"/>
  <c r="E34" i="7"/>
  <c r="H39" i="4"/>
  <c r="E35" i="7"/>
  <c r="D34" i="7"/>
  <c r="B32" i="7"/>
  <c r="D39" i="7"/>
  <c r="H36" i="4"/>
  <c r="H38" i="4"/>
  <c r="G36" i="7"/>
  <c r="H41" i="8"/>
  <c r="H35" i="4"/>
  <c r="H36" i="7"/>
  <c r="C34" i="7"/>
  <c r="D41" i="7"/>
  <c r="C33" i="7"/>
  <c r="E32" i="7"/>
  <c r="G39" i="7"/>
  <c r="H38" i="7"/>
  <c r="C37" i="7"/>
  <c r="B36" i="7"/>
  <c r="H40" i="4"/>
  <c r="C41" i="7"/>
  <c r="D32" i="7"/>
  <c r="B38" i="7"/>
  <c r="E36" i="7"/>
  <c r="E40" i="7"/>
  <c r="H41" i="7"/>
  <c r="C32" i="7"/>
  <c r="G38" i="7"/>
  <c r="H31" i="7"/>
  <c r="G29" i="7"/>
  <c r="H29" i="7"/>
  <c r="B27" i="7"/>
  <c r="D29" i="7"/>
  <c r="G30" i="7"/>
  <c r="B28" i="7"/>
  <c r="C27" i="7"/>
  <c r="C30" i="7"/>
  <c r="E28" i="7"/>
  <c r="D31" i="7"/>
  <c r="C29" i="7"/>
  <c r="B26" i="7"/>
  <c r="D28" i="7"/>
  <c r="B31" i="7"/>
  <c r="B29" i="7"/>
  <c r="D27" i="7"/>
  <c r="H26" i="7"/>
  <c r="C31" i="7"/>
  <c r="H30" i="7"/>
  <c r="H27" i="7"/>
  <c r="E26" i="7"/>
  <c r="G31" i="7"/>
  <c r="E30" i="7"/>
  <c r="G27" i="7"/>
  <c r="D26" i="7"/>
  <c r="B30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<sst xmlns="http://schemas.openxmlformats.org/spreadsheetml/2006/main" count="219" uniqueCount="181">
  <si>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</si>
  <si>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</si>
  <si>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</si>
  <si>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</si>
  <si>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</si>
  <si>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</si>
  <si>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</si>
  <si>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</si>
  <si>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</si>
  <si>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</si>
  <si>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</si>
  <si>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</si>
  <si>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</si>
  <si>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</si>
  <si>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</si>
  <si>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</si>
  <si>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</si>
  <si>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</si>
  <si>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</si>
  <si>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</si>
  <si>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</si>
  <si>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</si>
  <si>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</si>
  <si>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</si>
  <si>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</si>
  <si>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</si>
  <si>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</si>
  <si>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</si>
  <si>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</si>
  <si>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</si>
  <si>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</si>
  <si>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</si>
  <si>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</si>
  <si>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</si>
  <si>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</si>
  <si>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PIM Tactical Active Factsheet RG1</t>
  </si>
  <si>
    <t>PIM Tactical Active Factsheet RG2</t>
  </si>
  <si>
    <t>PIM Tactical Active Factsheet RG3</t>
  </si>
  <si>
    <t>PIM Tactical Active Factsheet RG4</t>
  </si>
  <si>
    <t>PIM Tactical Active Factsheet RG5</t>
  </si>
  <si>
    <t>PIM Tactical Active Factsheet RG6</t>
  </si>
  <si>
    <t>PIM Tactical Active Factsheet RG7</t>
  </si>
  <si>
    <t>PIM Tactical Active Factsheet RG8</t>
  </si>
  <si>
    <t>PIM Tactical Active Factsheet RG9</t>
  </si>
  <si>
    <t>PIM Tactical Active Factsheet RG10</t>
  </si>
  <si>
    <t>https://parmenion.co.uk/investment-management/our-in-house-solutions/all-investment-solutions/pim-tactical-active/</t>
  </si>
  <si>
    <t>PIM Tactical Active RG1</t>
  </si>
  <si>
    <t>PIM Tactical Active RG2</t>
  </si>
  <si>
    <t>PIM Tactical Active RG3</t>
  </si>
  <si>
    <t>PIM Tactical Active RG4</t>
  </si>
  <si>
    <t>PIM Tactical Active RG5</t>
  </si>
  <si>
    <t>PIM Tactical Active RG6</t>
  </si>
  <si>
    <t>PIM Tactical Active RG7</t>
  </si>
  <si>
    <t>PIM Tactical Active RG8</t>
  </si>
  <si>
    <t>PIM Tactical Active RG9</t>
  </si>
  <si>
    <t>PIM Tactical Active RG10</t>
  </si>
  <si>
    <t>Underlying Funds OCF</t>
  </si>
  <si>
    <t>DFM Charge</t>
  </si>
  <si>
    <t>1y</t>
  </si>
  <si>
    <t>3y</t>
  </si>
  <si>
    <t>5y</t>
  </si>
  <si>
    <t>PIM Strategic Conviction Factsheet RG1</t>
  </si>
  <si>
    <t>PIM Strategic Conviction Factsheet RG2</t>
  </si>
  <si>
    <t>PIM Strategic Conviction Factsheet RG3</t>
  </si>
  <si>
    <t>PIM Strategic Conviction Factsheet RG4</t>
  </si>
  <si>
    <t>PIM Strategic Conviction Factsheet RG5</t>
  </si>
  <si>
    <t>PIM Strategic Conviction Factsheet RG6</t>
  </si>
  <si>
    <t>PIM Strategic Conviction Factsheet RG7</t>
  </si>
  <si>
    <t>PIM Strategic Conviction Factsheet RG8</t>
  </si>
  <si>
    <t>PIM Strategic Conviction Factsheet RG9</t>
  </si>
  <si>
    <t>PIM Strategic Conviction Factsheet RG10</t>
  </si>
  <si>
    <t>https://parmenion.co.uk/investment-management/our-in-house-solutions/all-investment-solutions/pim-strategic-conviction/</t>
  </si>
  <si>
    <t>PIM Strategic Conviction RG1</t>
  </si>
  <si>
    <t>PIM Strategic Conviction RG2</t>
  </si>
  <si>
    <t>PIM Strategic Conviction RG3</t>
  </si>
  <si>
    <t>PIM Strategic Conviction RG4</t>
  </si>
  <si>
    <t>PIM Strategic Conviction RG5</t>
  </si>
  <si>
    <t>PIM Strategic Conviction RG6</t>
  </si>
  <si>
    <t>PIM Strategic Conviction RG7</t>
  </si>
  <si>
    <t>PIM Strategic Conviction RG8</t>
  </si>
  <si>
    <t>PIM Strategic Conviction RG9</t>
  </si>
  <si>
    <t>PIM Strategic Conviction RG10</t>
  </si>
  <si>
    <t>PIM Strategic Passive Factsheet RG1</t>
  </si>
  <si>
    <t>PIM Strategic Passive Factsheet RG2</t>
  </si>
  <si>
    <t>PIM Strategic Passive Factsheet RG3</t>
  </si>
  <si>
    <t>PIM Strategic Passive Factsheet RG4</t>
  </si>
  <si>
    <t>PIM Strategic Passive Factsheet RG5</t>
  </si>
  <si>
    <t>PIM Strategic Passive Factsheet RG6</t>
  </si>
  <si>
    <t>PIM Strategic Passive Factsheet RG7</t>
  </si>
  <si>
    <t>PIM Strategic Passive Factsheet RG8</t>
  </si>
  <si>
    <t>PIM Strategic Passive Factsheet RG9</t>
  </si>
  <si>
    <t>PIM Strategic Passive Factsheet RG10</t>
  </si>
  <si>
    <t>https://parmenion.co.uk/investment-management/our-in-house-solutions/all-investment-solutions/pim-strategic-passive/</t>
  </si>
  <si>
    <t>PIM Strategic Passive RG1</t>
  </si>
  <si>
    <t>PIM Strategic Passive RG2</t>
  </si>
  <si>
    <t>PIM Strategic Passive RG3</t>
  </si>
  <si>
    <t>PIM Strategic Passive RG4</t>
  </si>
  <si>
    <t>PIM Strategic Passive RG5</t>
  </si>
  <si>
    <t>PIM Strategic Passive RG6</t>
  </si>
  <si>
    <t>PIM Strategic Passive RG7</t>
  </si>
  <si>
    <t>PIM Strategic Passive RG8</t>
  </si>
  <si>
    <t>PIM Strategic Passive RG9</t>
  </si>
  <si>
    <t>PIM Strategic Passive RG10</t>
  </si>
  <si>
    <t>PIM Strategic Ethical Active A Factsheet RG1</t>
  </si>
  <si>
    <t>PIM Strategic Ethical Active A Factsheet RG2</t>
  </si>
  <si>
    <t>PIM Strategic Ethical Active A Factsheet RG3</t>
  </si>
  <si>
    <t>PIM Strategic Ethical Active A Factsheet RG4</t>
  </si>
  <si>
    <t>PIM Strategic Ethical Active A Factsheet RG5</t>
  </si>
  <si>
    <t>PIM Strategic Ethical Active A Factsheet RG6</t>
  </si>
  <si>
    <t>PIM Strategic Ethical Active A Factsheet RG7</t>
  </si>
  <si>
    <t>PIM Strategic Ethical Active A Factsheet RG8</t>
  </si>
  <si>
    <t>PIM Strategic Ethical Active A Factsheet RG9</t>
  </si>
  <si>
    <t>PIM Strategic Ethical Active A Factsheet RG10</t>
  </si>
  <si>
    <t>https://parmenion.co.uk/investment-management/our-in-house-solutions/all-investment-solutions/pim-strategic-ethical-active-profile-a-responsible-leaders/</t>
  </si>
  <si>
    <t>PIM Strategic Ethical Active A RG1</t>
  </si>
  <si>
    <t>PIM Strategic Ethical Active A RG2</t>
  </si>
  <si>
    <t>PIM Strategic Ethical Active A RG3</t>
  </si>
  <si>
    <t>PIM Strategic Ethical Active A RG4</t>
  </si>
  <si>
    <t>PIM Strategic Ethical Active A RG5</t>
  </si>
  <si>
    <t>PIM Strategic Ethical Active A RG6</t>
  </si>
  <si>
    <t>PIM Strategic Ethical Active A RG7</t>
  </si>
  <si>
    <t>PIM Strategic Ethical Active A RG8</t>
  </si>
  <si>
    <t>PIM Strategic Ethical Active A RG9</t>
  </si>
  <si>
    <t>PIM Strategic Ethical Active A RG10</t>
  </si>
  <si>
    <t>Managed Liquidity</t>
  </si>
  <si>
    <t>Global Government Bonds</t>
  </si>
  <si>
    <t>Global Index-Linked Government Bonds</t>
  </si>
  <si>
    <t>Sterling Corporate Bonds</t>
  </si>
  <si>
    <t>Global Bonds</t>
  </si>
  <si>
    <t>Diversified Alternatives</t>
  </si>
  <si>
    <t>UK Equity Income</t>
  </si>
  <si>
    <t>UK Equity</t>
  </si>
  <si>
    <t>US Equity</t>
  </si>
  <si>
    <t>Europe ex UK Equity</t>
  </si>
  <si>
    <t>Japan Equity</t>
  </si>
  <si>
    <t>Asia Pacific ex Japan Equity</t>
  </si>
  <si>
    <t>Emerging Markets Equity</t>
  </si>
  <si>
    <t>Managed Liquidity (Unscreened)</t>
  </si>
  <si>
    <t>UK Gilts</t>
  </si>
  <si>
    <t>International Equity</t>
  </si>
  <si>
    <t>Emerging Markets / Asia Pacific ex Japan Equity</t>
  </si>
  <si>
    <t>https://communications.parmenion-im.co.uk/acton/attachment/19226/f-3395c6f2-076a-4dfd-8e1a-026e8ac2d2c0/1/-/-/-/-/PIM%20Strategic%20Ethical%20Active%20A%20Factsheets%20RG1.pdf</t>
  </si>
  <si>
    <t>https://communications.parmenion-im.co.uk/acton/attachment/19226/f-6d518660-314e-4774-8384-98a46800024f/1/-/-/-/-/PIM%20Strategic%20Ethical%20Active%20A%20Factsheets%20RG2.pdf</t>
  </si>
  <si>
    <t>https://communications.parmenion-im.co.uk/acton/attachment/19226/f-db21a593-6556-4291-be20-8dc3e444d421/1/-/-/-/-/PIM%20Strategic%20Ethical%20Active%20A%20Factsheets%20RG3.pdf</t>
  </si>
  <si>
    <t>https://communications.parmenion-im.co.uk/acton/attachment/19226/f-508cb909-e6f0-47ee-a94e-cd08bccbb754/1/-/-/-/-/PIM%20Strategic%20Ethical%20Active%20A%20Factsheets%20RG4.pdf</t>
  </si>
  <si>
    <t>https://communications.parmenion-im.co.uk/acton/attachment/19226/f-4016ad5d-fee1-4663-b867-1367a21c5d60/1/-/-/-/-/PIM%20Strategic%20Ethical%20Active%20A%20Factsheets%20RG5.pdf</t>
  </si>
  <si>
    <t>https://communications.parmenion-im.co.uk/acton/attachment/19226/f-4c4542a8-0745-4370-ab35-9f8646bd2bf7/1/-/-/-/-/PIM%20Strategic%20Ethical%20Active%20A%20Factsheets%20RG6.pdf</t>
  </si>
  <si>
    <t>https://communications.parmenion-im.co.uk/acton/attachment/19226/f-02eed9c9-9283-4b78-bd3e-092c68becd8c/1/-/-/-/-/PIM%20Strategic%20Ethical%20Active%20A%20Factsheets%20RG7.pdf</t>
  </si>
  <si>
    <t>https://communications.parmenion-im.co.uk/acton/attachment/19226/f-6becd37a-6d7d-452a-82ca-8023aeabcaee/1/-/-/-/-/PIM%20Strategic%20Ethical%20Active%20A%20Factsheets%20RG8.pdf</t>
  </si>
  <si>
    <t>https://communications.parmenion-im.co.uk/acton/attachment/19226/f-af15480c-e44f-4363-b52b-4eee06404395/1/-/-/-/-/PIM%20Strategic%20Ethical%20Active%20A%20Factsheets%20RG9.pdf</t>
  </si>
  <si>
    <t>https://communications.parmenion-im.co.uk/acton/attachment/19226/f-b51c606c-d417-4628-9c0e-dfa8e234700a/1/-/-/-/-/PIM%20Strategic%20Ethical%20Active%20A%20Factsheets%20RG10.pdf</t>
  </si>
  <si>
    <t>https://communications.parmenion-im.co.uk/acton/attachment/19226/f-dcb9b89a-e448-45d0-a7db-deaf0ec7c6b0/1/-/-/-/-/PIM%20Tactical%20Active%20Factsheets%20RG1.pdf</t>
  </si>
  <si>
    <t>https://communications.parmenion-im.co.uk/acton/attachment/19226/f-2154b6dc-3bb8-495f-b9da-fdc361377973/1/-/-/-/-/PIM%20Tactical%20Active%20Factsheets%20RG2.pdf</t>
  </si>
  <si>
    <t>https://communications.parmenion-im.co.uk/acton/attachment/19226/f-1cc24c34-5839-413a-b273-4e97ce0f6f7b/1/-/-/-/-/PIM%20Tactical%20Active%20Factsheets%20RG3.pdf</t>
  </si>
  <si>
    <t>https://communications.parmenion-im.co.uk/acton/attachment/19226/f-444f9a8f-8c7a-42bb-99e0-f9dcb93581f1/1/-/-/-/-/PIM%20Tactical%20Active%20Factsheets%20RG4.pdf</t>
  </si>
  <si>
    <t>https://communications.parmenion-im.co.uk/acton/attachment/19226/f-f5f17f77-f009-4bdf-8c5e-e4252e33832b/1/-/-/-/-/PIM%20Tactical%20Active%20Factsheets%20RG5.pdf</t>
  </si>
  <si>
    <t>https://communications.parmenion-im.co.uk/acton/attachment/19226/f-44586626-0a8b-47b5-b98c-3bca40e5a586/1/-/-/-/-/PIM%20Tactical%20Active%20Factsheets%20RG6.pdf</t>
  </si>
  <si>
    <t>https://communications.parmenion-im.co.uk/acton/attachment/19226/f-ab452364-a1ad-4db5-bc64-a965d3595816/1/-/-/-/-/PIM%20Tactical%20Active%20Factsheets%20RG7.pdf</t>
  </si>
  <si>
    <t>https://communications.parmenion-im.co.uk/acton/attachment/19226/f-a9064a93-f194-4585-b243-717d1ed76787/1/-/-/-/-/PIM%20Tactical%20Active%20Factsheets%20RG8.pdf</t>
  </si>
  <si>
    <t>https://communications.parmenion-im.co.uk/acton/attachment/19226/f-9328aa7a-ba4c-4ffd-9a15-aa05a915e8b2/1/-/-/-/-/PIM%20Tactical%20Active%20Factsheets%20RG9.pdf</t>
  </si>
  <si>
    <t>https://communications.parmenion-im.co.uk/acton/attachment/19226/f-53ee0e5f-bf2c-46d4-bf8f-1831cae97234/1/-/-/-/-/PIM%20Tactical%20Active%20Factsheets%20RG10.pdf</t>
  </si>
  <si>
    <t>https://communications.parmenion-im.co.uk/acton/attachment/19226/f-bea9b99b-cbf6-46d0-833d-2800bb18dd29/1/-/-/-/-/PIM%20Strategic%20Conviction%20Factsheets%20RG1.pdf</t>
  </si>
  <si>
    <t>https://communications.parmenion-im.co.uk/acton/attachment/19226/f-f4cc02cb-6e00-4dde-892f-60d42afe35d2/1/-/-/-/-/PIM%20Strategic%20Conviction%20Factsheets%20RG2.pdf</t>
  </si>
  <si>
    <t>https://communications.parmenion-im.co.uk/acton/attachment/19226/f-9e69b627-1a03-4d7a-ac23-78df44d41f86/1/-/-/-/-/PIM%20Strategic%20Conviction%20Factsheets%20RG3.pdf</t>
  </si>
  <si>
    <t>https://communications.parmenion-im.co.uk/acton/attachment/19226/f-0f6fa0c1-13c1-4797-bc1d-cf75da6d3475/1/-/-/-/-/PIM%20Strategic%20Conviction%20Factsheets%20RG4.pdf</t>
  </si>
  <si>
    <t>https://communications.parmenion-im.co.uk/acton/attachment/19226/f-9a411307-bd31-41d3-b9ee-419947b569cd/1/-/-/-/-/PIM%20Strategic%20Conviction%20Factsheets%20RG5.pdf</t>
  </si>
  <si>
    <t>https://communications.parmenion-im.co.uk/acton/attachment/19226/f-051ec0ee-4cf9-4a04-a344-6d544bc825a2/1/-/-/-/-/PIM%20Strategic%20Conviction%20Factsheets%20RG6.pdf</t>
  </si>
  <si>
    <t>https://communications.parmenion-im.co.uk/acton/attachment/19226/f-09871915-2116-4997-ac37-4b70fde36a50/1/-/-/-/-/PIM%20Strategic%20Conviction%20Factsheets%20RG7.pdf</t>
  </si>
  <si>
    <t>https://communications.parmenion-im.co.uk/acton/attachment/19226/f-19ff2c76-9664-486c-a949-bea1b337eafb/1/-/-/-/-/PIM%20Strategic%20Conviction%20Factsheets%20RG8.pdf</t>
  </si>
  <si>
    <t>https://communications.parmenion-im.co.uk/acton/attachment/19226/f-ffed85e1-cefb-422c-b572-e4aa3587e944/1/-/-/-/-/PIM%20Strategic%20Conviction%20Factsheets%20RG9.pdf</t>
  </si>
  <si>
    <t>https://communications.parmenion-im.co.uk/acton/attachment/19226/f-4ce33557-0a9f-44f9-bdb9-fb58ff1a4f49/1/-/-/-/-/PIM%20Strategic%20Conviction%20Factsheets%20RG10.pdf</t>
  </si>
  <si>
    <t>https://communications.parmenion-im.co.uk/acton/attachment/19226/f-6e456b65-8368-4b49-a622-de9037569ad7/1/-/-/-/-/PIM%20Strategic%20Passive%20Factsheets%20RG1.pdf</t>
  </si>
  <si>
    <t>https://communications.parmenion-im.co.uk/acton/attachment/19226/f-2f5b8f06-510f-4668-9a13-084c5fc42c36/1/-/-/-/-/PIM%20Strategic%20Passive%20Factsheets%20RG2.pdf</t>
  </si>
  <si>
    <t>https://communications.parmenion-im.co.uk/acton/attachment/19226/f-fa3875f9-7193-4419-ab0a-aa23eb1df610/1/-/-/-/-/PIM%20Strategic%20Passive%20Factsheets%20RG3.pdf</t>
  </si>
  <si>
    <t>https://communications.parmenion-im.co.uk/acton/attachment/19226/f-c2d2c20f-7554-4b03-926d-5dfd3ba81929/1/-/-/-/-/PIM%20Strategic%20Passive%20Factsheets%20RG4.pdf</t>
  </si>
  <si>
    <t>https://communications.parmenion-im.co.uk/acton/attachment/19226/f-5432808d-c1b2-4d02-bfa1-05d02842629f/1/-/-/-/-/PIM%20Strategic%20Passive%20Factsheets%20RG5.pdf</t>
  </si>
  <si>
    <t>https://communications.parmenion-im.co.uk/acton/attachment/19226/f-6e9d2a4d-b839-48c6-9f00-a99acc761c57/1/-/-/-/-/PIM%20Strategic%20Passive%20Factsheets%20RG6.pdf</t>
  </si>
  <si>
    <t>https://communications.parmenion-im.co.uk/acton/attachment/19226/f-7be48e31-baa2-403e-a6ec-3ea8e49dad75/1/-/-/-/-/PIM%20Strategic%20Passive%20Factsheets%20RG7.pdf</t>
  </si>
  <si>
    <t>https://communications.parmenion-im.co.uk/acton/attachment/19226/f-810b3e56-c113-4788-b053-f435523db58f/1/-/-/-/-/PIM%20Strategic%20Passive%20Factsheets%20RG8.pdf</t>
  </si>
  <si>
    <t>https://communications.parmenion-im.co.uk/acton/attachment/19226/f-ebcf75c4-04c8-480a-8f8c-65b1b4852b9b/1/-/-/-/-/PIM%20Strategic%20Passive%20Factsheets%20RG9.pdf</t>
  </si>
  <si>
    <t>https://communications.parmenion-im.co.uk/acton/attachment/19226/f-9f8dd85a-3f19-4d4a-9a91-82664b1eb0f0/1/-/-/-/-/PIM%20Strategic%20Passive%20Factsheets%20RG10.pdf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</si>
</sst>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88900</xdr:rowOff>
    </xdr:from>
    <xdr:to>
      <xdr:col>6</xdr:col>
      <xdr:colOff>555592</xdr:colOff>
      <xdr:row>9</xdr:row>
      <xdr:rowOff>76324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B831076-83F2-03EA-F607-FA19FCA9C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73050"/>
          <a:ext cx="4213192" cy="1460624"/>
        </a:xfrm>
        <a:prstGeom prst="rect">
          <a:avLst/>
        </a:prstGeom>
      </xdr:spPr>
    </xdr:pic>
    <xdr:clientData/>
  </xdr:twoCellAnchor>
  <xdr:twoCellAnchor editAs="oneCell">
    <xdr:from>
      <xdr:col>7</xdr:col>
      <xdr:colOff>43792</xdr:colOff>
      <xdr:row>1</xdr:row>
      <xdr:rowOff>12700</xdr:rowOff>
    </xdr:from>
    <xdr:to>
      <xdr:col>14</xdr:col>
      <xdr:colOff>438515</xdr:colOff>
      <xdr:row>15</xdr:row>
      <xdr:rowOff>6552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F0F7222-B743-91CB-2609-C90430AE5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10992" y="196850"/>
          <a:ext cx="4661923" cy="25719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J25" sqref="J25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42"/>
  <sheetViews>
    <sheetView topLeftCell="A28" workbookViewId="0">
      <selection activeCell="A42" sqref="A33:A42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46</v>
      </c>
      <c r="B3" t="str">
        <f>'PDF Scraping'!D2</f>
        <v>https://communications.parmenion-im.co.uk/acton/attachment/19226/f-dcb9b89a-e448-45d0-a7db-deaf0ec7c6b0/1/-/-/-/-/PIM%20Tactical%20Active%20Factsheets%20RG1.pdf</v>
      </c>
      <c r="J3" s="4"/>
    </row>
    <row r="4" spans="1:10" x14ac:dyDescent="0.25">
      <c r="A4" t="s">
        <v>47</v>
      </c>
      <c r="B4" t="str">
        <f>'PDF Scraping'!D3</f>
        <v>https://communications.parmenion-im.co.uk/acton/attachment/19226/f-2154b6dc-3bb8-495f-b9da-fdc361377973/1/-/-/-/-/PIM%20Tactical%20Active%20Factsheets%20RG2.pdf</v>
      </c>
      <c r="J4" s="4"/>
    </row>
    <row r="5" spans="1:10" x14ac:dyDescent="0.25">
      <c r="A5" t="s">
        <v>48</v>
      </c>
      <c r="B5" t="str">
        <f>'PDF Scraping'!D4</f>
        <v>https://communications.parmenion-im.co.uk/acton/attachment/19226/f-1cc24c34-5839-413a-b273-4e97ce0f6f7b/1/-/-/-/-/PIM%20Tactical%20Active%20Factsheets%20RG3.pdf</v>
      </c>
    </row>
    <row r="6" spans="1:10" x14ac:dyDescent="0.25">
      <c r="A6" t="s">
        <v>49</v>
      </c>
      <c r="B6" t="str">
        <f>'PDF Scraping'!D5</f>
        <v>https://communications.parmenion-im.co.uk/acton/attachment/19226/f-444f9a8f-8c7a-42bb-99e0-f9dcb93581f1/1/-/-/-/-/PIM%20Tactical%20Active%20Factsheets%20RG4.pdf</v>
      </c>
    </row>
    <row r="7" spans="1:10" x14ac:dyDescent="0.25">
      <c r="A7" t="s">
        <v>50</v>
      </c>
      <c r="B7" t="str">
        <f>'PDF Scraping'!D6</f>
        <v>https://communications.parmenion-im.co.uk/acton/attachment/19226/f-f5f17f77-f009-4bdf-8c5e-e4252e33832b/1/-/-/-/-/PIM%20Tactical%20Active%20Factsheets%20RG5.pdf</v>
      </c>
    </row>
    <row r="8" spans="1:10" x14ac:dyDescent="0.25">
      <c r="A8" t="s">
        <v>51</v>
      </c>
      <c r="B8" t="str">
        <f>'PDF Scraping'!D7</f>
        <v>https://communications.parmenion-im.co.uk/acton/attachment/19226/f-44586626-0a8b-47b5-b98c-3bca40e5a586/1/-/-/-/-/PIM%20Tactical%20Active%20Factsheets%20RG6.pdf</v>
      </c>
    </row>
    <row r="9" spans="1:10" x14ac:dyDescent="0.25">
      <c r="A9" t="s">
        <v>52</v>
      </c>
      <c r="B9" t="str">
        <f>'PDF Scraping'!D8</f>
        <v>https://communications.parmenion-im.co.uk/acton/attachment/19226/f-ab452364-a1ad-4db5-bc64-a965d3595816/1/-/-/-/-/PIM%20Tactical%20Active%20Factsheets%20RG7.pdf</v>
      </c>
    </row>
    <row r="10" spans="1:10" x14ac:dyDescent="0.25">
      <c r="A10" t="s">
        <v>53</v>
      </c>
      <c r="B10" t="str">
        <f>'PDF Scraping'!D9</f>
        <v>https://communications.parmenion-im.co.uk/acton/attachment/19226/f-a9064a93-f194-4585-b243-717d1ed76787/1/-/-/-/-/PIM%20Tactical%20Active%20Factsheets%20RG8.pdf</v>
      </c>
    </row>
    <row r="11" spans="1:10" x14ac:dyDescent="0.25">
      <c r="A11" t="s">
        <v>54</v>
      </c>
      <c r="B11" t="str">
        <f>'PDF Scraping'!D10</f>
        <v>https://communications.parmenion-im.co.uk/acton/attachment/19226/f-9328aa7a-ba4c-4ffd-9a15-aa05a915e8b2/1/-/-/-/-/PIM%20Tactical%20Active%20Factsheets%20RG9.pdf</v>
      </c>
    </row>
    <row r="12" spans="1:10" x14ac:dyDescent="0.25">
      <c r="A12" t="s">
        <v>55</v>
      </c>
      <c r="B12" t="str">
        <f>'PDF Scraping'!D11</f>
        <v>https://communications.parmenion-im.co.uk/acton/attachment/19226/f-53ee0e5f-bf2c-46d4-bf8f-1831cae97234/1/-/-/-/-/PIM%20Tactical%20Active%20Factsheets%20RG10.pdf</v>
      </c>
    </row>
    <row r="13" spans="1:10" x14ac:dyDescent="0.25">
      <c r="A13" t="s">
        <v>72</v>
      </c>
      <c r="B13" t="str">
        <f>'PDF Scraping'!D12</f>
        <v>https://communications.parmenion-im.co.uk/acton/attachment/19226/f-bea9b99b-cbf6-46d0-833d-2800bb18dd29/1/-/-/-/-/PIM%20Strategic%20Conviction%20Factsheets%20RG1.pdf</v>
      </c>
    </row>
    <row r="14" spans="1:10" x14ac:dyDescent="0.25">
      <c r="A14" t="s">
        <v>73</v>
      </c>
      <c r="B14" t="str">
        <f>'PDF Scraping'!D13</f>
        <v>https://communications.parmenion-im.co.uk/acton/attachment/19226/f-f4cc02cb-6e00-4dde-892f-60d42afe35d2/1/-/-/-/-/PIM%20Strategic%20Conviction%20Factsheets%20RG2.pdf</v>
      </c>
    </row>
    <row r="15" spans="1:10" x14ac:dyDescent="0.25">
      <c r="A15" t="s">
        <v>74</v>
      </c>
      <c r="B15" t="str">
        <f>'PDF Scraping'!D14</f>
        <v>https://communications.parmenion-im.co.uk/acton/attachment/19226/f-9e69b627-1a03-4d7a-ac23-78df44d41f86/1/-/-/-/-/PIM%20Strategic%20Conviction%20Factsheets%20RG3.pdf</v>
      </c>
    </row>
    <row r="16" spans="1:10" x14ac:dyDescent="0.25">
      <c r="A16" t="s">
        <v>75</v>
      </c>
      <c r="B16" t="str">
        <f>'PDF Scraping'!D15</f>
        <v>https://communications.parmenion-im.co.uk/acton/attachment/19226/f-0f6fa0c1-13c1-4797-bc1d-cf75da6d3475/1/-/-/-/-/PIM%20Strategic%20Conviction%20Factsheets%20RG4.pdf</v>
      </c>
    </row>
    <row r="17" spans="1:2" x14ac:dyDescent="0.25">
      <c r="A17" t="s">
        <v>76</v>
      </c>
      <c r="B17" t="str">
        <f>'PDF Scraping'!D16</f>
        <v>https://communications.parmenion-im.co.uk/acton/attachment/19226/f-9a411307-bd31-41d3-b9ee-419947b569cd/1/-/-/-/-/PIM%20Strategic%20Conviction%20Factsheets%20RG5.pdf</v>
      </c>
    </row>
    <row r="18" spans="1:2" x14ac:dyDescent="0.25">
      <c r="A18" t="s">
        <v>77</v>
      </c>
      <c r="B18" t="str">
        <f>'PDF Scraping'!D17</f>
        <v>https://communications.parmenion-im.co.uk/acton/attachment/19226/f-051ec0ee-4cf9-4a04-a344-6d544bc825a2/1/-/-/-/-/PIM%20Strategic%20Conviction%20Factsheets%20RG6.pdf</v>
      </c>
    </row>
    <row r="19" spans="1:2" x14ac:dyDescent="0.25">
      <c r="A19" t="s">
        <v>78</v>
      </c>
      <c r="B19" t="str">
        <f>'PDF Scraping'!D18</f>
        <v>https://communications.parmenion-im.co.uk/acton/attachment/19226/f-09871915-2116-4997-ac37-4b70fde36a50/1/-/-/-/-/PIM%20Strategic%20Conviction%20Factsheets%20RG7.pdf</v>
      </c>
    </row>
    <row r="20" spans="1:2" x14ac:dyDescent="0.25">
      <c r="A20" t="s">
        <v>79</v>
      </c>
      <c r="B20" t="str">
        <f>'PDF Scraping'!D19</f>
        <v>https://communications.parmenion-im.co.uk/acton/attachment/19226/f-19ff2c76-9664-486c-a949-bea1b337eafb/1/-/-/-/-/PIM%20Strategic%20Conviction%20Factsheets%20RG8.pdf</v>
      </c>
    </row>
    <row r="21" spans="1:2" x14ac:dyDescent="0.25">
      <c r="A21" t="s">
        <v>80</v>
      </c>
      <c r="B21" t="str">
        <f>'PDF Scraping'!D20</f>
        <v>https://communications.parmenion-im.co.uk/acton/attachment/19226/f-ffed85e1-cefb-422c-b572-e4aa3587e944/1/-/-/-/-/PIM%20Strategic%20Conviction%20Factsheets%20RG9.pdf</v>
      </c>
    </row>
    <row r="22" spans="1:2" x14ac:dyDescent="0.25">
      <c r="A22" t="s">
        <v>81</v>
      </c>
      <c r="B22" t="str">
        <f>'PDF Scraping'!D21</f>
        <v>https://communications.parmenion-im.co.uk/acton/attachment/19226/f-4ce33557-0a9f-44f9-bdb9-fb58ff1a4f49/1/-/-/-/-/PIM%20Strategic%20Conviction%20Factsheets%20RG10.pdf</v>
      </c>
    </row>
    <row r="23" spans="1:2" x14ac:dyDescent="0.25">
      <c r="A23" t="s">
        <v>93</v>
      </c>
      <c r="B23" t="str">
        <f>'PDF Scraping'!D22</f>
        <v>https://communications.parmenion-im.co.uk/acton/attachment/19226/f-6e456b65-8368-4b49-a622-de9037569ad7/1/-/-/-/-/PIM%20Strategic%20Passive%20Factsheets%20RG1.pdf</v>
      </c>
    </row>
    <row r="24" spans="1:2" x14ac:dyDescent="0.25">
      <c r="A24" t="s">
        <v>94</v>
      </c>
      <c r="B24" t="str">
        <f>'PDF Scraping'!D23</f>
        <v>https://communications.parmenion-im.co.uk/acton/attachment/19226/f-2f5b8f06-510f-4668-9a13-084c5fc42c36/1/-/-/-/-/PIM%20Strategic%20Passive%20Factsheets%20RG2.pdf</v>
      </c>
    </row>
    <row r="25" spans="1:2" x14ac:dyDescent="0.25">
      <c r="A25" t="s">
        <v>95</v>
      </c>
      <c r="B25" t="str">
        <f>'PDF Scraping'!D24</f>
        <v>https://communications.parmenion-im.co.uk/acton/attachment/19226/f-fa3875f9-7193-4419-ab0a-aa23eb1df610/1/-/-/-/-/PIM%20Strategic%20Passive%20Factsheets%20RG3.pdf</v>
      </c>
    </row>
    <row r="26" spans="1:2" x14ac:dyDescent="0.25">
      <c r="A26" t="s">
        <v>96</v>
      </c>
      <c r="B26" t="str">
        <f>'PDF Scraping'!D25</f>
        <v>https://communications.parmenion-im.co.uk/acton/attachment/19226/f-c2d2c20f-7554-4b03-926d-5dfd3ba81929/1/-/-/-/-/PIM%20Strategic%20Passive%20Factsheets%20RG4.pdf</v>
      </c>
    </row>
    <row r="27" spans="1:2" x14ac:dyDescent="0.25">
      <c r="A27" t="s">
        <v>97</v>
      </c>
      <c r="B27" t="str">
        <f>'PDF Scraping'!D26</f>
        <v>https://communications.parmenion-im.co.uk/acton/attachment/19226/f-5432808d-c1b2-4d02-bfa1-05d02842629f/1/-/-/-/-/PIM%20Strategic%20Passive%20Factsheets%20RG5.pdf</v>
      </c>
    </row>
    <row r="28" spans="1:2" x14ac:dyDescent="0.25">
      <c r="A28" t="s">
        <v>98</v>
      </c>
      <c r="B28" t="str">
        <f>'PDF Scraping'!D27</f>
        <v>https://communications.parmenion-im.co.uk/acton/attachment/19226/f-6e9d2a4d-b839-48c6-9f00-a99acc761c57/1/-/-/-/-/PIM%20Strategic%20Passive%20Factsheets%20RG6.pdf</v>
      </c>
    </row>
    <row r="29" spans="1:2" x14ac:dyDescent="0.25">
      <c r="A29" t="s">
        <v>99</v>
      </c>
      <c r="B29" t="str">
        <f>'PDF Scraping'!D28</f>
        <v>https://communications.parmenion-im.co.uk/acton/attachment/19226/f-7be48e31-baa2-403e-a6ec-3ea8e49dad75/1/-/-/-/-/PIM%20Strategic%20Passive%20Factsheets%20RG7.pdf</v>
      </c>
    </row>
    <row r="30" spans="1:2" x14ac:dyDescent="0.25">
      <c r="A30" t="s">
        <v>100</v>
      </c>
      <c r="B30" t="str">
        <f>'PDF Scraping'!D29</f>
        <v>https://communications.parmenion-im.co.uk/acton/attachment/19226/f-810b3e56-c113-4788-b053-f435523db58f/1/-/-/-/-/PIM%20Strategic%20Passive%20Factsheets%20RG8.pdf</v>
      </c>
    </row>
    <row r="31" spans="1:2" x14ac:dyDescent="0.25">
      <c r="A31" t="s">
        <v>101</v>
      </c>
      <c r="B31" t="str">
        <f>'PDF Scraping'!D30</f>
        <v>https://communications.parmenion-im.co.uk/acton/attachment/19226/f-ebcf75c4-04c8-480a-8f8c-65b1b4852b9b/1/-/-/-/-/PIM%20Strategic%20Passive%20Factsheets%20RG9.pdf</v>
      </c>
    </row>
    <row r="32" spans="1:2" x14ac:dyDescent="0.25">
      <c r="A32" t="s">
        <v>102</v>
      </c>
      <c r="B32" t="str">
        <f>'PDF Scraping'!D31</f>
        <v>https://communications.parmenion-im.co.uk/acton/attachment/19226/f-9f8dd85a-3f19-4d4a-9a91-82664b1eb0f0/1/-/-/-/-/PIM%20Strategic%20Passive%20Factsheets%20RG10.pdf</v>
      </c>
    </row>
    <row r="33" spans="1:2" x14ac:dyDescent="0.25">
      <c r="A33" t="s">
        <v>114</v>
      </c>
      <c r="B33" t="str">
        <f>'PDF Scraping'!D32</f>
        <v>https://communications.parmenion-im.co.uk/acton/attachment/19226/f-3395c6f2-076a-4dfd-8e1a-026e8ac2d2c0/1/-/-/-/-/PIM%20Strategic%20Ethical%20Active%20A%20Factsheets%20RG1.pdf</v>
      </c>
    </row>
    <row r="34" spans="1:2" x14ac:dyDescent="0.25">
      <c r="A34" t="s">
        <v>115</v>
      </c>
      <c r="B34" t="str">
        <f>'PDF Scraping'!D33</f>
        <v>https://communications.parmenion-im.co.uk/acton/attachment/19226/f-6d518660-314e-4774-8384-98a46800024f/1/-/-/-/-/PIM%20Strategic%20Ethical%20Active%20A%20Factsheets%20RG2.pdf</v>
      </c>
    </row>
    <row r="35" spans="1:2" x14ac:dyDescent="0.25">
      <c r="A35" t="s">
        <v>116</v>
      </c>
      <c r="B35" t="str">
        <f>'PDF Scraping'!D34</f>
        <v>https://communications.parmenion-im.co.uk/acton/attachment/19226/f-db21a593-6556-4291-be20-8dc3e444d421/1/-/-/-/-/PIM%20Strategic%20Ethical%20Active%20A%20Factsheets%20RG3.pdf</v>
      </c>
    </row>
    <row r="36" spans="1:2" x14ac:dyDescent="0.25">
      <c r="A36" t="s">
        <v>117</v>
      </c>
      <c r="B36" t="str">
        <f>'PDF Scraping'!D35</f>
        <v>https://communications.parmenion-im.co.uk/acton/attachment/19226/f-508cb909-e6f0-47ee-a94e-cd08bccbb754/1/-/-/-/-/PIM%20Strategic%20Ethical%20Active%20A%20Factsheets%20RG4.pdf</v>
      </c>
    </row>
    <row r="37" spans="1:2" x14ac:dyDescent="0.25">
      <c r="A37" t="s">
        <v>118</v>
      </c>
      <c r="B37" t="str">
        <f>'PDF Scraping'!D36</f>
        <v>https://communications.parmenion-im.co.uk/acton/attachment/19226/f-4016ad5d-fee1-4663-b867-1367a21c5d60/1/-/-/-/-/PIM%20Strategic%20Ethical%20Active%20A%20Factsheets%20RG5.pdf</v>
      </c>
    </row>
    <row r="38" spans="1:2" x14ac:dyDescent="0.25">
      <c r="A38" t="s">
        <v>119</v>
      </c>
      <c r="B38" t="str">
        <f>'PDF Scraping'!D37</f>
        <v>https://communications.parmenion-im.co.uk/acton/attachment/19226/f-4c4542a8-0745-4370-ab35-9f8646bd2bf7/1/-/-/-/-/PIM%20Strategic%20Ethical%20Active%20A%20Factsheets%20RG6.pdf</v>
      </c>
    </row>
    <row r="39" spans="1:2" x14ac:dyDescent="0.25">
      <c r="A39" t="s">
        <v>120</v>
      </c>
      <c r="B39" t="str">
        <f>'PDF Scraping'!D38</f>
        <v>https://communications.parmenion-im.co.uk/acton/attachment/19226/f-02eed9c9-9283-4b78-bd3e-092c68becd8c/1/-/-/-/-/PIM%20Strategic%20Ethical%20Active%20A%20Factsheets%20RG7.pdf</v>
      </c>
    </row>
    <row r="40" spans="1:2" x14ac:dyDescent="0.25">
      <c r="A40" t="s">
        <v>121</v>
      </c>
      <c r="B40" t="str">
        <f>'PDF Scraping'!D39</f>
        <v>https://communications.parmenion-im.co.uk/acton/attachment/19226/f-6becd37a-6d7d-452a-82ca-8023aeabcaee/1/-/-/-/-/PIM%20Strategic%20Ethical%20Active%20A%20Factsheets%20RG8.pdf</v>
      </c>
    </row>
    <row r="41" spans="1:2" x14ac:dyDescent="0.25">
      <c r="A41" t="s">
        <v>122</v>
      </c>
      <c r="B41" t="str">
        <f>'PDF Scraping'!D40</f>
        <v>https://communications.parmenion-im.co.uk/acton/attachment/19226/f-af15480c-e44f-4363-b52b-4eee06404395/1/-/-/-/-/PIM%20Strategic%20Ethical%20Active%20A%20Factsheets%20RG9.pdf</v>
      </c>
    </row>
    <row r="42" spans="1:2" x14ac:dyDescent="0.25">
      <c r="A42" t="s">
        <v>123</v>
      </c>
      <c r="B42" t="str">
        <f>'PDF Scraping'!D41</f>
        <v>https://communications.parmenion-im.co.uk/acton/attachment/19226/f-b51c606c-d417-4628-9c0e-dfa8e234700a/1/-/-/-/-/PIM%20Strategic%20Ethical%20Active%20A%20Factsheets%20RG10.pdf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tabSelected="1" workbookViewId="0">
      <selection activeCell="G2" sqref="G2"/>
    </sheetView>
  </sheetViews>
  <sheetFormatPr defaultRowHeight="15" x14ac:dyDescent="0.25"/>
  <cols>
    <col min="1" max="1" width="32.140625" bestFit="1" customWidth="1"/>
    <col min="2" max="2" width="5.140625" bestFit="1" customWidth="1"/>
    <col min="3" max="3" width="20.7109375" style="10" bestFit="1" customWidth="1"/>
    <col min="4" max="4" width="11.5703125" style="10" bestFit="1" customWidth="1"/>
    <col min="5" max="5" width="3" style="10" bestFit="1" customWidth="1"/>
    <col min="6" max="7" width="3" bestFit="1" customWidth="1"/>
  </cols>
  <sheetData>
    <row r="1" spans="1:9" x14ac:dyDescent="0.25">
      <c r="B1" t="s">
        <v>22</v>
      </c>
      <c r="C1" t="s">
        <v>56</v>
      </c>
      <c r="D1" s="10" t="s">
        <v>57</v>
      </c>
      <c r="E1" s="6" t="s">
        <v>58</v>
      </c>
      <c r="F1" s="6" t="s">
        <v>59</v>
      </c>
      <c r="G1" s="6" t="s">
        <v>60</v>
      </c>
    </row>
    <row r="2" spans="1:9" x14ac:dyDescent="0.25">
      <c r="A2" t="str">
        <f>IF(Input!A3="","",Input!A3)</f>
        <v>PIM Tactical Active RG1</v>
      </c>
      <c r="B2" s="1"/>
      <c r="F2" s="5"/>
      <c r="G2" s="5"/>
      <c r="H2" s="5"/>
      <c r="I2" s="5"/>
    </row>
    <row r="3" spans="1:9" x14ac:dyDescent="0.25">
      <c r="A3" t="str">
        <f>IF(Input!A4="","",Input!A4)</f>
        <v>PIM Tactical Active RG2</v>
      </c>
      <c r="B3" s="1"/>
      <c r="F3" s="5"/>
      <c r="G3" s="5"/>
      <c r="H3" s="5"/>
      <c r="I3" s="5"/>
    </row>
    <row r="4" spans="1:9" x14ac:dyDescent="0.25">
      <c r="A4" t="str">
        <f>IF(Input!A5="","",Input!A5)</f>
        <v>PIM Tactical Active RG3</v>
      </c>
      <c r="B4" s="1"/>
      <c r="F4" s="5"/>
      <c r="G4" s="5"/>
      <c r="H4" s="5"/>
      <c r="I4" s="5"/>
    </row>
    <row r="5" spans="1:9" x14ac:dyDescent="0.25">
      <c r="A5" t="str">
        <f>IF(Input!A6="","",Input!A6)</f>
        <v>PIM Tactical Active RG4</v>
      </c>
      <c r="B5" s="1"/>
      <c r="F5" s="5"/>
      <c r="G5" s="5"/>
      <c r="H5" s="5"/>
      <c r="I5" s="5"/>
    </row>
    <row r="6" spans="1:9" x14ac:dyDescent="0.25">
      <c r="A6" t="str">
        <f>IF(Input!A7="","",Input!A7)</f>
        <v>PIM Tactical Active RG5</v>
      </c>
      <c r="B6" s="1"/>
      <c r="F6" s="5"/>
      <c r="G6" s="5"/>
      <c r="H6" s="5"/>
      <c r="I6" s="5"/>
    </row>
    <row r="7" spans="1:9" x14ac:dyDescent="0.25">
      <c r="A7" t="str">
        <f>IF(Input!A8="","",Input!A8)</f>
        <v>PIM Tactical Active RG6</v>
      </c>
      <c r="B7" s="1"/>
      <c r="F7" s="5"/>
      <c r="G7" s="5"/>
      <c r="H7" s="5"/>
      <c r="I7" s="5"/>
    </row>
    <row r="8" spans="1:9" x14ac:dyDescent="0.25">
      <c r="A8" t="str">
        <f>IF(Input!A9="","",Input!A9)</f>
        <v>PIM Tactical Active RG7</v>
      </c>
      <c r="B8" s="1"/>
      <c r="F8" s="5"/>
      <c r="G8" s="5"/>
      <c r="H8" s="5"/>
      <c r="I8" s="5"/>
    </row>
    <row r="9" spans="1:9" x14ac:dyDescent="0.25">
      <c r="A9" t="str">
        <f>IF(Input!A10="","",Input!A10)</f>
        <v>PIM Tactical Active RG8</v>
      </c>
      <c r="B9" s="1"/>
      <c r="F9" s="5"/>
      <c r="G9" s="5"/>
      <c r="H9" s="5"/>
      <c r="I9" s="5"/>
    </row>
    <row r="10" spans="1:9" x14ac:dyDescent="0.25">
      <c r="A10" t="str">
        <f>IF(Input!A11="","",Input!A11)</f>
        <v>PIM Tactical Active RG9</v>
      </c>
      <c r="B10" s="1"/>
      <c r="F10" s="5"/>
      <c r="G10" s="5"/>
      <c r="H10" s="5"/>
      <c r="I10" s="5"/>
    </row>
    <row r="11" spans="1:9" x14ac:dyDescent="0.25">
      <c r="A11" t="str">
        <f>IF(Input!A12="","",Input!A12)</f>
        <v>PIM Tactical Active RG10</v>
      </c>
      <c r="B11" s="1"/>
      <c r="F11" s="5"/>
      <c r="G11" s="5"/>
      <c r="H11" s="5"/>
      <c r="I11" s="5"/>
    </row>
    <row r="12" spans="1:9" x14ac:dyDescent="0.25">
      <c r="A12" t="str">
        <f>IF(Input!A13="","",Input!A13)</f>
        <v>PIM Strategic Conviction RG1</v>
      </c>
      <c r="B12" s="1"/>
      <c r="F12" s="5"/>
      <c r="G12" s="5"/>
      <c r="H12" s="5"/>
      <c r="I12" s="5"/>
    </row>
    <row r="13" spans="1:9" x14ac:dyDescent="0.25">
      <c r="A13" t="str">
        <f>IF(Input!A14="","",Input!A14)</f>
        <v>PIM Strategic Conviction RG2</v>
      </c>
      <c r="B13" s="1"/>
      <c r="F13" s="5"/>
      <c r="G13" s="5"/>
      <c r="H13" s="5"/>
      <c r="I13" s="5"/>
    </row>
    <row r="14" spans="1:9" x14ac:dyDescent="0.25">
      <c r="A14" t="str">
        <f>IF(Input!A15="","",Input!A15)</f>
        <v>PIM Strategic Conviction RG3</v>
      </c>
      <c r="B14" s="1"/>
      <c r="F14" s="5"/>
      <c r="G14" s="5"/>
      <c r="H14" s="5"/>
      <c r="I14" s="5"/>
    </row>
    <row r="15" spans="1:9" x14ac:dyDescent="0.25">
      <c r="A15" t="str">
        <f>IF(Input!A16="","",Input!A16)</f>
        <v>PIM Strategic Conviction RG4</v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>PIM Strategic Conviction RG5</v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>PIM Strategic Conviction RG6</v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>PIM Strategic Conviction RG7</v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>PIM Strategic Conviction RG8</v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>PIM Strategic Conviction RG9</v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>PIM Strategic Conviction RG10</v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>PIM Strategic Passive RG1</v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>PIM Strategic Passive RG2</v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>PIM Strategic Passive RG3</v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>PIM Strategic Passive RG4</v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>PIM Strategic Passive RG5</v>
      </c>
      <c r="B26" s="7"/>
    </row>
    <row r="27" spans="1:9" x14ac:dyDescent="0.25">
      <c r="A27" t="str">
        <f>IF(Input!A28="","",Input!A28)</f>
        <v>PIM Strategic Passive RG6</v>
      </c>
      <c r="B27" s="7"/>
    </row>
    <row r="28" spans="1:9" x14ac:dyDescent="0.25">
      <c r="A28" t="str">
        <f>IF(Input!A29="","",Input!A29)</f>
        <v>PIM Strategic Passive RG7</v>
      </c>
      <c r="B28" s="7"/>
    </row>
    <row r="29" spans="1:9" x14ac:dyDescent="0.25">
      <c r="A29" t="str">
        <f>IF(Input!A30="","",Input!A30)</f>
        <v>PIM Strategic Passive RG8</v>
      </c>
      <c r="B29" s="7"/>
    </row>
    <row r="30" spans="1:9" x14ac:dyDescent="0.25">
      <c r="A30" t="str">
        <f>IF(Input!A31="","",Input!A31)</f>
        <v>PIM Strategic Passive RG9</v>
      </c>
      <c r="B30" s="7"/>
    </row>
    <row r="31" spans="1:9" x14ac:dyDescent="0.25">
      <c r="A31" t="str">
        <f>IF(Input!A32="","",Input!A32)</f>
        <v>PIM Strategic Passive RG10</v>
      </c>
      <c r="B31" s="7"/>
    </row>
    <row r="32" spans="1:9" x14ac:dyDescent="0.25">
      <c r="A32" t="str">
        <f>IF(Input!A33="","",Input!A33)</f>
        <v>PIM Strategic Ethical Active A RG1</v>
      </c>
      <c r="B32" s="7"/>
    </row>
    <row r="33" spans="1:2" x14ac:dyDescent="0.25">
      <c r="A33" t="str">
        <f>IF(Input!A34="","",Input!A34)</f>
        <v>PIM Strategic Ethical Active A RG2</v>
      </c>
      <c r="B33" s="7"/>
    </row>
    <row r="34" spans="1:2" x14ac:dyDescent="0.25">
      <c r="A34" t="str">
        <f>IF(Input!A35="","",Input!A35)</f>
        <v>PIM Strategic Ethical Active A RG3</v>
      </c>
      <c r="B34" s="7"/>
    </row>
    <row r="35" spans="1:2" x14ac:dyDescent="0.25">
      <c r="A35" t="str">
        <f>IF(Input!A36="","",Input!A36)</f>
        <v>PIM Strategic Ethical Active A RG4</v>
      </c>
    </row>
    <row r="36" spans="1:2" x14ac:dyDescent="0.25">
      <c r="A36" t="str">
        <f>IF(Input!A37="","",Input!A37)</f>
        <v>PIM Strategic Ethical Active A RG5</v>
      </c>
    </row>
    <row r="37" spans="1:2" x14ac:dyDescent="0.25">
      <c r="A37" t="str">
        <f>IF(Input!A38="","",Input!A38)</f>
        <v>PIM Strategic Ethical Active A RG6</v>
      </c>
    </row>
    <row r="38" spans="1:2" x14ac:dyDescent="0.25">
      <c r="A38" t="str">
        <f>IF(Input!A39="","",Input!A39)</f>
        <v>PIM Strategic Ethical Active A RG7</v>
      </c>
    </row>
    <row r="39" spans="1:2" x14ac:dyDescent="0.25">
      <c r="A39" t="str">
        <f>IF(Input!A40="","",Input!A40)</f>
        <v>PIM Strategic Ethical Active A RG8</v>
      </c>
    </row>
    <row r="40" spans="1:2" x14ac:dyDescent="0.25">
      <c r="A40" t="str">
        <f>IF(Input!A41="","",Input!A41)</f>
        <v>PIM Strategic Ethical Active A RG9</v>
      </c>
    </row>
    <row r="41" spans="1:2" x14ac:dyDescent="0.25">
      <c r="A41" t="str">
        <f>IF(Input!A42="","",Input!A42)</f>
        <v>PIM Strategic Ethical Active A RG10</v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D10" sqref="D10"/>
    </sheetView>
  </sheetViews>
  <sheetFormatPr defaultRowHeight="15" x14ac:dyDescent="0.25"/>
  <cols>
    <col min="1" max="1" width="29.85546875" bestFit="1" customWidth="1"/>
    <col min="2" max="2" width="16.140625" style="10" bestFit="1" customWidth="1"/>
    <col min="3" max="3" width="23" style="10" bestFit="1" customWidth="1"/>
    <col min="4" max="4" width="34.42578125" style="10" bestFit="1" customWidth="1"/>
    <col min="5" max="5" width="21.85546875" style="10" bestFit="1" customWidth="1"/>
    <col min="6" max="6" width="11.85546875" style="10" bestFit="1" customWidth="1"/>
    <col min="7" max="7" width="20.140625" style="10" bestFit="1" customWidth="1"/>
    <col min="8" max="8" width="15.42578125" style="10" bestFit="1" customWidth="1"/>
    <col min="9" max="9" width="8.7109375" style="10" bestFit="1" customWidth="1"/>
    <col min="10" max="10" width="8.5703125" style="10" bestFit="1" customWidth="1"/>
    <col min="11" max="11" width="17.7109375" style="10" bestFit="1" customWidth="1"/>
    <col min="12" max="12" width="11.28515625" bestFit="1" customWidth="1"/>
    <col min="13" max="13" width="23.42578125" bestFit="1" customWidth="1"/>
    <col min="14" max="14" width="21.7109375" bestFit="1" customWidth="1"/>
    <col min="15" max="15" width="28.140625" bestFit="1" customWidth="1"/>
    <col min="16" max="16" width="7.140625" bestFit="1" customWidth="1"/>
    <col min="17" max="17" width="17.42578125" bestFit="1" customWidth="1"/>
    <col min="18" max="18" width="40.57031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124</v>
      </c>
      <c r="C1" s="10" t="s">
        <v>125</v>
      </c>
      <c r="D1" s="10" t="s">
        <v>126</v>
      </c>
      <c r="E1" s="10" t="s">
        <v>127</v>
      </c>
      <c r="F1" s="10" t="s">
        <v>128</v>
      </c>
      <c r="G1" s="10" t="s">
        <v>129</v>
      </c>
      <c r="H1" s="10" t="s">
        <v>130</v>
      </c>
      <c r="I1" s="10" t="s">
        <v>131</v>
      </c>
      <c r="J1" s="10" t="s">
        <v>132</v>
      </c>
      <c r="K1" s="10" t="s">
        <v>133</v>
      </c>
      <c r="L1" t="s">
        <v>134</v>
      </c>
      <c r="M1" t="s">
        <v>135</v>
      </c>
      <c r="N1" t="s">
        <v>136</v>
      </c>
      <c r="O1" t="s">
        <v>137</v>
      </c>
      <c r="P1" t="s">
        <v>138</v>
      </c>
      <c r="Q1" t="s">
        <v>139</v>
      </c>
      <c r="R1" t="s">
        <v>140</v>
      </c>
    </row>
    <row r="2" spans="1:30" x14ac:dyDescent="0.25">
      <c r="A2" t="str">
        <f>IF(Input!A3="","",Input!A3)</f>
        <v>PIM Tactical Active RG1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PIM Tactical Active RG2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PIM Tactical Active RG3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PIM Tactical Active RG4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PIM Tactical Active RG5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PIM Tactical Active RG6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PIM Tactical Active RG7</v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PIM Tactical Active RG8</v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PIM Tactical Active RG9</v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PIM Tactical Active RG10</v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PIM Strategic Conviction RG1</v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PIM Strategic Conviction RG2</v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PIM Strategic Conviction RG3</v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PIM Strategic Conviction RG4</v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PIM Strategic Conviction RG5</v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PIM Strategic Conviction RG6</v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PIM Strategic Conviction RG7</v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PIM Strategic Conviction RG8</v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PIM Strategic Conviction RG9</v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PIM Strategic Conviction RG10</v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PIM Strategic Passive RG1</v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PIM Strategic Passive RG2</v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PIM Strategic Passive RG3</v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PIM Strategic Passive RG4</v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PIM Strategic Passive RG5</v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PIM Strategic Passive RG6</v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PIM Strategic Passive RG7</v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PIM Strategic Passive RG8</v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>PIM Strategic Passive RG9</v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>PIM Strategic Passive RG10</v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>PIM Strategic Ethical Active A RG1</v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>PIM Strategic Ethical Active A RG2</v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>PIM Strategic Ethical Active A RG3</v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>PIM Strategic Ethical Active A RG4</v>
      </c>
    </row>
    <row r="36" spans="1:27" x14ac:dyDescent="0.25">
      <c r="A36" t="str">
        <f>IF(Input!A37="","",Input!A37)</f>
        <v>PIM Strategic Ethical Active A RG5</v>
      </c>
    </row>
    <row r="37" spans="1:27" x14ac:dyDescent="0.25">
      <c r="A37" t="str">
        <f>IF(Input!A38="","",Input!A38)</f>
        <v>PIM Strategic Ethical Active A RG6</v>
      </c>
    </row>
    <row r="38" spans="1:27" x14ac:dyDescent="0.25">
      <c r="A38" t="str">
        <f>IF(Input!A39="","",Input!A39)</f>
        <v>PIM Strategic Ethical Active A RG7</v>
      </c>
    </row>
    <row r="39" spans="1:27" x14ac:dyDescent="0.25">
      <c r="A39" t="str">
        <f>IF(Input!A40="","",Input!A40)</f>
        <v>PIM Strategic Ethical Active A RG8</v>
      </c>
    </row>
    <row r="40" spans="1:27" x14ac:dyDescent="0.25">
      <c r="A40" t="str">
        <f>IF(Input!A41="","",Input!A41)</f>
        <v>PIM Strategic Ethical Active A RG9</v>
      </c>
    </row>
    <row r="41" spans="1:27" x14ac:dyDescent="0.25">
      <c r="A41" t="str">
        <f>IF(Input!A42="","",Input!A42)</f>
        <v>PIM Strategic Ethical Active A RG10</v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B1" zoomScale="70" zoomScaleNormal="70" workbookViewId="0">
      <selection activeCell="D2" sqref="D2"/>
    </sheetView>
  </sheetViews>
  <sheetFormatPr defaultRowHeight="15" x14ac:dyDescent="0.25"/>
  <cols>
    <col min="1" max="1" width="19.5703125" bestFit="1" customWidth="1"/>
    <col min="2" max="2" width="148" bestFit="1" customWidth="1"/>
    <col min="3" max="3" width="41.42578125" bestFit="1" customWidth="1"/>
    <col min="4" max="4" width="166.140625" style="8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PIM Tactical Active RG1</v>
      </c>
      <c r="B2" t="s">
        <v>45</v>
      </c>
      <c r="C2" t="s">
        <v>35</v>
      </c>
      <c r="D2" s="8" t="s">
        <v>151</v>
      </c>
    </row>
    <row r="3" spans="1:5" x14ac:dyDescent="0.25">
      <c r="A3" t="str">
        <f>IF(Input!A4="","",Input!A4)</f>
        <v>PIM Tactical Active RG2</v>
      </c>
      <c r="B3" t="s">
        <v>45</v>
      </c>
      <c r="C3" t="s">
        <v>36</v>
      </c>
      <c r="D3" s="8" t="s">
        <v>152</v>
      </c>
    </row>
    <row r="4" spans="1:5" x14ac:dyDescent="0.25">
      <c r="A4" t="str">
        <f>IF(Input!A5="","",Input!A5)</f>
        <v>PIM Tactical Active RG3</v>
      </c>
      <c r="B4" t="s">
        <v>45</v>
      </c>
      <c r="C4" t="s">
        <v>37</v>
      </c>
      <c r="D4" s="8" t="s">
        <v>153</v>
      </c>
    </row>
    <row r="5" spans="1:5" x14ac:dyDescent="0.25">
      <c r="A5" t="str">
        <f>IF(Input!A6="","",Input!A6)</f>
        <v>PIM Tactical Active RG4</v>
      </c>
      <c r="B5" t="s">
        <v>45</v>
      </c>
      <c r="C5" t="s">
        <v>38</v>
      </c>
      <c r="D5" s="8" t="s">
        <v>154</v>
      </c>
    </row>
    <row r="6" spans="1:5" x14ac:dyDescent="0.25">
      <c r="A6" t="str">
        <f>IF(Input!A7="","",Input!A7)</f>
        <v>PIM Tactical Active RG5</v>
      </c>
      <c r="B6" t="s">
        <v>45</v>
      </c>
      <c r="C6" t="s">
        <v>39</v>
      </c>
      <c r="D6" s="8" t="s">
        <v>155</v>
      </c>
    </row>
    <row r="7" spans="1:5" x14ac:dyDescent="0.25">
      <c r="A7" t="str">
        <f>IF(Input!A8="","",Input!A8)</f>
        <v>PIM Tactical Active RG6</v>
      </c>
      <c r="B7" t="s">
        <v>45</v>
      </c>
      <c r="C7" t="s">
        <v>40</v>
      </c>
      <c r="D7" s="8" t="s">
        <v>156</v>
      </c>
    </row>
    <row r="8" spans="1:5" x14ac:dyDescent="0.25">
      <c r="A8" t="str">
        <f>IF(Input!A9="","",Input!A9)</f>
        <v>PIM Tactical Active RG7</v>
      </c>
      <c r="B8" t="s">
        <v>45</v>
      </c>
      <c r="C8" t="s">
        <v>41</v>
      </c>
      <c r="D8" s="8" t="s">
        <v>157</v>
      </c>
    </row>
    <row r="9" spans="1:5" x14ac:dyDescent="0.25">
      <c r="A9" t="str">
        <f>IF(Input!A10="","",Input!A10)</f>
        <v>PIM Tactical Active RG8</v>
      </c>
      <c r="B9" t="s">
        <v>45</v>
      </c>
      <c r="C9" t="s">
        <v>42</v>
      </c>
      <c r="D9" s="8" t="s">
        <v>158</v>
      </c>
    </row>
    <row r="10" spans="1:5" x14ac:dyDescent="0.25">
      <c r="A10" t="str">
        <f>IF(Input!A11="","",Input!A11)</f>
        <v>PIM Tactical Active RG9</v>
      </c>
      <c r="B10" t="s">
        <v>45</v>
      </c>
      <c r="C10" t="s">
        <v>43</v>
      </c>
      <c r="D10" s="8" t="s">
        <v>159</v>
      </c>
    </row>
    <row r="11" spans="1:5" x14ac:dyDescent="0.25">
      <c r="A11" t="str">
        <f>IF(Input!A12="","",Input!A12)</f>
        <v>PIM Tactical Active RG10</v>
      </c>
      <c r="B11" t="s">
        <v>45</v>
      </c>
      <c r="C11" t="s">
        <v>44</v>
      </c>
      <c r="D11" s="8" t="s">
        <v>160</v>
      </c>
    </row>
    <row r="12" spans="1:5" x14ac:dyDescent="0.25">
      <c r="A12" t="str">
        <f>IF(Input!A13="","",Input!A13)</f>
        <v>PIM Strategic Conviction RG1</v>
      </c>
      <c r="B12" t="s">
        <v>71</v>
      </c>
      <c r="C12" t="s">
        <v>61</v>
      </c>
      <c r="D12" s="8" t="s">
        <v>161</v>
      </c>
    </row>
    <row r="13" spans="1:5" x14ac:dyDescent="0.25">
      <c r="A13" t="str">
        <f>IF(Input!A14="","",Input!A14)</f>
        <v>PIM Strategic Conviction RG2</v>
      </c>
      <c r="B13" t="s">
        <v>71</v>
      </c>
      <c r="C13" t="s">
        <v>62</v>
      </c>
      <c r="D13" s="8" t="s">
        <v>162</v>
      </c>
    </row>
    <row r="14" spans="1:5" x14ac:dyDescent="0.25">
      <c r="A14" t="str">
        <f>IF(Input!A15="","",Input!A15)</f>
        <v>PIM Strategic Conviction RG3</v>
      </c>
      <c r="B14" t="s">
        <v>71</v>
      </c>
      <c r="C14" t="s">
        <v>63</v>
      </c>
      <c r="D14" s="8" t="s">
        <v>163</v>
      </c>
    </row>
    <row r="15" spans="1:5" x14ac:dyDescent="0.25">
      <c r="A15" t="str">
        <f>IF(Input!A16="","",Input!A16)</f>
        <v>PIM Strategic Conviction RG4</v>
      </c>
      <c r="B15" t="s">
        <v>71</v>
      </c>
      <c r="C15" t="s">
        <v>64</v>
      </c>
      <c r="D15" s="8" t="s">
        <v>164</v>
      </c>
    </row>
    <row r="16" spans="1:5" x14ac:dyDescent="0.25">
      <c r="A16" t="str">
        <f>IF(Input!A17="","",Input!A17)</f>
        <v>PIM Strategic Conviction RG5</v>
      </c>
      <c r="B16" t="s">
        <v>71</v>
      </c>
      <c r="C16" t="s">
        <v>65</v>
      </c>
      <c r="D16" s="8" t="s">
        <v>165</v>
      </c>
    </row>
    <row r="17" spans="1:4" x14ac:dyDescent="0.25">
      <c r="A17" t="str">
        <f>IF(Input!A18="","",Input!A18)</f>
        <v>PIM Strategic Conviction RG6</v>
      </c>
      <c r="B17" t="s">
        <v>71</v>
      </c>
      <c r="C17" t="s">
        <v>66</v>
      </c>
      <c r="D17" s="8" t="s">
        <v>166</v>
      </c>
    </row>
    <row r="18" spans="1:4" x14ac:dyDescent="0.25">
      <c r="A18" t="str">
        <f>IF(Input!A19="","",Input!A19)</f>
        <v>PIM Strategic Conviction RG7</v>
      </c>
      <c r="B18" t="s">
        <v>71</v>
      </c>
      <c r="C18" t="s">
        <v>67</v>
      </c>
      <c r="D18" s="8" t="s">
        <v>167</v>
      </c>
    </row>
    <row r="19" spans="1:4" x14ac:dyDescent="0.25">
      <c r="A19" t="str">
        <f>IF(Input!A20="","",Input!A20)</f>
        <v>PIM Strategic Conviction RG8</v>
      </c>
      <c r="B19" t="s">
        <v>71</v>
      </c>
      <c r="C19" t="s">
        <v>68</v>
      </c>
      <c r="D19" s="8" t="s">
        <v>168</v>
      </c>
    </row>
    <row r="20" spans="1:4" x14ac:dyDescent="0.25">
      <c r="A20" t="str">
        <f>IF(Input!A21="","",Input!A21)</f>
        <v>PIM Strategic Conviction RG9</v>
      </c>
      <c r="B20" t="s">
        <v>71</v>
      </c>
      <c r="C20" t="s">
        <v>69</v>
      </c>
      <c r="D20" s="8" t="s">
        <v>169</v>
      </c>
    </row>
    <row r="21" spans="1:4" x14ac:dyDescent="0.25">
      <c r="A21" t="str">
        <f>IF(Input!A22="","",Input!A22)</f>
        <v>PIM Strategic Conviction RG10</v>
      </c>
      <c r="B21" t="s">
        <v>71</v>
      </c>
      <c r="C21" t="s">
        <v>70</v>
      </c>
      <c r="D21" s="8" t="s">
        <v>170</v>
      </c>
    </row>
    <row r="22" spans="1:4" x14ac:dyDescent="0.25">
      <c r="A22" t="str">
        <f>IF(Input!A23="","",Input!A23)</f>
        <v>PIM Strategic Passive RG1</v>
      </c>
      <c r="B22" t="s">
        <v>92</v>
      </c>
      <c r="C22" t="s">
        <v>82</v>
      </c>
      <c r="D22" s="8" t="s">
        <v>171</v>
      </c>
    </row>
    <row r="23" spans="1:4" x14ac:dyDescent="0.25">
      <c r="A23" t="str">
        <f>IF(Input!A24="","",Input!A24)</f>
        <v>PIM Strategic Passive RG2</v>
      </c>
      <c r="B23" t="s">
        <v>92</v>
      </c>
      <c r="C23" t="s">
        <v>83</v>
      </c>
      <c r="D23" s="8" t="s">
        <v>172</v>
      </c>
    </row>
    <row r="24" spans="1:4" x14ac:dyDescent="0.25">
      <c r="A24" t="str">
        <f>IF(Input!A25="","",Input!A25)</f>
        <v>PIM Strategic Passive RG3</v>
      </c>
      <c r="B24" t="s">
        <v>92</v>
      </c>
      <c r="C24" t="s">
        <v>84</v>
      </c>
      <c r="D24" s="8" t="s">
        <v>173</v>
      </c>
    </row>
    <row r="25" spans="1:4" x14ac:dyDescent="0.25">
      <c r="A25" t="str">
        <f>IF(Input!A26="","",Input!A26)</f>
        <v>PIM Strategic Passive RG4</v>
      </c>
      <c r="B25" t="s">
        <v>92</v>
      </c>
      <c r="C25" t="s">
        <v>85</v>
      </c>
      <c r="D25" s="8" t="s">
        <v>174</v>
      </c>
    </row>
    <row r="26" spans="1:4" x14ac:dyDescent="0.25">
      <c r="A26" t="str">
        <f>IF(Input!A27="","",Input!A27)</f>
        <v>PIM Strategic Passive RG5</v>
      </c>
      <c r="B26" t="s">
        <v>92</v>
      </c>
      <c r="C26" t="s">
        <v>86</v>
      </c>
      <c r="D26" s="8" t="s">
        <v>175</v>
      </c>
    </row>
    <row r="27" spans="1:4" x14ac:dyDescent="0.25">
      <c r="A27" t="str">
        <f>IF(Input!A28="","",Input!A28)</f>
        <v>PIM Strategic Passive RG6</v>
      </c>
      <c r="B27" t="s">
        <v>92</v>
      </c>
      <c r="C27" t="s">
        <v>87</v>
      </c>
      <c r="D27" s="8" t="s">
        <v>176</v>
      </c>
    </row>
    <row r="28" spans="1:4" x14ac:dyDescent="0.25">
      <c r="A28" t="str">
        <f>IF(Input!A29="","",Input!A29)</f>
        <v>PIM Strategic Passive RG7</v>
      </c>
      <c r="B28" t="s">
        <v>92</v>
      </c>
      <c r="C28" t="s">
        <v>88</v>
      </c>
      <c r="D28" s="8" t="s">
        <v>177</v>
      </c>
    </row>
    <row r="29" spans="1:4" x14ac:dyDescent="0.25">
      <c r="A29" t="str">
        <f>IF(Input!A30="","",Input!A30)</f>
        <v>PIM Strategic Passive RG8</v>
      </c>
      <c r="B29" t="s">
        <v>92</v>
      </c>
      <c r="C29" t="s">
        <v>89</v>
      </c>
      <c r="D29" s="8" t="s">
        <v>178</v>
      </c>
    </row>
    <row r="30" spans="1:4" x14ac:dyDescent="0.25">
      <c r="A30" t="str">
        <f>IF(Input!A31="","",Input!A31)</f>
        <v>PIM Strategic Passive RG9</v>
      </c>
      <c r="B30" t="s">
        <v>92</v>
      </c>
      <c r="C30" t="s">
        <v>90</v>
      </c>
      <c r="D30" s="8" t="s">
        <v>179</v>
      </c>
    </row>
    <row r="31" spans="1:4" x14ac:dyDescent="0.25">
      <c r="A31" t="str">
        <f>IF(Input!A32="","",Input!A32)</f>
        <v>PIM Strategic Passive RG10</v>
      </c>
      <c r="B31" t="s">
        <v>92</v>
      </c>
      <c r="C31" t="s">
        <v>91</v>
      </c>
      <c r="D31" s="8" t="s">
        <v>180</v>
      </c>
    </row>
    <row r="32" spans="1:4" x14ac:dyDescent="0.25">
      <c r="A32" t="str">
        <f>IF(Input!A33="","",Input!A33)</f>
        <v>PIM Strategic Ethical Active A RG1</v>
      </c>
      <c r="B32" t="s">
        <v>113</v>
      </c>
      <c r="C32" t="s">
        <v>103</v>
      </c>
      <c r="D32" s="8" t="s">
        <v>141</v>
      </c>
    </row>
    <row r="33" spans="1:4" x14ac:dyDescent="0.25">
      <c r="A33" t="str">
        <f>IF(Input!A34="","",Input!A34)</f>
        <v>PIM Strategic Ethical Active A RG2</v>
      </c>
      <c r="B33" t="s">
        <v>113</v>
      </c>
      <c r="C33" t="s">
        <v>104</v>
      </c>
      <c r="D33" s="8" t="s">
        <v>142</v>
      </c>
    </row>
    <row r="34" spans="1:4" x14ac:dyDescent="0.25">
      <c r="A34" t="str">
        <f>IF(Input!A35="","",Input!A35)</f>
        <v>PIM Strategic Ethical Active A RG3</v>
      </c>
      <c r="B34" t="s">
        <v>113</v>
      </c>
      <c r="C34" t="s">
        <v>105</v>
      </c>
      <c r="D34" s="8" t="s">
        <v>143</v>
      </c>
    </row>
    <row r="35" spans="1:4" x14ac:dyDescent="0.25">
      <c r="A35" t="str">
        <f>IF(Input!A36="","",Input!A36)</f>
        <v>PIM Strategic Ethical Active A RG4</v>
      </c>
      <c r="B35" t="s">
        <v>113</v>
      </c>
      <c r="C35" t="s">
        <v>106</v>
      </c>
      <c r="D35" s="8" t="s">
        <v>144</v>
      </c>
    </row>
    <row r="36" spans="1:4" x14ac:dyDescent="0.25">
      <c r="A36" t="str">
        <f>IF(Input!A37="","",Input!A37)</f>
        <v>PIM Strategic Ethical Active A RG5</v>
      </c>
      <c r="B36" t="s">
        <v>113</v>
      </c>
      <c r="C36" t="s">
        <v>107</v>
      </c>
      <c r="D36" s="8" t="s">
        <v>145</v>
      </c>
    </row>
    <row r="37" spans="1:4" x14ac:dyDescent="0.25">
      <c r="A37" t="str">
        <f>IF(Input!A38="","",Input!A38)</f>
        <v>PIM Strategic Ethical Active A RG6</v>
      </c>
      <c r="B37" t="s">
        <v>113</v>
      </c>
      <c r="C37" t="s">
        <v>108</v>
      </c>
      <c r="D37" s="8" t="s">
        <v>146</v>
      </c>
    </row>
    <row r="38" spans="1:4" x14ac:dyDescent="0.25">
      <c r="A38" t="str">
        <f>IF(Input!A39="","",Input!A39)</f>
        <v>PIM Strategic Ethical Active A RG7</v>
      </c>
      <c r="B38" t="s">
        <v>113</v>
      </c>
      <c r="C38" t="s">
        <v>109</v>
      </c>
      <c r="D38" s="8" t="s">
        <v>147</v>
      </c>
    </row>
    <row r="39" spans="1:4" x14ac:dyDescent="0.25">
      <c r="A39" t="str">
        <f>IF(Input!A40="","",Input!A40)</f>
        <v>PIM Strategic Ethical Active A RG8</v>
      </c>
      <c r="B39" t="s">
        <v>113</v>
      </c>
      <c r="C39" t="s">
        <v>110</v>
      </c>
      <c r="D39" s="8" t="s">
        <v>148</v>
      </c>
    </row>
    <row r="40" spans="1:4" x14ac:dyDescent="0.25">
      <c r="A40" t="str">
        <f>IF(Input!A41="","",Input!A41)</f>
        <v>PIM Strategic Ethical Active A RG9</v>
      </c>
      <c r="B40" t="s">
        <v>113</v>
      </c>
      <c r="C40" t="s">
        <v>111</v>
      </c>
      <c r="D40" s="8" t="s">
        <v>149</v>
      </c>
    </row>
    <row r="41" spans="1:4" x14ac:dyDescent="0.25">
      <c r="A41" t="str">
        <f>IF(Input!A42="","",Input!A42)</f>
        <v>PIM Strategic Ethical Active A RG10</v>
      </c>
      <c r="B41" t="s">
        <v>113</v>
      </c>
      <c r="C41" t="s">
        <v>112</v>
      </c>
      <c r="D41" s="8" t="s">
        <v>150</v>
      </c>
    </row>
    <row r="42" spans="1:4" x14ac:dyDescent="0.25">
      <c r="A42" t="str">
        <f>IF(Input!A43="","",Input!A43)</f>
        <v/>
      </c>
    </row>
    <row r="43" spans="1:4" x14ac:dyDescent="0.25">
      <c r="A43" t="str">
        <f>IF(Input!A44="","",Input!A44)</f>
        <v/>
      </c>
    </row>
    <row r="44" spans="1:4" x14ac:dyDescent="0.25">
      <c r="A44" t="str">
        <f>IF(Input!A45="","",Input!A45)</f>
        <v/>
      </c>
    </row>
    <row r="45" spans="1:4" x14ac:dyDescent="0.25">
      <c r="A45" t="str">
        <f>IF(Input!A46="","",Input!A46)</f>
        <v/>
      </c>
    </row>
    <row r="46" spans="1:4" x14ac:dyDescent="0.25">
      <c r="A46" t="str">
        <f>IF(Input!A47="","",Input!A47)</f>
        <v/>
      </c>
    </row>
    <row r="47" spans="1:4" x14ac:dyDescent="0.25">
      <c r="A47" t="str">
        <f>IF(Input!A48="","",Input!A48)</f>
        <v/>
      </c>
    </row>
    <row r="48" spans="1:4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PIM Tactical Active RG1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PIM Tactical Active RG2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PIM Tactical Active RG3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PIM Tactical Active RG4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PIM Tactical Active RG5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PIM Tactical Active RG6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PIM Tactical Active RG7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PIM Tactical Active RG8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PIM Tactical Active RG9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PIM Tactical Active RG10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PIM Strategic Conviction RG1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PIM Strategic Conviction RG2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PIM Strategic Conviction RG3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PIM Strategic Conviction RG4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PIM Strategic Conviction RG5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PIM Strategic Conviction RG6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PIM Strategic Conviction RG7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PIM Strategic Conviction RG8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PIM Strategic Conviction RG9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PIM Strategic Conviction RG10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PIM Strategic Passive RG1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PIM Strategic Passive RG2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PIM Strategic Passive RG3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PIM Strategic Passive RG4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>PIM Strategic Passive RG5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25">
      <c r="A27" t="str">
        <f>IF(Input!A28="","",Input!A28)</f>
        <v>PIM Strategic Passive RG6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25">
      <c r="A28" t="str">
        <f>IF(Input!A29="","",Input!A29)</f>
        <v>PIM Strategic Passive RG7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25">
      <c r="A29" t="str">
        <f>IF(Input!A30="","",Input!A30)</f>
        <v>PIM Strategic Passive RG8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25">
      <c r="A30" t="str">
        <f>IF(Input!A31="","",Input!A31)</f>
        <v>PIM Strategic Passive RG9</v>
      </c>
      <c r="B30" s="1">
        <f>IF(A30="","",EOMONTH(DATE(YEAR(IF(A30="","",'Additional Information'!B30)),MONTH(IF(A30="","",'Additional Information'!B30)),DAY(IF(A30="","",'Additional Information'!B30))),0))</f>
        <v>31</v>
      </c>
    </row>
    <row r="31" spans="1:2" x14ac:dyDescent="0.25">
      <c r="A31" t="str">
        <f>IF(Input!A32="","",Input!A32)</f>
        <v>PIM Strategic Passive RG10</v>
      </c>
      <c r="B31" s="1">
        <f>IF(A31="","",EOMONTH(DATE(YEAR(IF(A31="","",'Additional Information'!B31)),MONTH(IF(A31="","",'Additional Information'!B31)),DAY(IF(A31="","",'Additional Information'!B31))),0))</f>
        <v>31</v>
      </c>
    </row>
    <row r="32" spans="1:2" x14ac:dyDescent="0.25">
      <c r="A32" t="str">
        <f>IF(Input!A33="","",Input!A33)</f>
        <v>PIM Strategic Ethical Active A RG1</v>
      </c>
      <c r="B32" s="1">
        <f>IF(A32="","",EOMONTH(DATE(YEAR(IF(A32="","",'Additional Information'!B32)),MONTH(IF(A32="","",'Additional Information'!B32)),DAY(IF(A32="","",'Additional Information'!B32))),0))</f>
        <v>31</v>
      </c>
    </row>
    <row r="33" spans="1:2" x14ac:dyDescent="0.25">
      <c r="A33" t="str">
        <f>IF(Input!A34="","",Input!A34)</f>
        <v>PIM Strategic Ethical Active A RG2</v>
      </c>
      <c r="B33" s="1">
        <f>IF(A33="","",EOMONTH(DATE(YEAR(IF(A33="","",'Additional Information'!B33)),MONTH(IF(A33="","",'Additional Information'!B33)),DAY(IF(A33="","",'Additional Information'!B33))),0))</f>
        <v>31</v>
      </c>
    </row>
    <row r="34" spans="1:2" x14ac:dyDescent="0.25">
      <c r="A34" t="str">
        <f>IF(Input!A35="","",Input!A35)</f>
        <v>PIM Strategic Ethical Active A RG3</v>
      </c>
      <c r="B34" s="1">
        <f>IF(A34="","",EOMONTH(DATE(YEAR(IF(A34="","",'Additional Information'!B34)),MONTH(IF(A34="","",'Additional Information'!B34)),DAY(IF(A34="","",'Additional Information'!B34))),0))</f>
        <v>31</v>
      </c>
    </row>
    <row r="35" spans="1:2" x14ac:dyDescent="0.25">
      <c r="A35" t="str">
        <f>IF(Input!A36="","",Input!A36)</f>
        <v>PIM Strategic Ethical Active A RG4</v>
      </c>
      <c r="B35" s="1">
        <f>IF(A35="","",EOMONTH(DATE(YEAR(IF(A35="","",'Additional Information'!B35)),MONTH(IF(A35="","",'Additional Information'!B35)),DAY(IF(A35="","",'Additional Information'!B35))),0))</f>
        <v>31</v>
      </c>
    </row>
    <row r="36" spans="1:2" x14ac:dyDescent="0.25">
      <c r="A36" t="str">
        <f>IF(Input!A37="","",Input!A37)</f>
        <v>PIM Strategic Ethical Active A RG5</v>
      </c>
      <c r="B36" s="1">
        <f>IF(A36="","",EOMONTH(DATE(YEAR(IF(A36="","",'Additional Information'!B36)),MONTH(IF(A36="","",'Additional Information'!B36)),DAY(IF(A36="","",'Additional Information'!B36))),0))</f>
        <v>31</v>
      </c>
    </row>
    <row r="37" spans="1:2" x14ac:dyDescent="0.25">
      <c r="A37" t="str">
        <f>IF(Input!A38="","",Input!A38)</f>
        <v>PIM Strategic Ethical Active A RG6</v>
      </c>
      <c r="B37" s="1">
        <f>IF(A37="","",EOMONTH(DATE(YEAR(IF(A37="","",'Additional Information'!B37)),MONTH(IF(A37="","",'Additional Information'!B37)),DAY(IF(A37="","",'Additional Information'!B37))),0))</f>
        <v>31</v>
      </c>
    </row>
    <row r="38" spans="1:2" x14ac:dyDescent="0.25">
      <c r="A38" t="str">
        <f>IF(Input!A39="","",Input!A39)</f>
        <v>PIM Strategic Ethical Active A RG7</v>
      </c>
      <c r="B38" s="1">
        <f>IF(A38="","",EOMONTH(DATE(YEAR(IF(A38="","",'Additional Information'!B38)),MONTH(IF(A38="","",'Additional Information'!B38)),DAY(IF(A38="","",'Additional Information'!B38))),0))</f>
        <v>31</v>
      </c>
    </row>
    <row r="39" spans="1:2" x14ac:dyDescent="0.25">
      <c r="A39" t="str">
        <f>IF(Input!A40="","",Input!A40)</f>
        <v>PIM Strategic Ethical Active A RG8</v>
      </c>
      <c r="B39" s="1">
        <f>IF(A39="","",EOMONTH(DATE(YEAR(IF(A39="","",'Additional Information'!B39)),MONTH(IF(A39="","",'Additional Information'!B39)),DAY(IF(A39="","",'Additional Information'!B39))),0))</f>
        <v>31</v>
      </c>
    </row>
    <row r="40" spans="1:2" x14ac:dyDescent="0.25">
      <c r="A40" t="str">
        <f>IF(Input!A41="","",Input!A41)</f>
        <v>PIM Strategic Ethical Active A RG9</v>
      </c>
      <c r="B40" s="1">
        <f>IF(A40="","",EOMONTH(DATE(YEAR(IF(A40="","",'Additional Information'!B40)),MONTH(IF(A40="","",'Additional Information'!B40)),DAY(IF(A40="","",'Additional Information'!B40))),0))</f>
        <v>31</v>
      </c>
    </row>
    <row r="41" spans="1:2" x14ac:dyDescent="0.25">
      <c r="A41" t="str">
        <f>IF(Input!A42="","",Input!A42)</f>
        <v>PIM Strategic Ethical Active A RG10</v>
      </c>
      <c r="B41" s="1">
        <f>IF(A41="","",EOMONTH(DATE(YEAR(IF(A41="","",'Additional Information'!B41)),MONTH(IF(A41="","",'Additional Information'!B41)),DAY(IF(A41="","",'Additional Information'!B41))),0))</f>
        <v>31</v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PIM Tactical Active RG1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PIM Tactical Active RG2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PIM Tactical Active RG3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PIM Tactical Active RG4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PIM Tactical Active RG5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PIM Tactical Active RG6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PIM Tactical Active RG7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0</v>
      </c>
      <c r="E8">
        <f>IF(A8="","",SUM('Additional Information'!C8))</f>
        <v>0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PIM Tactical Active RG8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0</v>
      </c>
      <c r="E9">
        <f>IF(A9="","",SUM('Additional Information'!C9))</f>
        <v>0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PIM Tactical Active RG9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0</v>
      </c>
      <c r="E10">
        <f>IF(A10="","",SUM('Additional Information'!C10))</f>
        <v>0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PIM Tactical Active RG10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0</v>
      </c>
      <c r="E11">
        <f>IF(A11="","",SUM('Additional Information'!C11))</f>
        <v>0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PIM Strategic Conviction RG1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0</v>
      </c>
      <c r="E12">
        <f>IF(A12="","",SUM('Additional Information'!C12))</f>
        <v>0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PIM Strategic Conviction RG2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0</v>
      </c>
      <c r="E13">
        <f>IF(A13="","",SUM('Additional Information'!C13))</f>
        <v>0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PIM Strategic Conviction RG3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0</v>
      </c>
      <c r="E14">
        <f>IF(A14="","",SUM('Additional Information'!C14))</f>
        <v>0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>PIM Strategic Conviction RG4</v>
      </c>
      <c r="C15" t="str">
        <f>IF(A15="","",IF(OR('Additional Information'!G15="",'Additional Information'!G15="-"),"",'Additional Information'!G15))</f>
        <v/>
      </c>
      <c r="D15" s="5">
        <f>IF(A15="","",SUM('Additional Information'!C15,'Additional Information'!D15))</f>
        <v>0</v>
      </c>
      <c r="E15">
        <f>IF(A15="","",SUM('Additional Information'!C15))</f>
        <v>0</v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>PIM Strategic Conviction RG5</v>
      </c>
      <c r="C16" t="str">
        <f>IF(A16="","",IF(OR('Additional Information'!G16="",'Additional Information'!G16="-"),"",'Additional Information'!G16))</f>
        <v/>
      </c>
      <c r="D16" s="5">
        <f>IF(A16="","",SUM('Additional Information'!C16,'Additional Information'!D16))</f>
        <v>0</v>
      </c>
      <c r="E16">
        <f>IF(A16="","",SUM('Additional Information'!C16))</f>
        <v>0</v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>PIM Strategic Conviction RG6</v>
      </c>
      <c r="C17" t="str">
        <f>IF(A17="","",IF(OR('Additional Information'!G17="",'Additional Information'!G17="-"),"",'Additional Information'!G17))</f>
        <v/>
      </c>
      <c r="D17" s="5">
        <f>IF(A17="","",SUM('Additional Information'!C17,'Additional Information'!D17))</f>
        <v>0</v>
      </c>
      <c r="E17">
        <f>IF(A17="","",SUM('Additional Information'!C17))</f>
        <v>0</v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>PIM Strategic Conviction RG7</v>
      </c>
      <c r="C18" t="str">
        <f>IF(A18="","",IF(OR('Additional Information'!G18="",'Additional Information'!G18="-"),"",'Additional Information'!G18))</f>
        <v/>
      </c>
      <c r="D18" s="5">
        <f>IF(A18="","",SUM('Additional Information'!C18,'Additional Information'!D18))</f>
        <v>0</v>
      </c>
      <c r="E18">
        <f>IF(A18="","",SUM('Additional Information'!C18))</f>
        <v>0</v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>PIM Strategic Conviction RG8</v>
      </c>
      <c r="C19" t="str">
        <f>IF(A19="","",IF(OR('Additional Information'!G19="",'Additional Information'!G19="-"),"",'Additional Information'!G19))</f>
        <v/>
      </c>
      <c r="D19" s="5">
        <f>IF(A19="","",SUM('Additional Information'!C19,'Additional Information'!D19))</f>
        <v>0</v>
      </c>
      <c r="E19">
        <f>IF(A19="","",SUM('Additional Information'!C19))</f>
        <v>0</v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>PIM Strategic Conviction RG9</v>
      </c>
      <c r="C20" t="str">
        <f>IF(A20="","",IF(OR('Additional Information'!G20="",'Additional Information'!G20="-"),"",'Additional Information'!G20))</f>
        <v/>
      </c>
      <c r="D20" s="5">
        <f>IF(A20="","",SUM('Additional Information'!C20,'Additional Information'!D20))</f>
        <v>0</v>
      </c>
      <c r="E20">
        <f>IF(A20="","",SUM('Additional Information'!C20))</f>
        <v>0</v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>PIM Strategic Conviction RG10</v>
      </c>
      <c r="C21" t="str">
        <f>IF(A21="","",IF(OR('Additional Information'!G21="",'Additional Information'!G21="-"),"",'Additional Information'!G21))</f>
        <v/>
      </c>
      <c r="D21" s="5">
        <f>IF(A21="","",SUM('Additional Information'!C21,'Additional Information'!D21))</f>
        <v>0</v>
      </c>
      <c r="E21">
        <f>IF(A21="","",SUM('Additional Information'!C21))</f>
        <v>0</v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>PIM Strategic Passive RG1</v>
      </c>
      <c r="C22" t="str">
        <f>IF(A22="","",IF(OR('Additional Information'!G22="",'Additional Information'!G22="-"),"",'Additional Information'!G22))</f>
        <v/>
      </c>
      <c r="D22" s="5">
        <f>IF(A22="","",SUM('Additional Information'!C22,'Additional Information'!D22))</f>
        <v>0</v>
      </c>
      <c r="E22">
        <f>IF(A22="","",SUM('Additional Information'!C22))</f>
        <v>0</v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>PIM Strategic Passive RG2</v>
      </c>
      <c r="C23" t="str">
        <f>IF(A23="","",IF(OR('Additional Information'!G23="",'Additional Information'!G23="-"),"",'Additional Information'!G23))</f>
        <v/>
      </c>
      <c r="D23" s="5">
        <f>IF(A23="","",SUM('Additional Information'!C23,'Additional Information'!D23))</f>
        <v>0</v>
      </c>
      <c r="E23">
        <f>IF(A23="","",SUM('Additional Information'!C23))</f>
        <v>0</v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>PIM Strategic Passive RG3</v>
      </c>
      <c r="C24" t="str">
        <f>IF(A24="","",IF(OR('Additional Information'!G24="",'Additional Information'!G24="-"),"",'Additional Information'!G24))</f>
        <v/>
      </c>
      <c r="D24" s="5">
        <f>IF(A24="","",SUM('Additional Information'!C24,'Additional Information'!D24))</f>
        <v>0</v>
      </c>
      <c r="E24">
        <f>IF(A24="","",SUM('Additional Information'!C24))</f>
        <v>0</v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>PIM Strategic Passive RG4</v>
      </c>
      <c r="C25" t="str">
        <f>IF(A25="","",IF(OR('Additional Information'!G25="",'Additional Information'!G25="-"),"",'Additional Information'!G25))</f>
        <v/>
      </c>
      <c r="D25" s="5">
        <f>IF(A25="","",SUM('Additional Information'!C25,'Additional Information'!D25))</f>
        <v>0</v>
      </c>
      <c r="E25">
        <f>IF(A25="","",SUM('Additional Information'!C25))</f>
        <v>0</v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>PIM Strategic Passive RG5</v>
      </c>
      <c r="C26" t="str">
        <f>IF(A26="","",IF(OR('Additional Information'!G26="",'Additional Information'!G26="-"),"",'Additional Information'!G26))</f>
        <v/>
      </c>
      <c r="D26" s="5">
        <f>IF(A26="","",SUM('Additional Information'!C26,'Additional Information'!D26))</f>
        <v>0</v>
      </c>
      <c r="E26">
        <f>IF(A26="","",SUM('Additional Information'!C26))</f>
        <v>0</v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>PIM Strategic Passive RG6</v>
      </c>
      <c r="C27" t="str">
        <f>IF(A27="","",IF(OR('Additional Information'!G27="",'Additional Information'!G27="-"),"",'Additional Information'!G27))</f>
        <v/>
      </c>
      <c r="D27" s="5">
        <f>IF(A27="","",SUM('Additional Information'!C27,'Additional Information'!D27))</f>
        <v>0</v>
      </c>
      <c r="E27">
        <f>IF(A27="","",SUM('Additional Information'!C27))</f>
        <v>0</v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>PIM Strategic Passive RG7</v>
      </c>
      <c r="C28" t="str">
        <f>IF(A28="","",IF(OR('Additional Information'!G28="",'Additional Information'!G28="-"),"",'Additional Information'!G28))</f>
        <v/>
      </c>
      <c r="D28" s="5">
        <f>IF(A28="","",SUM('Additional Information'!C28,'Additional Information'!D28))</f>
        <v>0</v>
      </c>
      <c r="E28">
        <f>IF(A28="","",SUM('Additional Information'!C28))</f>
        <v>0</v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>PIM Strategic Passive RG8</v>
      </c>
      <c r="C29" t="str">
        <f>IF(A29="","",IF(OR('Additional Information'!G29="",'Additional Information'!G29="-"),"",'Additional Information'!G29))</f>
        <v/>
      </c>
      <c r="D29" s="5">
        <f>IF(A29="","",SUM('Additional Information'!C29,'Additional Information'!D29))</f>
        <v>0</v>
      </c>
      <c r="E29">
        <f>IF(A29="","",SUM('Additional Information'!C29))</f>
        <v>0</v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>PIM Strategic Passive RG9</v>
      </c>
      <c r="C30" t="str">
        <f>IF(A30="","",IF(OR('Additional Information'!G30="",'Additional Information'!G30="-"),"",'Additional Information'!G30))</f>
        <v/>
      </c>
      <c r="D30" s="5">
        <f>IF(A30="","",SUM('Additional Information'!C30,'Additional Information'!D30))</f>
        <v>0</v>
      </c>
      <c r="E30">
        <f>IF(A30="","",SUM('Additional Information'!C30))</f>
        <v>0</v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>PIM Strategic Passive RG10</v>
      </c>
      <c r="C31" t="str">
        <f>IF(A31="","",IF(OR('Additional Information'!G31="",'Additional Information'!G31="-"),"",'Additional Information'!G31))</f>
        <v/>
      </c>
      <c r="D31" s="5">
        <f>IF(A31="","",SUM('Additional Information'!C31,'Additional Information'!D31))</f>
        <v>0</v>
      </c>
      <c r="E31">
        <f>IF(A31="","",SUM('Additional Information'!C31))</f>
        <v>0</v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>PIM Strategic Ethical Active A RG1</v>
      </c>
      <c r="C32" t="str">
        <f>IF(A32="","",IF(OR('Additional Information'!G32="",'Additional Information'!G32="-"),"",'Additional Information'!G32))</f>
        <v/>
      </c>
      <c r="D32" s="5">
        <f>IF(A32="","",SUM('Additional Information'!C32,'Additional Information'!D32))</f>
        <v>0</v>
      </c>
      <c r="E32">
        <f>IF(A32="","",SUM('Additional Information'!C32))</f>
        <v>0</v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>PIM Strategic Ethical Active A RG2</v>
      </c>
      <c r="C33" t="str">
        <f>IF(A33="","",IF(OR('Additional Information'!G33="",'Additional Information'!G33="-"),"",'Additional Information'!G33))</f>
        <v/>
      </c>
      <c r="D33" s="5">
        <f>IF(A33="","",SUM('Additional Information'!C33,'Additional Information'!D33))</f>
        <v>0</v>
      </c>
      <c r="E33">
        <f>IF(A33="","",SUM('Additional Information'!C33))</f>
        <v>0</v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>PIM Strategic Ethical Active A RG3</v>
      </c>
      <c r="C34" t="str">
        <f>IF(A34="","",IF(OR('Additional Information'!G34="",'Additional Information'!G34="-"),"",'Additional Information'!G34))</f>
        <v/>
      </c>
      <c r="D34" s="5">
        <f>IF(A34="","",SUM('Additional Information'!C34,'Additional Information'!D34))</f>
        <v>0</v>
      </c>
      <c r="E34">
        <f>IF(A34="","",SUM('Additional Information'!C34))</f>
        <v>0</v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>PIM Strategic Ethical Active A RG4</v>
      </c>
      <c r="C35" t="str">
        <f>IF(A35="","",IF(OR('Additional Information'!G35="",'Additional Information'!G35="-"),"",'Additional Information'!G35))</f>
        <v/>
      </c>
      <c r="D35" s="5">
        <f>IF(A35="","",SUM('Additional Information'!C35,'Additional Information'!D35))</f>
        <v>0</v>
      </c>
      <c r="E35">
        <f>IF(A35="","",SUM('Additional Information'!C35))</f>
        <v>0</v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>PIM Strategic Ethical Active A RG5</v>
      </c>
      <c r="C36" t="str">
        <f>IF(A36="","",IF(OR('Additional Information'!G36="",'Additional Information'!G36="-"),"",'Additional Information'!G36))</f>
        <v/>
      </c>
      <c r="D36" s="5">
        <f>IF(A36="","",SUM('Additional Information'!C36,'Additional Information'!D36))</f>
        <v>0</v>
      </c>
      <c r="E36">
        <f>IF(A36="","",SUM('Additional Information'!C36))</f>
        <v>0</v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>PIM Strategic Ethical Active A RG6</v>
      </c>
      <c r="C37" t="str">
        <f>IF(A37="","",IF(OR('Additional Information'!G37="",'Additional Information'!G37="-"),"",'Additional Information'!G37))</f>
        <v/>
      </c>
      <c r="D37" s="5">
        <f>IF(A37="","",SUM('Additional Information'!C37,'Additional Information'!D37))</f>
        <v>0</v>
      </c>
      <c r="E37">
        <f>IF(A37="","",SUM('Additional Information'!C37))</f>
        <v>0</v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>PIM Strategic Ethical Active A RG7</v>
      </c>
      <c r="C38" t="str">
        <f>IF(A38="","",IF(OR('Additional Information'!G38="",'Additional Information'!G38="-"),"",'Additional Information'!G38))</f>
        <v/>
      </c>
      <c r="D38" s="5">
        <f>IF(A38="","",SUM('Additional Information'!C38,'Additional Information'!D38))</f>
        <v>0</v>
      </c>
      <c r="E38">
        <f>IF(A38="","",SUM('Additional Information'!C38))</f>
        <v>0</v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>PIM Strategic Ethical Active A RG8</v>
      </c>
      <c r="C39" t="str">
        <f>IF(A39="","",IF(OR('Additional Information'!G39="",'Additional Information'!G39="-"),"",'Additional Information'!G39))</f>
        <v/>
      </c>
      <c r="D39" s="5">
        <f>IF(A39="","",SUM('Additional Information'!C39,'Additional Information'!D39))</f>
        <v>0</v>
      </c>
      <c r="E39">
        <f>IF(A39="","",SUM('Additional Information'!C39))</f>
        <v>0</v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>PIM Strategic Ethical Active A RG9</v>
      </c>
      <c r="C40" t="str">
        <f>IF(A40="","",IF(OR('Additional Information'!G40="",'Additional Information'!G40="-"),"",'Additional Information'!G40))</f>
        <v/>
      </c>
      <c r="D40" s="5">
        <f>IF(A40="","",SUM('Additional Information'!C40,'Additional Information'!D40))</f>
        <v>0</v>
      </c>
      <c r="E40">
        <f>IF(A40="","",SUM('Additional Information'!C40))</f>
        <v>0</v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>PIM Strategic Ethical Active A RG10</v>
      </c>
      <c r="C41" t="str">
        <f>IF(A41="","",IF(OR('Additional Information'!G41="",'Additional Information'!G41="-"),"",'Additional Information'!G41))</f>
        <v/>
      </c>
      <c r="D41" s="5">
        <f>IF(A41="","",SUM('Additional Information'!C41,'Additional Information'!D41))</f>
        <v>0</v>
      </c>
      <c r="E41">
        <f>IF(A41="","",SUM('Additional Information'!C41))</f>
        <v>0</v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PIM Tactical Active RG1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PIM Tactical Active RG2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25">
      <c r="A4" t="str">
        <f>IF(Input!A5="","",Input!A5)</f>
        <v>PIM Tactical Active RG3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25">
      <c r="A5" t="str">
        <f>IF(Input!A6="","",Input!A6)</f>
        <v>PIM Tactical Active RG4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25">
      <c r="A6" t="str">
        <f>IF(Input!A7="","",Input!A7)</f>
        <v>PIM Tactical Active RG5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25">
      <c r="A7" t="str">
        <f>IF(Input!A8="","",Input!A8)</f>
        <v>PIM Tactical Active RG6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</v>
      </c>
      <c r="G7">
        <f>IF(A7="","",SUM('Asset Allocation'!B7))</f>
        <v>0</v>
      </c>
      <c r="H7">
        <f t="shared" si="0"/>
        <v>1</v>
      </c>
    </row>
    <row r="8" spans="1:8" x14ac:dyDescent="0.25">
      <c r="A8" t="str">
        <f>IF(Input!A9="","",Input!A9)</f>
        <v>PIM Tactical Active RG7</v>
      </c>
      <c r="B8">
        <f>IF(A8="","",SUM('Asset Allocation'!F8,'Asset Allocation'!G8,'Asset Allocation'!H8,'Asset Allocation'!I8,'Asset Allocation'!J8,'Asset Allocation'!K8))</f>
        <v>0</v>
      </c>
      <c r="C8">
        <f>IF(A8="","",SUM('Asset Allocation'!C8))</f>
        <v>0</v>
      </c>
      <c r="D8">
        <f>IF(A8="","",SUM('Asset Allocation'!D8))</f>
        <v>0</v>
      </c>
      <c r="F8">
        <f>IF(A8="","",SUM('Asset Allocation'!E8))</f>
        <v>0</v>
      </c>
      <c r="G8">
        <f>IF(A8="","",SUM('Asset Allocation'!B8))</f>
        <v>0</v>
      </c>
      <c r="H8">
        <f t="shared" si="0"/>
        <v>1</v>
      </c>
    </row>
    <row r="9" spans="1:8" x14ac:dyDescent="0.25">
      <c r="A9" t="str">
        <f>IF(Input!A10="","",Input!A10)</f>
        <v>PIM Tactical Active RG8</v>
      </c>
      <c r="B9">
        <f>IF(A9="","",SUM('Asset Allocation'!F9,'Asset Allocation'!G9,'Asset Allocation'!H9,'Asset Allocation'!I9,'Asset Allocation'!J9,'Asset Allocation'!K9))</f>
        <v>0</v>
      </c>
      <c r="C9">
        <f>IF(A9="","",SUM('Asset Allocation'!C9))</f>
        <v>0</v>
      </c>
      <c r="D9">
        <f>IF(A9="","",SUM('Asset Allocation'!D9))</f>
        <v>0</v>
      </c>
      <c r="F9">
        <f>IF(A9="","",SUM('Asset Allocation'!E9))</f>
        <v>0</v>
      </c>
      <c r="G9">
        <f>IF(A9="","",SUM('Asset Allocation'!B9))</f>
        <v>0</v>
      </c>
      <c r="H9">
        <f t="shared" si="0"/>
        <v>1</v>
      </c>
    </row>
    <row r="10" spans="1:8" x14ac:dyDescent="0.25">
      <c r="A10" t="str">
        <f>IF(Input!A11="","",Input!A11)</f>
        <v>PIM Tactical Active RG9</v>
      </c>
      <c r="B10">
        <f>IF(A10="","",SUM('Asset Allocation'!F10,'Asset Allocation'!G10,'Asset Allocation'!H10,'Asset Allocation'!I10,'Asset Allocation'!J10,'Asset Allocation'!K10))</f>
        <v>0</v>
      </c>
      <c r="C10">
        <f>IF(A10="","",SUM('Asset Allocation'!C10))</f>
        <v>0</v>
      </c>
      <c r="D10">
        <f>IF(A10="","",SUM('Asset Allocation'!D10))</f>
        <v>0</v>
      </c>
      <c r="F10">
        <f>IF(A10="","",SUM('Asset Allocation'!E10))</f>
        <v>0</v>
      </c>
      <c r="G10">
        <f>IF(A10="","",SUM('Asset Allocation'!B10))</f>
        <v>0</v>
      </c>
      <c r="H10">
        <f t="shared" si="0"/>
        <v>1</v>
      </c>
    </row>
    <row r="11" spans="1:8" x14ac:dyDescent="0.25">
      <c r="A11" t="str">
        <f>IF(Input!A12="","",Input!A12)</f>
        <v>PIM Tactical Active RG10</v>
      </c>
      <c r="B11">
        <f>IF(A11="","",SUM('Asset Allocation'!F11,'Asset Allocation'!G11,'Asset Allocation'!H11,'Asset Allocation'!I11,'Asset Allocation'!J11,'Asset Allocation'!K11))</f>
        <v>0</v>
      </c>
      <c r="C11">
        <f>IF(A11="","",SUM('Asset Allocation'!C11))</f>
        <v>0</v>
      </c>
      <c r="D11">
        <f>IF(A11="","",SUM('Asset Allocation'!D11))</f>
        <v>0</v>
      </c>
      <c r="F11">
        <f>IF(A11="","",SUM('Asset Allocation'!E11))</f>
        <v>0</v>
      </c>
      <c r="G11">
        <f>IF(A11="","",SUM('Asset Allocation'!B11))</f>
        <v>0</v>
      </c>
      <c r="H11">
        <f t="shared" si="0"/>
        <v>1</v>
      </c>
    </row>
    <row r="12" spans="1:8" x14ac:dyDescent="0.25">
      <c r="A12" t="str">
        <f>IF(Input!A13="","",Input!A13)</f>
        <v>PIM Strategic Conviction RG1</v>
      </c>
      <c r="B12">
        <f>IF(A12="","",SUM('Asset Allocation'!F12,'Asset Allocation'!G12,'Asset Allocation'!H12,'Asset Allocation'!I12,'Asset Allocation'!J12,'Asset Allocation'!K12))</f>
        <v>0</v>
      </c>
      <c r="C12">
        <f>IF(A12="","",SUM('Asset Allocation'!C12))</f>
        <v>0</v>
      </c>
      <c r="D12">
        <f>IF(A12="","",SUM('Asset Allocation'!D12))</f>
        <v>0</v>
      </c>
      <c r="F12">
        <f>IF(A12="","",SUM('Asset Allocation'!E12))</f>
        <v>0</v>
      </c>
      <c r="G12">
        <f>IF(A12="","",SUM('Asset Allocation'!B12))</f>
        <v>0</v>
      </c>
      <c r="H12">
        <f t="shared" si="0"/>
        <v>1</v>
      </c>
    </row>
    <row r="13" spans="1:8" x14ac:dyDescent="0.25">
      <c r="A13" t="str">
        <f>IF(Input!A14="","",Input!A14)</f>
        <v>PIM Strategic Conviction RG2</v>
      </c>
      <c r="B13">
        <f>IF(A13="","",SUM('Asset Allocation'!F13,'Asset Allocation'!G13,'Asset Allocation'!H13,'Asset Allocation'!I13,'Asset Allocation'!J13,'Asset Allocation'!K13))</f>
        <v>0</v>
      </c>
      <c r="C13">
        <f>IF(A13="","",SUM('Asset Allocation'!C13))</f>
        <v>0</v>
      </c>
      <c r="D13">
        <f>IF(A13="","",SUM('Asset Allocation'!D13))</f>
        <v>0</v>
      </c>
      <c r="F13">
        <f>IF(A13="","",SUM('Asset Allocation'!E13))</f>
        <v>0</v>
      </c>
      <c r="G13">
        <f>IF(A13="","",SUM('Asset Allocation'!B13))</f>
        <v>0</v>
      </c>
      <c r="H13">
        <f t="shared" si="0"/>
        <v>1</v>
      </c>
    </row>
    <row r="14" spans="1:8" x14ac:dyDescent="0.25">
      <c r="A14" t="str">
        <f>IF(Input!A15="","",Input!A15)</f>
        <v>PIM Strategic Conviction RG3</v>
      </c>
      <c r="B14">
        <f>IF(A14="","",SUM('Asset Allocation'!F14,'Asset Allocation'!G14,'Asset Allocation'!H14,'Asset Allocation'!I14,'Asset Allocation'!J14,'Asset Allocation'!K14))</f>
        <v>0</v>
      </c>
      <c r="C14">
        <f>IF(A14="","",SUM('Asset Allocation'!C14))</f>
        <v>0</v>
      </c>
      <c r="D14">
        <f>IF(A14="","",SUM('Asset Allocation'!D14))</f>
        <v>0</v>
      </c>
      <c r="F14">
        <f>IF(A14="","",SUM('Asset Allocation'!E14))</f>
        <v>0</v>
      </c>
      <c r="G14">
        <f>IF(A14="","",SUM('Asset Allocation'!B14))</f>
        <v>0</v>
      </c>
      <c r="H14">
        <f t="shared" si="0"/>
        <v>1</v>
      </c>
    </row>
    <row r="15" spans="1:8" x14ac:dyDescent="0.25">
      <c r="A15" t="str">
        <f>IF(Input!A16="","",Input!A16)</f>
        <v>PIM Strategic Conviction RG4</v>
      </c>
      <c r="B15">
        <f>IF(A15="","",SUM('Asset Allocation'!F15,'Asset Allocation'!G15,'Asset Allocation'!H15,'Asset Allocation'!I15,'Asset Allocation'!J15,'Asset Allocation'!K15))</f>
        <v>0</v>
      </c>
      <c r="C15">
        <f>IF(A15="","",SUM('Asset Allocation'!C15))</f>
        <v>0</v>
      </c>
      <c r="D15">
        <f>IF(A15="","",SUM('Asset Allocation'!D15))</f>
        <v>0</v>
      </c>
      <c r="F15">
        <f>IF(A15="","",SUM('Asset Allocation'!E15))</f>
        <v>0</v>
      </c>
      <c r="G15">
        <f>IF(A15="","",SUM('Asset Allocation'!B15))</f>
        <v>0</v>
      </c>
      <c r="H15">
        <f t="shared" si="0"/>
        <v>1</v>
      </c>
    </row>
    <row r="16" spans="1:8" x14ac:dyDescent="0.25">
      <c r="A16" t="str">
        <f>IF(Input!A17="","",Input!A17)</f>
        <v>PIM Strategic Conviction RG5</v>
      </c>
      <c r="B16">
        <f>IF(A16="","",SUM('Asset Allocation'!F16,'Asset Allocation'!G16,'Asset Allocation'!H16,'Asset Allocation'!I16,'Asset Allocation'!J16,'Asset Allocation'!K16))</f>
        <v>0</v>
      </c>
      <c r="C16">
        <f>IF(A16="","",SUM('Asset Allocation'!C16))</f>
        <v>0</v>
      </c>
      <c r="D16">
        <f>IF(A16="","",SUM('Asset Allocation'!D16))</f>
        <v>0</v>
      </c>
      <c r="F16">
        <f>IF(A16="","",SUM('Asset Allocation'!E16))</f>
        <v>0</v>
      </c>
      <c r="G16">
        <f>IF(A16="","",SUM('Asset Allocation'!B16))</f>
        <v>0</v>
      </c>
      <c r="H16">
        <f t="shared" si="0"/>
        <v>1</v>
      </c>
    </row>
    <row r="17" spans="1:8" x14ac:dyDescent="0.25">
      <c r="A17" t="str">
        <f>IF(Input!A18="","",Input!A18)</f>
        <v>PIM Strategic Conviction RG6</v>
      </c>
      <c r="B17">
        <f>IF(A17="","",SUM('Asset Allocation'!F17,'Asset Allocation'!G17,'Asset Allocation'!H17,'Asset Allocation'!I17,'Asset Allocation'!J17,'Asset Allocation'!K17))</f>
        <v>0</v>
      </c>
      <c r="C17">
        <f>IF(A17="","",SUM('Asset Allocation'!C17))</f>
        <v>0</v>
      </c>
      <c r="D17">
        <f>IF(A17="","",SUM('Asset Allocation'!D17))</f>
        <v>0</v>
      </c>
      <c r="F17">
        <f>IF(A17="","",SUM('Asset Allocation'!E17))</f>
        <v>0</v>
      </c>
      <c r="G17">
        <f>IF(A17="","",SUM('Asset Allocation'!B17))</f>
        <v>0</v>
      </c>
      <c r="H17">
        <f t="shared" si="0"/>
        <v>1</v>
      </c>
    </row>
    <row r="18" spans="1:8" x14ac:dyDescent="0.25">
      <c r="A18" t="str">
        <f>IF(Input!A19="","",Input!A19)</f>
        <v>PIM Strategic Conviction RG7</v>
      </c>
      <c r="B18">
        <f>IF(A18="","",SUM('Asset Allocation'!F18,'Asset Allocation'!G18,'Asset Allocation'!H18,'Asset Allocation'!I18,'Asset Allocation'!J18,'Asset Allocation'!K18))</f>
        <v>0</v>
      </c>
      <c r="C18">
        <f>IF(A18="","",SUM('Asset Allocation'!C18))</f>
        <v>0</v>
      </c>
      <c r="D18">
        <f>IF(A18="","",SUM('Asset Allocation'!D18))</f>
        <v>0</v>
      </c>
      <c r="F18">
        <f>IF(A18="","",SUM('Asset Allocation'!E18))</f>
        <v>0</v>
      </c>
      <c r="G18">
        <f>IF(A18="","",SUM('Asset Allocation'!B18))</f>
        <v>0</v>
      </c>
      <c r="H18">
        <f t="shared" si="0"/>
        <v>1</v>
      </c>
    </row>
    <row r="19" spans="1:8" x14ac:dyDescent="0.25">
      <c r="A19" t="str">
        <f>IF(Input!A20="","",Input!A20)</f>
        <v>PIM Strategic Conviction RG8</v>
      </c>
      <c r="B19">
        <f>IF(A19="","",SUM('Asset Allocation'!F19,'Asset Allocation'!G19,'Asset Allocation'!H19,'Asset Allocation'!I19,'Asset Allocation'!J19,'Asset Allocation'!K19))</f>
        <v>0</v>
      </c>
      <c r="C19">
        <f>IF(A19="","",SUM('Asset Allocation'!C19))</f>
        <v>0</v>
      </c>
      <c r="D19">
        <f>IF(A19="","",SUM('Asset Allocation'!D19))</f>
        <v>0</v>
      </c>
      <c r="F19">
        <f>IF(A19="","",SUM('Asset Allocation'!E19))</f>
        <v>0</v>
      </c>
      <c r="G19">
        <f>IF(A19="","",SUM('Asset Allocation'!B19))</f>
        <v>0</v>
      </c>
      <c r="H19">
        <f t="shared" si="0"/>
        <v>1</v>
      </c>
    </row>
    <row r="20" spans="1:8" x14ac:dyDescent="0.25">
      <c r="A20" t="str">
        <f>IF(Input!A21="","",Input!A21)</f>
        <v>PIM Strategic Conviction RG9</v>
      </c>
      <c r="B20">
        <f>IF(A20="","",SUM('Asset Allocation'!F20,'Asset Allocation'!G20,'Asset Allocation'!H20,'Asset Allocation'!I20,'Asset Allocation'!J20,'Asset Allocation'!K20))</f>
        <v>0</v>
      </c>
      <c r="C20">
        <f>IF(A20="","",SUM('Asset Allocation'!C20))</f>
        <v>0</v>
      </c>
      <c r="D20">
        <f>IF(A20="","",SUM('Asset Allocation'!D20))</f>
        <v>0</v>
      </c>
      <c r="F20">
        <f>IF(A20="","",SUM('Asset Allocation'!E20))</f>
        <v>0</v>
      </c>
      <c r="G20">
        <f>IF(A20="","",SUM('Asset Allocation'!B20))</f>
        <v>0</v>
      </c>
      <c r="H20">
        <f t="shared" si="0"/>
        <v>1</v>
      </c>
    </row>
    <row r="21" spans="1:8" x14ac:dyDescent="0.25">
      <c r="A21" t="str">
        <f>IF(Input!A22="","",Input!A22)</f>
        <v>PIM Strategic Conviction RG10</v>
      </c>
      <c r="B21">
        <f>IF(A21="","",SUM('Asset Allocation'!F21,'Asset Allocation'!G21,'Asset Allocation'!H21,'Asset Allocation'!I21,'Asset Allocation'!J21,'Asset Allocation'!K21))</f>
        <v>0</v>
      </c>
      <c r="C21">
        <f>IF(A21="","",SUM('Asset Allocation'!C21))</f>
        <v>0</v>
      </c>
      <c r="D21">
        <f>IF(A21="","",SUM('Asset Allocation'!D21))</f>
        <v>0</v>
      </c>
      <c r="F21">
        <f>IF(A21="","",SUM('Asset Allocation'!E21))</f>
        <v>0</v>
      </c>
      <c r="G21">
        <f>IF(A21="","",SUM('Asset Allocation'!B21))</f>
        <v>0</v>
      </c>
      <c r="H21">
        <f t="shared" si="0"/>
        <v>1</v>
      </c>
    </row>
    <row r="22" spans="1:8" x14ac:dyDescent="0.25">
      <c r="A22" t="str">
        <f>IF(Input!A23="","",Input!A23)</f>
        <v>PIM Strategic Passive RG1</v>
      </c>
      <c r="B22">
        <f>IF(A22="","",SUM('Asset Allocation'!F22,'Asset Allocation'!G22,'Asset Allocation'!H22,'Asset Allocation'!I22,'Asset Allocation'!J22,'Asset Allocation'!K22))</f>
        <v>0</v>
      </c>
      <c r="C22">
        <f>IF(A22="","",SUM('Asset Allocation'!C22))</f>
        <v>0</v>
      </c>
      <c r="D22">
        <f>IF(A22="","",SUM('Asset Allocation'!D22))</f>
        <v>0</v>
      </c>
      <c r="F22">
        <f>IF(A22="","",SUM('Asset Allocation'!E22))</f>
        <v>0</v>
      </c>
      <c r="G22">
        <f>IF(A22="","",SUM('Asset Allocation'!B22))</f>
        <v>0</v>
      </c>
      <c r="H22">
        <f t="shared" si="0"/>
        <v>1</v>
      </c>
    </row>
    <row r="23" spans="1:8" x14ac:dyDescent="0.25">
      <c r="A23" t="str">
        <f>IF(Input!A24="","",Input!A24)</f>
        <v>PIM Strategic Passive RG2</v>
      </c>
      <c r="B23">
        <f>IF(A23="","",SUM('Asset Allocation'!F23,'Asset Allocation'!G23,'Asset Allocation'!H23,'Asset Allocation'!I23,'Asset Allocation'!J23,'Asset Allocation'!K23))</f>
        <v>0</v>
      </c>
      <c r="C23">
        <f>IF(A23="","",SUM('Asset Allocation'!C23))</f>
        <v>0</v>
      </c>
      <c r="D23">
        <f>IF(A23="","",SUM('Asset Allocation'!D23))</f>
        <v>0</v>
      </c>
      <c r="F23">
        <f>IF(A23="","",SUM('Asset Allocation'!E23))</f>
        <v>0</v>
      </c>
      <c r="G23">
        <f>IF(A23="","",SUM('Asset Allocation'!B23))</f>
        <v>0</v>
      </c>
      <c r="H23">
        <f t="shared" si="0"/>
        <v>1</v>
      </c>
    </row>
    <row r="24" spans="1:8" x14ac:dyDescent="0.25">
      <c r="A24" t="str">
        <f>IF(Input!A25="","",Input!A25)</f>
        <v>PIM Strategic Passive RG3</v>
      </c>
      <c r="B24">
        <f>IF(A24="","",SUM('Asset Allocation'!F24,'Asset Allocation'!G24,'Asset Allocation'!H24,'Asset Allocation'!I24,'Asset Allocation'!J24,'Asset Allocation'!K24))</f>
        <v>0</v>
      </c>
      <c r="C24">
        <f>IF(A24="","",SUM('Asset Allocation'!C24))</f>
        <v>0</v>
      </c>
      <c r="D24">
        <f>IF(A24="","",SUM('Asset Allocation'!D24))</f>
        <v>0</v>
      </c>
      <c r="F24">
        <f>IF(A24="","",SUM('Asset Allocation'!E24))</f>
        <v>0</v>
      </c>
      <c r="G24">
        <f>IF(A24="","",SUM('Asset Allocation'!B24))</f>
        <v>0</v>
      </c>
      <c r="H24">
        <f t="shared" si="0"/>
        <v>1</v>
      </c>
    </row>
    <row r="25" spans="1:8" x14ac:dyDescent="0.25">
      <c r="A25" t="str">
        <f>IF(Input!A26="","",Input!A26)</f>
        <v>PIM Strategic Passive RG4</v>
      </c>
      <c r="B25">
        <f>IF(A25="","",SUM('Asset Allocation'!F25,'Asset Allocation'!G25,'Asset Allocation'!H25,'Asset Allocation'!I25,'Asset Allocation'!J25,'Asset Allocation'!K25))</f>
        <v>0</v>
      </c>
      <c r="C25">
        <f>IF(A25="","",SUM('Asset Allocation'!C25))</f>
        <v>0</v>
      </c>
      <c r="D25">
        <f>IF(A25="","",SUM('Asset Allocation'!D25))</f>
        <v>0</v>
      </c>
      <c r="F25">
        <f>IF(A25="","",SUM('Asset Allocation'!E25))</f>
        <v>0</v>
      </c>
      <c r="G25">
        <f>IF(A25="","",SUM('Asset Allocation'!B25))</f>
        <v>0</v>
      </c>
      <c r="H25">
        <f t="shared" si="0"/>
        <v>1</v>
      </c>
    </row>
    <row r="26" spans="1:8" x14ac:dyDescent="0.25">
      <c r="A26" t="str">
        <f>IF(Input!A27="","",Input!A27)</f>
        <v>PIM Strategic Passive RG5</v>
      </c>
      <c r="B26">
        <f>IF(A26="","",SUM('Asset Allocation'!F26,'Asset Allocation'!G26,'Asset Allocation'!H26,'Asset Allocation'!I26,'Asset Allocation'!J26,'Asset Allocation'!K26))</f>
        <v>0</v>
      </c>
      <c r="C26">
        <f>IF(A26="","",SUM('Asset Allocation'!C26))</f>
        <v>0</v>
      </c>
      <c r="D26">
        <f>IF(A26="","",SUM('Asset Allocation'!D26))</f>
        <v>0</v>
      </c>
      <c r="F26">
        <f>IF(A26="","",SUM('Asset Allocation'!E26))</f>
        <v>0</v>
      </c>
      <c r="G26">
        <f>IF(A26="","",SUM('Asset Allocation'!B26))</f>
        <v>0</v>
      </c>
      <c r="H26">
        <f t="shared" si="0"/>
        <v>1</v>
      </c>
    </row>
    <row r="27" spans="1:8" x14ac:dyDescent="0.25">
      <c r="A27" t="str">
        <f>IF(Input!A28="","",Input!A28)</f>
        <v>PIM Strategic Passive RG6</v>
      </c>
      <c r="B27">
        <f>IF(A27="","",SUM('Asset Allocation'!F27,'Asset Allocation'!G27,'Asset Allocation'!H27,'Asset Allocation'!I27,'Asset Allocation'!J27,'Asset Allocation'!K27))</f>
        <v>0</v>
      </c>
      <c r="C27">
        <f>IF(A27="","",SUM('Asset Allocation'!C27))</f>
        <v>0</v>
      </c>
      <c r="D27">
        <f>IF(A27="","",SUM('Asset Allocation'!D27))</f>
        <v>0</v>
      </c>
      <c r="F27">
        <f>IF(A27="","",SUM('Asset Allocation'!E27))</f>
        <v>0</v>
      </c>
      <c r="G27">
        <f>IF(A27="","",SUM('Asset Allocation'!B27))</f>
        <v>0</v>
      </c>
      <c r="H27">
        <f t="shared" si="0"/>
        <v>1</v>
      </c>
    </row>
    <row r="28" spans="1:8" x14ac:dyDescent="0.25">
      <c r="A28" t="str">
        <f>IF(Input!A29="","",Input!A29)</f>
        <v>PIM Strategic Passive RG7</v>
      </c>
      <c r="B28">
        <f>IF(A28="","",SUM('Asset Allocation'!F28,'Asset Allocation'!G28,'Asset Allocation'!H28,'Asset Allocation'!I28,'Asset Allocation'!J28,'Asset Allocation'!K28))</f>
        <v>0</v>
      </c>
      <c r="C28">
        <f>IF(A28="","",SUM('Asset Allocation'!C28))</f>
        <v>0</v>
      </c>
      <c r="D28">
        <f>IF(A28="","",SUM('Asset Allocation'!D28))</f>
        <v>0</v>
      </c>
      <c r="F28">
        <f>IF(A28="","",SUM('Asset Allocation'!E28))</f>
        <v>0</v>
      </c>
      <c r="G28">
        <f>IF(A28="","",SUM('Asset Allocation'!B28))</f>
        <v>0</v>
      </c>
      <c r="H28">
        <f t="shared" si="0"/>
        <v>1</v>
      </c>
    </row>
    <row r="29" spans="1:8" x14ac:dyDescent="0.25">
      <c r="A29" t="str">
        <f>IF(Input!A30="","",Input!A30)</f>
        <v>PIM Strategic Passive RG8</v>
      </c>
      <c r="B29">
        <f>IF(A29="","",SUM('Asset Allocation'!F29,'Asset Allocation'!G29,'Asset Allocation'!H29,'Asset Allocation'!I29,'Asset Allocation'!J29,'Asset Allocation'!K29))</f>
        <v>0</v>
      </c>
      <c r="C29">
        <f>IF(A29="","",SUM('Asset Allocation'!C29))</f>
        <v>0</v>
      </c>
      <c r="D29">
        <f>IF(A29="","",SUM('Asset Allocation'!D29))</f>
        <v>0</v>
      </c>
      <c r="F29">
        <f>IF(A29="","",SUM('Asset Allocation'!E29))</f>
        <v>0</v>
      </c>
      <c r="G29">
        <f>IF(A29="","",SUM('Asset Allocation'!B29))</f>
        <v>0</v>
      </c>
      <c r="H29">
        <f t="shared" si="0"/>
        <v>1</v>
      </c>
    </row>
    <row r="30" spans="1:8" x14ac:dyDescent="0.25">
      <c r="A30" t="str">
        <f>IF(Input!A31="","",Input!A31)</f>
        <v>PIM Strategic Passive RG9</v>
      </c>
      <c r="B30">
        <f>IF(A30="","",SUM('Asset Allocation'!F30,'Asset Allocation'!G30,'Asset Allocation'!H30,'Asset Allocation'!I30,'Asset Allocation'!J30,'Asset Allocation'!K30))</f>
        <v>0</v>
      </c>
      <c r="C30">
        <f>IF(A30="","",SUM('Asset Allocation'!C30))</f>
        <v>0</v>
      </c>
      <c r="D30">
        <f>IF(A30="","",SUM('Asset Allocation'!D30))</f>
        <v>0</v>
      </c>
      <c r="F30">
        <f>IF(A30="","",SUM('Asset Allocation'!E30))</f>
        <v>0</v>
      </c>
      <c r="G30">
        <f>IF(A30="","",SUM('Asset Allocation'!B30))</f>
        <v>0</v>
      </c>
      <c r="H30">
        <f t="shared" si="0"/>
        <v>1</v>
      </c>
    </row>
    <row r="31" spans="1:8" x14ac:dyDescent="0.25">
      <c r="A31" t="str">
        <f>IF(Input!A32="","",Input!A32)</f>
        <v>PIM Strategic Passive RG10</v>
      </c>
      <c r="B31">
        <f>IF(A31="","",SUM('Asset Allocation'!F31,'Asset Allocation'!G31,'Asset Allocation'!H31,'Asset Allocation'!I31,'Asset Allocation'!J31,'Asset Allocation'!K31))</f>
        <v>0</v>
      </c>
      <c r="C31">
        <f>IF(A31="","",SUM('Asset Allocation'!C31))</f>
        <v>0</v>
      </c>
      <c r="D31">
        <f>IF(A31="","",SUM('Asset Allocation'!D31))</f>
        <v>0</v>
      </c>
      <c r="F31">
        <f>IF(A31="","",SUM('Asset Allocation'!E31))</f>
        <v>0</v>
      </c>
      <c r="G31">
        <f>IF(A31="","",SUM('Asset Allocation'!B31))</f>
        <v>0</v>
      </c>
      <c r="H31">
        <f t="shared" si="0"/>
        <v>1</v>
      </c>
    </row>
    <row r="32" spans="1:8" x14ac:dyDescent="0.25">
      <c r="A32" t="str">
        <f>IF(Input!A33="","",Input!A33)</f>
        <v>PIM Strategic Ethical Active A RG1</v>
      </c>
      <c r="B32">
        <f>IF(A32="","",SUM('Asset Allocation'!F32,'Asset Allocation'!G32,'Asset Allocation'!H32,'Asset Allocation'!I32,'Asset Allocation'!J32,'Asset Allocation'!K32))</f>
        <v>0</v>
      </c>
      <c r="C32">
        <f>IF(A32="","",SUM('Asset Allocation'!C32))</f>
        <v>0</v>
      </c>
      <c r="D32">
        <f>IF(A32="","",SUM('Asset Allocation'!D32))</f>
        <v>0</v>
      </c>
      <c r="F32">
        <f>IF(A32="","",SUM('Asset Allocation'!E32))</f>
        <v>0</v>
      </c>
      <c r="G32">
        <f>IF(A32="","",SUM('Asset Allocation'!B32))</f>
        <v>0</v>
      </c>
      <c r="H32">
        <f t="shared" si="0"/>
        <v>1</v>
      </c>
    </row>
    <row r="33" spans="1:8" x14ac:dyDescent="0.25">
      <c r="A33" t="str">
        <f>IF(Input!A34="","",Input!A34)</f>
        <v>PIM Strategic Ethical Active A RG2</v>
      </c>
      <c r="B33">
        <f>IF(A33="","",SUM('Asset Allocation'!F33,'Asset Allocation'!G33,'Asset Allocation'!H33,'Asset Allocation'!I33,'Asset Allocation'!J33,'Asset Allocation'!K33))</f>
        <v>0</v>
      </c>
      <c r="C33">
        <f>IF(A33="","",SUM('Asset Allocation'!C33))</f>
        <v>0</v>
      </c>
      <c r="D33">
        <f>IF(A33="","",SUM('Asset Allocation'!D33))</f>
        <v>0</v>
      </c>
      <c r="F33">
        <f>IF(A33="","",SUM('Asset Allocation'!E33))</f>
        <v>0</v>
      </c>
      <c r="G33">
        <f>IF(A33="","",SUM('Asset Allocation'!B33))</f>
        <v>0</v>
      </c>
      <c r="H33">
        <f t="shared" si="0"/>
        <v>1</v>
      </c>
    </row>
    <row r="34" spans="1:8" x14ac:dyDescent="0.25">
      <c r="A34" t="str">
        <f>IF(Input!A35="","",Input!A35)</f>
        <v>PIM Strategic Ethical Active A RG3</v>
      </c>
      <c r="B34">
        <f>IF(A34="","",SUM('Asset Allocation'!F34,'Asset Allocation'!G34,'Asset Allocation'!H34,'Asset Allocation'!I34,'Asset Allocation'!J34,'Asset Allocation'!K34))</f>
        <v>0</v>
      </c>
      <c r="C34">
        <f>IF(A34="","",SUM('Asset Allocation'!C34))</f>
        <v>0</v>
      </c>
      <c r="D34">
        <f>IF(A34="","",SUM('Asset Allocation'!D34))</f>
        <v>0</v>
      </c>
      <c r="F34">
        <f>IF(A34="","",SUM('Asset Allocation'!E34))</f>
        <v>0</v>
      </c>
      <c r="G34">
        <f>IF(A34="","",SUM('Asset Allocation'!B34))</f>
        <v>0</v>
      </c>
      <c r="H34">
        <f t="shared" si="0"/>
        <v>1</v>
      </c>
    </row>
    <row r="35" spans="1:8" x14ac:dyDescent="0.25">
      <c r="A35" t="str">
        <f>IF(Input!A36="","",Input!A36)</f>
        <v>PIM Strategic Ethical Active A RG4</v>
      </c>
      <c r="B35">
        <f>IF(A35="","",SUM('Asset Allocation'!F35,'Asset Allocation'!G35,'Asset Allocation'!H35,'Asset Allocation'!I35,'Asset Allocation'!J35,'Asset Allocation'!K35))</f>
        <v>0</v>
      </c>
      <c r="C35">
        <f>IF(A35="","",SUM('Asset Allocation'!C35))</f>
        <v>0</v>
      </c>
      <c r="D35">
        <f>IF(A35="","",SUM('Asset Allocation'!D35))</f>
        <v>0</v>
      </c>
      <c r="F35">
        <f>IF(A35="","",SUM('Asset Allocation'!E35))</f>
        <v>0</v>
      </c>
      <c r="G35">
        <f>IF(A35="","",SUM('Asset Allocation'!B35))</f>
        <v>0</v>
      </c>
      <c r="H35">
        <f t="shared" si="0"/>
        <v>1</v>
      </c>
    </row>
    <row r="36" spans="1:8" x14ac:dyDescent="0.25">
      <c r="A36" t="str">
        <f>IF(Input!A37="","",Input!A37)</f>
        <v>PIM Strategic Ethical Active A RG5</v>
      </c>
      <c r="B36">
        <f>IF(A36="","",SUM('Asset Allocation'!F36,'Asset Allocation'!G36,'Asset Allocation'!H36,'Asset Allocation'!I36,'Asset Allocation'!J36,'Asset Allocation'!K36))</f>
        <v>0</v>
      </c>
      <c r="C36">
        <f>IF(A36="","",SUM('Asset Allocation'!C36))</f>
        <v>0</v>
      </c>
      <c r="D36">
        <f>IF(A36="","",SUM('Asset Allocation'!D36))</f>
        <v>0</v>
      </c>
      <c r="F36">
        <f>IF(A36="","",SUM('Asset Allocation'!E36))</f>
        <v>0</v>
      </c>
      <c r="G36">
        <f>IF(A36="","",SUM('Asset Allocation'!B36))</f>
        <v>0</v>
      </c>
      <c r="H36">
        <f t="shared" si="0"/>
        <v>1</v>
      </c>
    </row>
    <row r="37" spans="1:8" x14ac:dyDescent="0.25">
      <c r="A37" t="str">
        <f>IF(Input!A38="","",Input!A38)</f>
        <v>PIM Strategic Ethical Active A RG6</v>
      </c>
      <c r="B37">
        <f>IF(A37="","",SUM('Asset Allocation'!F37,'Asset Allocation'!G37,'Asset Allocation'!H37,'Asset Allocation'!I37,'Asset Allocation'!J37,'Asset Allocation'!K37))</f>
        <v>0</v>
      </c>
      <c r="C37">
        <f>IF(A37="","",SUM('Asset Allocation'!C37))</f>
        <v>0</v>
      </c>
      <c r="D37">
        <f>IF(A37="","",SUM('Asset Allocation'!D37))</f>
        <v>0</v>
      </c>
      <c r="F37">
        <f>IF(A37="","",SUM('Asset Allocation'!E37))</f>
        <v>0</v>
      </c>
      <c r="G37">
        <f>IF(A37="","",SUM('Asset Allocation'!B37))</f>
        <v>0</v>
      </c>
      <c r="H37">
        <f t="shared" si="0"/>
        <v>1</v>
      </c>
    </row>
    <row r="38" spans="1:8" x14ac:dyDescent="0.25">
      <c r="A38" t="str">
        <f>IF(Input!A39="","",Input!A39)</f>
        <v>PIM Strategic Ethical Active A RG7</v>
      </c>
      <c r="B38">
        <f>IF(A38="","",SUM('Asset Allocation'!F38,'Asset Allocation'!G38,'Asset Allocation'!H38,'Asset Allocation'!I38,'Asset Allocation'!J38,'Asset Allocation'!K38))</f>
        <v>0</v>
      </c>
      <c r="C38">
        <f>IF(A38="","",SUM('Asset Allocation'!C38))</f>
        <v>0</v>
      </c>
      <c r="D38">
        <f>IF(A38="","",SUM('Asset Allocation'!D38))</f>
        <v>0</v>
      </c>
      <c r="F38">
        <f>IF(A38="","",SUM('Asset Allocation'!E38))</f>
        <v>0</v>
      </c>
      <c r="G38">
        <f>IF(A38="","",SUM('Asset Allocation'!B38))</f>
        <v>0</v>
      </c>
      <c r="H38">
        <f t="shared" si="0"/>
        <v>1</v>
      </c>
    </row>
    <row r="39" spans="1:8" x14ac:dyDescent="0.25">
      <c r="A39" t="str">
        <f>IF(Input!A40="","",Input!A40)</f>
        <v>PIM Strategic Ethical Active A RG8</v>
      </c>
      <c r="B39">
        <f>IF(A39="","",SUM('Asset Allocation'!F39,'Asset Allocation'!G39,'Asset Allocation'!H39,'Asset Allocation'!I39,'Asset Allocation'!J39,'Asset Allocation'!K39))</f>
        <v>0</v>
      </c>
      <c r="C39">
        <f>IF(A39="","",SUM('Asset Allocation'!C39))</f>
        <v>0</v>
      </c>
      <c r="D39">
        <f>IF(A39="","",SUM('Asset Allocation'!D39))</f>
        <v>0</v>
      </c>
      <c r="F39">
        <f>IF(A39="","",SUM('Asset Allocation'!E39))</f>
        <v>0</v>
      </c>
      <c r="G39">
        <f>IF(A39="","",SUM('Asset Allocation'!B39))</f>
        <v>0</v>
      </c>
      <c r="H39">
        <f t="shared" si="0"/>
        <v>1</v>
      </c>
    </row>
    <row r="40" spans="1:8" x14ac:dyDescent="0.25">
      <c r="A40" t="str">
        <f>IF(Input!A41="","",Input!A41)</f>
        <v>PIM Strategic Ethical Active A RG9</v>
      </c>
      <c r="B40">
        <f>IF(A40="","",SUM('Asset Allocation'!F40,'Asset Allocation'!G40,'Asset Allocation'!H40,'Asset Allocation'!I40,'Asset Allocation'!J40,'Asset Allocation'!K40))</f>
        <v>0</v>
      </c>
      <c r="C40">
        <f>IF(A40="","",SUM('Asset Allocation'!C40))</f>
        <v>0</v>
      </c>
      <c r="D40">
        <f>IF(A40="","",SUM('Asset Allocation'!D40))</f>
        <v>0</v>
      </c>
      <c r="F40">
        <f>IF(A40="","",SUM('Asset Allocation'!E40))</f>
        <v>0</v>
      </c>
      <c r="G40">
        <f>IF(A40="","",SUM('Asset Allocation'!B40))</f>
        <v>0</v>
      </c>
      <c r="H40">
        <f t="shared" si="0"/>
        <v>1</v>
      </c>
    </row>
    <row r="41" spans="1:8" x14ac:dyDescent="0.25">
      <c r="A41" t="str">
        <f>IF(Input!A42="","",Input!A42)</f>
        <v>PIM Strategic Ethical Active A RG10</v>
      </c>
      <c r="B41">
        <f>IF(A41="","",SUM('Asset Allocation'!F41,'Asset Allocation'!G41,'Asset Allocation'!H41,'Asset Allocation'!I41,'Asset Allocation'!J41,'Asset Allocation'!K41))</f>
        <v>0</v>
      </c>
      <c r="C41">
        <f>IF(A41="","",SUM('Asset Allocation'!C41))</f>
        <v>0</v>
      </c>
      <c r="D41">
        <f>IF(A41="","",SUM('Asset Allocation'!D41))</f>
        <v>0</v>
      </c>
      <c r="F41">
        <f>IF(A41="","",SUM('Asset Allocation'!E41))</f>
        <v>0</v>
      </c>
      <c r="G41">
        <f>IF(A41="","",SUM('Asset Allocation'!B41))</f>
        <v>0</v>
      </c>
      <c r="H41">
        <f t="shared" si="0"/>
        <v>1</v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PIM Tactical Active RG1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PIM Tactical Active RG2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PIM Tactical Active RG3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PIM Tactical Active RG4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PIM Tactical Active RG5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PIM Tactical Active RG6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PIM Tactical Active RG7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PIM Tactical Active RG8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PIM Tactical Active RG9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PIM Tactical Active RG10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PIM Strategic Conviction RG1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0</v>
      </c>
      <c r="D12" s="6">
        <f>IFERROR(IF(A12="","",SUM('Asset Allocation'!H12)/'Broad Asset Allocation'!B12),0)</f>
        <v>0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</v>
      </c>
      <c r="H12" s="6">
        <f>IFERROR(IF(A12="","",SUM('Asset Allocation'!K12)/'Broad Asset Allocation'!B12),0)</f>
        <v>0</v>
      </c>
    </row>
    <row r="13" spans="1:8" x14ac:dyDescent="0.25">
      <c r="A13" t="str">
        <f>IF(Input!A14="","",Input!A14)</f>
        <v>PIM Strategic Conviction RG2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0</v>
      </c>
      <c r="D13" s="6">
        <f>IFERROR(IF(A13="","",SUM('Asset Allocation'!H13)/'Broad Asset Allocation'!B13),0)</f>
        <v>0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</v>
      </c>
      <c r="H13" s="6">
        <f>IFERROR(IF(A13="","",SUM('Asset Allocation'!K13)/'Broad Asset Allocation'!B13),0)</f>
        <v>0</v>
      </c>
    </row>
    <row r="14" spans="1:8" x14ac:dyDescent="0.25">
      <c r="A14" t="str">
        <f>IF(Input!A15="","",Input!A15)</f>
        <v>PIM Strategic Conviction RG3</v>
      </c>
      <c r="B14" s="6">
        <f>IFERROR(IF(A14="","",SUM('Asset Allocation'!G14)/'Broad Asset Allocation'!B14),0)</f>
        <v>0</v>
      </c>
      <c r="C14" s="6">
        <f>IFERROR(IF(A14="","",SUM('Asset Allocation'!F14)/'Broad Asset Allocation'!B14),0)</f>
        <v>0</v>
      </c>
      <c r="D14" s="6">
        <f>IFERROR(IF(A14="","",SUM('Asset Allocation'!H14)/'Broad Asset Allocation'!B14),0)</f>
        <v>0</v>
      </c>
      <c r="E14" s="6">
        <f>IFERROR(IF(A14="","",SUM('Asset Allocation'!I14)/'Broad Asset Allocation'!B14),0)</f>
        <v>0</v>
      </c>
      <c r="F14" s="6"/>
      <c r="G14" s="6">
        <f>IFERROR(IF(A14="","",SUM('Asset Allocation'!J14)/'Broad Asset Allocation'!B14),0)</f>
        <v>0</v>
      </c>
      <c r="H14" s="6">
        <f>IFERROR(IF(A14="","",SUM('Asset Allocation'!K14)/'Broad Asset Allocation'!B14),0)</f>
        <v>0</v>
      </c>
    </row>
    <row r="15" spans="1:8" x14ac:dyDescent="0.25">
      <c r="A15" t="str">
        <f>IF(Input!A16="","",Input!A16)</f>
        <v>PIM Strategic Conviction RG4</v>
      </c>
      <c r="B15" s="6">
        <f>IFERROR(IF(A15="","",SUM('Asset Allocation'!G15)/'Broad Asset Allocation'!B15),0)</f>
        <v>0</v>
      </c>
      <c r="C15" s="6">
        <f>IFERROR(IF(A15="","",SUM('Asset Allocation'!F15)/'Broad Asset Allocation'!B15),0)</f>
        <v>0</v>
      </c>
      <c r="D15" s="6">
        <f>IFERROR(IF(A15="","",SUM('Asset Allocation'!H15)/'Broad Asset Allocation'!B15),0)</f>
        <v>0</v>
      </c>
      <c r="E15" s="6">
        <f>IFERROR(IF(A15="","",SUM('Asset Allocation'!I15)/'Broad Asset Allocation'!B15),0)</f>
        <v>0</v>
      </c>
      <c r="F15" s="6"/>
      <c r="G15" s="6">
        <f>IFERROR(IF(A15="","",SUM('Asset Allocation'!J15)/'Broad Asset Allocation'!B15),0)</f>
        <v>0</v>
      </c>
      <c r="H15" s="6">
        <f>IFERROR(IF(A15="","",SUM('Asset Allocation'!K15)/'Broad Asset Allocation'!B15),0)</f>
        <v>0</v>
      </c>
    </row>
    <row r="16" spans="1:8" x14ac:dyDescent="0.25">
      <c r="A16" t="str">
        <f>IF(Input!A17="","",Input!A17)</f>
        <v>PIM Strategic Conviction RG5</v>
      </c>
      <c r="B16" s="6">
        <f>IFERROR(IF(A16="","",SUM('Asset Allocation'!G16)/'Broad Asset Allocation'!B16),0)</f>
        <v>0</v>
      </c>
      <c r="C16" s="6">
        <f>IFERROR(IF(A16="","",SUM('Asset Allocation'!F16)/'Broad Asset Allocation'!B16),0)</f>
        <v>0</v>
      </c>
      <c r="D16" s="6">
        <f>IFERROR(IF(A16="","",SUM('Asset Allocation'!H16)/'Broad Asset Allocation'!B16),0)</f>
        <v>0</v>
      </c>
      <c r="E16" s="6">
        <f>IFERROR(IF(A16="","",SUM('Asset Allocation'!I16)/'Broad Asset Allocation'!B16),0)</f>
        <v>0</v>
      </c>
      <c r="F16" s="6"/>
      <c r="G16" s="6">
        <f>IFERROR(IF(A16="","",SUM('Asset Allocation'!J16)/'Broad Asset Allocation'!B16),0)</f>
        <v>0</v>
      </c>
      <c r="H16" s="6">
        <f>IFERROR(IF(A16="","",SUM('Asset Allocation'!K16)/'Broad Asset Allocation'!B16),0)</f>
        <v>0</v>
      </c>
    </row>
    <row r="17" spans="1:8" x14ac:dyDescent="0.25">
      <c r="A17" t="str">
        <f>IF(Input!A18="","",Input!A18)</f>
        <v>PIM Strategic Conviction RG6</v>
      </c>
      <c r="B17" s="6">
        <f>IFERROR(IF(A17="","",SUM('Asset Allocation'!G17)/'Broad Asset Allocation'!B17),0)</f>
        <v>0</v>
      </c>
      <c r="C17" s="6">
        <f>IFERROR(IF(A17="","",SUM('Asset Allocation'!F17)/'Broad Asset Allocation'!B17),0)</f>
        <v>0</v>
      </c>
      <c r="D17" s="6">
        <f>IFERROR(IF(A17="","",SUM('Asset Allocation'!H17)/'Broad Asset Allocation'!B17),0)</f>
        <v>0</v>
      </c>
      <c r="E17" s="6">
        <f>IFERROR(IF(A17="","",SUM('Asset Allocation'!I17)/'Broad Asset Allocation'!B17),0)</f>
        <v>0</v>
      </c>
      <c r="F17" s="6"/>
      <c r="G17" s="6">
        <f>IFERROR(IF(A17="","",SUM('Asset Allocation'!J17)/'Broad Asset Allocation'!B17),0)</f>
        <v>0</v>
      </c>
      <c r="H17" s="6">
        <f>IFERROR(IF(A17="","",SUM('Asset Allocation'!K17)/'Broad Asset Allocation'!B17),0)</f>
        <v>0</v>
      </c>
    </row>
    <row r="18" spans="1:8" x14ac:dyDescent="0.25">
      <c r="A18" t="str">
        <f>IF(Input!A19="","",Input!A19)</f>
        <v>PIM Strategic Conviction RG7</v>
      </c>
      <c r="B18" s="6">
        <f>IFERROR(IF(A18="","",SUM('Asset Allocation'!G18)/'Broad Asset Allocation'!B18),0)</f>
        <v>0</v>
      </c>
      <c r="C18" s="6">
        <f>IFERROR(IF(A18="","",SUM('Asset Allocation'!F18)/'Broad Asset Allocation'!B18),0)</f>
        <v>0</v>
      </c>
      <c r="D18" s="6">
        <f>IFERROR(IF(A18="","",SUM('Asset Allocation'!H18)/'Broad Asset Allocation'!B18),0)</f>
        <v>0</v>
      </c>
      <c r="E18" s="6">
        <f>IFERROR(IF(A18="","",SUM('Asset Allocation'!I18)/'Broad Asset Allocation'!B18),0)</f>
        <v>0</v>
      </c>
      <c r="F18" s="6"/>
      <c r="G18" s="6">
        <f>IFERROR(IF(A18="","",SUM('Asset Allocation'!J18)/'Broad Asset Allocation'!B18),0)</f>
        <v>0</v>
      </c>
      <c r="H18" s="6">
        <f>IFERROR(IF(A18="","",SUM('Asset Allocation'!K18)/'Broad Asset Allocation'!B18),0)</f>
        <v>0</v>
      </c>
    </row>
    <row r="19" spans="1:8" x14ac:dyDescent="0.25">
      <c r="A19" t="str">
        <f>IF(Input!A20="","",Input!A20)</f>
        <v>PIM Strategic Conviction RG8</v>
      </c>
      <c r="B19" s="6">
        <f>IFERROR(IF(A19="","",SUM('Asset Allocation'!G19)/'Broad Asset Allocation'!B19),0)</f>
        <v>0</v>
      </c>
      <c r="C19" s="6">
        <f>IFERROR(IF(A19="","",SUM('Asset Allocation'!F19)/'Broad Asset Allocation'!B19),0)</f>
        <v>0</v>
      </c>
      <c r="D19" s="6">
        <f>IFERROR(IF(A19="","",SUM('Asset Allocation'!H19)/'Broad Asset Allocation'!B19),0)</f>
        <v>0</v>
      </c>
      <c r="E19" s="6">
        <f>IFERROR(IF(A19="","",SUM('Asset Allocation'!I19)/'Broad Asset Allocation'!B19),0)</f>
        <v>0</v>
      </c>
      <c r="F19" s="6"/>
      <c r="G19" s="6">
        <f>IFERROR(IF(A19="","",SUM('Asset Allocation'!J19)/'Broad Asset Allocation'!B19),0)</f>
        <v>0</v>
      </c>
      <c r="H19" s="6">
        <f>IFERROR(IF(A19="","",SUM('Asset Allocation'!K19)/'Broad Asset Allocation'!B19),0)</f>
        <v>0</v>
      </c>
    </row>
    <row r="20" spans="1:8" x14ac:dyDescent="0.25">
      <c r="A20" t="str">
        <f>IF(Input!A21="","",Input!A21)</f>
        <v>PIM Strategic Conviction RG9</v>
      </c>
      <c r="B20" s="6">
        <f>IFERROR(IF(A20="","",SUM('Asset Allocation'!G20)/'Broad Asset Allocation'!B20),0)</f>
        <v>0</v>
      </c>
      <c r="C20" s="6">
        <f>IFERROR(IF(A20="","",SUM('Asset Allocation'!F20)/'Broad Asset Allocation'!B20),0)</f>
        <v>0</v>
      </c>
      <c r="D20" s="6">
        <f>IFERROR(IF(A20="","",SUM('Asset Allocation'!H20)/'Broad Asset Allocation'!B20),0)</f>
        <v>0</v>
      </c>
      <c r="E20" s="6">
        <f>IFERROR(IF(A20="","",SUM('Asset Allocation'!I20)/'Broad Asset Allocation'!B20),0)</f>
        <v>0</v>
      </c>
      <c r="F20" s="6"/>
      <c r="G20" s="6">
        <f>IFERROR(IF(A20="","",SUM('Asset Allocation'!J20)/'Broad Asset Allocation'!B20),0)</f>
        <v>0</v>
      </c>
      <c r="H20" s="6">
        <f>IFERROR(IF(A20="","",SUM('Asset Allocation'!K20)/'Broad Asset Allocation'!B20),0)</f>
        <v>0</v>
      </c>
    </row>
    <row r="21" spans="1:8" x14ac:dyDescent="0.25">
      <c r="A21" t="str">
        <f>IF(Input!A22="","",Input!A22)</f>
        <v>PIM Strategic Conviction RG10</v>
      </c>
      <c r="B21" s="6">
        <f>IFERROR(IF(A21="","",SUM('Asset Allocation'!G21)/'Broad Asset Allocation'!B21),0)</f>
        <v>0</v>
      </c>
      <c r="C21" s="6">
        <f>IFERROR(IF(A21="","",SUM('Asset Allocation'!F21)/'Broad Asset Allocation'!B21),0)</f>
        <v>0</v>
      </c>
      <c r="D21" s="6">
        <f>IFERROR(IF(A21="","",SUM('Asset Allocation'!H21)/'Broad Asset Allocation'!B21),0)</f>
        <v>0</v>
      </c>
      <c r="E21" s="6">
        <f>IFERROR(IF(A21="","",SUM('Asset Allocation'!I21)/'Broad Asset Allocation'!B21),0)</f>
        <v>0</v>
      </c>
      <c r="F21" s="6"/>
      <c r="G21" s="6">
        <f>IFERROR(IF(A21="","",SUM('Asset Allocation'!J21)/'Broad Asset Allocation'!B21),0)</f>
        <v>0</v>
      </c>
      <c r="H21" s="6">
        <f>IFERROR(IF(A21="","",SUM('Asset Allocation'!K21)/'Broad Asset Allocation'!B21),0)</f>
        <v>0</v>
      </c>
    </row>
    <row r="22" spans="1:8" x14ac:dyDescent="0.25">
      <c r="A22" t="str">
        <f>IF(Input!A23="","",Input!A23)</f>
        <v>PIM Strategic Passive RG1</v>
      </c>
      <c r="B22" s="6">
        <f>IFERROR(IF(A22="","",SUM('Asset Allocation'!G22)/'Broad Asset Allocation'!B22),0)</f>
        <v>0</v>
      </c>
      <c r="C22" s="6">
        <f>IFERROR(IF(A22="","",SUM('Asset Allocation'!F22)/'Broad Asset Allocation'!B22),0)</f>
        <v>0</v>
      </c>
      <c r="D22" s="6">
        <f>IFERROR(IF(A22="","",SUM('Asset Allocation'!H22)/'Broad Asset Allocation'!B22),0)</f>
        <v>0</v>
      </c>
      <c r="E22" s="6">
        <f>IFERROR(IF(A22="","",SUM('Asset Allocation'!I22)/'Broad Asset Allocation'!B22),0)</f>
        <v>0</v>
      </c>
      <c r="F22" s="6"/>
      <c r="G22" s="6">
        <f>IFERROR(IF(A22="","",SUM('Asset Allocation'!J22)/'Broad Asset Allocation'!B22),0)</f>
        <v>0</v>
      </c>
      <c r="H22" s="6">
        <f>IFERROR(IF(A22="","",SUM('Asset Allocation'!K22)/'Broad Asset Allocation'!B22),0)</f>
        <v>0</v>
      </c>
    </row>
    <row r="23" spans="1:8" x14ac:dyDescent="0.25">
      <c r="A23" t="str">
        <f>IF(Input!A24="","",Input!A24)</f>
        <v>PIM Strategic Passive RG2</v>
      </c>
      <c r="B23" s="6">
        <f>IFERROR(IF(A23="","",SUM('Asset Allocation'!G23)/'Broad Asset Allocation'!B23),0)</f>
        <v>0</v>
      </c>
      <c r="C23" s="6">
        <f>IFERROR(IF(A23="","",SUM('Asset Allocation'!F23)/'Broad Asset Allocation'!B23),0)</f>
        <v>0</v>
      </c>
      <c r="D23" s="6">
        <f>IFERROR(IF(A23="","",SUM('Asset Allocation'!H23)/'Broad Asset Allocation'!B23),0)</f>
        <v>0</v>
      </c>
      <c r="E23" s="6">
        <f>IFERROR(IF(A23="","",SUM('Asset Allocation'!I23)/'Broad Asset Allocation'!B23),0)</f>
        <v>0</v>
      </c>
      <c r="F23" s="6"/>
      <c r="G23" s="6">
        <f>IFERROR(IF(A23="","",SUM('Asset Allocation'!J23)/'Broad Asset Allocation'!B23),0)</f>
        <v>0</v>
      </c>
      <c r="H23" s="6">
        <f>IFERROR(IF(A23="","",SUM('Asset Allocation'!K23)/'Broad Asset Allocation'!B23),0)</f>
        <v>0</v>
      </c>
    </row>
    <row r="24" spans="1:8" x14ac:dyDescent="0.25">
      <c r="A24" t="str">
        <f>IF(Input!A25="","",Input!A25)</f>
        <v>PIM Strategic Passive RG3</v>
      </c>
      <c r="B24" s="6">
        <f>IFERROR(IF(A24="","",SUM('Asset Allocation'!G24)/'Broad Asset Allocation'!B24),0)</f>
        <v>0</v>
      </c>
      <c r="C24" s="6">
        <f>IFERROR(IF(A24="","",SUM('Asset Allocation'!F24)/'Broad Asset Allocation'!B24),0)</f>
        <v>0</v>
      </c>
      <c r="D24" s="6">
        <f>IFERROR(IF(A24="","",SUM('Asset Allocation'!H24)/'Broad Asset Allocation'!B24),0)</f>
        <v>0</v>
      </c>
      <c r="E24" s="6">
        <f>IFERROR(IF(A24="","",SUM('Asset Allocation'!I24)/'Broad Asset Allocation'!B24),0)</f>
        <v>0</v>
      </c>
      <c r="F24" s="6"/>
      <c r="G24" s="6">
        <f>IFERROR(IF(A24="","",SUM('Asset Allocation'!J24)/'Broad Asset Allocation'!B24),0)</f>
        <v>0</v>
      </c>
      <c r="H24" s="6">
        <f>IFERROR(IF(A24="","",SUM('Asset Allocation'!K24)/'Broad Asset Allocation'!B24),0)</f>
        <v>0</v>
      </c>
    </row>
    <row r="25" spans="1:8" x14ac:dyDescent="0.25">
      <c r="A25" t="str">
        <f>IF(Input!A26="","",Input!A26)</f>
        <v>PIM Strategic Passive RG4</v>
      </c>
      <c r="B25" s="6">
        <f>IFERROR(IF(A25="","",SUM('Asset Allocation'!G25)/'Broad Asset Allocation'!B25),0)</f>
        <v>0</v>
      </c>
      <c r="C25" s="6">
        <f>IFERROR(IF(A25="","",SUM('Asset Allocation'!F25)/'Broad Asset Allocation'!B25),0)</f>
        <v>0</v>
      </c>
      <c r="D25" s="6">
        <f>IFERROR(IF(A25="","",SUM('Asset Allocation'!H25)/'Broad Asset Allocation'!B25),0)</f>
        <v>0</v>
      </c>
      <c r="E25" s="6">
        <f>IFERROR(IF(A25="","",SUM('Asset Allocation'!I25)/'Broad Asset Allocation'!B25),0)</f>
        <v>0</v>
      </c>
      <c r="F25" s="6"/>
      <c r="G25" s="6">
        <f>IFERROR(IF(A25="","",SUM('Asset Allocation'!J25)/'Broad Asset Allocation'!B25),0)</f>
        <v>0</v>
      </c>
      <c r="H25" s="6">
        <f>IFERROR(IF(A25="","",SUM('Asset Allocation'!K25)/'Broad Asset Allocation'!B25),0)</f>
        <v>0</v>
      </c>
    </row>
    <row r="26" spans="1:8" x14ac:dyDescent="0.25">
      <c r="A26" t="str">
        <f>IF(Input!A27="","",Input!A27)</f>
        <v>PIM Strategic Passive RG5</v>
      </c>
      <c r="B26" s="6">
        <f>IFERROR(IF(A26="","",SUM('Asset Allocation'!G26)/'Broad Asset Allocation'!B26),0)</f>
        <v>0</v>
      </c>
      <c r="C26" s="6">
        <f>IFERROR(IF(A26="","",SUM('Asset Allocation'!F26)/'Broad Asset Allocation'!B26),0)</f>
        <v>0</v>
      </c>
      <c r="D26" s="6">
        <f>IFERROR(IF(A26="","",SUM('Asset Allocation'!H26)/'Broad Asset Allocation'!B26),0)</f>
        <v>0</v>
      </c>
      <c r="E26" s="6">
        <f>IFERROR(IF(A26="","",SUM('Asset Allocation'!I26)/'Broad Asset Allocation'!B26),0)</f>
        <v>0</v>
      </c>
      <c r="F26" s="6"/>
      <c r="G26" s="6">
        <f>IFERROR(IF(A26="","",SUM('Asset Allocation'!J26)/'Broad Asset Allocation'!B26),0)</f>
        <v>0</v>
      </c>
      <c r="H26" s="6">
        <f>IFERROR(IF(A26="","",SUM('Asset Allocation'!K26)/'Broad Asset Allocation'!B26),0)</f>
        <v>0</v>
      </c>
    </row>
    <row r="27" spans="1:8" x14ac:dyDescent="0.25">
      <c r="A27" t="str">
        <f>IF(Input!A28="","",Input!A28)</f>
        <v>PIM Strategic Passive RG6</v>
      </c>
      <c r="B27" s="6">
        <f>IFERROR(IF(A27="","",SUM('Asset Allocation'!G27)/'Broad Asset Allocation'!B27),0)</f>
        <v>0</v>
      </c>
      <c r="C27" s="6">
        <f>IFERROR(IF(A27="","",SUM('Asset Allocation'!F27)/'Broad Asset Allocation'!B27),0)</f>
        <v>0</v>
      </c>
      <c r="D27" s="6">
        <f>IFERROR(IF(A27="","",SUM('Asset Allocation'!H27)/'Broad Asset Allocation'!B27),0)</f>
        <v>0</v>
      </c>
      <c r="E27" s="6">
        <f>IFERROR(IF(A27="","",SUM('Asset Allocation'!I27)/'Broad Asset Allocation'!B27),0)</f>
        <v>0</v>
      </c>
      <c r="F27" s="6"/>
      <c r="G27" s="6">
        <f>IFERROR(IF(A27="","",SUM('Asset Allocation'!J27)/'Broad Asset Allocation'!B27),0)</f>
        <v>0</v>
      </c>
      <c r="H27" s="6">
        <f>IFERROR(IF(A27="","",SUM('Asset Allocation'!K27)/'Broad Asset Allocation'!B27),0)</f>
        <v>0</v>
      </c>
    </row>
    <row r="28" spans="1:8" x14ac:dyDescent="0.25">
      <c r="A28" t="str">
        <f>IF(Input!A29="","",Input!A29)</f>
        <v>PIM Strategic Passive RG7</v>
      </c>
      <c r="B28" s="6">
        <f>IFERROR(IF(A28="","",SUM('Asset Allocation'!G28)/'Broad Asset Allocation'!B28),0)</f>
        <v>0</v>
      </c>
      <c r="C28" s="6">
        <f>IFERROR(IF(A28="","",SUM('Asset Allocation'!F28)/'Broad Asset Allocation'!B28),0)</f>
        <v>0</v>
      </c>
      <c r="D28" s="6">
        <f>IFERROR(IF(A28="","",SUM('Asset Allocation'!H28)/'Broad Asset Allocation'!B28),0)</f>
        <v>0</v>
      </c>
      <c r="E28" s="6">
        <f>IFERROR(IF(A28="","",SUM('Asset Allocation'!I28)/'Broad Asset Allocation'!B28),0)</f>
        <v>0</v>
      </c>
      <c r="F28" s="6"/>
      <c r="G28" s="6">
        <f>IFERROR(IF(A28="","",SUM('Asset Allocation'!J28)/'Broad Asset Allocation'!B28),0)</f>
        <v>0</v>
      </c>
      <c r="H28" s="6">
        <f>IFERROR(IF(A28="","",SUM('Asset Allocation'!K28)/'Broad Asset Allocation'!B28),0)</f>
        <v>0</v>
      </c>
    </row>
    <row r="29" spans="1:8" x14ac:dyDescent="0.25">
      <c r="A29" t="str">
        <f>IF(Input!A30="","",Input!A30)</f>
        <v>PIM Strategic Passive RG8</v>
      </c>
      <c r="B29" s="6">
        <f>IFERROR(IF(A29="","",SUM('Asset Allocation'!G29)/'Broad Asset Allocation'!B29),0)</f>
        <v>0</v>
      </c>
      <c r="C29" s="6">
        <f>IFERROR(IF(A29="","",SUM('Asset Allocation'!F29)/'Broad Asset Allocation'!B29),0)</f>
        <v>0</v>
      </c>
      <c r="D29" s="6">
        <f>IFERROR(IF(A29="","",SUM('Asset Allocation'!H29)/'Broad Asset Allocation'!B29),0)</f>
        <v>0</v>
      </c>
      <c r="E29" s="6">
        <f>IFERROR(IF(A29="","",SUM('Asset Allocation'!I29)/'Broad Asset Allocation'!B29),0)</f>
        <v>0</v>
      </c>
      <c r="F29" s="6"/>
      <c r="G29" s="6">
        <f>IFERROR(IF(A29="","",SUM('Asset Allocation'!J29)/'Broad Asset Allocation'!B29),0)</f>
        <v>0</v>
      </c>
      <c r="H29" s="6">
        <f>IFERROR(IF(A29="","",SUM('Asset Allocation'!K29)/'Broad Asset Allocation'!B29),0)</f>
        <v>0</v>
      </c>
    </row>
    <row r="30" spans="1:8" x14ac:dyDescent="0.25">
      <c r="A30" t="str">
        <f>IF(Input!A31="","",Input!A31)</f>
        <v>PIM Strategic Passive RG9</v>
      </c>
      <c r="B30" s="6">
        <f>IFERROR(IF(A30="","",SUM('Asset Allocation'!G30)/'Broad Asset Allocation'!B30),0)</f>
        <v>0</v>
      </c>
      <c r="C30" s="6">
        <f>IFERROR(IF(A30="","",SUM('Asset Allocation'!F30)/'Broad Asset Allocation'!B30),0)</f>
        <v>0</v>
      </c>
      <c r="D30" s="6">
        <f>IFERROR(IF(A30="","",SUM('Asset Allocation'!H30)/'Broad Asset Allocation'!B30),0)</f>
        <v>0</v>
      </c>
      <c r="E30" s="6">
        <f>IFERROR(IF(A30="","",SUM('Asset Allocation'!I30)/'Broad Asset Allocation'!B30),0)</f>
        <v>0</v>
      </c>
      <c r="F30" s="6"/>
      <c r="G30" s="6">
        <f>IFERROR(IF(A30="","",SUM('Asset Allocation'!J30)/'Broad Asset Allocation'!B30),0)</f>
        <v>0</v>
      </c>
      <c r="H30" s="6">
        <f>IFERROR(IF(A30="","",SUM('Asset Allocation'!K30)/'Broad Asset Allocation'!B30),0)</f>
        <v>0</v>
      </c>
    </row>
    <row r="31" spans="1:8" x14ac:dyDescent="0.25">
      <c r="A31" t="str">
        <f>IF(Input!A32="","",Input!A32)</f>
        <v>PIM Strategic Passive RG10</v>
      </c>
      <c r="B31" s="6">
        <f>IFERROR(IF(A31="","",SUM('Asset Allocation'!G31)/'Broad Asset Allocation'!B31),0)</f>
        <v>0</v>
      </c>
      <c r="C31" s="6">
        <f>IFERROR(IF(A31="","",SUM('Asset Allocation'!F31)/'Broad Asset Allocation'!B31),0)</f>
        <v>0</v>
      </c>
      <c r="D31" s="6">
        <f>IFERROR(IF(A31="","",SUM('Asset Allocation'!H31)/'Broad Asset Allocation'!B31),0)</f>
        <v>0</v>
      </c>
      <c r="E31" s="6">
        <f>IFERROR(IF(A31="","",SUM('Asset Allocation'!I31)/'Broad Asset Allocation'!B31),0)</f>
        <v>0</v>
      </c>
      <c r="F31" s="6"/>
      <c r="G31" s="6">
        <f>IFERROR(IF(A31="","",SUM('Asset Allocation'!J31)/'Broad Asset Allocation'!B31),0)</f>
        <v>0</v>
      </c>
      <c r="H31" s="6">
        <f>IFERROR(IF(A31="","",SUM('Asset Allocation'!K31)/'Broad Asset Allocation'!B31),0)</f>
        <v>0</v>
      </c>
    </row>
    <row r="32" spans="1:8" x14ac:dyDescent="0.25">
      <c r="A32" t="str">
        <f>IF(Input!A33="","",Input!A33)</f>
        <v>PIM Strategic Ethical Active A RG1</v>
      </c>
      <c r="B32" s="6">
        <f>IFERROR(IF(A32="","",SUM('Asset Allocation'!G32)/'Broad Asset Allocation'!B32),0)</f>
        <v>0</v>
      </c>
      <c r="C32" s="6">
        <f>IFERROR(IF(A32="","",SUM('Asset Allocation'!F32)/'Broad Asset Allocation'!B32),0)</f>
        <v>0</v>
      </c>
      <c r="D32" s="6">
        <f>IFERROR(IF(A32="","",SUM('Asset Allocation'!H32)/'Broad Asset Allocation'!B32),0)</f>
        <v>0</v>
      </c>
      <c r="E32" s="6">
        <f>IFERROR(IF(A32="","",SUM('Asset Allocation'!I32)/'Broad Asset Allocation'!B32),0)</f>
        <v>0</v>
      </c>
      <c r="F32" s="6"/>
      <c r="G32" s="6">
        <f>IFERROR(IF(A32="","",SUM('Asset Allocation'!J32)/'Broad Asset Allocation'!B32),0)</f>
        <v>0</v>
      </c>
      <c r="H32" s="6">
        <f>IFERROR(IF(A32="","",SUM('Asset Allocation'!K32)/'Broad Asset Allocation'!B32),0)</f>
        <v>0</v>
      </c>
    </row>
    <row r="33" spans="1:8" x14ac:dyDescent="0.25">
      <c r="A33" t="str">
        <f>IF(Input!A34="","",Input!A34)</f>
        <v>PIM Strategic Ethical Active A RG2</v>
      </c>
      <c r="B33" s="6">
        <f>IFERROR(IF(A33="","",SUM('Asset Allocation'!G33)/'Broad Asset Allocation'!B33),0)</f>
        <v>0</v>
      </c>
      <c r="C33" s="6">
        <f>IFERROR(IF(A33="","",SUM('Asset Allocation'!F33)/'Broad Asset Allocation'!B33),0)</f>
        <v>0</v>
      </c>
      <c r="D33" s="6">
        <f>IFERROR(IF(A33="","",SUM('Asset Allocation'!H33)/'Broad Asset Allocation'!B33),0)</f>
        <v>0</v>
      </c>
      <c r="E33" s="6">
        <f>IFERROR(IF(A33="","",SUM('Asset Allocation'!I33)/'Broad Asset Allocation'!B33),0)</f>
        <v>0</v>
      </c>
      <c r="F33" s="6"/>
      <c r="G33" s="6">
        <f>IFERROR(IF(A33="","",SUM('Asset Allocation'!J33)/'Broad Asset Allocation'!B33),0)</f>
        <v>0</v>
      </c>
      <c r="H33" s="6">
        <f>IFERROR(IF(A33="","",SUM('Asset Allocation'!K33)/'Broad Asset Allocation'!B33),0)</f>
        <v>0</v>
      </c>
    </row>
    <row r="34" spans="1:8" x14ac:dyDescent="0.25">
      <c r="A34" t="str">
        <f>IF(Input!A35="","",Input!A35)</f>
        <v>PIM Strategic Ethical Active A RG3</v>
      </c>
      <c r="B34" s="6">
        <f>IFERROR(IF(A34="","",SUM('Asset Allocation'!G34)/'Broad Asset Allocation'!B34),0)</f>
        <v>0</v>
      </c>
      <c r="C34" s="6">
        <f>IFERROR(IF(A34="","",SUM('Asset Allocation'!F34)/'Broad Asset Allocation'!B34),0)</f>
        <v>0</v>
      </c>
      <c r="D34" s="6">
        <f>IFERROR(IF(A34="","",SUM('Asset Allocation'!H34)/'Broad Asset Allocation'!B34),0)</f>
        <v>0</v>
      </c>
      <c r="E34" s="6">
        <f>IFERROR(IF(A34="","",SUM('Asset Allocation'!I34)/'Broad Asset Allocation'!B34),0)</f>
        <v>0</v>
      </c>
      <c r="F34" s="6"/>
      <c r="G34" s="6">
        <f>IFERROR(IF(A34="","",SUM('Asset Allocation'!J34)/'Broad Asset Allocation'!B34),0)</f>
        <v>0</v>
      </c>
      <c r="H34" s="6">
        <f>IFERROR(IF(A34="","",SUM('Asset Allocation'!K34)/'Broad Asset Allocation'!B34),0)</f>
        <v>0</v>
      </c>
    </row>
    <row r="35" spans="1:8" x14ac:dyDescent="0.25">
      <c r="A35" t="str">
        <f>IF(Input!A36="","",Input!A36)</f>
        <v>PIM Strategic Ethical Active A RG4</v>
      </c>
      <c r="B35" s="6">
        <f>IFERROR(IF(A35="","",SUM('Asset Allocation'!G35)/'Broad Asset Allocation'!B35),0)</f>
        <v>0</v>
      </c>
      <c r="C35" s="6">
        <f>IFERROR(IF(A35="","",SUM('Asset Allocation'!F35)/'Broad Asset Allocation'!B35),0)</f>
        <v>0</v>
      </c>
      <c r="D35" s="6">
        <f>IFERROR(IF(A35="","",SUM('Asset Allocation'!H35)/'Broad Asset Allocation'!B35),0)</f>
        <v>0</v>
      </c>
      <c r="E35" s="6">
        <f>IFERROR(IF(A35="","",SUM('Asset Allocation'!I35)/'Broad Asset Allocation'!B35),0)</f>
        <v>0</v>
      </c>
      <c r="F35" s="6"/>
      <c r="G35" s="6">
        <f>IFERROR(IF(A35="","",SUM('Asset Allocation'!J35)/'Broad Asset Allocation'!B35),0)</f>
        <v>0</v>
      </c>
      <c r="H35" s="6">
        <f>IFERROR(IF(A35="","",SUM('Asset Allocation'!K35)/'Broad Asset Allocation'!B35),0)</f>
        <v>0</v>
      </c>
    </row>
    <row r="36" spans="1:8" x14ac:dyDescent="0.25">
      <c r="A36" t="str">
        <f>IF(Input!A37="","",Input!A37)</f>
        <v>PIM Strategic Ethical Active A RG5</v>
      </c>
      <c r="B36" s="6">
        <f>IFERROR(IF(A36="","",SUM('Asset Allocation'!G36)/'Broad Asset Allocation'!B36),0)</f>
        <v>0</v>
      </c>
      <c r="C36" s="6">
        <f>IFERROR(IF(A36="","",SUM('Asset Allocation'!F36)/'Broad Asset Allocation'!B36),0)</f>
        <v>0</v>
      </c>
      <c r="D36" s="6">
        <f>IFERROR(IF(A36="","",SUM('Asset Allocation'!H36)/'Broad Asset Allocation'!B36),0)</f>
        <v>0</v>
      </c>
      <c r="E36" s="6">
        <f>IFERROR(IF(A36="","",SUM('Asset Allocation'!I36)/'Broad Asset Allocation'!B36),0)</f>
        <v>0</v>
      </c>
      <c r="F36" s="6"/>
      <c r="G36" s="6">
        <f>IFERROR(IF(A36="","",SUM('Asset Allocation'!J36)/'Broad Asset Allocation'!B36),0)</f>
        <v>0</v>
      </c>
      <c r="H36" s="6">
        <f>IFERROR(IF(A36="","",SUM('Asset Allocation'!K36)/'Broad Asset Allocation'!B36),0)</f>
        <v>0</v>
      </c>
    </row>
    <row r="37" spans="1:8" x14ac:dyDescent="0.25">
      <c r="A37" t="str">
        <f>IF(Input!A38="","",Input!A38)</f>
        <v>PIM Strategic Ethical Active A RG6</v>
      </c>
      <c r="B37" s="6">
        <f>IFERROR(IF(A37="","",SUM('Asset Allocation'!G37)/'Broad Asset Allocation'!B37),0)</f>
        <v>0</v>
      </c>
      <c r="C37" s="6">
        <f>IFERROR(IF(A37="","",SUM('Asset Allocation'!F37)/'Broad Asset Allocation'!B37),0)</f>
        <v>0</v>
      </c>
      <c r="D37" s="6">
        <f>IFERROR(IF(A37="","",SUM('Asset Allocation'!H37)/'Broad Asset Allocation'!B37),0)</f>
        <v>0</v>
      </c>
      <c r="E37" s="6">
        <f>IFERROR(IF(A37="","",SUM('Asset Allocation'!I37)/'Broad Asset Allocation'!B37),0)</f>
        <v>0</v>
      </c>
      <c r="F37" s="6"/>
      <c r="G37" s="6">
        <f>IFERROR(IF(A37="","",SUM('Asset Allocation'!J37)/'Broad Asset Allocation'!B37),0)</f>
        <v>0</v>
      </c>
      <c r="H37" s="6">
        <f>IFERROR(IF(A37="","",SUM('Asset Allocation'!K37)/'Broad Asset Allocation'!B37),0)</f>
        <v>0</v>
      </c>
    </row>
    <row r="38" spans="1:8" x14ac:dyDescent="0.25">
      <c r="A38" t="str">
        <f>IF(Input!A39="","",Input!A39)</f>
        <v>PIM Strategic Ethical Active A RG7</v>
      </c>
      <c r="B38" s="6">
        <f>IFERROR(IF(A38="","",SUM('Asset Allocation'!G38)/'Broad Asset Allocation'!B38),0)</f>
        <v>0</v>
      </c>
      <c r="C38" s="6">
        <f>IFERROR(IF(A38="","",SUM('Asset Allocation'!F38)/'Broad Asset Allocation'!B38),0)</f>
        <v>0</v>
      </c>
      <c r="D38" s="6">
        <f>IFERROR(IF(A38="","",SUM('Asset Allocation'!H38)/'Broad Asset Allocation'!B38),0)</f>
        <v>0</v>
      </c>
      <c r="E38" s="6">
        <f>IFERROR(IF(A38="","",SUM('Asset Allocation'!I38)/'Broad Asset Allocation'!B38),0)</f>
        <v>0</v>
      </c>
      <c r="F38" s="6"/>
      <c r="G38" s="6">
        <f>IFERROR(IF(A38="","",SUM('Asset Allocation'!J38)/'Broad Asset Allocation'!B38),0)</f>
        <v>0</v>
      </c>
      <c r="H38" s="6">
        <f>IFERROR(IF(A38="","",SUM('Asset Allocation'!K38)/'Broad Asset Allocation'!B38),0)</f>
        <v>0</v>
      </c>
    </row>
    <row r="39" spans="1:8" x14ac:dyDescent="0.25">
      <c r="A39" t="str">
        <f>IF(Input!A40="","",Input!A40)</f>
        <v>PIM Strategic Ethical Active A RG8</v>
      </c>
      <c r="B39" s="6">
        <f>IFERROR(IF(A39="","",SUM('Asset Allocation'!G39)/'Broad Asset Allocation'!B39),0)</f>
        <v>0</v>
      </c>
      <c r="C39" s="6">
        <f>IFERROR(IF(A39="","",SUM('Asset Allocation'!F39)/'Broad Asset Allocation'!B39),0)</f>
        <v>0</v>
      </c>
      <c r="D39" s="6">
        <f>IFERROR(IF(A39="","",SUM('Asset Allocation'!H39)/'Broad Asset Allocation'!B39),0)</f>
        <v>0</v>
      </c>
      <c r="E39" s="6">
        <f>IFERROR(IF(A39="","",SUM('Asset Allocation'!I39)/'Broad Asset Allocation'!B39),0)</f>
        <v>0</v>
      </c>
      <c r="F39" s="6"/>
      <c r="G39" s="6">
        <f>IFERROR(IF(A39="","",SUM('Asset Allocation'!J39)/'Broad Asset Allocation'!B39),0)</f>
        <v>0</v>
      </c>
      <c r="H39" s="6">
        <f>IFERROR(IF(A39="","",SUM('Asset Allocation'!K39)/'Broad Asset Allocation'!B39),0)</f>
        <v>0</v>
      </c>
    </row>
    <row r="40" spans="1:8" x14ac:dyDescent="0.25">
      <c r="A40" t="str">
        <f>IF(Input!A41="","",Input!A41)</f>
        <v>PIM Strategic Ethical Active A RG9</v>
      </c>
      <c r="B40" s="6">
        <f>IFERROR(IF(A40="","",SUM('Asset Allocation'!G40)/'Broad Asset Allocation'!B40),0)</f>
        <v>0</v>
      </c>
      <c r="C40" s="6">
        <f>IFERROR(IF(A40="","",SUM('Asset Allocation'!F40)/'Broad Asset Allocation'!B40),0)</f>
        <v>0</v>
      </c>
      <c r="D40" s="6">
        <f>IFERROR(IF(A40="","",SUM('Asset Allocation'!H40)/'Broad Asset Allocation'!B40),0)</f>
        <v>0</v>
      </c>
      <c r="E40" s="6">
        <f>IFERROR(IF(A40="","",SUM('Asset Allocation'!I40)/'Broad Asset Allocation'!B40),0)</f>
        <v>0</v>
      </c>
      <c r="F40" s="6"/>
      <c r="G40" s="6">
        <f>IFERROR(IF(A40="","",SUM('Asset Allocation'!J40)/'Broad Asset Allocation'!B40),0)</f>
        <v>0</v>
      </c>
      <c r="H40" s="6">
        <f>IFERROR(IF(A40="","",SUM('Asset Allocation'!K40)/'Broad Asset Allocation'!B40),0)</f>
        <v>0</v>
      </c>
    </row>
    <row r="41" spans="1:8" x14ac:dyDescent="0.25">
      <c r="A41" t="str">
        <f>IF(Input!A42="","",Input!A42)</f>
        <v>PIM Strategic Ethical Active A RG10</v>
      </c>
      <c r="B41" s="6">
        <f>IFERROR(IF(A41="","",SUM('Asset Allocation'!G41)/'Broad Asset Allocation'!B41),0)</f>
        <v>0</v>
      </c>
      <c r="C41" s="6">
        <f>IFERROR(IF(A41="","",SUM('Asset Allocation'!F41)/'Broad Asset Allocation'!B41),0)</f>
        <v>0</v>
      </c>
      <c r="D41" s="6">
        <f>IFERROR(IF(A41="","",SUM('Asset Allocation'!H41)/'Broad Asset Allocation'!B41),0)</f>
        <v>0</v>
      </c>
      <c r="E41" s="6">
        <f>IFERROR(IF(A41="","",SUM('Asset Allocation'!I41)/'Broad Asset Allocation'!B41),0)</f>
        <v>0</v>
      </c>
      <c r="F41" s="6"/>
      <c r="G41" s="6">
        <f>IFERROR(IF(A41="","",SUM('Asset Allocation'!J41)/'Broad Asset Allocation'!B41),0)</f>
        <v>0</v>
      </c>
      <c r="H41" s="6">
        <f>IFERROR(IF(A41="","",SUM('Asset Allocation'!K41)/'Broad Asset Allocation'!B41),0)</f>
        <v>0</v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PIM Tactical Active RG1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PIM Tactical Active RG2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PIM Tactical Active RG3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PIM Tactical Active RG4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PIM Tactical Active RG5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PIM Tactical Active RG6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PIM Tactical Active RG7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PIM Tactical Active RG8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PIM Tactical Active RG9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PIM Tactical Active RG10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PIM Strategic Conviction RG1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PIM Strategic Conviction RG2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PIM Strategic Conviction RG3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>PIM Strategic Conviction RG4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PIM Strategic Conviction RG5</v>
      </c>
      <c r="H16">
        <f>IFERROR(IF(A16="","",SUM('Asset Allocation'!C16)/'Broad Asset Allocation'!C16),0)</f>
        <v>0</v>
      </c>
    </row>
    <row r="17" spans="1:8" x14ac:dyDescent="0.25">
      <c r="A17" t="str">
        <f>IF(Input!A18="","",Input!A18)</f>
        <v>PIM Strategic Conviction RG6</v>
      </c>
      <c r="H17">
        <f>IFERROR(IF(A17="","",SUM('Asset Allocation'!C17)/'Broad Asset Allocation'!C17),0)</f>
        <v>0</v>
      </c>
    </row>
    <row r="18" spans="1:8" x14ac:dyDescent="0.25">
      <c r="A18" t="str">
        <f>IF(Input!A19="","",Input!A19)</f>
        <v>PIM Strategic Conviction RG7</v>
      </c>
      <c r="H18">
        <f>IFERROR(IF(A18="","",SUM('Asset Allocation'!C18)/'Broad Asset Allocation'!C18),0)</f>
        <v>0</v>
      </c>
    </row>
    <row r="19" spans="1:8" x14ac:dyDescent="0.25">
      <c r="A19" t="str">
        <f>IF(Input!A20="","",Input!A20)</f>
        <v>PIM Strategic Conviction RG8</v>
      </c>
      <c r="H19">
        <f>IFERROR(IF(A19="","",SUM('Asset Allocation'!C19)/'Broad Asset Allocation'!C19),0)</f>
        <v>0</v>
      </c>
    </row>
    <row r="20" spans="1:8" x14ac:dyDescent="0.25">
      <c r="A20" t="str">
        <f>IF(Input!A21="","",Input!A21)</f>
        <v>PIM Strategic Conviction RG9</v>
      </c>
      <c r="H20">
        <f>IFERROR(IF(A20="","",SUM('Asset Allocation'!C20)/'Broad Asset Allocation'!C20),0)</f>
        <v>0</v>
      </c>
    </row>
    <row r="21" spans="1:8" x14ac:dyDescent="0.25">
      <c r="A21" t="str">
        <f>IF(Input!A22="","",Input!A22)</f>
        <v>PIM Strategic Conviction RG10</v>
      </c>
      <c r="H21">
        <f>IFERROR(IF(A21="","",SUM('Asset Allocation'!C21)/'Broad Asset Allocation'!C21),0)</f>
        <v>0</v>
      </c>
    </row>
    <row r="22" spans="1:8" x14ac:dyDescent="0.25">
      <c r="A22" t="str">
        <f>IF(Input!A23="","",Input!A23)</f>
        <v>PIM Strategic Passive RG1</v>
      </c>
      <c r="H22">
        <f>IFERROR(IF(A22="","",SUM('Asset Allocation'!C22)/'Broad Asset Allocation'!C22),0)</f>
        <v>0</v>
      </c>
    </row>
    <row r="23" spans="1:8" x14ac:dyDescent="0.25">
      <c r="A23" t="str">
        <f>IF(Input!A24="","",Input!A24)</f>
        <v>PIM Strategic Passive RG2</v>
      </c>
      <c r="H23">
        <f>IFERROR(IF(A23="","",SUM('Asset Allocation'!C23)/'Broad Asset Allocation'!C23),0)</f>
        <v>0</v>
      </c>
    </row>
    <row r="24" spans="1:8" x14ac:dyDescent="0.25">
      <c r="A24" t="str">
        <f>IF(Input!A25="","",Input!A25)</f>
        <v>PIM Strategic Passive RG3</v>
      </c>
      <c r="H24">
        <f>IFERROR(IF(A24="","",SUM('Asset Allocation'!C24)/'Broad Asset Allocation'!C24),0)</f>
        <v>0</v>
      </c>
    </row>
    <row r="25" spans="1:8" x14ac:dyDescent="0.25">
      <c r="A25" t="str">
        <f>IF(Input!A26="","",Input!A26)</f>
        <v>PIM Strategic Passive RG4</v>
      </c>
      <c r="H25">
        <f>IFERROR(IF(A25="","",SUM('Asset Allocation'!C25)/'Broad Asset Allocation'!C25),0)</f>
        <v>0</v>
      </c>
    </row>
    <row r="26" spans="1:8" x14ac:dyDescent="0.25">
      <c r="A26" t="str">
        <f>IF(Input!A27="","",Input!A27)</f>
        <v>PIM Strategic Passive RG5</v>
      </c>
      <c r="H26">
        <f>IFERROR(IF(A26="","",SUM('Asset Allocation'!C26)/'Broad Asset Allocation'!C26),0)</f>
        <v>0</v>
      </c>
    </row>
    <row r="27" spans="1:8" x14ac:dyDescent="0.25">
      <c r="A27" t="str">
        <f>IF(Input!A28="","",Input!A28)</f>
        <v>PIM Strategic Passive RG6</v>
      </c>
      <c r="H27">
        <f>IFERROR(IF(A27="","",SUM('Asset Allocation'!C27)/'Broad Asset Allocation'!C27),0)</f>
        <v>0</v>
      </c>
    </row>
    <row r="28" spans="1:8" x14ac:dyDescent="0.25">
      <c r="A28" t="str">
        <f>IF(Input!A29="","",Input!A29)</f>
        <v>PIM Strategic Passive RG7</v>
      </c>
      <c r="H28">
        <f>IFERROR(IF(A28="","",SUM('Asset Allocation'!C28)/'Broad Asset Allocation'!C28),0)</f>
        <v>0</v>
      </c>
    </row>
    <row r="29" spans="1:8" x14ac:dyDescent="0.25">
      <c r="A29" t="str">
        <f>IF(Input!A30="","",Input!A30)</f>
        <v>PIM Strategic Passive RG8</v>
      </c>
      <c r="H29">
        <f>IFERROR(IF(A29="","",SUM('Asset Allocation'!C29)/'Broad Asset Allocation'!C29),0)</f>
        <v>0</v>
      </c>
    </row>
    <row r="30" spans="1:8" x14ac:dyDescent="0.25">
      <c r="A30" t="str">
        <f>IF(Input!A31="","",Input!A31)</f>
        <v>PIM Strategic Passive RG9</v>
      </c>
      <c r="H30">
        <f>IFERROR(IF(A30="","",SUM('Asset Allocation'!C30)/'Broad Asset Allocation'!C30),0)</f>
        <v>0</v>
      </c>
    </row>
    <row r="31" spans="1:8" x14ac:dyDescent="0.25">
      <c r="A31" t="str">
        <f>IF(Input!A32="","",Input!A32)</f>
        <v>PIM Strategic Passive RG10</v>
      </c>
      <c r="H31">
        <f>IFERROR(IF(A31="","",SUM('Asset Allocation'!C31)/'Broad Asset Allocation'!C31),0)</f>
        <v>0</v>
      </c>
    </row>
    <row r="32" spans="1:8" x14ac:dyDescent="0.25">
      <c r="A32" t="str">
        <f>IF(Input!A33="","",Input!A33)</f>
        <v>PIM Strategic Ethical Active A RG1</v>
      </c>
      <c r="H32">
        <f>IFERROR(IF(A32="","",SUM('Asset Allocation'!C32)/'Broad Asset Allocation'!C32),0)</f>
        <v>0</v>
      </c>
    </row>
    <row r="33" spans="1:8" x14ac:dyDescent="0.25">
      <c r="A33" t="str">
        <f>IF(Input!A34="","",Input!A34)</f>
        <v>PIM Strategic Ethical Active A RG2</v>
      </c>
      <c r="H33">
        <f>IFERROR(IF(A33="","",SUM('Asset Allocation'!C33)/'Broad Asset Allocation'!C33),0)</f>
        <v>0</v>
      </c>
    </row>
    <row r="34" spans="1:8" x14ac:dyDescent="0.25">
      <c r="A34" t="str">
        <f>IF(Input!A35="","",Input!A35)</f>
        <v>PIM Strategic Ethical Active A RG3</v>
      </c>
      <c r="H34">
        <f>IFERROR(IF(A34="","",SUM('Asset Allocation'!C34)/'Broad Asset Allocation'!C34),0)</f>
        <v>0</v>
      </c>
    </row>
    <row r="35" spans="1:8" x14ac:dyDescent="0.25">
      <c r="A35" t="str">
        <f>IF(Input!A36="","",Input!A36)</f>
        <v>PIM Strategic Ethical Active A RG4</v>
      </c>
      <c r="H35">
        <f>IFERROR(IF(A35="","",SUM('Asset Allocation'!C35)/'Broad Asset Allocation'!C35),0)</f>
        <v>0</v>
      </c>
    </row>
    <row r="36" spans="1:8" x14ac:dyDescent="0.25">
      <c r="A36" t="str">
        <f>IF(Input!A37="","",Input!A37)</f>
        <v>PIM Strategic Ethical Active A RG5</v>
      </c>
      <c r="H36">
        <f>IFERROR(IF(A36="","",SUM('Asset Allocation'!C36)/'Broad Asset Allocation'!C36),0)</f>
        <v>0</v>
      </c>
    </row>
    <row r="37" spans="1:8" x14ac:dyDescent="0.25">
      <c r="A37" t="str">
        <f>IF(Input!A38="","",Input!A38)</f>
        <v>PIM Strategic Ethical Active A RG6</v>
      </c>
      <c r="H37">
        <f>IFERROR(IF(A37="","",SUM('Asset Allocation'!C37)/'Broad Asset Allocation'!C37),0)</f>
        <v>0</v>
      </c>
    </row>
    <row r="38" spans="1:8" x14ac:dyDescent="0.25">
      <c r="A38" t="str">
        <f>IF(Input!A39="","",Input!A39)</f>
        <v>PIM Strategic Ethical Active A RG7</v>
      </c>
      <c r="H38">
        <f>IFERROR(IF(A38="","",SUM('Asset Allocation'!C38)/'Broad Asset Allocation'!C38),0)</f>
        <v>0</v>
      </c>
    </row>
    <row r="39" spans="1:8" x14ac:dyDescent="0.25">
      <c r="A39" t="str">
        <f>IF(Input!A40="","",Input!A40)</f>
        <v>PIM Strategic Ethical Active A RG8</v>
      </c>
      <c r="H39">
        <f>IFERROR(IF(A39="","",SUM('Asset Allocation'!C39)/'Broad Asset Allocation'!C39),0)</f>
        <v>0</v>
      </c>
    </row>
    <row r="40" spans="1:8" x14ac:dyDescent="0.25">
      <c r="A40" t="str">
        <f>IF(Input!A41="","",Input!A41)</f>
        <v>PIM Strategic Ethical Active A RG9</v>
      </c>
      <c r="H40">
        <f>IFERROR(IF(A40="","",SUM('Asset Allocation'!C40)/'Broad Asset Allocation'!C40),0)</f>
        <v>0</v>
      </c>
    </row>
    <row r="41" spans="1:8" x14ac:dyDescent="0.25">
      <c r="A41" t="str">
        <f>IF(Input!A42="","",Input!A42)</f>
        <v>PIM Strategic Ethical Active A RG10</v>
      </c>
      <c r="H41">
        <f>IFERROR(IF(A41="","",SUM('Asset Allocation'!C41)/'Broad Asset Allocation'!C41),0)</f>
        <v>0</v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2023-10-21T07:35:03Z</dcterms:modified>
</cp:coreProperties>
</file>