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7_milestone\Arbuthnot Latham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1" l="1"/>
  <c r="B4" i="1"/>
  <c r="B5" i="1"/>
  <c r="B6" i="1"/>
  <c r="B7" i="1"/>
  <c r="B8" i="1"/>
  <c r="B9" i="1"/>
  <c r="B10" i="1"/>
  <c r="B11" i="1"/>
  <c r="B12" i="1"/>
  <c r="B13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29" i="7"/>
  <c r="C29" i="7"/>
  <c r="D29" i="7"/>
  <c r="H29" i="7"/>
  <c r="E29" i="7"/>
  <c r="G29" i="7"/>
  <c r="B37" i="7"/>
  <c r="C37" i="7"/>
  <c r="D37" i="7"/>
  <c r="E37" i="7"/>
  <c r="G37" i="7"/>
  <c r="H37" i="7"/>
  <c r="B45" i="7"/>
  <c r="C45" i="7"/>
  <c r="D45" i="7"/>
  <c r="H45" i="7"/>
  <c r="E45" i="7"/>
  <c r="G45" i="7"/>
  <c r="C30" i="7"/>
  <c r="D30" i="7"/>
  <c r="B30" i="7"/>
  <c r="E30" i="7"/>
  <c r="G30" i="7"/>
  <c r="H30" i="7"/>
  <c r="C38" i="7"/>
  <c r="D38" i="7"/>
  <c r="E38" i="7"/>
  <c r="G38" i="7"/>
  <c r="B38" i="7"/>
  <c r="H38" i="7"/>
  <c r="C46" i="7"/>
  <c r="D46" i="7"/>
  <c r="E46" i="7"/>
  <c r="G46" i="7"/>
  <c r="H46" i="7"/>
  <c r="B46" i="7"/>
  <c r="E31" i="7"/>
  <c r="G31" i="7"/>
  <c r="H31" i="7"/>
  <c r="C31" i="7"/>
  <c r="B31" i="7"/>
  <c r="D31" i="7"/>
  <c r="E39" i="7"/>
  <c r="G39" i="7"/>
  <c r="H39" i="7"/>
  <c r="C39" i="7"/>
  <c r="B39" i="7"/>
  <c r="D39" i="7"/>
  <c r="E47" i="7"/>
  <c r="G47" i="7"/>
  <c r="H47" i="7"/>
  <c r="D47" i="7"/>
  <c r="B47" i="7"/>
  <c r="C47" i="7"/>
  <c r="H32" i="7"/>
  <c r="B32" i="7"/>
  <c r="G32" i="7"/>
  <c r="C32" i="7"/>
  <c r="D32" i="7"/>
  <c r="E32" i="7"/>
  <c r="H48" i="7"/>
  <c r="B48" i="7"/>
  <c r="E48" i="7"/>
  <c r="C48" i="7"/>
  <c r="D48" i="7"/>
  <c r="G48" i="7"/>
  <c r="B33" i="7"/>
  <c r="C33" i="7"/>
  <c r="D33" i="7"/>
  <c r="H33" i="7"/>
  <c r="E33" i="7"/>
  <c r="G33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B26" i="7"/>
  <c r="C26" i="7"/>
  <c r="D26" i="7"/>
  <c r="E26" i="7"/>
  <c r="G26" i="7"/>
  <c r="H26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C27" i="7"/>
  <c r="E27" i="7"/>
  <c r="G27" i="7"/>
  <c r="H27" i="7"/>
  <c r="B27" i="7"/>
  <c r="D27" i="7"/>
  <c r="E35" i="7"/>
  <c r="G35" i="7"/>
  <c r="H35" i="7"/>
  <c r="D35" i="7"/>
  <c r="B35" i="7"/>
  <c r="C35" i="7"/>
  <c r="E43" i="7"/>
  <c r="G43" i="7"/>
  <c r="D43" i="7"/>
  <c r="H43" i="7"/>
  <c r="C43" i="7"/>
  <c r="B43" i="7"/>
  <c r="H28" i="7"/>
  <c r="G28" i="7"/>
  <c r="B28" i="7"/>
  <c r="C28" i="7"/>
  <c r="D28" i="7"/>
  <c r="E28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4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D27" i="4"/>
  <c r="F27" i="4"/>
  <c r="G27" i="4"/>
  <c r="B27" i="4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4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D28" i="4"/>
  <c r="B28" i="4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C31" i="4"/>
  <c r="G31" i="4"/>
  <c r="D31" i="4"/>
  <c r="B32" i="4"/>
  <c r="C32" i="4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4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" i="7" l="1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<sst xmlns="http://schemas.openxmlformats.org/spreadsheetml/2006/main" count="109" uniqueCount="83">
  <si>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</si>
  <si>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</si>
  <si>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</si>
  <si>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</si>
  <si>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</si>
  <si>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</si>
  <si>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</si>
  <si>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</si>
  <si>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</si>
  <si>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</si>
  <si>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</si>
  <si>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</si>
  <si>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</si>
  <si>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</si>
  <si>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</si>
  <si>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</si>
  <si>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</si>
  <si>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</si>
  <si>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</si>
  <si>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</si>
  <si>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</si>
  <si>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</si>
  <si>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</si>
  <si>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</si>
  <si>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</si>
  <si>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</si>
  <si>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</si>
  <si>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</si>
  <si>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</si>
  <si>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</si>
  <si>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</si>
  <si>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</si>
  <si>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</si>
  <si>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</si>
  <si>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</si>
  <si>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GLOBAL MPS CAUTIOUS</t>
  </si>
  <si>
    <t>GLOBAL MPS CAUTIOUS BALANCED</t>
  </si>
  <si>
    <t>GLOBAL MPS BALANCED</t>
  </si>
  <si>
    <t>GLOBAL MPS BALANCED GROWTH</t>
  </si>
  <si>
    <t>GLOBAL MPS GROWTH</t>
  </si>
  <si>
    <t>GLOBAL MPS ADVENTUROUS</t>
  </si>
  <si>
    <t>SUSTAINABLE MPS CAUTIOUS</t>
  </si>
  <si>
    <t>SUSTAINABLE MPS CAUTIOUS BALANCED</t>
  </si>
  <si>
    <t>SUSTAINABLE MPS BALANCED</t>
  </si>
  <si>
    <t>SUSTAINABLE MPS BALANCED GROWTH</t>
  </si>
  <si>
    <t>SUSTAINABLE MPS GROWTH</t>
  </si>
  <si>
    <t>SUSTAINABLE MPS ADVENTUROUS</t>
  </si>
  <si>
    <t>Global MPS Cautious</t>
  </si>
  <si>
    <t>Global MPS Cautious Balanced</t>
  </si>
  <si>
    <t>Global MPS Balanced</t>
  </si>
  <si>
    <t>Global MPS Balanced Growth</t>
  </si>
  <si>
    <t>Global MPS Growth</t>
  </si>
  <si>
    <t>Global MPS Adventurous</t>
  </si>
  <si>
    <t>Sustainable MPS Cautious</t>
  </si>
  <si>
    <t>Sustainable MPS Cautious Balanced</t>
  </si>
  <si>
    <t>Sustainable MPS Balanced</t>
  </si>
  <si>
    <t>Sustainable MPS Balanced Growth</t>
  </si>
  <si>
    <t>Sustainable MPS Growth</t>
  </si>
  <si>
    <t>Sustainable MPS Adventurous</t>
  </si>
  <si>
    <t>https://www.arbuthnotlatham.co.uk/financial-advisers</t>
  </si>
  <si>
    <t>Other Fixed Interest</t>
  </si>
  <si>
    <t>Government Securities</t>
  </si>
  <si>
    <t>Absolute Return &amp; Hedge Funds</t>
  </si>
  <si>
    <t>Other</t>
  </si>
  <si>
    <t>1 year</t>
  </si>
  <si>
    <t>Property</t>
  </si>
  <si>
    <t>https://www.arbuthnotlatham.co.uk//sites/default/files/documents/1_GlobalMPSCautious_Sep23.pdf</t>
  </si>
  <si>
    <t>https://www.arbuthnotlatham.co.uk//sites/default/files/documents/2_GlobalMPSCautiousBalanced_Sep23.pdf</t>
  </si>
  <si>
    <t>https://www.arbuthnotlatham.co.uk//sites/default/files/documents/3_GlobalMPSBalanced_Sep23.pdf</t>
  </si>
  <si>
    <t>https://www.arbuthnotlatham.co.uk//sites/default/files/documents/4_GlobalMPSBalancedGrowth_Sep23.pdf</t>
  </si>
  <si>
    <t>https://www.arbuthnotlatham.co.uk//sites/default/files/documents/5_GlobalMPSGrowth_Sep23.pdf</t>
  </si>
  <si>
    <t>https://www.arbuthnotlatham.co.uk//sites/default/files/documents/6_GlobalMPSAdventurous_Sep23.pdf</t>
  </si>
  <si>
    <t>https://www.arbuthnotlatham.co.uk//sites/default/files/documents/1_SustainableMPSCautious_Sep23.pdf</t>
  </si>
  <si>
    <t>https://www.arbuthnotlatham.co.uk//sites/default/files/documents/2_SustainableMPSCautiousBalanced_Sep23.pdf</t>
  </si>
  <si>
    <t>https://www.arbuthnotlatham.co.uk//sites/default/files/documents/3_SustainableMPSBalanced_Sep23.pdf</t>
  </si>
  <si>
    <t>https://www.arbuthnotlatham.co.uk//sites/default/files/documents/4_SustainableMPSBalancedGrowth_Sep23.pdf</t>
  </si>
  <si>
    <t>https://www.arbuthnotlatham.co.uk//sites/default/files/documents/5_SustainableMPSGrowth_Sep23.pdf</t>
  </si>
  <si>
    <t>https://www.arbuthnotlatham.co.uk//sites/default/files/documents/6_SustainableMPSAdventurous_Sep23.pdf</t>
  </si>
  <si>
    <t>2 years</t>
  </si>
  <si>
    <t>3 years</t>
  </si>
  <si>
    <t>4 years</t>
  </si>
  <si>
    <t>5 years</t>
  </si>
  <si>
    <t>30.09.2023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</si>
</sst>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12700</xdr:colOff>
      <xdr:row>1</xdr:row>
      <xdr:rowOff>63500</xdr:rowOff>
    </xdr:from>
    <xdr:to>
      <xdr:col>13</xdr:col>
      <xdr:colOff>63691</xdr:colOff>
      <xdr:row>13</xdr:row>
      <xdr:rowOff>146168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F37B61E-5C1B-D289-3596-A1BBF6ACA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79900" y="247650"/>
          <a:ext cx="3708591" cy="22924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5</xdr:col>
      <xdr:colOff>552635</xdr:colOff>
      <xdr:row>12</xdr:row>
      <xdr:rowOff>104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7D9FE86-9A2D-0A80-082B-F30EF276E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84150"/>
          <a:ext cx="3600635" cy="20257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G17" sqref="G17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4"/>
  <sheetViews>
    <sheetView workbookViewId="0">
      <selection activeCell="G18" sqref="G18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47</v>
      </c>
      <c r="B3" t="str">
        <f>'PDF Scraping'!D2</f>
        <v>https://www.arbuthnotlatham.co.uk//sites/default/files/documents/1_GlobalMPSCautious_Sep23.pdf</v>
      </c>
      <c r="J3" s="4"/>
    </row>
    <row r="4" spans="1:10" x14ac:dyDescent="0.25">
      <c r="A4" t="s">
        <v>48</v>
      </c>
      <c r="B4" t="str">
        <f>'PDF Scraping'!D3</f>
        <v>https://www.arbuthnotlatham.co.uk//sites/default/files/documents/2_GlobalMPSCautiousBalanced_Sep23.pdf</v>
      </c>
      <c r="J4" s="4"/>
    </row>
    <row r="5" spans="1:10" x14ac:dyDescent="0.25">
      <c r="A5" t="s">
        <v>49</v>
      </c>
      <c r="B5" t="str">
        <f>'PDF Scraping'!D4</f>
        <v>https://www.arbuthnotlatham.co.uk//sites/default/files/documents/3_GlobalMPSBalanced_Sep23.pdf</v>
      </c>
    </row>
    <row r="6" spans="1:10" x14ac:dyDescent="0.25">
      <c r="A6" t="s">
        <v>50</v>
      </c>
      <c r="B6" t="str">
        <f>'PDF Scraping'!D5</f>
        <v>https://www.arbuthnotlatham.co.uk//sites/default/files/documents/4_GlobalMPSBalancedGrowth_Sep23.pdf</v>
      </c>
    </row>
    <row r="7" spans="1:10" x14ac:dyDescent="0.25">
      <c r="A7" t="s">
        <v>51</v>
      </c>
      <c r="B7" t="str">
        <f>'PDF Scraping'!D6</f>
        <v>https://www.arbuthnotlatham.co.uk//sites/default/files/documents/5_GlobalMPSGrowth_Sep23.pdf</v>
      </c>
    </row>
    <row r="8" spans="1:10" x14ac:dyDescent="0.25">
      <c r="A8" t="s">
        <v>52</v>
      </c>
      <c r="B8" t="str">
        <f>'PDF Scraping'!D7</f>
        <v>https://www.arbuthnotlatham.co.uk//sites/default/files/documents/6_GlobalMPSAdventurous_Sep23.pdf</v>
      </c>
    </row>
    <row r="9" spans="1:10" x14ac:dyDescent="0.25">
      <c r="A9" t="s">
        <v>53</v>
      </c>
      <c r="B9" t="str">
        <f>'PDF Scraping'!D8</f>
        <v>https://www.arbuthnotlatham.co.uk//sites/default/files/documents/1_SustainableMPSCautious_Sep23.pdf</v>
      </c>
    </row>
    <row r="10" spans="1:10" x14ac:dyDescent="0.25">
      <c r="A10" t="s">
        <v>54</v>
      </c>
      <c r="B10" t="str">
        <f>'PDF Scraping'!D9</f>
        <v>https://www.arbuthnotlatham.co.uk//sites/default/files/documents/2_SustainableMPSCautiousBalanced_Sep23.pdf</v>
      </c>
    </row>
    <row r="11" spans="1:10" x14ac:dyDescent="0.25">
      <c r="A11" t="s">
        <v>55</v>
      </c>
      <c r="B11" t="str">
        <f>'PDF Scraping'!D10</f>
        <v>https://www.arbuthnotlatham.co.uk//sites/default/files/documents/3_SustainableMPSBalanced_Sep23.pdf</v>
      </c>
    </row>
    <row r="12" spans="1:10" x14ac:dyDescent="0.25">
      <c r="A12" t="s">
        <v>56</v>
      </c>
      <c r="B12" t="str">
        <f>'PDF Scraping'!D11</f>
        <v>https://www.arbuthnotlatham.co.uk//sites/default/files/documents/4_SustainableMPSBalancedGrowth_Sep23.pdf</v>
      </c>
    </row>
    <row r="13" spans="1:10" x14ac:dyDescent="0.25">
      <c r="A13" t="s">
        <v>57</v>
      </c>
      <c r="B13" t="str">
        <f>'PDF Scraping'!D12</f>
        <v>https://www.arbuthnotlatham.co.uk//sites/default/files/documents/5_SustainableMPSGrowth_Sep23.pdf</v>
      </c>
    </row>
    <row r="14" spans="1:10" x14ac:dyDescent="0.25">
      <c r="A14" t="s">
        <v>58</v>
      </c>
      <c r="B14" t="str">
        <f>'PDF Scraping'!D13</f>
        <v>https://www.arbuthnotlatham.co.uk//sites/default/files/documents/6_SustainableMPSAdventurous_Sep23.pdf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E41" sqref="E41"/>
    </sheetView>
  </sheetViews>
  <sheetFormatPr defaultRowHeight="15" x14ac:dyDescent="0.25"/>
  <cols>
    <col min="1" max="1" width="32.85546875" bestFit="1" customWidth="1"/>
    <col min="2" max="2" width="10.140625" bestFit="1" customWidth="1"/>
    <col min="3" max="3" width="6.28515625" style="10" bestFit="1" customWidth="1"/>
    <col min="4" max="4" width="7.85546875" style="10" bestFit="1" customWidth="1"/>
    <col min="5" max="5" width="7.140625" style="10" bestFit="1" customWidth="1"/>
    <col min="6" max="7" width="7.140625" bestFit="1" customWidth="1"/>
  </cols>
  <sheetData>
    <row r="1" spans="1:9" x14ac:dyDescent="0.25">
      <c r="B1" t="s">
        <v>22</v>
      </c>
      <c r="C1" s="10" t="s">
        <v>64</v>
      </c>
      <c r="D1" s="10" t="s">
        <v>78</v>
      </c>
      <c r="E1" s="10" t="s">
        <v>79</v>
      </c>
      <c r="F1" s="10" t="s">
        <v>80</v>
      </c>
      <c r="G1" s="10" t="s">
        <v>81</v>
      </c>
    </row>
    <row r="2" spans="1:9" x14ac:dyDescent="0.25">
      <c r="A2" t="str">
        <f>IF(Input!A3="","",Input!A3)</f>
        <v>Global MPS Cautious</v>
      </c>
      <c r="B2" s="1" t="s">
        <v>82</v>
      </c>
      <c r="C2" s="10">
        <v>1.4999999999999999E-2</v>
      </c>
      <c r="D2" s="10">
        <v>-0.09</v>
      </c>
      <c r="E2" s="10">
        <v>6.9000000000000006E-2</v>
      </c>
      <c r="F2" s="5">
        <v>2.4E-2</v>
      </c>
      <c r="G2" s="5">
        <v>6.0999999999999999E-2</v>
      </c>
      <c r="H2" s="5"/>
      <c r="I2" s="5"/>
    </row>
    <row r="3" spans="1:9" x14ac:dyDescent="0.25">
      <c r="A3" t="str">
        <f>IF(Input!A4="","",Input!A4)</f>
        <v>Global MPS Cautious Balanced</v>
      </c>
      <c r="B3" s="1" t="s">
        <v>82</v>
      </c>
      <c r="C3" s="10">
        <v>2.7999999999999997E-2</v>
      </c>
      <c r="D3" s="10">
        <v>-8.1000000000000003E-2</v>
      </c>
      <c r="E3" s="10">
        <v>0.111</v>
      </c>
      <c r="F3" s="5">
        <v>2.8999999999999998E-2</v>
      </c>
      <c r="G3" s="5">
        <v>5.7000000000000002E-2</v>
      </c>
      <c r="H3" s="5"/>
      <c r="I3" s="5"/>
    </row>
    <row r="4" spans="1:9" x14ac:dyDescent="0.25">
      <c r="A4" t="str">
        <f>IF(Input!A5="","",Input!A5)</f>
        <v>Global MPS Balanced</v>
      </c>
      <c r="B4" s="1" t="s">
        <v>82</v>
      </c>
      <c r="C4" s="10">
        <v>4.0999999999999995E-2</v>
      </c>
      <c r="D4" s="10">
        <v>-8.3000000000000004E-2</v>
      </c>
      <c r="E4" s="10">
        <v>0.14499999999999999</v>
      </c>
      <c r="F4" s="5">
        <v>2.8999999999999998E-2</v>
      </c>
      <c r="G4" s="5">
        <v>4.8000000000000001E-2</v>
      </c>
      <c r="H4" s="5"/>
      <c r="I4" s="5"/>
    </row>
    <row r="5" spans="1:9" x14ac:dyDescent="0.25">
      <c r="A5" t="str">
        <f>IF(Input!A6="","",Input!A6)</f>
        <v>Global MPS Balanced Growth</v>
      </c>
      <c r="B5" s="1" t="s">
        <v>82</v>
      </c>
      <c r="C5" s="10">
        <v>5.0999999999999997E-2</v>
      </c>
      <c r="D5" s="10">
        <v>-8.199999999999999E-2</v>
      </c>
      <c r="E5" s="10">
        <v>0.17199999999999999</v>
      </c>
      <c r="F5" s="5">
        <v>3.4000000000000002E-2</v>
      </c>
      <c r="G5" s="5">
        <v>4.4000000000000004E-2</v>
      </c>
      <c r="H5" s="5"/>
      <c r="I5" s="5"/>
    </row>
    <row r="6" spans="1:9" x14ac:dyDescent="0.25">
      <c r="A6" t="str">
        <f>IF(Input!A7="","",Input!A7)</f>
        <v>Global MPS Growth</v>
      </c>
      <c r="B6" s="1" t="s">
        <v>82</v>
      </c>
      <c r="C6" s="10">
        <v>0.06</v>
      </c>
      <c r="D6" s="10">
        <v>-8.6999999999999994E-2</v>
      </c>
      <c r="E6" s="10">
        <v>0.2</v>
      </c>
      <c r="F6" s="5">
        <v>4.0999999999999995E-2</v>
      </c>
      <c r="G6" s="5">
        <v>4.4000000000000004E-2</v>
      </c>
      <c r="H6" s="5"/>
      <c r="I6" s="5"/>
    </row>
    <row r="7" spans="1:9" x14ac:dyDescent="0.25">
      <c r="A7" t="str">
        <f>IF(Input!A8="","",Input!A8)</f>
        <v>Global MPS Adventurous</v>
      </c>
      <c r="B7" s="1" t="s">
        <v>82</v>
      </c>
      <c r="C7" s="10">
        <v>7.400000000000001E-2</v>
      </c>
      <c r="D7" s="10">
        <v>-0.10400000000000001</v>
      </c>
      <c r="E7" s="10">
        <v>0.23100000000000001</v>
      </c>
      <c r="F7" s="5">
        <v>5.0999999999999997E-2</v>
      </c>
      <c r="G7" s="5">
        <v>4.4000000000000004E-2</v>
      </c>
      <c r="H7" s="5"/>
      <c r="I7" s="5"/>
    </row>
    <row r="8" spans="1:9" x14ac:dyDescent="0.25">
      <c r="A8" t="str">
        <f>IF(Input!A9="","",Input!A9)</f>
        <v>Sustainable MPS Cautious</v>
      </c>
      <c r="B8" s="1" t="s">
        <v>82</v>
      </c>
      <c r="C8" s="10">
        <v>3.4000000000000002E-2</v>
      </c>
      <c r="F8" s="5"/>
      <c r="G8" s="5"/>
      <c r="H8" s="5"/>
      <c r="I8" s="5"/>
    </row>
    <row r="9" spans="1:9" x14ac:dyDescent="0.25">
      <c r="A9" t="str">
        <f>IF(Input!A10="","",Input!A10)</f>
        <v>Sustainable MPS Cautious Balanced</v>
      </c>
      <c r="B9" s="1" t="s">
        <v>82</v>
      </c>
      <c r="C9" s="10">
        <v>3.9E-2</v>
      </c>
      <c r="F9" s="5"/>
      <c r="G9" s="5"/>
      <c r="H9" s="5"/>
      <c r="I9" s="5"/>
    </row>
    <row r="10" spans="1:9" x14ac:dyDescent="0.25">
      <c r="A10" t="str">
        <f>IF(Input!A11="","",Input!A11)</f>
        <v>Sustainable MPS Balanced</v>
      </c>
      <c r="B10" s="1" t="s">
        <v>82</v>
      </c>
      <c r="C10" s="10">
        <v>0.04</v>
      </c>
      <c r="F10" s="5"/>
      <c r="G10" s="5"/>
      <c r="H10" s="5"/>
      <c r="I10" s="5"/>
    </row>
    <row r="11" spans="1:9" x14ac:dyDescent="0.25">
      <c r="A11" t="str">
        <f>IF(Input!A12="","",Input!A12)</f>
        <v>Sustainable MPS Balanced Growth</v>
      </c>
      <c r="B11" s="1" t="s">
        <v>82</v>
      </c>
      <c r="C11" s="10">
        <v>4.2000000000000003E-2</v>
      </c>
      <c r="F11" s="5"/>
      <c r="G11" s="5"/>
      <c r="H11" s="5"/>
      <c r="I11" s="5"/>
    </row>
    <row r="12" spans="1:9" x14ac:dyDescent="0.25">
      <c r="A12" t="str">
        <f>IF(Input!A13="","",Input!A13)</f>
        <v>Sustainable MPS Growth</v>
      </c>
      <c r="B12" s="1" t="s">
        <v>82</v>
      </c>
      <c r="C12" s="10">
        <v>4.5999999999999999E-2</v>
      </c>
      <c r="F12" s="5"/>
      <c r="G12" s="5"/>
      <c r="H12" s="5"/>
      <c r="I12" s="5"/>
    </row>
    <row r="13" spans="1:9" x14ac:dyDescent="0.25">
      <c r="A13" t="str">
        <f>IF(Input!A14="","",Input!A14)</f>
        <v>Sustainable MPS Adventurous</v>
      </c>
      <c r="B13" s="1" t="s">
        <v>82</v>
      </c>
      <c r="C13" s="10">
        <v>4.4000000000000004E-2</v>
      </c>
      <c r="F13" s="5"/>
      <c r="G13" s="5"/>
      <c r="H13" s="5"/>
      <c r="I13" s="5"/>
    </row>
    <row r="14" spans="1:9" x14ac:dyDescent="0.25">
      <c r="A14" t="str">
        <f>IF(Input!A15="","",Input!A15)</f>
        <v/>
      </c>
      <c r="B14" s="1"/>
      <c r="F14" s="5"/>
      <c r="G14" s="5"/>
      <c r="H14" s="5"/>
      <c r="I14" s="5"/>
    </row>
    <row r="15" spans="1:9" x14ac:dyDescent="0.25">
      <c r="A15" t="str">
        <f>IF(Input!A16="","",Input!A16)</f>
        <v/>
      </c>
      <c r="B15" s="1"/>
      <c r="F15" s="5"/>
      <c r="G15" s="5"/>
      <c r="H15" s="5"/>
      <c r="I15" s="5"/>
    </row>
    <row r="16" spans="1:9" x14ac:dyDescent="0.25">
      <c r="A16" t="str">
        <f>IF(Input!A17="","",Input!A17)</f>
        <v/>
      </c>
      <c r="B16" s="1"/>
      <c r="F16" s="5"/>
      <c r="G16" s="5"/>
      <c r="H16" s="5"/>
      <c r="I16" s="5"/>
    </row>
    <row r="17" spans="1:9" x14ac:dyDescent="0.25">
      <c r="A17" t="str">
        <f>IF(Input!A18="","",Input!A18)</f>
        <v/>
      </c>
      <c r="B17" s="1"/>
      <c r="F17" s="5"/>
      <c r="G17" s="5"/>
      <c r="H17" s="5"/>
      <c r="I17" s="5"/>
    </row>
    <row r="18" spans="1:9" x14ac:dyDescent="0.25">
      <c r="A18" t="str">
        <f>IF(Input!A19="","",Input!A19)</f>
        <v/>
      </c>
      <c r="B18" s="1"/>
      <c r="F18" s="5"/>
      <c r="G18" s="5"/>
      <c r="H18" s="5"/>
      <c r="I18" s="5"/>
    </row>
    <row r="19" spans="1:9" x14ac:dyDescent="0.25">
      <c r="A19" t="str">
        <f>IF(Input!A20="","",Input!A20)</f>
        <v/>
      </c>
      <c r="B19" s="1"/>
      <c r="F19" s="5"/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workbookViewId="0">
      <selection activeCell="F16" sqref="F16"/>
    </sheetView>
  </sheetViews>
  <sheetFormatPr defaultRowHeight="15" x14ac:dyDescent="0.25"/>
  <cols>
    <col min="1" max="1" width="32.85546875" bestFit="1" customWidth="1"/>
    <col min="2" max="2" width="12.7109375" style="10" bestFit="1" customWidth="1"/>
    <col min="3" max="3" width="19.140625" style="10" bestFit="1" customWidth="1"/>
    <col min="4" max="4" width="21.7109375" style="10" bestFit="1" customWidth="1"/>
    <col min="5" max="5" width="8.7109375" style="10" bestFit="1" customWidth="1"/>
    <col min="6" max="6" width="29.85546875" style="10" bestFit="1" customWidth="1"/>
    <col min="7" max="8" width="6.140625" style="10" bestFit="1" customWidth="1"/>
    <col min="9" max="9" width="14.42578125" style="10" bestFit="1" customWidth="1"/>
    <col min="10" max="10" width="27" style="10" bestFit="1" customWidth="1"/>
    <col min="11" max="11" width="28.140625" style="10" bestFit="1" customWidth="1"/>
    <col min="12" max="12" width="12.140625" bestFit="1" customWidth="1"/>
    <col min="13" max="13" width="11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17</v>
      </c>
      <c r="C1" s="10" t="s">
        <v>60</v>
      </c>
      <c r="D1" s="10" t="s">
        <v>61</v>
      </c>
      <c r="E1" s="10" t="s">
        <v>65</v>
      </c>
      <c r="F1" s="10" t="s">
        <v>62</v>
      </c>
      <c r="G1" s="10" t="s">
        <v>63</v>
      </c>
      <c r="H1" s="10" t="s">
        <v>4</v>
      </c>
    </row>
    <row r="2" spans="1:30" x14ac:dyDescent="0.25">
      <c r="A2" t="str">
        <f>IF(Input!A3="","",Input!A3)</f>
        <v>Global MPS Cautious</v>
      </c>
      <c r="B2" s="10">
        <v>0.25600000000000001</v>
      </c>
      <c r="C2" s="10">
        <v>0.42700000000000005</v>
      </c>
      <c r="D2" s="10">
        <v>0.22399999999999998</v>
      </c>
      <c r="F2" s="10">
        <v>6.2E-2</v>
      </c>
      <c r="G2" s="10">
        <v>1.4999999999999999E-2</v>
      </c>
      <c r="H2" s="10">
        <v>1.4999999999999999E-2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Global MPS Cautious Balanced</v>
      </c>
      <c r="B3" s="10">
        <v>0.38</v>
      </c>
      <c r="C3" s="10">
        <v>0.37200000000000005</v>
      </c>
      <c r="D3" s="10">
        <v>0.17199999999999999</v>
      </c>
      <c r="F3" s="10">
        <v>4.5999999999999999E-2</v>
      </c>
      <c r="G3" s="10">
        <v>1.4999999999999999E-2</v>
      </c>
      <c r="H3" s="10">
        <v>1.4999999999999999E-2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Global MPS Balanced</v>
      </c>
      <c r="B4" s="10">
        <v>0.505</v>
      </c>
      <c r="C4" s="10">
        <v>0.31900000000000001</v>
      </c>
      <c r="D4" s="10">
        <v>0.11800000000000001</v>
      </c>
      <c r="F4" s="10">
        <v>2.8999999999999998E-2</v>
      </c>
      <c r="G4" s="10">
        <v>1.4999999999999999E-2</v>
      </c>
      <c r="H4" s="10">
        <v>1.3999999999999999E-2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Global MPS Balanced Growth</v>
      </c>
      <c r="B5" s="10">
        <v>0.628</v>
      </c>
      <c r="C5" s="10">
        <v>0.214</v>
      </c>
      <c r="D5" s="10">
        <v>9.5000000000000001E-2</v>
      </c>
      <c r="F5" s="10">
        <v>3.6000000000000004E-2</v>
      </c>
      <c r="G5" s="10">
        <v>1.4999999999999999E-2</v>
      </c>
      <c r="H5" s="10">
        <v>1.3000000000000001E-2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Global MPS Growth</v>
      </c>
      <c r="B6" s="10">
        <v>0.752</v>
      </c>
      <c r="C6" s="10">
        <v>0.13800000000000001</v>
      </c>
      <c r="D6" s="10">
        <v>6.7000000000000004E-2</v>
      </c>
      <c r="F6" s="10">
        <v>1.6E-2</v>
      </c>
      <c r="G6" s="10">
        <v>1.4999999999999999E-2</v>
      </c>
      <c r="H6" s="10">
        <v>1.2E-2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Global MPS Adventurous</v>
      </c>
      <c r="B7" s="10">
        <v>0.872</v>
      </c>
      <c r="C7" s="10">
        <v>4.4000000000000004E-2</v>
      </c>
      <c r="D7" s="10">
        <v>4.2000000000000003E-2</v>
      </c>
      <c r="F7" s="10">
        <v>1.6E-2</v>
      </c>
      <c r="G7" s="10">
        <v>1.4999999999999999E-2</v>
      </c>
      <c r="H7" s="10">
        <v>1.1000000000000001E-2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Sustainable MPS Cautious</v>
      </c>
      <c r="B8" s="10">
        <v>0.25</v>
      </c>
      <c r="C8" s="10">
        <v>0.48</v>
      </c>
      <c r="D8" s="10">
        <v>0.24</v>
      </c>
      <c r="E8" s="10">
        <v>0.02</v>
      </c>
      <c r="H8" s="10">
        <v>0.01</v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Sustainable MPS Cautious Balanced</v>
      </c>
      <c r="B9" s="10">
        <v>0.375</v>
      </c>
      <c r="C9" s="10">
        <v>0.40500000000000003</v>
      </c>
      <c r="D9" s="10">
        <v>0.19</v>
      </c>
      <c r="E9" s="10">
        <v>0.02</v>
      </c>
      <c r="H9" s="10">
        <v>0.01</v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Sustainable MPS Balanced</v>
      </c>
      <c r="B10" s="10">
        <v>0.5</v>
      </c>
      <c r="C10" s="10">
        <v>0.35499999999999998</v>
      </c>
      <c r="D10" s="10">
        <v>0.115</v>
      </c>
      <c r="E10" s="10">
        <v>0.02</v>
      </c>
      <c r="H10" s="10">
        <v>0.01</v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Sustainable MPS Balanced Growth</v>
      </c>
      <c r="B11" s="10">
        <v>0.625</v>
      </c>
      <c r="C11" s="10">
        <v>0.26</v>
      </c>
      <c r="D11" s="10">
        <v>8.5000000000000006E-2</v>
      </c>
      <c r="E11" s="10">
        <v>0.02</v>
      </c>
      <c r="H11" s="10">
        <v>0.01</v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Sustainable MPS Growth</v>
      </c>
      <c r="B12" s="10">
        <v>0.75</v>
      </c>
      <c r="C12" s="10">
        <v>0.17499999999999999</v>
      </c>
      <c r="D12" s="10">
        <v>5.5E-2</v>
      </c>
      <c r="E12" s="10">
        <v>0.01</v>
      </c>
      <c r="H12" s="10">
        <v>0.01</v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Sustainable MPS Adventurous</v>
      </c>
      <c r="B13" s="10">
        <v>0.875</v>
      </c>
      <c r="C13" s="10">
        <v>6.5000000000000002E-2</v>
      </c>
      <c r="D13" s="10">
        <v>0.04</v>
      </c>
      <c r="E13" s="10">
        <v>0.01</v>
      </c>
      <c r="H13" s="10">
        <v>0.01</v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A41" sqref="A41"/>
    </sheetView>
  </sheetViews>
  <sheetFormatPr defaultRowHeight="15" x14ac:dyDescent="0.25"/>
  <cols>
    <col min="1" max="1" width="32.85546875" bestFit="1" customWidth="1"/>
    <col min="2" max="2" width="51.28515625" bestFit="1" customWidth="1"/>
    <col min="3" max="3" width="37.28515625" bestFit="1" customWidth="1"/>
    <col min="4" max="4" width="107.85546875" style="8" bestFit="1" customWidth="1"/>
    <col min="5" max="5" width="10.2851562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Global MPS Cautious</v>
      </c>
      <c r="B2" t="s">
        <v>59</v>
      </c>
      <c r="C2" t="s">
        <v>35</v>
      </c>
      <c r="D2" s="8" t="s">
        <v>66</v>
      </c>
    </row>
    <row r="3" spans="1:5" x14ac:dyDescent="0.25">
      <c r="A3" t="str">
        <f>IF(Input!A4="","",Input!A4)</f>
        <v>Global MPS Cautious Balanced</v>
      </c>
      <c r="B3" t="s">
        <v>59</v>
      </c>
      <c r="C3" t="s">
        <v>36</v>
      </c>
      <c r="D3" s="8" t="s">
        <v>67</v>
      </c>
    </row>
    <row r="4" spans="1:5" x14ac:dyDescent="0.25">
      <c r="A4" t="str">
        <f>IF(Input!A5="","",Input!A5)</f>
        <v>Global MPS Balanced</v>
      </c>
      <c r="B4" t="s">
        <v>59</v>
      </c>
      <c r="C4" t="s">
        <v>37</v>
      </c>
      <c r="D4" s="8" t="s">
        <v>68</v>
      </c>
    </row>
    <row r="5" spans="1:5" x14ac:dyDescent="0.25">
      <c r="A5" t="str">
        <f>IF(Input!A6="","",Input!A6)</f>
        <v>Global MPS Balanced Growth</v>
      </c>
      <c r="B5" t="s">
        <v>59</v>
      </c>
      <c r="C5" t="s">
        <v>38</v>
      </c>
      <c r="D5" s="8" t="s">
        <v>69</v>
      </c>
    </row>
    <row r="6" spans="1:5" x14ac:dyDescent="0.25">
      <c r="A6" t="str">
        <f>IF(Input!A7="","",Input!A7)</f>
        <v>Global MPS Growth</v>
      </c>
      <c r="B6" t="s">
        <v>59</v>
      </c>
      <c r="C6" t="s">
        <v>39</v>
      </c>
      <c r="D6" s="8" t="s">
        <v>70</v>
      </c>
    </row>
    <row r="7" spans="1:5" x14ac:dyDescent="0.25">
      <c r="A7" t="str">
        <f>IF(Input!A8="","",Input!A8)</f>
        <v>Global MPS Adventurous</v>
      </c>
      <c r="B7" t="s">
        <v>59</v>
      </c>
      <c r="C7" t="s">
        <v>40</v>
      </c>
      <c r="D7" s="8" t="s">
        <v>71</v>
      </c>
    </row>
    <row r="8" spans="1:5" x14ac:dyDescent="0.25">
      <c r="A8" t="str">
        <f>IF(Input!A9="","",Input!A9)</f>
        <v>Sustainable MPS Cautious</v>
      </c>
      <c r="B8" t="s">
        <v>59</v>
      </c>
      <c r="C8" t="s">
        <v>41</v>
      </c>
      <c r="D8" s="8" t="s">
        <v>72</v>
      </c>
    </row>
    <row r="9" spans="1:5" x14ac:dyDescent="0.25">
      <c r="A9" t="str">
        <f>IF(Input!A10="","",Input!A10)</f>
        <v>Sustainable MPS Cautious Balanced</v>
      </c>
      <c r="B9" t="s">
        <v>59</v>
      </c>
      <c r="C9" t="s">
        <v>42</v>
      </c>
      <c r="D9" s="8" t="s">
        <v>73</v>
      </c>
    </row>
    <row r="10" spans="1:5" x14ac:dyDescent="0.25">
      <c r="A10" t="str">
        <f>IF(Input!A11="","",Input!A11)</f>
        <v>Sustainable MPS Balanced</v>
      </c>
      <c r="B10" t="s">
        <v>59</v>
      </c>
      <c r="C10" t="s">
        <v>43</v>
      </c>
      <c r="D10" s="8" t="s">
        <v>74</v>
      </c>
    </row>
    <row r="11" spans="1:5" x14ac:dyDescent="0.25">
      <c r="A11" t="str">
        <f>IF(Input!A12="","",Input!A12)</f>
        <v>Sustainable MPS Balanced Growth</v>
      </c>
      <c r="B11" t="s">
        <v>59</v>
      </c>
      <c r="C11" t="s">
        <v>44</v>
      </c>
      <c r="D11" s="8" t="s">
        <v>75</v>
      </c>
    </row>
    <row r="12" spans="1:5" x14ac:dyDescent="0.25">
      <c r="A12" t="str">
        <f>IF(Input!A13="","",Input!A13)</f>
        <v>Sustainable MPS Growth</v>
      </c>
      <c r="B12" t="s">
        <v>59</v>
      </c>
      <c r="C12" t="s">
        <v>45</v>
      </c>
      <c r="D12" s="8" t="s">
        <v>76</v>
      </c>
    </row>
    <row r="13" spans="1:5" x14ac:dyDescent="0.25">
      <c r="A13" t="str">
        <f>IF(Input!A14="","",Input!A14)</f>
        <v>Sustainable MPS Adventurous</v>
      </c>
      <c r="B13" t="s">
        <v>59</v>
      </c>
      <c r="C13" t="s">
        <v>46</v>
      </c>
      <c r="D13" s="8" t="s">
        <v>77</v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Global MPS Cautious</v>
      </c>
      <c r="B2" s="1">
        <f>IF(A2="","",EOMONTH(DATE(YEAR(IF(A2="","",'Additional Information'!B2)),MONTH(IF(A2="","",'Additional Information'!B2)),DAY(IF(A2="","",'Additional Information'!B2))),0))</f>
        <v>45199</v>
      </c>
    </row>
    <row r="3" spans="1:2" x14ac:dyDescent="0.25">
      <c r="A3" t="str">
        <f>IF(Input!A4="","",Input!A4)</f>
        <v>Global MPS Cautious Balanced</v>
      </c>
      <c r="B3" s="1">
        <f>IF(A3="","",EOMONTH(DATE(YEAR(IF(A3="","",'Additional Information'!B3)),MONTH(IF(A3="","",'Additional Information'!B3)),DAY(IF(A3="","",'Additional Information'!B3))),0))</f>
        <v>45199</v>
      </c>
    </row>
    <row r="4" spans="1:2" x14ac:dyDescent="0.25">
      <c r="A4" t="str">
        <f>IF(Input!A5="","",Input!A5)</f>
        <v>Global MPS Balanced</v>
      </c>
      <c r="B4" s="1">
        <f>IF(A4="","",EOMONTH(DATE(YEAR(IF(A4="","",'Additional Information'!B4)),MONTH(IF(A4="","",'Additional Information'!B4)),DAY(IF(A4="","",'Additional Information'!B4))),0))</f>
        <v>45199</v>
      </c>
    </row>
    <row r="5" spans="1:2" x14ac:dyDescent="0.25">
      <c r="A5" t="str">
        <f>IF(Input!A6="","",Input!A6)</f>
        <v>Global MPS Balanced Growth</v>
      </c>
      <c r="B5" s="1">
        <f>IF(A5="","",EOMONTH(DATE(YEAR(IF(A5="","",'Additional Information'!B5)),MONTH(IF(A5="","",'Additional Information'!B5)),DAY(IF(A5="","",'Additional Information'!B5))),0))</f>
        <v>45199</v>
      </c>
    </row>
    <row r="6" spans="1:2" x14ac:dyDescent="0.25">
      <c r="A6" t="str">
        <f>IF(Input!A7="","",Input!A7)</f>
        <v>Global MPS Growth</v>
      </c>
      <c r="B6" s="1">
        <f>IF(A6="","",EOMONTH(DATE(YEAR(IF(A6="","",'Additional Information'!B6)),MONTH(IF(A6="","",'Additional Information'!B6)),DAY(IF(A6="","",'Additional Information'!B6))),0))</f>
        <v>45199</v>
      </c>
    </row>
    <row r="7" spans="1:2" x14ac:dyDescent="0.25">
      <c r="A7" t="str">
        <f>IF(Input!A8="","",Input!A8)</f>
        <v>Global MPS Adventurous</v>
      </c>
      <c r="B7" s="1">
        <f>IF(A7="","",EOMONTH(DATE(YEAR(IF(A7="","",'Additional Information'!B7)),MONTH(IF(A7="","",'Additional Information'!B7)),DAY(IF(A7="","",'Additional Information'!B7))),0))</f>
        <v>45199</v>
      </c>
    </row>
    <row r="8" spans="1:2" x14ac:dyDescent="0.25">
      <c r="A8" t="str">
        <f>IF(Input!A9="","",Input!A9)</f>
        <v>Sustainable MPS Cautious</v>
      </c>
      <c r="B8" s="1">
        <f>IF(A8="","",EOMONTH(DATE(YEAR(IF(A8="","",'Additional Information'!B8)),MONTH(IF(A8="","",'Additional Information'!B8)),DAY(IF(A8="","",'Additional Information'!B8))),0))</f>
        <v>45199</v>
      </c>
    </row>
    <row r="9" spans="1:2" x14ac:dyDescent="0.25">
      <c r="A9" t="str">
        <f>IF(Input!A10="","",Input!A10)</f>
        <v>Sustainable MPS Cautious Balanced</v>
      </c>
      <c r="B9" s="1">
        <f>IF(A9="","",EOMONTH(DATE(YEAR(IF(A9="","",'Additional Information'!B9)),MONTH(IF(A9="","",'Additional Information'!B9)),DAY(IF(A9="","",'Additional Information'!B9))),0))</f>
        <v>45199</v>
      </c>
    </row>
    <row r="10" spans="1:2" x14ac:dyDescent="0.25">
      <c r="A10" t="str">
        <f>IF(Input!A11="","",Input!A11)</f>
        <v>Sustainable MPS Balanced</v>
      </c>
      <c r="B10" s="1">
        <f>IF(A10="","",EOMONTH(DATE(YEAR(IF(A10="","",'Additional Information'!B10)),MONTH(IF(A10="","",'Additional Information'!B10)),DAY(IF(A10="","",'Additional Information'!B10))),0))</f>
        <v>45199</v>
      </c>
    </row>
    <row r="11" spans="1:2" x14ac:dyDescent="0.25">
      <c r="A11" t="str">
        <f>IF(Input!A12="","",Input!A12)</f>
        <v>Sustainable MPS Balanced Growth</v>
      </c>
      <c r="B11" s="1">
        <f>IF(A11="","",EOMONTH(DATE(YEAR(IF(A11="","",'Additional Information'!B11)),MONTH(IF(A11="","",'Additional Information'!B11)),DAY(IF(A11="","",'Additional Information'!B11))),0))</f>
        <v>45199</v>
      </c>
    </row>
    <row r="12" spans="1:2" x14ac:dyDescent="0.25">
      <c r="A12" t="str">
        <f>IF(Input!A13="","",Input!A13)</f>
        <v>Sustainable MPS Growth</v>
      </c>
      <c r="B12" s="1">
        <f>IF(A12="","",EOMONTH(DATE(YEAR(IF(A12="","",'Additional Information'!B12)),MONTH(IF(A12="","",'Additional Information'!B12)),DAY(IF(A12="","",'Additional Information'!B12))),0))</f>
        <v>45199</v>
      </c>
    </row>
    <row r="13" spans="1:2" x14ac:dyDescent="0.25">
      <c r="A13" t="str">
        <f>IF(Input!A14="","",Input!A14)</f>
        <v>Sustainable MPS Adventurous</v>
      </c>
      <c r="B13" s="1">
        <f>IF(A13="","",EOMONTH(DATE(YEAR(IF(A13="","",'Additional Information'!B13)),MONTH(IF(A13="","",'Additional Information'!B13)),DAY(IF(A13="","",'Additional Information'!B13))),0))</f>
        <v>45199</v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Global MPS Cautious</v>
      </c>
      <c r="C2">
        <f>IF(A2="","",IF(OR('Additional Information'!G2="",'Additional Information'!G2="-"),"",'Additional Information'!G2))</f>
        <v>6.0999999999999999E-2</v>
      </c>
      <c r="D2" s="5">
        <f>IF(A2="","",SUM('Additional Information'!C2,'Additional Information'!D2))</f>
        <v>-7.4999999999999997E-2</v>
      </c>
      <c r="E2">
        <f>IF(A2="","",SUM('Additional Information'!C2))</f>
        <v>1.4999999999999999E-2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Global MPS Cautious Balanced</v>
      </c>
      <c r="C3">
        <f>IF(A3="","",IF(OR('Additional Information'!G3="",'Additional Information'!G3="-"),"",'Additional Information'!G3))</f>
        <v>5.7000000000000002E-2</v>
      </c>
      <c r="D3" s="5">
        <f>IF(A3="","",SUM('Additional Information'!C3,'Additional Information'!D3))</f>
        <v>-5.3000000000000005E-2</v>
      </c>
      <c r="E3">
        <f>IF(A3="","",SUM('Additional Information'!C3))</f>
        <v>2.7999999999999997E-2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Global MPS Balanced</v>
      </c>
      <c r="C4">
        <f>IF(A4="","",IF(OR('Additional Information'!G4="",'Additional Information'!G4="-"),"",'Additional Information'!G4))</f>
        <v>4.8000000000000001E-2</v>
      </c>
      <c r="D4" s="5">
        <f>IF(A4="","",SUM('Additional Information'!C4,'Additional Information'!D4))</f>
        <v>-4.200000000000001E-2</v>
      </c>
      <c r="E4">
        <f>IF(A4="","",SUM('Additional Information'!C4))</f>
        <v>4.0999999999999995E-2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Global MPS Balanced Growth</v>
      </c>
      <c r="C5">
        <f>IF(A5="","",IF(OR('Additional Information'!G5="",'Additional Information'!G5="-"),"",'Additional Information'!G5))</f>
        <v>4.4000000000000004E-2</v>
      </c>
      <c r="D5" s="5">
        <f>IF(A5="","",SUM('Additional Information'!C5,'Additional Information'!D5))</f>
        <v>-3.0999999999999993E-2</v>
      </c>
      <c r="E5">
        <f>IF(A5="","",SUM('Additional Information'!C5))</f>
        <v>5.0999999999999997E-2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Global MPS Growth</v>
      </c>
      <c r="C6">
        <f>IF(A6="","",IF(OR('Additional Information'!G6="",'Additional Information'!G6="-"),"",'Additional Information'!G6))</f>
        <v>4.4000000000000004E-2</v>
      </c>
      <c r="D6" s="5">
        <f>IF(A6="","",SUM('Additional Information'!C6,'Additional Information'!D6))</f>
        <v>-2.6999999999999996E-2</v>
      </c>
      <c r="E6">
        <f>IF(A6="","",SUM('Additional Information'!C6))</f>
        <v>0.06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Global MPS Adventurous</v>
      </c>
      <c r="C7">
        <f>IF(A7="","",IF(OR('Additional Information'!G7="",'Additional Information'!G7="-"),"",'Additional Information'!G7))</f>
        <v>4.4000000000000004E-2</v>
      </c>
      <c r="D7" s="5">
        <f>IF(A7="","",SUM('Additional Information'!C7,'Additional Information'!D7))</f>
        <v>-0.03</v>
      </c>
      <c r="E7">
        <f>IF(A7="","",SUM('Additional Information'!C7))</f>
        <v>7.400000000000001E-2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Sustainable MPS Cautious</v>
      </c>
      <c r="C8" t="str">
        <f>IF(A8="","",IF(OR('Additional Information'!G8="",'Additional Information'!G8="-"),"",'Additional Information'!G8))</f>
        <v/>
      </c>
      <c r="D8" s="5">
        <f>IF(A8="","",SUM('Additional Information'!C8,'Additional Information'!D8))</f>
        <v>3.4000000000000002E-2</v>
      </c>
      <c r="E8">
        <f>IF(A8="","",SUM('Additional Information'!C8))</f>
        <v>3.4000000000000002E-2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Sustainable MPS Cautious Balanced</v>
      </c>
      <c r="C9" t="str">
        <f>IF(A9="","",IF(OR('Additional Information'!G9="",'Additional Information'!G9="-"),"",'Additional Information'!G9))</f>
        <v/>
      </c>
      <c r="D9" s="5">
        <f>IF(A9="","",SUM('Additional Information'!C9,'Additional Information'!D9))</f>
        <v>3.9E-2</v>
      </c>
      <c r="E9">
        <f>IF(A9="","",SUM('Additional Information'!C9))</f>
        <v>3.9E-2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Sustainable MPS Balanced</v>
      </c>
      <c r="C10" t="str">
        <f>IF(A10="","",IF(OR('Additional Information'!G10="",'Additional Information'!G10="-"),"",'Additional Information'!G10))</f>
        <v/>
      </c>
      <c r="D10" s="5">
        <f>IF(A10="","",SUM('Additional Information'!C10,'Additional Information'!D10))</f>
        <v>0.04</v>
      </c>
      <c r="E10">
        <f>IF(A10="","",SUM('Additional Information'!C10))</f>
        <v>0.04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Sustainable MPS Balanced Growth</v>
      </c>
      <c r="C11" t="str">
        <f>IF(A11="","",IF(OR('Additional Information'!G11="",'Additional Information'!G11="-"),"",'Additional Information'!G11))</f>
        <v/>
      </c>
      <c r="D11" s="5">
        <f>IF(A11="","",SUM('Additional Information'!C11,'Additional Information'!D11))</f>
        <v>4.2000000000000003E-2</v>
      </c>
      <c r="E11">
        <f>IF(A11="","",SUM('Additional Information'!C11))</f>
        <v>4.2000000000000003E-2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Sustainable MPS Growth</v>
      </c>
      <c r="C12" t="str">
        <f>IF(A12="","",IF(OR('Additional Information'!G12="",'Additional Information'!G12="-"),"",'Additional Information'!G12))</f>
        <v/>
      </c>
      <c r="D12" s="5">
        <f>IF(A12="","",SUM('Additional Information'!C12,'Additional Information'!D12))</f>
        <v>4.5999999999999999E-2</v>
      </c>
      <c r="E12">
        <f>IF(A12="","",SUM('Additional Information'!C12))</f>
        <v>4.5999999999999999E-2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Sustainable MPS Adventurous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4.4000000000000004E-2</v>
      </c>
      <c r="E13">
        <f>IF(A13="","",SUM('Additional Information'!C13))</f>
        <v>4.4000000000000004E-2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/>
      </c>
      <c r="C14" t="str">
        <f>IF(A14="","",IF(OR('Additional Information'!G14="",'Additional Information'!G14="-"),"",'Additional Information'!G14))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/>
      </c>
      <c r="C15" t="str">
        <f>IF(A15="","",IF(OR('Additional Information'!G15="",'Additional Information'!G15="-"),"",'Additional Information'!G15))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/>
      </c>
      <c r="C16" t="str">
        <f>IF(A16="","",IF(OR('Additional Information'!G16="",'Additional Information'!G16="-"),"",'Additional Information'!G16))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/>
      </c>
      <c r="C17" t="str">
        <f>IF(A17="","",IF(OR('Additional Information'!G17="",'Additional Information'!G17="-"),"",'Additional Information'!G17))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/>
      </c>
      <c r="C18" t="str">
        <f>IF(A18="","",IF(OR('Additional Information'!G18="",'Additional Information'!G18="-"),"",'Additional Information'!G18))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/>
      </c>
      <c r="C19" t="str">
        <f>IF(A19="","",IF(OR('Additional Information'!G19="",'Additional Information'!G19="-"),"",'Additional Information'!G19))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Global MPS Cautious</v>
      </c>
      <c r="B2">
        <f>IF(A2="","",SUM('Asset Allocation'!F2,'Asset Allocation'!G2,'Asset Allocation'!H2,'Asset Allocation'!I2,'Asset Allocation'!J2,'Asset Allocation'!K2))</f>
        <v>9.1999999999999998E-2</v>
      </c>
      <c r="C2">
        <f>IF(A2="","",SUM('Asset Allocation'!C2))</f>
        <v>0.42700000000000005</v>
      </c>
      <c r="D2">
        <f>IF(A2="","",SUM('Asset Allocation'!D2))</f>
        <v>0.22399999999999998</v>
      </c>
      <c r="F2">
        <f>IF(A2="","",SUM('Asset Allocation'!E2))</f>
        <v>0</v>
      </c>
      <c r="G2">
        <f>IF(A2="","",SUM('Asset Allocation'!B2))</f>
        <v>0.25600000000000001</v>
      </c>
      <c r="H2">
        <f t="shared" ref="H2:H50" si="0">IF(A2="","",1-SUM(B2:G2))</f>
        <v>1.0000000000000009E-3</v>
      </c>
    </row>
    <row r="3" spans="1:8" x14ac:dyDescent="0.25">
      <c r="A3" t="str">
        <f>IF(Input!A4="","",Input!A4)</f>
        <v>Global MPS Cautious Balanced</v>
      </c>
      <c r="B3">
        <f>IF(A3="","",SUM('Asset Allocation'!F3,'Asset Allocation'!G3,'Asset Allocation'!H3,'Asset Allocation'!I3,'Asset Allocation'!J3,'Asset Allocation'!K3))</f>
        <v>7.5999999999999998E-2</v>
      </c>
      <c r="C3">
        <f>IF(A3="","",SUM('Asset Allocation'!C3))</f>
        <v>0.37200000000000005</v>
      </c>
      <c r="D3">
        <f>IF(A3="","",SUM('Asset Allocation'!D3))</f>
        <v>0.17199999999999999</v>
      </c>
      <c r="F3">
        <f>IF(A3="","",SUM('Asset Allocation'!E3))</f>
        <v>0</v>
      </c>
      <c r="G3">
        <f>IF(A3="","",SUM('Asset Allocation'!B3))</f>
        <v>0.38</v>
      </c>
      <c r="H3">
        <f t="shared" si="0"/>
        <v>0</v>
      </c>
    </row>
    <row r="4" spans="1:8" x14ac:dyDescent="0.25">
      <c r="A4" t="str">
        <f>IF(Input!A5="","",Input!A5)</f>
        <v>Global MPS Balanced</v>
      </c>
      <c r="B4">
        <f>IF(A4="","",SUM('Asset Allocation'!F4,'Asset Allocation'!G4,'Asset Allocation'!H4,'Asset Allocation'!I4,'Asset Allocation'!J4,'Asset Allocation'!K4))</f>
        <v>5.7999999999999996E-2</v>
      </c>
      <c r="C4">
        <f>IF(A4="","",SUM('Asset Allocation'!C4))</f>
        <v>0.31900000000000001</v>
      </c>
      <c r="D4">
        <f>IF(A4="","",SUM('Asset Allocation'!D4))</f>
        <v>0.11800000000000001</v>
      </c>
      <c r="F4">
        <f>IF(A4="","",SUM('Asset Allocation'!E4))</f>
        <v>0</v>
      </c>
      <c r="G4">
        <f>IF(A4="","",SUM('Asset Allocation'!B4))</f>
        <v>0.505</v>
      </c>
      <c r="H4">
        <f t="shared" si="0"/>
        <v>0</v>
      </c>
    </row>
    <row r="5" spans="1:8" x14ac:dyDescent="0.25">
      <c r="A5" t="str">
        <f>IF(Input!A6="","",Input!A6)</f>
        <v>Global MPS Balanced Growth</v>
      </c>
      <c r="B5">
        <f>IF(A5="","",SUM('Asset Allocation'!F5,'Asset Allocation'!G5,'Asset Allocation'!H5,'Asset Allocation'!I5,'Asset Allocation'!J5,'Asset Allocation'!K5))</f>
        <v>6.4000000000000001E-2</v>
      </c>
      <c r="C5">
        <f>IF(A5="","",SUM('Asset Allocation'!C5))</f>
        <v>0.214</v>
      </c>
      <c r="D5">
        <f>IF(A5="","",SUM('Asset Allocation'!D5))</f>
        <v>9.5000000000000001E-2</v>
      </c>
      <c r="F5">
        <f>IF(A5="","",SUM('Asset Allocation'!E5))</f>
        <v>0</v>
      </c>
      <c r="G5">
        <f>IF(A5="","",SUM('Asset Allocation'!B5))</f>
        <v>0.628</v>
      </c>
      <c r="H5">
        <f t="shared" si="0"/>
        <v>-9.9999999999988987E-4</v>
      </c>
    </row>
    <row r="6" spans="1:8" x14ac:dyDescent="0.25">
      <c r="A6" t="str">
        <f>IF(Input!A7="","",Input!A7)</f>
        <v>Global MPS Growth</v>
      </c>
      <c r="B6">
        <f>IF(A6="","",SUM('Asset Allocation'!F6,'Asset Allocation'!G6,'Asset Allocation'!H6,'Asset Allocation'!I6,'Asset Allocation'!J6,'Asset Allocation'!K6))</f>
        <v>4.2999999999999997E-2</v>
      </c>
      <c r="C6">
        <f>IF(A6="","",SUM('Asset Allocation'!C6))</f>
        <v>0.13800000000000001</v>
      </c>
      <c r="D6">
        <f>IF(A6="","",SUM('Asset Allocation'!D6))</f>
        <v>6.7000000000000004E-2</v>
      </c>
      <c r="F6">
        <f>IF(A6="","",SUM('Asset Allocation'!E6))</f>
        <v>0</v>
      </c>
      <c r="G6">
        <f>IF(A6="","",SUM('Asset Allocation'!B6))</f>
        <v>0.752</v>
      </c>
      <c r="H6">
        <f t="shared" si="0"/>
        <v>0</v>
      </c>
    </row>
    <row r="7" spans="1:8" x14ac:dyDescent="0.25">
      <c r="A7" t="str">
        <f>IF(Input!A8="","",Input!A8)</f>
        <v>Global MPS Adventurous</v>
      </c>
      <c r="B7">
        <f>IF(A7="","",SUM('Asset Allocation'!F7,'Asset Allocation'!G7,'Asset Allocation'!H7,'Asset Allocation'!I7,'Asset Allocation'!J7,'Asset Allocation'!K7))</f>
        <v>4.2000000000000003E-2</v>
      </c>
      <c r="C7">
        <f>IF(A7="","",SUM('Asset Allocation'!C7))</f>
        <v>4.4000000000000004E-2</v>
      </c>
      <c r="D7">
        <f>IF(A7="","",SUM('Asset Allocation'!D7))</f>
        <v>4.2000000000000003E-2</v>
      </c>
      <c r="F7">
        <f>IF(A7="","",SUM('Asset Allocation'!E7))</f>
        <v>0</v>
      </c>
      <c r="G7">
        <f>IF(A7="","",SUM('Asset Allocation'!B7))</f>
        <v>0.872</v>
      </c>
      <c r="H7">
        <f t="shared" si="0"/>
        <v>0</v>
      </c>
    </row>
    <row r="8" spans="1:8" x14ac:dyDescent="0.25">
      <c r="A8" t="str">
        <f>IF(Input!A9="","",Input!A9)</f>
        <v>Sustainable MPS Cautious</v>
      </c>
      <c r="B8">
        <f>IF(A8="","",SUM('Asset Allocation'!F8,'Asset Allocation'!G8,'Asset Allocation'!H8,'Asset Allocation'!I8,'Asset Allocation'!J8,'Asset Allocation'!K8))</f>
        <v>0.01</v>
      </c>
      <c r="C8">
        <f>IF(A8="","",SUM('Asset Allocation'!C8))</f>
        <v>0.48</v>
      </c>
      <c r="D8">
        <f>IF(A8="","",SUM('Asset Allocation'!D8))</f>
        <v>0.24</v>
      </c>
      <c r="F8">
        <f>IF(A8="","",SUM('Asset Allocation'!E8))</f>
        <v>0.02</v>
      </c>
      <c r="G8">
        <f>IF(A8="","",SUM('Asset Allocation'!B8))</f>
        <v>0.25</v>
      </c>
      <c r="H8">
        <f t="shared" si="0"/>
        <v>0</v>
      </c>
    </row>
    <row r="9" spans="1:8" x14ac:dyDescent="0.25">
      <c r="A9" t="str">
        <f>IF(Input!A10="","",Input!A10)</f>
        <v>Sustainable MPS Cautious Balanced</v>
      </c>
      <c r="B9">
        <f>IF(A9="","",SUM('Asset Allocation'!F9,'Asset Allocation'!G9,'Asset Allocation'!H9,'Asset Allocation'!I9,'Asset Allocation'!J9,'Asset Allocation'!K9))</f>
        <v>0.01</v>
      </c>
      <c r="C9">
        <f>IF(A9="","",SUM('Asset Allocation'!C9))</f>
        <v>0.40500000000000003</v>
      </c>
      <c r="D9">
        <f>IF(A9="","",SUM('Asset Allocation'!D9))</f>
        <v>0.19</v>
      </c>
      <c r="F9">
        <f>IF(A9="","",SUM('Asset Allocation'!E9))</f>
        <v>0.02</v>
      </c>
      <c r="G9">
        <f>IF(A9="","",SUM('Asset Allocation'!B9))</f>
        <v>0.375</v>
      </c>
      <c r="H9">
        <f t="shared" si="0"/>
        <v>0</v>
      </c>
    </row>
    <row r="10" spans="1:8" x14ac:dyDescent="0.25">
      <c r="A10" t="str">
        <f>IF(Input!A11="","",Input!A11)</f>
        <v>Sustainable MPS Balanced</v>
      </c>
      <c r="B10">
        <f>IF(A10="","",SUM('Asset Allocation'!F10,'Asset Allocation'!G10,'Asset Allocation'!H10,'Asset Allocation'!I10,'Asset Allocation'!J10,'Asset Allocation'!K10))</f>
        <v>0.01</v>
      </c>
      <c r="C10">
        <f>IF(A10="","",SUM('Asset Allocation'!C10))</f>
        <v>0.35499999999999998</v>
      </c>
      <c r="D10">
        <f>IF(A10="","",SUM('Asset Allocation'!D10))</f>
        <v>0.115</v>
      </c>
      <c r="F10">
        <f>IF(A10="","",SUM('Asset Allocation'!E10))</f>
        <v>0.02</v>
      </c>
      <c r="G10">
        <f>IF(A10="","",SUM('Asset Allocation'!B10))</f>
        <v>0.5</v>
      </c>
      <c r="H10">
        <f t="shared" si="0"/>
        <v>0</v>
      </c>
    </row>
    <row r="11" spans="1:8" x14ac:dyDescent="0.25">
      <c r="A11" t="str">
        <f>IF(Input!A12="","",Input!A12)</f>
        <v>Sustainable MPS Balanced Growth</v>
      </c>
      <c r="B11">
        <f>IF(A11="","",SUM('Asset Allocation'!F11,'Asset Allocation'!G11,'Asset Allocation'!H11,'Asset Allocation'!I11,'Asset Allocation'!J11,'Asset Allocation'!K11))</f>
        <v>0.01</v>
      </c>
      <c r="C11">
        <f>IF(A11="","",SUM('Asset Allocation'!C11))</f>
        <v>0.26</v>
      </c>
      <c r="D11">
        <f>IF(A11="","",SUM('Asset Allocation'!D11))</f>
        <v>8.5000000000000006E-2</v>
      </c>
      <c r="F11">
        <f>IF(A11="","",SUM('Asset Allocation'!E11))</f>
        <v>0.02</v>
      </c>
      <c r="G11">
        <f>IF(A11="","",SUM('Asset Allocation'!B11))</f>
        <v>0.625</v>
      </c>
      <c r="H11">
        <f t="shared" si="0"/>
        <v>0</v>
      </c>
    </row>
    <row r="12" spans="1:8" x14ac:dyDescent="0.25">
      <c r="A12" t="str">
        <f>IF(Input!A13="","",Input!A13)</f>
        <v>Sustainable MPS Growth</v>
      </c>
      <c r="B12">
        <f>IF(A12="","",SUM('Asset Allocation'!F12,'Asset Allocation'!G12,'Asset Allocation'!H12,'Asset Allocation'!I12,'Asset Allocation'!J12,'Asset Allocation'!K12))</f>
        <v>0.01</v>
      </c>
      <c r="C12">
        <f>IF(A12="","",SUM('Asset Allocation'!C12))</f>
        <v>0.17499999999999999</v>
      </c>
      <c r="D12">
        <f>IF(A12="","",SUM('Asset Allocation'!D12))</f>
        <v>5.5E-2</v>
      </c>
      <c r="F12">
        <f>IF(A12="","",SUM('Asset Allocation'!E12))</f>
        <v>0.01</v>
      </c>
      <c r="G12">
        <f>IF(A12="","",SUM('Asset Allocation'!B12))</f>
        <v>0.75</v>
      </c>
      <c r="H12">
        <f t="shared" si="0"/>
        <v>0</v>
      </c>
    </row>
    <row r="13" spans="1:8" x14ac:dyDescent="0.25">
      <c r="A13" t="str">
        <f>IF(Input!A14="","",Input!A14)</f>
        <v>Sustainable MPS Adventurous</v>
      </c>
      <c r="B13">
        <f>IF(A13="","",SUM('Asset Allocation'!F13,'Asset Allocation'!G13,'Asset Allocation'!H13,'Asset Allocation'!I13,'Asset Allocation'!J13,'Asset Allocation'!K13))</f>
        <v>0.01</v>
      </c>
      <c r="C13">
        <f>IF(A13="","",SUM('Asset Allocation'!C13))</f>
        <v>6.5000000000000002E-2</v>
      </c>
      <c r="D13">
        <f>IF(A13="","",SUM('Asset Allocation'!D13))</f>
        <v>0.04</v>
      </c>
      <c r="F13">
        <f>IF(A13="","",SUM('Asset Allocation'!E13))</f>
        <v>0.01</v>
      </c>
      <c r="G13">
        <f>IF(A13="","",SUM('Asset Allocation'!B13))</f>
        <v>0.875</v>
      </c>
      <c r="H13">
        <f t="shared" si="0"/>
        <v>0</v>
      </c>
    </row>
    <row r="14" spans="1:8" x14ac:dyDescent="0.2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Global MPS Cautious</v>
      </c>
      <c r="B2" s="6">
        <f>IFERROR(IF(A2="","",SUM('Asset Allocation'!G2)/'Broad Asset Allocation'!B2),0)</f>
        <v>0.16304347826086957</v>
      </c>
      <c r="C2" s="6">
        <f>IFERROR(IF(A2="","",SUM('Asset Allocation'!F2)/'Broad Asset Allocation'!B2),0)</f>
        <v>0.67391304347826086</v>
      </c>
      <c r="D2" s="6">
        <f>IFERROR(IF(A2="","",SUM('Asset Allocation'!H2)/'Broad Asset Allocation'!B2),0)</f>
        <v>0.16304347826086957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25">
      <c r="A3" t="str">
        <f>IF(Input!A4="","",Input!A4)</f>
        <v>Global MPS Cautious Balanced</v>
      </c>
      <c r="B3" s="6">
        <f>IFERROR(IF(A3="","",SUM('Asset Allocation'!G3)/'Broad Asset Allocation'!B3),0)</f>
        <v>0.19736842105263158</v>
      </c>
      <c r="C3" s="6">
        <f>IFERROR(IF(A3="","",SUM('Asset Allocation'!F3)/'Broad Asset Allocation'!B3),0)</f>
        <v>0.60526315789473684</v>
      </c>
      <c r="D3" s="6">
        <f>IFERROR(IF(A3="","",SUM('Asset Allocation'!H3)/'Broad Asset Allocation'!B3),0)</f>
        <v>0.19736842105263158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25">
      <c r="A4" t="str">
        <f>IF(Input!A5="","",Input!A5)</f>
        <v>Global MPS Balanced</v>
      </c>
      <c r="B4" s="6">
        <f>IFERROR(IF(A4="","",SUM('Asset Allocation'!G4)/'Broad Asset Allocation'!B4),0)</f>
        <v>0.25862068965517243</v>
      </c>
      <c r="C4" s="6">
        <f>IFERROR(IF(A4="","",SUM('Asset Allocation'!F4)/'Broad Asset Allocation'!B4),0)</f>
        <v>0.5</v>
      </c>
      <c r="D4" s="6">
        <f>IFERROR(IF(A4="","",SUM('Asset Allocation'!H4)/'Broad Asset Allocation'!B4),0)</f>
        <v>0.24137931034482757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25">
      <c r="A5" t="str">
        <f>IF(Input!A6="","",Input!A6)</f>
        <v>Global MPS Balanced Growth</v>
      </c>
      <c r="B5" s="6">
        <f>IFERROR(IF(A5="","",SUM('Asset Allocation'!G5)/'Broad Asset Allocation'!B5),0)</f>
        <v>0.234375</v>
      </c>
      <c r="C5" s="6">
        <f>IFERROR(IF(A5="","",SUM('Asset Allocation'!F5)/'Broad Asset Allocation'!B5),0)</f>
        <v>0.5625</v>
      </c>
      <c r="D5" s="6">
        <f>IFERROR(IF(A5="","",SUM('Asset Allocation'!H5)/'Broad Asset Allocation'!B5),0)</f>
        <v>0.203125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25">
      <c r="A6" t="str">
        <f>IF(Input!A7="","",Input!A7)</f>
        <v>Global MPS Growth</v>
      </c>
      <c r="B6" s="6">
        <f>IFERROR(IF(A6="","",SUM('Asset Allocation'!G6)/'Broad Asset Allocation'!B6),0)</f>
        <v>0.34883720930232559</v>
      </c>
      <c r="C6" s="6">
        <f>IFERROR(IF(A6="","",SUM('Asset Allocation'!F6)/'Broad Asset Allocation'!B6),0)</f>
        <v>0.372093023255814</v>
      </c>
      <c r="D6" s="6">
        <f>IFERROR(IF(A6="","",SUM('Asset Allocation'!H6)/'Broad Asset Allocation'!B6),0)</f>
        <v>0.27906976744186052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25">
      <c r="A7" t="str">
        <f>IF(Input!A8="","",Input!A8)</f>
        <v>Global MPS Adventurous</v>
      </c>
      <c r="B7" s="6">
        <f>IFERROR(IF(A7="","",SUM('Asset Allocation'!G7)/'Broad Asset Allocation'!B7),0)</f>
        <v>0.3571428571428571</v>
      </c>
      <c r="C7" s="6">
        <f>IFERROR(IF(A7="","",SUM('Asset Allocation'!F7)/'Broad Asset Allocation'!B7),0)</f>
        <v>0.38095238095238093</v>
      </c>
      <c r="D7" s="6">
        <f>IFERROR(IF(A7="","",SUM('Asset Allocation'!H7)/'Broad Asset Allocation'!B7),0)</f>
        <v>0.26190476190476192</v>
      </c>
      <c r="E7" s="6">
        <f>IFERROR(IF(A7="","",SUM('Asset Allocation'!I7)/'Broad Asset Allocation'!B7),0)</f>
        <v>0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>Sustainable MPS Cautious</v>
      </c>
      <c r="B8" s="6">
        <f>IFERROR(IF(A8="","",SUM('Asset Allocation'!G8)/'Broad Asset Allocation'!B8),0)</f>
        <v>0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1</v>
      </c>
      <c r="E8" s="6">
        <f>IFERROR(IF(A8="","",SUM('Asset Allocation'!I8)/'Broad Asset Allocation'!B8),0)</f>
        <v>0</v>
      </c>
      <c r="F8" s="6"/>
      <c r="G8" s="6">
        <f>IFERROR(IF(A8="","",SUM('Asset Allocation'!J8)/'Broad Asset Allocation'!B8),0)</f>
        <v>0</v>
      </c>
      <c r="H8" s="6">
        <f>IFERROR(IF(A8="","",SUM('Asset Allocation'!K8)/'Broad Asset Allocation'!B8),0)</f>
        <v>0</v>
      </c>
    </row>
    <row r="9" spans="1:8" x14ac:dyDescent="0.25">
      <c r="A9" t="str">
        <f>IF(Input!A10="","",Input!A10)</f>
        <v>Sustainable MPS Cautious Balanced</v>
      </c>
      <c r="B9" s="6">
        <f>IFERROR(IF(A9="","",SUM('Asset Allocation'!G9)/'Broad Asset Allocation'!B9),0)</f>
        <v>0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1</v>
      </c>
      <c r="E9" s="6">
        <f>IFERROR(IF(A9="","",SUM('Asset Allocation'!I9)/'Broad Asset Allocation'!B9),0)</f>
        <v>0</v>
      </c>
      <c r="F9" s="6"/>
      <c r="G9" s="6">
        <f>IFERROR(IF(A9="","",SUM('Asset Allocation'!J9)/'Broad Asset Allocation'!B9),0)</f>
        <v>0</v>
      </c>
      <c r="H9" s="6">
        <f>IFERROR(IF(A9="","",SUM('Asset Allocation'!K9)/'Broad Asset Allocation'!B9),0)</f>
        <v>0</v>
      </c>
    </row>
    <row r="10" spans="1:8" x14ac:dyDescent="0.25">
      <c r="A10" t="str">
        <f>IF(Input!A11="","",Input!A11)</f>
        <v>Sustainable MPS Balanced</v>
      </c>
      <c r="B10" s="6">
        <f>IFERROR(IF(A10="","",SUM('Asset Allocation'!G10)/'Broad Asset Allocation'!B10),0)</f>
        <v>0</v>
      </c>
      <c r="C10" s="6">
        <f>IFERROR(IF(A10="","",SUM('Asset Allocation'!F10)/'Broad Asset Allocation'!B10),0)</f>
        <v>0</v>
      </c>
      <c r="D10" s="6">
        <f>IFERROR(IF(A10="","",SUM('Asset Allocation'!H10)/'Broad Asset Allocation'!B10),0)</f>
        <v>1</v>
      </c>
      <c r="E10" s="6">
        <f>IFERROR(IF(A10="","",SUM('Asset Allocation'!I10)/'Broad Asset Allocation'!B10),0)</f>
        <v>0</v>
      </c>
      <c r="F10" s="6"/>
      <c r="G10" s="6">
        <f>IFERROR(IF(A10="","",SUM('Asset Allocation'!J10)/'Broad Asset Allocation'!B10),0)</f>
        <v>0</v>
      </c>
      <c r="H10" s="6">
        <f>IFERROR(IF(A10="","",SUM('Asset Allocation'!K10)/'Broad Asset Allocation'!B10),0)</f>
        <v>0</v>
      </c>
    </row>
    <row r="11" spans="1:8" x14ac:dyDescent="0.25">
      <c r="A11" t="str">
        <f>IF(Input!A12="","",Input!A12)</f>
        <v>Sustainable MPS Balanced Growth</v>
      </c>
      <c r="B11" s="6">
        <f>IFERROR(IF(A11="","",SUM('Asset Allocation'!G11)/'Broad Asset Allocation'!B11),0)</f>
        <v>0</v>
      </c>
      <c r="C11" s="6">
        <f>IFERROR(IF(A11="","",SUM('Asset Allocation'!F11)/'Broad Asset Allocation'!B11),0)</f>
        <v>0</v>
      </c>
      <c r="D11" s="6">
        <f>IFERROR(IF(A11="","",SUM('Asset Allocation'!H11)/'Broad Asset Allocation'!B11),0)</f>
        <v>1</v>
      </c>
      <c r="E11" s="6">
        <f>IFERROR(IF(A11="","",SUM('Asset Allocation'!I11)/'Broad Asset Allocation'!B11),0)</f>
        <v>0</v>
      </c>
      <c r="F11" s="6"/>
      <c r="G11" s="6">
        <f>IFERROR(IF(A11="","",SUM('Asset Allocation'!J11)/'Broad Asset Allocation'!B11),0)</f>
        <v>0</v>
      </c>
      <c r="H11" s="6">
        <f>IFERROR(IF(A11="","",SUM('Asset Allocation'!K11)/'Broad Asset Allocation'!B11),0)</f>
        <v>0</v>
      </c>
    </row>
    <row r="12" spans="1:8" x14ac:dyDescent="0.25">
      <c r="A12" t="str">
        <f>IF(Input!A13="","",Input!A13)</f>
        <v>Sustainable MPS Growth</v>
      </c>
      <c r="B12" s="6">
        <f>IFERROR(IF(A12="","",SUM('Asset Allocation'!G12)/'Broad Asset Allocation'!B12),0)</f>
        <v>0</v>
      </c>
      <c r="C12" s="6">
        <f>IFERROR(IF(A12="","",SUM('Asset Allocation'!F12)/'Broad Asset Allocation'!B12),0)</f>
        <v>0</v>
      </c>
      <c r="D12" s="6">
        <f>IFERROR(IF(A12="","",SUM('Asset Allocation'!H12)/'Broad Asset Allocation'!B12),0)</f>
        <v>1</v>
      </c>
      <c r="E12" s="6">
        <f>IFERROR(IF(A12="","",SUM('Asset Allocation'!I12)/'Broad Asset Allocation'!B12),0)</f>
        <v>0</v>
      </c>
      <c r="F12" s="6"/>
      <c r="G12" s="6">
        <f>IFERROR(IF(A12="","",SUM('Asset Allocation'!J12)/'Broad Asset Allocation'!B12),0)</f>
        <v>0</v>
      </c>
      <c r="H12" s="6">
        <f>IFERROR(IF(A12="","",SUM('Asset Allocation'!K12)/'Broad Asset Allocation'!B12),0)</f>
        <v>0</v>
      </c>
    </row>
    <row r="13" spans="1:8" x14ac:dyDescent="0.25">
      <c r="A13" t="str">
        <f>IF(Input!A14="","",Input!A14)</f>
        <v>Sustainable MPS Adventurous</v>
      </c>
      <c r="B13" s="6">
        <f>IFERROR(IF(A13="","",SUM('Asset Allocation'!G13)/'Broad Asset Allocation'!B13),0)</f>
        <v>0</v>
      </c>
      <c r="C13" s="6">
        <f>IFERROR(IF(A13="","",SUM('Asset Allocation'!F13)/'Broad Asset Allocation'!B13),0)</f>
        <v>0</v>
      </c>
      <c r="D13" s="6">
        <f>IFERROR(IF(A13="","",SUM('Asset Allocation'!H13)/'Broad Asset Allocation'!B13),0)</f>
        <v>1</v>
      </c>
      <c r="E13" s="6">
        <f>IFERROR(IF(A13="","",SUM('Asset Allocation'!I13)/'Broad Asset Allocation'!B13),0)</f>
        <v>0</v>
      </c>
      <c r="F13" s="6"/>
      <c r="G13" s="6">
        <f>IFERROR(IF(A13="","",SUM('Asset Allocation'!J13)/'Broad Asset Allocation'!B13),0)</f>
        <v>0</v>
      </c>
      <c r="H13" s="6">
        <f>IFERROR(IF(A13="","",SUM('Asset Allocation'!K13)/'Broad Asset Allocation'!B13),0)</f>
        <v>0</v>
      </c>
    </row>
    <row r="14" spans="1:8" x14ac:dyDescent="0.2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Global MPS Cautious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Global MPS Cautious Balanced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Global MPS Balanced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Global MPS Balanced Growth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Global MPS Growth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Global MPS Adventurous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Sustainable MPS Cautious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Sustainable MPS Cautious Balanced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Sustainable MPS Balanced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Sustainable MPS Balanced Growth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Sustainable MPS Growth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Sustainable MPS Adventurous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MPS Cautious</v>
      </c>
      <c r="C1" s="1" t="str">
        <v>Global MPS Cautious Balanced</v>
      </c>
      <c r="D1" t="str">
        <v>Global MPS Balanced</v>
      </c>
      <c r="E1" t="str">
        <v>Global MPS Balanced Growth</v>
      </c>
      <c r="F1" t="str">
        <v>Global MPS Growth</v>
      </c>
      <c r="G1" t="str">
        <v>Global MPS Adventurous</v>
      </c>
      <c r="H1" t="str">
        <v>Sustainable MPS Cautious</v>
      </c>
      <c r="I1" t="str">
        <v>Sustainable MPS Cautious Balanced</v>
      </c>
      <c r="J1" t="str">
        <v>Sustainable MPS Balanced</v>
      </c>
      <c r="K1" t="str">
        <v>Sustainable MPS Balanced Growth</v>
      </c>
      <c r="L1" t="str">
        <v>Sustainable MPS Growth</v>
      </c>
      <c r="M1" t="str">
        <v>Sustainable MPS Adventurous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2023-10-18T20:58:29Z</dcterms:modified>
</cp:coreProperties>
</file>