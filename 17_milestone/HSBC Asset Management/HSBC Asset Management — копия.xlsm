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7_milestone\HSBC Asset Management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5" l="1"/>
  <c r="A3" i="35"/>
  <c r="A4" i="35"/>
  <c r="A5" i="35"/>
  <c r="A6" i="35"/>
  <c r="B4" i="1"/>
  <c r="B5" i="1"/>
  <c r="B6" i="1"/>
  <c r="B7" i="1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<sst xmlns="http://schemas.openxmlformats.org/spreadsheetml/2006/main" count="74" uniqueCount="63">
  <si>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</si>
  <si>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</si>
  <si>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</si>
  <si>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</si>
  <si>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</si>
  <si>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</si>
  <si>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</si>
  <si>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</si>
  <si>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</si>
  <si>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</si>
  <si>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</si>
  <si>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</si>
  <si>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</si>
  <si>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</si>
  <si>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</si>
  <si>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</si>
  <si>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</si>
  <si>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</si>
  <si>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</si>
  <si>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</si>
  <si>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</si>
  <si>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</si>
  <si>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</si>
  <si>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</si>
  <si>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</si>
  <si>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</si>
  <si>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</si>
  <si>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</si>
  <si>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</si>
  <si>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</si>
  <si>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</si>
  <si>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</si>
  <si>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</si>
  <si>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</si>
  <si>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</si>
  <si>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</si>
  <si>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Property</t>
  </si>
  <si>
    <t>Global Managed Portfolio Service Cautious Portfolio</t>
  </si>
  <si>
    <t>Global Managed Portfolio Service Conservative Portfolio</t>
  </si>
  <si>
    <t>Global Managed Portfolio Service Balanced Portfolio</t>
  </si>
  <si>
    <t>Global Managed Portfolio Service Dynamic Portfolio</t>
  </si>
  <si>
    <t>Global Managed Portfolio Service Adventurous Portfolio</t>
  </si>
  <si>
    <t>https://www.assetmanagement.hsbc.co.uk/en/intermediary/capabilities/multi-asset/global-mps#openTab=0</t>
  </si>
  <si>
    <t>AsiaPac ex Japan Equity</t>
  </si>
  <si>
    <t>Developed Equities (GBP hedged)</t>
  </si>
  <si>
    <t>Liquidity</t>
  </si>
  <si>
    <t>UK Equity</t>
  </si>
  <si>
    <t>Japan Equity</t>
  </si>
  <si>
    <t>Global Equities</t>
  </si>
  <si>
    <t>Europe ex UK Equity</t>
  </si>
  <si>
    <t>Emerging Equity</t>
  </si>
  <si>
    <t>Investment Grade Corporate Bonds (Global)</t>
  </si>
  <si>
    <t>Global Government Bonds</t>
  </si>
  <si>
    <t>US Equity</t>
  </si>
  <si>
    <t>Ongoing charge figure¹</t>
  </si>
  <si>
    <t>1 month</t>
  </si>
  <si>
    <t>3 years ann</t>
  </si>
  <si>
    <t>5 years ann</t>
  </si>
  <si>
    <t>https://www.assetmanagement.hsbc.co.uk/api/v1/download/document/f000010lym/gb/en/factsheet</t>
  </si>
  <si>
    <t>https://www.assetmanagement.hsbc.co.uk/api/v1/download/document/f000010lyn/gb/en/factsheet</t>
  </si>
  <si>
    <t>https://www.assetmanagement.hsbc.co.uk/api/v1/download/document/f000010lyo/gb/en/factsheet</t>
  </si>
  <si>
    <t>https://www.assetmanagement.hsbc.co.uk/api/v1/download/document/f000010lyp/gb/en/factsheet</t>
  </si>
  <si>
    <t>https://www.assetmanagement.hsbc.co.uk/api/v1/download/document/f000010lyq/gb/en/factsheet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</si>
</sst>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88900</xdr:colOff>
      <xdr:row>1</xdr:row>
      <xdr:rowOff>76200</xdr:rowOff>
    </xdr:from>
    <xdr:to>
      <xdr:col>16</xdr:col>
      <xdr:colOff>171736</xdr:colOff>
      <xdr:row>19</xdr:row>
      <xdr:rowOff>139874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7A6017-E0BF-86A0-4A0C-ED9548C29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6100" y="260350"/>
          <a:ext cx="5569236" cy="337837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39778</xdr:rowOff>
    </xdr:from>
    <xdr:to>
      <xdr:col>6</xdr:col>
      <xdr:colOff>146433</xdr:colOff>
      <xdr:row>10</xdr:row>
      <xdr:rowOff>139880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44224B-41A8-3B0A-94B5-94763B2A8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223928"/>
          <a:ext cx="3727833" cy="1757452"/>
        </a:xfrm>
        <a:prstGeom prst="rect">
          <a:avLst/>
        </a:prstGeom>
      </xdr:spPr>
    </xdr:pic>
    <xdr:clientData/>
  </xdr:twoCellAnchor>
  <xdr:twoCellAnchor editAs="oneCell">
    <xdr:from>
      <xdr:col>0</xdr:col>
      <xdr:colOff>88900</xdr:colOff>
      <xdr:row>11</xdr:row>
      <xdr:rowOff>107950</xdr:rowOff>
    </xdr:from>
    <xdr:to>
      <xdr:col>6</xdr:col>
      <xdr:colOff>190500</xdr:colOff>
      <xdr:row>16</xdr:row>
      <xdr:rowOff>176124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C1D8E-E009-CBD1-ECC7-7F6B5A259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900" y="2133600"/>
          <a:ext cx="3759200" cy="988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D22" sqref="D22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D17" sqref="D17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37</v>
      </c>
      <c r="B3" t="str">
        <f>'PDF Scraping'!D2</f>
        <v>https://www.assetmanagement.hsbc.co.uk/api/v1/download/document/f000010lym/gb/en/factsheet</v>
      </c>
      <c r="J3" s="4"/>
    </row>
    <row r="4" spans="1:10" x14ac:dyDescent="0.25">
      <c r="A4" t="s">
        <v>38</v>
      </c>
      <c r="B4" t="str">
        <f>'PDF Scraping'!D3</f>
        <v>https://www.assetmanagement.hsbc.co.uk/api/v1/download/document/f000010lyn/gb/en/factsheet</v>
      </c>
      <c r="J4" s="4"/>
    </row>
    <row r="5" spans="1:10" x14ac:dyDescent="0.25">
      <c r="A5" t="s">
        <v>39</v>
      </c>
      <c r="B5" t="str">
        <f>'PDF Scraping'!D4</f>
        <v>https://www.assetmanagement.hsbc.co.uk/api/v1/download/document/f000010lyo/gb/en/factsheet</v>
      </c>
    </row>
    <row r="6" spans="1:10" x14ac:dyDescent="0.25">
      <c r="A6" t="s">
        <v>40</v>
      </c>
      <c r="B6" t="str">
        <f>'PDF Scraping'!D5</f>
        <v>https://www.assetmanagement.hsbc.co.uk/api/v1/download/document/f000010lyp/gb/en/factsheet</v>
      </c>
    </row>
    <row r="7" spans="1:10" x14ac:dyDescent="0.25">
      <c r="A7" t="s">
        <v>41</v>
      </c>
      <c r="B7" t="str">
        <f>'PDF Scraping'!D6</f>
        <v>https://www.assetmanagement.hsbc.co.uk/api/v1/download/document/f000010lyq/gb/en/factsheet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F11" sqref="F11"/>
    </sheetView>
  </sheetViews>
  <sheetFormatPr defaultRowHeight="15" x14ac:dyDescent="0.25"/>
  <cols>
    <col min="1" max="1" width="52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s="10" t="s">
        <v>35</v>
      </c>
      <c r="F1" t="s">
        <v>56</v>
      </c>
      <c r="G1" t="s">
        <v>57</v>
      </c>
    </row>
    <row r="2" spans="1:9" x14ac:dyDescent="0.25">
      <c r="A2" t="str">
        <f>IF(Input!A3="","",Input!A3)</f>
        <v>Global Managed Portfolio Service Cautious Portfolio</v>
      </c>
      <c r="B2" s="1">
        <v>45169</v>
      </c>
      <c r="C2" s="10">
        <v>2.3999999999999998E-3</v>
      </c>
      <c r="D2" s="10">
        <v>-6.8999999999999999E-3</v>
      </c>
      <c r="E2" s="10">
        <v>-1.1899999999999999E-2</v>
      </c>
      <c r="F2" s="5">
        <v>-1.7899999999999999E-2</v>
      </c>
      <c r="G2" s="5">
        <v>1.23E-2</v>
      </c>
      <c r="H2" s="5"/>
      <c r="I2" s="5"/>
    </row>
    <row r="3" spans="1:9" x14ac:dyDescent="0.25">
      <c r="A3" t="str">
        <f>IF(Input!A4="","",Input!A4)</f>
        <v>Global Managed Portfolio Service Conservative Portfolio</v>
      </c>
      <c r="B3" s="1">
        <v>45169</v>
      </c>
      <c r="C3" s="10">
        <v>2.3999999999999998E-3</v>
      </c>
      <c r="D3" s="10">
        <v>-7.7000000000000002E-3</v>
      </c>
      <c r="E3" s="10">
        <v>-2E-3</v>
      </c>
      <c r="F3" s="5">
        <v>9.300000000000001E-3</v>
      </c>
      <c r="G3" s="5">
        <v>2.9900000000000003E-2</v>
      </c>
      <c r="H3" s="5"/>
      <c r="I3" s="5"/>
    </row>
    <row r="4" spans="1:9" x14ac:dyDescent="0.25">
      <c r="A4" t="str">
        <f>IF(Input!A5="","",Input!A5)</f>
        <v>Global Managed Portfolio Service Balanced Portfolio</v>
      </c>
      <c r="B4" s="1">
        <v>45169</v>
      </c>
      <c r="C4" s="10">
        <v>2.3E-3</v>
      </c>
      <c r="D4" s="10">
        <v>-8.8000000000000005E-3</v>
      </c>
      <c r="E4" s="10">
        <v>8.1000000000000013E-3</v>
      </c>
      <c r="F4" s="5">
        <v>3.9699999999999999E-2</v>
      </c>
      <c r="G4" s="5">
        <v>4.6500000000000007E-2</v>
      </c>
      <c r="H4" s="5"/>
      <c r="I4" s="5"/>
    </row>
    <row r="5" spans="1:9" x14ac:dyDescent="0.25">
      <c r="A5" t="str">
        <f>IF(Input!A6="","",Input!A6)</f>
        <v>Global Managed Portfolio Service Dynamic Portfolio</v>
      </c>
      <c r="B5" s="1">
        <v>45169</v>
      </c>
      <c r="C5" s="10">
        <v>2.3E-3</v>
      </c>
      <c r="D5" s="10">
        <v>-9.5999999999999992E-3</v>
      </c>
      <c r="E5" s="10">
        <v>1.6899999999999998E-2</v>
      </c>
      <c r="F5" s="5">
        <v>6.6600000000000006E-2</v>
      </c>
      <c r="G5" s="5">
        <v>6.1500000000000006E-2</v>
      </c>
      <c r="H5" s="5"/>
      <c r="I5" s="5"/>
    </row>
    <row r="6" spans="1:9" x14ac:dyDescent="0.25">
      <c r="A6" t="str">
        <f>IF(Input!A7="","",Input!A7)</f>
        <v>Global Managed Portfolio Service Adventurous Portfolio</v>
      </c>
      <c r="B6" s="1">
        <v>45169</v>
      </c>
      <c r="C6" s="10">
        <v>2.2000000000000001E-3</v>
      </c>
      <c r="D6" s="10">
        <v>-1.03E-2</v>
      </c>
      <c r="E6" s="10">
        <v>2.1899999999999999E-2</v>
      </c>
      <c r="F6" s="5">
        <v>8.2500000000000004E-2</v>
      </c>
      <c r="G6" s="5">
        <v>6.9900000000000004E-2</v>
      </c>
      <c r="H6" s="5"/>
      <c r="I6" s="5"/>
    </row>
    <row r="7" spans="1:9" x14ac:dyDescent="0.25">
      <c r="A7" t="str">
        <f>IF(Input!A8="","",Input!A8)</f>
        <v/>
      </c>
      <c r="B7" s="1"/>
      <c r="F7" s="5"/>
      <c r="G7" s="5"/>
      <c r="H7" s="5"/>
      <c r="I7" s="5"/>
    </row>
    <row r="8" spans="1:9" x14ac:dyDescent="0.25">
      <c r="A8" t="str">
        <f>IF(Input!A9="","",Input!A9)</f>
        <v/>
      </c>
      <c r="B8" s="1"/>
      <c r="F8" s="5"/>
      <c r="G8" s="5"/>
      <c r="H8" s="5"/>
      <c r="I8" s="5"/>
    </row>
    <row r="9" spans="1:9" x14ac:dyDescent="0.25">
      <c r="A9" t="str">
        <f>IF(Input!A10="","",Input!A10)</f>
        <v/>
      </c>
      <c r="B9" s="1"/>
      <c r="F9" s="5"/>
      <c r="G9" s="5"/>
      <c r="H9" s="5"/>
      <c r="I9" s="5"/>
    </row>
    <row r="10" spans="1:9" x14ac:dyDescent="0.2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2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2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2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2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A6" sqref="A6"/>
    </sheetView>
  </sheetViews>
  <sheetFormatPr defaultRowHeight="15" x14ac:dyDescent="0.25"/>
  <cols>
    <col min="1" max="1" width="52.140625" bestFit="1" customWidth="1"/>
    <col min="2" max="2" width="22.140625" style="10" bestFit="1" customWidth="1"/>
    <col min="3" max="3" width="31.5703125" style="10" bestFit="1" customWidth="1"/>
    <col min="4" max="4" width="8.7109375" style="10" bestFit="1" customWidth="1"/>
    <col min="5" max="5" width="9.42578125" style="10" bestFit="1" customWidth="1"/>
    <col min="6" max="6" width="12" style="10" bestFit="1" customWidth="1"/>
    <col min="7" max="7" width="8.7109375" style="10" bestFit="1" customWidth="1"/>
    <col min="8" max="8" width="14.42578125" style="10" bestFit="1" customWidth="1"/>
    <col min="9" max="9" width="19" style="10" bestFit="1" customWidth="1"/>
    <col min="10" max="10" width="15.42578125" style="10" bestFit="1" customWidth="1"/>
    <col min="11" max="11" width="40.5703125" style="10" bestFit="1" customWidth="1"/>
    <col min="12" max="12" width="24.5703125" bestFit="1" customWidth="1"/>
    <col min="13" max="13" width="9.285156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43</v>
      </c>
      <c r="C1" s="10" t="s">
        <v>44</v>
      </c>
      <c r="D1" s="10" t="s">
        <v>45</v>
      </c>
      <c r="E1" s="10" t="s">
        <v>46</v>
      </c>
      <c r="F1" s="10" t="s">
        <v>47</v>
      </c>
      <c r="G1" s="10" t="s">
        <v>36</v>
      </c>
      <c r="H1" s="10" t="s">
        <v>48</v>
      </c>
      <c r="I1" s="10" t="s">
        <v>49</v>
      </c>
      <c r="J1" s="10" t="s">
        <v>50</v>
      </c>
      <c r="K1" s="10" t="s">
        <v>51</v>
      </c>
      <c r="L1" t="s">
        <v>52</v>
      </c>
      <c r="M1" t="s">
        <v>53</v>
      </c>
    </row>
    <row r="2" spans="1:30" x14ac:dyDescent="0.25">
      <c r="A2" t="str">
        <f>IF(Input!A3="","",Input!A3)</f>
        <v>Global Managed Portfolio Service Cautious Portfolio</v>
      </c>
      <c r="B2" s="10">
        <v>5.6000000000000008E-3</v>
      </c>
      <c r="C2" s="10">
        <v>8.6999999999999994E-3</v>
      </c>
      <c r="D2" s="10">
        <v>1.3999999999999999E-2</v>
      </c>
      <c r="E2" s="10">
        <v>5.1000000000000004E-3</v>
      </c>
      <c r="F2" s="10">
        <v>1.9199999999999998E-2</v>
      </c>
      <c r="G2" s="10">
        <v>1.01E-2</v>
      </c>
      <c r="H2" s="10">
        <v>1.6399999999999998E-2</v>
      </c>
      <c r="I2" s="10">
        <v>1.8500000000000003E-2</v>
      </c>
      <c r="J2" s="10">
        <v>2.5600000000000001E-2</v>
      </c>
      <c r="K2" s="10">
        <v>0.28000000000000003</v>
      </c>
      <c r="L2" s="5">
        <v>0.50670000000000004</v>
      </c>
      <c r="M2" s="5">
        <v>9.0200000000000002E-2</v>
      </c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Global Managed Portfolio Service Conservative Portfolio</v>
      </c>
      <c r="B3" s="10">
        <v>8.8999999999999999E-3</v>
      </c>
      <c r="C3" s="10">
        <v>1.38E-2</v>
      </c>
      <c r="D3" s="10">
        <v>1.4800000000000001E-2</v>
      </c>
      <c r="E3" s="10">
        <v>1.0800000000000001E-2</v>
      </c>
      <c r="F3" s="10">
        <v>3.0699999999999998E-2</v>
      </c>
      <c r="G3" s="10">
        <v>2.76E-2</v>
      </c>
      <c r="H3" s="10">
        <v>3.1800000000000002E-2</v>
      </c>
      <c r="I3" s="10">
        <v>3.9399999999999998E-2</v>
      </c>
      <c r="J3" s="10">
        <v>4.36E-2</v>
      </c>
      <c r="K3" s="10">
        <v>0.20899999999999999</v>
      </c>
      <c r="L3" s="5">
        <v>0.37729999999999997</v>
      </c>
      <c r="M3" s="5">
        <v>0.192</v>
      </c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Global Managed Portfolio Service Balanced Portfolio</v>
      </c>
      <c r="B4" s="10">
        <v>1.38E-2</v>
      </c>
      <c r="C4" s="10">
        <v>1.52E-2</v>
      </c>
      <c r="D4" s="10">
        <v>1.55E-2</v>
      </c>
      <c r="E4" s="10">
        <v>1.95E-2</v>
      </c>
      <c r="F4" s="10">
        <v>4.3099999999999999E-2</v>
      </c>
      <c r="G4" s="10">
        <v>4.7500000000000001E-2</v>
      </c>
      <c r="H4" s="10">
        <v>4.9400000000000006E-2</v>
      </c>
      <c r="I4" s="10">
        <v>6.2899999999999998E-2</v>
      </c>
      <c r="J4" s="10">
        <v>6.6699999999999995E-2</v>
      </c>
      <c r="K4" s="10">
        <v>0.12990000000000002</v>
      </c>
      <c r="L4" s="5">
        <v>0.2306</v>
      </c>
      <c r="M4" s="5">
        <v>0.30579999999999996</v>
      </c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Global Managed Portfolio Service Dynamic Portfolio</v>
      </c>
      <c r="B5" s="10">
        <v>1.8700000000000001E-2</v>
      </c>
      <c r="C5" s="10">
        <v>2.3099999999999999E-2</v>
      </c>
      <c r="D5" s="10">
        <v>1.5800000000000002E-2</v>
      </c>
      <c r="E5" s="10">
        <v>2.53E-2</v>
      </c>
      <c r="F5" s="10">
        <v>5.4299999999999994E-2</v>
      </c>
      <c r="G5" s="10">
        <v>6.4199999999999993E-2</v>
      </c>
      <c r="H5" s="10">
        <v>6.5700000000000008E-2</v>
      </c>
      <c r="I5" s="10">
        <v>8.3400000000000002E-2</v>
      </c>
      <c r="J5" s="10">
        <v>8.5600000000000009E-2</v>
      </c>
      <c r="K5" s="10">
        <v>6.0400000000000002E-2</v>
      </c>
      <c r="L5" s="5">
        <v>0.1002</v>
      </c>
      <c r="M5" s="5">
        <v>0.40340000000000004</v>
      </c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Global Managed Portfolio Service Adventurous Portfolio</v>
      </c>
      <c r="B6" s="10">
        <v>2.3E-2</v>
      </c>
      <c r="C6" s="10">
        <v>1.7500000000000002E-2</v>
      </c>
      <c r="D6" s="10">
        <v>1.54E-2</v>
      </c>
      <c r="E6" s="10">
        <v>2.98E-2</v>
      </c>
      <c r="F6" s="10">
        <v>6.3500000000000001E-2</v>
      </c>
      <c r="G6" s="10">
        <v>7.4400000000000008E-2</v>
      </c>
      <c r="H6" s="10">
        <v>7.2099999999999997E-2</v>
      </c>
      <c r="I6" s="10">
        <v>9.6999999999999989E-2</v>
      </c>
      <c r="J6" s="10">
        <v>0.10050000000000001</v>
      </c>
      <c r="K6" s="10">
        <v>0</v>
      </c>
      <c r="L6" s="5">
        <v>3.5400000000000001E-2</v>
      </c>
      <c r="M6" s="5">
        <v>0.47130000000000005</v>
      </c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10" sqref="B10"/>
    </sheetView>
  </sheetViews>
  <sheetFormatPr defaultRowHeight="15" x14ac:dyDescent="0.25"/>
  <cols>
    <col min="1" max="1" width="52.140625" bestFit="1" customWidth="1"/>
    <col min="2" max="2" width="101.28515625" bestFit="1" customWidth="1"/>
    <col min="3" max="3" width="52.140625" bestFit="1" customWidth="1"/>
    <col min="4" max="4" width="94.28515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Global Managed Portfolio Service Cautious Portfolio</v>
      </c>
      <c r="B2" t="s">
        <v>42</v>
      </c>
      <c r="C2" t="s">
        <v>37</v>
      </c>
      <c r="D2" s="8" t="s">
        <v>58</v>
      </c>
    </row>
    <row r="3" spans="1:5" x14ac:dyDescent="0.25">
      <c r="A3" t="str">
        <f>IF(Input!A4="","",Input!A4)</f>
        <v>Global Managed Portfolio Service Conservative Portfolio</v>
      </c>
      <c r="B3" t="s">
        <v>42</v>
      </c>
      <c r="C3" t="s">
        <v>38</v>
      </c>
      <c r="D3" s="8" t="s">
        <v>59</v>
      </c>
    </row>
    <row r="4" spans="1:5" x14ac:dyDescent="0.25">
      <c r="A4" t="str">
        <f>IF(Input!A5="","",Input!A5)</f>
        <v>Global Managed Portfolio Service Balanced Portfolio</v>
      </c>
      <c r="B4" t="s">
        <v>42</v>
      </c>
      <c r="C4" t="s">
        <v>39</v>
      </c>
      <c r="D4" s="8" t="s">
        <v>60</v>
      </c>
    </row>
    <row r="5" spans="1:5" x14ac:dyDescent="0.25">
      <c r="A5" t="str">
        <f>IF(Input!A6="","",Input!A6)</f>
        <v>Global Managed Portfolio Service Dynamic Portfolio</v>
      </c>
      <c r="B5" t="s">
        <v>42</v>
      </c>
      <c r="C5" t="s">
        <v>40</v>
      </c>
      <c r="D5" s="8" t="s">
        <v>61</v>
      </c>
    </row>
    <row r="6" spans="1:5" x14ac:dyDescent="0.25">
      <c r="A6" t="str">
        <f>IF(Input!A7="","",Input!A7)</f>
        <v>Global Managed Portfolio Service Adventurous Portfolio</v>
      </c>
      <c r="B6" t="s">
        <v>42</v>
      </c>
      <c r="C6" t="s">
        <v>41</v>
      </c>
      <c r="D6" s="8" t="s">
        <v>62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Global Managed Portfolio Service Cautious Portfolio</v>
      </c>
      <c r="B2" s="1">
        <f>IF(A2="","",EOMONTH(DATE(YEAR(IF(A2="","",'Additional Information'!B2)),MONTH(IF(A2="","",'Additional Information'!B2)),DAY(IF(A2="","",'Additional Information'!B2))),0))</f>
        <v>45169</v>
      </c>
    </row>
    <row r="3" spans="1:2" x14ac:dyDescent="0.25">
      <c r="A3" t="str">
        <f>IF(Input!A4="","",Input!A4)</f>
        <v>Global Managed Portfolio Service Conservative Portfolio</v>
      </c>
      <c r="B3" s="1">
        <f>IF(A3="","",EOMONTH(DATE(YEAR(IF(A3="","",'Additional Information'!B3)),MONTH(IF(A3="","",'Additional Information'!B3)),DAY(IF(A3="","",'Additional Information'!B3))),0))</f>
        <v>45169</v>
      </c>
    </row>
    <row r="4" spans="1:2" x14ac:dyDescent="0.25">
      <c r="A4" t="str">
        <f>IF(Input!A5="","",Input!A5)</f>
        <v>Global Managed Portfolio Service Balanced Portfolio</v>
      </c>
      <c r="B4" s="1">
        <f>IF(A4="","",EOMONTH(DATE(YEAR(IF(A4="","",'Additional Information'!B4)),MONTH(IF(A4="","",'Additional Information'!B4)),DAY(IF(A4="","",'Additional Information'!B4))),0))</f>
        <v>45169</v>
      </c>
    </row>
    <row r="5" spans="1:2" x14ac:dyDescent="0.25">
      <c r="A5" t="str">
        <f>IF(Input!A6="","",Input!A6)</f>
        <v>Global Managed Portfolio Service Dynamic Portfolio</v>
      </c>
      <c r="B5" s="1">
        <f>IF(A5="","",EOMONTH(DATE(YEAR(IF(A5="","",'Additional Information'!B5)),MONTH(IF(A5="","",'Additional Information'!B5)),DAY(IF(A5="","",'Additional Information'!B5))),0))</f>
        <v>45169</v>
      </c>
    </row>
    <row r="6" spans="1:2" x14ac:dyDescent="0.25">
      <c r="A6" t="str">
        <f>IF(Input!A7="","",Input!A7)</f>
        <v>Global Managed Portfolio Service Adventurous Portfolio</v>
      </c>
      <c r="B6" s="1">
        <f>IF(A6="","",EOMONTH(DATE(YEAR(IF(A6="","",'Additional Information'!B6)),MONTH(IF(A6="","",'Additional Information'!B6)),DAY(IF(A6="","",'Additional Information'!B6))),0))</f>
        <v>45169</v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Global Managed Portfolio Service Cautious Portfolio</v>
      </c>
      <c r="C2">
        <f>IF(A2="","",IF(OR('Additional Information'!G2="",'Additional Information'!G2="-"),"",'Additional Information'!G2))</f>
        <v>1.23E-2</v>
      </c>
      <c r="D2" s="5">
        <f>IF(A2="","",SUM('Additional Information'!C2,'Additional Information'!D2))</f>
        <v>-4.5000000000000005E-3</v>
      </c>
      <c r="E2">
        <f>IF(A2="","",SUM('Additional Information'!C2))</f>
        <v>2.3999999999999998E-3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Global Managed Portfolio Service Conservative Portfolio</v>
      </c>
      <c r="C3">
        <f>IF(A3="","",IF(OR('Additional Information'!G3="",'Additional Information'!G3="-"),"",'Additional Information'!G3))</f>
        <v>2.9900000000000003E-2</v>
      </c>
      <c r="D3" s="5">
        <f>IF(A3="","",SUM('Additional Information'!C3,'Additional Information'!D3))</f>
        <v>-5.3000000000000009E-3</v>
      </c>
      <c r="E3">
        <f>IF(A3="","",SUM('Additional Information'!C3))</f>
        <v>2.3999999999999998E-3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Global Managed Portfolio Service Balanced Portfolio</v>
      </c>
      <c r="C4">
        <f>IF(A4="","",IF(OR('Additional Information'!G4="",'Additional Information'!G4="-"),"",'Additional Information'!G4))</f>
        <v>4.6500000000000007E-2</v>
      </c>
      <c r="D4" s="5">
        <f>IF(A4="","",SUM('Additional Information'!C4,'Additional Information'!D4))</f>
        <v>-6.5000000000000006E-3</v>
      </c>
      <c r="E4">
        <f>IF(A4="","",SUM('Additional Information'!C4))</f>
        <v>2.3E-3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Global Managed Portfolio Service Dynamic Portfolio</v>
      </c>
      <c r="C5">
        <f>IF(A5="","",IF(OR('Additional Information'!G5="",'Additional Information'!G5="-"),"",'Additional Information'!G5))</f>
        <v>6.1500000000000006E-2</v>
      </c>
      <c r="D5" s="5">
        <f>IF(A5="","",SUM('Additional Information'!C5,'Additional Information'!D5))</f>
        <v>-7.2999999999999992E-3</v>
      </c>
      <c r="E5">
        <f>IF(A5="","",SUM('Additional Information'!C5))</f>
        <v>2.3E-3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Global Managed Portfolio Service Adventurous Portfolio</v>
      </c>
      <c r="C6">
        <f>IF(A6="","",IF(OR('Additional Information'!G6="",'Additional Information'!G6="-"),"",'Additional Information'!G6))</f>
        <v>6.9900000000000004E-2</v>
      </c>
      <c r="D6" s="5">
        <f>IF(A6="","",SUM('Additional Information'!C6,'Additional Information'!D6))</f>
        <v>-8.0999999999999996E-3</v>
      </c>
      <c r="E6">
        <f>IF(A6="","",SUM('Additional Information'!C6))</f>
        <v>2.2000000000000001E-3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/>
      </c>
      <c r="C7" t="str">
        <f>IF(A7="","",IF(OR('Additional Information'!G7="",'Additional Information'!G7="-"),"",'Additional Information'!G7))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Global Managed Portfolio Service Cautious Portfolio</v>
      </c>
      <c r="B2">
        <f>IF(A2="","",SUM('Asset Allocation'!F2,'Asset Allocation'!G2,'Asset Allocation'!H2,'Asset Allocation'!I2,'Asset Allocation'!J2,'Asset Allocation'!K2))</f>
        <v>0.36980000000000002</v>
      </c>
      <c r="C2">
        <f>IF(A2="","",SUM('Asset Allocation'!C2))</f>
        <v>8.6999999999999994E-3</v>
      </c>
      <c r="D2">
        <f>IF(A2="","",SUM('Asset Allocation'!D2))</f>
        <v>1.3999999999999999E-2</v>
      </c>
      <c r="F2">
        <f>IF(A2="","",SUM('Asset Allocation'!E2))</f>
        <v>5.1000000000000004E-3</v>
      </c>
      <c r="G2">
        <f>IF(A2="","",SUM('Asset Allocation'!B2))</f>
        <v>5.6000000000000008E-3</v>
      </c>
      <c r="H2">
        <f t="shared" ref="H2:H50" si="0">IF(A2="","",1-SUM(B2:G2))</f>
        <v>0.5968</v>
      </c>
    </row>
    <row r="3" spans="1:8" x14ac:dyDescent="0.25">
      <c r="A3" t="str">
        <f>IF(Input!A4="","",Input!A4)</f>
        <v>Global Managed Portfolio Service Conservative Portfolio</v>
      </c>
      <c r="B3">
        <f>IF(A3="","",SUM('Asset Allocation'!F3,'Asset Allocation'!G3,'Asset Allocation'!H3,'Asset Allocation'!I3,'Asset Allocation'!J3,'Asset Allocation'!K3))</f>
        <v>0.3821</v>
      </c>
      <c r="C3">
        <f>IF(A3="","",SUM('Asset Allocation'!C3))</f>
        <v>1.38E-2</v>
      </c>
      <c r="D3">
        <f>IF(A3="","",SUM('Asset Allocation'!D3))</f>
        <v>1.4800000000000001E-2</v>
      </c>
      <c r="F3">
        <f>IF(A3="","",SUM('Asset Allocation'!E3))</f>
        <v>1.0800000000000001E-2</v>
      </c>
      <c r="G3">
        <f>IF(A3="","",SUM('Asset Allocation'!B3))</f>
        <v>8.8999999999999999E-3</v>
      </c>
      <c r="H3">
        <f t="shared" si="0"/>
        <v>0.56960000000000011</v>
      </c>
    </row>
    <row r="4" spans="1:8" x14ac:dyDescent="0.25">
      <c r="A4" t="str">
        <f>IF(Input!A5="","",Input!A5)</f>
        <v>Global Managed Portfolio Service Balanced Portfolio</v>
      </c>
      <c r="B4">
        <f>IF(A4="","",SUM('Asset Allocation'!F4,'Asset Allocation'!G4,'Asset Allocation'!H4,'Asset Allocation'!I4,'Asset Allocation'!J4,'Asset Allocation'!K4))</f>
        <v>0.39950000000000002</v>
      </c>
      <c r="C4">
        <f>IF(A4="","",SUM('Asset Allocation'!C4))</f>
        <v>1.52E-2</v>
      </c>
      <c r="D4">
        <f>IF(A4="","",SUM('Asset Allocation'!D4))</f>
        <v>1.55E-2</v>
      </c>
      <c r="F4">
        <f>IF(A4="","",SUM('Asset Allocation'!E4))</f>
        <v>1.95E-2</v>
      </c>
      <c r="G4">
        <f>IF(A4="","",SUM('Asset Allocation'!B4))</f>
        <v>1.38E-2</v>
      </c>
      <c r="H4">
        <f t="shared" si="0"/>
        <v>0.53649999999999998</v>
      </c>
    </row>
    <row r="5" spans="1:8" x14ac:dyDescent="0.25">
      <c r="A5" t="str">
        <f>IF(Input!A6="","",Input!A6)</f>
        <v>Global Managed Portfolio Service Dynamic Portfolio</v>
      </c>
      <c r="B5">
        <f>IF(A5="","",SUM('Asset Allocation'!F5,'Asset Allocation'!G5,'Asset Allocation'!H5,'Asset Allocation'!I5,'Asset Allocation'!J5,'Asset Allocation'!K5))</f>
        <v>0.41360000000000002</v>
      </c>
      <c r="C5">
        <f>IF(A5="","",SUM('Asset Allocation'!C5))</f>
        <v>2.3099999999999999E-2</v>
      </c>
      <c r="D5">
        <f>IF(A5="","",SUM('Asset Allocation'!D5))</f>
        <v>1.5800000000000002E-2</v>
      </c>
      <c r="F5">
        <f>IF(A5="","",SUM('Asset Allocation'!E5))</f>
        <v>2.53E-2</v>
      </c>
      <c r="G5">
        <f>IF(A5="","",SUM('Asset Allocation'!B5))</f>
        <v>1.8700000000000001E-2</v>
      </c>
      <c r="H5">
        <f t="shared" si="0"/>
        <v>0.50350000000000006</v>
      </c>
    </row>
    <row r="6" spans="1:8" x14ac:dyDescent="0.25">
      <c r="A6" t="str">
        <f>IF(Input!A7="","",Input!A7)</f>
        <v>Global Managed Portfolio Service Adventurous Portfolio</v>
      </c>
      <c r="B6">
        <f>IF(A6="","",SUM('Asset Allocation'!F6,'Asset Allocation'!G6,'Asset Allocation'!H6,'Asset Allocation'!I6,'Asset Allocation'!J6,'Asset Allocation'!K6))</f>
        <v>0.40749999999999997</v>
      </c>
      <c r="C6">
        <f>IF(A6="","",SUM('Asset Allocation'!C6))</f>
        <v>1.7500000000000002E-2</v>
      </c>
      <c r="D6">
        <f>IF(A6="","",SUM('Asset Allocation'!D6))</f>
        <v>1.54E-2</v>
      </c>
      <c r="F6">
        <f>IF(A6="","",SUM('Asset Allocation'!E6))</f>
        <v>2.98E-2</v>
      </c>
      <c r="G6">
        <f>IF(A6="","",SUM('Asset Allocation'!B6))</f>
        <v>2.3E-2</v>
      </c>
      <c r="H6">
        <f t="shared" si="0"/>
        <v>0.50679999999999992</v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Global Managed Portfolio Service Cautious Portfolio</v>
      </c>
      <c r="B2" s="6">
        <f>IFERROR(IF(A2="","",SUM('Asset Allocation'!G2)/'Broad Asset Allocation'!B2),0)</f>
        <v>2.7312060573282854E-2</v>
      </c>
      <c r="C2" s="6">
        <f>IFERROR(IF(A2="","",SUM('Asset Allocation'!F2)/'Broad Asset Allocation'!B2),0)</f>
        <v>5.1919956733369382E-2</v>
      </c>
      <c r="D2" s="6">
        <f>IFERROR(IF(A2="","",SUM('Asset Allocation'!H2)/'Broad Asset Allocation'!B2),0)</f>
        <v>4.4348296376419676E-2</v>
      </c>
      <c r="E2" s="6">
        <f>IFERROR(IF(A2="","",SUM('Asset Allocation'!I2)/'Broad Asset Allocation'!B2),0)</f>
        <v>5.0027041644131964E-2</v>
      </c>
      <c r="F2" s="6"/>
      <c r="G2" s="6">
        <f>IFERROR(IF(A2="","",SUM('Asset Allocation'!J2)/'Broad Asset Allocation'!B2),0)</f>
        <v>6.9226608977825857E-2</v>
      </c>
      <c r="H2" s="6">
        <f>IFERROR(IF(A2="","",SUM('Asset Allocation'!K2)/'Broad Asset Allocation'!B2),0)</f>
        <v>0.75716603569497032</v>
      </c>
    </row>
    <row r="3" spans="1:8" x14ac:dyDescent="0.25">
      <c r="A3" t="str">
        <f>IF(Input!A4="","",Input!A4)</f>
        <v>Global Managed Portfolio Service Conservative Portfolio</v>
      </c>
      <c r="B3" s="6">
        <f>IFERROR(IF(A3="","",SUM('Asset Allocation'!G3)/'Broad Asset Allocation'!B3),0)</f>
        <v>7.2232399895315366E-2</v>
      </c>
      <c r="C3" s="6">
        <f>IFERROR(IF(A3="","",SUM('Asset Allocation'!F3)/'Broad Asset Allocation'!B3),0)</f>
        <v>8.034545930384715E-2</v>
      </c>
      <c r="D3" s="6">
        <f>IFERROR(IF(A3="","",SUM('Asset Allocation'!H3)/'Broad Asset Allocation'!B3),0)</f>
        <v>8.3224286835906838E-2</v>
      </c>
      <c r="E3" s="6">
        <f>IFERROR(IF(A3="","",SUM('Asset Allocation'!I3)/'Broad Asset Allocation'!B3),0)</f>
        <v>0.10311436796650091</v>
      </c>
      <c r="F3" s="6"/>
      <c r="G3" s="6">
        <f>IFERROR(IF(A3="","",SUM('Asset Allocation'!J3)/'Broad Asset Allocation'!B3),0)</f>
        <v>0.11410625490709239</v>
      </c>
      <c r="H3" s="6">
        <f>IFERROR(IF(A3="","",SUM('Asset Allocation'!K3)/'Broad Asset Allocation'!B3),0)</f>
        <v>0.54697723109133733</v>
      </c>
    </row>
    <row r="4" spans="1:8" x14ac:dyDescent="0.25">
      <c r="A4" t="str">
        <f>IF(Input!A5="","",Input!A5)</f>
        <v>Global Managed Portfolio Service Balanced Portfolio</v>
      </c>
      <c r="B4" s="6">
        <f>IFERROR(IF(A4="","",SUM('Asset Allocation'!G4)/'Broad Asset Allocation'!B4),0)</f>
        <v>0.11889862327909886</v>
      </c>
      <c r="C4" s="6">
        <f>IFERROR(IF(A4="","",SUM('Asset Allocation'!F4)/'Broad Asset Allocation'!B4),0)</f>
        <v>0.1078848560700876</v>
      </c>
      <c r="D4" s="6">
        <f>IFERROR(IF(A4="","",SUM('Asset Allocation'!H4)/'Broad Asset Allocation'!B4),0)</f>
        <v>0.12365456821026284</v>
      </c>
      <c r="E4" s="6">
        <f>IFERROR(IF(A4="","",SUM('Asset Allocation'!I4)/'Broad Asset Allocation'!B4),0)</f>
        <v>0.15744680851063828</v>
      </c>
      <c r="F4" s="6"/>
      <c r="G4" s="6">
        <f>IFERROR(IF(A4="","",SUM('Asset Allocation'!J4)/'Broad Asset Allocation'!B4),0)</f>
        <v>0.16695869837296617</v>
      </c>
      <c r="H4" s="6">
        <f>IFERROR(IF(A4="","",SUM('Asset Allocation'!K4)/'Broad Asset Allocation'!B4),0)</f>
        <v>0.32515644555694623</v>
      </c>
    </row>
    <row r="5" spans="1:8" x14ac:dyDescent="0.25">
      <c r="A5" t="str">
        <f>IF(Input!A6="","",Input!A6)</f>
        <v>Global Managed Portfolio Service Dynamic Portfolio</v>
      </c>
      <c r="B5" s="6">
        <f>IFERROR(IF(A5="","",SUM('Asset Allocation'!G5)/'Broad Asset Allocation'!B5),0)</f>
        <v>0.15522243713733072</v>
      </c>
      <c r="C5" s="6">
        <f>IFERROR(IF(A5="","",SUM('Asset Allocation'!F5)/'Broad Asset Allocation'!B5),0)</f>
        <v>0.13128626692456477</v>
      </c>
      <c r="D5" s="6">
        <f>IFERROR(IF(A5="","",SUM('Asset Allocation'!H5)/'Broad Asset Allocation'!B5),0)</f>
        <v>0.15884912959381045</v>
      </c>
      <c r="E5" s="6">
        <f>IFERROR(IF(A5="","",SUM('Asset Allocation'!I5)/'Broad Asset Allocation'!B5),0)</f>
        <v>0.2016441005802708</v>
      </c>
      <c r="F5" s="6"/>
      <c r="G5" s="6">
        <f>IFERROR(IF(A5="","",SUM('Asset Allocation'!J5)/'Broad Asset Allocation'!B5),0)</f>
        <v>0.20696324951644102</v>
      </c>
      <c r="H5" s="6">
        <f>IFERROR(IF(A5="","",SUM('Asset Allocation'!K5)/'Broad Asset Allocation'!B5),0)</f>
        <v>0.14603481624758219</v>
      </c>
    </row>
    <row r="6" spans="1:8" x14ac:dyDescent="0.25">
      <c r="A6" t="str">
        <f>IF(Input!A7="","",Input!A7)</f>
        <v>Global Managed Portfolio Service Adventurous Portfolio</v>
      </c>
      <c r="B6" s="6">
        <f>IFERROR(IF(A6="","",SUM('Asset Allocation'!G6)/'Broad Asset Allocation'!B6),0)</f>
        <v>0.18257668711656444</v>
      </c>
      <c r="C6" s="6">
        <f>IFERROR(IF(A6="","",SUM('Asset Allocation'!F6)/'Broad Asset Allocation'!B6),0)</f>
        <v>0.15582822085889572</v>
      </c>
      <c r="D6" s="6">
        <f>IFERROR(IF(A6="","",SUM('Asset Allocation'!H6)/'Broad Asset Allocation'!B6),0)</f>
        <v>0.17693251533742332</v>
      </c>
      <c r="E6" s="6">
        <f>IFERROR(IF(A6="","",SUM('Asset Allocation'!I6)/'Broad Asset Allocation'!B6),0)</f>
        <v>0.23803680981595091</v>
      </c>
      <c r="F6" s="6"/>
      <c r="G6" s="6">
        <f>IFERROR(IF(A6="","",SUM('Asset Allocation'!J6)/'Broad Asset Allocation'!B6),0)</f>
        <v>0.24662576687116566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Global Managed Portfolio Service Cautious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Global Managed Portfolio Service Conservative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Global Managed Portfolio Service Balanced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Global Managed Portfolio Service Dynamic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Global Managed Portfolio Service Adventurous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2023-10-20T21:37:03Z</dcterms:modified>
</cp:coreProperties>
</file>