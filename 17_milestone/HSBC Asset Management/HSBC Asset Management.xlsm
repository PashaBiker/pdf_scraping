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7_milestone\HSBC Asset Management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5" l="1"/>
  <c r="A3" i="35"/>
  <c r="A4" i="35"/>
  <c r="A5" i="35"/>
  <c r="A6" i="35"/>
  <c r="B4" i="1"/>
  <c r="B5" i="1"/>
  <c r="B6" i="1"/>
  <c r="B7" i="1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<sst xmlns="http://schemas.openxmlformats.org/spreadsheetml/2006/main" count="74" uniqueCount="63">
  <si>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</si>
  <si>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</si>
  <si>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</si>
  <si>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</si>
  <si>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</si>
  <si>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</si>
  <si>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</si>
  <si>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</si>
  <si>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</si>
  <si>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</si>
  <si>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</si>
  <si>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</si>
  <si>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</si>
  <si>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</si>
  <si>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</si>
  <si>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</si>
  <si>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</si>
  <si>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</si>
  <si>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</si>
  <si>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</si>
  <si>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</si>
  <si>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</si>
  <si>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</si>
  <si>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</si>
  <si>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</si>
  <si>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</si>
  <si>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</si>
  <si>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</si>
  <si>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</si>
  <si>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</si>
  <si>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</si>
  <si>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</si>
  <si>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</si>
  <si>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</si>
  <si>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</si>
  <si>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</si>
  <si>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Property</t>
  </si>
  <si>
    <t>Global Managed Portfolio Service Cautious Portfolio</t>
  </si>
  <si>
    <t>Global Managed Portfolio Service Conservative Portfolio</t>
  </si>
  <si>
    <t>Global Managed Portfolio Service Balanced Portfolio</t>
  </si>
  <si>
    <t>Global Managed Portfolio Service Dynamic Portfolio</t>
  </si>
  <si>
    <t>Global Managed Portfolio Service Adventurous Portfolio</t>
  </si>
  <si>
    <t>https://www.assetmanagement.hsbc.co.uk/en/intermediary/capabilities/multi-asset/global-mps#openTab=0</t>
  </si>
  <si>
    <t>AsiaPac ex Japan Equity</t>
  </si>
  <si>
    <t>Developed Equities (GBP hedged)</t>
  </si>
  <si>
    <t>Liquidity</t>
  </si>
  <si>
    <t>UK Equity</t>
  </si>
  <si>
    <t>Japan Equity</t>
  </si>
  <si>
    <t>Global Equities</t>
  </si>
  <si>
    <t>Europe ex UK Equity</t>
  </si>
  <si>
    <t>Emerging Equity</t>
  </si>
  <si>
    <t>Investment Grade Corporate Bonds (Global)</t>
  </si>
  <si>
    <t>Global Government Bonds</t>
  </si>
  <si>
    <t>US Equity</t>
  </si>
  <si>
    <t>Ongoing charge figure¹</t>
  </si>
  <si>
    <t>1 month</t>
  </si>
  <si>
    <t>3 years ann</t>
  </si>
  <si>
    <t>5 years ann</t>
  </si>
  <si>
    <t>https://www.assetmanagement.hsbc.co.uk/api/v1/download/document/f000010lym/gb/en/factsheet</t>
  </si>
  <si>
    <t>https://www.assetmanagement.hsbc.co.uk/api/v1/download/document/f000010lyn/gb/en/factsheet</t>
  </si>
  <si>
    <t>https://www.assetmanagement.hsbc.co.uk/api/v1/download/document/f000010lyo/gb/en/factsheet</t>
  </si>
  <si>
    <t>https://www.assetmanagement.hsbc.co.uk/api/v1/download/document/f000010lyp/gb/en/factsheet</t>
  </si>
  <si>
    <t>https://www.assetmanagement.hsbc.co.uk/api/v1/download/document/f000010lyq/gb/en/factsheet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</si>
</sst>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88900</xdr:colOff>
      <xdr:row>1</xdr:row>
      <xdr:rowOff>76200</xdr:rowOff>
    </xdr:from>
    <xdr:to>
      <xdr:col>16</xdr:col>
      <xdr:colOff>171736</xdr:colOff>
      <xdr:row>19</xdr:row>
      <xdr:rowOff>139874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7A6017-E0BF-86A0-4A0C-ED9548C29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6100" y="260350"/>
          <a:ext cx="5569236" cy="3378374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</xdr:row>
      <xdr:rowOff>39778</xdr:rowOff>
    </xdr:from>
    <xdr:to>
      <xdr:col>6</xdr:col>
      <xdr:colOff>146433</xdr:colOff>
      <xdr:row>10</xdr:row>
      <xdr:rowOff>139880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744224B-41A8-3B0A-94B5-94763B2A8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" y="223928"/>
          <a:ext cx="3727833" cy="1757452"/>
        </a:xfrm>
        <a:prstGeom prst="rect">
          <a:avLst/>
        </a:prstGeom>
      </xdr:spPr>
    </xdr:pic>
    <xdr:clientData/>
  </xdr:twoCellAnchor>
  <xdr:twoCellAnchor editAs="oneCell">
    <xdr:from>
      <xdr:col>0</xdr:col>
      <xdr:colOff>88900</xdr:colOff>
      <xdr:row>11</xdr:row>
      <xdr:rowOff>107950</xdr:rowOff>
    </xdr:from>
    <xdr:to>
      <xdr:col>6</xdr:col>
      <xdr:colOff>190500</xdr:colOff>
      <xdr:row>16</xdr:row>
      <xdr:rowOff>176124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0C1D8E-E009-CBD1-ECC7-7F6B5A259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900" y="2133600"/>
          <a:ext cx="3759200" cy="9889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A12" sqref="A12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7"/>
  <sheetViews>
    <sheetView workbookViewId="0">
      <selection activeCell="D17" sqref="D17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37</v>
      </c>
      <c r="B3" t="str">
        <f>'PDF Scraping'!D2</f>
        <v>https://www.assetmanagement.hsbc.co.uk/api/v1/download/document/f000010lym/gb/en/factsheet</v>
      </c>
      <c r="J3" s="4"/>
    </row>
    <row r="4" spans="1:10" x14ac:dyDescent="0.25">
      <c r="A4" t="s">
        <v>38</v>
      </c>
      <c r="B4" t="str">
        <f>'PDF Scraping'!D3</f>
        <v>https://www.assetmanagement.hsbc.co.uk/api/v1/download/document/f000010lyn/gb/en/factsheet</v>
      </c>
      <c r="J4" s="4"/>
    </row>
    <row r="5" spans="1:10" x14ac:dyDescent="0.25">
      <c r="A5" t="s">
        <v>39</v>
      </c>
      <c r="B5" t="str">
        <f>'PDF Scraping'!D4</f>
        <v>https://www.assetmanagement.hsbc.co.uk/api/v1/download/document/f000010lyo/gb/en/factsheet</v>
      </c>
    </row>
    <row r="6" spans="1:10" x14ac:dyDescent="0.25">
      <c r="A6" t="s">
        <v>40</v>
      </c>
      <c r="B6" t="str">
        <f>'PDF Scraping'!D5</f>
        <v>https://www.assetmanagement.hsbc.co.uk/api/v1/download/document/f000010lyp/gb/en/factsheet</v>
      </c>
    </row>
    <row r="7" spans="1:10" x14ac:dyDescent="0.25">
      <c r="A7" t="s">
        <v>41</v>
      </c>
      <c r="B7" t="str">
        <f>'PDF Scraping'!D6</f>
        <v>https://www.assetmanagement.hsbc.co.uk/api/v1/download/document/f000010lyq/gb/en/factsheet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topLeftCell="A2" workbookViewId="0">
      <selection activeCell="B41" sqref="B40:B41"/>
    </sheetView>
  </sheetViews>
  <sheetFormatPr defaultRowHeight="15" x14ac:dyDescent="0.25"/>
  <cols>
    <col min="1" max="1" width="52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54</v>
      </c>
      <c r="D1" s="10" t="s">
        <v>55</v>
      </c>
      <c r="E1" s="10" t="s">
        <v>35</v>
      </c>
      <c r="F1" t="s">
        <v>56</v>
      </c>
      <c r="G1" t="s">
        <v>57</v>
      </c>
    </row>
    <row r="2" spans="1:9" x14ac:dyDescent="0.25">
      <c r="A2" t="str">
        <f>IF(Input!A3="","",Input!A3)</f>
        <v>Global Managed Portfolio Service Cautious Portfolio</v>
      </c>
      <c r="B2" s="1"/>
      <c r="F2" s="5"/>
      <c r="G2" s="5"/>
      <c r="H2" s="5"/>
      <c r="I2" s="5"/>
    </row>
    <row r="3" spans="1:9" x14ac:dyDescent="0.25">
      <c r="A3" t="str">
        <f>IF(Input!A4="","",Input!A4)</f>
        <v>Global Managed Portfolio Service Conservative Portfolio</v>
      </c>
      <c r="B3" s="1"/>
      <c r="F3" s="5"/>
      <c r="G3" s="5"/>
      <c r="H3" s="5"/>
      <c r="I3" s="5"/>
    </row>
    <row r="4" spans="1:9" x14ac:dyDescent="0.25">
      <c r="A4" t="str">
        <f>IF(Input!A5="","",Input!A5)</f>
        <v>Global Managed Portfolio Service Balanced Portfolio</v>
      </c>
      <c r="B4" s="1"/>
      <c r="F4" s="5"/>
      <c r="G4" s="5"/>
      <c r="H4" s="5"/>
      <c r="I4" s="5"/>
    </row>
    <row r="5" spans="1:9" x14ac:dyDescent="0.25">
      <c r="A5" t="str">
        <f>IF(Input!A6="","",Input!A6)</f>
        <v>Global Managed Portfolio Service Dynamic Portfolio</v>
      </c>
      <c r="B5" s="1"/>
      <c r="F5" s="5"/>
      <c r="G5" s="5"/>
      <c r="H5" s="5"/>
      <c r="I5" s="5"/>
    </row>
    <row r="6" spans="1:9" x14ac:dyDescent="0.25">
      <c r="A6" t="str">
        <f>IF(Input!A7="","",Input!A7)</f>
        <v>Global Managed Portfolio Service Adventurous Portfolio</v>
      </c>
      <c r="B6" s="1"/>
      <c r="F6" s="5"/>
      <c r="G6" s="5"/>
      <c r="H6" s="5"/>
      <c r="I6" s="5"/>
    </row>
    <row r="7" spans="1:9" x14ac:dyDescent="0.25">
      <c r="A7" t="str">
        <f>IF(Input!A8="","",Input!A8)</f>
        <v/>
      </c>
      <c r="B7" s="1"/>
      <c r="F7" s="5"/>
      <c r="G7" s="5"/>
      <c r="H7" s="5"/>
      <c r="I7" s="5"/>
    </row>
    <row r="8" spans="1:9" x14ac:dyDescent="0.25">
      <c r="A8" t="str">
        <f>IF(Input!A9="","",Input!A9)</f>
        <v/>
      </c>
      <c r="B8" s="1"/>
      <c r="F8" s="5"/>
      <c r="G8" s="5"/>
      <c r="H8" s="5"/>
      <c r="I8" s="5"/>
    </row>
    <row r="9" spans="1:9" x14ac:dyDescent="0.25">
      <c r="A9" t="str">
        <f>IF(Input!A10="","",Input!A10)</f>
        <v/>
      </c>
      <c r="B9" s="1"/>
      <c r="F9" s="5"/>
      <c r="G9" s="5"/>
      <c r="H9" s="5"/>
      <c r="I9" s="5"/>
    </row>
    <row r="10" spans="1:9" x14ac:dyDescent="0.25">
      <c r="A10" t="str">
        <f>IF(Input!A11="","",Input!A11)</f>
        <v/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/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/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/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topLeftCell="B1" workbookViewId="0">
      <selection activeCell="B1" sqref="B1:M2"/>
    </sheetView>
  </sheetViews>
  <sheetFormatPr defaultRowHeight="15" x14ac:dyDescent="0.25"/>
  <cols>
    <col min="1" max="1" width="52.140625" bestFit="1" customWidth="1"/>
    <col min="2" max="2" width="22.140625" style="10" bestFit="1" customWidth="1"/>
    <col min="3" max="3" width="31.5703125" style="10" bestFit="1" customWidth="1"/>
    <col min="4" max="4" width="8.7109375" style="10" bestFit="1" customWidth="1"/>
    <col min="5" max="5" width="9.42578125" style="10" bestFit="1" customWidth="1"/>
    <col min="6" max="6" width="12" style="10" bestFit="1" customWidth="1"/>
    <col min="7" max="7" width="8.7109375" style="10" bestFit="1" customWidth="1"/>
    <col min="8" max="8" width="14.42578125" style="10" bestFit="1" customWidth="1"/>
    <col min="9" max="9" width="19" style="10" bestFit="1" customWidth="1"/>
    <col min="10" max="10" width="15.42578125" style="10" bestFit="1" customWidth="1"/>
    <col min="11" max="11" width="40.5703125" style="10" bestFit="1" customWidth="1"/>
    <col min="12" max="12" width="24.5703125" bestFit="1" customWidth="1"/>
    <col min="13" max="13" width="9.285156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43</v>
      </c>
      <c r="C1" s="10" t="s">
        <v>44</v>
      </c>
      <c r="D1" s="10" t="s">
        <v>45</v>
      </c>
      <c r="E1" s="10" t="s">
        <v>46</v>
      </c>
      <c r="F1" s="10" t="s">
        <v>47</v>
      </c>
      <c r="G1" s="10" t="s">
        <v>36</v>
      </c>
      <c r="H1" s="10" t="s">
        <v>48</v>
      </c>
      <c r="I1" s="10" t="s">
        <v>49</v>
      </c>
      <c r="J1" s="10" t="s">
        <v>50</v>
      </c>
      <c r="K1" s="10" t="s">
        <v>51</v>
      </c>
      <c r="L1" t="s">
        <v>52</v>
      </c>
      <c r="M1" t="s">
        <v>53</v>
      </c>
    </row>
    <row r="2" spans="1:30" x14ac:dyDescent="0.25">
      <c r="A2" t="str">
        <f>IF(Input!A3="","",Input!A3)</f>
        <v>Global Managed Portfolio Service Cautious Portfolio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Global Managed Portfolio Service Conservative Portfolio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Global Managed Portfolio Service Balanced Portfolio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Global Managed Portfolio Service Dynamic Portfolio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Global Managed Portfolio Service Adventurous Portfolio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B10" sqref="B10"/>
    </sheetView>
  </sheetViews>
  <sheetFormatPr defaultRowHeight="15" x14ac:dyDescent="0.25"/>
  <cols>
    <col min="1" max="1" width="52.140625" bestFit="1" customWidth="1"/>
    <col min="2" max="2" width="101.28515625" bestFit="1" customWidth="1"/>
    <col min="3" max="3" width="52.140625" bestFit="1" customWidth="1"/>
    <col min="4" max="4" width="94.28515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Global Managed Portfolio Service Cautious Portfolio</v>
      </c>
      <c r="B2" t="s">
        <v>42</v>
      </c>
      <c r="C2" t="s">
        <v>37</v>
      </c>
      <c r="D2" s="8" t="s">
        <v>58</v>
      </c>
    </row>
    <row r="3" spans="1:5" x14ac:dyDescent="0.25">
      <c r="A3" t="str">
        <f>IF(Input!A4="","",Input!A4)</f>
        <v>Global Managed Portfolio Service Conservative Portfolio</v>
      </c>
      <c r="B3" t="s">
        <v>42</v>
      </c>
      <c r="C3" t="s">
        <v>38</v>
      </c>
      <c r="D3" s="8" t="s">
        <v>59</v>
      </c>
    </row>
    <row r="4" spans="1:5" x14ac:dyDescent="0.25">
      <c r="A4" t="str">
        <f>IF(Input!A5="","",Input!A5)</f>
        <v>Global Managed Portfolio Service Balanced Portfolio</v>
      </c>
      <c r="B4" t="s">
        <v>42</v>
      </c>
      <c r="C4" t="s">
        <v>39</v>
      </c>
      <c r="D4" s="8" t="s">
        <v>60</v>
      </c>
    </row>
    <row r="5" spans="1:5" x14ac:dyDescent="0.25">
      <c r="A5" t="str">
        <f>IF(Input!A6="","",Input!A6)</f>
        <v>Global Managed Portfolio Service Dynamic Portfolio</v>
      </c>
      <c r="B5" t="s">
        <v>42</v>
      </c>
      <c r="C5" t="s">
        <v>40</v>
      </c>
      <c r="D5" s="8" t="s">
        <v>61</v>
      </c>
    </row>
    <row r="6" spans="1:5" x14ac:dyDescent="0.25">
      <c r="A6" t="str">
        <f>IF(Input!A7="","",Input!A7)</f>
        <v>Global Managed Portfolio Service Adventurous Portfolio</v>
      </c>
      <c r="B6" t="s">
        <v>42</v>
      </c>
      <c r="C6" t="s">
        <v>41</v>
      </c>
      <c r="D6" s="8" t="s">
        <v>62</v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Global Managed Portfolio Service Cautious Portfolio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Global Managed Portfolio Service Conservative Portfolio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Global Managed Portfolio Service Balanced Portfolio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Global Managed Portfolio Service Dynamic Portfolio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Global Managed Portfolio Service Adventurous Portfolio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Global Managed Portfolio Service Cautious Portfolio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Global Managed Portfolio Service Conservative Portfolio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Global Managed Portfolio Service Balanced Portfolio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Global Managed Portfolio Service Dynamic Portfolio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Global Managed Portfolio Service Adventurous Portfolio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/>
      </c>
      <c r="C7" t="str">
        <f>IF(A7="","",IF(OR('Additional Information'!G7="",'Additional Information'!G7="-"),"",'Additional Information'!G7))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/>
      </c>
      <c r="C8" t="str">
        <f>IF(A8="","",IF(OR('Additional Information'!G8="",'Additional Information'!G8="-"),"",'Additional Information'!G8))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/>
      </c>
      <c r="C9" t="str">
        <f>IF(A9="","",IF(OR('Additional Information'!G9="",'Additional Information'!G9="-"),"",'Additional Information'!G9))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/>
      </c>
      <c r="C10" t="str">
        <f>IF(A10="","",IF(OR('Additional Information'!G10="",'Additional Information'!G10="-"),"",'Additional Information'!G10))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/>
      </c>
      <c r="C11" t="str">
        <f>IF(A11="","",IF(OR('Additional Information'!G11="",'Additional Information'!G11="-"),"",'Additional Information'!G11))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/>
      </c>
      <c r="C12" t="str">
        <f>IF(A12="","",IF(OR('Additional Information'!G12="",'Additional Information'!G12="-"),"",'Additional Information'!G12))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/>
      </c>
      <c r="C13" t="str">
        <f>IF(A13="","",IF(OR('Additional Information'!G13="",'Additional Information'!G13="-"),"",'Additional Information'!G13))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Global Managed Portfolio Service Cautious Portfolio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Global Managed Portfolio Service Conservative Portfolio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Global Managed Portfolio Service Balanced Portfolio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Global Managed Portfolio Service Dynamic Portfolio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Global Managed Portfolio Service Adventurous Portfolio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Global Managed Portfolio Service Cautious Portfolio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Global Managed Portfolio Service Conservative Portfolio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Global Managed Portfolio Service Balanced Portfolio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Global Managed Portfolio Service Dynamic Portfolio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Global Managed Portfolio Service Adventurous Portfolio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Global Managed Portfolio Service Cautious Portfolio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Global Managed Portfolio Service Conservative Portfolio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Global Managed Portfolio Service Balanced Portfolio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Global Managed Portfolio Service Dynamic Portfolio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Global Managed Portfolio Service Adventurous Portfolio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2023-10-19T07:18:25Z</dcterms:modified>
</cp:coreProperties>
</file>