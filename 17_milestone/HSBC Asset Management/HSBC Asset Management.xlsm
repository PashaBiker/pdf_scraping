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HSBC Asset Management\"/>
    </mc:Choice>
  </mc:AlternateContent>
  <xr:revisionPtr revIDLastSave="0" documentId="13_ncr:1_{BF0516D2-B512-4F42-83E3-52C352A10B61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35" l="1"/>
  <c r="A3" i="35"/>
  <c r="A4" i="35"/>
  <c r="A5" i="35"/>
  <c r="A6" i="35"/>
  <c r="B4" i="1"/>
  <c r="B5" i="1"/>
  <c r="B6" i="1"/>
  <c r="B7" i="1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29" i="7"/>
  <c r="C29" i="7"/>
  <c r="D29" i="7"/>
  <c r="H29" i="7"/>
  <c r="E29" i="7"/>
  <c r="G29" i="7"/>
  <c r="B37" i="7"/>
  <c r="C37" i="7"/>
  <c r="D37" i="7"/>
  <c r="E37" i="7"/>
  <c r="G37" i="7"/>
  <c r="H37" i="7"/>
  <c r="B45" i="7"/>
  <c r="C45" i="7"/>
  <c r="D45" i="7"/>
  <c r="H45" i="7"/>
  <c r="E45" i="7"/>
  <c r="G45" i="7"/>
  <c r="C30" i="7"/>
  <c r="D30" i="7"/>
  <c r="B30" i="7"/>
  <c r="E30" i="7"/>
  <c r="G30" i="7"/>
  <c r="H30" i="7"/>
  <c r="C38" i="7"/>
  <c r="D38" i="7"/>
  <c r="E38" i="7"/>
  <c r="G38" i="7"/>
  <c r="B38" i="7"/>
  <c r="H38" i="7"/>
  <c r="C46" i="7"/>
  <c r="D46" i="7"/>
  <c r="E46" i="7"/>
  <c r="G46" i="7"/>
  <c r="H46" i="7"/>
  <c r="B46" i="7"/>
  <c r="E31" i="7"/>
  <c r="G31" i="7"/>
  <c r="H31" i="7"/>
  <c r="C31" i="7"/>
  <c r="B31" i="7"/>
  <c r="D31" i="7"/>
  <c r="E39" i="7"/>
  <c r="G39" i="7"/>
  <c r="H39" i="7"/>
  <c r="C39" i="7"/>
  <c r="B39" i="7"/>
  <c r="D39" i="7"/>
  <c r="E47" i="7"/>
  <c r="G47" i="7"/>
  <c r="H47" i="7"/>
  <c r="D47" i="7"/>
  <c r="B47" i="7"/>
  <c r="C47" i="7"/>
  <c r="H32" i="7"/>
  <c r="B32" i="7"/>
  <c r="G32" i="7"/>
  <c r="C32" i="7"/>
  <c r="D32" i="7"/>
  <c r="E32" i="7"/>
  <c r="H48" i="7"/>
  <c r="B48" i="7"/>
  <c r="E48" i="7"/>
  <c r="C48" i="7"/>
  <c r="D48" i="7"/>
  <c r="G48" i="7"/>
  <c r="B33" i="7"/>
  <c r="C33" i="7"/>
  <c r="D33" i="7"/>
  <c r="H33" i="7"/>
  <c r="E33" i="7"/>
  <c r="G33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B26" i="7"/>
  <c r="C26" i="7"/>
  <c r="D26" i="7"/>
  <c r="E26" i="7"/>
  <c r="G26" i="7"/>
  <c r="H26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C27" i="7"/>
  <c r="E27" i="7"/>
  <c r="G27" i="7"/>
  <c r="H27" i="7"/>
  <c r="B27" i="7"/>
  <c r="D27" i="7"/>
  <c r="E35" i="7"/>
  <c r="G35" i="7"/>
  <c r="H35" i="7"/>
  <c r="D35" i="7"/>
  <c r="B35" i="7"/>
  <c r="C35" i="7"/>
  <c r="E43" i="7"/>
  <c r="G43" i="7"/>
  <c r="D43" i="7"/>
  <c r="H43" i="7"/>
  <c r="C43" i="7"/>
  <c r="B43" i="7"/>
  <c r="H28" i="7"/>
  <c r="G28" i="7"/>
  <c r="B28" i="7"/>
  <c r="C28" i="7"/>
  <c r="D28" i="7"/>
  <c r="E28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C26" i="4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D27" i="4"/>
  <c r="F27" i="4"/>
  <c r="G27" i="4"/>
  <c r="B27" i="4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4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D28" i="4"/>
  <c r="B28" i="4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C31" i="4"/>
  <c r="G31" i="4"/>
  <c r="D31" i="4"/>
  <c r="B32" i="4"/>
  <c r="C32" i="4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4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" i="7" l="1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<sst xmlns="http://schemas.openxmlformats.org/spreadsheetml/2006/main" count="69" uniqueCount="58">
  <si>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</si>
  <si>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</si>
  <si>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</si>
  <si>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</si>
  <si>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</si>
  <si>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</si>
  <si>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</si>
  <si>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</si>
  <si>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</si>
  <si>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</si>
  <si>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</si>
  <si>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</si>
  <si>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</si>
  <si>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</si>
  <si>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</si>
  <si>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</si>
  <si>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</si>
  <si>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</si>
  <si>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</si>
  <si>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</si>
  <si>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</si>
  <si>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</si>
  <si>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</si>
  <si>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</si>
  <si>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</si>
  <si>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</si>
  <si>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</si>
  <si>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</si>
  <si>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</si>
  <si>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</si>
  <si>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</si>
  <si>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</si>
  <si>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</si>
  <si>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</si>
  <si>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</si>
  <si>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</si>
  <si>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Property</t>
  </si>
  <si>
    <t>Global Managed Portfolio Service Cautious Portfolio</t>
  </si>
  <si>
    <t>Global Managed Portfolio Service Conservative Portfolio</t>
  </si>
  <si>
    <t>Global Managed Portfolio Service Balanced Portfolio</t>
  </si>
  <si>
    <t>Global Managed Portfolio Service Dynamic Portfolio</t>
  </si>
  <si>
    <t>Global Managed Portfolio Service Adventurous Portfolio</t>
  </si>
  <si>
    <t>https://www.assetmanagement.hsbc.co.uk/en/intermediary/capabilities/multi-asset/global-mps#openTab=0</t>
  </si>
  <si>
    <t>AsiaPac ex Japan Equity</t>
  </si>
  <si>
    <t>Developed Equities (GBP hedged)</t>
  </si>
  <si>
    <t>Liquidity</t>
  </si>
  <si>
    <t>UK Equity</t>
  </si>
  <si>
    <t>Japan Equity</t>
  </si>
  <si>
    <t>Global Equities</t>
  </si>
  <si>
    <t>Europe ex UK Equity</t>
  </si>
  <si>
    <t>Emerging Equity</t>
  </si>
  <si>
    <t>Investment Grade Corporate Bonds (Global)</t>
  </si>
  <si>
    <t>Global Government Bonds</t>
  </si>
  <si>
    <t>US Equity</t>
  </si>
  <si>
    <t>Ongoing charge figure¹</t>
  </si>
  <si>
    <t>1 month</t>
  </si>
  <si>
    <t>3 years ann</t>
  </si>
  <si>
    <t>5 years ann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</si>
</sst>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88900</xdr:colOff>
      <xdr:row>1</xdr:row>
      <xdr:rowOff>76200</xdr:rowOff>
    </xdr:from>
    <xdr:to>
      <xdr:col>16</xdr:col>
      <xdr:colOff>171736</xdr:colOff>
      <xdr:row>19</xdr:row>
      <xdr:rowOff>139874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B7A6017-E0BF-86A0-4A0C-ED9548C29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56100" y="260350"/>
          <a:ext cx="5569236" cy="3378374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1</xdr:row>
      <xdr:rowOff>39778</xdr:rowOff>
    </xdr:from>
    <xdr:to>
      <xdr:col>6</xdr:col>
      <xdr:colOff>146433</xdr:colOff>
      <xdr:row>10</xdr:row>
      <xdr:rowOff>139880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744224B-41A8-3B0A-94B5-94763B2A8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" y="223928"/>
          <a:ext cx="3727833" cy="1757452"/>
        </a:xfrm>
        <a:prstGeom prst="rect">
          <a:avLst/>
        </a:prstGeom>
      </xdr:spPr>
    </xdr:pic>
    <xdr:clientData/>
  </xdr:twoCellAnchor>
  <xdr:twoCellAnchor editAs="oneCell">
    <xdr:from>
      <xdr:col>0</xdr:col>
      <xdr:colOff>88900</xdr:colOff>
      <xdr:row>11</xdr:row>
      <xdr:rowOff>107950</xdr:rowOff>
    </xdr:from>
    <xdr:to>
      <xdr:col>6</xdr:col>
      <xdr:colOff>190500</xdr:colOff>
      <xdr:row>16</xdr:row>
      <xdr:rowOff>176124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C1D8E-E009-CBD1-ECC7-7F6B5A259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900" y="2133600"/>
          <a:ext cx="3759200" cy="9889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>
      <selection activeCell="A12" sqref="A12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7"/>
  <sheetViews>
    <sheetView workbookViewId="0">
      <selection activeCell="D17" sqref="D17"/>
    </sheetView>
  </sheetViews>
  <sheetFormatPr defaultRowHeight="14.5" x14ac:dyDescent="0.35"/>
  <cols>
    <col min="1" max="1" width="19.0898437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37</v>
      </c>
      <c r="B3">
        <f>'PDF Scraping'!D2</f>
        <v>0</v>
      </c>
      <c r="J3" s="4"/>
    </row>
    <row r="4" spans="1:10" x14ac:dyDescent="0.35">
      <c r="A4" t="s">
        <v>38</v>
      </c>
      <c r="B4">
        <f>'PDF Scraping'!D3</f>
        <v>0</v>
      </c>
      <c r="J4" s="4"/>
    </row>
    <row r="5" spans="1:10" x14ac:dyDescent="0.35">
      <c r="A5" t="s">
        <v>39</v>
      </c>
      <c r="B5">
        <f>'PDF Scraping'!D4</f>
        <v>0</v>
      </c>
    </row>
    <row r="6" spans="1:10" x14ac:dyDescent="0.35">
      <c r="A6" t="s">
        <v>40</v>
      </c>
      <c r="B6">
        <f>'PDF Scraping'!D5</f>
        <v>0</v>
      </c>
    </row>
    <row r="7" spans="1:10" x14ac:dyDescent="0.35">
      <c r="A7" t="s">
        <v>41</v>
      </c>
      <c r="B7">
        <f>'PDF Scraping'!D6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I50"/>
  <sheetViews>
    <sheetView workbookViewId="0">
      <selection activeCell="A2" sqref="A2:A6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9" x14ac:dyDescent="0.35">
      <c r="B1" t="s">
        <v>22</v>
      </c>
      <c r="C1" s="10" t="s">
        <v>54</v>
      </c>
      <c r="D1" s="10" t="s">
        <v>55</v>
      </c>
      <c r="E1" s="10" t="s">
        <v>35</v>
      </c>
      <c r="F1" t="s">
        <v>56</v>
      </c>
      <c r="G1" t="s">
        <v>57</v>
      </c>
    </row>
    <row r="2" spans="1:9" x14ac:dyDescent="0.35">
      <c r="A2" t="str">
        <f>IF(Input!A3="","",Input!A3)</f>
        <v>Global Managed Portfolio Service Cautious Portfolio</v>
      </c>
      <c r="B2" s="1"/>
      <c r="F2" s="5"/>
      <c r="G2" s="5"/>
      <c r="H2" s="5"/>
      <c r="I2" s="5"/>
    </row>
    <row r="3" spans="1:9" x14ac:dyDescent="0.35">
      <c r="A3" t="str">
        <f>IF(Input!A4="","",Input!A4)</f>
        <v>Global Managed Portfolio Service Conservative Portfolio</v>
      </c>
      <c r="B3" s="1"/>
      <c r="F3" s="5"/>
      <c r="G3" s="5"/>
      <c r="H3" s="5"/>
      <c r="I3" s="5"/>
    </row>
    <row r="4" spans="1:9" x14ac:dyDescent="0.35">
      <c r="A4" t="str">
        <f>IF(Input!A5="","",Input!A5)</f>
        <v>Global Managed Portfolio Service Balanced Portfolio</v>
      </c>
      <c r="B4" s="1"/>
      <c r="F4" s="5"/>
      <c r="G4" s="5"/>
      <c r="H4" s="5"/>
      <c r="I4" s="5"/>
    </row>
    <row r="5" spans="1:9" x14ac:dyDescent="0.35">
      <c r="A5" t="str">
        <f>IF(Input!A6="","",Input!A6)</f>
        <v>Global Managed Portfolio Service Dynamic Portfolio</v>
      </c>
      <c r="B5" s="1"/>
      <c r="F5" s="5"/>
      <c r="G5" s="5"/>
      <c r="H5" s="5"/>
      <c r="I5" s="5"/>
    </row>
    <row r="6" spans="1:9" x14ac:dyDescent="0.35">
      <c r="A6" t="str">
        <f>IF(Input!A7="","",Input!A7)</f>
        <v>Global Managed Portfolio Service Adventurous Portfolio</v>
      </c>
      <c r="B6" s="1"/>
      <c r="F6" s="5"/>
      <c r="G6" s="5"/>
      <c r="H6" s="5"/>
      <c r="I6" s="5"/>
    </row>
    <row r="7" spans="1:9" x14ac:dyDescent="0.35">
      <c r="A7" t="str">
        <f>IF(Input!A8="","",Input!A8)</f>
        <v/>
      </c>
      <c r="B7" s="1"/>
      <c r="F7" s="5"/>
      <c r="G7" s="5"/>
      <c r="H7" s="5"/>
      <c r="I7" s="5"/>
    </row>
    <row r="8" spans="1:9" x14ac:dyDescent="0.35">
      <c r="A8" t="str">
        <f>IF(Input!A9="","",Input!A9)</f>
        <v/>
      </c>
      <c r="B8" s="1"/>
      <c r="F8" s="5"/>
      <c r="G8" s="5"/>
      <c r="H8" s="5"/>
      <c r="I8" s="5"/>
    </row>
    <row r="9" spans="1:9" x14ac:dyDescent="0.35">
      <c r="A9" t="str">
        <f>IF(Input!A10="","",Input!A10)</f>
        <v/>
      </c>
      <c r="B9" s="1"/>
      <c r="F9" s="5"/>
      <c r="G9" s="5"/>
      <c r="H9" s="5"/>
      <c r="I9" s="5"/>
    </row>
    <row r="10" spans="1:9" x14ac:dyDescent="0.35">
      <c r="A10" t="str">
        <f>IF(Input!A11="","",Input!A11)</f>
        <v/>
      </c>
      <c r="B10" s="1"/>
      <c r="F10" s="5"/>
      <c r="G10" s="5"/>
      <c r="H10" s="5"/>
      <c r="I10" s="5"/>
    </row>
    <row r="11" spans="1:9" x14ac:dyDescent="0.35">
      <c r="A11" t="str">
        <f>IF(Input!A12="","",Input!A12)</f>
        <v/>
      </c>
      <c r="B11" s="1"/>
      <c r="F11" s="5"/>
      <c r="G11" s="5"/>
      <c r="H11" s="5"/>
      <c r="I11" s="5"/>
    </row>
    <row r="12" spans="1:9" x14ac:dyDescent="0.35">
      <c r="A12" t="str">
        <f>IF(Input!A13="","",Input!A13)</f>
        <v/>
      </c>
      <c r="B12" s="1"/>
      <c r="F12" s="5"/>
      <c r="G12" s="5"/>
      <c r="H12" s="5"/>
      <c r="I12" s="5"/>
    </row>
    <row r="13" spans="1:9" x14ac:dyDescent="0.35">
      <c r="A13" t="str">
        <f>IF(Input!A14="","",Input!A14)</f>
        <v/>
      </c>
      <c r="B13" s="1"/>
      <c r="F13" s="5"/>
      <c r="G13" s="5"/>
      <c r="H13" s="5"/>
      <c r="I13" s="5"/>
    </row>
    <row r="14" spans="1:9" x14ac:dyDescent="0.3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3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3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3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3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3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3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3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3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3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3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3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35">
      <c r="A26" t="str">
        <f>IF(Input!A27="","",Input!A27)</f>
        <v/>
      </c>
      <c r="B26" s="7"/>
    </row>
    <row r="27" spans="1:9" x14ac:dyDescent="0.35">
      <c r="A27" t="str">
        <f>IF(Input!A28="","",Input!A28)</f>
        <v/>
      </c>
      <c r="B27" s="7"/>
    </row>
    <row r="28" spans="1:9" x14ac:dyDescent="0.35">
      <c r="A28" t="str">
        <f>IF(Input!A29="","",Input!A29)</f>
        <v/>
      </c>
      <c r="B28" s="7"/>
    </row>
    <row r="29" spans="1:9" x14ac:dyDescent="0.35">
      <c r="A29" t="str">
        <f>IF(Input!A30="","",Input!A30)</f>
        <v/>
      </c>
      <c r="B29" s="7"/>
    </row>
    <row r="30" spans="1:9" x14ac:dyDescent="0.35">
      <c r="A30" t="str">
        <f>IF(Input!A31="","",Input!A31)</f>
        <v/>
      </c>
      <c r="B30" s="7"/>
    </row>
    <row r="31" spans="1:9" x14ac:dyDescent="0.35">
      <c r="A31" t="str">
        <f>IF(Input!A32="","",Input!A32)</f>
        <v/>
      </c>
      <c r="B31" s="7"/>
    </row>
    <row r="32" spans="1:9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B6" sqref="B6"/>
    </sheetView>
  </sheetViews>
  <sheetFormatPr defaultRowHeight="14.5" x14ac:dyDescent="0.35"/>
  <cols>
    <col min="1" max="1" width="48" bestFit="1" customWidth="1"/>
    <col min="2" max="2" width="20.54296875" style="10" bestFit="1" customWidth="1"/>
    <col min="3" max="3" width="28.81640625" style="10" bestFit="1" customWidth="1"/>
    <col min="4" max="4" width="7.81640625" style="10" bestFit="1" customWidth="1"/>
    <col min="5" max="5" width="8.7265625" style="10" bestFit="1" customWidth="1"/>
    <col min="6" max="6" width="11.26953125" style="10" bestFit="1" customWidth="1"/>
    <col min="7" max="7" width="8" style="10" bestFit="1" customWidth="1"/>
    <col min="8" max="8" width="13.26953125" style="10" bestFit="1" customWidth="1"/>
    <col min="9" max="9" width="17.7265625" style="10" bestFit="1" customWidth="1"/>
    <col min="10" max="10" width="14.26953125" style="10" bestFit="1" customWidth="1"/>
    <col min="11" max="11" width="38" style="10" bestFit="1" customWidth="1"/>
    <col min="12" max="12" width="23" bestFit="1" customWidth="1"/>
    <col min="13" max="13" width="8.6328125" bestFit="1" customWidth="1"/>
    <col min="14" max="14" width="10.453125" bestFit="1" customWidth="1"/>
    <col min="15" max="15" width="22.363281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43</v>
      </c>
      <c r="C1" s="10" t="s">
        <v>44</v>
      </c>
      <c r="D1" s="10" t="s">
        <v>45</v>
      </c>
      <c r="E1" s="10" t="s">
        <v>46</v>
      </c>
      <c r="F1" s="10" t="s">
        <v>47</v>
      </c>
      <c r="G1" s="10" t="s">
        <v>36</v>
      </c>
      <c r="H1" s="10" t="s">
        <v>48</v>
      </c>
      <c r="I1" s="10" t="s">
        <v>49</v>
      </c>
      <c r="J1" s="10" t="s">
        <v>50</v>
      </c>
      <c r="K1" s="10" t="s">
        <v>51</v>
      </c>
      <c r="L1" t="s">
        <v>52</v>
      </c>
      <c r="M1" t="s">
        <v>53</v>
      </c>
    </row>
    <row r="2" spans="1:30" x14ac:dyDescent="0.35">
      <c r="A2" t="str">
        <f>IF(Input!A3="","",Input!A3)</f>
        <v>Global Managed Portfolio Service Cautious Portfolio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Global Managed Portfolio Service Conservative Portfolio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Global Managed Portfolio Service Balanced Portfolio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Global Managed Portfolio Service Dynamic Portfolio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Global Managed Portfolio Service Adventurous Portfolio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/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/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/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/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/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/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/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E50"/>
  <sheetViews>
    <sheetView workbookViewId="0">
      <selection activeCell="A2" sqref="A2"/>
    </sheetView>
  </sheetViews>
  <sheetFormatPr defaultRowHeight="14.5" x14ac:dyDescent="0.35"/>
  <cols>
    <col min="1" max="1" width="19.6328125" bestFit="1" customWidth="1"/>
    <col min="4" max="4" width="8.7265625" style="8"/>
  </cols>
  <sheetData>
    <row r="1" spans="1:5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35">
      <c r="A2" t="str">
        <f>IF(Input!A3="","",Input!A3)</f>
        <v>Global Managed Portfolio Service Cautious Portfolio</v>
      </c>
      <c r="B2" t="s">
        <v>42</v>
      </c>
      <c r="C2" t="s">
        <v>37</v>
      </c>
    </row>
    <row r="3" spans="1:5" x14ac:dyDescent="0.35">
      <c r="A3" t="str">
        <f>IF(Input!A4="","",Input!A4)</f>
        <v>Global Managed Portfolio Service Conservative Portfolio</v>
      </c>
      <c r="B3" t="s">
        <v>42</v>
      </c>
      <c r="C3" t="s">
        <v>38</v>
      </c>
    </row>
    <row r="4" spans="1:5" x14ac:dyDescent="0.35">
      <c r="A4" t="str">
        <f>IF(Input!A5="","",Input!A5)</f>
        <v>Global Managed Portfolio Service Balanced Portfolio</v>
      </c>
      <c r="B4" t="s">
        <v>42</v>
      </c>
      <c r="C4" t="s">
        <v>39</v>
      </c>
    </row>
    <row r="5" spans="1:5" x14ac:dyDescent="0.35">
      <c r="A5" t="str">
        <f>IF(Input!A6="","",Input!A6)</f>
        <v>Global Managed Portfolio Service Dynamic Portfolio</v>
      </c>
      <c r="B5" t="s">
        <v>42</v>
      </c>
      <c r="C5" t="s">
        <v>40</v>
      </c>
    </row>
    <row r="6" spans="1:5" x14ac:dyDescent="0.35">
      <c r="A6" t="str">
        <f>IF(Input!A7="","",Input!A7)</f>
        <v>Global Managed Portfolio Service Adventurous Portfolio</v>
      </c>
      <c r="B6" t="s">
        <v>42</v>
      </c>
      <c r="C6" t="s">
        <v>41</v>
      </c>
    </row>
    <row r="7" spans="1:5" x14ac:dyDescent="0.35">
      <c r="A7" t="str">
        <f>IF(Input!A8="","",Input!A8)</f>
        <v/>
      </c>
    </row>
    <row r="8" spans="1:5" x14ac:dyDescent="0.35">
      <c r="A8" t="str">
        <f>IF(Input!A9="","",Input!A9)</f>
        <v/>
      </c>
    </row>
    <row r="9" spans="1:5" x14ac:dyDescent="0.35">
      <c r="A9" t="str">
        <f>IF(Input!A10="","",Input!A10)</f>
        <v/>
      </c>
    </row>
    <row r="10" spans="1:5" x14ac:dyDescent="0.35">
      <c r="A10" t="str">
        <f>IF(Input!A11="","",Input!A11)</f>
        <v/>
      </c>
    </row>
    <row r="11" spans="1:5" x14ac:dyDescent="0.35">
      <c r="A11" t="str">
        <f>IF(Input!A12="","",Input!A12)</f>
        <v/>
      </c>
    </row>
    <row r="12" spans="1:5" x14ac:dyDescent="0.35">
      <c r="A12" t="str">
        <f>IF(Input!A13="","",Input!A13)</f>
        <v/>
      </c>
    </row>
    <row r="13" spans="1:5" x14ac:dyDescent="0.35">
      <c r="A13" t="str">
        <f>IF(Input!A14="","",Input!A14)</f>
        <v/>
      </c>
    </row>
    <row r="14" spans="1:5" x14ac:dyDescent="0.35">
      <c r="A14" t="str">
        <f>IF(Input!A15="","",Input!A15)</f>
        <v/>
      </c>
    </row>
    <row r="15" spans="1:5" x14ac:dyDescent="0.35">
      <c r="A15" t="str">
        <f>IF(Input!A16="","",Input!A16)</f>
        <v/>
      </c>
    </row>
    <row r="16" spans="1:5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Global Managed Portfolio Service Cautious Portfolio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Global Managed Portfolio Service Conservative Portfolio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Global Managed Portfolio Service Balanced Portfolio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Global Managed Portfolio Service Dynamic Portfolio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Global Managed Portfolio Service Adventurous Portfolio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3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3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3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3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3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3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35">
      <c r="A2" t="str">
        <f>IF(Input!A3="","",Input!A3)</f>
        <v>Global Managed Portfolio Service Cautious Portfolio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35">
      <c r="A3" t="str">
        <f>IF(Input!A4="","",Input!A4)</f>
        <v>Global Managed Portfolio Service Conservative Portfolio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35">
      <c r="A4" t="str">
        <f>IF(Input!A5="","",Input!A5)</f>
        <v>Global Managed Portfolio Service Balanced Portfolio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35">
      <c r="A5" t="str">
        <f>IF(Input!A6="","",Input!A6)</f>
        <v>Global Managed Portfolio Service Dynamic Portfolio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35">
      <c r="A6" t="str">
        <f>IF(Input!A7="","",Input!A7)</f>
        <v>Global Managed Portfolio Service Adventurous Portfolio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35">
      <c r="A7" t="str">
        <f>IF(Input!A8="","",Input!A8)</f>
        <v/>
      </c>
      <c r="C7" t="str">
        <f>IF(A7="","",IF(OR('Additional Information'!G7="",'Additional Information'!G7="-"),"",'Additional Information'!G7))</f>
        <v/>
      </c>
      <c r="D7" s="5" t="str">
        <f>IF(A7="","",SUM('Additional Information'!C7,'Additional Information'!D7))</f>
        <v/>
      </c>
      <c r="E7" t="str">
        <f>IF(A7="","",SUM('Additional Information'!C7))</f>
        <v/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35">
      <c r="A8" t="str">
        <f>IF(Input!A9="","",Input!A9)</f>
        <v/>
      </c>
      <c r="C8" t="str">
        <f>IF(A8="","",IF(OR('Additional Information'!G8="",'Additional Information'!G8="-"),"",'Additional Information'!G8))</f>
        <v/>
      </c>
      <c r="D8" s="5" t="str">
        <f>IF(A8="","",SUM('Additional Information'!C8,'Additional Information'!D8))</f>
        <v/>
      </c>
      <c r="E8" t="str">
        <f>IF(A8="","",SUM('Additional Information'!C8))</f>
        <v/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35">
      <c r="A9" t="str">
        <f>IF(Input!A10="","",Input!A10)</f>
        <v/>
      </c>
      <c r="C9" t="str">
        <f>IF(A9="","",IF(OR('Additional Information'!G9="",'Additional Information'!G9="-"),"",'Additional Information'!G9))</f>
        <v/>
      </c>
      <c r="D9" s="5" t="str">
        <f>IF(A9="","",SUM('Additional Information'!C9,'Additional Information'!D9))</f>
        <v/>
      </c>
      <c r="E9" t="str">
        <f>IF(A9="","",SUM('Additional Information'!C9))</f>
        <v/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35">
      <c r="A10" t="str">
        <f>IF(Input!A11="","",Input!A11)</f>
        <v/>
      </c>
      <c r="C10" t="str">
        <f>IF(A10="","",IF(OR('Additional Information'!G10="",'Additional Information'!G10="-"),"",'Additional Information'!G10))</f>
        <v/>
      </c>
      <c r="D10" s="5" t="str">
        <f>IF(A10="","",SUM('Additional Information'!C10,'Additional Information'!D10))</f>
        <v/>
      </c>
      <c r="E10" t="str">
        <f>IF(A10="","",SUM('Additional Information'!C10))</f>
        <v/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35">
      <c r="A11" t="str">
        <f>IF(Input!A12="","",Input!A12)</f>
        <v/>
      </c>
      <c r="C11" t="str">
        <f>IF(A11="","",IF(OR('Additional Information'!G11="",'Additional Information'!G11="-"),"",'Additional Information'!G11))</f>
        <v/>
      </c>
      <c r="D11" s="5" t="str">
        <f>IF(A11="","",SUM('Additional Information'!C11,'Additional Information'!D11))</f>
        <v/>
      </c>
      <c r="E11" t="str">
        <f>IF(A11="","",SUM('Additional Information'!C11))</f>
        <v/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35">
      <c r="A12" t="str">
        <f>IF(Input!A13="","",Input!A13)</f>
        <v/>
      </c>
      <c r="C12" t="str">
        <f>IF(A12="","",IF(OR('Additional Information'!G12="",'Additional Information'!G12="-"),"",'Additional Information'!G12))</f>
        <v/>
      </c>
      <c r="D12" s="5" t="str">
        <f>IF(A12="","",SUM('Additional Information'!C12,'Additional Information'!D12))</f>
        <v/>
      </c>
      <c r="E12" t="str">
        <f>IF(A12="","",SUM('Additional Information'!C12))</f>
        <v/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35">
      <c r="A13" t="str">
        <f>IF(Input!A14="","",Input!A14)</f>
        <v/>
      </c>
      <c r="C13" t="str">
        <f>IF(A13="","",IF(OR('Additional Information'!G13="",'Additional Information'!G13="-"),"",'Additional Information'!G13))</f>
        <v/>
      </c>
      <c r="D13" s="5" t="str">
        <f>IF(A13="","",SUM('Additional Information'!C13,'Additional Information'!D13))</f>
        <v/>
      </c>
      <c r="E13" t="str">
        <f>IF(A13="","",SUM('Additional Information'!C13))</f>
        <v/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3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3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3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3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3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3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3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3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3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3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3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3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3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3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3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3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3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3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3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3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3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3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3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3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3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3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3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3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3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3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3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3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3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3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3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3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3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Global Managed Portfolio Service Cautious Portfolio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Global Managed Portfolio Service Conservative Portfolio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Global Managed Portfolio Service Balanced Portfolio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Global Managed Portfolio Service Dynamic Portfolio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Global Managed Portfolio Service Adventurous Portfolio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/>
      </c>
      <c r="B7" t="str">
        <f>IF(A7="","",SUM('Asset Allocation'!F7,'Asset Allocation'!G7,'Asset Allocation'!H7,'Asset Allocation'!I7,'Asset Allocation'!J7,'Asset Allocation'!K7))</f>
        <v/>
      </c>
      <c r="C7" t="str">
        <f>IF(A7="","",SUM('Asset Allocation'!C7))</f>
        <v/>
      </c>
      <c r="D7" t="str">
        <f>IF(A7="","",SUM('Asset Allocation'!D7))</f>
        <v/>
      </c>
      <c r="F7" t="str">
        <f>IF(A7="","",SUM('Asset Allocation'!E7))</f>
        <v/>
      </c>
      <c r="G7" t="str">
        <f>IF(A7="","",SUM('Asset Allocation'!B7))</f>
        <v/>
      </c>
      <c r="H7" t="str">
        <f t="shared" si="0"/>
        <v/>
      </c>
    </row>
    <row r="8" spans="1:8" x14ac:dyDescent="0.35">
      <c r="A8" t="str">
        <f>IF(Input!A9="","",Input!A9)</f>
        <v/>
      </c>
      <c r="B8" t="str">
        <f>IF(A8="","",SUM('Asset Allocation'!F8,'Asset Allocation'!G8,'Asset Allocation'!H8,'Asset Allocation'!I8,'Asset Allocation'!J8,'Asset Allocation'!K8))</f>
        <v/>
      </c>
      <c r="C8" t="str">
        <f>IF(A8="","",SUM('Asset Allocation'!C8))</f>
        <v/>
      </c>
      <c r="D8" t="str">
        <f>IF(A8="","",SUM('Asset Allocation'!D8))</f>
        <v/>
      </c>
      <c r="F8" t="str">
        <f>IF(A8="","",SUM('Asset Allocation'!E8))</f>
        <v/>
      </c>
      <c r="G8" t="str">
        <f>IF(A8="","",SUM('Asset Allocation'!B8))</f>
        <v/>
      </c>
      <c r="H8" t="str">
        <f t="shared" si="0"/>
        <v/>
      </c>
    </row>
    <row r="9" spans="1:8" x14ac:dyDescent="0.35">
      <c r="A9" t="str">
        <f>IF(Input!A10="","",Input!A10)</f>
        <v/>
      </c>
      <c r="B9" t="str">
        <f>IF(A9="","",SUM('Asset Allocation'!F9,'Asset Allocation'!G9,'Asset Allocation'!H9,'Asset Allocation'!I9,'Asset Allocation'!J9,'Asset Allocation'!K9))</f>
        <v/>
      </c>
      <c r="C9" t="str">
        <f>IF(A9="","",SUM('Asset Allocation'!C9))</f>
        <v/>
      </c>
      <c r="D9" t="str">
        <f>IF(A9="","",SUM('Asset Allocation'!D9))</f>
        <v/>
      </c>
      <c r="F9" t="str">
        <f>IF(A9="","",SUM('Asset Allocation'!E9))</f>
        <v/>
      </c>
      <c r="G9" t="str">
        <f>IF(A9="","",SUM('Asset Allocation'!B9))</f>
        <v/>
      </c>
      <c r="H9" t="str">
        <f t="shared" si="0"/>
        <v/>
      </c>
    </row>
    <row r="10" spans="1:8" x14ac:dyDescent="0.35">
      <c r="A10" t="str">
        <f>IF(Input!A11="","",Input!A11)</f>
        <v/>
      </c>
      <c r="B10" t="str">
        <f>IF(A10="","",SUM('Asset Allocation'!F10,'Asset Allocation'!G10,'Asset Allocation'!H10,'Asset Allocation'!I10,'Asset Allocation'!J10,'Asset Allocation'!K10))</f>
        <v/>
      </c>
      <c r="C10" t="str">
        <f>IF(A10="","",SUM('Asset Allocation'!C10))</f>
        <v/>
      </c>
      <c r="D10" t="str">
        <f>IF(A10="","",SUM('Asset Allocation'!D10))</f>
        <v/>
      </c>
      <c r="F10" t="str">
        <f>IF(A10="","",SUM('Asset Allocation'!E10))</f>
        <v/>
      </c>
      <c r="G10" t="str">
        <f>IF(A10="","",SUM('Asset Allocation'!B10))</f>
        <v/>
      </c>
      <c r="H10" t="str">
        <f t="shared" si="0"/>
        <v/>
      </c>
    </row>
    <row r="11" spans="1:8" x14ac:dyDescent="0.35">
      <c r="A11" t="str">
        <f>IF(Input!A12="","",Input!A12)</f>
        <v/>
      </c>
      <c r="B11" t="str">
        <f>IF(A11="","",SUM('Asset Allocation'!F11,'Asset Allocation'!G11,'Asset Allocation'!H11,'Asset Allocation'!I11,'Asset Allocation'!J11,'Asset Allocation'!K11))</f>
        <v/>
      </c>
      <c r="C11" t="str">
        <f>IF(A11="","",SUM('Asset Allocation'!C11))</f>
        <v/>
      </c>
      <c r="D11" t="str">
        <f>IF(A11="","",SUM('Asset Allocation'!D11))</f>
        <v/>
      </c>
      <c r="F11" t="str">
        <f>IF(A11="","",SUM('Asset Allocation'!E11))</f>
        <v/>
      </c>
      <c r="G11" t="str">
        <f>IF(A11="","",SUM('Asset Allocation'!B11))</f>
        <v/>
      </c>
      <c r="H11" t="str">
        <f t="shared" si="0"/>
        <v/>
      </c>
    </row>
    <row r="12" spans="1:8" x14ac:dyDescent="0.35">
      <c r="A12" t="str">
        <f>IF(Input!A13="","",Input!A13)</f>
        <v/>
      </c>
      <c r="B12" t="str">
        <f>IF(A12="","",SUM('Asset Allocation'!F12,'Asset Allocation'!G12,'Asset Allocation'!H12,'Asset Allocation'!I12,'Asset Allocation'!J12,'Asset Allocation'!K12))</f>
        <v/>
      </c>
      <c r="C12" t="str">
        <f>IF(A12="","",SUM('Asset Allocation'!C12))</f>
        <v/>
      </c>
      <c r="D12" t="str">
        <f>IF(A12="","",SUM('Asset Allocation'!D12))</f>
        <v/>
      </c>
      <c r="F12" t="str">
        <f>IF(A12="","",SUM('Asset Allocation'!E12))</f>
        <v/>
      </c>
      <c r="G12" t="str">
        <f>IF(A12="","",SUM('Asset Allocation'!B12))</f>
        <v/>
      </c>
      <c r="H12" t="str">
        <f t="shared" si="0"/>
        <v/>
      </c>
    </row>
    <row r="13" spans="1:8" x14ac:dyDescent="0.35">
      <c r="A13" t="str">
        <f>IF(Input!A14="","",Input!A14)</f>
        <v/>
      </c>
      <c r="B13" t="str">
        <f>IF(A13="","",SUM('Asset Allocation'!F13,'Asset Allocation'!G13,'Asset Allocation'!H13,'Asset Allocation'!I13,'Asset Allocation'!J13,'Asset Allocation'!K13))</f>
        <v/>
      </c>
      <c r="C13" t="str">
        <f>IF(A13="","",SUM('Asset Allocation'!C13))</f>
        <v/>
      </c>
      <c r="D13" t="str">
        <f>IF(A13="","",SUM('Asset Allocation'!D13))</f>
        <v/>
      </c>
      <c r="F13" t="str">
        <f>IF(A13="","",SUM('Asset Allocation'!E13))</f>
        <v/>
      </c>
      <c r="G13" t="str">
        <f>IF(A13="","",SUM('Asset Allocation'!B13))</f>
        <v/>
      </c>
      <c r="H13" t="str">
        <f t="shared" si="0"/>
        <v/>
      </c>
    </row>
    <row r="14" spans="1:8" x14ac:dyDescent="0.3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Global Managed Portfolio Service Cautious Portfolio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Global Managed Portfolio Service Conservative Portfolio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Global Managed Portfolio Service Balanced Portfolio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Global Managed Portfolio Service Dynamic Portfolio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Global Managed Portfolio Service Adventurous Portfolio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/>
      </c>
      <c r="B7" s="6" t="str">
        <f>IFERROR(IF(A7="","",SUM('Asset Allocation'!G7)/'Broad Asset Allocation'!B7),0)</f>
        <v/>
      </c>
      <c r="C7" s="6" t="str">
        <f>IFERROR(IF(A7="","",SUM('Asset Allocation'!F7)/'Broad Asset Allocation'!B7),0)</f>
        <v/>
      </c>
      <c r="D7" s="6" t="str">
        <f>IFERROR(IF(A7="","",SUM('Asset Allocation'!H7)/'Broad Asset Allocation'!B7),0)</f>
        <v/>
      </c>
      <c r="E7" s="6" t="str">
        <f>IFERROR(IF(A7="","",SUM('Asset Allocation'!I7)/'Broad Asset Allocation'!B7),0)</f>
        <v/>
      </c>
      <c r="F7" s="6"/>
      <c r="G7" s="6" t="str">
        <f>IFERROR(IF(A7="","",SUM('Asset Allocation'!J7)/'Broad Asset Allocation'!B7),0)</f>
        <v/>
      </c>
      <c r="H7" s="6" t="str">
        <f>IFERROR(IF(A7="","",SUM('Asset Allocation'!K7)/'Broad Asset Allocation'!B7),0)</f>
        <v/>
      </c>
    </row>
    <row r="8" spans="1:8" x14ac:dyDescent="0.35">
      <c r="A8" t="str">
        <f>IF(Input!A9="","",Input!A9)</f>
        <v/>
      </c>
      <c r="B8" s="6" t="str">
        <f>IFERROR(IF(A8="","",SUM('Asset Allocation'!G8)/'Broad Asset Allocation'!B8),0)</f>
        <v/>
      </c>
      <c r="C8" s="6" t="str">
        <f>IFERROR(IF(A8="","",SUM('Asset Allocation'!F8)/'Broad Asset Allocation'!B8),0)</f>
        <v/>
      </c>
      <c r="D8" s="6" t="str">
        <f>IFERROR(IF(A8="","",SUM('Asset Allocation'!H8)/'Broad Asset Allocation'!B8),0)</f>
        <v/>
      </c>
      <c r="E8" s="6" t="str">
        <f>IFERROR(IF(A8="","",SUM('Asset Allocation'!I8)/'Broad Asset Allocation'!B8),0)</f>
        <v/>
      </c>
      <c r="F8" s="6"/>
      <c r="G8" s="6" t="str">
        <f>IFERROR(IF(A8="","",SUM('Asset Allocation'!J8)/'Broad Asset Allocation'!B8),0)</f>
        <v/>
      </c>
      <c r="H8" s="6" t="str">
        <f>IFERROR(IF(A8="","",SUM('Asset Allocation'!K8)/'Broad Asset Allocation'!B8),0)</f>
        <v/>
      </c>
    </row>
    <row r="9" spans="1:8" x14ac:dyDescent="0.35">
      <c r="A9" t="str">
        <f>IF(Input!A10="","",Input!A10)</f>
        <v/>
      </c>
      <c r="B9" s="6" t="str">
        <f>IFERROR(IF(A9="","",SUM('Asset Allocation'!G9)/'Broad Asset Allocation'!B9),0)</f>
        <v/>
      </c>
      <c r="C9" s="6" t="str">
        <f>IFERROR(IF(A9="","",SUM('Asset Allocation'!F9)/'Broad Asset Allocation'!B9),0)</f>
        <v/>
      </c>
      <c r="D9" s="6" t="str">
        <f>IFERROR(IF(A9="","",SUM('Asset Allocation'!H9)/'Broad Asset Allocation'!B9),0)</f>
        <v/>
      </c>
      <c r="E9" s="6" t="str">
        <f>IFERROR(IF(A9="","",SUM('Asset Allocation'!I9)/'Broad Asset Allocation'!B9),0)</f>
        <v/>
      </c>
      <c r="F9" s="6"/>
      <c r="G9" s="6" t="str">
        <f>IFERROR(IF(A9="","",SUM('Asset Allocation'!J9)/'Broad Asset Allocation'!B9),0)</f>
        <v/>
      </c>
      <c r="H9" s="6" t="str">
        <f>IFERROR(IF(A9="","",SUM('Asset Allocation'!K9)/'Broad Asset Allocation'!B9),0)</f>
        <v/>
      </c>
    </row>
    <row r="10" spans="1:8" x14ac:dyDescent="0.35">
      <c r="A10" t="str">
        <f>IF(Input!A11="","",Input!A11)</f>
        <v/>
      </c>
      <c r="B10" s="6" t="str">
        <f>IFERROR(IF(A10="","",SUM('Asset Allocation'!G10)/'Broad Asset Allocation'!B10),0)</f>
        <v/>
      </c>
      <c r="C10" s="6" t="str">
        <f>IFERROR(IF(A10="","",SUM('Asset Allocation'!F10)/'Broad Asset Allocation'!B10),0)</f>
        <v/>
      </c>
      <c r="D10" s="6" t="str">
        <f>IFERROR(IF(A10="","",SUM('Asset Allocation'!H10)/'Broad Asset Allocation'!B10),0)</f>
        <v/>
      </c>
      <c r="E10" s="6" t="str">
        <f>IFERROR(IF(A10="","",SUM('Asset Allocation'!I10)/'Broad Asset Allocation'!B10),0)</f>
        <v/>
      </c>
      <c r="F10" s="6"/>
      <c r="G10" s="6" t="str">
        <f>IFERROR(IF(A10="","",SUM('Asset Allocation'!J10)/'Broad Asset Allocation'!B10),0)</f>
        <v/>
      </c>
      <c r="H10" s="6" t="str">
        <f>IFERROR(IF(A10="","",SUM('Asset Allocation'!K10)/'Broad Asset Allocation'!B10),0)</f>
        <v/>
      </c>
    </row>
    <row r="11" spans="1:8" x14ac:dyDescent="0.35">
      <c r="A11" t="str">
        <f>IF(Input!A12="","",Input!A12)</f>
        <v/>
      </c>
      <c r="B11" s="6" t="str">
        <f>IFERROR(IF(A11="","",SUM('Asset Allocation'!G11)/'Broad Asset Allocation'!B11),0)</f>
        <v/>
      </c>
      <c r="C11" s="6" t="str">
        <f>IFERROR(IF(A11="","",SUM('Asset Allocation'!F11)/'Broad Asset Allocation'!B11),0)</f>
        <v/>
      </c>
      <c r="D11" s="6" t="str">
        <f>IFERROR(IF(A11="","",SUM('Asset Allocation'!H11)/'Broad Asset Allocation'!B11),0)</f>
        <v/>
      </c>
      <c r="E11" s="6" t="str">
        <f>IFERROR(IF(A11="","",SUM('Asset Allocation'!I11)/'Broad Asset Allocation'!B11),0)</f>
        <v/>
      </c>
      <c r="F11" s="6"/>
      <c r="G11" s="6" t="str">
        <f>IFERROR(IF(A11="","",SUM('Asset Allocation'!J11)/'Broad Asset Allocation'!B11),0)</f>
        <v/>
      </c>
      <c r="H11" s="6" t="str">
        <f>IFERROR(IF(A11="","",SUM('Asset Allocation'!K11)/'Broad Asset Allocation'!B11),0)</f>
        <v/>
      </c>
    </row>
    <row r="12" spans="1:8" x14ac:dyDescent="0.35">
      <c r="A12" t="str">
        <f>IF(Input!A13="","",Input!A13)</f>
        <v/>
      </c>
      <c r="B12" s="6" t="str">
        <f>IFERROR(IF(A12="","",SUM('Asset Allocation'!G12)/'Broad Asset Allocation'!B12),0)</f>
        <v/>
      </c>
      <c r="C12" s="6" t="str">
        <f>IFERROR(IF(A12="","",SUM('Asset Allocation'!F12)/'Broad Asset Allocation'!B12),0)</f>
        <v/>
      </c>
      <c r="D12" s="6" t="str">
        <f>IFERROR(IF(A12="","",SUM('Asset Allocation'!H12)/'Broad Asset Allocation'!B12),0)</f>
        <v/>
      </c>
      <c r="E12" s="6" t="str">
        <f>IFERROR(IF(A12="","",SUM('Asset Allocation'!I12)/'Broad Asset Allocation'!B12),0)</f>
        <v/>
      </c>
      <c r="F12" s="6"/>
      <c r="G12" s="6" t="str">
        <f>IFERROR(IF(A12="","",SUM('Asset Allocation'!J12)/'Broad Asset Allocation'!B12),0)</f>
        <v/>
      </c>
      <c r="H12" s="6" t="str">
        <f>IFERROR(IF(A12="","",SUM('Asset Allocation'!K12)/'Broad Asset Allocation'!B12),0)</f>
        <v/>
      </c>
    </row>
    <row r="13" spans="1:8" x14ac:dyDescent="0.35">
      <c r="A13" t="str">
        <f>IF(Input!A14="","",Input!A14)</f>
        <v/>
      </c>
      <c r="B13" s="6" t="str">
        <f>IFERROR(IF(A13="","",SUM('Asset Allocation'!G13)/'Broad Asset Allocation'!B13),0)</f>
        <v/>
      </c>
      <c r="C13" s="6" t="str">
        <f>IFERROR(IF(A13="","",SUM('Asset Allocation'!F13)/'Broad Asset Allocation'!B13),0)</f>
        <v/>
      </c>
      <c r="D13" s="6" t="str">
        <f>IFERROR(IF(A13="","",SUM('Asset Allocation'!H13)/'Broad Asset Allocation'!B13),0)</f>
        <v/>
      </c>
      <c r="E13" s="6" t="str">
        <f>IFERROR(IF(A13="","",SUM('Asset Allocation'!I13)/'Broad Asset Allocation'!B13),0)</f>
        <v/>
      </c>
      <c r="F13" s="6"/>
      <c r="G13" s="6" t="str">
        <f>IFERROR(IF(A13="","",SUM('Asset Allocation'!J13)/'Broad Asset Allocation'!B13),0)</f>
        <v/>
      </c>
      <c r="H13" s="6" t="str">
        <f>IFERROR(IF(A13="","",SUM('Asset Allocation'!K13)/'Broad Asset Allocation'!B13),0)</f>
        <v/>
      </c>
    </row>
    <row r="14" spans="1:8" x14ac:dyDescent="0.3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35">
      <c r="A2" t="str">
        <f>IF(Input!A3="","",Input!A3)</f>
        <v>Global Managed Portfolio Service Cautious Portfolio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Global Managed Portfolio Service Conservative Portfolio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Global Managed Portfolio Service Balanced Portfolio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Global Managed Portfolio Service Dynamic Portfolio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Global Managed Portfolio Service Adventurous Portfolio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/>
      </c>
      <c r="H7" t="str">
        <f>IFERROR(IF(A7="","",SUM('Asset Allocation'!C7)/'Broad Asset Allocation'!C7),0)</f>
        <v/>
      </c>
    </row>
    <row r="8" spans="1:8" x14ac:dyDescent="0.35">
      <c r="A8" t="str">
        <f>IF(Input!A9="","",Input!A9)</f>
        <v/>
      </c>
      <c r="H8" t="str">
        <f>IFERROR(IF(A8="","",SUM('Asset Allocation'!C8)/'Broad Asset Allocation'!C8),0)</f>
        <v/>
      </c>
    </row>
    <row r="9" spans="1:8" x14ac:dyDescent="0.35">
      <c r="A9" t="str">
        <f>IF(Input!A10="","",Input!A10)</f>
        <v/>
      </c>
      <c r="H9" t="str">
        <f>IFERROR(IF(A9="","",SUM('Asset Allocation'!C9)/'Broad Asset Allocation'!C9),0)</f>
        <v/>
      </c>
    </row>
    <row r="10" spans="1:8" x14ac:dyDescent="0.35">
      <c r="A10" t="str">
        <f>IF(Input!A11="","",Input!A11)</f>
        <v/>
      </c>
      <c r="H10" t="str">
        <f>IFERROR(IF(A10="","",SUM('Asset Allocation'!C10)/'Broad Asset Allocation'!C10),0)</f>
        <v/>
      </c>
    </row>
    <row r="11" spans="1:8" x14ac:dyDescent="0.35">
      <c r="A11" t="str">
        <f>IF(Input!A12="","",Input!A12)</f>
        <v/>
      </c>
      <c r="H11" t="str">
        <f>IFERROR(IF(A11="","",SUM('Asset Allocation'!C11)/'Broad Asset Allocation'!C11),0)</f>
        <v/>
      </c>
    </row>
    <row r="12" spans="1:8" x14ac:dyDescent="0.35">
      <c r="A12" t="str">
        <f>IF(Input!A13="","",Input!A13)</f>
        <v/>
      </c>
      <c r="H12" t="str">
        <f>IFERROR(IF(A12="","",SUM('Asset Allocation'!C12)/'Broad Asset Allocation'!C12),0)</f>
        <v/>
      </c>
    </row>
    <row r="13" spans="1:8" x14ac:dyDescent="0.35">
      <c r="A13" t="str">
        <f>IF(Input!A14="","",Input!A14)</f>
        <v/>
      </c>
      <c r="H13" t="str">
        <f>IFERROR(IF(A13="","",SUM('Asset Allocation'!C13)/'Broad Asset Allocation'!C13),0)</f>
        <v/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788B-7D70-40A2-8220-A73F9A82F61F}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BF6-91B2-4E10-A7FE-77466AA38F10}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Global Managed Portfolio Service Cautious Portfolio</v>
      </c>
      <c r="C1" s="1" t="str">
        <v>Global Managed Portfolio Service Conservative Portfolio</v>
      </c>
      <c r="D1" t="str">
        <v>Global Managed Portfolio Service Balanced Portfolio</v>
      </c>
      <c r="E1" t="str">
        <v>Global Managed Portfolio Service Dynamic Portfolio</v>
      </c>
      <c r="F1" t="str">
        <v>Global Managed Portfolio Service Adventurous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2023-10-15T14:27:59Z</dcterms:modified>
</cp:coreProperties>
</file>