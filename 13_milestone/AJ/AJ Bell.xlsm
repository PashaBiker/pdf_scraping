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7" i="29"/>
  <c r="A10" i="29"/>
  <c r="A11" i="29"/>
  <c r="A12" i="29"/>
  <c r="A13" i="29"/>
  <c r="A14" i="29"/>
  <c r="A15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<sst xmlns="http://schemas.openxmlformats.org/spreadsheetml/2006/main" count="170" uniqueCount="86">
  <si>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</si>
  <si>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</si>
  <si>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</si>
  <si>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</si>
  <si>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</si>
  <si>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</si>
  <si>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</si>
  <si>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</si>
  <si>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</si>
  <si>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</si>
  <si>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</si>
  <si>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</si>
  <si>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</si>
  <si>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</si>
  <si>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</si>
  <si>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</si>
  <si>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</si>
  <si>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</si>
  <si>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</si>
  <si>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</si>
  <si>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</si>
  <si>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</si>
  <si>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</si>
  <si>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</si>
  <si>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</si>
  <si>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</si>
  <si>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</si>
  <si>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</si>
  <si>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</si>
  <si>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</si>
  <si>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</si>
  <si>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</si>
  <si>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</si>
  <si>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</si>
  <si>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</si>
  <si>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</si>
  <si>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</si>
  <si>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</si>
  <si>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</si>
  <si>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</si>
  <si>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</si>
  <si>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</si>
  <si>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</si>
  <si>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</si>
  <si>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</si>
  <si>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</si>
  <si>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</si>
  <si>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</si>
  <si>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</si>
  <si>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</si>
  <si>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</si>
  <si>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</si>
  <si>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</si>
  <si>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</si>
  <si>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</si>
  <si>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</si>
  <si>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</si>
  <si>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</si>
  <si>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</si>
  <si>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</si>
  <si>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</si>
  <si>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</si>
  <si>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</si>
  <si>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</si>
  <si>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</si>
  <si>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</si>
  <si>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</si>
  <si>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</si>
  <si>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</si>
  <si>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</si>
  <si>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MPS 5 ies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</si>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</sst>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L5" sqref="L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37</v>
      </c>
      <c r="B9" t="str">
        <f>'PDF Scraping'!D8</f>
        <v>https://www.investcentre.co.uk/literature/monthly-factsheets-mps</v>
      </c>
    </row>
    <row r="10" spans="1:10" x14ac:dyDescent="0.25">
      <c r="A10" t="s">
        <v>38</v>
      </c>
      <c r="B10" t="str">
        <f>'PDF Scraping'!D9</f>
        <v>https://www.investcentre.co.uk/literature/monthly-factsheets-mps</v>
      </c>
    </row>
    <row r="11" spans="1:10" x14ac:dyDescent="0.25">
      <c r="A11" t="s">
        <v>39</v>
      </c>
      <c r="B11" t="str">
        <f>'PDF Scraping'!D10</f>
        <v>https://www.investcentre.co.uk/literature/monthly-factsheets-mps</v>
      </c>
    </row>
    <row r="12" spans="1:10" x14ac:dyDescent="0.25">
      <c r="A12" t="s">
        <v>40</v>
      </c>
      <c r="B12" t="str">
        <f>'PDF Scraping'!D11</f>
        <v>https://www.investcentre.co.uk/literature/monthly-factsheets-mps</v>
      </c>
    </row>
    <row r="13" spans="1:10" x14ac:dyDescent="0.25">
      <c r="A13" t="s">
        <v>41</v>
      </c>
      <c r="B13" t="str">
        <f>'PDF Scraping'!D12</f>
        <v>https://www.investcentre.co.uk/literature/monthly-factsheets-mps</v>
      </c>
    </row>
    <row r="14" spans="1:10" x14ac:dyDescent="0.25">
      <c r="A14" t="s">
        <v>42</v>
      </c>
      <c r="B14" t="str">
        <f>'PDF Scraping'!D13</f>
        <v>https://www.investcentre.co.uk/literature/monthly-factsheets-mps</v>
      </c>
    </row>
    <row r="15" spans="1:10" x14ac:dyDescent="0.25">
      <c r="A15" t="s">
        <v>43</v>
      </c>
      <c r="B15" t="str">
        <f>'PDF Scraping'!D14</f>
        <v>https://www.investcentre.co.uk/literature/monthly-factsheets-mps</v>
      </c>
    </row>
    <row r="16" spans="1:10" x14ac:dyDescent="0.25">
      <c r="A16" t="s">
        <v>44</v>
      </c>
      <c r="B16" t="str">
        <f>'PDF Scraping'!D15</f>
        <v>https://www.investcentre.co.uk/literature/monthly-factsheets-mps</v>
      </c>
    </row>
    <row r="17" spans="1:2" x14ac:dyDescent="0.25">
      <c r="A17" t="s">
        <v>45</v>
      </c>
      <c r="B17" t="str">
        <f>'PDF Scraping'!D16</f>
        <v>https://www.investcentre.co.uk/literature/monthly-factsheets-mps</v>
      </c>
    </row>
    <row r="18" spans="1:2" x14ac:dyDescent="0.25">
      <c r="A18" t="s">
        <v>46</v>
      </c>
      <c r="B18" t="str">
        <f>'PDF Scraping'!D17</f>
        <v>https://www.investcentre.co.uk/literature/monthly-factsheets-mps</v>
      </c>
    </row>
    <row r="19" spans="1:2" x14ac:dyDescent="0.25">
      <c r="A19" t="s">
        <v>47</v>
      </c>
      <c r="B19" t="str">
        <f>'PDF Scraping'!D18</f>
        <v>https://www.investcentre.co.uk/literature/monthly-factsheets-mps</v>
      </c>
    </row>
    <row r="20" spans="1:2" x14ac:dyDescent="0.25">
      <c r="A20" t="s">
        <v>48</v>
      </c>
      <c r="B20" t="str">
        <f>'PDF Scraping'!D19</f>
        <v>https://www.investcentre.co.uk/literature/monthly-factsheets-mps</v>
      </c>
    </row>
    <row r="21" spans="1:2" x14ac:dyDescent="0.25">
      <c r="A21" t="s">
        <v>49</v>
      </c>
      <c r="B21" t="str">
        <f>'PDF Scraping'!D20</f>
        <v>https://www.investcentre.co.uk/literature/monthly-factsheets-mps</v>
      </c>
    </row>
    <row r="22" spans="1:2" x14ac:dyDescent="0.25">
      <c r="A22" t="s">
        <v>50</v>
      </c>
      <c r="B22" t="str">
        <f>'PDF Scraping'!D21</f>
        <v>https://www.investcentre.co.uk/literature/monthly-factsheets-mps</v>
      </c>
    </row>
    <row r="23" spans="1:2" x14ac:dyDescent="0.25">
      <c r="A23" t="s">
        <v>51</v>
      </c>
      <c r="B23" t="str">
        <f>'PDF Scraping'!D22</f>
        <v>https://www.investcentre.co.uk/literature/monthly-factsheets-mps</v>
      </c>
    </row>
    <row r="24" spans="1:2" x14ac:dyDescent="0.25">
      <c r="A24" t="s">
        <v>52</v>
      </c>
      <c r="B24" t="str">
        <f>'PDF Scraping'!D23</f>
        <v>https://www.investcentre.co.uk/literature/monthly-factsheets-mps</v>
      </c>
    </row>
    <row r="25" spans="1:2" x14ac:dyDescent="0.25">
      <c r="A25" t="s">
        <v>53</v>
      </c>
      <c r="B25" t="str">
        <f>'PDF Scraping'!D24</f>
        <v>https://www.investcentre.co.uk/literature/monthly-factsheets-mps</v>
      </c>
    </row>
    <row r="26" spans="1:2" x14ac:dyDescent="0.25">
      <c r="A26" t="s">
        <v>54</v>
      </c>
      <c r="B26" t="str">
        <f>'PDF Scraping'!D25</f>
        <v>https://www.investcentre.co.uk/literature/monthly-factsheets-mps</v>
      </c>
    </row>
    <row r="27" spans="1:2" x14ac:dyDescent="0.25">
      <c r="A27" t="s">
        <v>55</v>
      </c>
      <c r="B27" t="str">
        <f>'PDF Scraping'!D26</f>
        <v>https://www.investcentre.co.uk/literature/monthly-factsheets-mps</v>
      </c>
    </row>
    <row r="28" spans="1:2" x14ac:dyDescent="0.25">
      <c r="A28" t="s">
        <v>56</v>
      </c>
      <c r="B28" t="str">
        <f>'PDF Scraping'!D27</f>
        <v>https://www.investcentre.co.uk/literature/monthly-factsheets-mps</v>
      </c>
    </row>
    <row r="29" spans="1:2" x14ac:dyDescent="0.25">
      <c r="A29" t="s">
        <v>57</v>
      </c>
      <c r="B29" t="str">
        <f>'PDF Scraping'!D28</f>
        <v>https://www.investcentre.co.uk/literature/monthly-factsheets-mps</v>
      </c>
    </row>
    <row r="30" spans="1:2" x14ac:dyDescent="0.25">
      <c r="A30" t="s">
        <v>58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D24" sqref="D24:E29"/>
    </sheetView>
  </sheetViews>
  <sheetFormatPr defaultRowHeight="15" x14ac:dyDescent="0.25"/>
  <cols>
    <col min="1" max="1" width="26.140625" bestFit="1" customWidth="1"/>
    <col min="2" max="2" width="5.140625" bestFit="1" customWidth="1"/>
    <col min="3" max="3" width="27.28515625" bestFit="1" customWidth="1"/>
    <col min="4" max="4" width="8.85546875" bestFit="1" customWidth="1"/>
    <col min="5" max="8" width="6.28515625" bestFit="1" customWidth="1"/>
  </cols>
  <sheetData>
    <row r="1" spans="1:8" x14ac:dyDescent="0.25">
      <c r="B1" t="s">
        <v>24</v>
      </c>
      <c r="C1" t="s">
        <v>59</v>
      </c>
      <c r="D1" t="s">
        <v>30</v>
      </c>
      <c r="E1" t="s">
        <v>66</v>
      </c>
      <c r="F1" t="s">
        <v>67</v>
      </c>
      <c r="G1" t="s">
        <v>68</v>
      </c>
      <c r="H1" t="s">
        <v>69</v>
      </c>
    </row>
    <row r="2" spans="1:8" x14ac:dyDescent="0.25">
      <c r="A2" t="str">
        <f>IF(Input!A3="","",Input!A3)</f>
        <v>Passive MPS 1</v>
      </c>
      <c r="B2" s="1"/>
      <c r="C2" s="10">
        <v>0.28000000000000003</v>
      </c>
      <c r="D2" s="10">
        <v>-1.18</v>
      </c>
      <c r="E2" s="10">
        <v>-4.1500000000000004</v>
      </c>
      <c r="F2" s="10">
        <v>2.41</v>
      </c>
      <c r="G2" s="10">
        <v>3.58</v>
      </c>
      <c r="H2" s="10">
        <v>9.89</v>
      </c>
    </row>
    <row r="3" spans="1:8" x14ac:dyDescent="0.25">
      <c r="A3" t="str">
        <f>IF(Input!A4="","",Input!A4)</f>
        <v>Passive MPS 2</v>
      </c>
      <c r="B3" s="1"/>
      <c r="C3" s="10">
        <v>0.28000000000000003</v>
      </c>
      <c r="D3" s="10">
        <v>0.18</v>
      </c>
      <c r="E3" s="10">
        <v>2.66</v>
      </c>
      <c r="F3" s="10">
        <v>7.42</v>
      </c>
      <c r="G3" s="10">
        <v>9.09</v>
      </c>
      <c r="H3" s="10">
        <v>15.7</v>
      </c>
    </row>
    <row r="4" spans="1:8" x14ac:dyDescent="0.25">
      <c r="A4" t="str">
        <f>IF(Input!A5="","",Input!A5)</f>
        <v>Passive MPS 3</v>
      </c>
      <c r="B4" s="1"/>
      <c r="C4" s="10">
        <v>0.28999999999999998</v>
      </c>
      <c r="D4" s="10">
        <v>0.57999999999999996</v>
      </c>
      <c r="E4" s="10">
        <v>1.77</v>
      </c>
      <c r="F4" s="10">
        <v>15.29</v>
      </c>
      <c r="G4" s="10">
        <v>18.16</v>
      </c>
      <c r="H4" s="10">
        <v>24.9</v>
      </c>
    </row>
    <row r="5" spans="1:8" x14ac:dyDescent="0.25">
      <c r="A5" t="str">
        <f>IF(Input!A6="","",Input!A6)</f>
        <v>Passive MPS 4</v>
      </c>
      <c r="B5" s="1"/>
      <c r="C5" s="10">
        <v>0.28000000000000003</v>
      </c>
      <c r="D5" s="10">
        <v>1.25</v>
      </c>
      <c r="E5" s="10">
        <v>3.46</v>
      </c>
      <c r="F5" s="10">
        <v>23.67</v>
      </c>
      <c r="G5" s="10">
        <v>29.73</v>
      </c>
      <c r="H5" s="10"/>
    </row>
    <row r="6" spans="1:8" x14ac:dyDescent="0.25">
      <c r="A6" t="s">
        <v>70</v>
      </c>
      <c r="B6" s="1"/>
      <c r="C6" s="10">
        <v>0.28000000000000003</v>
      </c>
      <c r="D6" s="10">
        <v>2.0699999999999998</v>
      </c>
      <c r="E6" s="10">
        <v>7.12</v>
      </c>
      <c r="F6" s="10">
        <v>29.29</v>
      </c>
      <c r="G6" s="10">
        <v>32.18</v>
      </c>
      <c r="H6" s="10">
        <v>37.270000000000003</v>
      </c>
    </row>
    <row r="7" spans="1:8" x14ac:dyDescent="0.25">
      <c r="A7" t="str">
        <f>IF(Input!A8="","",Input!A8)</f>
        <v>Passive MPS 6</v>
      </c>
      <c r="B7" s="1"/>
      <c r="C7" s="10">
        <v>0.28999999999999998</v>
      </c>
      <c r="D7" s="10">
        <v>0.16</v>
      </c>
      <c r="E7" s="10">
        <v>4.7699999999999996</v>
      </c>
      <c r="F7" s="10">
        <v>29.11</v>
      </c>
      <c r="G7" s="10">
        <v>33</v>
      </c>
      <c r="H7" s="10">
        <v>35.950000000000003</v>
      </c>
    </row>
    <row r="8" spans="1:8" x14ac:dyDescent="0.25">
      <c r="A8" t="s">
        <v>71</v>
      </c>
      <c r="B8" s="1"/>
      <c r="C8" s="10">
        <v>0.38</v>
      </c>
      <c r="D8" s="10">
        <v>3</v>
      </c>
      <c r="E8" s="10">
        <v>5</v>
      </c>
      <c r="F8" s="10"/>
      <c r="G8" s="10"/>
      <c r="H8" s="10"/>
    </row>
    <row r="9" spans="1:8" x14ac:dyDescent="0.25">
      <c r="A9" t="s">
        <v>72</v>
      </c>
      <c r="B9" s="1"/>
      <c r="C9" s="10">
        <v>0.43</v>
      </c>
      <c r="D9" s="10">
        <v>3</v>
      </c>
      <c r="E9" s="10">
        <v>5</v>
      </c>
      <c r="F9" s="10"/>
      <c r="G9" s="10"/>
      <c r="H9" s="10"/>
    </row>
    <row r="10" spans="1:8" x14ac:dyDescent="0.25">
      <c r="A10" t="str">
        <f>IF(Input!A11="","",Input!A11)</f>
        <v>Active MPS 1</v>
      </c>
      <c r="B10" s="1"/>
      <c r="C10" s="10">
        <v>0.56000000000000005</v>
      </c>
      <c r="D10" s="10">
        <v>-1.36</v>
      </c>
      <c r="E10" s="10">
        <v>6.12</v>
      </c>
      <c r="F10" s="10">
        <v>0.42</v>
      </c>
      <c r="G10" s="10">
        <v>1.07</v>
      </c>
      <c r="H10" s="10">
        <v>6.92</v>
      </c>
    </row>
    <row r="11" spans="1:8" x14ac:dyDescent="0.25">
      <c r="A11" t="str">
        <f>IF(Input!A12="","",Input!A12)</f>
        <v>Active MPS 2</v>
      </c>
      <c r="B11" s="1"/>
      <c r="C11" s="10">
        <v>0.68</v>
      </c>
      <c r="D11" s="10">
        <v>-0.49</v>
      </c>
      <c r="E11" s="10">
        <v>-5.0199999999999996</v>
      </c>
      <c r="F11" s="10">
        <v>5.5</v>
      </c>
      <c r="G11" s="10">
        <v>6.34</v>
      </c>
      <c r="H11" s="10">
        <v>12.27</v>
      </c>
    </row>
    <row r="12" spans="1:8" x14ac:dyDescent="0.25">
      <c r="A12" t="str">
        <f>IF(Input!A13="","",Input!A13)</f>
        <v>Active MPS 3</v>
      </c>
      <c r="B12" s="1"/>
      <c r="C12" s="10">
        <v>0.79</v>
      </c>
      <c r="D12" s="10">
        <v>0.27</v>
      </c>
      <c r="E12" s="10">
        <v>-1.35</v>
      </c>
      <c r="F12" s="10">
        <v>12.99</v>
      </c>
      <c r="G12" s="10">
        <v>15.21</v>
      </c>
      <c r="H12" s="10">
        <v>20.53</v>
      </c>
    </row>
    <row r="13" spans="1:8" x14ac:dyDescent="0.25">
      <c r="A13" t="str">
        <f>IF(Input!A14="","",Input!A14)</f>
        <v>Active MPS 4</v>
      </c>
      <c r="B13" s="1"/>
      <c r="C13" s="10">
        <v>0.85</v>
      </c>
      <c r="D13" s="10">
        <v>-0.1</v>
      </c>
      <c r="E13" s="10">
        <v>-2.62</v>
      </c>
      <c r="F13" s="10">
        <v>15.18</v>
      </c>
      <c r="G13" s="10">
        <v>16.670000000000002</v>
      </c>
      <c r="H13" s="10">
        <v>20.93</v>
      </c>
    </row>
    <row r="14" spans="1:8" x14ac:dyDescent="0.25">
      <c r="A14" t="str">
        <f>IF(Input!A15="","",Input!A15)</f>
        <v>Active MPS 5</v>
      </c>
      <c r="B14" s="1"/>
      <c r="C14" s="10">
        <v>0.9</v>
      </c>
      <c r="D14" s="10">
        <v>0.08</v>
      </c>
      <c r="E14" s="10">
        <v>-0.73</v>
      </c>
      <c r="F14" s="10">
        <v>21.21</v>
      </c>
      <c r="G14" s="10">
        <v>23.61</v>
      </c>
      <c r="H14" s="10">
        <v>27.31</v>
      </c>
    </row>
    <row r="15" spans="1:8" x14ac:dyDescent="0.25">
      <c r="A15" t="str">
        <f>IF(Input!A16="","",Input!A16)</f>
        <v>Active MPS 6</v>
      </c>
      <c r="B15" s="1"/>
      <c r="C15" s="10">
        <v>0.93</v>
      </c>
      <c r="D15" s="10">
        <v>-0.69</v>
      </c>
      <c r="E15" s="10">
        <v>-0.82</v>
      </c>
      <c r="F15" s="10">
        <v>25.18</v>
      </c>
      <c r="G15" s="10">
        <v>28.9</v>
      </c>
      <c r="H15" s="10">
        <v>31.34</v>
      </c>
    </row>
    <row r="16" spans="1:8" x14ac:dyDescent="0.25">
      <c r="A16" t="s">
        <v>73</v>
      </c>
      <c r="B16" s="1"/>
      <c r="C16" s="10">
        <v>0.73</v>
      </c>
      <c r="D16" s="10">
        <v>3</v>
      </c>
      <c r="E16" s="10">
        <v>5</v>
      </c>
      <c r="F16" s="10"/>
      <c r="G16" s="10"/>
      <c r="H16" s="10"/>
    </row>
    <row r="17" spans="1:8" x14ac:dyDescent="0.25">
      <c r="A17" t="s">
        <v>74</v>
      </c>
      <c r="B17" s="1"/>
      <c r="C17" s="10">
        <v>0.81</v>
      </c>
      <c r="D17" s="10">
        <v>3</v>
      </c>
      <c r="E17" s="10">
        <v>5</v>
      </c>
      <c r="F17" s="10"/>
      <c r="G17" s="10"/>
      <c r="H17" s="10"/>
    </row>
    <row r="18" spans="1:8" x14ac:dyDescent="0.25">
      <c r="A18" t="str">
        <f>IF(Input!A19="","",Input!A19)</f>
        <v>Pactive MPS 1</v>
      </c>
      <c r="B18" s="1"/>
      <c r="C18" s="10">
        <v>0.51</v>
      </c>
      <c r="D18" s="10">
        <v>-1.69</v>
      </c>
      <c r="E18" s="10">
        <v>5.75</v>
      </c>
      <c r="F18" s="10">
        <v>0.28000000000000003</v>
      </c>
      <c r="G18" s="10">
        <v>1.17</v>
      </c>
      <c r="H18" s="10"/>
    </row>
    <row r="19" spans="1:8" x14ac:dyDescent="0.25">
      <c r="A19" t="str">
        <f>IF(Input!A20="","",Input!A20)</f>
        <v>Pactive MPS 2</v>
      </c>
      <c r="B19" s="1"/>
      <c r="C19" s="10">
        <v>0.56999999999999995</v>
      </c>
      <c r="D19" s="10">
        <v>-0.83</v>
      </c>
      <c r="E19" s="10">
        <v>-4.38</v>
      </c>
      <c r="F19" s="10">
        <v>5.49</v>
      </c>
      <c r="G19" s="10">
        <v>6.57</v>
      </c>
      <c r="H19" s="10"/>
    </row>
    <row r="20" spans="1:8" x14ac:dyDescent="0.25">
      <c r="A20" t="str">
        <f>IF(Input!A21="","",Input!A21)</f>
        <v>Pactive MPS 3</v>
      </c>
      <c r="B20" s="1"/>
      <c r="C20" s="10">
        <v>0.62</v>
      </c>
      <c r="D20" s="10">
        <v>-0.05</v>
      </c>
      <c r="E20" s="10">
        <v>-0.22</v>
      </c>
      <c r="F20" s="10">
        <v>13.25</v>
      </c>
      <c r="G20" s="10">
        <v>15.35</v>
      </c>
      <c r="H20" s="10"/>
    </row>
    <row r="21" spans="1:8" x14ac:dyDescent="0.25">
      <c r="A21" t="str">
        <f>IF(Input!A22="","",Input!A22)</f>
        <v>Pactive MPS 4</v>
      </c>
      <c r="B21" s="1"/>
      <c r="C21" s="10">
        <v>0.65</v>
      </c>
      <c r="D21" s="10">
        <v>0.08</v>
      </c>
      <c r="E21" s="10">
        <v>0.4</v>
      </c>
      <c r="F21" s="10">
        <v>17.75</v>
      </c>
      <c r="G21" s="10">
        <v>19.079999999999998</v>
      </c>
      <c r="H21" s="10"/>
    </row>
    <row r="22" spans="1:8" x14ac:dyDescent="0.25">
      <c r="A22" t="str">
        <f>IF(Input!A23="","",Input!A23)</f>
        <v>Pactive MPS 5</v>
      </c>
      <c r="B22" s="1"/>
      <c r="C22" s="10">
        <v>0.68</v>
      </c>
      <c r="D22" s="10">
        <v>0.69</v>
      </c>
      <c r="E22" s="10">
        <v>3.07</v>
      </c>
      <c r="F22" s="10">
        <v>24.62</v>
      </c>
      <c r="G22" s="10">
        <v>26.73</v>
      </c>
      <c r="H22" s="10"/>
    </row>
    <row r="23" spans="1:8" x14ac:dyDescent="0.25">
      <c r="A23" t="str">
        <f>IF(Input!A24="","",Input!A24)</f>
        <v>Pactive MPS 6</v>
      </c>
      <c r="B23" s="1"/>
      <c r="C23" s="10">
        <v>0.69</v>
      </c>
      <c r="D23" s="10">
        <v>-0.74</v>
      </c>
      <c r="E23" s="10">
        <v>1.52</v>
      </c>
      <c r="F23" s="10">
        <v>25.81</v>
      </c>
      <c r="G23" s="10">
        <v>29.56</v>
      </c>
      <c r="H23" s="10"/>
    </row>
    <row r="24" spans="1:8" x14ac:dyDescent="0.25">
      <c r="A24" t="str">
        <f>IF(Input!A25="","",Input!A25)</f>
        <v>Responsible MPS 1</v>
      </c>
      <c r="B24" s="1"/>
      <c r="C24" s="10">
        <v>0.38</v>
      </c>
      <c r="D24" s="10">
        <v>-1.1599999999999999</v>
      </c>
      <c r="E24" s="10">
        <v>-7.5</v>
      </c>
      <c r="F24" s="10"/>
      <c r="G24" s="10"/>
      <c r="H24" s="10"/>
    </row>
    <row r="25" spans="1:8" x14ac:dyDescent="0.25">
      <c r="A25" t="str">
        <f>IF(Input!A26="","",Input!A26)</f>
        <v>Responsible MPS 2</v>
      </c>
      <c r="B25" s="7"/>
      <c r="C25" s="10">
        <v>0.39</v>
      </c>
      <c r="D25" s="10">
        <v>0.69</v>
      </c>
      <c r="E25" s="10">
        <v>7.07</v>
      </c>
      <c r="F25" s="10"/>
      <c r="G25" s="10"/>
      <c r="H25" s="10"/>
    </row>
    <row r="26" spans="1:8" x14ac:dyDescent="0.25">
      <c r="A26" t="str">
        <f>IF(Input!A27="","",Input!A27)</f>
        <v>Responsible MPS 3</v>
      </c>
      <c r="B26" s="7"/>
      <c r="C26" s="10">
        <v>0.4</v>
      </c>
      <c r="D26" s="10">
        <v>-1.3</v>
      </c>
      <c r="E26" s="10">
        <v>-6.38</v>
      </c>
      <c r="F26" s="10"/>
      <c r="G26" s="10"/>
      <c r="H26" s="10"/>
    </row>
    <row r="27" spans="1:8" x14ac:dyDescent="0.25">
      <c r="A27" t="str">
        <f>IF(Input!A28="","",Input!A28)</f>
        <v>Responsible MPS 4</v>
      </c>
      <c r="B27" s="7"/>
      <c r="C27" s="10">
        <v>0.41</v>
      </c>
      <c r="D27" s="10">
        <v>-0.49</v>
      </c>
      <c r="E27" s="10">
        <v>-5.61</v>
      </c>
      <c r="F27" s="10"/>
      <c r="G27" s="10"/>
      <c r="H27" s="10"/>
    </row>
    <row r="28" spans="1:8" x14ac:dyDescent="0.25">
      <c r="A28" t="str">
        <f>IF(Input!A29="","",Input!A29)</f>
        <v>Responsible MPS 5</v>
      </c>
      <c r="B28" s="7"/>
      <c r="C28" s="10">
        <v>0.44</v>
      </c>
      <c r="D28" s="10">
        <v>-0.36</v>
      </c>
      <c r="E28" s="10">
        <v>-4.13</v>
      </c>
      <c r="F28" s="10"/>
      <c r="G28" s="10"/>
      <c r="H28" s="10"/>
    </row>
    <row r="29" spans="1:8" x14ac:dyDescent="0.25">
      <c r="A29" t="str">
        <f>IF(Input!A30="","",Input!A30)</f>
        <v>Responsible MPS 6</v>
      </c>
      <c r="B29" s="7"/>
      <c r="C29" s="10">
        <v>0.44</v>
      </c>
      <c r="D29" s="10">
        <v>-2.17</v>
      </c>
      <c r="E29" s="10">
        <v>-7.48</v>
      </c>
      <c r="F29" s="10"/>
      <c r="G29" s="10"/>
      <c r="H29" s="10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E15" sqref="E15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11.28515625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5">
        <v>0.16</v>
      </c>
      <c r="M2" s="5">
        <v>0.02</v>
      </c>
      <c r="N2" s="5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/>
      <c r="L3" s="5">
        <v>0.08</v>
      </c>
      <c r="M3" s="5">
        <v>0.02</v>
      </c>
      <c r="N3" s="5">
        <f t="shared" ref="N3:N29" si="0">SUM(B3:M3)</f>
        <v>0.95000000000000007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0.06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5">
        <v>0.04</v>
      </c>
      <c r="M4" s="5">
        <v>0.02</v>
      </c>
      <c r="N4" s="5">
        <f t="shared" si="0"/>
        <v>0.9900000000000001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5"/>
      <c r="M5" s="5">
        <v>0.02</v>
      </c>
      <c r="N5" s="5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5"/>
      <c r="M6" s="5">
        <v>0.02</v>
      </c>
      <c r="N6" s="5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5"/>
      <c r="M7" s="5">
        <v>0.02</v>
      </c>
      <c r="N7" s="5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MPS Income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5">
        <v>0.04</v>
      </c>
      <c r="M8" s="5">
        <v>0.02</v>
      </c>
      <c r="N8" s="5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MPS Income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5"/>
      <c r="M9" s="5">
        <v>0.02</v>
      </c>
      <c r="N9" s="5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5">
        <v>0.16</v>
      </c>
      <c r="M10" s="5">
        <v>0.02</v>
      </c>
      <c r="N10" s="5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5">
        <v>0.08</v>
      </c>
      <c r="M11" s="5">
        <v>0.02</v>
      </c>
      <c r="N11" s="5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5">
        <v>0.04</v>
      </c>
      <c r="M12" s="5">
        <v>0.02</v>
      </c>
      <c r="N12" s="5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5"/>
      <c r="M13" s="5">
        <v>0.02</v>
      </c>
      <c r="N13" s="5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5"/>
      <c r="M14" s="5">
        <v>0.02</v>
      </c>
      <c r="N14" s="5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5"/>
      <c r="M15" s="5">
        <v>0.02</v>
      </c>
      <c r="N15" s="5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MPS Income 1</v>
      </c>
      <c r="B16" s="5">
        <v>0.16</v>
      </c>
      <c r="C16" s="5">
        <v>0.14000000000000001</v>
      </c>
      <c r="D16" s="5"/>
      <c r="E16" s="5">
        <v>0.06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5">
        <v>0.04</v>
      </c>
      <c r="M16" s="5">
        <v>0.02</v>
      </c>
      <c r="N16" s="5">
        <f t="shared" si="0"/>
        <v>0.9900000000000001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MPS Income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5"/>
      <c r="M17" s="5">
        <v>0.02</v>
      </c>
      <c r="N17" s="5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5">
        <v>0.08</v>
      </c>
      <c r="M18" s="5">
        <v>0.1082</v>
      </c>
      <c r="N18" s="5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5">
        <v>0.04</v>
      </c>
      <c r="M19" s="5">
        <v>6.9000000000000006E-2</v>
      </c>
      <c r="N19" s="5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5.9400000000000001E-2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5">
        <v>0.02</v>
      </c>
      <c r="M20" s="5">
        <v>4.9400000000000006E-2</v>
      </c>
      <c r="N20" s="5">
        <f t="shared" si="0"/>
        <v>1.0145999999999999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8" customFormat="1" x14ac:dyDescent="0.25">
      <c r="A21" s="8" t="str">
        <f>IF(Input!A22="","",Input!A22)</f>
        <v>Pactive MPS 4</v>
      </c>
      <c r="B21" s="12">
        <v>2.9700000000000001E-2</v>
      </c>
      <c r="C21" s="11">
        <v>0.19800000000000001</v>
      </c>
      <c r="D21" s="11">
        <v>2.9700000000000001E-2</v>
      </c>
      <c r="E21" s="11">
        <v>7.980000000000001E-2</v>
      </c>
      <c r="F21" s="11">
        <v>4.9500000000000002E-2</v>
      </c>
      <c r="G21" s="11">
        <v>0.13800000000000001</v>
      </c>
      <c r="H21" s="11"/>
      <c r="I21" s="11">
        <v>7.9199999999999993E-2</v>
      </c>
      <c r="J21" s="11">
        <v>0.16829999999999998</v>
      </c>
      <c r="K21" s="11">
        <v>2.9700000000000001E-2</v>
      </c>
      <c r="L21" s="11"/>
      <c r="M21" s="11">
        <v>2.98E-2</v>
      </c>
      <c r="N21" s="11">
        <f t="shared" si="0"/>
        <v>0.83170000000000011</v>
      </c>
      <c r="O21" s="11"/>
      <c r="P21" s="11"/>
      <c r="Q21" s="11"/>
      <c r="R21" s="11"/>
      <c r="T21" s="11"/>
      <c r="U21" s="11"/>
      <c r="W21" s="11"/>
      <c r="X21" s="11"/>
      <c r="Y21" s="11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5"/>
      <c r="M22" s="5">
        <v>2.98E-2</v>
      </c>
      <c r="N22" s="5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5"/>
      <c r="M23" s="5">
        <v>2.98E-2</v>
      </c>
      <c r="N23" s="5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5">
        <v>0.16</v>
      </c>
      <c r="M24" s="5">
        <v>2.5000000000000001E-2</v>
      </c>
      <c r="N24" s="5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5">
        <v>0.08</v>
      </c>
      <c r="M25" s="5">
        <v>2.5000000000000001E-2</v>
      </c>
      <c r="N25" s="5">
        <f t="shared" si="0"/>
        <v>1</v>
      </c>
      <c r="O25" s="5"/>
      <c r="P25" s="5"/>
      <c r="R25" s="5"/>
      <c r="U25" s="5"/>
      <c r="W25" s="5"/>
      <c r="AB25" s="5"/>
    </row>
    <row r="26" spans="1:29" s="8" customFormat="1" x14ac:dyDescent="0.25">
      <c r="A26" s="8" t="str">
        <f>IF(Input!A27="","",Input!A27)</f>
        <v>Responsible MPS 3</v>
      </c>
      <c r="B26" s="12">
        <v>1.2500000000000001E-2</v>
      </c>
      <c r="C26" s="11">
        <v>0.14000000000000001</v>
      </c>
      <c r="D26" s="11">
        <v>1.2500000000000001E-2</v>
      </c>
      <c r="E26" s="11">
        <v>2.75E-2</v>
      </c>
      <c r="F26" s="11">
        <v>0.06</v>
      </c>
      <c r="G26" s="11">
        <v>0.15</v>
      </c>
      <c r="H26" s="11">
        <v>0.03</v>
      </c>
      <c r="I26" s="11">
        <v>0.1</v>
      </c>
      <c r="J26" s="11">
        <v>0.20499999999999999</v>
      </c>
      <c r="K26" s="11">
        <v>4.7500000000000001E-2</v>
      </c>
      <c r="L26" s="11">
        <v>0.04</v>
      </c>
      <c r="M26" s="11">
        <v>2.5000000000000001E-2</v>
      </c>
      <c r="N26" s="11">
        <f t="shared" si="0"/>
        <v>0.85000000000000009</v>
      </c>
      <c r="O26" s="11"/>
      <c r="P26" s="11"/>
      <c r="R26" s="11"/>
      <c r="U26" s="11"/>
      <c r="W26" s="11"/>
      <c r="AB26" s="11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5"/>
      <c r="M27" s="5">
        <v>2.5000000000000001E-2</v>
      </c>
      <c r="N27" s="5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5"/>
      <c r="M28" s="5">
        <v>2.5000000000000001E-2</v>
      </c>
      <c r="N28" s="5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5"/>
      <c r="M29" s="5">
        <v>2.5000000000000001E-2</v>
      </c>
      <c r="N29" s="5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N33" s="5"/>
      <c r="O33" s="5"/>
      <c r="P33" s="5"/>
      <c r="Q33" s="5"/>
      <c r="R33" s="5"/>
      <c r="S33" s="5"/>
      <c r="T33" s="5"/>
    </row>
    <row r="34" spans="1:27" x14ac:dyDescent="0.25">
      <c r="N34" s="5"/>
      <c r="P34" s="5"/>
      <c r="Q34" s="5"/>
      <c r="R34" s="5"/>
      <c r="S34" s="5"/>
      <c r="AA34" s="5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/>
  </sheetViews>
  <sheetFormatPr defaultRowHeight="15" x14ac:dyDescent="0.25"/>
  <cols>
    <col min="1" max="1" width="30.140625" bestFit="1" customWidth="1"/>
    <col min="4" max="4" width="8.7109375" style="8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60</v>
      </c>
      <c r="C2" t="s">
        <v>61</v>
      </c>
      <c r="D2" s="8" t="s">
        <v>62</v>
      </c>
    </row>
    <row r="3" spans="1:5" x14ac:dyDescent="0.25">
      <c r="A3" t="str">
        <f>IF(Input!A4="","",Input!A4)</f>
        <v>Passive MPS 2</v>
      </c>
      <c r="B3" t="s">
        <v>60</v>
      </c>
      <c r="C3" t="s">
        <v>61</v>
      </c>
      <c r="D3" s="8" t="s">
        <v>62</v>
      </c>
    </row>
    <row r="4" spans="1:5" x14ac:dyDescent="0.25">
      <c r="A4" t="str">
        <f>IF(Input!A5="","",Input!A5)</f>
        <v>Passive MPS 3</v>
      </c>
      <c r="B4" t="s">
        <v>60</v>
      </c>
      <c r="C4" t="s">
        <v>61</v>
      </c>
      <c r="D4" s="8" t="s">
        <v>62</v>
      </c>
    </row>
    <row r="5" spans="1:5" x14ac:dyDescent="0.25">
      <c r="A5" t="str">
        <f>IF(Input!A6="","",Input!A6)</f>
        <v>Passive MPS 4</v>
      </c>
      <c r="B5" t="s">
        <v>60</v>
      </c>
      <c r="C5" t="s">
        <v>61</v>
      </c>
      <c r="D5" s="8" t="s">
        <v>62</v>
      </c>
    </row>
    <row r="6" spans="1:5" x14ac:dyDescent="0.25">
      <c r="A6" t="str">
        <f>IF(Input!A7="","",Input!A7)</f>
        <v>Passive MPS 5</v>
      </c>
      <c r="B6" t="s">
        <v>60</v>
      </c>
      <c r="C6" t="s">
        <v>61</v>
      </c>
      <c r="D6" s="8" t="s">
        <v>62</v>
      </c>
    </row>
    <row r="7" spans="1:5" x14ac:dyDescent="0.25">
      <c r="A7" t="str">
        <f>IF(Input!A8="","",Input!A8)</f>
        <v>Passive MPS 6</v>
      </c>
      <c r="B7" t="s">
        <v>60</v>
      </c>
      <c r="C7" t="s">
        <v>61</v>
      </c>
      <c r="D7" s="8" t="s">
        <v>62</v>
      </c>
    </row>
    <row r="8" spans="1:5" x14ac:dyDescent="0.25">
      <c r="A8" t="str">
        <f>IF(Input!A9="","",Input!A9)</f>
        <v>Passive MPS Income 1</v>
      </c>
      <c r="B8" t="s">
        <v>60</v>
      </c>
      <c r="C8" t="s">
        <v>61</v>
      </c>
      <c r="D8" s="8" t="s">
        <v>62</v>
      </c>
    </row>
    <row r="9" spans="1:5" x14ac:dyDescent="0.25">
      <c r="A9" t="str">
        <f>IF(Input!A10="","",Input!A10)</f>
        <v>Passive MPS Income 2</v>
      </c>
      <c r="B9" t="s">
        <v>60</v>
      </c>
      <c r="C9" t="s">
        <v>61</v>
      </c>
      <c r="D9" s="8" t="s">
        <v>62</v>
      </c>
    </row>
    <row r="10" spans="1:5" x14ac:dyDescent="0.25">
      <c r="A10" t="str">
        <f>IF(Input!A11="","",Input!A11)</f>
        <v>Active MPS 1</v>
      </c>
      <c r="B10" t="s">
        <v>60</v>
      </c>
      <c r="C10" t="s">
        <v>61</v>
      </c>
      <c r="D10" s="8" t="s">
        <v>62</v>
      </c>
    </row>
    <row r="11" spans="1:5" x14ac:dyDescent="0.25">
      <c r="A11" t="str">
        <f>IF(Input!A12="","",Input!A12)</f>
        <v>Active MPS 2</v>
      </c>
      <c r="B11" t="s">
        <v>60</v>
      </c>
      <c r="C11" t="s">
        <v>61</v>
      </c>
      <c r="D11" s="8" t="s">
        <v>62</v>
      </c>
    </row>
    <row r="12" spans="1:5" x14ac:dyDescent="0.25">
      <c r="A12" t="str">
        <f>IF(Input!A13="","",Input!A13)</f>
        <v>Active MPS 3</v>
      </c>
      <c r="B12" t="s">
        <v>60</v>
      </c>
      <c r="C12" t="s">
        <v>61</v>
      </c>
      <c r="D12" s="8" t="s">
        <v>62</v>
      </c>
    </row>
    <row r="13" spans="1:5" x14ac:dyDescent="0.25">
      <c r="A13" t="str">
        <f>IF(Input!A14="","",Input!A14)</f>
        <v>Active MPS 4</v>
      </c>
      <c r="B13" t="s">
        <v>60</v>
      </c>
      <c r="C13" t="s">
        <v>61</v>
      </c>
      <c r="D13" s="8" t="s">
        <v>62</v>
      </c>
    </row>
    <row r="14" spans="1:5" x14ac:dyDescent="0.25">
      <c r="A14" t="str">
        <f>IF(Input!A15="","",Input!A15)</f>
        <v>Active MPS 5</v>
      </c>
      <c r="B14" t="s">
        <v>60</v>
      </c>
      <c r="C14" t="s">
        <v>61</v>
      </c>
      <c r="D14" s="8" t="s">
        <v>62</v>
      </c>
    </row>
    <row r="15" spans="1:5" x14ac:dyDescent="0.25">
      <c r="A15" t="str">
        <f>IF(Input!A16="","",Input!A16)</f>
        <v>Active MPS 6</v>
      </c>
      <c r="B15" t="s">
        <v>60</v>
      </c>
      <c r="C15" t="s">
        <v>61</v>
      </c>
      <c r="D15" s="8" t="s">
        <v>62</v>
      </c>
    </row>
    <row r="16" spans="1:5" x14ac:dyDescent="0.25">
      <c r="A16" t="str">
        <f>IF(Input!A17="","",Input!A17)</f>
        <v>Active MPS Income 1</v>
      </c>
      <c r="B16" t="s">
        <v>60</v>
      </c>
      <c r="C16" t="s">
        <v>61</v>
      </c>
      <c r="D16" s="8" t="s">
        <v>62</v>
      </c>
    </row>
    <row r="17" spans="1:4" x14ac:dyDescent="0.25">
      <c r="A17" t="str">
        <f>IF(Input!A18="","",Input!A18)</f>
        <v>Active MPS Income 2</v>
      </c>
      <c r="B17" t="s">
        <v>60</v>
      </c>
      <c r="C17" t="s">
        <v>61</v>
      </c>
      <c r="D17" s="8" t="s">
        <v>62</v>
      </c>
    </row>
    <row r="18" spans="1:4" x14ac:dyDescent="0.25">
      <c r="A18" t="str">
        <f>IF(Input!A19="","",Input!A19)</f>
        <v>Pactive MPS 1</v>
      </c>
      <c r="B18" t="s">
        <v>60</v>
      </c>
      <c r="C18" t="s">
        <v>61</v>
      </c>
      <c r="D18" s="8" t="s">
        <v>62</v>
      </c>
    </row>
    <row r="19" spans="1:4" x14ac:dyDescent="0.25">
      <c r="A19" t="str">
        <f>IF(Input!A20="","",Input!A20)</f>
        <v>Pactive MPS 2</v>
      </c>
      <c r="B19" t="s">
        <v>60</v>
      </c>
      <c r="C19" t="s">
        <v>61</v>
      </c>
      <c r="D19" s="8" t="s">
        <v>62</v>
      </c>
    </row>
    <row r="20" spans="1:4" x14ac:dyDescent="0.25">
      <c r="A20" t="str">
        <f>IF(Input!A21="","",Input!A21)</f>
        <v>Pactive MPS 3</v>
      </c>
      <c r="B20" t="s">
        <v>60</v>
      </c>
      <c r="C20" t="s">
        <v>61</v>
      </c>
      <c r="D20" s="8" t="s">
        <v>62</v>
      </c>
    </row>
    <row r="21" spans="1:4" x14ac:dyDescent="0.25">
      <c r="A21" t="str">
        <f>IF(Input!A22="","",Input!A22)</f>
        <v>Pactive MPS 4</v>
      </c>
      <c r="B21" t="s">
        <v>60</v>
      </c>
      <c r="C21" t="s">
        <v>61</v>
      </c>
      <c r="D21" s="8" t="s">
        <v>62</v>
      </c>
    </row>
    <row r="22" spans="1:4" x14ac:dyDescent="0.25">
      <c r="A22" t="str">
        <f>IF(Input!A23="","",Input!A23)</f>
        <v>Pactive MPS 5</v>
      </c>
      <c r="B22" t="s">
        <v>60</v>
      </c>
      <c r="C22" t="s">
        <v>61</v>
      </c>
      <c r="D22" s="8" t="s">
        <v>62</v>
      </c>
    </row>
    <row r="23" spans="1:4" x14ac:dyDescent="0.25">
      <c r="A23" t="str">
        <f>IF(Input!A24="","",Input!A24)</f>
        <v>Pactive MPS 6</v>
      </c>
      <c r="B23" t="s">
        <v>60</v>
      </c>
      <c r="C23" t="s">
        <v>61</v>
      </c>
      <c r="D23" s="8" t="s">
        <v>62</v>
      </c>
    </row>
    <row r="24" spans="1:4" x14ac:dyDescent="0.25">
      <c r="A24" t="str">
        <f>IF(Input!A25="","",Input!A25)</f>
        <v>Responsible MPS 1</v>
      </c>
      <c r="B24" t="s">
        <v>60</v>
      </c>
      <c r="C24" t="s">
        <v>61</v>
      </c>
      <c r="D24" s="8" t="s">
        <v>62</v>
      </c>
    </row>
    <row r="25" spans="1:4" x14ac:dyDescent="0.25">
      <c r="A25" t="str">
        <f>IF(Input!A26="","",Input!A26)</f>
        <v>Responsible MPS 2</v>
      </c>
      <c r="B25" t="s">
        <v>60</v>
      </c>
      <c r="C25" t="s">
        <v>61</v>
      </c>
      <c r="D25" s="8" t="s">
        <v>62</v>
      </c>
    </row>
    <row r="26" spans="1:4" x14ac:dyDescent="0.25">
      <c r="A26" t="str">
        <f>IF(Input!A27="","",Input!A27)</f>
        <v>Responsible MPS 3</v>
      </c>
      <c r="B26" t="s">
        <v>60</v>
      </c>
      <c r="C26" t="s">
        <v>61</v>
      </c>
      <c r="D26" s="8" t="s">
        <v>62</v>
      </c>
    </row>
    <row r="27" spans="1:4" x14ac:dyDescent="0.25">
      <c r="A27" t="str">
        <f>IF(Input!A28="","",Input!A28)</f>
        <v>Responsible MPS 4</v>
      </c>
      <c r="B27" t="s">
        <v>60</v>
      </c>
      <c r="C27" t="s">
        <v>61</v>
      </c>
      <c r="D27" s="8" t="s">
        <v>62</v>
      </c>
    </row>
    <row r="28" spans="1:4" x14ac:dyDescent="0.25">
      <c r="A28" t="str">
        <f>IF(Input!A29="","",Input!A29)</f>
        <v>Responsible MPS 5</v>
      </c>
      <c r="B28" t="s">
        <v>60</v>
      </c>
      <c r="C28" t="s">
        <v>61</v>
      </c>
      <c r="D28" s="8" t="s">
        <v>62</v>
      </c>
    </row>
    <row r="29" spans="1:4" x14ac:dyDescent="0.25">
      <c r="A29" t="str">
        <f>IF(Input!A30="","",Input!A30)</f>
        <v>Responsible MPS 6</v>
      </c>
      <c r="B29" t="s">
        <v>60</v>
      </c>
      <c r="C29" t="s">
        <v>61</v>
      </c>
      <c r="D29" s="8" t="s">
        <v>62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63</v>
      </c>
    </row>
    <row r="2" spans="1:5" x14ac:dyDescent="0.25">
      <c r="A2" t="str">
        <f>IF(Input!A3="","",Input!A3)</f>
        <v>Passive MPS 1</v>
      </c>
      <c r="B2">
        <f>IF(A2="","",'Additional Information'!F2)</f>
        <v>2.41</v>
      </c>
      <c r="C2">
        <f>IF(A2="","",'Additional Information'!E2)</f>
        <v>-4.1500000000000004</v>
      </c>
      <c r="D2" s="5">
        <f>IF(A2="","",SUM('Additional Information'!C2,'Additional Information'!D2))</f>
        <v>-0.89999999999999991</v>
      </c>
    </row>
    <row r="3" spans="1:5" x14ac:dyDescent="0.25">
      <c r="A3" t="str">
        <f>IF(Input!A4="","",Input!A4)</f>
        <v>Passive MPS 2</v>
      </c>
      <c r="B3">
        <f>IF(A3="","",'Additional Information'!F3)</f>
        <v>7.42</v>
      </c>
      <c r="C3">
        <f>IF(A3="","",'Additional Information'!E3)</f>
        <v>2.66</v>
      </c>
      <c r="D3" s="5">
        <f>IF(A3="","",SUM('Additional Information'!C3,'Additional Information'!D3))</f>
        <v>0.46</v>
      </c>
    </row>
    <row r="4" spans="1:5" x14ac:dyDescent="0.25">
      <c r="A4" t="str">
        <f>IF(Input!A5="","",Input!A5)</f>
        <v>Passive MPS 3</v>
      </c>
      <c r="B4">
        <f>IF(A4="","",'Additional Information'!F4)</f>
        <v>15.29</v>
      </c>
      <c r="C4">
        <f>IF(A4="","",'Additional Information'!E4)</f>
        <v>1.77</v>
      </c>
      <c r="D4" s="5">
        <f>IF(A4="","",SUM('Additional Information'!C4,'Additional Information'!D4))</f>
        <v>0.86999999999999988</v>
      </c>
    </row>
    <row r="5" spans="1:5" x14ac:dyDescent="0.25">
      <c r="A5" t="str">
        <f>IF(Input!A6="","",Input!A6)</f>
        <v>Passive MPS 4</v>
      </c>
      <c r="B5">
        <f>IF(A5="","",'Additional Information'!F5)</f>
        <v>23.67</v>
      </c>
      <c r="C5">
        <f>IF(A5="","",'Additional Information'!E5)</f>
        <v>3.46</v>
      </c>
      <c r="D5" s="5">
        <f>IF(A5="","",SUM('Additional Information'!C5,'Additional Information'!D5))</f>
        <v>1.53</v>
      </c>
    </row>
    <row r="6" spans="1:5" x14ac:dyDescent="0.25">
      <c r="A6" t="str">
        <f>IF(Input!A7="","",Input!A7)</f>
        <v>Passive MPS 5</v>
      </c>
      <c r="B6">
        <f>IF(A6="","",'Additional Information'!F6)</f>
        <v>29.29</v>
      </c>
      <c r="C6">
        <f>IF(A6="","",'Additional Information'!E6)</f>
        <v>7.12</v>
      </c>
      <c r="D6" s="5">
        <f>IF(A6="","",SUM('Additional Information'!C6,'Additional Information'!D6))</f>
        <v>2.3499999999999996</v>
      </c>
    </row>
    <row r="7" spans="1:5" x14ac:dyDescent="0.25">
      <c r="A7" t="str">
        <f>IF(Input!A8="","",Input!A8)</f>
        <v>Passive MPS 6</v>
      </c>
      <c r="B7">
        <f>IF(A7="","",'Additional Information'!F7)</f>
        <v>29.11</v>
      </c>
      <c r="C7">
        <f>IF(A7="","",'Additional Information'!E7)</f>
        <v>4.7699999999999996</v>
      </c>
      <c r="D7" s="5">
        <f>IF(A7="","",SUM('Additional Information'!C7,'Additional Information'!D7))</f>
        <v>0.44999999999999996</v>
      </c>
    </row>
    <row r="8" spans="1:5" x14ac:dyDescent="0.25">
      <c r="A8" t="str">
        <f>IF(Input!A9="","",Input!A9)</f>
        <v>Passive MPS Income 1</v>
      </c>
      <c r="B8">
        <f>IF(A8="","",'Additional Information'!F8)</f>
        <v>0</v>
      </c>
      <c r="C8">
        <f>IF(A8="","",'Additional Information'!E8)</f>
        <v>5</v>
      </c>
      <c r="D8" s="5">
        <f>IF(A8="","",SUM('Additional Information'!C8,'Additional Information'!D8))</f>
        <v>3.38</v>
      </c>
    </row>
    <row r="9" spans="1:5" x14ac:dyDescent="0.25">
      <c r="A9" t="str">
        <f>IF(Input!A10="","",Input!A10)</f>
        <v>Passive MPS Income 2</v>
      </c>
      <c r="B9">
        <f>IF(A9="","",'Additional Information'!F9)</f>
        <v>0</v>
      </c>
      <c r="C9">
        <f>IF(A9="","",'Additional Information'!E9)</f>
        <v>5</v>
      </c>
      <c r="D9" s="5">
        <f>IF(A9="","",SUM('Additional Information'!C9,'Additional Information'!D9))</f>
        <v>3.43</v>
      </c>
    </row>
    <row r="10" spans="1:5" x14ac:dyDescent="0.25">
      <c r="A10" t="str">
        <f>IF(Input!A11="","",Input!A11)</f>
        <v>Active MPS 1</v>
      </c>
      <c r="B10">
        <f>IF(A10="","",'Additional Information'!F10)</f>
        <v>0.42</v>
      </c>
      <c r="C10">
        <f>IF(A10="","",'Additional Information'!E10)</f>
        <v>6.12</v>
      </c>
      <c r="D10" s="5">
        <f>IF(A10="","",SUM('Additional Information'!C10,'Additional Information'!D10))</f>
        <v>-0.8</v>
      </c>
    </row>
    <row r="11" spans="1:5" x14ac:dyDescent="0.25">
      <c r="A11" t="str">
        <f>IF(Input!A12="","",Input!A12)</f>
        <v>Active MPS 2</v>
      </c>
      <c r="B11">
        <f>IF(A11="","",'Additional Information'!F11)</f>
        <v>5.5</v>
      </c>
      <c r="C11">
        <f>IF(A11="","",'Additional Information'!E11)</f>
        <v>-5.0199999999999996</v>
      </c>
      <c r="D11" s="5">
        <f>IF(A11="","",SUM('Additional Information'!C11,'Additional Information'!D11))</f>
        <v>0.19000000000000006</v>
      </c>
    </row>
    <row r="12" spans="1:5" x14ac:dyDescent="0.25">
      <c r="A12" t="str">
        <f>IF(Input!A13="","",Input!A13)</f>
        <v>Active MPS 3</v>
      </c>
      <c r="B12">
        <f>IF(A12="","",'Additional Information'!F12)</f>
        <v>12.99</v>
      </c>
      <c r="C12">
        <f>IF(A12="","",'Additional Information'!E12)</f>
        <v>-1.35</v>
      </c>
      <c r="D12" s="5">
        <f>IF(A12="","",SUM('Additional Information'!C12,'Additional Information'!D12))</f>
        <v>1.06</v>
      </c>
    </row>
    <row r="13" spans="1:5" x14ac:dyDescent="0.25">
      <c r="A13" t="str">
        <f>IF(Input!A14="","",Input!A14)</f>
        <v>Active MPS 4</v>
      </c>
      <c r="B13">
        <f>IF(A13="","",'Additional Information'!F13)</f>
        <v>15.18</v>
      </c>
      <c r="C13">
        <f>IF(A13="","",'Additional Information'!E13)</f>
        <v>-2.62</v>
      </c>
      <c r="D13" s="5">
        <f>IF(A13="","",SUM('Additional Information'!C13,'Additional Information'!D13))</f>
        <v>0.75</v>
      </c>
    </row>
    <row r="14" spans="1:5" x14ac:dyDescent="0.25">
      <c r="A14" t="str">
        <f>IF(Input!A15="","",Input!A15)</f>
        <v>Active MPS 5</v>
      </c>
      <c r="B14">
        <f>IF(A14="","",'Additional Information'!F14)</f>
        <v>21.21</v>
      </c>
      <c r="C14">
        <f>IF(A14="","",'Additional Information'!E14)</f>
        <v>-0.73</v>
      </c>
      <c r="D14" s="5">
        <f>IF(A14="","",SUM('Additional Information'!C14,'Additional Information'!D14))</f>
        <v>0.98</v>
      </c>
    </row>
    <row r="15" spans="1:5" x14ac:dyDescent="0.25">
      <c r="A15" t="str">
        <f>IF(Input!A16="","",Input!A16)</f>
        <v>Active MPS 6</v>
      </c>
      <c r="B15">
        <f>IF(A15="","",'Additional Information'!F15)</f>
        <v>25.18</v>
      </c>
      <c r="C15">
        <f>IF(A15="","",'Additional Information'!E15)</f>
        <v>-0.82</v>
      </c>
      <c r="D15" s="5">
        <f>IF(A15="","",SUM('Additional Information'!C15,'Additional Information'!D15))</f>
        <v>0.2400000000000001</v>
      </c>
    </row>
    <row r="16" spans="1:5" x14ac:dyDescent="0.25">
      <c r="A16" t="str">
        <f>IF(Input!A17="","",Input!A17)</f>
        <v>Active MPS Income 1</v>
      </c>
      <c r="B16">
        <f>IF(A16="","",'Additional Information'!F16)</f>
        <v>0</v>
      </c>
      <c r="C16">
        <f>IF(A16="","",'Additional Information'!E16)</f>
        <v>5</v>
      </c>
      <c r="D16" s="5">
        <f>IF(A16="","",SUM('Additional Information'!C16,'Additional Information'!D16))</f>
        <v>3.73</v>
      </c>
    </row>
    <row r="17" spans="1:4" x14ac:dyDescent="0.25">
      <c r="A17" t="str">
        <f>IF(Input!A18="","",Input!A18)</f>
        <v>Active MPS Income 2</v>
      </c>
      <c r="B17">
        <f>IF(A17="","",'Additional Information'!F17)</f>
        <v>0</v>
      </c>
      <c r="C17">
        <f>IF(A17="","",'Additional Information'!E17)</f>
        <v>5</v>
      </c>
      <c r="D17" s="5">
        <f>IF(A17="","",SUM('Additional Information'!C17,'Additional Information'!D17))</f>
        <v>3.81</v>
      </c>
    </row>
    <row r="18" spans="1:4" x14ac:dyDescent="0.25">
      <c r="A18" t="str">
        <f>IF(Input!A19="","",Input!A19)</f>
        <v>Pactive MPS 1</v>
      </c>
      <c r="B18">
        <f>IF(A18="","",'Additional Information'!F18)</f>
        <v>0.28000000000000003</v>
      </c>
      <c r="C18">
        <f>IF(A18="","",'Additional Information'!E18)</f>
        <v>5.75</v>
      </c>
      <c r="D18" s="5">
        <f>IF(A18="","",SUM('Additional Information'!C18,'Additional Information'!D18))</f>
        <v>-1.18</v>
      </c>
    </row>
    <row r="19" spans="1:4" x14ac:dyDescent="0.25">
      <c r="A19" t="str">
        <f>IF(Input!A20="","",Input!A20)</f>
        <v>Pactive MPS 2</v>
      </c>
      <c r="B19">
        <f>IF(A19="","",'Additional Information'!F19)</f>
        <v>5.49</v>
      </c>
      <c r="C19">
        <f>IF(A19="","",'Additional Information'!E19)</f>
        <v>-4.38</v>
      </c>
      <c r="D19" s="5">
        <f>IF(A19="","",SUM('Additional Information'!C19,'Additional Information'!D19))</f>
        <v>-0.26</v>
      </c>
    </row>
    <row r="20" spans="1:4" x14ac:dyDescent="0.25">
      <c r="A20" t="str">
        <f>IF(Input!A21="","",Input!A21)</f>
        <v>Pactive MPS 3</v>
      </c>
      <c r="B20">
        <f>IF(A20="","",'Additional Information'!F20)</f>
        <v>13.25</v>
      </c>
      <c r="C20">
        <f>IF(A20="","",'Additional Information'!E20)</f>
        <v>-0.22</v>
      </c>
      <c r="D20" s="5">
        <f>IF(A20="","",SUM('Additional Information'!C20,'Additional Information'!D20))</f>
        <v>0.56999999999999995</v>
      </c>
    </row>
    <row r="21" spans="1:4" x14ac:dyDescent="0.25">
      <c r="A21" t="str">
        <f>IF(Input!A22="","",Input!A22)</f>
        <v>Pactive MPS 4</v>
      </c>
      <c r="B21">
        <f>IF(A21="","",'Additional Information'!F21)</f>
        <v>17.75</v>
      </c>
      <c r="C21">
        <f>IF(A21="","",'Additional Information'!E21)</f>
        <v>0.4</v>
      </c>
      <c r="D21" s="5">
        <f>IF(A21="","",SUM('Additional Information'!C21,'Additional Information'!D21))</f>
        <v>0.73</v>
      </c>
    </row>
    <row r="22" spans="1:4" x14ac:dyDescent="0.25">
      <c r="A22" t="str">
        <f>IF(Input!A23="","",Input!A23)</f>
        <v>Pactive MPS 5</v>
      </c>
      <c r="B22">
        <f>IF(A22="","",'Additional Information'!F22)</f>
        <v>24.62</v>
      </c>
      <c r="C22">
        <f>IF(A22="","",'Additional Information'!E22)</f>
        <v>3.07</v>
      </c>
      <c r="D22" s="5">
        <f>IF(A22="","",SUM('Additional Information'!C22,'Additional Information'!D22))</f>
        <v>1.37</v>
      </c>
    </row>
    <row r="23" spans="1:4" x14ac:dyDescent="0.25">
      <c r="A23" t="str">
        <f>IF(Input!A24="","",Input!A24)</f>
        <v>Pactive MPS 6</v>
      </c>
      <c r="B23">
        <f>IF(A23="","",'Additional Information'!F23)</f>
        <v>25.81</v>
      </c>
      <c r="C23">
        <f>IF(A23="","",'Additional Information'!E23)</f>
        <v>1.52</v>
      </c>
      <c r="D23" s="5">
        <f>IF(A23="","",SUM('Additional Information'!C23,'Additional Information'!D23))</f>
        <v>-5.0000000000000044E-2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-7.5</v>
      </c>
      <c r="D24" s="5">
        <f>IF(A24="","",SUM('Additional Information'!C24,'Additional Information'!D24))</f>
        <v>-0.77999999999999992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7.07</v>
      </c>
      <c r="D25" s="5">
        <f>IF(A25="","",SUM('Additional Information'!C25,'Additional Information'!D25))</f>
        <v>1.08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-6.38</v>
      </c>
      <c r="D26" s="5">
        <f>IF(A26="","",SUM('Additional Information'!C26,'Additional Information'!D26))</f>
        <v>-0.9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-5.61</v>
      </c>
      <c r="D27" s="5">
        <f>IF(A27="","",SUM('Additional Information'!C27,'Additional Information'!D27))</f>
        <v>-8.0000000000000016E-2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-4.13</v>
      </c>
      <c r="D28" s="5">
        <f>IF(A28="","",SUM('Additional Information'!C28,'Additional Information'!D28))</f>
        <v>8.0000000000000016E-2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-7.48</v>
      </c>
      <c r="D29" s="5">
        <f>IF(A29="","",SUM('Additional Information'!C29,'Additional Information'!D29))</f>
        <v>-1.73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0.09</v>
      </c>
      <c r="G4">
        <f>IF(A4="","",SUM('Asset Allocation'!D4))</f>
        <v>0</v>
      </c>
      <c r="H4">
        <f t="shared" si="0"/>
        <v>0.42999999999999994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MPS Income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MPS Income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MPS Income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0.09</v>
      </c>
      <c r="G16">
        <f>IF(A16="","",SUM('Asset Allocation'!D16))</f>
        <v>0</v>
      </c>
      <c r="H16">
        <f t="shared" si="0"/>
        <v>0.42999999999999994</v>
      </c>
    </row>
    <row r="17" spans="1:8" x14ac:dyDescent="0.25">
      <c r="A17" t="str">
        <f>IF(Input!A18="","",Input!A18)</f>
        <v>Active MPS Income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8.9099999999999999E-2</v>
      </c>
      <c r="G20">
        <f>IF(A20="","",SUM('Asset Allocation'!D20))</f>
        <v>0</v>
      </c>
      <c r="H20">
        <f t="shared" si="0"/>
        <v>0.41120000000000001</v>
      </c>
    </row>
    <row r="21" spans="1:8" x14ac:dyDescent="0.25">
      <c r="A21" t="str">
        <f>IF(Input!A22="","",Input!A22)</f>
        <v>Pactive MPS 4</v>
      </c>
      <c r="B21">
        <f>IF(A21="","",SUM('Asset Allocation'!B21))</f>
        <v>2.9700000000000001E-2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0.47530000000000006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1.2500000000000001E-2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0.5675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0.95000000000000007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0.9900000000000001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MPS Income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MPS Income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0.9900000000000001</v>
      </c>
    </row>
    <row r="17" spans="1:8" x14ac:dyDescent="0.2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1.0145999999999999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0.83170000000000011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0.85000000000000009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64</v>
      </c>
      <c r="G1" t="s">
        <v>17</v>
      </c>
      <c r="H1" t="s">
        <v>65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MPS Income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MPS Income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MPS Income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MPS Income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2023-09-27T22:15:38Z</dcterms:modified>
</cp:coreProperties>
</file>