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26\Documents\IONOS HiDrive\Mabel Insights\DFM\AJ Bell\"/>
    </mc:Choice>
  </mc:AlternateContent>
  <xr:revisionPtr revIDLastSave="0" documentId="13_ncr:1_{5F21BA1B-E07B-467B-A742-3A9079645C58}" xr6:coauthVersionLast="47" xr6:coauthVersionMax="47" xr10:uidLastSave="{00000000-0000-0000-0000-000000000000}"/>
  <bookViews>
    <workbookView xWindow="-110" yWindow="-110" windowWidth="19420" windowHeight="10300" activeTab="2" xr2:uid="{6472F16B-E6C9-4D85-9AAC-E7E1930420F2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35" l="1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H39" i="8" l="1"/>
  <c r="B1" i="37" a="1"/>
  <c r="B1" i="37" s="1"/>
  <c r="D5" i="7"/>
  <c r="B5" i="7"/>
  <c r="E5" i="7"/>
  <c r="F5" i="7"/>
  <c r="G5" i="7"/>
  <c r="C5" i="7"/>
  <c r="H5" i="7"/>
  <c r="B13" i="7"/>
  <c r="E13" i="7"/>
  <c r="F13" i="7"/>
  <c r="G13" i="7"/>
  <c r="C13" i="7"/>
  <c r="H13" i="7"/>
  <c r="D13" i="7"/>
  <c r="B21" i="7"/>
  <c r="E21" i="7"/>
  <c r="F21" i="7"/>
  <c r="G21" i="7"/>
  <c r="D21" i="7"/>
  <c r="C21" i="7"/>
  <c r="H21" i="7"/>
  <c r="B29" i="7"/>
  <c r="E29" i="7"/>
  <c r="F29" i="7"/>
  <c r="G29" i="7"/>
  <c r="H29" i="7"/>
  <c r="D29" i="7"/>
  <c r="C29" i="7"/>
  <c r="B37" i="7"/>
  <c r="E37" i="7"/>
  <c r="F37" i="7"/>
  <c r="G37" i="7"/>
  <c r="H37" i="7"/>
  <c r="C37" i="7"/>
  <c r="D37" i="7"/>
  <c r="B45" i="7"/>
  <c r="E45" i="7"/>
  <c r="F45" i="7"/>
  <c r="G45" i="7"/>
  <c r="D45" i="7"/>
  <c r="C45" i="7"/>
  <c r="H45" i="7"/>
  <c r="D6" i="7"/>
  <c r="C6" i="7"/>
  <c r="E6" i="7"/>
  <c r="G6" i="7"/>
  <c r="H6" i="7"/>
  <c r="B6" i="7"/>
  <c r="F6" i="7"/>
  <c r="C14" i="7"/>
  <c r="E14" i="7"/>
  <c r="G14" i="7"/>
  <c r="H14" i="7"/>
  <c r="B14" i="7"/>
  <c r="D14" i="7"/>
  <c r="F14" i="7"/>
  <c r="C22" i="7"/>
  <c r="E22" i="7"/>
  <c r="G22" i="7"/>
  <c r="H22" i="7"/>
  <c r="F22" i="7"/>
  <c r="D22" i="7"/>
  <c r="B22" i="7"/>
  <c r="C30" i="7"/>
  <c r="E30" i="7"/>
  <c r="G30" i="7"/>
  <c r="H30" i="7"/>
  <c r="B30" i="7"/>
  <c r="F30" i="7"/>
  <c r="D30" i="7"/>
  <c r="C38" i="7"/>
  <c r="E38" i="7"/>
  <c r="G38" i="7"/>
  <c r="H38" i="7"/>
  <c r="F38" i="7"/>
  <c r="B38" i="7"/>
  <c r="D38" i="7"/>
  <c r="C46" i="7"/>
  <c r="E46" i="7"/>
  <c r="G46" i="7"/>
  <c r="H46" i="7"/>
  <c r="B46" i="7"/>
  <c r="F46" i="7"/>
  <c r="D46" i="7"/>
  <c r="D7" i="7"/>
  <c r="F7" i="7"/>
  <c r="G7" i="7"/>
  <c r="B7" i="7"/>
  <c r="C7" i="7"/>
  <c r="H7" i="7"/>
  <c r="E7" i="7"/>
  <c r="D15" i="7"/>
  <c r="F15" i="7"/>
  <c r="G15" i="7"/>
  <c r="B15" i="7"/>
  <c r="E15" i="7"/>
  <c r="H15" i="7"/>
  <c r="C15" i="7"/>
  <c r="D23" i="7"/>
  <c r="F23" i="7"/>
  <c r="G23" i="7"/>
  <c r="B23" i="7"/>
  <c r="C23" i="7"/>
  <c r="H23" i="7"/>
  <c r="E23" i="7"/>
  <c r="D31" i="7"/>
  <c r="F31" i="7"/>
  <c r="G31" i="7"/>
  <c r="B31" i="7"/>
  <c r="C31" i="7"/>
  <c r="E31" i="7"/>
  <c r="H31" i="7"/>
  <c r="D39" i="7"/>
  <c r="F39" i="7"/>
  <c r="G39" i="7"/>
  <c r="B39" i="7"/>
  <c r="H39" i="7"/>
  <c r="C39" i="7"/>
  <c r="E39" i="7"/>
  <c r="D47" i="7"/>
  <c r="F47" i="7"/>
  <c r="G47" i="7"/>
  <c r="B47" i="7"/>
  <c r="E47" i="7"/>
  <c r="H47" i="7"/>
  <c r="C47" i="7"/>
  <c r="H8" i="7"/>
  <c r="D8" i="7"/>
  <c r="B8" i="7"/>
  <c r="C8" i="7"/>
  <c r="E8" i="7"/>
  <c r="F8" i="7"/>
  <c r="G8" i="7"/>
  <c r="H16" i="7"/>
  <c r="D16" i="7"/>
  <c r="B16" i="7"/>
  <c r="C16" i="7"/>
  <c r="E16" i="7"/>
  <c r="G16" i="7"/>
  <c r="F16" i="7"/>
  <c r="H24" i="7"/>
  <c r="D24" i="7"/>
  <c r="B24" i="7"/>
  <c r="C24" i="7"/>
  <c r="E24" i="7"/>
  <c r="F24" i="7"/>
  <c r="G24" i="7"/>
  <c r="H32" i="7"/>
  <c r="D32" i="7"/>
  <c r="B32" i="7"/>
  <c r="C32" i="7"/>
  <c r="E32" i="7"/>
  <c r="F32" i="7"/>
  <c r="G32" i="7"/>
  <c r="H40" i="7"/>
  <c r="D40" i="7"/>
  <c r="B40" i="7"/>
  <c r="C40" i="7"/>
  <c r="E40" i="7"/>
  <c r="F40" i="7"/>
  <c r="G40" i="7"/>
  <c r="H48" i="7"/>
  <c r="D48" i="7"/>
  <c r="B48" i="7"/>
  <c r="E48" i="7"/>
  <c r="C48" i="7"/>
  <c r="F48" i="7"/>
  <c r="G48" i="7"/>
  <c r="B9" i="7"/>
  <c r="D9" i="7"/>
  <c r="E9" i="7"/>
  <c r="F9" i="7"/>
  <c r="G9" i="7"/>
  <c r="C9" i="7"/>
  <c r="H9" i="7"/>
  <c r="B17" i="7"/>
  <c r="E17" i="7"/>
  <c r="F17" i="7"/>
  <c r="G17" i="7"/>
  <c r="C17" i="7"/>
  <c r="H17" i="7"/>
  <c r="D17" i="7"/>
  <c r="B25" i="7"/>
  <c r="E25" i="7"/>
  <c r="F25" i="7"/>
  <c r="G25" i="7"/>
  <c r="H25" i="7"/>
  <c r="D25" i="7"/>
  <c r="C25" i="7"/>
  <c r="B33" i="7"/>
  <c r="E33" i="7"/>
  <c r="F33" i="7"/>
  <c r="G33" i="7"/>
  <c r="C33" i="7"/>
  <c r="H33" i="7"/>
  <c r="D33" i="7"/>
  <c r="B41" i="7"/>
  <c r="E41" i="7"/>
  <c r="G41" i="7"/>
  <c r="F41" i="7"/>
  <c r="D41" i="7"/>
  <c r="H41" i="7"/>
  <c r="C41" i="7"/>
  <c r="B49" i="7"/>
  <c r="E49" i="7"/>
  <c r="F49" i="7"/>
  <c r="G49" i="7"/>
  <c r="H49" i="7"/>
  <c r="D49" i="7"/>
  <c r="C49" i="7"/>
  <c r="E2" i="7"/>
  <c r="C2" i="7"/>
  <c r="D2" i="7"/>
  <c r="H2" i="7"/>
  <c r="G2" i="7"/>
  <c r="F2" i="7"/>
  <c r="B2" i="7"/>
  <c r="C10" i="7"/>
  <c r="E10" i="7"/>
  <c r="D10" i="7"/>
  <c r="G10" i="7"/>
  <c r="H10" i="7"/>
  <c r="F10" i="7"/>
  <c r="B10" i="7"/>
  <c r="C18" i="7"/>
  <c r="E18" i="7"/>
  <c r="D18" i="7"/>
  <c r="G18" i="7"/>
  <c r="H18" i="7"/>
  <c r="F18" i="7"/>
  <c r="B18" i="7"/>
  <c r="C26" i="7"/>
  <c r="E26" i="7"/>
  <c r="D26" i="7"/>
  <c r="G26" i="7"/>
  <c r="H26" i="7"/>
  <c r="B26" i="7"/>
  <c r="F26" i="7"/>
  <c r="C34" i="7"/>
  <c r="E34" i="7"/>
  <c r="D34" i="7"/>
  <c r="G34" i="7"/>
  <c r="H34" i="7"/>
  <c r="B34" i="7"/>
  <c r="F34" i="7"/>
  <c r="C42" i="7"/>
  <c r="E42" i="7"/>
  <c r="D42" i="7"/>
  <c r="G42" i="7"/>
  <c r="H42" i="7"/>
  <c r="B42" i="7"/>
  <c r="F42" i="7"/>
  <c r="C50" i="7"/>
  <c r="E50" i="7"/>
  <c r="D50" i="7"/>
  <c r="G50" i="7"/>
  <c r="H50" i="7"/>
  <c r="B50" i="7"/>
  <c r="F50" i="7"/>
  <c r="F3" i="7"/>
  <c r="G3" i="7"/>
  <c r="D3" i="7"/>
  <c r="B3" i="7"/>
  <c r="C3" i="7"/>
  <c r="E3" i="7"/>
  <c r="H3" i="7"/>
  <c r="F11" i="7"/>
  <c r="G11" i="7"/>
  <c r="D11" i="7"/>
  <c r="B11" i="7"/>
  <c r="H11" i="7"/>
  <c r="E11" i="7"/>
  <c r="C11" i="7"/>
  <c r="F19" i="7"/>
  <c r="G19" i="7"/>
  <c r="D19" i="7"/>
  <c r="B19" i="7"/>
  <c r="C19" i="7"/>
  <c r="E19" i="7"/>
  <c r="H19" i="7"/>
  <c r="F27" i="7"/>
  <c r="G27" i="7"/>
  <c r="D27" i="7"/>
  <c r="B27" i="7"/>
  <c r="C27" i="7"/>
  <c r="E27" i="7"/>
  <c r="H27" i="7"/>
  <c r="F35" i="7"/>
  <c r="G35" i="7"/>
  <c r="D35" i="7"/>
  <c r="B35" i="7"/>
  <c r="H35" i="7"/>
  <c r="E35" i="7"/>
  <c r="C35" i="7"/>
  <c r="F43" i="7"/>
  <c r="G43" i="7"/>
  <c r="D43" i="7"/>
  <c r="B43" i="7"/>
  <c r="H43" i="7"/>
  <c r="C43" i="7"/>
  <c r="E43" i="7"/>
  <c r="H4" i="7"/>
  <c r="B4" i="7"/>
  <c r="C4" i="7"/>
  <c r="D4" i="7"/>
  <c r="E4" i="7"/>
  <c r="G4" i="7"/>
  <c r="F4" i="7"/>
  <c r="H12" i="7"/>
  <c r="B12" i="7"/>
  <c r="C12" i="7"/>
  <c r="D12" i="7"/>
  <c r="E12" i="7"/>
  <c r="F12" i="7"/>
  <c r="G12" i="7"/>
  <c r="H20" i="7"/>
  <c r="B20" i="7"/>
  <c r="C20" i="7"/>
  <c r="D20" i="7"/>
  <c r="E20" i="7"/>
  <c r="G20" i="7"/>
  <c r="F20" i="7"/>
  <c r="H28" i="7"/>
  <c r="B28" i="7"/>
  <c r="C28" i="7"/>
  <c r="D28" i="7"/>
  <c r="E28" i="7"/>
  <c r="F28" i="7"/>
  <c r="G28" i="7"/>
  <c r="H36" i="7"/>
  <c r="B36" i="7"/>
  <c r="C36" i="7"/>
  <c r="D36" i="7"/>
  <c r="E36" i="7"/>
  <c r="G36" i="7"/>
  <c r="F36" i="7"/>
  <c r="H44" i="7"/>
  <c r="B44" i="7"/>
  <c r="C44" i="7"/>
  <c r="D44" i="7"/>
  <c r="E44" i="7"/>
  <c r="F44" i="7"/>
  <c r="G44" i="7"/>
  <c r="D6" i="4"/>
  <c r="F6" i="4"/>
  <c r="E6" i="4"/>
  <c r="G6" i="4"/>
  <c r="B6" i="4"/>
  <c r="C6" i="4"/>
  <c r="H6" i="8" s="1"/>
  <c r="D46" i="4"/>
  <c r="F46" i="4"/>
  <c r="E46" i="4"/>
  <c r="G46" i="4"/>
  <c r="C46" i="4"/>
  <c r="B46" i="4"/>
  <c r="F7" i="4"/>
  <c r="B7" i="4"/>
  <c r="C7" i="4"/>
  <c r="H7" i="8" s="1"/>
  <c r="D7" i="4"/>
  <c r="G7" i="4"/>
  <c r="E7" i="4"/>
  <c r="F23" i="4"/>
  <c r="B23" i="4"/>
  <c r="C23" i="4"/>
  <c r="H23" i="8" s="1"/>
  <c r="D23" i="4"/>
  <c r="E23" i="4"/>
  <c r="G23" i="4"/>
  <c r="B47" i="4"/>
  <c r="F47" i="4"/>
  <c r="C47" i="4"/>
  <c r="D47" i="4"/>
  <c r="E47" i="4"/>
  <c r="G47" i="4"/>
  <c r="B8" i="4"/>
  <c r="C8" i="4"/>
  <c r="H8" i="8" s="1"/>
  <c r="D8" i="4"/>
  <c r="F8" i="4"/>
  <c r="E8" i="4"/>
  <c r="G8" i="4"/>
  <c r="B16" i="4"/>
  <c r="C16" i="4"/>
  <c r="H16" i="8" s="1"/>
  <c r="D16" i="4"/>
  <c r="F16" i="4"/>
  <c r="E16" i="4"/>
  <c r="G16" i="4"/>
  <c r="B24" i="4"/>
  <c r="C24" i="4"/>
  <c r="H24" i="8" s="1"/>
  <c r="D24" i="4"/>
  <c r="F24" i="4"/>
  <c r="E24" i="4"/>
  <c r="G24" i="4"/>
  <c r="B32" i="4"/>
  <c r="C32" i="4"/>
  <c r="D32" i="4"/>
  <c r="F32" i="4"/>
  <c r="E32" i="4"/>
  <c r="G32" i="4"/>
  <c r="B40" i="4"/>
  <c r="C40" i="4"/>
  <c r="E40" i="4"/>
  <c r="D40" i="4"/>
  <c r="F40" i="4"/>
  <c r="G40" i="4"/>
  <c r="B48" i="4"/>
  <c r="C48" i="4"/>
  <c r="D48" i="4"/>
  <c r="F48" i="4"/>
  <c r="E48" i="4"/>
  <c r="G48" i="4"/>
  <c r="F29" i="4"/>
  <c r="B29" i="4"/>
  <c r="C29" i="4"/>
  <c r="H29" i="8" s="1"/>
  <c r="D29" i="4"/>
  <c r="E29" i="4"/>
  <c r="G29" i="4"/>
  <c r="D38" i="4"/>
  <c r="F38" i="4"/>
  <c r="E38" i="4"/>
  <c r="G38" i="4"/>
  <c r="C38" i="4"/>
  <c r="B38" i="4"/>
  <c r="F15" i="4"/>
  <c r="B15" i="4"/>
  <c r="C15" i="4"/>
  <c r="H15" i="8" s="1"/>
  <c r="D15" i="4"/>
  <c r="E15" i="4"/>
  <c r="G15" i="4"/>
  <c r="F31" i="4"/>
  <c r="B31" i="4"/>
  <c r="C31" i="4"/>
  <c r="D31" i="4"/>
  <c r="G31" i="4"/>
  <c r="E31" i="4"/>
  <c r="F39" i="4"/>
  <c r="B39" i="4"/>
  <c r="C39" i="4"/>
  <c r="D39" i="4"/>
  <c r="G39" i="4"/>
  <c r="E39" i="4"/>
  <c r="E9" i="4"/>
  <c r="G9" i="4"/>
  <c r="F9" i="4"/>
  <c r="B9" i="4"/>
  <c r="C9" i="4"/>
  <c r="H9" i="8" s="1"/>
  <c r="D9" i="4"/>
  <c r="E17" i="4"/>
  <c r="G17" i="4"/>
  <c r="F17" i="4"/>
  <c r="B17" i="4"/>
  <c r="C17" i="4"/>
  <c r="H17" i="8" s="1"/>
  <c r="D17" i="4"/>
  <c r="E25" i="4"/>
  <c r="G25" i="4"/>
  <c r="F25" i="4"/>
  <c r="B25" i="4"/>
  <c r="C25" i="4"/>
  <c r="H25" i="8" s="1"/>
  <c r="D25" i="4"/>
  <c r="E33" i="4"/>
  <c r="G33" i="4"/>
  <c r="F33" i="4"/>
  <c r="B33" i="4"/>
  <c r="D33" i="4"/>
  <c r="C33" i="4"/>
  <c r="E41" i="4"/>
  <c r="G41" i="4"/>
  <c r="F41" i="4"/>
  <c r="B41" i="4"/>
  <c r="C41" i="4"/>
  <c r="D41" i="4"/>
  <c r="E49" i="4"/>
  <c r="G49" i="4"/>
  <c r="F49" i="4"/>
  <c r="B49" i="4"/>
  <c r="C49" i="4"/>
  <c r="D49" i="4"/>
  <c r="F5" i="4"/>
  <c r="B5" i="4"/>
  <c r="C5" i="4"/>
  <c r="H5" i="8" s="1"/>
  <c r="D5" i="4"/>
  <c r="E5" i="4"/>
  <c r="G5" i="4"/>
  <c r="D14" i="4"/>
  <c r="F14" i="4"/>
  <c r="E14" i="4"/>
  <c r="G14" i="4"/>
  <c r="C14" i="4"/>
  <c r="H14" i="8" s="1"/>
  <c r="B14" i="4"/>
  <c r="E2" i="4"/>
  <c r="D2" i="4"/>
  <c r="F2" i="4"/>
  <c r="C2" i="4"/>
  <c r="H2" i="8" s="1"/>
  <c r="B2" i="4"/>
  <c r="G2" i="4"/>
  <c r="B10" i="4"/>
  <c r="C10" i="4"/>
  <c r="H10" i="8" s="1"/>
  <c r="D10" i="4"/>
  <c r="F10" i="4"/>
  <c r="E10" i="4"/>
  <c r="G10" i="4"/>
  <c r="B18" i="4"/>
  <c r="C18" i="4"/>
  <c r="H18" i="8" s="1"/>
  <c r="D18" i="4"/>
  <c r="F18" i="4"/>
  <c r="E18" i="4"/>
  <c r="G18" i="4"/>
  <c r="B26" i="4"/>
  <c r="C26" i="4"/>
  <c r="H26" i="8" s="1"/>
  <c r="D26" i="4"/>
  <c r="F26" i="4"/>
  <c r="E26" i="4"/>
  <c r="G26" i="4"/>
  <c r="B34" i="4"/>
  <c r="C34" i="4"/>
  <c r="D34" i="4"/>
  <c r="F34" i="4"/>
  <c r="E34" i="4"/>
  <c r="G34" i="4"/>
  <c r="B42" i="4"/>
  <c r="C42" i="4"/>
  <c r="D42" i="4"/>
  <c r="F42" i="4"/>
  <c r="E42" i="4"/>
  <c r="G42" i="4"/>
  <c r="C50" i="4"/>
  <c r="B50" i="4"/>
  <c r="D50" i="4"/>
  <c r="F50" i="4"/>
  <c r="E50" i="4"/>
  <c r="G50" i="4"/>
  <c r="F21" i="4"/>
  <c r="B21" i="4"/>
  <c r="C21" i="4"/>
  <c r="H21" i="8" s="1"/>
  <c r="D21" i="4"/>
  <c r="E21" i="4"/>
  <c r="G21" i="4"/>
  <c r="D22" i="4"/>
  <c r="F22" i="4"/>
  <c r="E22" i="4"/>
  <c r="G22" i="4"/>
  <c r="B22" i="4"/>
  <c r="C22" i="4"/>
  <c r="H22" i="8" s="1"/>
  <c r="C11" i="4"/>
  <c r="H11" i="8" s="1"/>
  <c r="D11" i="4"/>
  <c r="F11" i="4"/>
  <c r="E11" i="4"/>
  <c r="G11" i="4"/>
  <c r="B11" i="4"/>
  <c r="C19" i="4"/>
  <c r="H19" i="8" s="1"/>
  <c r="D19" i="4"/>
  <c r="E19" i="4"/>
  <c r="G19" i="4"/>
  <c r="F19" i="4"/>
  <c r="B19" i="4"/>
  <c r="C27" i="4"/>
  <c r="H27" i="8" s="1"/>
  <c r="D27" i="4"/>
  <c r="F27" i="4"/>
  <c r="E27" i="4"/>
  <c r="G27" i="4"/>
  <c r="B27" i="4"/>
  <c r="C35" i="4"/>
  <c r="D35" i="4"/>
  <c r="G35" i="4"/>
  <c r="E35" i="4"/>
  <c r="F35" i="4"/>
  <c r="B35" i="4"/>
  <c r="C43" i="4"/>
  <c r="D43" i="4"/>
  <c r="G43" i="4"/>
  <c r="E43" i="4"/>
  <c r="F43" i="4"/>
  <c r="B43" i="4"/>
  <c r="F13" i="4"/>
  <c r="B13" i="4"/>
  <c r="C13" i="4"/>
  <c r="H13" i="8" s="1"/>
  <c r="D13" i="4"/>
  <c r="E13" i="4"/>
  <c r="G13" i="4"/>
  <c r="D30" i="4"/>
  <c r="F30" i="4"/>
  <c r="E30" i="4"/>
  <c r="G30" i="4"/>
  <c r="B30" i="4"/>
  <c r="C30" i="4"/>
  <c r="C3" i="4"/>
  <c r="H3" i="8" s="1"/>
  <c r="D3" i="4"/>
  <c r="E3" i="4"/>
  <c r="G3" i="4"/>
  <c r="F3" i="4"/>
  <c r="B3" i="4"/>
  <c r="G4" i="4"/>
  <c r="D4" i="4"/>
  <c r="B4" i="4"/>
  <c r="C4" i="4"/>
  <c r="H4" i="8" s="1"/>
  <c r="E4" i="4"/>
  <c r="F4" i="4"/>
  <c r="G12" i="4"/>
  <c r="B12" i="4"/>
  <c r="C12" i="4"/>
  <c r="H12" i="8" s="1"/>
  <c r="D12" i="4"/>
  <c r="F12" i="4"/>
  <c r="E12" i="4"/>
  <c r="G20" i="4"/>
  <c r="B20" i="4"/>
  <c r="C20" i="4"/>
  <c r="H20" i="8" s="1"/>
  <c r="F20" i="4"/>
  <c r="E20" i="4"/>
  <c r="D20" i="4"/>
  <c r="G28" i="4"/>
  <c r="B28" i="4"/>
  <c r="C28" i="4"/>
  <c r="H28" i="8" s="1"/>
  <c r="F28" i="4"/>
  <c r="D28" i="4"/>
  <c r="E28" i="4"/>
  <c r="G36" i="4"/>
  <c r="B36" i="4"/>
  <c r="C36" i="4"/>
  <c r="F36" i="4"/>
  <c r="D36" i="4"/>
  <c r="E36" i="4"/>
  <c r="G44" i="4"/>
  <c r="B44" i="4"/>
  <c r="C44" i="4"/>
  <c r="F44" i="4"/>
  <c r="D44" i="4"/>
  <c r="E44" i="4"/>
  <c r="F37" i="4"/>
  <c r="B37" i="4"/>
  <c r="C37" i="4"/>
  <c r="D37" i="4"/>
  <c r="E37" i="4"/>
  <c r="G37" i="4"/>
  <c r="F45" i="4"/>
  <c r="B45" i="4"/>
  <c r="C45" i="4"/>
  <c r="D45" i="4"/>
  <c r="E45" i="4"/>
  <c r="G45" i="4"/>
  <c r="D47" i="31"/>
  <c r="B47" i="31"/>
  <c r="C47" i="31"/>
  <c r="D8" i="31"/>
  <c r="C8" i="31"/>
  <c r="B8" i="31"/>
  <c r="D16" i="31"/>
  <c r="B16" i="31"/>
  <c r="C16" i="31"/>
  <c r="D24" i="31"/>
  <c r="C24" i="31"/>
  <c r="B24" i="31"/>
  <c r="D32" i="31"/>
  <c r="C32" i="31"/>
  <c r="B32" i="31"/>
  <c r="D40" i="31"/>
  <c r="C40" i="31"/>
  <c r="B40" i="31"/>
  <c r="D48" i="31"/>
  <c r="B48" i="31"/>
  <c r="C48" i="31"/>
  <c r="B39" i="31"/>
  <c r="D39" i="31"/>
  <c r="C39" i="31"/>
  <c r="C9" i="31"/>
  <c r="D9" i="31"/>
  <c r="B9" i="31"/>
  <c r="C17" i="31"/>
  <c r="B17" i="31"/>
  <c r="D17" i="31"/>
  <c r="C25" i="31"/>
  <c r="D25" i="31"/>
  <c r="B25" i="31"/>
  <c r="B33" i="31"/>
  <c r="C33" i="31"/>
  <c r="D33" i="31"/>
  <c r="D41" i="31"/>
  <c r="B41" i="31"/>
  <c r="C41" i="31"/>
  <c r="C49" i="31"/>
  <c r="B49" i="31"/>
  <c r="D49" i="31"/>
  <c r="D15" i="31"/>
  <c r="B15" i="31"/>
  <c r="C15" i="31"/>
  <c r="C2" i="31"/>
  <c r="B2" i="31"/>
  <c r="D2" i="31"/>
  <c r="B10" i="31"/>
  <c r="D10" i="31"/>
  <c r="C10" i="31"/>
  <c r="B18" i="31"/>
  <c r="C18" i="31"/>
  <c r="D18" i="31"/>
  <c r="B26" i="31"/>
  <c r="C26" i="31"/>
  <c r="D26" i="31"/>
  <c r="D34" i="31"/>
  <c r="C34" i="31"/>
  <c r="B34" i="31"/>
  <c r="D42" i="31"/>
  <c r="C42" i="31"/>
  <c r="B42" i="31"/>
  <c r="B50" i="31"/>
  <c r="D50" i="31"/>
  <c r="C50" i="31"/>
  <c r="B7" i="31"/>
  <c r="D7" i="31"/>
  <c r="C7" i="31"/>
  <c r="C3" i="31"/>
  <c r="B3" i="31"/>
  <c r="D3" i="31"/>
  <c r="C11" i="31"/>
  <c r="D11" i="31"/>
  <c r="B11" i="31"/>
  <c r="C19" i="31"/>
  <c r="D19" i="31"/>
  <c r="B19" i="31"/>
  <c r="C27" i="31"/>
  <c r="B27" i="31"/>
  <c r="D27" i="31"/>
  <c r="C35" i="31"/>
  <c r="D35" i="31"/>
  <c r="B35" i="31"/>
  <c r="C43" i="31"/>
  <c r="B43" i="31"/>
  <c r="D43" i="31"/>
  <c r="B23" i="31"/>
  <c r="D23" i="31"/>
  <c r="C23" i="31"/>
  <c r="B4" i="31"/>
  <c r="C4" i="31"/>
  <c r="D4" i="31"/>
  <c r="B12" i="31"/>
  <c r="C12" i="31"/>
  <c r="D12" i="31"/>
  <c r="B20" i="31"/>
  <c r="C20" i="31"/>
  <c r="D20" i="31"/>
  <c r="B28" i="31"/>
  <c r="D28" i="31"/>
  <c r="C28" i="31"/>
  <c r="B36" i="31"/>
  <c r="C36" i="31"/>
  <c r="D36" i="31"/>
  <c r="B44" i="31"/>
  <c r="C44" i="31"/>
  <c r="D44" i="31"/>
  <c r="D31" i="31"/>
  <c r="B31" i="31"/>
  <c r="C31" i="31"/>
  <c r="D5" i="31"/>
  <c r="B5" i="31"/>
  <c r="C5" i="31"/>
  <c r="D13" i="31"/>
  <c r="B13" i="31"/>
  <c r="C13" i="31"/>
  <c r="D21" i="31"/>
  <c r="B21" i="31"/>
  <c r="C21" i="31"/>
  <c r="D29" i="31"/>
  <c r="B29" i="31"/>
  <c r="C29" i="31"/>
  <c r="D37" i="31"/>
  <c r="B37" i="31"/>
  <c r="C37" i="31"/>
  <c r="D45" i="31"/>
  <c r="B45" i="31"/>
  <c r="C45" i="31"/>
  <c r="D6" i="31"/>
  <c r="B6" i="31"/>
  <c r="C6" i="31"/>
  <c r="D14" i="31"/>
  <c r="C14" i="31"/>
  <c r="B14" i="31"/>
  <c r="D22" i="31"/>
  <c r="B22" i="31"/>
  <c r="C22" i="31"/>
  <c r="D30" i="31"/>
  <c r="C30" i="31"/>
  <c r="B30" i="31"/>
  <c r="D38" i="31"/>
  <c r="B38" i="31"/>
  <c r="C38" i="31"/>
  <c r="D46" i="31"/>
  <c r="B46" i="31"/>
  <c r="C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26</author>
  </authors>
  <commentList>
    <comment ref="E1" authorId="0" shapeId="0" xr:uid="{6921B18C-F14F-4880-A680-51D6C840813D}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<sst xmlns="http://schemas.openxmlformats.org/spreadsheetml/2006/main" count="153" uniqueCount="70">
  <si>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</si>
  <si>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</si>
  <si>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</si>
  <si>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</si>
  <si>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</si>
  <si>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</si>
  <si>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</si>
  <si>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</si>
  <si>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</si>
  <si>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</si>
  <si>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</si>
  <si>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</si>
  <si>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</si>
  <si>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</si>
  <si>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</si>
  <si>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</si>
  <si>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</si>
  <si>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</si>
  <si>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</si>
  <si>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</si>
  <si>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</si>
  <si>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</si>
  <si>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</si>
  <si>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</si>
  <si>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</si>
  <si>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</si>
  <si>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</si>
  <si>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</si>
  <si>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</si>
  <si>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</si>
  <si>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1 Year</t>
  </si>
  <si>
    <t>Passive MPS 1</t>
  </si>
  <si>
    <t>Passive MPS 2</t>
  </si>
  <si>
    <t>Passive MPS 3</t>
  </si>
  <si>
    <t>Passive MPS 4</t>
  </si>
  <si>
    <t>Passive MPS 5</t>
  </si>
  <si>
    <t>Passive MPS 6</t>
  </si>
  <si>
    <t>Passive MPS Income 1</t>
  </si>
  <si>
    <t>Passive MPS Income 2</t>
  </si>
  <si>
    <t>Active MPS 1</t>
  </si>
  <si>
    <t>Active MPS 2</t>
  </si>
  <si>
    <t>Active MPS 3</t>
  </si>
  <si>
    <t>Active MPS 4</t>
  </si>
  <si>
    <t>Active MPS 5</t>
  </si>
  <si>
    <t>Active MPS 6</t>
  </si>
  <si>
    <t>Active MPS Income 1</t>
  </si>
  <si>
    <t>Active MPS Income 2</t>
  </si>
  <si>
    <t>Pactive MPS 1</t>
  </si>
  <si>
    <t>Pactive MPS 2</t>
  </si>
  <si>
    <t>Pactive MPS 3</t>
  </si>
  <si>
    <t>Pactive MPS 4</t>
  </si>
  <si>
    <t>Pactive MPS 5</t>
  </si>
  <si>
    <t>Pactive MPS 6</t>
  </si>
  <si>
    <t>Responsible MPS 1</t>
  </si>
  <si>
    <t>Responsible MPS 2</t>
  </si>
  <si>
    <t>Responsible MPS 3</t>
  </si>
  <si>
    <t>Responsible MPS 4</t>
  </si>
  <si>
    <t>Responsible MPS 5</t>
  </si>
  <si>
    <t>Responsible MPS 6</t>
  </si>
  <si>
    <t>Ongoing charges figure (OCF)</t>
  </si>
  <si>
    <t>https://www.investcentre.co.uk/support/infocentre?categories[145]=145</t>
  </si>
  <si>
    <t>Monthly factsheets - MPS</t>
  </si>
  <si>
    <t>https://www.investcentre.co.uk/literature/monthly-factsheets-mps</t>
  </si>
  <si>
    <t>Annual Management Charge</t>
  </si>
  <si>
    <t>Emerging Market Debt</t>
  </si>
  <si>
    <t>Unclassified</t>
  </si>
  <si>
    <t>2 Year</t>
  </si>
  <si>
    <t>3 Year</t>
  </si>
  <si>
    <t>4 Year</t>
  </si>
  <si>
    <t>5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</si>
</sst>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19050</xdr:rowOff>
    </xdr:from>
    <xdr:to>
      <xdr:col>5</xdr:col>
      <xdr:colOff>500328</xdr:colOff>
      <xdr:row>9</xdr:row>
      <xdr:rowOff>31750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7ADE098-9AFB-1C35-622E-167CC2477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3200"/>
          <a:ext cx="3548328" cy="1485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12</xdr:col>
      <xdr:colOff>520883</xdr:colOff>
      <xdr:row>23</xdr:row>
      <xdr:rowOff>31960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2421A01-DACA-3B7B-A569-6E744C429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67200" y="184150"/>
          <a:ext cx="3568883" cy="40832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6</xdr:col>
      <xdr:colOff>114494</xdr:colOff>
      <xdr:row>35</xdr:row>
      <xdr:rowOff>76365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363218-FFF8-9518-A440-F6E2CF210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314700"/>
          <a:ext cx="3772094" cy="3206915"/>
        </a:xfrm>
        <a:prstGeom prst="rect">
          <a:avLst/>
        </a:prstGeom>
      </xdr:spPr>
    </xdr:pic>
    <xdr:clientData/>
  </xdr:twoCellAnchor>
  <xdr:twoCellAnchor editAs="oneCell">
    <xdr:from>
      <xdr:col>0</xdr:col>
      <xdr:colOff>139700</xdr:colOff>
      <xdr:row>10</xdr:row>
      <xdr:rowOff>57150</xdr:rowOff>
    </xdr:from>
    <xdr:to>
      <xdr:col>5</xdr:col>
      <xdr:colOff>603430</xdr:colOff>
      <xdr:row>17</xdr:row>
      <xdr:rowOff>63567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9A855E9-0F26-54FB-D279-8EE990A43B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9700" y="1898650"/>
          <a:ext cx="3511730" cy="1295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6218A-41FF-4A4F-94E4-2DC613D1766F}">
  <sheetPr codeName="Sheet2">
    <tabColor rgb="FFFFFF00"/>
  </sheetPr>
  <dimension ref="A1:Q4"/>
  <sheetViews>
    <sheetView workbookViewId="0">
      <selection activeCell="B11" sqref="B11"/>
    </sheetView>
  </sheetViews>
  <sheetFormatPr defaultRowHeight="14.5" x14ac:dyDescent="0.35"/>
  <sheetData>
    <row r="1" spans="1:17" x14ac:dyDescent="0.35">
      <c r="A1" s="3" t="s">
        <v>23</v>
      </c>
      <c r="H1" s="3" t="s">
        <v>21</v>
      </c>
    </row>
    <row r="3" spans="1:17" x14ac:dyDescent="0.35">
      <c r="Q3" s="3"/>
    </row>
    <row r="4" spans="1:17" x14ac:dyDescent="0.3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4349C-D510-47DC-8241-4FF9B17996F8}">
  <sheetPr codeName="Sheet1">
    <tabColor rgb="FFFFFF00"/>
  </sheetPr>
  <dimension ref="A1:J30"/>
  <sheetViews>
    <sheetView workbookViewId="0">
      <selection activeCell="L5" sqref="L5"/>
    </sheetView>
  </sheetViews>
  <sheetFormatPr defaultRowHeight="14.5" x14ac:dyDescent="0.35"/>
  <cols>
    <col min="1" max="1" width="19.08984375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45169</v>
      </c>
      <c r="B1" s="3"/>
      <c r="C1" s="4"/>
    </row>
    <row r="2" spans="1:10" x14ac:dyDescent="0.35">
      <c r="A2" t="s">
        <v>0</v>
      </c>
      <c r="B2" s="3"/>
      <c r="C2" s="4"/>
    </row>
    <row r="3" spans="1:10" x14ac:dyDescent="0.35">
      <c r="A3" t="s">
        <v>31</v>
      </c>
      <c r="B3" t="str">
        <f>'PDF Scraping'!D2</f>
        <v>https://www.investcentre.co.uk/literature/monthly-factsheets-mps</v>
      </c>
      <c r="J3" s="4"/>
    </row>
    <row r="4" spans="1:10" x14ac:dyDescent="0.35">
      <c r="A4" t="s">
        <v>32</v>
      </c>
      <c r="B4" t="str">
        <f>'PDF Scraping'!D3</f>
        <v>https://www.investcentre.co.uk/literature/monthly-factsheets-mps</v>
      </c>
      <c r="J4" s="4"/>
    </row>
    <row r="5" spans="1:10" x14ac:dyDescent="0.35">
      <c r="A5" t="s">
        <v>33</v>
      </c>
      <c r="B5" t="str">
        <f>'PDF Scraping'!D4</f>
        <v>https://www.investcentre.co.uk/literature/monthly-factsheets-mps</v>
      </c>
    </row>
    <row r="6" spans="1:10" x14ac:dyDescent="0.35">
      <c r="A6" t="s">
        <v>34</v>
      </c>
      <c r="B6" t="str">
        <f>'PDF Scraping'!D5</f>
        <v>https://www.investcentre.co.uk/literature/monthly-factsheets-mps</v>
      </c>
    </row>
    <row r="7" spans="1:10" x14ac:dyDescent="0.35">
      <c r="A7" t="s">
        <v>35</v>
      </c>
      <c r="B7" t="str">
        <f>'PDF Scraping'!D6</f>
        <v>https://www.investcentre.co.uk/literature/monthly-factsheets-mps</v>
      </c>
    </row>
    <row r="8" spans="1:10" x14ac:dyDescent="0.35">
      <c r="A8" t="s">
        <v>36</v>
      </c>
      <c r="B8" t="str">
        <f>'PDF Scraping'!D7</f>
        <v>https://www.investcentre.co.uk/literature/monthly-factsheets-mps</v>
      </c>
    </row>
    <row r="9" spans="1:10" x14ac:dyDescent="0.35">
      <c r="A9" t="s">
        <v>37</v>
      </c>
      <c r="B9" t="str">
        <f>'PDF Scraping'!D8</f>
        <v>https://www.investcentre.co.uk/literature/monthly-factsheets-mps</v>
      </c>
    </row>
    <row r="10" spans="1:10" x14ac:dyDescent="0.35">
      <c r="A10" t="s">
        <v>38</v>
      </c>
      <c r="B10" t="str">
        <f>'PDF Scraping'!D9</f>
        <v>https://www.investcentre.co.uk/literature/monthly-factsheets-mps</v>
      </c>
    </row>
    <row r="11" spans="1:10" x14ac:dyDescent="0.35">
      <c r="A11" t="s">
        <v>39</v>
      </c>
      <c r="B11" t="str">
        <f>'PDF Scraping'!D10</f>
        <v>https://www.investcentre.co.uk/literature/monthly-factsheets-mps</v>
      </c>
    </row>
    <row r="12" spans="1:10" x14ac:dyDescent="0.35">
      <c r="A12" t="s">
        <v>40</v>
      </c>
      <c r="B12" t="str">
        <f>'PDF Scraping'!D11</f>
        <v>https://www.investcentre.co.uk/literature/monthly-factsheets-mps</v>
      </c>
    </row>
    <row r="13" spans="1:10" x14ac:dyDescent="0.35">
      <c r="A13" t="s">
        <v>41</v>
      </c>
      <c r="B13" t="str">
        <f>'PDF Scraping'!D12</f>
        <v>https://www.investcentre.co.uk/literature/monthly-factsheets-mps</v>
      </c>
    </row>
    <row r="14" spans="1:10" x14ac:dyDescent="0.35">
      <c r="A14" t="s">
        <v>42</v>
      </c>
      <c r="B14" t="str">
        <f>'PDF Scraping'!D13</f>
        <v>https://www.investcentre.co.uk/literature/monthly-factsheets-mps</v>
      </c>
    </row>
    <row r="15" spans="1:10" x14ac:dyDescent="0.35">
      <c r="A15" t="s">
        <v>43</v>
      </c>
      <c r="B15" t="str">
        <f>'PDF Scraping'!D14</f>
        <v>https://www.investcentre.co.uk/literature/monthly-factsheets-mps</v>
      </c>
    </row>
    <row r="16" spans="1:10" x14ac:dyDescent="0.35">
      <c r="A16" t="s">
        <v>44</v>
      </c>
      <c r="B16" t="str">
        <f>'PDF Scraping'!D15</f>
        <v>https://www.investcentre.co.uk/literature/monthly-factsheets-mps</v>
      </c>
    </row>
    <row r="17" spans="1:2" x14ac:dyDescent="0.35">
      <c r="A17" t="s">
        <v>45</v>
      </c>
      <c r="B17" t="str">
        <f>'PDF Scraping'!D16</f>
        <v>https://www.investcentre.co.uk/literature/monthly-factsheets-mps</v>
      </c>
    </row>
    <row r="18" spans="1:2" x14ac:dyDescent="0.35">
      <c r="A18" t="s">
        <v>46</v>
      </c>
      <c r="B18" t="str">
        <f>'PDF Scraping'!D17</f>
        <v>https://www.investcentre.co.uk/literature/monthly-factsheets-mps</v>
      </c>
    </row>
    <row r="19" spans="1:2" x14ac:dyDescent="0.35">
      <c r="A19" t="s">
        <v>47</v>
      </c>
      <c r="B19" t="str">
        <f>'PDF Scraping'!D18</f>
        <v>https://www.investcentre.co.uk/literature/monthly-factsheets-mps</v>
      </c>
    </row>
    <row r="20" spans="1:2" x14ac:dyDescent="0.35">
      <c r="A20" t="s">
        <v>48</v>
      </c>
      <c r="B20" t="str">
        <f>'PDF Scraping'!D19</f>
        <v>https://www.investcentre.co.uk/literature/monthly-factsheets-mps</v>
      </c>
    </row>
    <row r="21" spans="1:2" x14ac:dyDescent="0.35">
      <c r="A21" t="s">
        <v>49</v>
      </c>
      <c r="B21" t="str">
        <f>'PDF Scraping'!D20</f>
        <v>https://www.investcentre.co.uk/literature/monthly-factsheets-mps</v>
      </c>
    </row>
    <row r="22" spans="1:2" x14ac:dyDescent="0.35">
      <c r="A22" t="s">
        <v>50</v>
      </c>
      <c r="B22" t="str">
        <f>'PDF Scraping'!D21</f>
        <v>https://www.investcentre.co.uk/literature/monthly-factsheets-mps</v>
      </c>
    </row>
    <row r="23" spans="1:2" x14ac:dyDescent="0.35">
      <c r="A23" t="s">
        <v>51</v>
      </c>
      <c r="B23" t="str">
        <f>'PDF Scraping'!D22</f>
        <v>https://www.investcentre.co.uk/literature/monthly-factsheets-mps</v>
      </c>
    </row>
    <row r="24" spans="1:2" x14ac:dyDescent="0.35">
      <c r="A24" t="s">
        <v>52</v>
      </c>
      <c r="B24" t="str">
        <f>'PDF Scraping'!D23</f>
        <v>https://www.investcentre.co.uk/literature/monthly-factsheets-mps</v>
      </c>
    </row>
    <row r="25" spans="1:2" x14ac:dyDescent="0.35">
      <c r="A25" t="s">
        <v>53</v>
      </c>
      <c r="B25" t="str">
        <f>'PDF Scraping'!D24</f>
        <v>https://www.investcentre.co.uk/literature/monthly-factsheets-mps</v>
      </c>
    </row>
    <row r="26" spans="1:2" x14ac:dyDescent="0.35">
      <c r="A26" t="s">
        <v>54</v>
      </c>
      <c r="B26" t="str">
        <f>'PDF Scraping'!D25</f>
        <v>https://www.investcentre.co.uk/literature/monthly-factsheets-mps</v>
      </c>
    </row>
    <row r="27" spans="1:2" x14ac:dyDescent="0.35">
      <c r="A27" t="s">
        <v>55</v>
      </c>
      <c r="B27" t="str">
        <f>'PDF Scraping'!D26</f>
        <v>https://www.investcentre.co.uk/literature/monthly-factsheets-mps</v>
      </c>
    </row>
    <row r="28" spans="1:2" x14ac:dyDescent="0.35">
      <c r="A28" t="s">
        <v>56</v>
      </c>
      <c r="B28" t="str">
        <f>'PDF Scraping'!D27</f>
        <v>https://www.investcentre.co.uk/literature/monthly-factsheets-mps</v>
      </c>
    </row>
    <row r="29" spans="1:2" x14ac:dyDescent="0.35">
      <c r="A29" t="s">
        <v>57</v>
      </c>
      <c r="B29" t="str">
        <f>'PDF Scraping'!D28</f>
        <v>https://www.investcentre.co.uk/literature/monthly-factsheets-mps</v>
      </c>
    </row>
    <row r="30" spans="1:2" x14ac:dyDescent="0.35">
      <c r="A30" t="s">
        <v>58</v>
      </c>
      <c r="B30" t="str">
        <f>'PDF Scraping'!D29</f>
        <v>https://www.investcentre.co.uk/literature/monthly-factsheets-mps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FBBBB-E86C-40D6-8738-0FE8FAF5204B}">
  <sheetPr codeName="Sheet3">
    <tabColor rgb="FFFFFF00"/>
  </sheetPr>
  <dimension ref="A1:H50"/>
  <sheetViews>
    <sheetView tabSelected="1" workbookViewId="0">
      <selection activeCell="H2" sqref="H2"/>
    </sheetView>
  </sheetViews>
  <sheetFormatPr defaultRowHeight="14.5" x14ac:dyDescent="0.35"/>
  <cols>
    <col min="1" max="1" width="26.1796875" bestFit="1" customWidth="1"/>
    <col min="2" max="2" width="19.08984375" customWidth="1"/>
    <col min="3" max="4" width="33.1796875" bestFit="1" customWidth="1"/>
    <col min="5" max="5" width="21.54296875" bestFit="1" customWidth="1"/>
    <col min="6" max="6" width="13.7265625" bestFit="1" customWidth="1"/>
  </cols>
  <sheetData>
    <row r="1" spans="1:8" x14ac:dyDescent="0.35">
      <c r="B1" t="s">
        <v>24</v>
      </c>
      <c r="C1" t="s">
        <v>59</v>
      </c>
      <c r="D1" t="s">
        <v>30</v>
      </c>
      <c r="E1" t="s">
        <v>66</v>
      </c>
      <c r="F1" t="s">
        <v>67</v>
      </c>
      <c r="G1" t="s">
        <v>68</v>
      </c>
      <c r="H1" t="s">
        <v>69</v>
      </c>
    </row>
    <row r="2" spans="1:8" x14ac:dyDescent="0.35">
      <c r="A2" t="str">
        <f>IF(Input!A3="","",Input!A3)</f>
        <v>Passive MPS 1</v>
      </c>
      <c r="B2" s="1"/>
      <c r="C2" s="5"/>
      <c r="D2" s="5"/>
      <c r="E2" s="5"/>
      <c r="F2" s="5"/>
    </row>
    <row r="3" spans="1:8" x14ac:dyDescent="0.35">
      <c r="A3" t="str">
        <f>IF(Input!A4="","",Input!A4)</f>
        <v>Passive MPS 2</v>
      </c>
      <c r="B3" s="1"/>
      <c r="C3" s="5"/>
      <c r="D3" s="5"/>
      <c r="E3" s="5"/>
      <c r="F3" s="5"/>
    </row>
    <row r="4" spans="1:8" x14ac:dyDescent="0.35">
      <c r="A4" t="str">
        <f>IF(Input!A5="","",Input!A5)</f>
        <v>Passive MPS 3</v>
      </c>
      <c r="B4" s="1"/>
      <c r="C4" s="5"/>
      <c r="D4" s="5"/>
      <c r="E4" s="5"/>
      <c r="F4" s="5"/>
    </row>
    <row r="5" spans="1:8" x14ac:dyDescent="0.35">
      <c r="A5" t="str">
        <f>IF(Input!A6="","",Input!A6)</f>
        <v>Passive MPS 4</v>
      </c>
      <c r="B5" s="1"/>
      <c r="C5" s="5"/>
      <c r="D5" s="5"/>
      <c r="E5" s="5"/>
      <c r="F5" s="5"/>
    </row>
    <row r="6" spans="1:8" x14ac:dyDescent="0.35">
      <c r="A6" t="str">
        <f>IF(Input!A7="","",Input!A7)</f>
        <v>Passive MPS 5</v>
      </c>
      <c r="B6" s="1"/>
      <c r="C6" s="5"/>
      <c r="D6" s="5"/>
      <c r="E6" s="5"/>
      <c r="F6" s="5"/>
    </row>
    <row r="7" spans="1:8" x14ac:dyDescent="0.35">
      <c r="A7" t="str">
        <f>IF(Input!A8="","",Input!A8)</f>
        <v>Passive MPS 6</v>
      </c>
      <c r="B7" s="1"/>
      <c r="C7" s="5"/>
      <c r="D7" s="5"/>
      <c r="E7" s="5"/>
      <c r="F7" s="5"/>
    </row>
    <row r="8" spans="1:8" x14ac:dyDescent="0.35">
      <c r="A8" t="str">
        <f>IF(Input!A9="","",Input!A9)</f>
        <v>Passive MPS Income 1</v>
      </c>
      <c r="B8" s="1"/>
      <c r="C8" s="5"/>
      <c r="D8" s="5"/>
      <c r="E8" s="5"/>
      <c r="F8" s="5"/>
    </row>
    <row r="9" spans="1:8" x14ac:dyDescent="0.35">
      <c r="A9" t="str">
        <f>IF(Input!A10="","",Input!A10)</f>
        <v>Passive MPS Income 2</v>
      </c>
      <c r="B9" s="1"/>
      <c r="C9" s="5"/>
      <c r="D9" s="5"/>
      <c r="E9" s="5"/>
      <c r="F9" s="5"/>
    </row>
    <row r="10" spans="1:8" x14ac:dyDescent="0.35">
      <c r="A10" t="str">
        <f>IF(Input!A11="","",Input!A11)</f>
        <v>Active MPS 1</v>
      </c>
      <c r="B10" s="1"/>
      <c r="C10" s="5"/>
      <c r="D10" s="5"/>
      <c r="E10" s="5"/>
      <c r="F10" s="5"/>
    </row>
    <row r="11" spans="1:8" x14ac:dyDescent="0.35">
      <c r="A11" t="str">
        <f>IF(Input!A12="","",Input!A12)</f>
        <v>Active MPS 2</v>
      </c>
      <c r="B11" s="1"/>
      <c r="C11" s="5"/>
      <c r="D11" s="5"/>
      <c r="E11" s="5"/>
      <c r="F11" s="5"/>
    </row>
    <row r="12" spans="1:8" x14ac:dyDescent="0.35">
      <c r="A12" t="str">
        <f>IF(Input!A13="","",Input!A13)</f>
        <v>Active MPS 3</v>
      </c>
      <c r="B12" s="1"/>
      <c r="C12" s="5"/>
      <c r="D12" s="5"/>
      <c r="E12" s="5"/>
      <c r="F12" s="5"/>
    </row>
    <row r="13" spans="1:8" x14ac:dyDescent="0.35">
      <c r="A13" t="str">
        <f>IF(Input!A14="","",Input!A14)</f>
        <v>Active MPS 4</v>
      </c>
      <c r="B13" s="1"/>
      <c r="C13" s="5"/>
      <c r="D13" s="5"/>
      <c r="E13" s="5"/>
      <c r="F13" s="5"/>
    </row>
    <row r="14" spans="1:8" x14ac:dyDescent="0.35">
      <c r="A14" t="str">
        <f>IF(Input!A15="","",Input!A15)</f>
        <v>Active MPS 5</v>
      </c>
      <c r="B14" s="1"/>
      <c r="C14" s="5"/>
      <c r="D14" s="5"/>
      <c r="E14" s="5"/>
      <c r="F14" s="5"/>
    </row>
    <row r="15" spans="1:8" x14ac:dyDescent="0.35">
      <c r="A15" t="str">
        <f>IF(Input!A16="","",Input!A16)</f>
        <v>Active MPS 6</v>
      </c>
      <c r="B15" s="1"/>
      <c r="C15" s="5"/>
      <c r="D15" s="5"/>
      <c r="E15" s="5"/>
      <c r="F15" s="5"/>
    </row>
    <row r="16" spans="1:8" x14ac:dyDescent="0.35">
      <c r="A16" t="str">
        <f>IF(Input!A17="","",Input!A17)</f>
        <v>Active MPS Income 1</v>
      </c>
      <c r="B16" s="1"/>
      <c r="C16" s="5"/>
      <c r="D16" s="5"/>
      <c r="E16" s="5"/>
      <c r="F16" s="5"/>
    </row>
    <row r="17" spans="1:6" x14ac:dyDescent="0.35">
      <c r="A17" t="str">
        <f>IF(Input!A18="","",Input!A18)</f>
        <v>Active MPS Income 2</v>
      </c>
      <c r="B17" s="1"/>
      <c r="C17" s="5"/>
      <c r="D17" s="5"/>
      <c r="E17" s="5"/>
      <c r="F17" s="5"/>
    </row>
    <row r="18" spans="1:6" x14ac:dyDescent="0.35">
      <c r="A18" t="str">
        <f>IF(Input!A19="","",Input!A19)</f>
        <v>Pactive MPS 1</v>
      </c>
      <c r="B18" s="1"/>
      <c r="C18" s="5"/>
      <c r="D18" s="5"/>
      <c r="E18" s="5"/>
      <c r="F18" s="5"/>
    </row>
    <row r="19" spans="1:6" x14ac:dyDescent="0.35">
      <c r="A19" t="str">
        <f>IF(Input!A20="","",Input!A20)</f>
        <v>Pactive MPS 2</v>
      </c>
      <c r="B19" s="1"/>
      <c r="C19" s="5"/>
      <c r="D19" s="5"/>
      <c r="E19" s="5"/>
      <c r="F19" s="5"/>
    </row>
    <row r="20" spans="1:6" x14ac:dyDescent="0.35">
      <c r="A20" t="str">
        <f>IF(Input!A21="","",Input!A21)</f>
        <v>Pactive MPS 3</v>
      </c>
      <c r="B20" s="1"/>
      <c r="C20" s="5"/>
      <c r="D20" s="5"/>
      <c r="E20" s="5"/>
      <c r="F20" s="5"/>
    </row>
    <row r="21" spans="1:6" x14ac:dyDescent="0.35">
      <c r="A21" t="str">
        <f>IF(Input!A22="","",Input!A22)</f>
        <v>Pactive MPS 4</v>
      </c>
      <c r="B21" s="1"/>
      <c r="C21" s="5"/>
      <c r="D21" s="5"/>
      <c r="E21" s="5"/>
      <c r="F21" s="5"/>
    </row>
    <row r="22" spans="1:6" x14ac:dyDescent="0.35">
      <c r="A22" t="str">
        <f>IF(Input!A23="","",Input!A23)</f>
        <v>Pactive MPS 5</v>
      </c>
      <c r="B22" s="1"/>
      <c r="C22" s="5"/>
      <c r="D22" s="5"/>
      <c r="E22" s="5"/>
      <c r="F22" s="5"/>
    </row>
    <row r="23" spans="1:6" x14ac:dyDescent="0.35">
      <c r="A23" t="str">
        <f>IF(Input!A24="","",Input!A24)</f>
        <v>Pactive MPS 6</v>
      </c>
      <c r="B23" s="1"/>
      <c r="C23" s="5"/>
      <c r="D23" s="5"/>
      <c r="E23" s="5"/>
      <c r="F23" s="5"/>
    </row>
    <row r="24" spans="1:6" x14ac:dyDescent="0.35">
      <c r="A24" t="str">
        <f>IF(Input!A25="","",Input!A25)</f>
        <v>Responsible MPS 1</v>
      </c>
      <c r="B24" s="1"/>
      <c r="C24" s="5"/>
      <c r="D24" s="5"/>
      <c r="E24" s="5"/>
      <c r="F24" s="5"/>
    </row>
    <row r="25" spans="1:6" x14ac:dyDescent="0.35">
      <c r="A25" t="str">
        <f>IF(Input!A26="","",Input!A26)</f>
        <v>Responsible MPS 2</v>
      </c>
      <c r="B25" s="7"/>
      <c r="C25" s="5"/>
    </row>
    <row r="26" spans="1:6" x14ac:dyDescent="0.35">
      <c r="A26" t="str">
        <f>IF(Input!A27="","",Input!A27)</f>
        <v>Responsible MPS 3</v>
      </c>
      <c r="B26" s="7"/>
      <c r="C26" s="5"/>
    </row>
    <row r="27" spans="1:6" x14ac:dyDescent="0.35">
      <c r="A27" t="str">
        <f>IF(Input!A28="","",Input!A28)</f>
        <v>Responsible MPS 4</v>
      </c>
      <c r="B27" s="7"/>
      <c r="C27" s="5"/>
    </row>
    <row r="28" spans="1:6" x14ac:dyDescent="0.35">
      <c r="A28" t="str">
        <f>IF(Input!A29="","",Input!A29)</f>
        <v>Responsible MPS 5</v>
      </c>
      <c r="B28" s="7"/>
      <c r="C28" s="5"/>
    </row>
    <row r="29" spans="1:6" x14ac:dyDescent="0.35">
      <c r="A29" t="str">
        <f>IF(Input!A30="","",Input!A30)</f>
        <v>Responsible MPS 6</v>
      </c>
      <c r="B29" s="7"/>
      <c r="C29" s="5"/>
    </row>
    <row r="30" spans="1:6" x14ac:dyDescent="0.35">
      <c r="A30" t="str">
        <f>IF(Input!A31="","",Input!A31)</f>
        <v/>
      </c>
      <c r="B30" s="7"/>
      <c r="C30" s="5"/>
    </row>
    <row r="31" spans="1:6" x14ac:dyDescent="0.35">
      <c r="A31" t="str">
        <f>IF(Input!A32="","",Input!A32)</f>
        <v/>
      </c>
      <c r="B31" s="7"/>
      <c r="C31" s="5"/>
    </row>
    <row r="32" spans="1:6" x14ac:dyDescent="0.35">
      <c r="A32" t="str">
        <f>IF(Input!A33="","",Input!A33)</f>
        <v/>
      </c>
      <c r="B32" s="7"/>
      <c r="C32" s="5"/>
    </row>
    <row r="33" spans="1:3" x14ac:dyDescent="0.35">
      <c r="A33" t="str">
        <f>IF(Input!A34="","",Input!A34)</f>
        <v/>
      </c>
      <c r="B33" s="7"/>
      <c r="C33" s="5"/>
    </row>
    <row r="34" spans="1:3" x14ac:dyDescent="0.35">
      <c r="A34" t="str">
        <f>IF(Input!A35="","",Input!A35)</f>
        <v/>
      </c>
      <c r="B34" s="7"/>
      <c r="C34" s="5"/>
    </row>
    <row r="35" spans="1:3" x14ac:dyDescent="0.35">
      <c r="A35" t="str">
        <f>IF(Input!A36="","",Input!A36)</f>
        <v/>
      </c>
    </row>
    <row r="36" spans="1:3" x14ac:dyDescent="0.35">
      <c r="A36" t="str">
        <f>IF(Input!A37="","",Input!A37)</f>
        <v/>
      </c>
    </row>
    <row r="37" spans="1:3" x14ac:dyDescent="0.35">
      <c r="A37" t="str">
        <f>IF(Input!A38="","",Input!A38)</f>
        <v/>
      </c>
    </row>
    <row r="38" spans="1:3" x14ac:dyDescent="0.35">
      <c r="A38" t="str">
        <f>IF(Input!A39="","",Input!A39)</f>
        <v/>
      </c>
    </row>
    <row r="39" spans="1:3" x14ac:dyDescent="0.35">
      <c r="A39" t="str">
        <f>IF(Input!A40="","",Input!A40)</f>
        <v/>
      </c>
    </row>
    <row r="40" spans="1:3" x14ac:dyDescent="0.35">
      <c r="A40" t="str">
        <f>IF(Input!A41="","",Input!A41)</f>
        <v/>
      </c>
    </row>
    <row r="41" spans="1:3" x14ac:dyDescent="0.35">
      <c r="A41" t="str">
        <f>IF(Input!A42="","",Input!A42)</f>
        <v/>
      </c>
    </row>
    <row r="42" spans="1:3" x14ac:dyDescent="0.35">
      <c r="A42" t="str">
        <f>IF(Input!A43="","",Input!A43)</f>
        <v/>
      </c>
    </row>
    <row r="43" spans="1:3" x14ac:dyDescent="0.35">
      <c r="A43" t="str">
        <f>IF(Input!A44="","",Input!A44)</f>
        <v/>
      </c>
    </row>
    <row r="44" spans="1:3" x14ac:dyDescent="0.35">
      <c r="A44" t="str">
        <f>IF(Input!A45="","",Input!A45)</f>
        <v/>
      </c>
    </row>
    <row r="45" spans="1:3" x14ac:dyDescent="0.35">
      <c r="A45" t="str">
        <f>IF(Input!A46="","",Input!A46)</f>
        <v/>
      </c>
    </row>
    <row r="46" spans="1:3" x14ac:dyDescent="0.35">
      <c r="A46" t="str">
        <f>IF(Input!A47="","",Input!A47)</f>
        <v/>
      </c>
    </row>
    <row r="47" spans="1:3" x14ac:dyDescent="0.35">
      <c r="A47" t="str">
        <f>IF(Input!A48="","",Input!A48)</f>
        <v/>
      </c>
    </row>
    <row r="48" spans="1:3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7C62F-ECAF-448D-A9AB-F2BF01896012}">
  <sheetPr codeName="Sheet4">
    <tabColor rgb="FFFFFF00"/>
  </sheetPr>
  <dimension ref="A2:AD50"/>
  <sheetViews>
    <sheetView workbookViewId="0">
      <selection activeCell="B3" sqref="B3"/>
    </sheetView>
  </sheetViews>
  <sheetFormatPr defaultRowHeight="14.5" x14ac:dyDescent="0.35"/>
  <cols>
    <col min="1" max="1" width="19.54296875" bestFit="1" customWidth="1"/>
    <col min="2" max="3" width="9.54296875" bestFit="1" customWidth="1"/>
    <col min="4" max="4" width="9.90625" bestFit="1" customWidth="1"/>
    <col min="5" max="5" width="18.7265625" bestFit="1" customWidth="1"/>
    <col min="6" max="6" width="14.36328125" bestFit="1" customWidth="1"/>
    <col min="7" max="7" width="8.7265625" bestFit="1" customWidth="1"/>
    <col min="8" max="8" width="20" bestFit="1" customWidth="1"/>
    <col min="9" max="9" width="10.7265625" bestFit="1" customWidth="1"/>
    <col min="10" max="10" width="13.90625" bestFit="1" customWidth="1"/>
    <col min="11" max="11" width="20.81640625" bestFit="1" customWidth="1"/>
    <col min="12" max="12" width="4.81640625" bestFit="1" customWidth="1"/>
    <col min="13" max="13" width="12.453125" bestFit="1" customWidth="1"/>
    <col min="14" max="14" width="11.26953125" bestFit="1" customWidth="1"/>
    <col min="15" max="15" width="11" bestFit="1" customWidth="1"/>
    <col min="16" max="16" width="13.1796875" bestFit="1" customWidth="1"/>
    <col min="17" max="17" width="11.81640625" bestFit="1" customWidth="1"/>
    <col min="18" max="18" width="6.1796875" bestFit="1" customWidth="1"/>
    <col min="19" max="19" width="18.08984375" bestFit="1" customWidth="1"/>
    <col min="20" max="20" width="15.90625" bestFit="1" customWidth="1"/>
    <col min="21" max="21" width="20.54296875" bestFit="1" customWidth="1"/>
    <col min="22" max="22" width="27.6328125" bestFit="1" customWidth="1"/>
    <col min="23" max="23" width="24.1796875" bestFit="1" customWidth="1"/>
    <col min="24" max="24" width="24.7265625" bestFit="1" customWidth="1"/>
    <col min="25" max="25" width="9.90625" bestFit="1" customWidth="1"/>
    <col min="26" max="26" width="18.453125" bestFit="1" customWidth="1"/>
    <col min="27" max="27" width="18.1796875" bestFit="1" customWidth="1"/>
    <col min="28" max="28" width="21.453125" bestFit="1" customWidth="1"/>
    <col min="29" max="29" width="18.453125" bestFit="1" customWidth="1"/>
    <col min="30" max="30" width="21.6328125" bestFit="1" customWidth="1"/>
  </cols>
  <sheetData>
    <row r="2" spans="1:30" x14ac:dyDescent="0.35">
      <c r="A2" t="str">
        <f>IF(Input!A3="","",Input!A3)</f>
        <v>Passive MPS 1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35">
      <c r="A3" t="str">
        <f>IF(Input!A4="","",Input!A4)</f>
        <v>Passive MPS 2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35">
      <c r="A4" t="str">
        <f>IF(Input!A5="","",Input!A5)</f>
        <v>Passive MPS 3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35">
      <c r="A5" t="str">
        <f>IF(Input!A6="","",Input!A6)</f>
        <v>Passive MPS 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35">
      <c r="A6" t="str">
        <f>IF(Input!A7="","",Input!A7)</f>
        <v>Passive MPS 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35">
      <c r="A7" t="str">
        <f>IF(Input!A8="","",Input!A8)</f>
        <v>Passive MPS 6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35">
      <c r="A8" t="str">
        <f>IF(Input!A9="","",Input!A9)</f>
        <v>Passive MPS Income 1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35">
      <c r="A9" t="str">
        <f>IF(Input!A10="","",Input!A10)</f>
        <v>Passive MPS Income 2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35">
      <c r="A10" t="str">
        <f>IF(Input!A11="","",Input!A11)</f>
        <v>Active MPS 1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35">
      <c r="A11" t="str">
        <f>IF(Input!A12="","",Input!A12)</f>
        <v>Active MPS 2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35">
      <c r="A12" t="str">
        <f>IF(Input!A13="","",Input!A13)</f>
        <v>Active MPS 3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35">
      <c r="A13" t="str">
        <f>IF(Input!A14="","",Input!A14)</f>
        <v>Active MPS 4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35">
      <c r="A14" t="str">
        <f>IF(Input!A15="","",Input!A15)</f>
        <v>Active MPS 5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35">
      <c r="A15" t="str">
        <f>IF(Input!A16="","",Input!A16)</f>
        <v>Active MPS 6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35">
      <c r="A16" t="str">
        <f>IF(Input!A17="","",Input!A17)</f>
        <v>Active MPS Income 1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35">
      <c r="A17" t="str">
        <f>IF(Input!A18="","",Input!A18)</f>
        <v>Active MPS Income 2</v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35">
      <c r="A18" t="str">
        <f>IF(Input!A19="","",Input!A19)</f>
        <v>Pactive MPS 1</v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35">
      <c r="A19" t="str">
        <f>IF(Input!A20="","",Input!A20)</f>
        <v>Pactive MPS 2</v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35">
      <c r="A20" t="str">
        <f>IF(Input!A21="","",Input!A21)</f>
        <v>Pactive MPS 3</v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35">
      <c r="A21" t="str">
        <f>IF(Input!A22="","",Input!A22)</f>
        <v>Pactive MPS 4</v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35">
      <c r="A22" t="str">
        <f>IF(Input!A23="","",Input!A23)</f>
        <v>Pactive MPS 5</v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35">
      <c r="A23" t="str">
        <f>IF(Input!A24="","",Input!A24)</f>
        <v>Pactive MPS 6</v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35">
      <c r="A24" t="str">
        <f>IF(Input!A25="","",Input!A25)</f>
        <v>Responsible MPS 1</v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35">
      <c r="A25" t="str">
        <f>IF(Input!A26="","",Input!A26)</f>
        <v>Responsible MPS 2</v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35">
      <c r="A26" t="str">
        <f>IF(Input!A27="","",Input!A27)</f>
        <v>Responsible MPS 3</v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35">
      <c r="A27" t="str">
        <f>IF(Input!A28="","",Input!A28)</f>
        <v>Responsible MPS 4</v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35">
      <c r="A28" t="str">
        <f>IF(Input!A29="","",Input!A29)</f>
        <v>Responsible MPS 5</v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35">
      <c r="A29" t="str">
        <f>IF(Input!A30="","",Input!A30)</f>
        <v>Responsible MPS 6</v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3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3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3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3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3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35">
      <c r="A35" t="str">
        <f>IF(Input!A36="","",Input!A36)</f>
        <v/>
      </c>
    </row>
    <row r="36" spans="1:27" x14ac:dyDescent="0.35">
      <c r="A36" t="str">
        <f>IF(Input!A37="","",Input!A37)</f>
        <v/>
      </c>
    </row>
    <row r="37" spans="1:27" x14ac:dyDescent="0.35">
      <c r="A37" t="str">
        <f>IF(Input!A38="","",Input!A38)</f>
        <v/>
      </c>
    </row>
    <row r="38" spans="1:27" x14ac:dyDescent="0.35">
      <c r="A38" t="str">
        <f>IF(Input!A39="","",Input!A39)</f>
        <v/>
      </c>
    </row>
    <row r="39" spans="1:27" x14ac:dyDescent="0.35">
      <c r="A39" t="str">
        <f>IF(Input!A40="","",Input!A40)</f>
        <v/>
      </c>
    </row>
    <row r="40" spans="1:27" x14ac:dyDescent="0.35">
      <c r="A40" t="str">
        <f>IF(Input!A41="","",Input!A41)</f>
        <v/>
      </c>
    </row>
    <row r="41" spans="1:27" x14ac:dyDescent="0.35">
      <c r="A41" t="str">
        <f>IF(Input!A42="","",Input!A42)</f>
        <v/>
      </c>
    </row>
    <row r="42" spans="1:27" x14ac:dyDescent="0.35">
      <c r="A42" t="str">
        <f>IF(Input!A43="","",Input!A43)</f>
        <v/>
      </c>
    </row>
    <row r="43" spans="1:27" x14ac:dyDescent="0.35">
      <c r="A43" t="str">
        <f>IF(Input!A44="","",Input!A44)</f>
        <v/>
      </c>
    </row>
    <row r="44" spans="1:27" x14ac:dyDescent="0.35">
      <c r="A44" t="str">
        <f>IF(Input!A45="","",Input!A45)</f>
        <v/>
      </c>
    </row>
    <row r="45" spans="1:27" x14ac:dyDescent="0.35">
      <c r="A45" t="str">
        <f>IF(Input!A46="","",Input!A46)</f>
        <v/>
      </c>
    </row>
    <row r="46" spans="1:27" x14ac:dyDescent="0.35">
      <c r="A46" t="str">
        <f>IF(Input!A47="","",Input!A47)</f>
        <v/>
      </c>
    </row>
    <row r="47" spans="1:27" x14ac:dyDescent="0.35">
      <c r="A47" t="str">
        <f>IF(Input!A48="","",Input!A48)</f>
        <v/>
      </c>
    </row>
    <row r="48" spans="1:27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9BCDE-1FFD-4C2E-B64B-AA463D5E7605}">
  <sheetPr codeName="Sheet34">
    <tabColor theme="5" tint="0.79998168889431442"/>
  </sheetPr>
  <dimension ref="A1:E50"/>
  <sheetViews>
    <sheetView workbookViewId="0"/>
  </sheetViews>
  <sheetFormatPr defaultRowHeight="14.5" x14ac:dyDescent="0.35"/>
  <cols>
    <col min="1" max="1" width="30.1796875" bestFit="1" customWidth="1"/>
    <col min="4" max="4" width="8.7265625" style="8"/>
  </cols>
  <sheetData>
    <row r="1" spans="1:5" x14ac:dyDescent="0.3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35">
      <c r="A2" t="str">
        <f>IF(Input!A3="","",Input!A3)</f>
        <v>Passive MPS 1</v>
      </c>
      <c r="B2" t="s">
        <v>60</v>
      </c>
      <c r="C2" t="s">
        <v>61</v>
      </c>
      <c r="D2" s="8" t="s">
        <v>62</v>
      </c>
    </row>
    <row r="3" spans="1:5" x14ac:dyDescent="0.35">
      <c r="A3" t="str">
        <f>IF(Input!A4="","",Input!A4)</f>
        <v>Passive MPS 2</v>
      </c>
      <c r="B3" t="s">
        <v>60</v>
      </c>
      <c r="C3" t="s">
        <v>61</v>
      </c>
      <c r="D3" s="8" t="s">
        <v>62</v>
      </c>
    </row>
    <row r="4" spans="1:5" x14ac:dyDescent="0.35">
      <c r="A4" t="str">
        <f>IF(Input!A5="","",Input!A5)</f>
        <v>Passive MPS 3</v>
      </c>
      <c r="B4" t="s">
        <v>60</v>
      </c>
      <c r="C4" t="s">
        <v>61</v>
      </c>
      <c r="D4" s="8" t="s">
        <v>62</v>
      </c>
    </row>
    <row r="5" spans="1:5" x14ac:dyDescent="0.35">
      <c r="A5" t="str">
        <f>IF(Input!A6="","",Input!A6)</f>
        <v>Passive MPS 4</v>
      </c>
      <c r="B5" t="s">
        <v>60</v>
      </c>
      <c r="C5" t="s">
        <v>61</v>
      </c>
      <c r="D5" s="8" t="s">
        <v>62</v>
      </c>
    </row>
    <row r="6" spans="1:5" x14ac:dyDescent="0.35">
      <c r="A6" t="str">
        <f>IF(Input!A7="","",Input!A7)</f>
        <v>Passive MPS 5</v>
      </c>
      <c r="B6" t="s">
        <v>60</v>
      </c>
      <c r="C6" t="s">
        <v>61</v>
      </c>
      <c r="D6" s="8" t="s">
        <v>62</v>
      </c>
    </row>
    <row r="7" spans="1:5" x14ac:dyDescent="0.35">
      <c r="A7" t="str">
        <f>IF(Input!A8="","",Input!A8)</f>
        <v>Passive MPS 6</v>
      </c>
      <c r="B7" t="s">
        <v>60</v>
      </c>
      <c r="C7" t="s">
        <v>61</v>
      </c>
      <c r="D7" s="8" t="s">
        <v>62</v>
      </c>
    </row>
    <row r="8" spans="1:5" x14ac:dyDescent="0.35">
      <c r="A8" t="str">
        <f>IF(Input!A9="","",Input!A9)</f>
        <v>Passive MPS Income 1</v>
      </c>
      <c r="B8" t="s">
        <v>60</v>
      </c>
      <c r="C8" t="s">
        <v>61</v>
      </c>
      <c r="D8" s="8" t="s">
        <v>62</v>
      </c>
    </row>
    <row r="9" spans="1:5" x14ac:dyDescent="0.35">
      <c r="A9" t="str">
        <f>IF(Input!A10="","",Input!A10)</f>
        <v>Passive MPS Income 2</v>
      </c>
      <c r="B9" t="s">
        <v>60</v>
      </c>
      <c r="C9" t="s">
        <v>61</v>
      </c>
      <c r="D9" s="8" t="s">
        <v>62</v>
      </c>
    </row>
    <row r="10" spans="1:5" x14ac:dyDescent="0.35">
      <c r="A10" t="str">
        <f>IF(Input!A11="","",Input!A11)</f>
        <v>Active MPS 1</v>
      </c>
      <c r="B10" t="s">
        <v>60</v>
      </c>
      <c r="C10" t="s">
        <v>61</v>
      </c>
      <c r="D10" s="8" t="s">
        <v>62</v>
      </c>
    </row>
    <row r="11" spans="1:5" x14ac:dyDescent="0.35">
      <c r="A11" t="str">
        <f>IF(Input!A12="","",Input!A12)</f>
        <v>Active MPS 2</v>
      </c>
      <c r="B11" t="s">
        <v>60</v>
      </c>
      <c r="C11" t="s">
        <v>61</v>
      </c>
      <c r="D11" s="8" t="s">
        <v>62</v>
      </c>
    </row>
    <row r="12" spans="1:5" x14ac:dyDescent="0.35">
      <c r="A12" t="str">
        <f>IF(Input!A13="","",Input!A13)</f>
        <v>Active MPS 3</v>
      </c>
      <c r="B12" t="s">
        <v>60</v>
      </c>
      <c r="C12" t="s">
        <v>61</v>
      </c>
      <c r="D12" s="8" t="s">
        <v>62</v>
      </c>
    </row>
    <row r="13" spans="1:5" x14ac:dyDescent="0.35">
      <c r="A13" t="str">
        <f>IF(Input!A14="","",Input!A14)</f>
        <v>Active MPS 4</v>
      </c>
      <c r="B13" t="s">
        <v>60</v>
      </c>
      <c r="C13" t="s">
        <v>61</v>
      </c>
      <c r="D13" s="8" t="s">
        <v>62</v>
      </c>
    </row>
    <row r="14" spans="1:5" x14ac:dyDescent="0.35">
      <c r="A14" t="str">
        <f>IF(Input!A15="","",Input!A15)</f>
        <v>Active MPS 5</v>
      </c>
      <c r="B14" t="s">
        <v>60</v>
      </c>
      <c r="C14" t="s">
        <v>61</v>
      </c>
      <c r="D14" s="8" t="s">
        <v>62</v>
      </c>
    </row>
    <row r="15" spans="1:5" x14ac:dyDescent="0.35">
      <c r="A15" t="str">
        <f>IF(Input!A16="","",Input!A16)</f>
        <v>Active MPS 6</v>
      </c>
      <c r="B15" t="s">
        <v>60</v>
      </c>
      <c r="C15" t="s">
        <v>61</v>
      </c>
      <c r="D15" s="8" t="s">
        <v>62</v>
      </c>
    </row>
    <row r="16" spans="1:5" x14ac:dyDescent="0.35">
      <c r="A16" t="str">
        <f>IF(Input!A17="","",Input!A17)</f>
        <v>Active MPS Income 1</v>
      </c>
      <c r="B16" t="s">
        <v>60</v>
      </c>
      <c r="C16" t="s">
        <v>61</v>
      </c>
      <c r="D16" s="8" t="s">
        <v>62</v>
      </c>
    </row>
    <row r="17" spans="1:4" x14ac:dyDescent="0.35">
      <c r="A17" t="str">
        <f>IF(Input!A18="","",Input!A18)</f>
        <v>Active MPS Income 2</v>
      </c>
      <c r="B17" t="s">
        <v>60</v>
      </c>
      <c r="C17" t="s">
        <v>61</v>
      </c>
      <c r="D17" s="8" t="s">
        <v>62</v>
      </c>
    </row>
    <row r="18" spans="1:4" x14ac:dyDescent="0.35">
      <c r="A18" t="str">
        <f>IF(Input!A19="","",Input!A19)</f>
        <v>Pactive MPS 1</v>
      </c>
      <c r="B18" t="s">
        <v>60</v>
      </c>
      <c r="C18" t="s">
        <v>61</v>
      </c>
      <c r="D18" s="8" t="s">
        <v>62</v>
      </c>
    </row>
    <row r="19" spans="1:4" x14ac:dyDescent="0.35">
      <c r="A19" t="str">
        <f>IF(Input!A20="","",Input!A20)</f>
        <v>Pactive MPS 2</v>
      </c>
      <c r="B19" t="s">
        <v>60</v>
      </c>
      <c r="C19" t="s">
        <v>61</v>
      </c>
      <c r="D19" s="8" t="s">
        <v>62</v>
      </c>
    </row>
    <row r="20" spans="1:4" x14ac:dyDescent="0.35">
      <c r="A20" t="str">
        <f>IF(Input!A21="","",Input!A21)</f>
        <v>Pactive MPS 3</v>
      </c>
      <c r="B20" t="s">
        <v>60</v>
      </c>
      <c r="C20" t="s">
        <v>61</v>
      </c>
      <c r="D20" s="8" t="s">
        <v>62</v>
      </c>
    </row>
    <row r="21" spans="1:4" x14ac:dyDescent="0.35">
      <c r="A21" t="str">
        <f>IF(Input!A22="","",Input!A22)</f>
        <v>Pactive MPS 4</v>
      </c>
      <c r="B21" t="s">
        <v>60</v>
      </c>
      <c r="C21" t="s">
        <v>61</v>
      </c>
      <c r="D21" s="8" t="s">
        <v>62</v>
      </c>
    </row>
    <row r="22" spans="1:4" x14ac:dyDescent="0.35">
      <c r="A22" t="str">
        <f>IF(Input!A23="","",Input!A23)</f>
        <v>Pactive MPS 5</v>
      </c>
      <c r="B22" t="s">
        <v>60</v>
      </c>
      <c r="C22" t="s">
        <v>61</v>
      </c>
      <c r="D22" s="8" t="s">
        <v>62</v>
      </c>
    </row>
    <row r="23" spans="1:4" x14ac:dyDescent="0.35">
      <c r="A23" t="str">
        <f>IF(Input!A24="","",Input!A24)</f>
        <v>Pactive MPS 6</v>
      </c>
      <c r="B23" t="s">
        <v>60</v>
      </c>
      <c r="C23" t="s">
        <v>61</v>
      </c>
      <c r="D23" s="8" t="s">
        <v>62</v>
      </c>
    </row>
    <row r="24" spans="1:4" x14ac:dyDescent="0.35">
      <c r="A24" t="str">
        <f>IF(Input!A25="","",Input!A25)</f>
        <v>Responsible MPS 1</v>
      </c>
      <c r="B24" t="s">
        <v>60</v>
      </c>
      <c r="C24" t="s">
        <v>61</v>
      </c>
      <c r="D24" s="8" t="s">
        <v>62</v>
      </c>
    </row>
    <row r="25" spans="1:4" x14ac:dyDescent="0.35">
      <c r="A25" t="str">
        <f>IF(Input!A26="","",Input!A26)</f>
        <v>Responsible MPS 2</v>
      </c>
      <c r="B25" t="s">
        <v>60</v>
      </c>
      <c r="C25" t="s">
        <v>61</v>
      </c>
      <c r="D25" s="8" t="s">
        <v>62</v>
      </c>
    </row>
    <row r="26" spans="1:4" x14ac:dyDescent="0.35">
      <c r="A26" t="str">
        <f>IF(Input!A27="","",Input!A27)</f>
        <v>Responsible MPS 3</v>
      </c>
      <c r="B26" t="s">
        <v>60</v>
      </c>
      <c r="C26" t="s">
        <v>61</v>
      </c>
      <c r="D26" s="8" t="s">
        <v>62</v>
      </c>
    </row>
    <row r="27" spans="1:4" x14ac:dyDescent="0.35">
      <c r="A27" t="str">
        <f>IF(Input!A28="","",Input!A28)</f>
        <v>Responsible MPS 4</v>
      </c>
      <c r="B27" t="s">
        <v>60</v>
      </c>
      <c r="C27" t="s">
        <v>61</v>
      </c>
      <c r="D27" s="8" t="s">
        <v>62</v>
      </c>
    </row>
    <row r="28" spans="1:4" x14ac:dyDescent="0.35">
      <c r="A28" t="str">
        <f>IF(Input!A29="","",Input!A29)</f>
        <v>Responsible MPS 5</v>
      </c>
      <c r="B28" t="s">
        <v>60</v>
      </c>
      <c r="C28" t="s">
        <v>61</v>
      </c>
      <c r="D28" s="8" t="s">
        <v>62</v>
      </c>
    </row>
    <row r="29" spans="1:4" x14ac:dyDescent="0.35">
      <c r="A29" t="str">
        <f>IF(Input!A30="","",Input!A30)</f>
        <v>Responsible MPS 6</v>
      </c>
      <c r="B29" t="s">
        <v>60</v>
      </c>
      <c r="C29" t="s">
        <v>61</v>
      </c>
      <c r="D29" s="8" t="s">
        <v>62</v>
      </c>
    </row>
    <row r="30" spans="1:4" x14ac:dyDescent="0.35">
      <c r="A30" t="str">
        <f>IF(Input!A31="","",Input!A31)</f>
        <v/>
      </c>
    </row>
    <row r="31" spans="1:4" x14ac:dyDescent="0.35">
      <c r="A31" t="str">
        <f>IF(Input!A32="","",Input!A32)</f>
        <v/>
      </c>
    </row>
    <row r="32" spans="1:4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F9356-86C8-4E58-8786-C6159039EEF1}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4.5" x14ac:dyDescent="0.35"/>
  <cols>
    <col min="2" max="2" width="10.453125" bestFit="1" customWidth="1"/>
  </cols>
  <sheetData>
    <row r="1" spans="1:2" x14ac:dyDescent="0.35">
      <c r="B1" t="s">
        <v>24</v>
      </c>
    </row>
    <row r="2" spans="1:2" x14ac:dyDescent="0.35">
      <c r="A2" t="str">
        <f>IF(Input!A3="","",Input!A3)</f>
        <v>Passive MPS 1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35">
      <c r="A3" t="str">
        <f>IF(Input!A4="","",Input!A4)</f>
        <v>Passive MPS 2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35">
      <c r="A4" t="str">
        <f>IF(Input!A5="","",Input!A5)</f>
        <v>Passive MPS 3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35">
      <c r="A5" t="str">
        <f>IF(Input!A6="","",Input!A6)</f>
        <v>Passive MPS 4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35">
      <c r="A6" t="str">
        <f>IF(Input!A7="","",Input!A7)</f>
        <v>Passive MPS 5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35">
      <c r="A7" t="str">
        <f>IF(Input!A8="","",Input!A8)</f>
        <v>Passive MPS 6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35">
      <c r="A8" t="str">
        <f>IF(Input!A9="","",Input!A9)</f>
        <v>Passive MPS Income 1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35">
      <c r="A9" t="str">
        <f>IF(Input!A10="","",Input!A10)</f>
        <v>Passive MPS Income 2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35">
      <c r="A10" t="str">
        <f>IF(Input!A11="","",Input!A11)</f>
        <v>Active MPS 1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35">
      <c r="A11" t="str">
        <f>IF(Input!A12="","",Input!A12)</f>
        <v>Active MPS 2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35">
      <c r="A12" t="str">
        <f>IF(Input!A13="","",Input!A13)</f>
        <v>Active MPS 3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35">
      <c r="A13" t="str">
        <f>IF(Input!A14="","",Input!A14)</f>
        <v>Active MPS 4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35">
      <c r="A14" t="str">
        <f>IF(Input!A15="","",Input!A15)</f>
        <v>Active MPS 5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35">
      <c r="A15" t="str">
        <f>IF(Input!A16="","",Input!A16)</f>
        <v>Active MPS 6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35">
      <c r="A16" t="str">
        <f>IF(Input!A17="","",Input!A17)</f>
        <v>Active MPS Income 1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35">
      <c r="A17" t="str">
        <f>IF(Input!A18="","",Input!A18)</f>
        <v>Active MPS Income 2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35">
      <c r="A18" t="str">
        <f>IF(Input!A19="","",Input!A19)</f>
        <v>Pactive MPS 1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35">
      <c r="A19" t="str">
        <f>IF(Input!A20="","",Input!A20)</f>
        <v>Pactive MPS 2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35">
      <c r="A20" t="str">
        <f>IF(Input!A21="","",Input!A21)</f>
        <v>Pactive MPS 3</v>
      </c>
      <c r="B20" s="1">
        <f>IF(A20="","",EOMONTH(DATE(YEAR(IF(A20="","",'Additional Information'!B20)),MONTH(IF(A20="","",'Additional Information'!B20)),DAY(IF(A20="","",'Additional Information'!B20))),0))</f>
        <v>31</v>
      </c>
    </row>
    <row r="21" spans="1:2" x14ac:dyDescent="0.35">
      <c r="A21" t="str">
        <f>IF(Input!A22="","",Input!A22)</f>
        <v>Pactive MPS 4</v>
      </c>
      <c r="B21" s="1">
        <f>IF(A21="","",EOMONTH(DATE(YEAR(IF(A21="","",'Additional Information'!B21)),MONTH(IF(A21="","",'Additional Information'!B21)),DAY(IF(A21="","",'Additional Information'!B21))),0))</f>
        <v>31</v>
      </c>
    </row>
    <row r="22" spans="1:2" x14ac:dyDescent="0.35">
      <c r="A22" t="str">
        <f>IF(Input!A23="","",Input!A23)</f>
        <v>Pactive MPS 5</v>
      </c>
      <c r="B22" s="1">
        <f>IF(A22="","",EOMONTH(DATE(YEAR(IF(A22="","",'Additional Information'!B22)),MONTH(IF(A22="","",'Additional Information'!B22)),DAY(IF(A22="","",'Additional Information'!B22))),0))</f>
        <v>31</v>
      </c>
    </row>
    <row r="23" spans="1:2" x14ac:dyDescent="0.35">
      <c r="A23" t="str">
        <f>IF(Input!A24="","",Input!A24)</f>
        <v>Pactive MPS 6</v>
      </c>
      <c r="B23" s="1">
        <f>IF(A23="","",EOMONTH(DATE(YEAR(IF(A23="","",'Additional Information'!B23)),MONTH(IF(A23="","",'Additional Information'!B23)),DAY(IF(A23="","",'Additional Information'!B23))),0))</f>
        <v>31</v>
      </c>
    </row>
    <row r="24" spans="1:2" x14ac:dyDescent="0.35">
      <c r="A24" t="str">
        <f>IF(Input!A25="","",Input!A25)</f>
        <v>Responsible MPS 1</v>
      </c>
      <c r="B24" s="1">
        <f>IF(A24="","",EOMONTH(DATE(YEAR(IF(A24="","",'Additional Information'!B24)),MONTH(IF(A24="","",'Additional Information'!B24)),DAY(IF(A24="","",'Additional Information'!B24))),0))</f>
        <v>31</v>
      </c>
    </row>
    <row r="25" spans="1:2" x14ac:dyDescent="0.35">
      <c r="A25" t="str">
        <f>IF(Input!A26="","",Input!A26)</f>
        <v>Responsible MPS 2</v>
      </c>
      <c r="B25" s="1">
        <f>IF(A25="","",EOMONTH(DATE(YEAR(IF(A25="","",'Additional Information'!B25)),MONTH(IF(A25="","",'Additional Information'!B25)),DAY(IF(A25="","",'Additional Information'!B25))),0))</f>
        <v>31</v>
      </c>
    </row>
    <row r="26" spans="1:2" x14ac:dyDescent="0.35">
      <c r="A26" t="str">
        <f>IF(Input!A27="","",Input!A27)</f>
        <v>Responsible MPS 3</v>
      </c>
      <c r="B26" s="1">
        <f>IF(A26="","",EOMONTH(DATE(YEAR(IF(A26="","",'Additional Information'!B26)),MONTH(IF(A26="","",'Additional Information'!B26)),DAY(IF(A26="","",'Additional Information'!B26))),0))</f>
        <v>31</v>
      </c>
    </row>
    <row r="27" spans="1:2" x14ac:dyDescent="0.35">
      <c r="A27" t="str">
        <f>IF(Input!A28="","",Input!A28)</f>
        <v>Responsible MPS 4</v>
      </c>
      <c r="B27" s="1">
        <f>IF(A27="","",EOMONTH(DATE(YEAR(IF(A27="","",'Additional Information'!B27)),MONTH(IF(A27="","",'Additional Information'!B27)),DAY(IF(A27="","",'Additional Information'!B27))),0))</f>
        <v>31</v>
      </c>
    </row>
    <row r="28" spans="1:2" x14ac:dyDescent="0.35">
      <c r="A28" t="str">
        <f>IF(Input!A29="","",Input!A29)</f>
        <v>Responsible MPS 5</v>
      </c>
      <c r="B28" s="1">
        <f>IF(A28="","",EOMONTH(DATE(YEAR(IF(A28="","",'Additional Information'!B28)),MONTH(IF(A28="","",'Additional Information'!B28)),DAY(IF(A28="","",'Additional Information'!B28))),0))</f>
        <v>31</v>
      </c>
    </row>
    <row r="29" spans="1:2" x14ac:dyDescent="0.35">
      <c r="A29" t="str">
        <f>IF(Input!A30="","",Input!A30)</f>
        <v>Responsible MPS 6</v>
      </c>
      <c r="B29" s="1">
        <f>IF(A29="","",EOMONTH(DATE(YEAR(IF(A29="","",'Additional Information'!B29)),MONTH(IF(A29="","",'Additional Information'!B29)),DAY(IF(A29="","",'Additional Information'!B29))),0))</f>
        <v>31</v>
      </c>
    </row>
    <row r="30" spans="1:2" x14ac:dyDescent="0.3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3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3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3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3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3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3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3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3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3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3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3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3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3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3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3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3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3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3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3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3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996DE-5B63-454E-ABB7-FF9EB2E05737}">
  <sheetPr codeName="Sheet6">
    <tabColor theme="4" tint="0.79998168889431442"/>
  </sheetPr>
  <dimension ref="A1:E50"/>
  <sheetViews>
    <sheetView workbookViewId="0">
      <selection activeCell="E1" sqref="E1"/>
    </sheetView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5" x14ac:dyDescent="0.35">
      <c r="B1" t="s">
        <v>22</v>
      </c>
      <c r="C1" t="s">
        <v>19</v>
      </c>
      <c r="D1" t="s">
        <v>20</v>
      </c>
      <c r="E1" t="s">
        <v>63</v>
      </c>
    </row>
    <row r="2" spans="1:5" x14ac:dyDescent="0.35">
      <c r="A2" t="str">
        <f>IF(Input!A3="","",Input!A3)</f>
        <v>Passive MPS 1</v>
      </c>
      <c r="B2">
        <f>IF(A2="","",'Additional Information'!F2)</f>
        <v>0</v>
      </c>
      <c r="C2">
        <f>IF(A2="","",'Additional Information'!E2)</f>
        <v>0</v>
      </c>
      <c r="D2" s="5">
        <f>IF(A2="","",SUM('Additional Information'!C2,'Additional Information'!D2))</f>
        <v>0</v>
      </c>
    </row>
    <row r="3" spans="1:5" x14ac:dyDescent="0.35">
      <c r="A3" t="str">
        <f>IF(Input!A4="","",Input!A4)</f>
        <v>Passive MPS 2</v>
      </c>
      <c r="B3">
        <f>IF(A3="","",'Additional Information'!F3)</f>
        <v>0</v>
      </c>
      <c r="C3">
        <f>IF(A3="","",'Additional Information'!E3)</f>
        <v>0</v>
      </c>
      <c r="D3" s="5">
        <f>IF(A3="","",SUM('Additional Information'!C3,'Additional Information'!D3))</f>
        <v>0</v>
      </c>
    </row>
    <row r="4" spans="1:5" x14ac:dyDescent="0.35">
      <c r="A4" t="str">
        <f>IF(Input!A5="","",Input!A5)</f>
        <v>Passive MPS 3</v>
      </c>
      <c r="B4">
        <f>IF(A4="","",'Additional Information'!F4)</f>
        <v>0</v>
      </c>
      <c r="C4">
        <f>IF(A4="","",'Additional Information'!E4)</f>
        <v>0</v>
      </c>
      <c r="D4" s="5">
        <f>IF(A4="","",SUM('Additional Information'!C4,'Additional Information'!D4))</f>
        <v>0</v>
      </c>
    </row>
    <row r="5" spans="1:5" x14ac:dyDescent="0.35">
      <c r="A5" t="str">
        <f>IF(Input!A6="","",Input!A6)</f>
        <v>Passive MPS 4</v>
      </c>
      <c r="B5">
        <f>IF(A5="","",'Additional Information'!F5)</f>
        <v>0</v>
      </c>
      <c r="C5">
        <f>IF(A5="","",'Additional Information'!E5)</f>
        <v>0</v>
      </c>
      <c r="D5" s="5">
        <f>IF(A5="","",SUM('Additional Information'!C5,'Additional Information'!D5))</f>
        <v>0</v>
      </c>
    </row>
    <row r="6" spans="1:5" x14ac:dyDescent="0.35">
      <c r="A6" t="str">
        <f>IF(Input!A7="","",Input!A7)</f>
        <v>Passive MPS 5</v>
      </c>
      <c r="B6">
        <f>IF(A6="","",'Additional Information'!F6)</f>
        <v>0</v>
      </c>
      <c r="C6">
        <f>IF(A6="","",'Additional Information'!E6)</f>
        <v>0</v>
      </c>
      <c r="D6" s="5">
        <f>IF(A6="","",SUM('Additional Information'!C6,'Additional Information'!D6))</f>
        <v>0</v>
      </c>
    </row>
    <row r="7" spans="1:5" x14ac:dyDescent="0.35">
      <c r="A7" t="str">
        <f>IF(Input!A8="","",Input!A8)</f>
        <v>Passive MPS 6</v>
      </c>
      <c r="B7">
        <f>IF(A7="","",'Additional Information'!F7)</f>
        <v>0</v>
      </c>
      <c r="C7">
        <f>IF(A7="","",'Additional Information'!E7)</f>
        <v>0</v>
      </c>
      <c r="D7" s="5">
        <f>IF(A7="","",SUM('Additional Information'!C7,'Additional Information'!D7))</f>
        <v>0</v>
      </c>
    </row>
    <row r="8" spans="1:5" x14ac:dyDescent="0.35">
      <c r="A8" t="str">
        <f>IF(Input!A9="","",Input!A9)</f>
        <v>Passive MPS Income 1</v>
      </c>
      <c r="B8">
        <f>IF(A8="","",'Additional Information'!F8)</f>
        <v>0</v>
      </c>
      <c r="C8">
        <f>IF(A8="","",'Additional Information'!E8)</f>
        <v>0</v>
      </c>
      <c r="D8" s="5">
        <f>IF(A8="","",SUM('Additional Information'!C8,'Additional Information'!D8))</f>
        <v>0</v>
      </c>
    </row>
    <row r="9" spans="1:5" x14ac:dyDescent="0.35">
      <c r="A9" t="str">
        <f>IF(Input!A10="","",Input!A10)</f>
        <v>Passive MPS Income 2</v>
      </c>
      <c r="B9">
        <f>IF(A9="","",'Additional Information'!F9)</f>
        <v>0</v>
      </c>
      <c r="C9">
        <f>IF(A9="","",'Additional Information'!E9)</f>
        <v>0</v>
      </c>
      <c r="D9" s="5">
        <f>IF(A9="","",SUM('Additional Information'!C9,'Additional Information'!D9))</f>
        <v>0</v>
      </c>
    </row>
    <row r="10" spans="1:5" x14ac:dyDescent="0.35">
      <c r="A10" t="str">
        <f>IF(Input!A11="","",Input!A11)</f>
        <v>Active MPS 1</v>
      </c>
      <c r="B10">
        <f>IF(A10="","",'Additional Information'!F10)</f>
        <v>0</v>
      </c>
      <c r="C10">
        <f>IF(A10="","",'Additional Information'!E10)</f>
        <v>0</v>
      </c>
      <c r="D10" s="5">
        <f>IF(A10="","",SUM('Additional Information'!C10,'Additional Information'!D10))</f>
        <v>0</v>
      </c>
    </row>
    <row r="11" spans="1:5" x14ac:dyDescent="0.35">
      <c r="A11" t="str">
        <f>IF(Input!A12="","",Input!A12)</f>
        <v>Active MPS 2</v>
      </c>
      <c r="B11">
        <f>IF(A11="","",'Additional Information'!F11)</f>
        <v>0</v>
      </c>
      <c r="C11">
        <f>IF(A11="","",'Additional Information'!E11)</f>
        <v>0</v>
      </c>
      <c r="D11" s="5">
        <f>IF(A11="","",SUM('Additional Information'!C11,'Additional Information'!D11))</f>
        <v>0</v>
      </c>
    </row>
    <row r="12" spans="1:5" x14ac:dyDescent="0.35">
      <c r="A12" t="str">
        <f>IF(Input!A13="","",Input!A13)</f>
        <v>Active MPS 3</v>
      </c>
      <c r="B12">
        <f>IF(A12="","",'Additional Information'!F12)</f>
        <v>0</v>
      </c>
      <c r="C12">
        <f>IF(A12="","",'Additional Information'!E12)</f>
        <v>0</v>
      </c>
      <c r="D12" s="5">
        <f>IF(A12="","",SUM('Additional Information'!C12,'Additional Information'!D12))</f>
        <v>0</v>
      </c>
    </row>
    <row r="13" spans="1:5" x14ac:dyDescent="0.35">
      <c r="A13" t="str">
        <f>IF(Input!A14="","",Input!A14)</f>
        <v>Active MPS 4</v>
      </c>
      <c r="B13">
        <f>IF(A13="","",'Additional Information'!F13)</f>
        <v>0</v>
      </c>
      <c r="C13">
        <f>IF(A13="","",'Additional Information'!E13)</f>
        <v>0</v>
      </c>
      <c r="D13" s="5">
        <f>IF(A13="","",SUM('Additional Information'!C13,'Additional Information'!D13))</f>
        <v>0</v>
      </c>
    </row>
    <row r="14" spans="1:5" x14ac:dyDescent="0.35">
      <c r="A14" t="str">
        <f>IF(Input!A15="","",Input!A15)</f>
        <v>Active MPS 5</v>
      </c>
      <c r="B14">
        <f>IF(A14="","",'Additional Information'!F14)</f>
        <v>0</v>
      </c>
      <c r="C14">
        <f>IF(A14="","",'Additional Information'!E14)</f>
        <v>0</v>
      </c>
      <c r="D14" s="5">
        <f>IF(A14="","",SUM('Additional Information'!C14,'Additional Information'!D14))</f>
        <v>0</v>
      </c>
    </row>
    <row r="15" spans="1:5" x14ac:dyDescent="0.35">
      <c r="A15" t="str">
        <f>IF(Input!A16="","",Input!A16)</f>
        <v>Active MPS 6</v>
      </c>
      <c r="B15">
        <f>IF(A15="","",'Additional Information'!F15)</f>
        <v>0</v>
      </c>
      <c r="C15">
        <f>IF(A15="","",'Additional Information'!E15)</f>
        <v>0</v>
      </c>
      <c r="D15" s="5">
        <f>IF(A15="","",SUM('Additional Information'!C15,'Additional Information'!D15))</f>
        <v>0</v>
      </c>
    </row>
    <row r="16" spans="1:5" x14ac:dyDescent="0.35">
      <c r="A16" t="str">
        <f>IF(Input!A17="","",Input!A17)</f>
        <v>Active MPS Income 1</v>
      </c>
      <c r="B16">
        <f>IF(A16="","",'Additional Information'!F16)</f>
        <v>0</v>
      </c>
      <c r="C16">
        <f>IF(A16="","",'Additional Information'!E16)</f>
        <v>0</v>
      </c>
      <c r="D16" s="5">
        <f>IF(A16="","",SUM('Additional Information'!C16,'Additional Information'!D16))</f>
        <v>0</v>
      </c>
    </row>
    <row r="17" spans="1:4" x14ac:dyDescent="0.35">
      <c r="A17" t="str">
        <f>IF(Input!A18="","",Input!A18)</f>
        <v>Active MPS Income 2</v>
      </c>
      <c r="B17">
        <f>IF(A17="","",'Additional Information'!F17)</f>
        <v>0</v>
      </c>
      <c r="C17">
        <f>IF(A17="","",'Additional Information'!E17)</f>
        <v>0</v>
      </c>
      <c r="D17" s="5">
        <f>IF(A17="","",SUM('Additional Information'!C17,'Additional Information'!D17))</f>
        <v>0</v>
      </c>
    </row>
    <row r="18" spans="1:4" x14ac:dyDescent="0.35">
      <c r="A18" t="str">
        <f>IF(Input!A19="","",Input!A19)</f>
        <v>Pactive MPS 1</v>
      </c>
      <c r="B18">
        <f>IF(A18="","",'Additional Information'!F18)</f>
        <v>0</v>
      </c>
      <c r="C18">
        <f>IF(A18="","",'Additional Information'!E18)</f>
        <v>0</v>
      </c>
      <c r="D18" s="5">
        <f>IF(A18="","",SUM('Additional Information'!C18,'Additional Information'!D18))</f>
        <v>0</v>
      </c>
    </row>
    <row r="19" spans="1:4" x14ac:dyDescent="0.35">
      <c r="A19" t="str">
        <f>IF(Input!A20="","",Input!A20)</f>
        <v>Pactive MPS 2</v>
      </c>
      <c r="B19">
        <f>IF(A19="","",'Additional Information'!F19)</f>
        <v>0</v>
      </c>
      <c r="C19">
        <f>IF(A19="","",'Additional Information'!E19)</f>
        <v>0</v>
      </c>
      <c r="D19" s="5">
        <f>IF(A19="","",SUM('Additional Information'!C19,'Additional Information'!D19))</f>
        <v>0</v>
      </c>
    </row>
    <row r="20" spans="1:4" x14ac:dyDescent="0.35">
      <c r="A20" t="str">
        <f>IF(Input!A21="","",Input!A21)</f>
        <v>Pactive MPS 3</v>
      </c>
      <c r="B20">
        <f>IF(A20="","",'Additional Information'!F20)</f>
        <v>0</v>
      </c>
      <c r="C20">
        <f>IF(A20="","",'Additional Information'!E20)</f>
        <v>0</v>
      </c>
      <c r="D20" s="5">
        <f>IF(A20="","",SUM('Additional Information'!C20,'Additional Information'!D20))</f>
        <v>0</v>
      </c>
    </row>
    <row r="21" spans="1:4" x14ac:dyDescent="0.35">
      <c r="A21" t="str">
        <f>IF(Input!A22="","",Input!A22)</f>
        <v>Pactive MPS 4</v>
      </c>
      <c r="B21">
        <f>IF(A21="","",'Additional Information'!F21)</f>
        <v>0</v>
      </c>
      <c r="C21">
        <f>IF(A21="","",'Additional Information'!E21)</f>
        <v>0</v>
      </c>
      <c r="D21" s="5">
        <f>IF(A21="","",SUM('Additional Information'!C21,'Additional Information'!D21))</f>
        <v>0</v>
      </c>
    </row>
    <row r="22" spans="1:4" x14ac:dyDescent="0.35">
      <c r="A22" t="str">
        <f>IF(Input!A23="","",Input!A23)</f>
        <v>Pactive MPS 5</v>
      </c>
      <c r="B22">
        <f>IF(A22="","",'Additional Information'!F22)</f>
        <v>0</v>
      </c>
      <c r="C22">
        <f>IF(A22="","",'Additional Information'!E22)</f>
        <v>0</v>
      </c>
      <c r="D22" s="5">
        <f>IF(A22="","",SUM('Additional Information'!C22,'Additional Information'!D22))</f>
        <v>0</v>
      </c>
    </row>
    <row r="23" spans="1:4" x14ac:dyDescent="0.35">
      <c r="A23" t="str">
        <f>IF(Input!A24="","",Input!A24)</f>
        <v>Pactive MPS 6</v>
      </c>
      <c r="B23">
        <f>IF(A23="","",'Additional Information'!F23)</f>
        <v>0</v>
      </c>
      <c r="C23">
        <f>IF(A23="","",'Additional Information'!E23)</f>
        <v>0</v>
      </c>
      <c r="D23" s="5">
        <f>IF(A23="","",SUM('Additional Information'!C23,'Additional Information'!D23))</f>
        <v>0</v>
      </c>
    </row>
    <row r="24" spans="1:4" x14ac:dyDescent="0.35">
      <c r="A24" t="str">
        <f>IF(Input!A25="","",Input!A25)</f>
        <v>Responsible MPS 1</v>
      </c>
      <c r="B24">
        <f>IF(A24="","",'Additional Information'!F24)</f>
        <v>0</v>
      </c>
      <c r="C24">
        <f>IF(A24="","",'Additional Information'!E24)</f>
        <v>0</v>
      </c>
      <c r="D24" s="5">
        <f>IF(A24="","",SUM('Additional Information'!C24,'Additional Information'!D24))</f>
        <v>0</v>
      </c>
    </row>
    <row r="25" spans="1:4" x14ac:dyDescent="0.35">
      <c r="A25" t="str">
        <f>IF(Input!A26="","",Input!A26)</f>
        <v>Responsible MPS 2</v>
      </c>
      <c r="B25">
        <f>IF(A25="","",'Additional Information'!F25)</f>
        <v>0</v>
      </c>
      <c r="C25">
        <f>IF(A25="","",'Additional Information'!E25)</f>
        <v>0</v>
      </c>
      <c r="D25" s="5">
        <f>IF(A25="","",SUM('Additional Information'!C25,'Additional Information'!D25))</f>
        <v>0</v>
      </c>
    </row>
    <row r="26" spans="1:4" x14ac:dyDescent="0.35">
      <c r="A26" t="str">
        <f>IF(Input!A27="","",Input!A27)</f>
        <v>Responsible MPS 3</v>
      </c>
      <c r="B26">
        <f>IF(A26="","",'Additional Information'!F26)</f>
        <v>0</v>
      </c>
      <c r="C26">
        <f>IF(A26="","",'Additional Information'!E26)</f>
        <v>0</v>
      </c>
      <c r="D26" s="5">
        <f>IF(A26="","",SUM('Additional Information'!C26,'Additional Information'!D26))</f>
        <v>0</v>
      </c>
    </row>
    <row r="27" spans="1:4" x14ac:dyDescent="0.35">
      <c r="A27" t="str">
        <f>IF(Input!A28="","",Input!A28)</f>
        <v>Responsible MPS 4</v>
      </c>
      <c r="B27">
        <f>IF(A27="","",'Additional Information'!F27)</f>
        <v>0</v>
      </c>
      <c r="C27">
        <f>IF(A27="","",'Additional Information'!E27)</f>
        <v>0</v>
      </c>
      <c r="D27" s="5">
        <f>IF(A27="","",SUM('Additional Information'!C27,'Additional Information'!D27))</f>
        <v>0</v>
      </c>
    </row>
    <row r="28" spans="1:4" x14ac:dyDescent="0.35">
      <c r="A28" t="str">
        <f>IF(Input!A29="","",Input!A29)</f>
        <v>Responsible MPS 5</v>
      </c>
      <c r="B28">
        <f>IF(A28="","",'Additional Information'!F28)</f>
        <v>0</v>
      </c>
      <c r="C28">
        <f>IF(A28="","",'Additional Information'!E28)</f>
        <v>0</v>
      </c>
      <c r="D28" s="5">
        <f>IF(A28="","",SUM('Additional Information'!C28,'Additional Information'!D28))</f>
        <v>0</v>
      </c>
    </row>
    <row r="29" spans="1:4" x14ac:dyDescent="0.35">
      <c r="A29" t="str">
        <f>IF(Input!A30="","",Input!A30)</f>
        <v>Responsible MPS 6</v>
      </c>
      <c r="B29">
        <f>IF(A29="","",'Additional Information'!F29)</f>
        <v>0</v>
      </c>
      <c r="C29">
        <f>IF(A29="","",'Additional Information'!E29)</f>
        <v>0</v>
      </c>
      <c r="D29" s="5">
        <f>IF(A29="","",SUM('Additional Information'!C29,'Additional Information'!D29))</f>
        <v>0</v>
      </c>
    </row>
    <row r="30" spans="1:4" x14ac:dyDescent="0.3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3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3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3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3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3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3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3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3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3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3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3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3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3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3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3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3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3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3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3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3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F76ED-58A3-46C3-B1A7-FCF58094DB8B}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4.5" x14ac:dyDescent="0.35"/>
  <cols>
    <col min="1" max="1" width="39.54296875" bestFit="1" customWidth="1"/>
    <col min="5" max="5" width="11.81640625" bestFit="1" customWidth="1"/>
    <col min="6" max="6" width="14.36328125" bestFit="1" customWidth="1"/>
  </cols>
  <sheetData>
    <row r="1" spans="1:8" x14ac:dyDescent="0.3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35">
      <c r="A2" t="str">
        <f>IF(Input!A3="","",Input!A3)</f>
        <v>Passive MPS 1</v>
      </c>
      <c r="B2">
        <f>IF(A2="","",SUM('Asset Allocation'!B2))</f>
        <v>0</v>
      </c>
      <c r="C2">
        <f>IF(A2="","",SUM('Asset Allocation'!C2))</f>
        <v>0</v>
      </c>
      <c r="D2">
        <f>IF(A2="","",SUM('Asset Allocation'!G2))</f>
        <v>0</v>
      </c>
      <c r="E2">
        <f>IF(A2="","",SUM('Asset Allocation'!F2))</f>
        <v>0</v>
      </c>
      <c r="F2">
        <f>IF(A2="","",SUM('Asset Allocation'!E2,'Asset Allocation'!H2))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35">
      <c r="A3" t="str">
        <f>IF(Input!A4="","",Input!A4)</f>
        <v>Passive MPS 2</v>
      </c>
      <c r="B3">
        <f>IF(A3="","",SUM('Asset Allocation'!B3))</f>
        <v>0</v>
      </c>
      <c r="C3">
        <f>IF(A3="","",SUM('Asset Allocation'!C3))</f>
        <v>0</v>
      </c>
      <c r="D3">
        <f>IF(A3="","",SUM('Asset Allocation'!G3))</f>
        <v>0</v>
      </c>
      <c r="E3">
        <f>IF(A3="","",SUM('Asset Allocation'!F3))</f>
        <v>0</v>
      </c>
      <c r="F3">
        <f>IF(A3="","",SUM('Asset Allocation'!E3,'Asset Allocation'!H3))</f>
        <v>0</v>
      </c>
      <c r="G3">
        <f>IF(A3="","",SUM('Asset Allocation'!D3))</f>
        <v>0</v>
      </c>
      <c r="H3">
        <f t="shared" si="0"/>
        <v>1</v>
      </c>
    </row>
    <row r="4" spans="1:8" x14ac:dyDescent="0.35">
      <c r="A4" t="str">
        <f>IF(Input!A5="","",Input!A5)</f>
        <v>Passive MPS 3</v>
      </c>
      <c r="B4">
        <f>IF(A4="","",SUM('Asset Allocation'!B4))</f>
        <v>0</v>
      </c>
      <c r="C4">
        <f>IF(A4="","",SUM('Asset Allocation'!C4))</f>
        <v>0</v>
      </c>
      <c r="D4">
        <f>IF(A4="","",SUM('Asset Allocation'!G4))</f>
        <v>0</v>
      </c>
      <c r="E4">
        <f>IF(A4="","",SUM('Asset Allocation'!F4))</f>
        <v>0</v>
      </c>
      <c r="F4">
        <f>IF(A4="","",SUM('Asset Allocation'!E4,'Asset Allocation'!H4))</f>
        <v>0</v>
      </c>
      <c r="G4">
        <f>IF(A4="","",SUM('Asset Allocation'!D4))</f>
        <v>0</v>
      </c>
      <c r="H4">
        <f t="shared" si="0"/>
        <v>1</v>
      </c>
    </row>
    <row r="5" spans="1:8" x14ac:dyDescent="0.35">
      <c r="A5" t="str">
        <f>IF(Input!A6="","",Input!A6)</f>
        <v>Passive MPS 4</v>
      </c>
      <c r="B5">
        <f>IF(A5="","",SUM('Asset Allocation'!B5))</f>
        <v>0</v>
      </c>
      <c r="C5">
        <f>IF(A5="","",SUM('Asset Allocation'!C5))</f>
        <v>0</v>
      </c>
      <c r="D5">
        <f>IF(A5="","",SUM('Asset Allocation'!G5))</f>
        <v>0</v>
      </c>
      <c r="E5">
        <f>IF(A5="","",SUM('Asset Allocation'!F5))</f>
        <v>0</v>
      </c>
      <c r="F5">
        <f>IF(A5="","",SUM('Asset Allocation'!E5,'Asset Allocation'!H5))</f>
        <v>0</v>
      </c>
      <c r="G5">
        <f>IF(A5="","",SUM('Asset Allocation'!D5))</f>
        <v>0</v>
      </c>
      <c r="H5">
        <f t="shared" si="0"/>
        <v>1</v>
      </c>
    </row>
    <row r="6" spans="1:8" x14ac:dyDescent="0.35">
      <c r="A6" t="str">
        <f>IF(Input!A7="","",Input!A7)</f>
        <v>Passive MPS 5</v>
      </c>
      <c r="B6">
        <f>IF(A6="","",SUM('Asset Allocation'!B6))</f>
        <v>0</v>
      </c>
      <c r="C6">
        <f>IF(A6="","",SUM('Asset Allocation'!C6))</f>
        <v>0</v>
      </c>
      <c r="D6">
        <f>IF(A6="","",SUM('Asset Allocation'!G6))</f>
        <v>0</v>
      </c>
      <c r="E6">
        <f>IF(A6="","",SUM('Asset Allocation'!F6))</f>
        <v>0</v>
      </c>
      <c r="F6">
        <f>IF(A6="","",SUM('Asset Allocation'!E6,'Asset Allocation'!H6))</f>
        <v>0</v>
      </c>
      <c r="G6">
        <f>IF(A6="","",SUM('Asset Allocation'!D6))</f>
        <v>0</v>
      </c>
      <c r="H6">
        <f t="shared" si="0"/>
        <v>1</v>
      </c>
    </row>
    <row r="7" spans="1:8" x14ac:dyDescent="0.35">
      <c r="A7" t="str">
        <f>IF(Input!A8="","",Input!A8)</f>
        <v>Passive MPS 6</v>
      </c>
      <c r="B7">
        <f>IF(A7="","",SUM('Asset Allocation'!B7))</f>
        <v>0</v>
      </c>
      <c r="C7">
        <f>IF(A7="","",SUM('Asset Allocation'!C7))</f>
        <v>0</v>
      </c>
      <c r="D7">
        <f>IF(A7="","",SUM('Asset Allocation'!G7))</f>
        <v>0</v>
      </c>
      <c r="E7">
        <f>IF(A7="","",SUM('Asset Allocation'!F7))</f>
        <v>0</v>
      </c>
      <c r="F7">
        <f>IF(A7="","",SUM('Asset Allocation'!E7,'Asset Allocation'!H7))</f>
        <v>0</v>
      </c>
      <c r="G7">
        <f>IF(A7="","",SUM('Asset Allocation'!D7))</f>
        <v>0</v>
      </c>
      <c r="H7">
        <f t="shared" si="0"/>
        <v>1</v>
      </c>
    </row>
    <row r="8" spans="1:8" x14ac:dyDescent="0.35">
      <c r="A8" t="str">
        <f>IF(Input!A9="","",Input!A9)</f>
        <v>Passive MPS Income 1</v>
      </c>
      <c r="B8">
        <f>IF(A8="","",SUM('Asset Allocation'!B8))</f>
        <v>0</v>
      </c>
      <c r="C8">
        <f>IF(A8="","",SUM('Asset Allocation'!C8))</f>
        <v>0</v>
      </c>
      <c r="D8">
        <f>IF(A8="","",SUM('Asset Allocation'!G8))</f>
        <v>0</v>
      </c>
      <c r="E8">
        <f>IF(A8="","",SUM('Asset Allocation'!F8))</f>
        <v>0</v>
      </c>
      <c r="F8">
        <f>IF(A8="","",SUM('Asset Allocation'!E8,'Asset Allocation'!H8))</f>
        <v>0</v>
      </c>
      <c r="G8">
        <f>IF(A8="","",SUM('Asset Allocation'!D8))</f>
        <v>0</v>
      </c>
      <c r="H8">
        <f t="shared" si="0"/>
        <v>1</v>
      </c>
    </row>
    <row r="9" spans="1:8" x14ac:dyDescent="0.35">
      <c r="A9" t="str">
        <f>IF(Input!A10="","",Input!A10)</f>
        <v>Passive MPS Income 2</v>
      </c>
      <c r="B9">
        <f>IF(A9="","",SUM('Asset Allocation'!B9))</f>
        <v>0</v>
      </c>
      <c r="C9">
        <f>IF(A9="","",SUM('Asset Allocation'!C9))</f>
        <v>0</v>
      </c>
      <c r="D9">
        <f>IF(A9="","",SUM('Asset Allocation'!G9))</f>
        <v>0</v>
      </c>
      <c r="E9">
        <f>IF(A9="","",SUM('Asset Allocation'!F9))</f>
        <v>0</v>
      </c>
      <c r="F9">
        <f>IF(A9="","",SUM('Asset Allocation'!E9,'Asset Allocation'!H9))</f>
        <v>0</v>
      </c>
      <c r="G9">
        <f>IF(A9="","",SUM('Asset Allocation'!D9))</f>
        <v>0</v>
      </c>
      <c r="H9">
        <f t="shared" si="0"/>
        <v>1</v>
      </c>
    </row>
    <row r="10" spans="1:8" x14ac:dyDescent="0.35">
      <c r="A10" t="str">
        <f>IF(Input!A11="","",Input!A11)</f>
        <v>Active MPS 1</v>
      </c>
      <c r="B10">
        <f>IF(A10="","",SUM('Asset Allocation'!B10))</f>
        <v>0</v>
      </c>
      <c r="C10">
        <f>IF(A10="","",SUM('Asset Allocation'!C10))</f>
        <v>0</v>
      </c>
      <c r="D10">
        <f>IF(A10="","",SUM('Asset Allocation'!G10))</f>
        <v>0</v>
      </c>
      <c r="E10">
        <f>IF(A10="","",SUM('Asset Allocation'!F10))</f>
        <v>0</v>
      </c>
      <c r="F10">
        <f>IF(A10="","",SUM('Asset Allocation'!E10,'Asset Allocation'!H10))</f>
        <v>0</v>
      </c>
      <c r="G10">
        <f>IF(A10="","",SUM('Asset Allocation'!D10))</f>
        <v>0</v>
      </c>
      <c r="H10">
        <f t="shared" si="0"/>
        <v>1</v>
      </c>
    </row>
    <row r="11" spans="1:8" x14ac:dyDescent="0.35">
      <c r="A11" t="str">
        <f>IF(Input!A12="","",Input!A12)</f>
        <v>Active MPS 2</v>
      </c>
      <c r="B11">
        <f>IF(A11="","",SUM('Asset Allocation'!B11))</f>
        <v>0</v>
      </c>
      <c r="C11">
        <f>IF(A11="","",SUM('Asset Allocation'!C11))</f>
        <v>0</v>
      </c>
      <c r="D11">
        <f>IF(A11="","",SUM('Asset Allocation'!G11))</f>
        <v>0</v>
      </c>
      <c r="E11">
        <f>IF(A11="","",SUM('Asset Allocation'!F11))</f>
        <v>0</v>
      </c>
      <c r="F11">
        <f>IF(A11="","",SUM('Asset Allocation'!E11,'Asset Allocation'!H11))</f>
        <v>0</v>
      </c>
      <c r="G11">
        <f>IF(A11="","",SUM('Asset Allocation'!D11))</f>
        <v>0</v>
      </c>
      <c r="H11">
        <f t="shared" si="0"/>
        <v>1</v>
      </c>
    </row>
    <row r="12" spans="1:8" x14ac:dyDescent="0.35">
      <c r="A12" t="str">
        <f>IF(Input!A13="","",Input!A13)</f>
        <v>Active MPS 3</v>
      </c>
      <c r="B12">
        <f>IF(A12="","",SUM('Asset Allocation'!B12))</f>
        <v>0</v>
      </c>
      <c r="C12">
        <f>IF(A12="","",SUM('Asset Allocation'!C12))</f>
        <v>0</v>
      </c>
      <c r="D12">
        <f>IF(A12="","",SUM('Asset Allocation'!G12))</f>
        <v>0</v>
      </c>
      <c r="E12">
        <f>IF(A12="","",SUM('Asset Allocation'!F12))</f>
        <v>0</v>
      </c>
      <c r="F12">
        <f>IF(A12="","",SUM('Asset Allocation'!E12,'Asset Allocation'!H12))</f>
        <v>0</v>
      </c>
      <c r="G12">
        <f>IF(A12="","",SUM('Asset Allocation'!D12))</f>
        <v>0</v>
      </c>
      <c r="H12">
        <f t="shared" si="0"/>
        <v>1</v>
      </c>
    </row>
    <row r="13" spans="1:8" x14ac:dyDescent="0.35">
      <c r="A13" t="str">
        <f>IF(Input!A14="","",Input!A14)</f>
        <v>Active MPS 4</v>
      </c>
      <c r="B13">
        <f>IF(A13="","",SUM('Asset Allocation'!B13))</f>
        <v>0</v>
      </c>
      <c r="C13">
        <f>IF(A13="","",SUM('Asset Allocation'!C13))</f>
        <v>0</v>
      </c>
      <c r="D13">
        <f>IF(A13="","",SUM('Asset Allocation'!G13))</f>
        <v>0</v>
      </c>
      <c r="E13">
        <f>IF(A13="","",SUM('Asset Allocation'!F13))</f>
        <v>0</v>
      </c>
      <c r="F13">
        <f>IF(A13="","",SUM('Asset Allocation'!E13,'Asset Allocation'!H13))</f>
        <v>0</v>
      </c>
      <c r="G13">
        <f>IF(A13="","",SUM('Asset Allocation'!D13))</f>
        <v>0</v>
      </c>
      <c r="H13">
        <f t="shared" si="0"/>
        <v>1</v>
      </c>
    </row>
    <row r="14" spans="1:8" x14ac:dyDescent="0.35">
      <c r="A14" t="str">
        <f>IF(Input!A15="","",Input!A15)</f>
        <v>Active MPS 5</v>
      </c>
      <c r="B14">
        <f>IF(A14="","",SUM('Asset Allocation'!B14))</f>
        <v>0</v>
      </c>
      <c r="C14">
        <f>IF(A14="","",SUM('Asset Allocation'!C14))</f>
        <v>0</v>
      </c>
      <c r="D14">
        <f>IF(A14="","",SUM('Asset Allocation'!G14))</f>
        <v>0</v>
      </c>
      <c r="E14">
        <f>IF(A14="","",SUM('Asset Allocation'!F14))</f>
        <v>0</v>
      </c>
      <c r="F14">
        <f>IF(A14="","",SUM('Asset Allocation'!E14,'Asset Allocation'!H14))</f>
        <v>0</v>
      </c>
      <c r="G14">
        <f>IF(A14="","",SUM('Asset Allocation'!D14))</f>
        <v>0</v>
      </c>
      <c r="H14">
        <f t="shared" si="0"/>
        <v>1</v>
      </c>
    </row>
    <row r="15" spans="1:8" x14ac:dyDescent="0.35">
      <c r="A15" t="str">
        <f>IF(Input!A16="","",Input!A16)</f>
        <v>Active MPS 6</v>
      </c>
      <c r="B15">
        <f>IF(A15="","",SUM('Asset Allocation'!B15))</f>
        <v>0</v>
      </c>
      <c r="C15">
        <f>IF(A15="","",SUM('Asset Allocation'!C15))</f>
        <v>0</v>
      </c>
      <c r="D15">
        <f>IF(A15="","",SUM('Asset Allocation'!G15))</f>
        <v>0</v>
      </c>
      <c r="E15">
        <f>IF(A15="","",SUM('Asset Allocation'!F15))</f>
        <v>0</v>
      </c>
      <c r="F15">
        <f>IF(A15="","",SUM('Asset Allocation'!E15,'Asset Allocation'!H15))</f>
        <v>0</v>
      </c>
      <c r="G15">
        <f>IF(A15="","",SUM('Asset Allocation'!D15))</f>
        <v>0</v>
      </c>
      <c r="H15">
        <f t="shared" si="0"/>
        <v>1</v>
      </c>
    </row>
    <row r="16" spans="1:8" x14ac:dyDescent="0.35">
      <c r="A16" t="str">
        <f>IF(Input!A17="","",Input!A17)</f>
        <v>Active MPS Income 1</v>
      </c>
      <c r="B16">
        <f>IF(A16="","",SUM('Asset Allocation'!B16))</f>
        <v>0</v>
      </c>
      <c r="C16">
        <f>IF(A16="","",SUM('Asset Allocation'!C16))</f>
        <v>0</v>
      </c>
      <c r="D16">
        <f>IF(A16="","",SUM('Asset Allocation'!G16))</f>
        <v>0</v>
      </c>
      <c r="E16">
        <f>IF(A16="","",SUM('Asset Allocation'!F16))</f>
        <v>0</v>
      </c>
      <c r="F16">
        <f>IF(A16="","",SUM('Asset Allocation'!E16,'Asset Allocation'!H16))</f>
        <v>0</v>
      </c>
      <c r="G16">
        <f>IF(A16="","",SUM('Asset Allocation'!D16))</f>
        <v>0</v>
      </c>
      <c r="H16">
        <f t="shared" si="0"/>
        <v>1</v>
      </c>
    </row>
    <row r="17" spans="1:8" x14ac:dyDescent="0.35">
      <c r="A17" t="str">
        <f>IF(Input!A18="","",Input!A18)</f>
        <v>Active MPS Income 2</v>
      </c>
      <c r="B17">
        <f>IF(A17="","",SUM('Asset Allocation'!B17))</f>
        <v>0</v>
      </c>
      <c r="C17">
        <f>IF(A17="","",SUM('Asset Allocation'!C17))</f>
        <v>0</v>
      </c>
      <c r="D17">
        <f>IF(A17="","",SUM('Asset Allocation'!G17))</f>
        <v>0</v>
      </c>
      <c r="E17">
        <f>IF(A17="","",SUM('Asset Allocation'!F17))</f>
        <v>0</v>
      </c>
      <c r="F17">
        <f>IF(A17="","",SUM('Asset Allocation'!E17,'Asset Allocation'!H17))</f>
        <v>0</v>
      </c>
      <c r="G17">
        <f>IF(A17="","",SUM('Asset Allocation'!D17))</f>
        <v>0</v>
      </c>
      <c r="H17">
        <f t="shared" si="0"/>
        <v>1</v>
      </c>
    </row>
    <row r="18" spans="1:8" x14ac:dyDescent="0.35">
      <c r="A18" t="str">
        <f>IF(Input!A19="","",Input!A19)</f>
        <v>Pactive MPS 1</v>
      </c>
      <c r="B18">
        <f>IF(A18="","",SUM('Asset Allocation'!B18))</f>
        <v>0</v>
      </c>
      <c r="C18">
        <f>IF(A18="","",SUM('Asset Allocation'!C18))</f>
        <v>0</v>
      </c>
      <c r="D18">
        <f>IF(A18="","",SUM('Asset Allocation'!G18))</f>
        <v>0</v>
      </c>
      <c r="E18">
        <f>IF(A18="","",SUM('Asset Allocation'!F18))</f>
        <v>0</v>
      </c>
      <c r="F18">
        <f>IF(A18="","",SUM('Asset Allocation'!E18,'Asset Allocation'!H18))</f>
        <v>0</v>
      </c>
      <c r="G18">
        <f>IF(A18="","",SUM('Asset Allocation'!D18))</f>
        <v>0</v>
      </c>
      <c r="H18">
        <f t="shared" si="0"/>
        <v>1</v>
      </c>
    </row>
    <row r="19" spans="1:8" x14ac:dyDescent="0.35">
      <c r="A19" t="str">
        <f>IF(Input!A20="","",Input!A20)</f>
        <v>Pactive MPS 2</v>
      </c>
      <c r="B19">
        <f>IF(A19="","",SUM('Asset Allocation'!B19))</f>
        <v>0</v>
      </c>
      <c r="C19">
        <f>IF(A19="","",SUM('Asset Allocation'!C19))</f>
        <v>0</v>
      </c>
      <c r="D19">
        <f>IF(A19="","",SUM('Asset Allocation'!G19))</f>
        <v>0</v>
      </c>
      <c r="E19">
        <f>IF(A19="","",SUM('Asset Allocation'!F19))</f>
        <v>0</v>
      </c>
      <c r="F19">
        <f>IF(A19="","",SUM('Asset Allocation'!E19,'Asset Allocation'!H19))</f>
        <v>0</v>
      </c>
      <c r="G19">
        <f>IF(A19="","",SUM('Asset Allocation'!D19))</f>
        <v>0</v>
      </c>
      <c r="H19">
        <f t="shared" si="0"/>
        <v>1</v>
      </c>
    </row>
    <row r="20" spans="1:8" x14ac:dyDescent="0.35">
      <c r="A20" t="str">
        <f>IF(Input!A21="","",Input!A21)</f>
        <v>Pactive MPS 3</v>
      </c>
      <c r="B20">
        <f>IF(A20="","",SUM('Asset Allocation'!B20))</f>
        <v>0</v>
      </c>
      <c r="C20">
        <f>IF(A20="","",SUM('Asset Allocation'!C20))</f>
        <v>0</v>
      </c>
      <c r="D20">
        <f>IF(A20="","",SUM('Asset Allocation'!G20))</f>
        <v>0</v>
      </c>
      <c r="E20">
        <f>IF(A20="","",SUM('Asset Allocation'!F20))</f>
        <v>0</v>
      </c>
      <c r="F20">
        <f>IF(A20="","",SUM('Asset Allocation'!E20,'Asset Allocation'!H20))</f>
        <v>0</v>
      </c>
      <c r="G20">
        <f>IF(A20="","",SUM('Asset Allocation'!D20))</f>
        <v>0</v>
      </c>
      <c r="H20">
        <f t="shared" si="0"/>
        <v>1</v>
      </c>
    </row>
    <row r="21" spans="1:8" x14ac:dyDescent="0.35">
      <c r="A21" t="str">
        <f>IF(Input!A22="","",Input!A22)</f>
        <v>Pactive MPS 4</v>
      </c>
      <c r="B21">
        <f>IF(A21="","",SUM('Asset Allocation'!B21))</f>
        <v>0</v>
      </c>
      <c r="C21">
        <f>IF(A21="","",SUM('Asset Allocation'!C21))</f>
        <v>0</v>
      </c>
      <c r="D21">
        <f>IF(A21="","",SUM('Asset Allocation'!G21))</f>
        <v>0</v>
      </c>
      <c r="E21">
        <f>IF(A21="","",SUM('Asset Allocation'!F21))</f>
        <v>0</v>
      </c>
      <c r="F21">
        <f>IF(A21="","",SUM('Asset Allocation'!E21,'Asset Allocation'!H21))</f>
        <v>0</v>
      </c>
      <c r="G21">
        <f>IF(A21="","",SUM('Asset Allocation'!D21))</f>
        <v>0</v>
      </c>
      <c r="H21">
        <f t="shared" si="0"/>
        <v>1</v>
      </c>
    </row>
    <row r="22" spans="1:8" x14ac:dyDescent="0.35">
      <c r="A22" t="str">
        <f>IF(Input!A23="","",Input!A23)</f>
        <v>Pactive MPS 5</v>
      </c>
      <c r="B22">
        <f>IF(A22="","",SUM('Asset Allocation'!B22))</f>
        <v>0</v>
      </c>
      <c r="C22">
        <f>IF(A22="","",SUM('Asset Allocation'!C22))</f>
        <v>0</v>
      </c>
      <c r="D22">
        <f>IF(A22="","",SUM('Asset Allocation'!G22))</f>
        <v>0</v>
      </c>
      <c r="E22">
        <f>IF(A22="","",SUM('Asset Allocation'!F22))</f>
        <v>0</v>
      </c>
      <c r="F22">
        <f>IF(A22="","",SUM('Asset Allocation'!E22,'Asset Allocation'!H22))</f>
        <v>0</v>
      </c>
      <c r="G22">
        <f>IF(A22="","",SUM('Asset Allocation'!D22))</f>
        <v>0</v>
      </c>
      <c r="H22">
        <f t="shared" si="0"/>
        <v>1</v>
      </c>
    </row>
    <row r="23" spans="1:8" x14ac:dyDescent="0.35">
      <c r="A23" t="str">
        <f>IF(Input!A24="","",Input!A24)</f>
        <v>Pactive MPS 6</v>
      </c>
      <c r="B23">
        <f>IF(A23="","",SUM('Asset Allocation'!B23))</f>
        <v>0</v>
      </c>
      <c r="C23">
        <f>IF(A23="","",SUM('Asset Allocation'!C23))</f>
        <v>0</v>
      </c>
      <c r="D23">
        <f>IF(A23="","",SUM('Asset Allocation'!G23))</f>
        <v>0</v>
      </c>
      <c r="E23">
        <f>IF(A23="","",SUM('Asset Allocation'!F23))</f>
        <v>0</v>
      </c>
      <c r="F23">
        <f>IF(A23="","",SUM('Asset Allocation'!E23,'Asset Allocation'!H23))</f>
        <v>0</v>
      </c>
      <c r="G23">
        <f>IF(A23="","",SUM('Asset Allocation'!D23))</f>
        <v>0</v>
      </c>
      <c r="H23">
        <f t="shared" si="0"/>
        <v>1</v>
      </c>
    </row>
    <row r="24" spans="1:8" x14ac:dyDescent="0.35">
      <c r="A24" t="str">
        <f>IF(Input!A25="","",Input!A25)</f>
        <v>Responsible MPS 1</v>
      </c>
      <c r="B24">
        <f>IF(A24="","",SUM('Asset Allocation'!B24))</f>
        <v>0</v>
      </c>
      <c r="C24">
        <f>IF(A24="","",SUM('Asset Allocation'!C24))</f>
        <v>0</v>
      </c>
      <c r="D24">
        <f>IF(A24="","",SUM('Asset Allocation'!G24))</f>
        <v>0</v>
      </c>
      <c r="E24">
        <f>IF(A24="","",SUM('Asset Allocation'!F24))</f>
        <v>0</v>
      </c>
      <c r="F24">
        <f>IF(A24="","",SUM('Asset Allocation'!E24,'Asset Allocation'!H24))</f>
        <v>0</v>
      </c>
      <c r="G24">
        <f>IF(A24="","",SUM('Asset Allocation'!D24))</f>
        <v>0</v>
      </c>
      <c r="H24">
        <f t="shared" si="0"/>
        <v>1</v>
      </c>
    </row>
    <row r="25" spans="1:8" x14ac:dyDescent="0.35">
      <c r="A25" t="str">
        <f>IF(Input!A26="","",Input!A26)</f>
        <v>Responsible MPS 2</v>
      </c>
      <c r="B25">
        <f>IF(A25="","",SUM('Asset Allocation'!B25))</f>
        <v>0</v>
      </c>
      <c r="C25">
        <f>IF(A25="","",SUM('Asset Allocation'!C25))</f>
        <v>0</v>
      </c>
      <c r="D25">
        <f>IF(A25="","",SUM('Asset Allocation'!G25))</f>
        <v>0</v>
      </c>
      <c r="E25">
        <f>IF(A25="","",SUM('Asset Allocation'!F25))</f>
        <v>0</v>
      </c>
      <c r="F25">
        <f>IF(A25="","",SUM('Asset Allocation'!E25,'Asset Allocation'!H25))</f>
        <v>0</v>
      </c>
      <c r="G25">
        <f>IF(A25="","",SUM('Asset Allocation'!D25))</f>
        <v>0</v>
      </c>
      <c r="H25">
        <f t="shared" si="0"/>
        <v>1</v>
      </c>
    </row>
    <row r="26" spans="1:8" x14ac:dyDescent="0.35">
      <c r="A26" t="str">
        <f>IF(Input!A27="","",Input!A27)</f>
        <v>Responsible MPS 3</v>
      </c>
      <c r="B26">
        <f>IF(A26="","",SUM('Asset Allocation'!B26))</f>
        <v>0</v>
      </c>
      <c r="C26">
        <f>IF(A26="","",SUM('Asset Allocation'!C26))</f>
        <v>0</v>
      </c>
      <c r="D26">
        <f>IF(A26="","",SUM('Asset Allocation'!G26))</f>
        <v>0</v>
      </c>
      <c r="E26">
        <f>IF(A26="","",SUM('Asset Allocation'!F26))</f>
        <v>0</v>
      </c>
      <c r="F26">
        <f>IF(A26="","",SUM('Asset Allocation'!E26,'Asset Allocation'!H26))</f>
        <v>0</v>
      </c>
      <c r="G26">
        <f>IF(A26="","",SUM('Asset Allocation'!D26))</f>
        <v>0</v>
      </c>
      <c r="H26">
        <f t="shared" si="0"/>
        <v>1</v>
      </c>
    </row>
    <row r="27" spans="1:8" x14ac:dyDescent="0.35">
      <c r="A27" t="str">
        <f>IF(Input!A28="","",Input!A28)</f>
        <v>Responsible MPS 4</v>
      </c>
      <c r="B27">
        <f>IF(A27="","",SUM('Asset Allocation'!B27))</f>
        <v>0</v>
      </c>
      <c r="C27">
        <f>IF(A27="","",SUM('Asset Allocation'!C27))</f>
        <v>0</v>
      </c>
      <c r="D27">
        <f>IF(A27="","",SUM('Asset Allocation'!G27))</f>
        <v>0</v>
      </c>
      <c r="E27">
        <f>IF(A27="","",SUM('Asset Allocation'!F27))</f>
        <v>0</v>
      </c>
      <c r="F27">
        <f>IF(A27="","",SUM('Asset Allocation'!E27,'Asset Allocation'!H27))</f>
        <v>0</v>
      </c>
      <c r="G27">
        <f>IF(A27="","",SUM('Asset Allocation'!D27))</f>
        <v>0</v>
      </c>
      <c r="H27">
        <f t="shared" si="0"/>
        <v>1</v>
      </c>
    </row>
    <row r="28" spans="1:8" x14ac:dyDescent="0.35">
      <c r="A28" t="str">
        <f>IF(Input!A29="","",Input!A29)</f>
        <v>Responsible MPS 5</v>
      </c>
      <c r="B28">
        <f>IF(A28="","",SUM('Asset Allocation'!B28))</f>
        <v>0</v>
      </c>
      <c r="C28">
        <f>IF(A28="","",SUM('Asset Allocation'!C28))</f>
        <v>0</v>
      </c>
      <c r="D28">
        <f>IF(A28="","",SUM('Asset Allocation'!G28))</f>
        <v>0</v>
      </c>
      <c r="E28">
        <f>IF(A28="","",SUM('Asset Allocation'!F28))</f>
        <v>0</v>
      </c>
      <c r="F28">
        <f>IF(A28="","",SUM('Asset Allocation'!E28,'Asset Allocation'!H28))</f>
        <v>0</v>
      </c>
      <c r="G28">
        <f>IF(A28="","",SUM('Asset Allocation'!D28))</f>
        <v>0</v>
      </c>
      <c r="H28">
        <f t="shared" si="0"/>
        <v>1</v>
      </c>
    </row>
    <row r="29" spans="1:8" x14ac:dyDescent="0.35">
      <c r="A29" t="str">
        <f>IF(Input!A30="","",Input!A30)</f>
        <v>Responsible MPS 6</v>
      </c>
      <c r="B29">
        <f>IF(A29="","",SUM('Asset Allocation'!B29))</f>
        <v>0</v>
      </c>
      <c r="C29">
        <f>IF(A29="","",SUM('Asset Allocation'!C29))</f>
        <v>0</v>
      </c>
      <c r="D29">
        <f>IF(A29="","",SUM('Asset Allocation'!G29))</f>
        <v>0</v>
      </c>
      <c r="E29">
        <f>IF(A29="","",SUM('Asset Allocation'!F29))</f>
        <v>0</v>
      </c>
      <c r="F29">
        <f>IF(A29="","",SUM('Asset Allocation'!E29,'Asset Allocation'!H29))</f>
        <v>0</v>
      </c>
      <c r="G29">
        <f>IF(A29="","",SUM('Asset Allocation'!D29))</f>
        <v>0</v>
      </c>
      <c r="H29">
        <f t="shared" si="0"/>
        <v>1</v>
      </c>
    </row>
    <row r="30" spans="1:8" x14ac:dyDescent="0.3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D30" t="str">
        <f>IF(A30="","",SUM('Asset Allocation'!G30))</f>
        <v/>
      </c>
      <c r="E30" t="str">
        <f>IF(A30="","",SUM('Asset Allocation'!F30))</f>
        <v/>
      </c>
      <c r="F30" t="str">
        <f>IF(A30="","",SUM('Asset Allocation'!E30,'Asset Allocation'!H30))</f>
        <v/>
      </c>
      <c r="G30" t="str">
        <f>IF(A30="","",SUM('Asset Allocation'!D30))</f>
        <v/>
      </c>
      <c r="H30" t="str">
        <f t="shared" si="0"/>
        <v/>
      </c>
    </row>
    <row r="31" spans="1:8" x14ac:dyDescent="0.3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D31" t="str">
        <f>IF(A31="","",SUM('Asset Allocation'!G31))</f>
        <v/>
      </c>
      <c r="E31" t="str">
        <f>IF(A31="","",SUM('Asset Allocation'!F31))</f>
        <v/>
      </c>
      <c r="F31" t="str">
        <f>IF(A31="","",SUM('Asset Allocation'!E31,'Asset Allocation'!H31))</f>
        <v/>
      </c>
      <c r="G31" t="str">
        <f>IF(A31="","",SUM('Asset Allocation'!D31))</f>
        <v/>
      </c>
      <c r="H31" t="str">
        <f t="shared" si="0"/>
        <v/>
      </c>
    </row>
    <row r="32" spans="1:8" x14ac:dyDescent="0.3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D32" t="str">
        <f>IF(A32="","",SUM('Asset Allocation'!G32))</f>
        <v/>
      </c>
      <c r="E32" t="str">
        <f>IF(A32="","",SUM('Asset Allocation'!F32))</f>
        <v/>
      </c>
      <c r="F32" t="str">
        <f>IF(A32="","",SUM('Asset Allocation'!E32,'Asset Allocation'!H32))</f>
        <v/>
      </c>
      <c r="G32" t="str">
        <f>IF(A32="","",SUM('Asset Allocation'!D32))</f>
        <v/>
      </c>
      <c r="H32" t="str">
        <f t="shared" si="0"/>
        <v/>
      </c>
    </row>
    <row r="33" spans="1:8" x14ac:dyDescent="0.35">
      <c r="A33" t="str">
        <f>IF(Input!A34="","",Input!A34)</f>
        <v/>
      </c>
      <c r="B33" t="str">
        <f>IF(A33="","",SUM('Asset Allocation'!B33))</f>
        <v/>
      </c>
      <c r="C33" t="str">
        <f>IF(A33="","",SUM('Asset Allocation'!C33))</f>
        <v/>
      </c>
      <c r="D33" t="str">
        <f>IF(A33="","",SUM('Asset Allocation'!G33))</f>
        <v/>
      </c>
      <c r="E33" t="str">
        <f>IF(A33="","",SUM('Asset Allocation'!F33))</f>
        <v/>
      </c>
      <c r="F33" t="str">
        <f>IF(A33="","",SUM('Asset Allocation'!E33,'Asset Allocation'!H33))</f>
        <v/>
      </c>
      <c r="G33" t="str">
        <f>IF(A33="","",SUM('Asset Allocation'!D33))</f>
        <v/>
      </c>
      <c r="H33" t="str">
        <f t="shared" si="0"/>
        <v/>
      </c>
    </row>
    <row r="34" spans="1:8" x14ac:dyDescent="0.35">
      <c r="A34" t="str">
        <f>IF(Input!A35="","",Input!A35)</f>
        <v/>
      </c>
      <c r="B34" t="str">
        <f>IF(A34="","",SUM('Asset Allocation'!B34))</f>
        <v/>
      </c>
      <c r="C34" t="str">
        <f>IF(A34="","",SUM('Asset Allocation'!C34))</f>
        <v/>
      </c>
      <c r="D34" t="str">
        <f>IF(A34="","",SUM('Asset Allocation'!G34))</f>
        <v/>
      </c>
      <c r="E34" t="str">
        <f>IF(A34="","",SUM('Asset Allocation'!F34))</f>
        <v/>
      </c>
      <c r="F34" t="str">
        <f>IF(A34="","",SUM('Asset Allocation'!E34,'Asset Allocation'!H34))</f>
        <v/>
      </c>
      <c r="G34" t="str">
        <f>IF(A34="","",SUM('Asset Allocation'!D34))</f>
        <v/>
      </c>
      <c r="H34" t="str">
        <f t="shared" si="0"/>
        <v/>
      </c>
    </row>
    <row r="35" spans="1:8" x14ac:dyDescent="0.35">
      <c r="A35" t="str">
        <f>IF(Input!A36="","",Input!A36)</f>
        <v/>
      </c>
      <c r="B35" t="str">
        <f>IF(A35="","",SUM('Asset Allocation'!B35))</f>
        <v/>
      </c>
      <c r="C35" t="str">
        <f>IF(A35="","",SUM('Asset Allocation'!C35))</f>
        <v/>
      </c>
      <c r="D35" t="str">
        <f>IF(A35="","",SUM('Asset Allocation'!G35))</f>
        <v/>
      </c>
      <c r="E35" t="str">
        <f>IF(A35="","",SUM('Asset Allocation'!F35))</f>
        <v/>
      </c>
      <c r="F35" t="str">
        <f>IF(A35="","",SUM('Asset Allocation'!E35,'Asset Allocation'!H35))</f>
        <v/>
      </c>
      <c r="G35" t="str">
        <f>IF(A35="","",SUM('Asset Allocation'!D35))</f>
        <v/>
      </c>
      <c r="H35" t="str">
        <f t="shared" si="0"/>
        <v/>
      </c>
    </row>
    <row r="36" spans="1:8" x14ac:dyDescent="0.35">
      <c r="A36" t="str">
        <f>IF(Input!A37="","",Input!A37)</f>
        <v/>
      </c>
      <c r="B36" t="str">
        <f>IF(A36="","",SUM('Asset Allocation'!B36))</f>
        <v/>
      </c>
      <c r="C36" t="str">
        <f>IF(A36="","",SUM('Asset Allocation'!C36))</f>
        <v/>
      </c>
      <c r="D36" t="str">
        <f>IF(A36="","",SUM('Asset Allocation'!G36))</f>
        <v/>
      </c>
      <c r="E36" t="str">
        <f>IF(A36="","",SUM('Asset Allocation'!F36))</f>
        <v/>
      </c>
      <c r="F36" t="str">
        <f>IF(A36="","",SUM('Asset Allocation'!E36,'Asset Allocation'!H36))</f>
        <v/>
      </c>
      <c r="G36" t="str">
        <f>IF(A36="","",SUM('Asset Allocation'!D36))</f>
        <v/>
      </c>
      <c r="H36" t="str">
        <f t="shared" si="0"/>
        <v/>
      </c>
    </row>
    <row r="37" spans="1:8" x14ac:dyDescent="0.35">
      <c r="A37" t="str">
        <f>IF(Input!A38="","",Input!A38)</f>
        <v/>
      </c>
      <c r="B37" t="str">
        <f>IF(A37="","",SUM('Asset Allocation'!B37))</f>
        <v/>
      </c>
      <c r="C37" t="str">
        <f>IF(A37="","",SUM('Asset Allocation'!C37))</f>
        <v/>
      </c>
      <c r="D37" t="str">
        <f>IF(A37="","",SUM('Asset Allocation'!G37))</f>
        <v/>
      </c>
      <c r="E37" t="str">
        <f>IF(A37="","",SUM('Asset Allocation'!F37))</f>
        <v/>
      </c>
      <c r="F37" t="str">
        <f>IF(A37="","",SUM('Asset Allocation'!E37,'Asset Allocation'!H37))</f>
        <v/>
      </c>
      <c r="G37" t="str">
        <f>IF(A37="","",SUM('Asset Allocation'!D37))</f>
        <v/>
      </c>
      <c r="H37" t="str">
        <f t="shared" si="0"/>
        <v/>
      </c>
    </row>
    <row r="38" spans="1:8" x14ac:dyDescent="0.35">
      <c r="A38" t="str">
        <f>IF(Input!A39="","",Input!A39)</f>
        <v/>
      </c>
      <c r="B38" t="str">
        <f>IF(A38="","",SUM('Asset Allocation'!B38))</f>
        <v/>
      </c>
      <c r="C38" t="str">
        <f>IF(A38="","",SUM('Asset Allocation'!C38))</f>
        <v/>
      </c>
      <c r="D38" t="str">
        <f>IF(A38="","",SUM('Asset Allocation'!G38))</f>
        <v/>
      </c>
      <c r="E38" t="str">
        <f>IF(A38="","",SUM('Asset Allocation'!F38))</f>
        <v/>
      </c>
      <c r="F38" t="str">
        <f>IF(A38="","",SUM('Asset Allocation'!E38,'Asset Allocation'!H38))</f>
        <v/>
      </c>
      <c r="G38" t="str">
        <f>IF(A38="","",SUM('Asset Allocation'!D38))</f>
        <v/>
      </c>
      <c r="H38" t="str">
        <f t="shared" si="0"/>
        <v/>
      </c>
    </row>
    <row r="39" spans="1:8" x14ac:dyDescent="0.3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D39" t="str">
        <f>IF(A39="","",SUM('Asset Allocation'!G39))</f>
        <v/>
      </c>
      <c r="E39" t="str">
        <f>IF(A39="","",SUM('Asset Allocation'!F39))</f>
        <v/>
      </c>
      <c r="F39" t="str">
        <f>IF(A39="","",SUM('Asset Allocation'!E39,'Asset Allocation'!H39))</f>
        <v/>
      </c>
      <c r="G39" t="str">
        <f>IF(A39="","",SUM('Asset Allocation'!D39))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D40" t="str">
        <f>IF(A40="","",SUM('Asset Allocation'!G40))</f>
        <v/>
      </c>
      <c r="E40" t="str">
        <f>IF(A40="","",SUM('Asset Allocation'!F40))</f>
        <v/>
      </c>
      <c r="F40" t="str">
        <f>IF(A40="","",SUM('Asset Allocation'!E40,'Asset Allocation'!H40))</f>
        <v/>
      </c>
      <c r="G40" t="str">
        <f>IF(A40="","",SUM('Asset Allocation'!D40))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D41" t="str">
        <f>IF(A41="","",SUM('Asset Allocation'!G41))</f>
        <v/>
      </c>
      <c r="E41" t="str">
        <f>IF(A41="","",SUM('Asset Allocation'!F41))</f>
        <v/>
      </c>
      <c r="F41" t="str">
        <f>IF(A41="","",SUM('Asset Allocation'!E41,'Asset Allocation'!H41))</f>
        <v/>
      </c>
      <c r="G41" t="str">
        <f>IF(A41="","",SUM('Asset Allocation'!D41))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D42" t="str">
        <f>IF(A42="","",SUM('Asset Allocation'!G42))</f>
        <v/>
      </c>
      <c r="E42" t="str">
        <f>IF(A42="","",SUM('Asset Allocation'!F42))</f>
        <v/>
      </c>
      <c r="F42" t="str">
        <f>IF(A42="","",SUM('Asset Allocation'!E42,'Asset Allocation'!H42))</f>
        <v/>
      </c>
      <c r="G42" t="str">
        <f>IF(A42="","",SUM('Asset Allocation'!D42))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D43" t="str">
        <f>IF(A43="","",SUM('Asset Allocation'!G43))</f>
        <v/>
      </c>
      <c r="E43" t="str">
        <f>IF(A43="","",SUM('Asset Allocation'!F43))</f>
        <v/>
      </c>
      <c r="F43" t="str">
        <f>IF(A43="","",SUM('Asset Allocation'!E43,'Asset Allocation'!H43))</f>
        <v/>
      </c>
      <c r="G43" t="str">
        <f>IF(A43="","",SUM('Asset Allocation'!D43))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Allocation'!G44))</f>
        <v/>
      </c>
      <c r="E44" t="str">
        <f>IF(A44="","",SUM('Asset Allocation'!F44))</f>
        <v/>
      </c>
      <c r="F44" t="str">
        <f>IF(A44="","",SUM('Asset Allocation'!E44,'Asset Allocation'!H44))</f>
        <v/>
      </c>
      <c r="G44" t="str">
        <f>IF(A44="","",SUM('Asset Allocation'!D44))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Allocation'!G45))</f>
        <v/>
      </c>
      <c r="E45" t="str">
        <f>IF(A45="","",SUM('Asset Allocation'!F45))</f>
        <v/>
      </c>
      <c r="F45" t="str">
        <f>IF(A45="","",SUM('Asset Allocation'!E45,'Asset Allocation'!H45))</f>
        <v/>
      </c>
      <c r="G45" t="str">
        <f>IF(A45="","",SUM('Asset Allocation'!D45))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Allocation'!G46))</f>
        <v/>
      </c>
      <c r="E46" t="str">
        <f>IF(A46="","",SUM('Asset Allocation'!F46))</f>
        <v/>
      </c>
      <c r="F46" t="str">
        <f>IF(A46="","",SUM('Asset Allocation'!E46,'Asset Allocation'!H46))</f>
        <v/>
      </c>
      <c r="G46" t="str">
        <f>IF(A46="","",SUM('Asset Allocation'!D46))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Allocation'!G47))</f>
        <v/>
      </c>
      <c r="E47" t="str">
        <f>IF(A47="","",SUM('Asset Allocation'!F47))</f>
        <v/>
      </c>
      <c r="F47" t="str">
        <f>IF(A47="","",SUM('Asset Allocation'!E47,'Asset Allocation'!H47))</f>
        <v/>
      </c>
      <c r="G47" t="str">
        <f>IF(A47="","",SUM('Asset Allocation'!D47))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Allocation'!G48))</f>
        <v/>
      </c>
      <c r="E48" t="str">
        <f>IF(A48="","",SUM('Asset Allocation'!F48))</f>
        <v/>
      </c>
      <c r="F48" t="str">
        <f>IF(A48="","",SUM('Asset Allocation'!E48,'Asset Allocation'!H48))</f>
        <v/>
      </c>
      <c r="G48" t="str">
        <f>IF(A48="","",SUM('Asset Allocation'!D48))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Allocation'!G49))</f>
        <v/>
      </c>
      <c r="E49" t="str">
        <f>IF(A49="","",SUM('Asset Allocation'!F49))</f>
        <v/>
      </c>
      <c r="F49" t="str">
        <f>IF(A49="","",SUM('Asset Allocation'!E49,'Asset Allocation'!H49))</f>
        <v/>
      </c>
      <c r="G49" t="str">
        <f>IF(A49="","",SUM('Asset Allocation'!D49))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Allocation'!G50))</f>
        <v/>
      </c>
      <c r="E50" t="str">
        <f>IF(A50="","",SUM('Asset Allocation'!F50))</f>
        <v/>
      </c>
      <c r="F50" t="str">
        <f>IF(A50="","",SUM('Asset Allocation'!E50,'Asset Allocation'!H50))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07330-D7C5-4FC7-81EF-FD92785D8676}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19.08984375" bestFit="1" customWidth="1"/>
    <col min="2" max="7" width="8.81640625" bestFit="1" customWidth="1"/>
    <col min="8" max="8" width="17.5429687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35">
      <c r="A2" t="str">
        <f>IF(Input!A3="","",Input!A3)</f>
        <v>Passive MPS 1</v>
      </c>
      <c r="B2" s="6">
        <f>IFERROR(IF(A2="","",SUM('Asset Allocation'!I2)),0)</f>
        <v>0</v>
      </c>
      <c r="C2" s="6">
        <f>IFERROR(IF(A2="","",SUM('Asset Allocation'!L2)),0)</f>
        <v>0</v>
      </c>
      <c r="D2" s="6">
        <f>IFERROR(IF(A2="","",SUM('Asset Allocation'!R2,'Asset Allocation'!K2)),0)</f>
        <v>0</v>
      </c>
      <c r="E2" s="6">
        <f>IFERROR(IF(A2="","",SUM('Asset Allocation'!M2)),0)</f>
        <v>0</v>
      </c>
      <c r="F2" s="6">
        <f>IFERROR(IF(A2="","",SUM('Asset Allocation'!J2)),0)</f>
        <v>0</v>
      </c>
      <c r="G2" s="6">
        <f>IFERROR(IF(A2="","",SUM('Asset Allocation'!P2,'Asset Allocation'!Q2)),0)</f>
        <v>0</v>
      </c>
      <c r="H2" s="6">
        <f>IFERROR(IF(A2="","",SUM('Asset Allocation'!N2)),0)</f>
        <v>0</v>
      </c>
    </row>
    <row r="3" spans="1:8" x14ac:dyDescent="0.35">
      <c r="A3" t="str">
        <f>IF(Input!A4="","",Input!A4)</f>
        <v>Passive MPS 2</v>
      </c>
      <c r="B3" s="6">
        <f>IFERROR(IF(A3="","",SUM('Asset Allocation'!I3)),0)</f>
        <v>0</v>
      </c>
      <c r="C3" s="6">
        <f>IFERROR(IF(A3="","",SUM('Asset Allocation'!L3)),0)</f>
        <v>0</v>
      </c>
      <c r="D3" s="6">
        <f>IFERROR(IF(A3="","",SUM('Asset Allocation'!R3,'Asset Allocation'!K3)),0)</f>
        <v>0</v>
      </c>
      <c r="E3" s="6">
        <f>IFERROR(IF(A3="","",SUM('Asset Allocation'!M3)),0)</f>
        <v>0</v>
      </c>
      <c r="F3" s="6">
        <f>IFERROR(IF(A3="","",SUM('Asset Allocation'!J3)),0)</f>
        <v>0</v>
      </c>
      <c r="G3" s="6">
        <f>IFERROR(IF(A3="","",SUM('Asset Allocation'!P3,'Asset Allocation'!Q3)),0)</f>
        <v>0</v>
      </c>
      <c r="H3" s="6">
        <f>IFERROR(IF(A3="","",SUM('Asset Allocation'!N3)),0)</f>
        <v>0</v>
      </c>
    </row>
    <row r="4" spans="1:8" x14ac:dyDescent="0.35">
      <c r="A4" t="str">
        <f>IF(Input!A5="","",Input!A5)</f>
        <v>Passive MPS 3</v>
      </c>
      <c r="B4" s="6">
        <f>IFERROR(IF(A4="","",SUM('Asset Allocation'!I4)),0)</f>
        <v>0</v>
      </c>
      <c r="C4" s="6">
        <f>IFERROR(IF(A4="","",SUM('Asset Allocation'!L4)),0)</f>
        <v>0</v>
      </c>
      <c r="D4" s="6">
        <f>IFERROR(IF(A4="","",SUM('Asset Allocation'!R4,'Asset Allocation'!K4)),0)</f>
        <v>0</v>
      </c>
      <c r="E4" s="6">
        <f>IFERROR(IF(A4="","",SUM('Asset Allocation'!M4)),0)</f>
        <v>0</v>
      </c>
      <c r="F4" s="6">
        <f>IFERROR(IF(A4="","",SUM('Asset Allocation'!J4)),0)</f>
        <v>0</v>
      </c>
      <c r="G4" s="6">
        <f>IFERROR(IF(A4="","",SUM('Asset Allocation'!P4,'Asset Allocation'!Q4)),0)</f>
        <v>0</v>
      </c>
      <c r="H4" s="6">
        <f>IFERROR(IF(A4="","",SUM('Asset Allocation'!N4)),0)</f>
        <v>0</v>
      </c>
    </row>
    <row r="5" spans="1:8" x14ac:dyDescent="0.35">
      <c r="A5" t="str">
        <f>IF(Input!A6="","",Input!A6)</f>
        <v>Passive MPS 4</v>
      </c>
      <c r="B5" s="6">
        <f>IFERROR(IF(A5="","",SUM('Asset Allocation'!I5)),0)</f>
        <v>0</v>
      </c>
      <c r="C5" s="6">
        <f>IFERROR(IF(A5="","",SUM('Asset Allocation'!L5)),0)</f>
        <v>0</v>
      </c>
      <c r="D5" s="6">
        <f>IFERROR(IF(A5="","",SUM('Asset Allocation'!R5,'Asset Allocation'!K5)),0)</f>
        <v>0</v>
      </c>
      <c r="E5" s="6">
        <f>IFERROR(IF(A5="","",SUM('Asset Allocation'!M5)),0)</f>
        <v>0</v>
      </c>
      <c r="F5" s="6">
        <f>IFERROR(IF(A5="","",SUM('Asset Allocation'!J5)),0)</f>
        <v>0</v>
      </c>
      <c r="G5" s="6">
        <f>IFERROR(IF(A5="","",SUM('Asset Allocation'!P5,'Asset Allocation'!Q5)),0)</f>
        <v>0</v>
      </c>
      <c r="H5" s="6">
        <f>IFERROR(IF(A5="","",SUM('Asset Allocation'!N5)),0)</f>
        <v>0</v>
      </c>
    </row>
    <row r="6" spans="1:8" x14ac:dyDescent="0.35">
      <c r="A6" t="str">
        <f>IF(Input!A7="","",Input!A7)</f>
        <v>Passive MPS 5</v>
      </c>
      <c r="B6" s="6">
        <f>IFERROR(IF(A6="","",SUM('Asset Allocation'!I6)),0)</f>
        <v>0</v>
      </c>
      <c r="C6" s="6">
        <f>IFERROR(IF(A6="","",SUM('Asset Allocation'!L6)),0)</f>
        <v>0</v>
      </c>
      <c r="D6" s="6">
        <f>IFERROR(IF(A6="","",SUM('Asset Allocation'!R6,'Asset Allocation'!K6)),0)</f>
        <v>0</v>
      </c>
      <c r="E6" s="6">
        <f>IFERROR(IF(A6="","",SUM('Asset Allocation'!M6)),0)</f>
        <v>0</v>
      </c>
      <c r="F6" s="6">
        <f>IFERROR(IF(A6="","",SUM('Asset Allocation'!J6)),0)</f>
        <v>0</v>
      </c>
      <c r="G6" s="6">
        <f>IFERROR(IF(A6="","",SUM('Asset Allocation'!P6,'Asset Allocation'!Q6)),0)</f>
        <v>0</v>
      </c>
      <c r="H6" s="6">
        <f>IFERROR(IF(A6="","",SUM('Asset Allocation'!N6)),0)</f>
        <v>0</v>
      </c>
    </row>
    <row r="7" spans="1:8" x14ac:dyDescent="0.35">
      <c r="A7" t="str">
        <f>IF(Input!A8="","",Input!A8)</f>
        <v>Passive MPS 6</v>
      </c>
      <c r="B7" s="6">
        <f>IFERROR(IF(A7="","",SUM('Asset Allocation'!I7)),0)</f>
        <v>0</v>
      </c>
      <c r="C7" s="6">
        <f>IFERROR(IF(A7="","",SUM('Asset Allocation'!L7)),0)</f>
        <v>0</v>
      </c>
      <c r="D7" s="6">
        <f>IFERROR(IF(A7="","",SUM('Asset Allocation'!R7,'Asset Allocation'!K7)),0)</f>
        <v>0</v>
      </c>
      <c r="E7" s="6">
        <f>IFERROR(IF(A7="","",SUM('Asset Allocation'!M7)),0)</f>
        <v>0</v>
      </c>
      <c r="F7" s="6">
        <f>IFERROR(IF(A7="","",SUM('Asset Allocation'!J7)),0)</f>
        <v>0</v>
      </c>
      <c r="G7" s="6">
        <f>IFERROR(IF(A7="","",SUM('Asset Allocation'!P7,'Asset Allocation'!Q7)),0)</f>
        <v>0</v>
      </c>
      <c r="H7" s="6">
        <f>IFERROR(IF(A7="","",SUM('Asset Allocation'!N7)),0)</f>
        <v>0</v>
      </c>
    </row>
    <row r="8" spans="1:8" x14ac:dyDescent="0.35">
      <c r="A8" t="str">
        <f>IF(Input!A9="","",Input!A9)</f>
        <v>Passive MPS Income 1</v>
      </c>
      <c r="B8" s="6">
        <f>IFERROR(IF(A8="","",SUM('Asset Allocation'!I8)),0)</f>
        <v>0</v>
      </c>
      <c r="C8" s="6">
        <f>IFERROR(IF(A8="","",SUM('Asset Allocation'!L8)),0)</f>
        <v>0</v>
      </c>
      <c r="D8" s="6">
        <f>IFERROR(IF(A8="","",SUM('Asset Allocation'!R8,'Asset Allocation'!K8)),0)</f>
        <v>0</v>
      </c>
      <c r="E8" s="6">
        <f>IFERROR(IF(A8="","",SUM('Asset Allocation'!M8)),0)</f>
        <v>0</v>
      </c>
      <c r="F8" s="6">
        <f>IFERROR(IF(A8="","",SUM('Asset Allocation'!J8)),0)</f>
        <v>0</v>
      </c>
      <c r="G8" s="6">
        <f>IFERROR(IF(A8="","",SUM('Asset Allocation'!P8,'Asset Allocation'!Q8)),0)</f>
        <v>0</v>
      </c>
      <c r="H8" s="6">
        <f>IFERROR(IF(A8="","",SUM('Asset Allocation'!N8)),0)</f>
        <v>0</v>
      </c>
    </row>
    <row r="9" spans="1:8" x14ac:dyDescent="0.35">
      <c r="A9" t="str">
        <f>IF(Input!A10="","",Input!A10)</f>
        <v>Passive MPS Income 2</v>
      </c>
      <c r="B9" s="6">
        <f>IFERROR(IF(A9="","",SUM('Asset Allocation'!I9)),0)</f>
        <v>0</v>
      </c>
      <c r="C9" s="6">
        <f>IFERROR(IF(A9="","",SUM('Asset Allocation'!L9)),0)</f>
        <v>0</v>
      </c>
      <c r="D9" s="6">
        <f>IFERROR(IF(A9="","",SUM('Asset Allocation'!R9,'Asset Allocation'!K9)),0)</f>
        <v>0</v>
      </c>
      <c r="E9" s="6">
        <f>IFERROR(IF(A9="","",SUM('Asset Allocation'!M9)),0)</f>
        <v>0</v>
      </c>
      <c r="F9" s="6">
        <f>IFERROR(IF(A9="","",SUM('Asset Allocation'!J9)),0)</f>
        <v>0</v>
      </c>
      <c r="G9" s="6">
        <f>IFERROR(IF(A9="","",SUM('Asset Allocation'!P9,'Asset Allocation'!Q9)),0)</f>
        <v>0</v>
      </c>
      <c r="H9" s="6">
        <f>IFERROR(IF(A9="","",SUM('Asset Allocation'!N9)),0)</f>
        <v>0</v>
      </c>
    </row>
    <row r="10" spans="1:8" x14ac:dyDescent="0.35">
      <c r="A10" t="str">
        <f>IF(Input!A11="","",Input!A11)</f>
        <v>Active MPS 1</v>
      </c>
      <c r="B10" s="6">
        <f>IFERROR(IF(A10="","",SUM('Asset Allocation'!I10)),0)</f>
        <v>0</v>
      </c>
      <c r="C10" s="6">
        <f>IFERROR(IF(A10="","",SUM('Asset Allocation'!L10)),0)</f>
        <v>0</v>
      </c>
      <c r="D10" s="6">
        <f>IFERROR(IF(A10="","",SUM('Asset Allocation'!R10,'Asset Allocation'!K10)),0)</f>
        <v>0</v>
      </c>
      <c r="E10" s="6">
        <f>IFERROR(IF(A10="","",SUM('Asset Allocation'!M10)),0)</f>
        <v>0</v>
      </c>
      <c r="F10" s="6">
        <f>IFERROR(IF(A10="","",SUM('Asset Allocation'!J10)),0)</f>
        <v>0</v>
      </c>
      <c r="G10" s="6">
        <f>IFERROR(IF(A10="","",SUM('Asset Allocation'!P10,'Asset Allocation'!Q10)),0)</f>
        <v>0</v>
      </c>
      <c r="H10" s="6">
        <f>IFERROR(IF(A10="","",SUM('Asset Allocation'!N10)),0)</f>
        <v>0</v>
      </c>
    </row>
    <row r="11" spans="1:8" x14ac:dyDescent="0.35">
      <c r="A11" t="str">
        <f>IF(Input!A12="","",Input!A12)</f>
        <v>Active MPS 2</v>
      </c>
      <c r="B11" s="6">
        <f>IFERROR(IF(A11="","",SUM('Asset Allocation'!I11)),0)</f>
        <v>0</v>
      </c>
      <c r="C11" s="6">
        <f>IFERROR(IF(A11="","",SUM('Asset Allocation'!L11)),0)</f>
        <v>0</v>
      </c>
      <c r="D11" s="6">
        <f>IFERROR(IF(A11="","",SUM('Asset Allocation'!R11,'Asset Allocation'!K11)),0)</f>
        <v>0</v>
      </c>
      <c r="E11" s="6">
        <f>IFERROR(IF(A11="","",SUM('Asset Allocation'!M11)),0)</f>
        <v>0</v>
      </c>
      <c r="F11" s="6">
        <f>IFERROR(IF(A11="","",SUM('Asset Allocation'!J11)),0)</f>
        <v>0</v>
      </c>
      <c r="G11" s="6">
        <f>IFERROR(IF(A11="","",SUM('Asset Allocation'!P11,'Asset Allocation'!Q11)),0)</f>
        <v>0</v>
      </c>
      <c r="H11" s="6">
        <f>IFERROR(IF(A11="","",SUM('Asset Allocation'!N11)),0)</f>
        <v>0</v>
      </c>
    </row>
    <row r="12" spans="1:8" x14ac:dyDescent="0.35">
      <c r="A12" t="str">
        <f>IF(Input!A13="","",Input!A13)</f>
        <v>Active MPS 3</v>
      </c>
      <c r="B12" s="6">
        <f>IFERROR(IF(A12="","",SUM('Asset Allocation'!I12)),0)</f>
        <v>0</v>
      </c>
      <c r="C12" s="6">
        <f>IFERROR(IF(A12="","",SUM('Asset Allocation'!L12)),0)</f>
        <v>0</v>
      </c>
      <c r="D12" s="6">
        <f>IFERROR(IF(A12="","",SUM('Asset Allocation'!R12,'Asset Allocation'!K12)),0)</f>
        <v>0</v>
      </c>
      <c r="E12" s="6">
        <f>IFERROR(IF(A12="","",SUM('Asset Allocation'!M12)),0)</f>
        <v>0</v>
      </c>
      <c r="F12" s="6">
        <f>IFERROR(IF(A12="","",SUM('Asset Allocation'!J12)),0)</f>
        <v>0</v>
      </c>
      <c r="G12" s="6">
        <f>IFERROR(IF(A12="","",SUM('Asset Allocation'!P12,'Asset Allocation'!Q12)),0)</f>
        <v>0</v>
      </c>
      <c r="H12" s="6">
        <f>IFERROR(IF(A12="","",SUM('Asset Allocation'!N12)),0)</f>
        <v>0</v>
      </c>
    </row>
    <row r="13" spans="1:8" x14ac:dyDescent="0.35">
      <c r="A13" t="str">
        <f>IF(Input!A14="","",Input!A14)</f>
        <v>Active MPS 4</v>
      </c>
      <c r="B13" s="6">
        <f>IFERROR(IF(A13="","",SUM('Asset Allocation'!I13)),0)</f>
        <v>0</v>
      </c>
      <c r="C13" s="6">
        <f>IFERROR(IF(A13="","",SUM('Asset Allocation'!L13)),0)</f>
        <v>0</v>
      </c>
      <c r="D13" s="6">
        <f>IFERROR(IF(A13="","",SUM('Asset Allocation'!R13,'Asset Allocation'!K13)),0)</f>
        <v>0</v>
      </c>
      <c r="E13" s="6">
        <f>IFERROR(IF(A13="","",SUM('Asset Allocation'!M13)),0)</f>
        <v>0</v>
      </c>
      <c r="F13" s="6">
        <f>IFERROR(IF(A13="","",SUM('Asset Allocation'!J13)),0)</f>
        <v>0</v>
      </c>
      <c r="G13" s="6">
        <f>IFERROR(IF(A13="","",SUM('Asset Allocation'!P13,'Asset Allocation'!Q13)),0)</f>
        <v>0</v>
      </c>
      <c r="H13" s="6">
        <f>IFERROR(IF(A13="","",SUM('Asset Allocation'!N13)),0)</f>
        <v>0</v>
      </c>
    </row>
    <row r="14" spans="1:8" x14ac:dyDescent="0.35">
      <c r="A14" t="str">
        <f>IF(Input!A15="","",Input!A15)</f>
        <v>Active MPS 5</v>
      </c>
      <c r="B14" s="6">
        <f>IFERROR(IF(A14="","",SUM('Asset Allocation'!I14)),0)</f>
        <v>0</v>
      </c>
      <c r="C14" s="6">
        <f>IFERROR(IF(A14="","",SUM('Asset Allocation'!L14)),0)</f>
        <v>0</v>
      </c>
      <c r="D14" s="6">
        <f>IFERROR(IF(A14="","",SUM('Asset Allocation'!R14,'Asset Allocation'!K14)),0)</f>
        <v>0</v>
      </c>
      <c r="E14" s="6">
        <f>IFERROR(IF(A14="","",SUM('Asset Allocation'!M14)),0)</f>
        <v>0</v>
      </c>
      <c r="F14" s="6">
        <f>IFERROR(IF(A14="","",SUM('Asset Allocation'!J14)),0)</f>
        <v>0</v>
      </c>
      <c r="G14" s="6">
        <f>IFERROR(IF(A14="","",SUM('Asset Allocation'!P14,'Asset Allocation'!Q14)),0)</f>
        <v>0</v>
      </c>
      <c r="H14" s="6">
        <f>IFERROR(IF(A14="","",SUM('Asset Allocation'!N14)),0)</f>
        <v>0</v>
      </c>
    </row>
    <row r="15" spans="1:8" x14ac:dyDescent="0.35">
      <c r="A15" t="str">
        <f>IF(Input!A16="","",Input!A16)</f>
        <v>Active MPS 6</v>
      </c>
      <c r="B15" s="6">
        <f>IFERROR(IF(A15="","",SUM('Asset Allocation'!I15)),0)</f>
        <v>0</v>
      </c>
      <c r="C15" s="6">
        <f>IFERROR(IF(A15="","",SUM('Asset Allocation'!L15)),0)</f>
        <v>0</v>
      </c>
      <c r="D15" s="6">
        <f>IFERROR(IF(A15="","",SUM('Asset Allocation'!R15,'Asset Allocation'!K15)),0)</f>
        <v>0</v>
      </c>
      <c r="E15" s="6">
        <f>IFERROR(IF(A15="","",SUM('Asset Allocation'!M15)),0)</f>
        <v>0</v>
      </c>
      <c r="F15" s="6">
        <f>IFERROR(IF(A15="","",SUM('Asset Allocation'!J15)),0)</f>
        <v>0</v>
      </c>
      <c r="G15" s="6">
        <f>IFERROR(IF(A15="","",SUM('Asset Allocation'!P15,'Asset Allocation'!Q15)),0)</f>
        <v>0</v>
      </c>
      <c r="H15" s="6">
        <f>IFERROR(IF(A15="","",SUM('Asset Allocation'!N15)),0)</f>
        <v>0</v>
      </c>
    </row>
    <row r="16" spans="1:8" x14ac:dyDescent="0.35">
      <c r="A16" t="str">
        <f>IF(Input!A17="","",Input!A17)</f>
        <v>Active MPS Income 1</v>
      </c>
      <c r="B16" s="6">
        <f>IFERROR(IF(A16="","",SUM('Asset Allocation'!I16)),0)</f>
        <v>0</v>
      </c>
      <c r="C16" s="6">
        <f>IFERROR(IF(A16="","",SUM('Asset Allocation'!L16)),0)</f>
        <v>0</v>
      </c>
      <c r="D16" s="6">
        <f>IFERROR(IF(A16="","",SUM('Asset Allocation'!R16,'Asset Allocation'!K16)),0)</f>
        <v>0</v>
      </c>
      <c r="E16" s="6">
        <f>IFERROR(IF(A16="","",SUM('Asset Allocation'!M16)),0)</f>
        <v>0</v>
      </c>
      <c r="F16" s="6">
        <f>IFERROR(IF(A16="","",SUM('Asset Allocation'!J16)),0)</f>
        <v>0</v>
      </c>
      <c r="G16" s="6">
        <f>IFERROR(IF(A16="","",SUM('Asset Allocation'!P16,'Asset Allocation'!Q16)),0)</f>
        <v>0</v>
      </c>
      <c r="H16" s="6">
        <f>IFERROR(IF(A16="","",SUM('Asset Allocation'!N16)),0)</f>
        <v>0</v>
      </c>
    </row>
    <row r="17" spans="1:8" x14ac:dyDescent="0.35">
      <c r="A17" t="str">
        <f>IF(Input!A18="","",Input!A18)</f>
        <v>Active MPS Income 2</v>
      </c>
      <c r="B17" s="6">
        <f>IFERROR(IF(A17="","",SUM('Asset Allocation'!I17)),0)</f>
        <v>0</v>
      </c>
      <c r="C17" s="6">
        <f>IFERROR(IF(A17="","",SUM('Asset Allocation'!L17)),0)</f>
        <v>0</v>
      </c>
      <c r="D17" s="6">
        <f>IFERROR(IF(A17="","",SUM('Asset Allocation'!R17,'Asset Allocation'!K17)),0)</f>
        <v>0</v>
      </c>
      <c r="E17" s="6">
        <f>IFERROR(IF(A17="","",SUM('Asset Allocation'!M17)),0)</f>
        <v>0</v>
      </c>
      <c r="F17" s="6">
        <f>IFERROR(IF(A17="","",SUM('Asset Allocation'!J17)),0)</f>
        <v>0</v>
      </c>
      <c r="G17" s="6">
        <f>IFERROR(IF(A17="","",SUM('Asset Allocation'!P17,'Asset Allocation'!Q17)),0)</f>
        <v>0</v>
      </c>
      <c r="H17" s="6">
        <f>IFERROR(IF(A17="","",SUM('Asset Allocation'!N17)),0)</f>
        <v>0</v>
      </c>
    </row>
    <row r="18" spans="1:8" x14ac:dyDescent="0.35">
      <c r="A18" t="str">
        <f>IF(Input!A19="","",Input!A19)</f>
        <v>Pactive MPS 1</v>
      </c>
      <c r="B18" s="6">
        <f>IFERROR(IF(A18="","",SUM('Asset Allocation'!I18)),0)</f>
        <v>0</v>
      </c>
      <c r="C18" s="6">
        <f>IFERROR(IF(A18="","",SUM('Asset Allocation'!L18)),0)</f>
        <v>0</v>
      </c>
      <c r="D18" s="6">
        <f>IFERROR(IF(A18="","",SUM('Asset Allocation'!R18,'Asset Allocation'!K18)),0)</f>
        <v>0</v>
      </c>
      <c r="E18" s="6">
        <f>IFERROR(IF(A18="","",SUM('Asset Allocation'!M18)),0)</f>
        <v>0</v>
      </c>
      <c r="F18" s="6">
        <f>IFERROR(IF(A18="","",SUM('Asset Allocation'!J18)),0)</f>
        <v>0</v>
      </c>
      <c r="G18" s="6">
        <f>IFERROR(IF(A18="","",SUM('Asset Allocation'!P18,'Asset Allocation'!Q18)),0)</f>
        <v>0</v>
      </c>
      <c r="H18" s="6">
        <f>IFERROR(IF(A18="","",SUM('Asset Allocation'!N18)),0)</f>
        <v>0</v>
      </c>
    </row>
    <row r="19" spans="1:8" x14ac:dyDescent="0.35">
      <c r="A19" t="str">
        <f>IF(Input!A20="","",Input!A20)</f>
        <v>Pactive MPS 2</v>
      </c>
      <c r="B19" s="6">
        <f>IFERROR(IF(A19="","",SUM('Asset Allocation'!I19)),0)</f>
        <v>0</v>
      </c>
      <c r="C19" s="6">
        <f>IFERROR(IF(A19="","",SUM('Asset Allocation'!L19)),0)</f>
        <v>0</v>
      </c>
      <c r="D19" s="6">
        <f>IFERROR(IF(A19="","",SUM('Asset Allocation'!R19,'Asset Allocation'!K19)),0)</f>
        <v>0</v>
      </c>
      <c r="E19" s="6">
        <f>IFERROR(IF(A19="","",SUM('Asset Allocation'!M19)),0)</f>
        <v>0</v>
      </c>
      <c r="F19" s="6">
        <f>IFERROR(IF(A19="","",SUM('Asset Allocation'!J19)),0)</f>
        <v>0</v>
      </c>
      <c r="G19" s="6">
        <f>IFERROR(IF(A19="","",SUM('Asset Allocation'!P19,'Asset Allocation'!Q19)),0)</f>
        <v>0</v>
      </c>
      <c r="H19" s="6">
        <f>IFERROR(IF(A19="","",SUM('Asset Allocation'!N19)),0)</f>
        <v>0</v>
      </c>
    </row>
    <row r="20" spans="1:8" x14ac:dyDescent="0.35">
      <c r="A20" t="str">
        <f>IF(Input!A21="","",Input!A21)</f>
        <v>Pactive MPS 3</v>
      </c>
      <c r="B20" s="6">
        <f>IFERROR(IF(A20="","",SUM('Asset Allocation'!I20)),0)</f>
        <v>0</v>
      </c>
      <c r="C20" s="6">
        <f>IFERROR(IF(A20="","",SUM('Asset Allocation'!L20)),0)</f>
        <v>0</v>
      </c>
      <c r="D20" s="6">
        <f>IFERROR(IF(A20="","",SUM('Asset Allocation'!R20,'Asset Allocation'!K20)),0)</f>
        <v>0</v>
      </c>
      <c r="E20" s="6">
        <f>IFERROR(IF(A20="","",SUM('Asset Allocation'!M20)),0)</f>
        <v>0</v>
      </c>
      <c r="F20" s="6">
        <f>IFERROR(IF(A20="","",SUM('Asset Allocation'!J20)),0)</f>
        <v>0</v>
      </c>
      <c r="G20" s="6">
        <f>IFERROR(IF(A20="","",SUM('Asset Allocation'!P20,'Asset Allocation'!Q20)),0)</f>
        <v>0</v>
      </c>
      <c r="H20" s="6">
        <f>IFERROR(IF(A20="","",SUM('Asset Allocation'!N20)),0)</f>
        <v>0</v>
      </c>
    </row>
    <row r="21" spans="1:8" x14ac:dyDescent="0.35">
      <c r="A21" t="str">
        <f>IF(Input!A22="","",Input!A22)</f>
        <v>Pactive MPS 4</v>
      </c>
      <c r="B21" s="6">
        <f>IFERROR(IF(A21="","",SUM('Asset Allocation'!I21)),0)</f>
        <v>0</v>
      </c>
      <c r="C21" s="6">
        <f>IFERROR(IF(A21="","",SUM('Asset Allocation'!L21)),0)</f>
        <v>0</v>
      </c>
      <c r="D21" s="6">
        <f>IFERROR(IF(A21="","",SUM('Asset Allocation'!R21,'Asset Allocation'!K21)),0)</f>
        <v>0</v>
      </c>
      <c r="E21" s="6">
        <f>IFERROR(IF(A21="","",SUM('Asset Allocation'!M21)),0)</f>
        <v>0</v>
      </c>
      <c r="F21" s="6">
        <f>IFERROR(IF(A21="","",SUM('Asset Allocation'!J21)),0)</f>
        <v>0</v>
      </c>
      <c r="G21" s="6">
        <f>IFERROR(IF(A21="","",SUM('Asset Allocation'!P21,'Asset Allocation'!Q21)),0)</f>
        <v>0</v>
      </c>
      <c r="H21" s="6">
        <f>IFERROR(IF(A21="","",SUM('Asset Allocation'!N21)),0)</f>
        <v>0</v>
      </c>
    </row>
    <row r="22" spans="1:8" x14ac:dyDescent="0.35">
      <c r="A22" t="str">
        <f>IF(Input!A23="","",Input!A23)</f>
        <v>Pactive MPS 5</v>
      </c>
      <c r="B22" s="6">
        <f>IFERROR(IF(A22="","",SUM('Asset Allocation'!I22)),0)</f>
        <v>0</v>
      </c>
      <c r="C22" s="6">
        <f>IFERROR(IF(A22="","",SUM('Asset Allocation'!L22)),0)</f>
        <v>0</v>
      </c>
      <c r="D22" s="6">
        <f>IFERROR(IF(A22="","",SUM('Asset Allocation'!R22,'Asset Allocation'!K22)),0)</f>
        <v>0</v>
      </c>
      <c r="E22" s="6">
        <f>IFERROR(IF(A22="","",SUM('Asset Allocation'!M22)),0)</f>
        <v>0</v>
      </c>
      <c r="F22" s="6">
        <f>IFERROR(IF(A22="","",SUM('Asset Allocation'!J22)),0)</f>
        <v>0</v>
      </c>
      <c r="G22" s="6">
        <f>IFERROR(IF(A22="","",SUM('Asset Allocation'!P22,'Asset Allocation'!Q22)),0)</f>
        <v>0</v>
      </c>
      <c r="H22" s="6">
        <f>IFERROR(IF(A22="","",SUM('Asset Allocation'!N22)),0)</f>
        <v>0</v>
      </c>
    </row>
    <row r="23" spans="1:8" x14ac:dyDescent="0.35">
      <c r="A23" t="str">
        <f>IF(Input!A24="","",Input!A24)</f>
        <v>Pactive MPS 6</v>
      </c>
      <c r="B23" s="6">
        <f>IFERROR(IF(A23="","",SUM('Asset Allocation'!I23)),0)</f>
        <v>0</v>
      </c>
      <c r="C23" s="6">
        <f>IFERROR(IF(A23="","",SUM('Asset Allocation'!L23)),0)</f>
        <v>0</v>
      </c>
      <c r="D23" s="6">
        <f>IFERROR(IF(A23="","",SUM('Asset Allocation'!R23,'Asset Allocation'!K23)),0)</f>
        <v>0</v>
      </c>
      <c r="E23" s="6">
        <f>IFERROR(IF(A23="","",SUM('Asset Allocation'!M23)),0)</f>
        <v>0</v>
      </c>
      <c r="F23" s="6">
        <f>IFERROR(IF(A23="","",SUM('Asset Allocation'!J23)),0)</f>
        <v>0</v>
      </c>
      <c r="G23" s="6">
        <f>IFERROR(IF(A23="","",SUM('Asset Allocation'!P23,'Asset Allocation'!Q23)),0)</f>
        <v>0</v>
      </c>
      <c r="H23" s="6">
        <f>IFERROR(IF(A23="","",SUM('Asset Allocation'!N23)),0)</f>
        <v>0</v>
      </c>
    </row>
    <row r="24" spans="1:8" x14ac:dyDescent="0.35">
      <c r="A24" t="str">
        <f>IF(Input!A25="","",Input!A25)</f>
        <v>Responsible MPS 1</v>
      </c>
      <c r="B24" s="6">
        <f>IFERROR(IF(A24="","",SUM('Asset Allocation'!I24)),0)</f>
        <v>0</v>
      </c>
      <c r="C24" s="6">
        <f>IFERROR(IF(A24="","",SUM('Asset Allocation'!L24)),0)</f>
        <v>0</v>
      </c>
      <c r="D24" s="6">
        <f>IFERROR(IF(A24="","",SUM('Asset Allocation'!R24,'Asset Allocation'!K24)),0)</f>
        <v>0</v>
      </c>
      <c r="E24" s="6">
        <f>IFERROR(IF(A24="","",SUM('Asset Allocation'!M24)),0)</f>
        <v>0</v>
      </c>
      <c r="F24" s="6">
        <f>IFERROR(IF(A24="","",SUM('Asset Allocation'!J24)),0)</f>
        <v>0</v>
      </c>
      <c r="G24" s="6">
        <f>IFERROR(IF(A24="","",SUM('Asset Allocation'!P24,'Asset Allocation'!Q24)),0)</f>
        <v>0</v>
      </c>
      <c r="H24" s="6">
        <f>IFERROR(IF(A24="","",SUM('Asset Allocation'!N24)),0)</f>
        <v>0</v>
      </c>
    </row>
    <row r="25" spans="1:8" x14ac:dyDescent="0.35">
      <c r="A25" t="str">
        <f>IF(Input!A26="","",Input!A26)</f>
        <v>Responsible MPS 2</v>
      </c>
      <c r="B25" s="6">
        <f>IFERROR(IF(A25="","",SUM('Asset Allocation'!I25)),0)</f>
        <v>0</v>
      </c>
      <c r="C25" s="6">
        <f>IFERROR(IF(A25="","",SUM('Asset Allocation'!L25)),0)</f>
        <v>0</v>
      </c>
      <c r="D25" s="6">
        <f>IFERROR(IF(A25="","",SUM('Asset Allocation'!R25,'Asset Allocation'!K25)),0)</f>
        <v>0</v>
      </c>
      <c r="E25" s="6">
        <f>IFERROR(IF(A25="","",SUM('Asset Allocation'!M25)),0)</f>
        <v>0</v>
      </c>
      <c r="F25" s="6">
        <f>IFERROR(IF(A25="","",SUM('Asset Allocation'!J25)),0)</f>
        <v>0</v>
      </c>
      <c r="G25" s="6">
        <f>IFERROR(IF(A25="","",SUM('Asset Allocation'!P25,'Asset Allocation'!Q25)),0)</f>
        <v>0</v>
      </c>
      <c r="H25" s="6">
        <f>IFERROR(IF(A25="","",SUM('Asset Allocation'!N25)),0)</f>
        <v>0</v>
      </c>
    </row>
    <row r="26" spans="1:8" x14ac:dyDescent="0.35">
      <c r="A26" t="str">
        <f>IF(Input!A27="","",Input!A27)</f>
        <v>Responsible MPS 3</v>
      </c>
      <c r="B26" s="6">
        <f>IFERROR(IF(A26="","",SUM('Asset Allocation'!I26)),0)</f>
        <v>0</v>
      </c>
      <c r="C26" s="6">
        <f>IFERROR(IF(A26="","",SUM('Asset Allocation'!L26)),0)</f>
        <v>0</v>
      </c>
      <c r="D26" s="6">
        <f>IFERROR(IF(A26="","",SUM('Asset Allocation'!R26,'Asset Allocation'!K26)),0)</f>
        <v>0</v>
      </c>
      <c r="E26" s="6">
        <f>IFERROR(IF(A26="","",SUM('Asset Allocation'!M26)),0)</f>
        <v>0</v>
      </c>
      <c r="F26" s="6">
        <f>IFERROR(IF(A26="","",SUM('Asset Allocation'!J26)),0)</f>
        <v>0</v>
      </c>
      <c r="G26" s="6">
        <f>IFERROR(IF(A26="","",SUM('Asset Allocation'!P26,'Asset Allocation'!Q26)),0)</f>
        <v>0</v>
      </c>
      <c r="H26" s="6">
        <f>IFERROR(IF(A26="","",SUM('Asset Allocation'!N26)),0)</f>
        <v>0</v>
      </c>
    </row>
    <row r="27" spans="1:8" x14ac:dyDescent="0.35">
      <c r="A27" t="str">
        <f>IF(Input!A28="","",Input!A28)</f>
        <v>Responsible MPS 4</v>
      </c>
      <c r="B27" s="6">
        <f>IFERROR(IF(A27="","",SUM('Asset Allocation'!I27)),0)</f>
        <v>0</v>
      </c>
      <c r="C27" s="6">
        <f>IFERROR(IF(A27="","",SUM('Asset Allocation'!L27)),0)</f>
        <v>0</v>
      </c>
      <c r="D27" s="6">
        <f>IFERROR(IF(A27="","",SUM('Asset Allocation'!R27,'Asset Allocation'!K27)),0)</f>
        <v>0</v>
      </c>
      <c r="E27" s="6">
        <f>IFERROR(IF(A27="","",SUM('Asset Allocation'!M27)),0)</f>
        <v>0</v>
      </c>
      <c r="F27" s="6">
        <f>IFERROR(IF(A27="","",SUM('Asset Allocation'!J27)),0)</f>
        <v>0</v>
      </c>
      <c r="G27" s="6">
        <f>IFERROR(IF(A27="","",SUM('Asset Allocation'!P27,'Asset Allocation'!Q27)),0)</f>
        <v>0</v>
      </c>
      <c r="H27" s="6">
        <f>IFERROR(IF(A27="","",SUM('Asset Allocation'!N27)),0)</f>
        <v>0</v>
      </c>
    </row>
    <row r="28" spans="1:8" x14ac:dyDescent="0.35">
      <c r="A28" t="str">
        <f>IF(Input!A29="","",Input!A29)</f>
        <v>Responsible MPS 5</v>
      </c>
      <c r="B28" s="6">
        <f>IFERROR(IF(A28="","",SUM('Asset Allocation'!I28)),0)</f>
        <v>0</v>
      </c>
      <c r="C28" s="6">
        <f>IFERROR(IF(A28="","",SUM('Asset Allocation'!L28)),0)</f>
        <v>0</v>
      </c>
      <c r="D28" s="6">
        <f>IFERROR(IF(A28="","",SUM('Asset Allocation'!R28,'Asset Allocation'!K28)),0)</f>
        <v>0</v>
      </c>
      <c r="E28" s="6">
        <f>IFERROR(IF(A28="","",SUM('Asset Allocation'!M28)),0)</f>
        <v>0</v>
      </c>
      <c r="F28" s="6">
        <f>IFERROR(IF(A28="","",SUM('Asset Allocation'!J28)),0)</f>
        <v>0</v>
      </c>
      <c r="G28" s="6">
        <f>IFERROR(IF(A28="","",SUM('Asset Allocation'!P28,'Asset Allocation'!Q28)),0)</f>
        <v>0</v>
      </c>
      <c r="H28" s="6">
        <f>IFERROR(IF(A28="","",SUM('Asset Allocation'!N28)),0)</f>
        <v>0</v>
      </c>
    </row>
    <row r="29" spans="1:8" x14ac:dyDescent="0.35">
      <c r="A29" t="str">
        <f>IF(Input!A30="","",Input!A30)</f>
        <v>Responsible MPS 6</v>
      </c>
      <c r="B29" s="6">
        <f>IFERROR(IF(A29="","",SUM('Asset Allocation'!I29)),0)</f>
        <v>0</v>
      </c>
      <c r="C29" s="6">
        <f>IFERROR(IF(A29="","",SUM('Asset Allocation'!L29)),0)</f>
        <v>0</v>
      </c>
      <c r="D29" s="6">
        <f>IFERROR(IF(A29="","",SUM('Asset Allocation'!R29,'Asset Allocation'!K29)),0)</f>
        <v>0</v>
      </c>
      <c r="E29" s="6">
        <f>IFERROR(IF(A29="","",SUM('Asset Allocation'!M29)),0)</f>
        <v>0</v>
      </c>
      <c r="F29" s="6">
        <f>IFERROR(IF(A29="","",SUM('Asset Allocation'!J29)),0)</f>
        <v>0</v>
      </c>
      <c r="G29" s="6">
        <f>IFERROR(IF(A29="","",SUM('Asset Allocation'!P29,'Asset Allocation'!Q29)),0)</f>
        <v>0</v>
      </c>
      <c r="H29" s="6">
        <f>IFERROR(IF(A29="","",SUM('Asset Allocation'!N29)),0)</f>
        <v>0</v>
      </c>
    </row>
    <row r="30" spans="1:8" x14ac:dyDescent="0.35">
      <c r="A30" t="str">
        <f>IF(Input!A31="","",Input!A31)</f>
        <v/>
      </c>
      <c r="B30" s="6" t="str">
        <f>IFERROR(IF(A30="","",SUM('Asset Allocation'!I30)),0)</f>
        <v/>
      </c>
      <c r="C30" s="6" t="str">
        <f>IFERROR(IF(A30="","",SUM('Asset Allocation'!L30)),0)</f>
        <v/>
      </c>
      <c r="D30" s="6" t="str">
        <f>IFERROR(IF(A30="","",SUM('Asset Allocation'!R30,'Asset Allocation'!K30)),0)</f>
        <v/>
      </c>
      <c r="E30" s="6" t="str">
        <f>IFERROR(IF(A30="","",SUM('Asset Allocation'!M30)),0)</f>
        <v/>
      </c>
      <c r="F30" s="6" t="str">
        <f>IFERROR(IF(A30="","",SUM('Asset Allocation'!J30)),0)</f>
        <v/>
      </c>
      <c r="G30" s="6" t="str">
        <f>IFERROR(IF(A30="","",SUM('Asset Allocation'!P30,'Asset Allocation'!Q30)),0)</f>
        <v/>
      </c>
      <c r="H30" s="6" t="str">
        <f>IFERROR(IF(A30="","",SUM('Asset Allocation'!N30)),0)</f>
        <v/>
      </c>
    </row>
    <row r="31" spans="1:8" x14ac:dyDescent="0.35">
      <c r="A31" t="str">
        <f>IF(Input!A32="","",Input!A32)</f>
        <v/>
      </c>
      <c r="B31" s="6" t="str">
        <f>IFERROR(IF(A31="","",SUM('Asset Allocation'!I31)),0)</f>
        <v/>
      </c>
      <c r="C31" s="6" t="str">
        <f>IFERROR(IF(A31="","",SUM('Asset Allocation'!L31)),0)</f>
        <v/>
      </c>
      <c r="D31" s="6" t="str">
        <f>IFERROR(IF(A31="","",SUM('Asset Allocation'!R31,'Asset Allocation'!K31)),0)</f>
        <v/>
      </c>
      <c r="E31" s="6" t="str">
        <f>IFERROR(IF(A31="","",SUM('Asset Allocation'!M31)),0)</f>
        <v/>
      </c>
      <c r="F31" s="6" t="str">
        <f>IFERROR(IF(A31="","",SUM('Asset Allocation'!J31)),0)</f>
        <v/>
      </c>
      <c r="G31" s="6" t="str">
        <f>IFERROR(IF(A31="","",SUM('Asset Allocation'!P31,'Asset Allocation'!Q31)),0)</f>
        <v/>
      </c>
      <c r="H31" s="6" t="str">
        <f>IFERROR(IF(A31="","",SUM('Asset Allocation'!N31)),0)</f>
        <v/>
      </c>
    </row>
    <row r="32" spans="1:8" x14ac:dyDescent="0.35">
      <c r="A32" t="str">
        <f>IF(Input!A33="","",Input!A33)</f>
        <v/>
      </c>
      <c r="B32" s="6" t="str">
        <f>IFERROR(IF(A32="","",SUM('Asset Allocation'!I32)),0)</f>
        <v/>
      </c>
      <c r="C32" s="6" t="str">
        <f>IFERROR(IF(A32="","",SUM('Asset Allocation'!L32)),0)</f>
        <v/>
      </c>
      <c r="D32" s="6" t="str">
        <f>IFERROR(IF(A32="","",SUM('Asset Allocation'!R32,'Asset Allocation'!K32)),0)</f>
        <v/>
      </c>
      <c r="E32" s="6" t="str">
        <f>IFERROR(IF(A32="","",SUM('Asset Allocation'!M32)),0)</f>
        <v/>
      </c>
      <c r="F32" s="6" t="str">
        <f>IFERROR(IF(A32="","",SUM('Asset Allocation'!J32)),0)</f>
        <v/>
      </c>
      <c r="G32" s="6" t="str">
        <f>IFERROR(IF(A32="","",SUM('Asset Allocation'!P32,'Asset Allocation'!Q32)),0)</f>
        <v/>
      </c>
      <c r="H32" s="6" t="str">
        <f>IFERROR(IF(A32="","",SUM('Asset Allocation'!N32)),0)</f>
        <v/>
      </c>
    </row>
    <row r="33" spans="1:8" x14ac:dyDescent="0.35">
      <c r="A33" t="str">
        <f>IF(Input!A34="","",Input!A34)</f>
        <v/>
      </c>
      <c r="B33" s="6" t="str">
        <f>IFERROR(IF(A33="","",SUM('Asset Allocation'!I33)),0)</f>
        <v/>
      </c>
      <c r="C33" s="6" t="str">
        <f>IFERROR(IF(A33="","",SUM('Asset Allocation'!L33)),0)</f>
        <v/>
      </c>
      <c r="D33" s="6" t="str">
        <f>IFERROR(IF(A33="","",SUM('Asset Allocation'!R33,'Asset Allocation'!K33)),0)</f>
        <v/>
      </c>
      <c r="E33" s="6" t="str">
        <f>IFERROR(IF(A33="","",SUM('Asset Allocation'!M33)),0)</f>
        <v/>
      </c>
      <c r="F33" s="6" t="str">
        <f>IFERROR(IF(A33="","",SUM('Asset Allocation'!J33)),0)</f>
        <v/>
      </c>
      <c r="G33" s="6" t="str">
        <f>IFERROR(IF(A33="","",SUM('Asset Allocation'!P33,'Asset Allocation'!Q33)),0)</f>
        <v/>
      </c>
      <c r="H33" s="6" t="str">
        <f>IFERROR(IF(A33="","",SUM('Asset Allocation'!N33)),0)</f>
        <v/>
      </c>
    </row>
    <row r="34" spans="1:8" x14ac:dyDescent="0.35">
      <c r="A34" t="str">
        <f>IF(Input!A35="","",Input!A35)</f>
        <v/>
      </c>
      <c r="B34" s="6" t="str">
        <f>IFERROR(IF(A34="","",SUM('Asset Allocation'!I34)),0)</f>
        <v/>
      </c>
      <c r="C34" s="6" t="str">
        <f>IFERROR(IF(A34="","",SUM('Asset Allocation'!L34)),0)</f>
        <v/>
      </c>
      <c r="D34" s="6" t="str">
        <f>IFERROR(IF(A34="","",SUM('Asset Allocation'!R34,'Asset Allocation'!K34)),0)</f>
        <v/>
      </c>
      <c r="E34" s="6" t="str">
        <f>IFERROR(IF(A34="","",SUM('Asset Allocation'!M34)),0)</f>
        <v/>
      </c>
      <c r="F34" s="6" t="str">
        <f>IFERROR(IF(A34="","",SUM('Asset Allocation'!J34)),0)</f>
        <v/>
      </c>
      <c r="G34" s="6" t="str">
        <f>IFERROR(IF(A34="","",SUM('Asset Allocation'!P34,'Asset Allocation'!Q34)),0)</f>
        <v/>
      </c>
      <c r="H34" s="6" t="str">
        <f>IFERROR(IF(A34="","",SUM('Asset Allocation'!N34)),0)</f>
        <v/>
      </c>
    </row>
    <row r="35" spans="1:8" x14ac:dyDescent="0.35">
      <c r="A35" t="str">
        <f>IF(Input!A36="","",Input!A36)</f>
        <v/>
      </c>
      <c r="B35" s="6" t="str">
        <f>IFERROR(IF(A35="","",SUM('Asset Allocation'!I35)),0)</f>
        <v/>
      </c>
      <c r="C35" s="6" t="str">
        <f>IFERROR(IF(A35="","",SUM('Asset Allocation'!L35)),0)</f>
        <v/>
      </c>
      <c r="D35" s="6" t="str">
        <f>IFERROR(IF(A35="","",SUM('Asset Allocation'!R35,'Asset Allocation'!K35)),0)</f>
        <v/>
      </c>
      <c r="E35" s="6" t="str">
        <f>IFERROR(IF(A35="","",SUM('Asset Allocation'!M35)),0)</f>
        <v/>
      </c>
      <c r="F35" s="6" t="str">
        <f>IFERROR(IF(A35="","",SUM('Asset Allocation'!J35)),0)</f>
        <v/>
      </c>
      <c r="G35" s="6" t="str">
        <f>IFERROR(IF(A35="","",SUM('Asset Allocation'!P35,'Asset Allocation'!Q35)),0)</f>
        <v/>
      </c>
      <c r="H35" s="6" t="str">
        <f>IFERROR(IF(A35="","",SUM('Asset Allocation'!N35)),0)</f>
        <v/>
      </c>
    </row>
    <row r="36" spans="1:8" x14ac:dyDescent="0.35">
      <c r="A36" t="str">
        <f>IF(Input!A37="","",Input!A37)</f>
        <v/>
      </c>
      <c r="B36" s="6" t="str">
        <f>IFERROR(IF(A36="","",SUM('Asset Allocation'!I36)),0)</f>
        <v/>
      </c>
      <c r="C36" s="6" t="str">
        <f>IFERROR(IF(A36="","",SUM('Asset Allocation'!L36)),0)</f>
        <v/>
      </c>
      <c r="D36" s="6" t="str">
        <f>IFERROR(IF(A36="","",SUM('Asset Allocation'!R36,'Asset Allocation'!K36)),0)</f>
        <v/>
      </c>
      <c r="E36" s="6" t="str">
        <f>IFERROR(IF(A36="","",SUM('Asset Allocation'!M36)),0)</f>
        <v/>
      </c>
      <c r="F36" s="6" t="str">
        <f>IFERROR(IF(A36="","",SUM('Asset Allocation'!J36)),0)</f>
        <v/>
      </c>
      <c r="G36" s="6" t="str">
        <f>IFERROR(IF(A36="","",SUM('Asset Allocation'!P36,'Asset Allocation'!Q36)),0)</f>
        <v/>
      </c>
      <c r="H36" s="6" t="str">
        <f>IFERROR(IF(A36="","",SUM('Asset Allocation'!N36)),0)</f>
        <v/>
      </c>
    </row>
    <row r="37" spans="1:8" x14ac:dyDescent="0.35">
      <c r="A37" t="str">
        <f>IF(Input!A38="","",Input!A38)</f>
        <v/>
      </c>
      <c r="B37" s="6" t="str">
        <f>IFERROR(IF(A37="","",SUM('Asset Allocation'!I37)),0)</f>
        <v/>
      </c>
      <c r="C37" s="6" t="str">
        <f>IFERROR(IF(A37="","",SUM('Asset Allocation'!L37)),0)</f>
        <v/>
      </c>
      <c r="D37" s="6" t="str">
        <f>IFERROR(IF(A37="","",SUM('Asset Allocation'!R37,'Asset Allocation'!K37)),0)</f>
        <v/>
      </c>
      <c r="E37" s="6" t="str">
        <f>IFERROR(IF(A37="","",SUM('Asset Allocation'!M37)),0)</f>
        <v/>
      </c>
      <c r="F37" s="6" t="str">
        <f>IFERROR(IF(A37="","",SUM('Asset Allocation'!J37)),0)</f>
        <v/>
      </c>
      <c r="G37" s="6" t="str">
        <f>IFERROR(IF(A37="","",SUM('Asset Allocation'!P37,'Asset Allocation'!Q37)),0)</f>
        <v/>
      </c>
      <c r="H37" s="6" t="str">
        <f>IFERROR(IF(A37="","",SUM('Asset Allocation'!N37)),0)</f>
        <v/>
      </c>
    </row>
    <row r="38" spans="1:8" x14ac:dyDescent="0.35">
      <c r="A38" t="str">
        <f>IF(Input!A39="","",Input!A39)</f>
        <v/>
      </c>
      <c r="B38" s="6" t="str">
        <f>IFERROR(IF(A38="","",SUM('Asset Allocation'!I38)),0)</f>
        <v/>
      </c>
      <c r="C38" s="6" t="str">
        <f>IFERROR(IF(A38="","",SUM('Asset Allocation'!L38)),0)</f>
        <v/>
      </c>
      <c r="D38" s="6" t="str">
        <f>IFERROR(IF(A38="","",SUM('Asset Allocation'!R38,'Asset Allocation'!K38)),0)</f>
        <v/>
      </c>
      <c r="E38" s="6" t="str">
        <f>IFERROR(IF(A38="","",SUM('Asset Allocation'!M38)),0)</f>
        <v/>
      </c>
      <c r="F38" s="6" t="str">
        <f>IFERROR(IF(A38="","",SUM('Asset Allocation'!J38)),0)</f>
        <v/>
      </c>
      <c r="G38" s="6" t="str">
        <f>IFERROR(IF(A38="","",SUM('Asset Allocation'!P38,'Asset Allocation'!Q38)),0)</f>
        <v/>
      </c>
      <c r="H38" s="6" t="str">
        <f>IFERROR(IF(A38="","",SUM('Asset Allocation'!N38)),0)</f>
        <v/>
      </c>
    </row>
    <row r="39" spans="1:8" x14ac:dyDescent="0.35">
      <c r="A39" t="str">
        <f>IF(Input!A40="","",Input!A40)</f>
        <v/>
      </c>
      <c r="B39" s="6" t="str">
        <f>IFERROR(IF(A39="","",SUM('Asset Allocation'!I39)),0)</f>
        <v/>
      </c>
      <c r="C39" s="6" t="str">
        <f>IFERROR(IF(A39="","",SUM('Asset Allocation'!L39)),0)</f>
        <v/>
      </c>
      <c r="D39" s="6" t="str">
        <f>IFERROR(IF(A39="","",SUM('Asset Allocation'!R39,'Asset Allocation'!K39)),0)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Allocation'!P39,'Asset Allocation'!Q39)),0)</f>
        <v/>
      </c>
      <c r="H39" s="6" t="str">
        <f>IFERROR(IF(A39="","",SUM('Asset Allocation'!N39)),0)</f>
        <v/>
      </c>
    </row>
    <row r="40" spans="1:8" x14ac:dyDescent="0.35">
      <c r="A40" t="str">
        <f>IF(Input!A41="","",Input!A41)</f>
        <v/>
      </c>
      <c r="B40" s="6" t="str">
        <f>IFERROR(IF(A40="","",SUM('Asset Allocation'!I40)),0)</f>
        <v/>
      </c>
      <c r="C40" s="6" t="str">
        <f>IFERROR(IF(A40="","",SUM('Asset Allocation'!L40)),0)</f>
        <v/>
      </c>
      <c r="D40" s="6" t="str">
        <f>IFERROR(IF(A40="","",SUM('Asset Allocation'!R40,'Asset Allocation'!K40)),0)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Allocation'!P40,'Asset Allocation'!Q40)),0)</f>
        <v/>
      </c>
      <c r="H40" s="6" t="str">
        <f>IFERROR(IF(A40="","",SUM('Asset Allocation'!N40)),0)</f>
        <v/>
      </c>
    </row>
    <row r="41" spans="1:8" x14ac:dyDescent="0.35">
      <c r="A41" t="str">
        <f>IF(Input!A42="","",Input!A42)</f>
        <v/>
      </c>
      <c r="B41" s="6" t="str">
        <f>IFERROR(IF(A41="","",SUM('Asset Allocation'!I41)),0)</f>
        <v/>
      </c>
      <c r="C41" s="6" t="str">
        <f>IFERROR(IF(A41="","",SUM('Asset Allocation'!L41)),0)</f>
        <v/>
      </c>
      <c r="D41" s="6" t="str">
        <f>IFERROR(IF(A41="","",SUM('Asset Allocation'!R41,'Asset Allocation'!K41)),0)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Allocation'!P41,'Asset Allocation'!Q41)),0)</f>
        <v/>
      </c>
      <c r="H41" s="6" t="str">
        <f>IFERROR(IF(A41="","",SUM('Asset Allocation'!N41)),0)</f>
        <v/>
      </c>
    </row>
    <row r="42" spans="1:8" x14ac:dyDescent="0.35">
      <c r="A42" t="str">
        <f>IF(Input!A43="","",Input!A43)</f>
        <v/>
      </c>
      <c r="B42" s="6" t="str">
        <f>IFERROR(IF(A42="","",SUM('Asset Allocation'!I42)),0)</f>
        <v/>
      </c>
      <c r="C42" s="6" t="str">
        <f>IFERROR(IF(A42="","",SUM('Asset Allocation'!L42)),0)</f>
        <v/>
      </c>
      <c r="D42" s="6" t="str">
        <f>IFERROR(IF(A42="","",SUM('Asset Allocation'!R42,'Asset Allocation'!K42)),0)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Allocation'!P42,'Asset Allocation'!Q42)),0)</f>
        <v/>
      </c>
      <c r="H42" s="6" t="str">
        <f>IFERROR(IF(A42="","",SUM('Asset Allocation'!N42)),0)</f>
        <v/>
      </c>
    </row>
    <row r="43" spans="1:8" x14ac:dyDescent="0.35">
      <c r="A43" t="str">
        <f>IF(Input!A44="","",Input!A44)</f>
        <v/>
      </c>
      <c r="B43" s="6" t="str">
        <f>IFERROR(IF(A43="","",SUM('Asset Allocation'!I43)),0)</f>
        <v/>
      </c>
      <c r="C43" s="6" t="str">
        <f>IFERROR(IF(A43="","",SUM('Asset Allocation'!L43)),0)</f>
        <v/>
      </c>
      <c r="D43" s="6" t="str">
        <f>IFERROR(IF(A43="","",SUM('Asset Allocation'!R43,'Asset Allocation'!K43)),0)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Allocation'!P43,'Asset Allocation'!Q43)),0)</f>
        <v/>
      </c>
      <c r="H43" s="6" t="str">
        <f>IFERROR(IF(A43="","",SUM('Asset Allocation'!N43)),0)</f>
        <v/>
      </c>
    </row>
    <row r="44" spans="1:8" x14ac:dyDescent="0.35">
      <c r="A44" t="str">
        <f>IF(Input!A45="","",Input!A45)</f>
        <v/>
      </c>
      <c r="B44" s="6" t="str">
        <f>IFERROR(IF(A44="","",SUM('Asset Allocation'!I44)),0)</f>
        <v/>
      </c>
      <c r="C44" s="6" t="str">
        <f>IFERROR(IF(A44="","",SUM('Asset Allocation'!L44)),0)</f>
        <v/>
      </c>
      <c r="D44" s="6" t="str">
        <f>IFERROR(IF(A44="","",SUM('Asset Allocation'!R44,'Asset Allocation'!K44)),0)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Allocation'!P44,'Asset Allocation'!Q44)),0)</f>
        <v/>
      </c>
      <c r="H44" s="6" t="str">
        <f>IFERROR(IF(A44="","",SUM('Asset Allocation'!N44)),0)</f>
        <v/>
      </c>
    </row>
    <row r="45" spans="1:8" x14ac:dyDescent="0.35">
      <c r="A45" t="str">
        <f>IF(Input!A46="","",Input!A46)</f>
        <v/>
      </c>
      <c r="B45" s="6" t="str">
        <f>IFERROR(IF(A45="","",SUM('Asset Allocation'!I45)),0)</f>
        <v/>
      </c>
      <c r="C45" s="6" t="str">
        <f>IFERROR(IF(A45="","",SUM('Asset Allocation'!L45)),0)</f>
        <v/>
      </c>
      <c r="D45" s="6" t="str">
        <f>IFERROR(IF(A45="","",SUM('Asset Allocation'!R45,'Asset Allocation'!K45)),0)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Allocation'!P45,'Asset Allocation'!Q45)),0)</f>
        <v/>
      </c>
      <c r="H45" s="6" t="str">
        <f>IFERROR(IF(A45="","",SUM('Asset Allocation'!N45)),0)</f>
        <v/>
      </c>
    </row>
    <row r="46" spans="1:8" x14ac:dyDescent="0.35">
      <c r="A46" t="str">
        <f>IF(Input!A47="","",Input!A47)</f>
        <v/>
      </c>
      <c r="B46" s="6" t="str">
        <f>IFERROR(IF(A46="","",SUM('Asset Allocation'!I46)),0)</f>
        <v/>
      </c>
      <c r="C46" s="6" t="str">
        <f>IFERROR(IF(A46="","",SUM('Asset Allocation'!L46)),0)</f>
        <v/>
      </c>
      <c r="D46" s="6" t="str">
        <f>IFERROR(IF(A46="","",SUM('Asset Allocation'!R46,'Asset Allocation'!K46)),0)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Allocation'!P46,'Asset Allocation'!Q46)),0)</f>
        <v/>
      </c>
      <c r="H46" s="6" t="str">
        <f>IFERROR(IF(A46="","",SUM('Asset Allocation'!N46)),0)</f>
        <v/>
      </c>
    </row>
    <row r="47" spans="1:8" x14ac:dyDescent="0.35">
      <c r="A47" t="str">
        <f>IF(Input!A48="","",Input!A48)</f>
        <v/>
      </c>
      <c r="B47" s="6" t="str">
        <f>IFERROR(IF(A47="","",SUM('Asset Allocation'!I47)),0)</f>
        <v/>
      </c>
      <c r="C47" s="6" t="str">
        <f>IFERROR(IF(A47="","",SUM('Asset Allocation'!L47)),0)</f>
        <v/>
      </c>
      <c r="D47" s="6" t="str">
        <f>IFERROR(IF(A47="","",SUM('Asset Allocation'!R47,'Asset Allocation'!K47)),0)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Allocation'!P47,'Asset Allocation'!Q47)),0)</f>
        <v/>
      </c>
      <c r="H47" s="6" t="str">
        <f>IFERROR(IF(A47="","",SUM('Asset Allocation'!N47)),0)</f>
        <v/>
      </c>
    </row>
    <row r="48" spans="1:8" x14ac:dyDescent="0.35">
      <c r="A48" t="str">
        <f>IF(Input!A49="","",Input!A49)</f>
        <v/>
      </c>
      <c r="B48" s="6" t="str">
        <f>IFERROR(IF(A48="","",SUM('Asset Allocation'!I48)),0)</f>
        <v/>
      </c>
      <c r="C48" s="6" t="str">
        <f>IFERROR(IF(A48="","",SUM('Asset Allocation'!L48)),0)</f>
        <v/>
      </c>
      <c r="D48" s="6" t="str">
        <f>IFERROR(IF(A48="","",SUM('Asset Allocation'!R48,'Asset Allocation'!K48)),0)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Allocation'!P48,'Asset Allocation'!Q48)),0)</f>
        <v/>
      </c>
      <c r="H48" s="6" t="str">
        <f>IFERROR(IF(A48="","",SUM('Asset Allocation'!N48)),0)</f>
        <v/>
      </c>
    </row>
    <row r="49" spans="1:8" x14ac:dyDescent="0.35">
      <c r="A49" t="str">
        <f>IF(Input!A50="","",Input!A50)</f>
        <v/>
      </c>
      <c r="B49" s="6" t="str">
        <f>IFERROR(IF(A49="","",SUM('Asset Allocation'!I49)),0)</f>
        <v/>
      </c>
      <c r="C49" s="6" t="str">
        <f>IFERROR(IF(A49="","",SUM('Asset Allocation'!L49)),0)</f>
        <v/>
      </c>
      <c r="D49" s="6" t="str">
        <f>IFERROR(IF(A49="","",SUM('Asset Allocation'!R49,'Asset Allocation'!K49)),0)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Allocation'!P49,'Asset Allocation'!Q49)),0)</f>
        <v/>
      </c>
      <c r="H49" s="6" t="str">
        <f>IFERROR(IF(A49="","",SUM('Asset Allocation'!N49)),0)</f>
        <v/>
      </c>
    </row>
    <row r="50" spans="1:8" x14ac:dyDescent="0.35">
      <c r="A50" t="str">
        <f>IF(Input!A51="","",Input!A51)</f>
        <v/>
      </c>
      <c r="B50" s="6" t="str">
        <f>IFERROR(IF(A50="","",SUM('Asset Allocation'!I50)),0)</f>
        <v/>
      </c>
      <c r="C50" s="6" t="str">
        <f>IFERROR(IF(A50="","",SUM('Asset Allocation'!L50)),0)</f>
        <v/>
      </c>
      <c r="D50" s="6" t="str">
        <f>IFERROR(IF(A50="","",SUM('Asset Allocation'!R50,'Asset Allocation'!K50)),0)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Allocation'!P50,'Asset Allocation'!Q50)),0)</f>
        <v/>
      </c>
      <c r="H50" s="6" t="str">
        <f>IFERROR(IF(A50="","",SUM('Asset Allocation'!N50)),0)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72C2-029E-4949-BB6B-3C6003880A5D}">
  <sheetPr codeName="Sheet9">
    <tabColor theme="4" tint="0.79998168889431442"/>
  </sheetPr>
  <dimension ref="A1:H50"/>
  <sheetViews>
    <sheetView workbookViewId="0">
      <selection activeCell="H1" sqref="H1"/>
    </sheetView>
  </sheetViews>
  <sheetFormatPr defaultRowHeight="14.5" x14ac:dyDescent="0.35"/>
  <sheetData>
    <row r="1" spans="1:8" x14ac:dyDescent="0.35">
      <c r="B1" t="s">
        <v>11</v>
      </c>
      <c r="C1" t="s">
        <v>14</v>
      </c>
      <c r="D1" t="s">
        <v>13</v>
      </c>
      <c r="E1" t="s">
        <v>12</v>
      </c>
      <c r="F1" t="s">
        <v>64</v>
      </c>
      <c r="G1" t="s">
        <v>17</v>
      </c>
      <c r="H1" t="s">
        <v>65</v>
      </c>
    </row>
    <row r="2" spans="1:8" x14ac:dyDescent="0.35">
      <c r="A2" t="str">
        <f>IF(Input!A3="","",Input!A3)</f>
        <v>Passive MPS 1</v>
      </c>
      <c r="H2">
        <f>IFERROR(IF(A2="","",SUM('Asset Allocation'!C2)/'Broad Asset Allocation'!C2),0)</f>
        <v>0</v>
      </c>
    </row>
    <row r="3" spans="1:8" x14ac:dyDescent="0.35">
      <c r="A3" t="str">
        <f>IF(Input!A4="","",Input!A4)</f>
        <v>Passive MPS 2</v>
      </c>
      <c r="H3">
        <f>IFERROR(IF(A3="","",SUM('Asset Allocation'!C3)/'Broad Asset Allocation'!C3),0)</f>
        <v>0</v>
      </c>
    </row>
    <row r="4" spans="1:8" x14ac:dyDescent="0.35">
      <c r="A4" t="str">
        <f>IF(Input!A5="","",Input!A5)</f>
        <v>Passive MPS 3</v>
      </c>
      <c r="H4">
        <f>IFERROR(IF(A4="","",SUM('Asset Allocation'!C4)/'Broad Asset Allocation'!C4),0)</f>
        <v>0</v>
      </c>
    </row>
    <row r="5" spans="1:8" x14ac:dyDescent="0.35">
      <c r="A5" t="str">
        <f>IF(Input!A6="","",Input!A6)</f>
        <v>Passive MPS 4</v>
      </c>
      <c r="H5">
        <f>IFERROR(IF(A5="","",SUM('Asset Allocation'!C5)/'Broad Asset Allocation'!C5),0)</f>
        <v>0</v>
      </c>
    </row>
    <row r="6" spans="1:8" x14ac:dyDescent="0.35">
      <c r="A6" t="str">
        <f>IF(Input!A7="","",Input!A7)</f>
        <v>Passive MPS 5</v>
      </c>
      <c r="H6">
        <f>IFERROR(IF(A6="","",SUM('Asset Allocation'!C6)/'Broad Asset Allocation'!C6),0)</f>
        <v>0</v>
      </c>
    </row>
    <row r="7" spans="1:8" x14ac:dyDescent="0.35">
      <c r="A7" t="str">
        <f>IF(Input!A8="","",Input!A8)</f>
        <v>Passive MPS 6</v>
      </c>
      <c r="H7">
        <f>IFERROR(IF(A7="","",SUM('Asset Allocation'!C7)/'Broad Asset Allocation'!C7),0)</f>
        <v>0</v>
      </c>
    </row>
    <row r="8" spans="1:8" x14ac:dyDescent="0.35">
      <c r="A8" t="str">
        <f>IF(Input!A9="","",Input!A9)</f>
        <v>Passive MPS Income 1</v>
      </c>
      <c r="H8">
        <f>IFERROR(IF(A8="","",SUM('Asset Allocation'!C8)/'Broad Asset Allocation'!C8),0)</f>
        <v>0</v>
      </c>
    </row>
    <row r="9" spans="1:8" x14ac:dyDescent="0.35">
      <c r="A9" t="str">
        <f>IF(Input!A10="","",Input!A10)</f>
        <v>Passive MPS Income 2</v>
      </c>
      <c r="H9">
        <f>IFERROR(IF(A9="","",SUM('Asset Allocation'!C9)/'Broad Asset Allocation'!C9),0)</f>
        <v>0</v>
      </c>
    </row>
    <row r="10" spans="1:8" x14ac:dyDescent="0.35">
      <c r="A10" t="str">
        <f>IF(Input!A11="","",Input!A11)</f>
        <v>Active MPS 1</v>
      </c>
      <c r="H10">
        <f>IFERROR(IF(A10="","",SUM('Asset Allocation'!C10)/'Broad Asset Allocation'!C10),0)</f>
        <v>0</v>
      </c>
    </row>
    <row r="11" spans="1:8" x14ac:dyDescent="0.35">
      <c r="A11" t="str">
        <f>IF(Input!A12="","",Input!A12)</f>
        <v>Active MPS 2</v>
      </c>
      <c r="H11">
        <f>IFERROR(IF(A11="","",SUM('Asset Allocation'!C11)/'Broad Asset Allocation'!C11),0)</f>
        <v>0</v>
      </c>
    </row>
    <row r="12" spans="1:8" x14ac:dyDescent="0.35">
      <c r="A12" t="str">
        <f>IF(Input!A13="","",Input!A13)</f>
        <v>Active MPS 3</v>
      </c>
      <c r="H12">
        <f>IFERROR(IF(A12="","",SUM('Asset Allocation'!C12)/'Broad Asset Allocation'!C12),0)</f>
        <v>0</v>
      </c>
    </row>
    <row r="13" spans="1:8" x14ac:dyDescent="0.35">
      <c r="A13" t="str">
        <f>IF(Input!A14="","",Input!A14)</f>
        <v>Active MPS 4</v>
      </c>
      <c r="H13">
        <f>IFERROR(IF(A13="","",SUM('Asset Allocation'!C13)/'Broad Asset Allocation'!C13),0)</f>
        <v>0</v>
      </c>
    </row>
    <row r="14" spans="1:8" x14ac:dyDescent="0.35">
      <c r="A14" t="str">
        <f>IF(Input!A15="","",Input!A15)</f>
        <v>Active MPS 5</v>
      </c>
      <c r="H14">
        <f>IFERROR(IF(A14="","",SUM('Asset Allocation'!C14)/'Broad Asset Allocation'!C14),0)</f>
        <v>0</v>
      </c>
    </row>
    <row r="15" spans="1:8" x14ac:dyDescent="0.35">
      <c r="A15" t="str">
        <f>IF(Input!A16="","",Input!A16)</f>
        <v>Active MPS 6</v>
      </c>
      <c r="H15">
        <f>IFERROR(IF(A15="","",SUM('Asset Allocation'!C15)/'Broad Asset Allocation'!C15),0)</f>
        <v>0</v>
      </c>
    </row>
    <row r="16" spans="1:8" x14ac:dyDescent="0.35">
      <c r="A16" t="str">
        <f>IF(Input!A17="","",Input!A17)</f>
        <v>Active MPS Income 1</v>
      </c>
      <c r="H16">
        <f>IFERROR(IF(A16="","",SUM('Asset Allocation'!C16)/'Broad Asset Allocation'!C16),0)</f>
        <v>0</v>
      </c>
    </row>
    <row r="17" spans="1:8" x14ac:dyDescent="0.35">
      <c r="A17" t="str">
        <f>IF(Input!A18="","",Input!A18)</f>
        <v>Active MPS Income 2</v>
      </c>
      <c r="H17">
        <f>IFERROR(IF(A17="","",SUM('Asset Allocation'!C17)/'Broad Asset Allocation'!C17),0)</f>
        <v>0</v>
      </c>
    </row>
    <row r="18" spans="1:8" x14ac:dyDescent="0.35">
      <c r="A18" t="str">
        <f>IF(Input!A19="","",Input!A19)</f>
        <v>Pactive MPS 1</v>
      </c>
      <c r="H18">
        <f>IFERROR(IF(A18="","",SUM('Asset Allocation'!C18)/'Broad Asset Allocation'!C18),0)</f>
        <v>0</v>
      </c>
    </row>
    <row r="19" spans="1:8" x14ac:dyDescent="0.35">
      <c r="A19" t="str">
        <f>IF(Input!A20="","",Input!A20)</f>
        <v>Pactive MPS 2</v>
      </c>
      <c r="H19">
        <f>IFERROR(IF(A19="","",SUM('Asset Allocation'!C19)/'Broad Asset Allocation'!C19),0)</f>
        <v>0</v>
      </c>
    </row>
    <row r="20" spans="1:8" x14ac:dyDescent="0.35">
      <c r="A20" t="str">
        <f>IF(Input!A21="","",Input!A21)</f>
        <v>Pactive MPS 3</v>
      </c>
      <c r="H20">
        <f>IFERROR(IF(A20="","",SUM('Asset Allocation'!C20)/'Broad Asset Allocation'!C20),0)</f>
        <v>0</v>
      </c>
    </row>
    <row r="21" spans="1:8" x14ac:dyDescent="0.35">
      <c r="A21" t="str">
        <f>IF(Input!A22="","",Input!A22)</f>
        <v>Pactive MPS 4</v>
      </c>
      <c r="H21">
        <f>IFERROR(IF(A21="","",SUM('Asset Allocation'!C21)/'Broad Asset Allocation'!C21),0)</f>
        <v>0</v>
      </c>
    </row>
    <row r="22" spans="1:8" x14ac:dyDescent="0.35">
      <c r="A22" t="str">
        <f>IF(Input!A23="","",Input!A23)</f>
        <v>Pactive MPS 5</v>
      </c>
      <c r="H22">
        <f>IFERROR(IF(A22="","",SUM('Asset Allocation'!C22)/'Broad Asset Allocation'!C22),0)</f>
        <v>0</v>
      </c>
    </row>
    <row r="23" spans="1:8" x14ac:dyDescent="0.35">
      <c r="A23" t="str">
        <f>IF(Input!A24="","",Input!A24)</f>
        <v>Pactive MPS 6</v>
      </c>
      <c r="H23">
        <f>IFERROR(IF(A23="","",SUM('Asset Allocation'!C23)/'Broad Asset Allocation'!C23),0)</f>
        <v>0</v>
      </c>
    </row>
    <row r="24" spans="1:8" x14ac:dyDescent="0.35">
      <c r="A24" t="str">
        <f>IF(Input!A25="","",Input!A25)</f>
        <v>Responsible MPS 1</v>
      </c>
      <c r="H24">
        <f>IFERROR(IF(A24="","",SUM('Asset Allocation'!C24)/'Broad Asset Allocation'!C24),0)</f>
        <v>0</v>
      </c>
    </row>
    <row r="25" spans="1:8" x14ac:dyDescent="0.35">
      <c r="A25" t="str">
        <f>IF(Input!A26="","",Input!A26)</f>
        <v>Responsible MPS 2</v>
      </c>
      <c r="H25">
        <f>IFERROR(IF(A25="","",SUM('Asset Allocation'!C25)/'Broad Asset Allocation'!C25),0)</f>
        <v>0</v>
      </c>
    </row>
    <row r="26" spans="1:8" x14ac:dyDescent="0.35">
      <c r="A26" t="str">
        <f>IF(Input!A27="","",Input!A27)</f>
        <v>Responsible MPS 3</v>
      </c>
      <c r="H26">
        <f>IFERROR(IF(A26="","",SUM('Asset Allocation'!C26)/'Broad Asset Allocation'!C26),0)</f>
        <v>0</v>
      </c>
    </row>
    <row r="27" spans="1:8" x14ac:dyDescent="0.35">
      <c r="A27" t="str">
        <f>IF(Input!A28="","",Input!A28)</f>
        <v>Responsible MPS 4</v>
      </c>
      <c r="H27">
        <f>IFERROR(IF(A27="","",SUM('Asset Allocation'!C27)/'Broad Asset Allocation'!C27),0)</f>
        <v>0</v>
      </c>
    </row>
    <row r="28" spans="1:8" x14ac:dyDescent="0.35">
      <c r="A28" t="str">
        <f>IF(Input!A29="","",Input!A29)</f>
        <v>Responsible MPS 5</v>
      </c>
      <c r="H28">
        <f>IFERROR(IF(A28="","",SUM('Asset Allocation'!C28)/'Broad Asset Allocation'!C28),0)</f>
        <v>0</v>
      </c>
    </row>
    <row r="29" spans="1:8" x14ac:dyDescent="0.35">
      <c r="A29" t="str">
        <f>IF(Input!A30="","",Input!A30)</f>
        <v>Responsible MPS 6</v>
      </c>
      <c r="H29">
        <f>IFERROR(IF(A29="","",SUM('Asset Allocation'!C29)/'Broad Asset Allocation'!C29),0)</f>
        <v>0</v>
      </c>
    </row>
    <row r="30" spans="1:8" x14ac:dyDescent="0.3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3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3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3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3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3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3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3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3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3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3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3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3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3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3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3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3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3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3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3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3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E4A3C-DB9C-4521-9498-63EF6F796360}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C3C34-E32C-4C2F-8F8A-41542C6C51B5}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D70C-719E-4033-901E-8ADB240C68EC}">
  <sheetPr codeName="Sheet12">
    <tabColor theme="9" tint="0.79998168889431442"/>
  </sheetPr>
  <dimension ref="A1:AX6"/>
  <sheetViews>
    <sheetView workbookViewId="0">
      <selection activeCell="C19" sqref="C19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C27B0-D147-43EF-9EC5-D4952603178F}">
  <sheetPr codeName="Sheet35">
    <tabColor theme="9" tint="0.79998168889431442"/>
  </sheetPr>
  <dimension ref="A1:AX6"/>
  <sheetViews>
    <sheetView workbookViewId="0">
      <selection activeCell="C17" sqref="C17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5EEC2-BFFF-4584-A1A7-AEA6568BDF20}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B78C4-3155-4C71-A520-29197BD81524}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243AF-9EE4-4C7D-AC50-1647FA9D6711}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19BC-52CD-44AB-903D-1F0755699404}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44D58-7A40-4DDE-B697-15F749FDA586}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F9DA5-91A5-4BE4-80AD-E6A65648B8A3}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2BF2-41AF-44AE-ACB8-DC04C543750C}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35D0A-55B0-4FC8-AF49-198C0C104DD1}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C2834-3319-4E5D-9A3F-587C2097ED52}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B8BDF-68E1-421B-902A-A996499BA669}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FD16B-D524-420A-BD04-AAF9FE2B9A83}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E25B6-3E35-4BF5-96FB-E044333492E0}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9672E-CAD6-4028-BFA1-D0DD01753B0B}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F249-F289-4F1F-8B70-D7ADA6A13951}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EF831-C18B-49DC-8F0C-E55941B86767}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9C1C1-EE3D-435A-B8D9-9CEEE94BE793}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938A6-DD37-4CB1-92D3-65CD9C6C0910}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B2EBF-1029-4FD3-B848-43A03293C054}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DE9E-3122-44B3-BB5E-571E5F46A86B}">
  <sheetPr codeName="Sheet30">
    <tabColor theme="9" tint="0.79998168889431442"/>
  </sheetPr>
  <dimension ref="A1:AX6"/>
  <sheetViews>
    <sheetView workbookViewId="0">
      <selection activeCell="D18" sqref="D18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9216B-5D8A-45A3-AE6B-DE69839C8D14}">
  <sheetPr codeName="Sheet31">
    <tabColor theme="9" tint="0.79998168889431442"/>
  </sheetPr>
  <dimension ref="A1:AX6"/>
  <sheetViews>
    <sheetView workbookViewId="0">
      <selection activeCell="F18" sqref="F18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B588D-7D7C-4F77-ABDE-3BD7E3A9B988}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Gaurav Gupta</cp:lastModifiedBy>
  <dcterms:created xsi:type="dcterms:W3CDTF">2023-07-09T20:52:37Z</dcterms:created>
  <dcterms:modified xsi:type="dcterms:W3CDTF">2023-09-21T18:33:12Z</dcterms:modified>
</cp:coreProperties>
</file>