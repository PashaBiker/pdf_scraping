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<sst xmlns="http://schemas.openxmlformats.org/spreadsheetml/2006/main" count="165" uniqueCount="81">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</sst>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19" sqref="A19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L23" sqref="L23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7.42578125" bestFit="1" customWidth="1"/>
    <col min="4" max="4" width="6.28515625" bestFit="1" customWidth="1"/>
    <col min="5" max="5" width="7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45199</v>
      </c>
      <c r="C2" s="5">
        <v>2.8000000000000004E-3</v>
      </c>
      <c r="D2" s="5">
        <v>2.2099999999999998E-2</v>
      </c>
      <c r="E2" s="5">
        <v>-3.3799999999999997E-2</v>
      </c>
      <c r="F2" s="5">
        <v>2.1400000000000002E-2</v>
      </c>
      <c r="G2" s="5">
        <v>3.3799999999999997E-2</v>
      </c>
      <c r="H2" s="5">
        <v>0.10339999999999999</v>
      </c>
    </row>
    <row r="3" spans="1:8" x14ac:dyDescent="0.25">
      <c r="A3" t="str">
        <f>IF(Input!A4="","",Input!A4)</f>
        <v>Passive MPS 2</v>
      </c>
      <c r="B3" s="1">
        <v>45199</v>
      </c>
      <c r="C3" s="5">
        <v>2.8000000000000004E-3</v>
      </c>
      <c r="D3" s="5">
        <v>4.0999999999999995E-2</v>
      </c>
      <c r="E3" s="5">
        <v>-1.6899999999999998E-2</v>
      </c>
      <c r="F3" s="5">
        <v>7.4299999999999991E-2</v>
      </c>
      <c r="G3" s="5">
        <v>8.7100000000000011E-2</v>
      </c>
      <c r="H3" s="5">
        <v>0.1618</v>
      </c>
    </row>
    <row r="4" spans="1:8" x14ac:dyDescent="0.25">
      <c r="A4" t="str">
        <f>IF(Input!A5="","",Input!A5)</f>
        <v>Passive MPS 3</v>
      </c>
      <c r="B4" s="1">
        <v>45199</v>
      </c>
      <c r="C4" s="5">
        <v>2.8999999999999998E-3</v>
      </c>
      <c r="D4" s="5">
        <v>5.5500000000000001E-2</v>
      </c>
      <c r="E4" s="5">
        <v>2.6499999999999999E-2</v>
      </c>
      <c r="F4" s="5">
        <v>0.1555</v>
      </c>
      <c r="G4" s="5">
        <v>0.17249999999999999</v>
      </c>
      <c r="H4" s="5">
        <v>0.25390000000000001</v>
      </c>
    </row>
    <row r="5" spans="1:8" x14ac:dyDescent="0.25">
      <c r="A5" t="str">
        <f>IF(Input!A6="","",Input!A6)</f>
        <v>Passive MPS 4</v>
      </c>
      <c r="B5" s="1">
        <v>45199</v>
      </c>
      <c r="C5" s="5">
        <v>2.8000000000000004E-3</v>
      </c>
      <c r="D5" s="5">
        <v>5.2699999999999997E-2</v>
      </c>
      <c r="E5" s="5">
        <v>5.5399999999999998E-2</v>
      </c>
      <c r="F5" s="5">
        <v>0.10300000000000001</v>
      </c>
      <c r="G5" s="5">
        <v>0.1024</v>
      </c>
      <c r="H5" s="5">
        <v>0.15010000000000001</v>
      </c>
    </row>
    <row r="6" spans="1:8" x14ac:dyDescent="0.25">
      <c r="A6" t="str">
        <f>IF(Input!A7="","",Input!A7)</f>
        <v>Passive MPS 5</v>
      </c>
      <c r="B6" s="1">
        <v>45199</v>
      </c>
      <c r="C6" s="5">
        <v>2.8000000000000004E-3</v>
      </c>
      <c r="D6" s="5">
        <v>7.6600000000000001E-2</v>
      </c>
      <c r="E6" s="5">
        <v>7.7600000000000002E-2</v>
      </c>
      <c r="F6" s="5">
        <v>0.29680000000000001</v>
      </c>
      <c r="G6" s="5">
        <v>0.30109999999999998</v>
      </c>
      <c r="H6" s="5">
        <v>0.37579999999999997</v>
      </c>
    </row>
    <row r="7" spans="1:8" x14ac:dyDescent="0.25">
      <c r="A7" t="str">
        <f>IF(Input!A8="","",Input!A8)</f>
        <v>Passive MPS 6</v>
      </c>
      <c r="B7" s="1">
        <v>45199</v>
      </c>
      <c r="C7" s="5">
        <v>2.8999999999999998E-3</v>
      </c>
      <c r="D7" s="5">
        <v>6.4199999999999993E-2</v>
      </c>
      <c r="E7" s="5">
        <v>5.4000000000000006E-2</v>
      </c>
      <c r="F7" s="5">
        <v>0.29699999999999999</v>
      </c>
      <c r="G7" s="5">
        <v>0.31</v>
      </c>
      <c r="H7" s="5">
        <v>0.36829999999999996</v>
      </c>
    </row>
    <row r="8" spans="1:8" x14ac:dyDescent="0.25">
      <c r="A8" t="str">
        <f>IF(Input!A9="","",Input!A9)</f>
        <v>Passive Income MPS 1</v>
      </c>
      <c r="B8" s="1">
        <v>45199</v>
      </c>
      <c r="C8" s="5">
        <v>3.8E-3</v>
      </c>
      <c r="D8" s="5">
        <v>4.3200000000000002E-2</v>
      </c>
      <c r="E8" s="5">
        <v>3.32E-2</v>
      </c>
      <c r="F8" s="5">
        <v>0.1358</v>
      </c>
      <c r="G8" s="5">
        <v>0.1048</v>
      </c>
      <c r="H8" s="5">
        <v>0.1948</v>
      </c>
    </row>
    <row r="9" spans="1:8" x14ac:dyDescent="0.25">
      <c r="A9" t="str">
        <f>IF(Input!A10="","",Input!A10)</f>
        <v>Passive Income MPS 2</v>
      </c>
      <c r="B9" s="1">
        <v>45199</v>
      </c>
      <c r="C9" s="5">
        <v>4.3E-3</v>
      </c>
      <c r="D9" s="5">
        <v>6.4199999999999993E-2</v>
      </c>
      <c r="E9" s="5">
        <v>5.4100000000000002E-2</v>
      </c>
      <c r="F9" s="5">
        <v>0.25259999999999999</v>
      </c>
      <c r="G9" s="5">
        <v>9.9499999999999991E-2</v>
      </c>
      <c r="H9" s="5">
        <v>0.18239999999999998</v>
      </c>
    </row>
    <row r="10" spans="1:8" x14ac:dyDescent="0.25">
      <c r="A10" t="str">
        <f>IF(Input!A11="","",Input!A11)</f>
        <v>Active MPS 1</v>
      </c>
      <c r="B10" s="1">
        <v>45199</v>
      </c>
      <c r="C10" s="5">
        <v>5.6000000000000008E-3</v>
      </c>
      <c r="D10" s="5">
        <v>2.4799999999999999E-2</v>
      </c>
      <c r="E10" s="5">
        <v>-5.5399999999999998E-2</v>
      </c>
      <c r="F10" s="5">
        <v>-2.0000000000000001E-4</v>
      </c>
      <c r="G10" s="5">
        <v>1.06E-2</v>
      </c>
      <c r="H10" s="5">
        <v>7.2300000000000003E-2</v>
      </c>
    </row>
    <row r="11" spans="1:8" x14ac:dyDescent="0.25">
      <c r="A11" t="str">
        <f>IF(Input!A12="","",Input!A12)</f>
        <v>Active MPS 2</v>
      </c>
      <c r="B11" s="1">
        <v>45199</v>
      </c>
      <c r="C11" s="5">
        <v>6.8000000000000005E-3</v>
      </c>
      <c r="D11" s="5">
        <v>4.2599999999999999E-2</v>
      </c>
      <c r="E11" s="5">
        <v>-4.1599999999999998E-2</v>
      </c>
      <c r="F11" s="5">
        <v>5.4400000000000004E-2</v>
      </c>
      <c r="G11" s="5">
        <v>6.3399999999999998E-2</v>
      </c>
      <c r="H11" s="5">
        <v>0.1273</v>
      </c>
    </row>
    <row r="12" spans="1:8" x14ac:dyDescent="0.25">
      <c r="A12" t="str">
        <f>IF(Input!A13="","",Input!A13)</f>
        <v>Active MPS 3</v>
      </c>
      <c r="B12" s="1">
        <v>45199</v>
      </c>
      <c r="C12" s="5">
        <v>7.9000000000000008E-3</v>
      </c>
      <c r="D12" s="5">
        <v>5.8899999999999994E-2</v>
      </c>
      <c r="E12" s="5">
        <v>-3.7000000000000002E-3</v>
      </c>
      <c r="F12" s="5">
        <v>0.13750000000000001</v>
      </c>
      <c r="G12" s="5">
        <v>0.15310000000000001</v>
      </c>
      <c r="H12" s="5">
        <v>0.21479999999999999</v>
      </c>
    </row>
    <row r="13" spans="1:8" x14ac:dyDescent="0.25">
      <c r="A13" t="str">
        <f>IF(Input!A14="","",Input!A14)</f>
        <v>Active MPS 4</v>
      </c>
      <c r="B13" s="1">
        <v>45199</v>
      </c>
      <c r="C13" s="5">
        <v>8.5000000000000006E-3</v>
      </c>
      <c r="D13" s="5">
        <v>5.7099999999999998E-2</v>
      </c>
      <c r="E13" s="5">
        <v>-1.2500000000000001E-2</v>
      </c>
      <c r="F13" s="5">
        <v>0.16420000000000001</v>
      </c>
      <c r="G13" s="5">
        <v>0.16510000000000002</v>
      </c>
      <c r="H13" s="5">
        <v>0.22030000000000002</v>
      </c>
    </row>
    <row r="14" spans="1:8" x14ac:dyDescent="0.25">
      <c r="A14" t="str">
        <f>IF(Input!A15="","",Input!A15)</f>
        <v>Active MPS 5</v>
      </c>
      <c r="B14" s="1">
        <v>45199</v>
      </c>
      <c r="C14" s="5">
        <v>9.0000000000000011E-3</v>
      </c>
      <c r="D14" s="5">
        <v>6.2300000000000001E-2</v>
      </c>
      <c r="E14" s="5">
        <v>3.9000000000000003E-3</v>
      </c>
      <c r="F14" s="5">
        <v>0.22440000000000002</v>
      </c>
      <c r="G14" s="5">
        <v>0.23440000000000003</v>
      </c>
      <c r="H14" s="5">
        <v>0.28720000000000001</v>
      </c>
    </row>
    <row r="15" spans="1:8" x14ac:dyDescent="0.25">
      <c r="A15" t="str">
        <f>IF(Input!A16="","",Input!A16)</f>
        <v>Active MPS 6</v>
      </c>
      <c r="B15" s="1">
        <v>45199</v>
      </c>
      <c r="C15" s="5">
        <v>9.300000000000001E-3</v>
      </c>
      <c r="D15" s="5">
        <v>5.8299999999999998E-2</v>
      </c>
      <c r="E15" s="5">
        <v>2.5999999999999999E-3</v>
      </c>
      <c r="F15" s="5">
        <v>0.26429999999999998</v>
      </c>
      <c r="G15" s="5">
        <v>0.29120000000000001</v>
      </c>
      <c r="H15" s="5">
        <v>0.3342</v>
      </c>
    </row>
    <row r="16" spans="1:8" x14ac:dyDescent="0.25">
      <c r="A16" t="str">
        <f>IF(Input!A17="","",Input!A17)</f>
        <v>Active Income MPS 1</v>
      </c>
      <c r="B16" s="1">
        <v>45199</v>
      </c>
      <c r="C16" s="5">
        <v>7.3000000000000001E-3</v>
      </c>
      <c r="D16" s="5">
        <v>4.9699999999999994E-2</v>
      </c>
      <c r="E16" s="5">
        <v>7.3000000000000001E-3</v>
      </c>
      <c r="F16" s="5">
        <v>0.11410000000000001</v>
      </c>
      <c r="G16" s="5">
        <v>9.64E-2</v>
      </c>
      <c r="H16" s="5">
        <v>0.20300000000000001</v>
      </c>
    </row>
    <row r="17" spans="1:8" x14ac:dyDescent="0.25">
      <c r="A17" t="str">
        <f>IF(Input!A18="","",Input!A18)</f>
        <v>Active Income MPS 2</v>
      </c>
      <c r="B17" s="1">
        <v>45199</v>
      </c>
      <c r="C17" s="5">
        <v>8.1000000000000013E-3</v>
      </c>
      <c r="D17" s="5">
        <v>7.0800000000000002E-2</v>
      </c>
      <c r="E17" s="5">
        <v>3.1099999999999999E-2</v>
      </c>
      <c r="F17" s="5">
        <v>0.21960000000000002</v>
      </c>
      <c r="G17" s="5">
        <v>0.1246</v>
      </c>
      <c r="H17" s="5">
        <v>0.21179999999999999</v>
      </c>
    </row>
    <row r="18" spans="1:8" x14ac:dyDescent="0.25">
      <c r="A18" t="str">
        <f>IF(Input!A19="","",Input!A19)</f>
        <v>Pactive MPS 1</v>
      </c>
      <c r="B18" s="1">
        <v>45199</v>
      </c>
      <c r="C18" s="5">
        <v>5.1000000000000004E-3</v>
      </c>
      <c r="D18" s="5">
        <v>1.66E-2</v>
      </c>
      <c r="E18" s="5">
        <v>-5.2999999999999999E-2</v>
      </c>
      <c r="F18" s="5">
        <v>7.000000000000001E-4</v>
      </c>
      <c r="G18" s="5">
        <v>1.18E-2</v>
      </c>
      <c r="H18" s="5"/>
    </row>
    <row r="19" spans="1:8" x14ac:dyDescent="0.25">
      <c r="A19" t="str">
        <f>IF(Input!A20="","",Input!A20)</f>
        <v>Pactive MPS 2</v>
      </c>
      <c r="B19" s="1">
        <v>45199</v>
      </c>
      <c r="C19" s="5">
        <v>5.6999999999999993E-3</v>
      </c>
      <c r="D19" s="5">
        <v>3.4500000000000003E-2</v>
      </c>
      <c r="E19" s="5">
        <v>-3.7000000000000005E-2</v>
      </c>
      <c r="F19" s="5">
        <v>5.3800000000000001E-2</v>
      </c>
      <c r="G19" s="5">
        <v>6.54E-2</v>
      </c>
      <c r="H19" s="5"/>
    </row>
    <row r="20" spans="1:8" x14ac:dyDescent="0.25">
      <c r="A20" t="str">
        <f>IF(Input!A21="","",Input!A21)</f>
        <v>Pactive MPS 3</v>
      </c>
      <c r="B20" s="1">
        <v>45199</v>
      </c>
      <c r="C20" s="5">
        <v>6.1999999999999998E-3</v>
      </c>
      <c r="D20" s="5">
        <v>5.0199999999999995E-2</v>
      </c>
      <c r="E20" s="5">
        <v>4.5999999999999999E-3</v>
      </c>
      <c r="F20" s="5">
        <v>0.1376</v>
      </c>
      <c r="G20" s="5">
        <v>0.15329999999999999</v>
      </c>
      <c r="H20" s="5"/>
    </row>
    <row r="21" spans="1:8" x14ac:dyDescent="0.25">
      <c r="A21" t="str">
        <f>IF(Input!A22="","",Input!A22)</f>
        <v>Pactive MPS 4</v>
      </c>
      <c r="B21" s="1">
        <v>45199</v>
      </c>
      <c r="C21" s="5">
        <v>6.5000000000000006E-3</v>
      </c>
      <c r="D21" s="5">
        <v>5.3200000000000004E-2</v>
      </c>
      <c r="E21" s="5">
        <v>1.0500000000000001E-2</v>
      </c>
      <c r="F21" s="5">
        <v>0.187</v>
      </c>
      <c r="G21" s="5">
        <v>0.187</v>
      </c>
      <c r="H21" s="5"/>
    </row>
    <row r="22" spans="1:8" x14ac:dyDescent="0.25">
      <c r="A22" t="str">
        <f>IF(Input!A23="","",Input!A23)</f>
        <v>Pactive MPS 5</v>
      </c>
      <c r="B22" s="1">
        <v>45199</v>
      </c>
      <c r="C22" s="5">
        <v>6.8000000000000005E-3</v>
      </c>
      <c r="D22" s="5">
        <v>6.4399999999999999E-2</v>
      </c>
      <c r="E22" s="5">
        <v>3.6499999999999998E-2</v>
      </c>
      <c r="F22" s="5">
        <v>0.25640000000000002</v>
      </c>
      <c r="G22" s="5">
        <v>0.26219999999999999</v>
      </c>
      <c r="H22" s="5"/>
    </row>
    <row r="23" spans="1:8" x14ac:dyDescent="0.25">
      <c r="A23" t="str">
        <f>IF(Input!A24="","",Input!A24)</f>
        <v>Pactive MPS 6</v>
      </c>
      <c r="B23" s="1">
        <v>45199</v>
      </c>
      <c r="C23" s="5">
        <v>6.8999999999999999E-3</v>
      </c>
      <c r="D23" s="5">
        <v>5.3399999999999996E-2</v>
      </c>
      <c r="E23" s="5">
        <v>2.1099999999999997E-2</v>
      </c>
      <c r="F23" s="5">
        <v>0.26979999999999998</v>
      </c>
      <c r="G23" s="5">
        <v>0.29249999999999998</v>
      </c>
      <c r="H23" s="5"/>
    </row>
    <row r="24" spans="1:8" x14ac:dyDescent="0.25">
      <c r="A24" t="str">
        <f>IF(Input!A25="","",Input!A25)</f>
        <v>Responsible MPS 1</v>
      </c>
      <c r="B24" s="1">
        <v>45199</v>
      </c>
      <c r="C24" s="5">
        <v>3.8E-3</v>
      </c>
      <c r="D24" s="5">
        <v>2.1600000000000001E-2</v>
      </c>
      <c r="E24" s="5">
        <v>-1.23E-2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45199</v>
      </c>
      <c r="C25" s="5">
        <v>3.9000000000000003E-3</v>
      </c>
      <c r="D25" s="5">
        <v>3.6600000000000001E-2</v>
      </c>
      <c r="E25" s="5">
        <v>-6.1600000000000002E-2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45199</v>
      </c>
      <c r="C26" s="5">
        <v>4.0000000000000001E-3</v>
      </c>
      <c r="D26" s="5">
        <v>3.8900000000000004E-2</v>
      </c>
      <c r="E26" s="5">
        <v>-5.1200000000000002E-2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45199</v>
      </c>
      <c r="C27" s="5">
        <v>4.0999999999999995E-3</v>
      </c>
      <c r="D27" s="5">
        <v>5.2499999999999998E-2</v>
      </c>
      <c r="E27" s="5">
        <v>-4.2599999999999999E-2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45199</v>
      </c>
      <c r="C28" s="5">
        <v>4.4000000000000003E-3</v>
      </c>
      <c r="D28" s="5">
        <v>5.3399999999999996E-2</v>
      </c>
      <c r="E28" s="5">
        <v>-2.8999999999999998E-2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45199</v>
      </c>
      <c r="C29" s="5">
        <v>4.4000000000000003E-3</v>
      </c>
      <c r="D29" s="5">
        <v>4.2199999999999994E-2</v>
      </c>
      <c r="E29" s="5">
        <v>-6.1600000000000002E-2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3" sqref="B23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12">
        <v>0.08</v>
      </c>
      <c r="M3" s="12">
        <v>0.02</v>
      </c>
      <c r="N3" s="10">
        <f t="shared" ref="N3:N29" si="0">SUM(B3:M3)</f>
        <v>1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/>
  </sheetViews>
  <sheetFormatPr defaultRowHeight="15" x14ac:dyDescent="0.25"/>
  <cols>
    <col min="1" max="1" width="30.140625" bestFit="1" customWidth="1"/>
    <col min="4" max="4" width="8.7109375" style="8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45199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45199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45199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45199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45199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45199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45199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45199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45199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45199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45199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45199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45199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45199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45199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2.1400000000000002E-2</v>
      </c>
      <c r="C2">
        <f>IF(A2="","",'Additional Information'!E2)</f>
        <v>-3.3799999999999997E-2</v>
      </c>
      <c r="D2" s="5">
        <f>IF(A2="","",SUM('Additional Information'!C2,'Additional Information'!D2))</f>
        <v>2.4899999999999999E-2</v>
      </c>
    </row>
    <row r="3" spans="1:5" x14ac:dyDescent="0.25">
      <c r="A3" t="str">
        <f>IF(Input!A4="","",Input!A4)</f>
        <v>Passive MPS 2</v>
      </c>
      <c r="B3">
        <f>IF(A3="","",'Additional Information'!F3)</f>
        <v>7.4299999999999991E-2</v>
      </c>
      <c r="C3">
        <f>IF(A3="","",'Additional Information'!E3)</f>
        <v>-1.6899999999999998E-2</v>
      </c>
      <c r="D3" s="5">
        <f>IF(A3="","",SUM('Additional Information'!C3,'Additional Information'!D3))</f>
        <v>4.3799999999999992E-2</v>
      </c>
    </row>
    <row r="4" spans="1:5" x14ac:dyDescent="0.25">
      <c r="A4" t="str">
        <f>IF(Input!A5="","",Input!A5)</f>
        <v>Passive MPS 3</v>
      </c>
      <c r="B4">
        <f>IF(A4="","",'Additional Information'!F4)</f>
        <v>0.1555</v>
      </c>
      <c r="C4">
        <f>IF(A4="","",'Additional Information'!E4)</f>
        <v>2.6499999999999999E-2</v>
      </c>
      <c r="D4" s="5">
        <f>IF(A4="","",SUM('Additional Information'!C4,'Additional Information'!D4))</f>
        <v>5.8400000000000001E-2</v>
      </c>
    </row>
    <row r="5" spans="1:5" x14ac:dyDescent="0.25">
      <c r="A5" t="str">
        <f>IF(Input!A6="","",Input!A6)</f>
        <v>Passive MPS 4</v>
      </c>
      <c r="B5">
        <f>IF(A5="","",'Additional Information'!F5)</f>
        <v>0.10300000000000001</v>
      </c>
      <c r="C5">
        <f>IF(A5="","",'Additional Information'!E5)</f>
        <v>5.5399999999999998E-2</v>
      </c>
      <c r="D5" s="5">
        <f>IF(A5="","",SUM('Additional Information'!C5,'Additional Information'!D5))</f>
        <v>5.5499999999999994E-2</v>
      </c>
    </row>
    <row r="6" spans="1:5" x14ac:dyDescent="0.25">
      <c r="A6" t="str">
        <f>IF(Input!A7="","",Input!A7)</f>
        <v>Passive MPS 5</v>
      </c>
      <c r="B6">
        <f>IF(A6="","",'Additional Information'!F6)</f>
        <v>0.29680000000000001</v>
      </c>
      <c r="C6">
        <f>IF(A6="","",'Additional Information'!E6)</f>
        <v>7.7600000000000002E-2</v>
      </c>
      <c r="D6" s="5">
        <f>IF(A6="","",SUM('Additional Information'!C6,'Additional Information'!D6))</f>
        <v>7.9399999999999998E-2</v>
      </c>
    </row>
    <row r="7" spans="1:5" x14ac:dyDescent="0.25">
      <c r="A7" t="str">
        <f>IF(Input!A8="","",Input!A8)</f>
        <v>Passive MPS 6</v>
      </c>
      <c r="B7">
        <f>IF(A7="","",'Additional Information'!F7)</f>
        <v>0.29699999999999999</v>
      </c>
      <c r="C7">
        <f>IF(A7="","",'Additional Information'!E7)</f>
        <v>5.4000000000000006E-2</v>
      </c>
      <c r="D7" s="5">
        <f>IF(A7="","",SUM('Additional Information'!C7,'Additional Information'!D7))</f>
        <v>6.7099999999999993E-2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0.1358</v>
      </c>
      <c r="C8">
        <f>IF(A8="","",'Additional Information'!E8)</f>
        <v>3.32E-2</v>
      </c>
      <c r="D8" s="5">
        <f>IF(A8="","",SUM('Additional Information'!C8,'Additional Information'!D8))</f>
        <v>4.7E-2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0.25259999999999999</v>
      </c>
      <c r="C9">
        <f>IF(A9="","",'Additional Information'!E9)</f>
        <v>5.4100000000000002E-2</v>
      </c>
      <c r="D9" s="5">
        <f>IF(A9="","",SUM('Additional Information'!C9,'Additional Information'!D9))</f>
        <v>6.8499999999999991E-2</v>
      </c>
    </row>
    <row r="10" spans="1:5" x14ac:dyDescent="0.25">
      <c r="A10" t="str">
        <f>IF(Input!A11="","",Input!A11)</f>
        <v>Active MPS 1</v>
      </c>
      <c r="B10">
        <f>IF(A10="","",'Additional Information'!F10)</f>
        <v>-2.0000000000000001E-4</v>
      </c>
      <c r="C10">
        <f>IF(A10="","",'Additional Information'!E10)</f>
        <v>-5.5399999999999998E-2</v>
      </c>
      <c r="D10" s="5">
        <f>IF(A10="","",SUM('Additional Information'!C10,'Additional Information'!D10))</f>
        <v>3.04E-2</v>
      </c>
    </row>
    <row r="11" spans="1:5" x14ac:dyDescent="0.25">
      <c r="A11" t="str">
        <f>IF(Input!A12="","",Input!A12)</f>
        <v>Active MPS 2</v>
      </c>
      <c r="B11">
        <f>IF(A11="","",'Additional Information'!F11)</f>
        <v>5.4400000000000004E-2</v>
      </c>
      <c r="C11">
        <f>IF(A11="","",'Additional Information'!E11)</f>
        <v>-4.1599999999999998E-2</v>
      </c>
      <c r="D11" s="5">
        <f>IF(A11="","",SUM('Additional Information'!C11,'Additional Information'!D11))</f>
        <v>4.9399999999999999E-2</v>
      </c>
    </row>
    <row r="12" spans="1:5" x14ac:dyDescent="0.25">
      <c r="A12" t="str">
        <f>IF(Input!A13="","",Input!A13)</f>
        <v>Active MPS 3</v>
      </c>
      <c r="B12">
        <f>IF(A12="","",'Additional Information'!F12)</f>
        <v>0.13750000000000001</v>
      </c>
      <c r="C12">
        <f>IF(A12="","",'Additional Information'!E12)</f>
        <v>-3.7000000000000002E-3</v>
      </c>
      <c r="D12" s="5">
        <f>IF(A12="","",SUM('Additional Information'!C12,'Additional Information'!D12))</f>
        <v>6.6799999999999998E-2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0.16420000000000001</v>
      </c>
      <c r="C13">
        <f>IF(A13="","",'Additional Information'!E13)</f>
        <v>-1.2500000000000001E-2</v>
      </c>
      <c r="D13" s="5">
        <f>IF(A13="","",SUM('Additional Information'!C13,'Additional Information'!D13))</f>
        <v>6.5599999999999992E-2</v>
      </c>
    </row>
    <row r="14" spans="1:5" x14ac:dyDescent="0.25">
      <c r="A14" t="str">
        <f>IF(Input!A15="","",Input!A15)</f>
        <v>Active MPS 5</v>
      </c>
      <c r="B14">
        <f>IF(A14="","",'Additional Information'!F14)</f>
        <v>0.22440000000000002</v>
      </c>
      <c r="C14">
        <f>IF(A14="","",'Additional Information'!E14)</f>
        <v>3.9000000000000003E-3</v>
      </c>
      <c r="D14" s="5">
        <f>IF(A14="","",SUM('Additional Information'!C14,'Additional Information'!D14))</f>
        <v>7.1300000000000002E-2</v>
      </c>
    </row>
    <row r="15" spans="1:5" x14ac:dyDescent="0.25">
      <c r="A15" t="str">
        <f>IF(Input!A16="","",Input!A16)</f>
        <v>Active MPS 6</v>
      </c>
      <c r="B15">
        <f>IF(A15="","",'Additional Information'!F15)</f>
        <v>0.26429999999999998</v>
      </c>
      <c r="C15">
        <f>IF(A15="","",'Additional Information'!E15)</f>
        <v>2.5999999999999999E-3</v>
      </c>
      <c r="D15" s="5">
        <f>IF(A15="","",SUM('Additional Information'!C15,'Additional Information'!D15))</f>
        <v>6.7599999999999993E-2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0.11410000000000001</v>
      </c>
      <c r="C16">
        <f>IF(A16="","",'Additional Information'!E16)</f>
        <v>7.3000000000000001E-3</v>
      </c>
      <c r="D16" s="5">
        <f>IF(A16="","",SUM('Additional Information'!C16,'Additional Information'!D16))</f>
        <v>5.6999999999999995E-2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0.21960000000000002</v>
      </c>
      <c r="C17">
        <f>IF(A17="","",'Additional Information'!E17)</f>
        <v>3.1099999999999999E-2</v>
      </c>
      <c r="D17" s="5">
        <f>IF(A17="","",SUM('Additional Information'!C17,'Additional Information'!D17))</f>
        <v>7.8899999999999998E-2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7.000000000000001E-4</v>
      </c>
      <c r="C18">
        <f>IF(A18="","",'Additional Information'!E18)</f>
        <v>-5.2999999999999999E-2</v>
      </c>
      <c r="D18" s="5">
        <f>IF(A18="","",SUM('Additional Information'!C18,'Additional Information'!D18))</f>
        <v>2.1700000000000001E-2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5.3800000000000001E-2</v>
      </c>
      <c r="C19">
        <f>IF(A19="","",'Additional Information'!E19)</f>
        <v>-3.7000000000000005E-2</v>
      </c>
      <c r="D19" s="5">
        <f>IF(A19="","",SUM('Additional Information'!C19,'Additional Information'!D19))</f>
        <v>4.02E-2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0.1376</v>
      </c>
      <c r="C20">
        <f>IF(A20="","",'Additional Information'!E20)</f>
        <v>4.5999999999999999E-3</v>
      </c>
      <c r="D20" s="5">
        <f>IF(A20="","",SUM('Additional Information'!C20,'Additional Information'!D20))</f>
        <v>5.6399999999999992E-2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0.187</v>
      </c>
      <c r="C21">
        <f>IF(A21="","",'Additional Information'!E21)</f>
        <v>1.0500000000000001E-2</v>
      </c>
      <c r="D21" s="5">
        <f>IF(A21="","",SUM('Additional Information'!C21,'Additional Information'!D21))</f>
        <v>5.9700000000000003E-2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0.25640000000000002</v>
      </c>
      <c r="C22">
        <f>IF(A22="","",'Additional Information'!E22)</f>
        <v>3.6499999999999998E-2</v>
      </c>
      <c r="D22" s="5">
        <f>IF(A22="","",SUM('Additional Information'!C22,'Additional Information'!D22))</f>
        <v>7.1199999999999999E-2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0.26979999999999998</v>
      </c>
      <c r="C23">
        <f>IF(A23="","",'Additional Information'!E23)</f>
        <v>2.1099999999999997E-2</v>
      </c>
      <c r="D23" s="5">
        <f>IF(A23="","",SUM('Additional Information'!C23,'Additional Information'!D23))</f>
        <v>6.0299999999999992E-2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-1.23E-2</v>
      </c>
      <c r="D24" s="5">
        <f>IF(A24="","",SUM('Additional Information'!C24,'Additional Information'!D24))</f>
        <v>2.5400000000000002E-2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-6.1600000000000002E-2</v>
      </c>
      <c r="D25" s="5">
        <f>IF(A25="","",SUM('Additional Information'!C25,'Additional Information'!D25))</f>
        <v>4.0500000000000001E-2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-5.1200000000000002E-2</v>
      </c>
      <c r="D26" s="5">
        <f>IF(A26="","",SUM('Additional Information'!C26,'Additional Information'!D26))</f>
        <v>4.2900000000000008E-2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-4.2599999999999999E-2</v>
      </c>
      <c r="D27" s="5">
        <f>IF(A27="","",SUM('Additional Information'!C27,'Additional Information'!D27))</f>
        <v>5.6599999999999998E-2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-2.8999999999999998E-2</v>
      </c>
      <c r="D28" s="5">
        <f>IF(A28="","",SUM('Additional Information'!C28,'Additional Information'!D28))</f>
        <v>5.7799999999999997E-2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-6.1600000000000002E-2</v>
      </c>
      <c r="D29" s="5">
        <f>IF(A29="","",SUM('Additional Information'!C29,'Additional Information'!D29))</f>
        <v>4.6599999999999996E-2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0.05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1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2023-10-12T18:28:36Z</dcterms:modified>
</cp:coreProperties>
</file>