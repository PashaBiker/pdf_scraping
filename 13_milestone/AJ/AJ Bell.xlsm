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3_milestone\AJ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2" i="3"/>
  <c r="A7" i="35" l="1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32" i="3"/>
  <c r="A31" i="3"/>
  <c r="A30" i="3"/>
  <c r="A2" i="3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39" i="8" l="1"/>
  <c r="B1" i="37" a="1"/>
  <c r="B1" i="37" s="1"/>
  <c r="D5" i="7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B38" i="4"/>
  <c r="F15" i="4"/>
  <c r="B15" i="4"/>
  <c r="C15" i="4"/>
  <c r="H15" i="8" s="1"/>
  <c r="D15" i="4"/>
  <c r="E15" i="4"/>
  <c r="G15" i="4"/>
  <c r="F31" i="4"/>
  <c r="B31" i="4"/>
  <c r="C31" i="4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F36" i="4"/>
  <c r="D36" i="4"/>
  <c r="E36" i="4"/>
  <c r="G44" i="4"/>
  <c r="B44" i="4"/>
  <c r="C44" i="4"/>
  <c r="F44" i="4"/>
  <c r="D44" i="4"/>
  <c r="E44" i="4"/>
  <c r="F37" i="4"/>
  <c r="B37" i="4"/>
  <c r="C37" i="4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<sst xmlns="http://schemas.openxmlformats.org/spreadsheetml/2006/main" count="165" uniqueCount="81">
  <si>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</si>
  <si>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</si>
  <si>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</si>
  <si>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</si>
  <si>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</si>
  <si>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</si>
  <si>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</si>
  <si>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</si>
  <si>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</si>
  <si>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</si>
  <si>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</si>
  <si>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</si>
  <si>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</si>
  <si>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</si>
  <si>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</si>
  <si>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</si>
  <si>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</si>
  <si>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</si>
  <si>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</si>
  <si>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</si>
  <si>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</si>
  <si>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</si>
  <si>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</si>
  <si>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</si>
  <si>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</si>
  <si>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</si>
  <si>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</si>
  <si>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</si>
  <si>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</si>
  <si>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</si>
  <si>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1 Year</t>
  </si>
  <si>
    <t>Passive MPS 1</t>
  </si>
  <si>
    <t>Passive MPS 2</t>
  </si>
  <si>
    <t>Passive MPS 3</t>
  </si>
  <si>
    <t>Passive MPS 4</t>
  </si>
  <si>
    <t>Passive MPS 5</t>
  </si>
  <si>
    <t>Passive MPS 6</t>
  </si>
  <si>
    <t>Active MPS 1</t>
  </si>
  <si>
    <t>Active MPS 2</t>
  </si>
  <si>
    <t>Active MPS 3</t>
  </si>
  <si>
    <t>Active MPS 4</t>
  </si>
  <si>
    <t>Active MPS 5</t>
  </si>
  <si>
    <t>Active MPS 6</t>
  </si>
  <si>
    <t>Pactive MPS 1</t>
  </si>
  <si>
    <t>Pactive MPS 2</t>
  </si>
  <si>
    <t>Pactive MPS 3</t>
  </si>
  <si>
    <t>Pactive MPS 4</t>
  </si>
  <si>
    <t>Pactive MPS 5</t>
  </si>
  <si>
    <t>Pactive MPS 6</t>
  </si>
  <si>
    <t>Responsible MPS 1</t>
  </si>
  <si>
    <t>Responsible MPS 2</t>
  </si>
  <si>
    <t>Responsible MPS 3</t>
  </si>
  <si>
    <t>Responsible MPS 4</t>
  </si>
  <si>
    <t>Responsible MPS 5</t>
  </si>
  <si>
    <t>Responsible MPS 6</t>
  </si>
  <si>
    <t>Ongoing charges figure (OCF)</t>
  </si>
  <si>
    <t>https://www.investcentre.co.uk/support/infocentre?categories[145]=145</t>
  </si>
  <si>
    <t>Monthly factsheets - MPS</t>
  </si>
  <si>
    <t>https://www.investcentre.co.uk/literature/monthly-factsheets-mps</t>
  </si>
  <si>
    <t>Annual Management Charge</t>
  </si>
  <si>
    <t>Emerging Market Debt</t>
  </si>
  <si>
    <t>Unclassified</t>
  </si>
  <si>
    <t>2 Year</t>
  </si>
  <si>
    <t>3 Year</t>
  </si>
  <si>
    <t>4 Year</t>
  </si>
  <si>
    <t>5 Year</t>
  </si>
  <si>
    <t>Passive Income MPS 1</t>
  </si>
  <si>
    <t>Passive Income MPS 2</t>
  </si>
  <si>
    <t>Active Income MPS 1</t>
  </si>
  <si>
    <t>Active Income MPS 2</t>
  </si>
  <si>
    <t>UK equity</t>
  </si>
  <si>
    <t>North America equity</t>
  </si>
  <si>
    <t>Europe ex-UK equity</t>
  </si>
  <si>
    <t>Asia Pacific ex-Japan equity</t>
  </si>
  <si>
    <t>Japan equity</t>
  </si>
  <si>
    <t>Emerging Markets equity</t>
  </si>
  <si>
    <t>UK government bonds</t>
  </si>
  <si>
    <t>UK corporate bonds</t>
  </si>
  <si>
    <t>International bonds</t>
  </si>
  <si>
    <t>Property</t>
  </si>
  <si>
    <t>Cash equivalent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</si>
</sst>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2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19050</xdr:rowOff>
    </xdr:from>
    <xdr:to>
      <xdr:col>5</xdr:col>
      <xdr:colOff>500328</xdr:colOff>
      <xdr:row>9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DE098-9AFB-1C35-622E-167CC247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200"/>
          <a:ext cx="3548328" cy="1485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520883</xdr:colOff>
      <xdr:row>23</xdr:row>
      <xdr:rowOff>31960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421A01-DACA-3B7B-A569-6E744C429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84150"/>
          <a:ext cx="3568883" cy="4083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114494</xdr:colOff>
      <xdr:row>35</xdr:row>
      <xdr:rowOff>76365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63218-FFF8-9518-A440-F6E2CF210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314700"/>
          <a:ext cx="3772094" cy="320691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10</xdr:row>
      <xdr:rowOff>57150</xdr:rowOff>
    </xdr:from>
    <xdr:to>
      <xdr:col>5</xdr:col>
      <xdr:colOff>603430</xdr:colOff>
      <xdr:row>17</xdr:row>
      <xdr:rowOff>63567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9A855E9-0F26-54FB-D279-8EE990A43B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700" y="1898650"/>
          <a:ext cx="3511730" cy="1295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B11" sqref="B11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0"/>
  <sheetViews>
    <sheetView workbookViewId="0">
      <selection activeCell="A30" sqref="A30"/>
    </sheetView>
  </sheetViews>
  <sheetFormatPr defaultRowHeight="15" x14ac:dyDescent="0.25"/>
  <cols>
    <col min="1" max="1" width="20.5703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Scraping'!D2</f>
        <v>https://www.investcentre.co.uk/literature/monthly-factsheets-mps</v>
      </c>
      <c r="J3" s="4"/>
    </row>
    <row r="4" spans="1:10" x14ac:dyDescent="0.25">
      <c r="A4" t="s">
        <v>32</v>
      </c>
      <c r="B4" t="str">
        <f>'PDF Scraping'!D3</f>
        <v>https://www.investcentre.co.uk/literature/monthly-factsheets-mps</v>
      </c>
      <c r="J4" s="4"/>
    </row>
    <row r="5" spans="1:10" x14ac:dyDescent="0.25">
      <c r="A5" t="s">
        <v>33</v>
      </c>
      <c r="B5" t="str">
        <f>'PDF Scraping'!D4</f>
        <v>https://www.investcentre.co.uk/literature/monthly-factsheets-mps</v>
      </c>
    </row>
    <row r="6" spans="1:10" x14ac:dyDescent="0.25">
      <c r="A6" t="s">
        <v>34</v>
      </c>
      <c r="B6" t="str">
        <f>'PDF Scraping'!D5</f>
        <v>https://www.investcentre.co.uk/literature/monthly-factsheets-mps</v>
      </c>
    </row>
    <row r="7" spans="1:10" x14ac:dyDescent="0.25">
      <c r="A7" t="s">
        <v>35</v>
      </c>
      <c r="B7" t="str">
        <f>'PDF Scraping'!D6</f>
        <v>https://www.investcentre.co.uk/literature/monthly-factsheets-mps</v>
      </c>
    </row>
    <row r="8" spans="1:10" x14ac:dyDescent="0.25">
      <c r="A8" t="s">
        <v>36</v>
      </c>
      <c r="B8" t="str">
        <f>'PDF Scraping'!D7</f>
        <v>https://www.investcentre.co.uk/literature/monthly-factsheets-mps</v>
      </c>
    </row>
    <row r="9" spans="1:10" x14ac:dyDescent="0.25">
      <c r="A9" t="s">
        <v>66</v>
      </c>
      <c r="B9" t="str">
        <f>'PDF Scraping'!D8</f>
        <v>https://www.investcentre.co.uk/literature/monthly-factsheets-mps</v>
      </c>
    </row>
    <row r="10" spans="1:10" x14ac:dyDescent="0.25">
      <c r="A10" t="s">
        <v>67</v>
      </c>
      <c r="B10" t="str">
        <f>'PDF Scraping'!D9</f>
        <v>https://www.investcentre.co.uk/literature/monthly-factsheets-mps</v>
      </c>
    </row>
    <row r="11" spans="1:10" x14ac:dyDescent="0.25">
      <c r="A11" t="s">
        <v>37</v>
      </c>
      <c r="B11" t="str">
        <f>'PDF Scraping'!D10</f>
        <v>https://www.investcentre.co.uk/literature/monthly-factsheets-mps</v>
      </c>
    </row>
    <row r="12" spans="1:10" x14ac:dyDescent="0.25">
      <c r="A12" t="s">
        <v>38</v>
      </c>
      <c r="B12" t="str">
        <f>'PDF Scraping'!D11</f>
        <v>https://www.investcentre.co.uk/literature/monthly-factsheets-mps</v>
      </c>
    </row>
    <row r="13" spans="1:10" x14ac:dyDescent="0.25">
      <c r="A13" t="s">
        <v>39</v>
      </c>
      <c r="B13" t="str">
        <f>'PDF Scraping'!D12</f>
        <v>https://www.investcentre.co.uk/literature/monthly-factsheets-mps</v>
      </c>
    </row>
    <row r="14" spans="1:10" x14ac:dyDescent="0.25">
      <c r="A14" t="s">
        <v>40</v>
      </c>
      <c r="B14" t="str">
        <f>'PDF Scraping'!D13</f>
        <v>https://www.investcentre.co.uk/literature/monthly-factsheets-mps</v>
      </c>
    </row>
    <row r="15" spans="1:10" x14ac:dyDescent="0.25">
      <c r="A15" t="s">
        <v>41</v>
      </c>
      <c r="B15" t="str">
        <f>'PDF Scraping'!D14</f>
        <v>https://www.investcentre.co.uk/literature/monthly-factsheets-mps</v>
      </c>
    </row>
    <row r="16" spans="1:10" x14ac:dyDescent="0.25">
      <c r="A16" t="s">
        <v>42</v>
      </c>
      <c r="B16" t="str">
        <f>'PDF Scraping'!D15</f>
        <v>https://www.investcentre.co.uk/literature/monthly-factsheets-mps</v>
      </c>
    </row>
    <row r="17" spans="1:2" x14ac:dyDescent="0.25">
      <c r="A17" t="s">
        <v>68</v>
      </c>
      <c r="B17" t="str">
        <f>'PDF Scraping'!D16</f>
        <v>https://www.investcentre.co.uk/literature/monthly-factsheets-mps</v>
      </c>
    </row>
    <row r="18" spans="1:2" x14ac:dyDescent="0.25">
      <c r="A18" t="s">
        <v>69</v>
      </c>
      <c r="B18" t="str">
        <f>'PDF Scraping'!D17</f>
        <v>https://www.investcentre.co.uk/literature/monthly-factsheets-mps</v>
      </c>
    </row>
    <row r="19" spans="1:2" x14ac:dyDescent="0.25">
      <c r="A19" t="s">
        <v>43</v>
      </c>
      <c r="B19" t="str">
        <f>'PDF Scraping'!D18</f>
        <v>https://www.investcentre.co.uk/literature/monthly-factsheets-mps</v>
      </c>
    </row>
    <row r="20" spans="1:2" x14ac:dyDescent="0.25">
      <c r="A20" t="s">
        <v>44</v>
      </c>
      <c r="B20" t="str">
        <f>'PDF Scraping'!D19</f>
        <v>https://www.investcentre.co.uk/literature/monthly-factsheets-mps</v>
      </c>
    </row>
    <row r="21" spans="1:2" x14ac:dyDescent="0.25">
      <c r="A21" t="s">
        <v>45</v>
      </c>
      <c r="B21" t="str">
        <f>'PDF Scraping'!D20</f>
        <v>https://www.investcentre.co.uk/literature/monthly-factsheets-mps</v>
      </c>
    </row>
    <row r="22" spans="1:2" x14ac:dyDescent="0.25">
      <c r="A22" t="s">
        <v>46</v>
      </c>
      <c r="B22" t="str">
        <f>'PDF Scraping'!D21</f>
        <v>https://www.investcentre.co.uk/literature/monthly-factsheets-mps</v>
      </c>
    </row>
    <row r="23" spans="1:2" x14ac:dyDescent="0.25">
      <c r="A23" t="s">
        <v>47</v>
      </c>
      <c r="B23" t="str">
        <f>'PDF Scraping'!D22</f>
        <v>https://www.investcentre.co.uk/literature/monthly-factsheets-mps</v>
      </c>
    </row>
    <row r="24" spans="1:2" x14ac:dyDescent="0.25">
      <c r="A24" t="s">
        <v>48</v>
      </c>
      <c r="B24" t="str">
        <f>'PDF Scraping'!D23</f>
        <v>https://www.investcentre.co.uk/literature/monthly-factsheets-mps</v>
      </c>
    </row>
    <row r="25" spans="1:2" x14ac:dyDescent="0.25">
      <c r="A25" t="s">
        <v>49</v>
      </c>
      <c r="B25" t="str">
        <f>'PDF Scraping'!D24</f>
        <v>https://www.investcentre.co.uk/literature/monthly-factsheets-mps</v>
      </c>
    </row>
    <row r="26" spans="1:2" x14ac:dyDescent="0.25">
      <c r="A26" t="s">
        <v>50</v>
      </c>
      <c r="B26" t="str">
        <f>'PDF Scraping'!D25</f>
        <v>https://www.investcentre.co.uk/literature/monthly-factsheets-mps</v>
      </c>
    </row>
    <row r="27" spans="1:2" x14ac:dyDescent="0.25">
      <c r="A27" t="s">
        <v>51</v>
      </c>
      <c r="B27" t="str">
        <f>'PDF Scraping'!D26</f>
        <v>https://www.investcentre.co.uk/literature/monthly-factsheets-mps</v>
      </c>
    </row>
    <row r="28" spans="1:2" x14ac:dyDescent="0.25">
      <c r="A28" t="s">
        <v>52</v>
      </c>
      <c r="B28" t="str">
        <f>'PDF Scraping'!D27</f>
        <v>https://www.investcentre.co.uk/literature/monthly-factsheets-mps</v>
      </c>
    </row>
    <row r="29" spans="1:2" x14ac:dyDescent="0.25">
      <c r="A29" t="s">
        <v>53</v>
      </c>
      <c r="B29" t="str">
        <f>'PDF Scraping'!D28</f>
        <v>https://www.investcentre.co.uk/literature/monthly-factsheets-mps</v>
      </c>
    </row>
    <row r="30" spans="1:2" x14ac:dyDescent="0.25">
      <c r="A30" t="s">
        <v>54</v>
      </c>
      <c r="B30" t="str">
        <f>'PDF Scraping'!D29</f>
        <v>https://www.investcentre.co.uk/literature/monthly-factsheets-mps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Q12" sqref="Q12"/>
    </sheetView>
  </sheetViews>
  <sheetFormatPr defaultRowHeight="15" x14ac:dyDescent="0.25"/>
  <cols>
    <col min="1" max="1" width="20.5703125" bestFit="1" customWidth="1"/>
    <col min="2" max="2" width="10.140625" bestFit="1" customWidth="1"/>
    <col min="3" max="3" width="27.28515625" bestFit="1" customWidth="1"/>
    <col min="4" max="4" width="6.85546875" bestFit="1" customWidth="1"/>
    <col min="5" max="5" width="7.85546875" bestFit="1" customWidth="1"/>
    <col min="6" max="8" width="7.140625" bestFit="1" customWidth="1"/>
  </cols>
  <sheetData>
    <row r="1" spans="1:8" x14ac:dyDescent="0.25">
      <c r="B1" t="s">
        <v>24</v>
      </c>
      <c r="C1" t="s">
        <v>55</v>
      </c>
      <c r="D1" t="s">
        <v>30</v>
      </c>
      <c r="E1" t="s">
        <v>62</v>
      </c>
      <c r="F1" t="s">
        <v>63</v>
      </c>
      <c r="G1" t="s">
        <v>64</v>
      </c>
      <c r="H1" t="s">
        <v>65</v>
      </c>
    </row>
    <row r="2" spans="1:8" x14ac:dyDescent="0.25">
      <c r="A2" t="str">
        <f>IF(Input!A3="","",Input!A3)</f>
        <v>Passive MPS 1</v>
      </c>
      <c r="B2" s="1">
        <v>45230</v>
      </c>
      <c r="C2" s="5">
        <v>2.8000000000000004E-3</v>
      </c>
      <c r="D2" s="5">
        <v>6.9999999999999993E-3</v>
      </c>
      <c r="E2" s="5">
        <v>4.3899999999999995E-2</v>
      </c>
      <c r="F2" s="5">
        <v>1.9199999999999998E-2</v>
      </c>
      <c r="G2" s="5">
        <v>3.3799999999999997E-2</v>
      </c>
      <c r="H2" s="5">
        <v>0.10310000000000001</v>
      </c>
    </row>
    <row r="3" spans="1:8" x14ac:dyDescent="0.25">
      <c r="A3" t="str">
        <f>IF(Input!A4="","",Input!A4)</f>
        <v>Passive MPS 2</v>
      </c>
      <c r="B3" s="1">
        <v>45230</v>
      </c>
      <c r="C3" s="5">
        <v>2.8000000000000004E-3</v>
      </c>
      <c r="D3" s="5">
        <v>1.78E-2</v>
      </c>
      <c r="E3" s="5">
        <v>-3.5499999999999997E-2</v>
      </c>
      <c r="F3" s="5">
        <v>7.0000000000000007E-2</v>
      </c>
      <c r="G3" s="5">
        <v>8.14E-2</v>
      </c>
      <c r="H3" s="5">
        <v>0.1696</v>
      </c>
    </row>
    <row r="4" spans="1:8" x14ac:dyDescent="0.25">
      <c r="A4" t="str">
        <f>IF(Input!A5="","",Input!A5)</f>
        <v>Passive MPS 3</v>
      </c>
      <c r="B4" s="1">
        <v>45230</v>
      </c>
      <c r="C4" s="5">
        <v>2.8999999999999998E-3</v>
      </c>
      <c r="D4" s="5">
        <v>2.7699999999999999E-2</v>
      </c>
      <c r="E4" s="5">
        <v>-4.6999999999999993E-3</v>
      </c>
      <c r="F4" s="5">
        <v>0.1525</v>
      </c>
      <c r="G4" s="5">
        <v>0.16190000000000002</v>
      </c>
      <c r="H4" s="5">
        <v>0.2702</v>
      </c>
    </row>
    <row r="5" spans="1:8" x14ac:dyDescent="0.25">
      <c r="A5" t="str">
        <f>IF(Input!A6="","",Input!A6)</f>
        <v>Passive MPS 4</v>
      </c>
      <c r="B5" s="1">
        <v>45230</v>
      </c>
      <c r="C5" s="5">
        <v>2.8000000000000004E-3</v>
      </c>
      <c r="D5" s="5">
        <v>2.7999999999999997E-2</v>
      </c>
      <c r="E5" s="5">
        <v>2.8999999999999998E-3</v>
      </c>
      <c r="F5" s="5">
        <v>0.21840000000000001</v>
      </c>
      <c r="G5" s="5">
        <v>0.2089</v>
      </c>
      <c r="H5" s="5">
        <v>0.32289999999999996</v>
      </c>
    </row>
    <row r="6" spans="1:8" x14ac:dyDescent="0.25">
      <c r="A6" t="str">
        <f>IF(Input!A7="","",Input!A7)</f>
        <v>Passive MPS 5</v>
      </c>
      <c r="B6" s="1">
        <v>45230</v>
      </c>
      <c r="C6" s="5">
        <v>2.8000000000000004E-3</v>
      </c>
      <c r="D6" s="5">
        <v>3.1300000000000001E-2</v>
      </c>
      <c r="E6" s="5">
        <v>2.7300000000000001E-2</v>
      </c>
      <c r="F6" s="5">
        <v>0.29249999999999998</v>
      </c>
      <c r="G6" s="5">
        <v>0.2828</v>
      </c>
      <c r="H6" s="5">
        <v>0.40740000000000004</v>
      </c>
    </row>
    <row r="7" spans="1:8" x14ac:dyDescent="0.25">
      <c r="A7" t="str">
        <f>IF(Input!A8="","",Input!A8)</f>
        <v>Passive MPS 6</v>
      </c>
      <c r="B7" s="1">
        <v>45230</v>
      </c>
      <c r="C7" s="5">
        <v>2.8999999999999998E-3</v>
      </c>
      <c r="D7" s="5">
        <v>1.55E-2</v>
      </c>
      <c r="E7" s="5">
        <v>-2.5000000000000001E-3</v>
      </c>
      <c r="F7" s="5">
        <v>0.28110000000000002</v>
      </c>
      <c r="G7" s="5">
        <v>0.28749999999999998</v>
      </c>
      <c r="H7" s="5">
        <v>0.40909999999999996</v>
      </c>
    </row>
    <row r="8" spans="1:8" x14ac:dyDescent="0.25">
      <c r="A8" t="str">
        <f>IF(Input!A9="","",Input!A9)</f>
        <v>Passive Income MPS 1</v>
      </c>
      <c r="B8" s="1">
        <v>45230</v>
      </c>
      <c r="C8" s="5">
        <v>3.8E-3</v>
      </c>
      <c r="D8" s="5">
        <v>6.9999999999999993E-3</v>
      </c>
      <c r="E8" s="5">
        <v>9.4999999999999998E-3</v>
      </c>
      <c r="F8" s="5">
        <v>0.12470000000000001</v>
      </c>
      <c r="G8" s="5">
        <v>0.1052</v>
      </c>
      <c r="H8" s="5">
        <v>0.1855</v>
      </c>
    </row>
    <row r="9" spans="1:8" x14ac:dyDescent="0.25">
      <c r="A9" t="str">
        <f>IF(Input!A10="","",Input!A10)</f>
        <v>Passive Income MPS 2</v>
      </c>
      <c r="B9" s="1">
        <v>45230</v>
      </c>
      <c r="C9" s="5">
        <v>4.3E-3</v>
      </c>
      <c r="D9" s="5">
        <v>2.1700000000000001E-2</v>
      </c>
      <c r="E9" s="5">
        <v>2.3099999999999999E-2</v>
      </c>
      <c r="F9" s="5">
        <v>0.24809999999999999</v>
      </c>
      <c r="G9" s="5">
        <v>8.5699999999999998E-2</v>
      </c>
      <c r="H9" s="5">
        <v>0.17120000000000002</v>
      </c>
    </row>
    <row r="10" spans="1:8" x14ac:dyDescent="0.25">
      <c r="A10" t="str">
        <f>IF(Input!A11="","",Input!A11)</f>
        <v>Active MPS 1</v>
      </c>
      <c r="B10" s="1">
        <v>45230</v>
      </c>
      <c r="C10" s="5">
        <v>5.6000000000000008E-3</v>
      </c>
      <c r="D10" s="5">
        <v>1.0500000000000001E-2</v>
      </c>
      <c r="E10" s="5">
        <v>-6.0599999999999994E-2</v>
      </c>
      <c r="F10" s="5">
        <v>7.000000000000001E-4</v>
      </c>
      <c r="G10" s="5">
        <v>1.2699999999999999E-2</v>
      </c>
      <c r="H10" s="5">
        <v>7.1599999999999997E-2</v>
      </c>
    </row>
    <row r="11" spans="1:8" x14ac:dyDescent="0.25">
      <c r="A11" t="str">
        <f>IF(Input!A12="","",Input!A12)</f>
        <v>Active MPS 2</v>
      </c>
      <c r="B11" s="1">
        <v>45230</v>
      </c>
      <c r="C11" s="5">
        <v>6.7000000000000002E-3</v>
      </c>
      <c r="D11" s="5">
        <v>2.07E-2</v>
      </c>
      <c r="E11" s="5">
        <v>-5.3899999999999997E-2</v>
      </c>
      <c r="F11" s="5">
        <v>5.1699999999999996E-2</v>
      </c>
      <c r="G11" s="5">
        <v>5.9900000000000002E-2</v>
      </c>
      <c r="H11" s="5">
        <v>0.13539999999999999</v>
      </c>
    </row>
    <row r="12" spans="1:8" x14ac:dyDescent="0.25">
      <c r="A12" t="str">
        <f>IF(Input!A13="","",Input!A13)</f>
        <v>Active MPS 3</v>
      </c>
      <c r="B12" s="1">
        <v>45230</v>
      </c>
      <c r="C12" s="5">
        <v>7.8000000000000005E-3</v>
      </c>
      <c r="D12" s="5">
        <v>3.4000000000000002E-2</v>
      </c>
      <c r="E12" s="5">
        <v>-2.5899999999999999E-2</v>
      </c>
      <c r="F12" s="5">
        <v>0.13369999999999999</v>
      </c>
      <c r="G12" s="5">
        <v>0.1452</v>
      </c>
      <c r="H12" s="5">
        <v>0.23579999999999998</v>
      </c>
    </row>
    <row r="13" spans="1:8" x14ac:dyDescent="0.25">
      <c r="A13" t="str">
        <f>IF(Input!A14="","",Input!A14)</f>
        <v>Active MPS 4</v>
      </c>
      <c r="B13" s="1">
        <v>45230</v>
      </c>
      <c r="C13" s="5">
        <v>8.3999999999999995E-3</v>
      </c>
      <c r="D13" s="5">
        <v>2.7400000000000001E-2</v>
      </c>
      <c r="E13" s="5">
        <v>-4.24E-2</v>
      </c>
      <c r="F13" s="5">
        <v>0.15820000000000001</v>
      </c>
      <c r="G13" s="5">
        <v>0.15279999999999999</v>
      </c>
      <c r="H13" s="5">
        <v>0.24679999999999999</v>
      </c>
    </row>
    <row r="14" spans="1:8" x14ac:dyDescent="0.25">
      <c r="A14" t="str">
        <f>IF(Input!A15="","",Input!A15)</f>
        <v>Active MPS 5</v>
      </c>
      <c r="B14" s="1">
        <v>45230</v>
      </c>
      <c r="C14" s="5">
        <v>8.8999999999999999E-3</v>
      </c>
      <c r="D14" s="5">
        <v>2.92E-2</v>
      </c>
      <c r="E14" s="5">
        <v>-3.2300000000000002E-2</v>
      </c>
      <c r="F14" s="5">
        <v>0.20989999999999998</v>
      </c>
      <c r="G14" s="5">
        <v>0.21479999999999999</v>
      </c>
      <c r="H14" s="5">
        <v>0.32350000000000001</v>
      </c>
    </row>
    <row r="15" spans="1:8" x14ac:dyDescent="0.25">
      <c r="A15" t="str">
        <f>IF(Input!A16="","",Input!A16)</f>
        <v>Active MPS 6</v>
      </c>
      <c r="B15" s="1">
        <v>45230</v>
      </c>
      <c r="C15" s="5">
        <v>9.1000000000000004E-3</v>
      </c>
      <c r="D15" s="5">
        <v>2.23E-2</v>
      </c>
      <c r="E15" s="5">
        <v>0.23719999999999999</v>
      </c>
      <c r="F15" s="5">
        <v>0.2712</v>
      </c>
      <c r="G15" s="5">
        <v>0.3881</v>
      </c>
      <c r="H15" s="5"/>
    </row>
    <row r="16" spans="1:8" x14ac:dyDescent="0.25">
      <c r="A16" t="str">
        <f>IF(Input!A17="","",Input!A17)</f>
        <v>Active Income MPS 1</v>
      </c>
      <c r="B16" s="1">
        <v>45230</v>
      </c>
      <c r="C16" s="5">
        <v>7.3000000000000001E-3</v>
      </c>
      <c r="D16" s="5">
        <v>1.3500000000000002E-2</v>
      </c>
      <c r="E16" s="5">
        <v>-1.6899999999999998E-2</v>
      </c>
      <c r="F16" s="5">
        <v>0.1016</v>
      </c>
      <c r="G16" s="5">
        <v>9.1700000000000004E-2</v>
      </c>
      <c r="H16" s="5">
        <v>0.20269999999999999</v>
      </c>
    </row>
    <row r="17" spans="1:8" x14ac:dyDescent="0.25">
      <c r="A17" t="str">
        <f>IF(Input!A18="","",Input!A18)</f>
        <v>Active Income MPS 2</v>
      </c>
      <c r="B17" s="1">
        <v>45230</v>
      </c>
      <c r="C17" s="5">
        <v>8.1000000000000013E-3</v>
      </c>
      <c r="D17" s="5">
        <v>3.0299999999999997E-2</v>
      </c>
      <c r="E17" s="5">
        <v>-5.0000000000000001E-4</v>
      </c>
      <c r="F17" s="5">
        <v>0.2152</v>
      </c>
      <c r="G17" s="5">
        <v>9.9000000000000005E-2</v>
      </c>
      <c r="H17" s="5">
        <v>0.22239999999999999</v>
      </c>
    </row>
    <row r="18" spans="1:8" x14ac:dyDescent="0.25">
      <c r="A18" t="str">
        <f>IF(Input!A19="","",Input!A19)</f>
        <v>Pactive MPS 1</v>
      </c>
      <c r="B18" s="1">
        <v>45230</v>
      </c>
      <c r="C18" s="5">
        <v>5.1000000000000004E-3</v>
      </c>
      <c r="D18" s="5">
        <v>9.3999999999999986E-3</v>
      </c>
      <c r="E18" s="5">
        <v>-0.1026</v>
      </c>
      <c r="F18" s="5">
        <v>-4.1900000000000007E-2</v>
      </c>
      <c r="G18" s="5">
        <v>-3.7900000000000003E-2</v>
      </c>
      <c r="H18" s="5"/>
    </row>
    <row r="19" spans="1:8" x14ac:dyDescent="0.25">
      <c r="A19" t="str">
        <f>IF(Input!A20="","",Input!A20)</f>
        <v>Pactive MPS 2</v>
      </c>
      <c r="B19" s="1">
        <v>45230</v>
      </c>
      <c r="C19" s="5">
        <v>5.6000000000000008E-3</v>
      </c>
      <c r="D19" s="5">
        <v>1.6E-2</v>
      </c>
      <c r="E19" s="5">
        <v>-4.7400000000000005E-2</v>
      </c>
      <c r="F19" s="5">
        <v>5.1500000000000004E-2</v>
      </c>
      <c r="G19" s="5">
        <v>6.0499999999999998E-2</v>
      </c>
      <c r="H19" s="5"/>
    </row>
    <row r="20" spans="1:8" x14ac:dyDescent="0.25">
      <c r="A20" t="str">
        <f>IF(Input!A21="","",Input!A21)</f>
        <v>Pactive MPS 3</v>
      </c>
      <c r="B20" s="1">
        <v>45230</v>
      </c>
      <c r="C20" s="5">
        <v>6.1999999999999998E-3</v>
      </c>
      <c r="D20" s="5">
        <v>-1.47E-2</v>
      </c>
      <c r="E20" s="5">
        <v>0.1353</v>
      </c>
      <c r="F20" s="5">
        <v>0.1444</v>
      </c>
      <c r="G20" s="5"/>
      <c r="H20" s="5"/>
    </row>
    <row r="21" spans="1:8" x14ac:dyDescent="0.25">
      <c r="A21" t="str">
        <f>IF(Input!A22="","",Input!A22)</f>
        <v>Pactive MPS 4</v>
      </c>
      <c r="B21" s="1">
        <v>45230</v>
      </c>
      <c r="C21" s="5">
        <v>6.5000000000000006E-3</v>
      </c>
      <c r="D21" s="5">
        <v>2.58E-2</v>
      </c>
      <c r="E21" s="5">
        <v>-1.7600000000000001E-2</v>
      </c>
      <c r="F21" s="5">
        <v>0.18359999999999999</v>
      </c>
      <c r="G21" s="5">
        <v>0.17460000000000001</v>
      </c>
      <c r="H21" s="5"/>
    </row>
    <row r="22" spans="1:8" x14ac:dyDescent="0.25">
      <c r="A22" t="str">
        <f>IF(Input!A23="","",Input!A23)</f>
        <v>Pactive MPS 5</v>
      </c>
      <c r="B22" s="1">
        <v>45230</v>
      </c>
      <c r="C22" s="5">
        <v>6.7000000000000002E-3</v>
      </c>
      <c r="D22" s="5">
        <v>3.0699999999999998E-2</v>
      </c>
      <c r="E22" s="5">
        <v>1.7000000000000001E-3</v>
      </c>
      <c r="F22" s="5">
        <v>0.24679999999999999</v>
      </c>
      <c r="G22" s="5">
        <v>0.24260000000000001</v>
      </c>
      <c r="H22" s="5"/>
    </row>
    <row r="23" spans="1:8" x14ac:dyDescent="0.25">
      <c r="A23" t="str">
        <f>IF(Input!A24="","",Input!A24)</f>
        <v>Pactive MPS 6</v>
      </c>
      <c r="B23" s="1">
        <v>45230</v>
      </c>
      <c r="C23" s="5">
        <v>6.8000000000000005E-3</v>
      </c>
      <c r="D23" s="5">
        <v>-1.9E-2</v>
      </c>
      <c r="E23" s="5">
        <v>0.24809999999999999</v>
      </c>
      <c r="F23" s="5">
        <v>0.27160000000000001</v>
      </c>
      <c r="G23" s="5"/>
      <c r="H23" s="5"/>
    </row>
    <row r="24" spans="1:8" x14ac:dyDescent="0.25">
      <c r="A24" t="str">
        <f>IF(Input!A25="","",Input!A25)</f>
        <v>Responsible MPS 1</v>
      </c>
      <c r="B24" s="1">
        <v>45230</v>
      </c>
      <c r="C24" s="5">
        <v>3.8E-3</v>
      </c>
      <c r="D24" s="5">
        <v>1.1699999999999999E-2</v>
      </c>
      <c r="E24" s="5">
        <v>-8.5299999999999987E-2</v>
      </c>
      <c r="F24" s="5"/>
      <c r="G24" s="5"/>
      <c r="H24" s="5"/>
    </row>
    <row r="25" spans="1:8" x14ac:dyDescent="0.25">
      <c r="A25" t="str">
        <f>IF(Input!A26="","",Input!A26)</f>
        <v>Responsible MPS 2</v>
      </c>
      <c r="B25" s="7">
        <v>45230</v>
      </c>
      <c r="C25" s="5">
        <v>3.9000000000000003E-3</v>
      </c>
      <c r="D25" s="5">
        <v>1.3000000000000001E-2</v>
      </c>
      <c r="E25" s="5">
        <v>-8.9800000000000005E-2</v>
      </c>
      <c r="F25" s="5"/>
      <c r="G25" s="5"/>
      <c r="H25" s="5"/>
    </row>
    <row r="26" spans="1:8" x14ac:dyDescent="0.25">
      <c r="A26" t="str">
        <f>IF(Input!A27="","",Input!A27)</f>
        <v>Responsible MPS 3</v>
      </c>
      <c r="B26" s="7">
        <v>45230</v>
      </c>
      <c r="C26" s="5">
        <v>4.0000000000000001E-3</v>
      </c>
      <c r="D26" s="5">
        <v>1.3100000000000001E-2</v>
      </c>
      <c r="E26" s="5">
        <v>-8.8000000000000009E-2</v>
      </c>
      <c r="F26" s="5"/>
      <c r="G26" s="5"/>
      <c r="H26" s="5"/>
    </row>
    <row r="27" spans="1:8" x14ac:dyDescent="0.25">
      <c r="A27" t="str">
        <f>IF(Input!A28="","",Input!A28)</f>
        <v>Responsible MPS 4</v>
      </c>
      <c r="B27" s="7">
        <v>45230</v>
      </c>
      <c r="C27" s="5">
        <v>4.0999999999999995E-3</v>
      </c>
      <c r="D27" s="5">
        <v>1.9599999999999999E-2</v>
      </c>
      <c r="E27" s="5">
        <v>8.8800000000000004E-2</v>
      </c>
      <c r="F27" s="5"/>
      <c r="G27" s="5"/>
      <c r="H27" s="5"/>
    </row>
    <row r="28" spans="1:8" x14ac:dyDescent="0.25">
      <c r="A28" t="str">
        <f>IF(Input!A29="","",Input!A29)</f>
        <v>Responsible MPS 5</v>
      </c>
      <c r="B28" s="7">
        <v>45230</v>
      </c>
      <c r="C28" s="5">
        <v>4.4000000000000003E-3</v>
      </c>
      <c r="D28" s="5">
        <v>1.6500000000000001E-2</v>
      </c>
      <c r="E28" s="5">
        <v>-8.3299999999999999E-2</v>
      </c>
      <c r="F28" s="5"/>
      <c r="G28" s="5"/>
      <c r="H28" s="5"/>
    </row>
    <row r="29" spans="1:8" x14ac:dyDescent="0.25">
      <c r="A29" t="str">
        <f>IF(Input!A30="","",Input!A30)</f>
        <v>Responsible MPS 6</v>
      </c>
      <c r="B29" s="7">
        <v>45230</v>
      </c>
      <c r="C29" s="5">
        <v>4.4000000000000003E-3</v>
      </c>
      <c r="D29" s="5">
        <v>1.9400000000000001E-2</v>
      </c>
      <c r="E29" s="5">
        <v>-0.1116</v>
      </c>
      <c r="F29" s="5"/>
      <c r="G29" s="5"/>
      <c r="H29" s="5"/>
    </row>
    <row r="30" spans="1:8" x14ac:dyDescent="0.25">
      <c r="A30" t="str">
        <f>IF(Input!A31="","",Input!A31)</f>
        <v/>
      </c>
      <c r="B30" s="7"/>
      <c r="C30" s="5"/>
    </row>
    <row r="31" spans="1:8" x14ac:dyDescent="0.25">
      <c r="A31" t="str">
        <f>IF(Input!A32="","",Input!A32)</f>
        <v/>
      </c>
      <c r="B31" s="7"/>
      <c r="C31" s="5"/>
    </row>
    <row r="32" spans="1:8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29"/>
    </sheetView>
  </sheetViews>
  <sheetFormatPr defaultRowHeight="15" x14ac:dyDescent="0.25"/>
  <cols>
    <col min="1" max="1" width="20.5703125" bestFit="1" customWidth="1"/>
    <col min="2" max="2" width="9.5703125" bestFit="1" customWidth="1"/>
    <col min="3" max="3" width="20.28515625" bestFit="1" customWidth="1"/>
    <col min="4" max="4" width="19.42578125" bestFit="1" customWidth="1"/>
    <col min="5" max="5" width="25.85546875" bestFit="1" customWidth="1"/>
    <col min="6" max="6" width="12.140625" bestFit="1" customWidth="1"/>
    <col min="7" max="7" width="23.42578125" bestFit="1" customWidth="1"/>
    <col min="8" max="8" width="20.85546875" bestFit="1" customWidth="1"/>
    <col min="9" max="9" width="18.5703125" bestFit="1" customWidth="1"/>
    <col min="10" max="10" width="18.7109375" bestFit="1" customWidth="1"/>
    <col min="11" max="11" width="8.7109375" bestFit="1" customWidth="1"/>
    <col min="12" max="12" width="15.28515625" bestFit="1" customWidth="1"/>
    <col min="13" max="13" width="7.140625" bestFit="1" customWidth="1"/>
    <col min="14" max="14" width="8.140625" style="8" bestFit="1" customWidth="1"/>
    <col min="15" max="15" width="11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  <c r="J1" t="s">
        <v>78</v>
      </c>
      <c r="K1" t="s">
        <v>79</v>
      </c>
      <c r="L1" s="11" t="s">
        <v>80</v>
      </c>
      <c r="M1" s="11" t="s">
        <v>4</v>
      </c>
    </row>
    <row r="2" spans="1:30" x14ac:dyDescent="0.25">
      <c r="A2" t="str">
        <f>IF(Input!A3="","",Input!A3)</f>
        <v>Passive MPS 1</v>
      </c>
      <c r="B2" s="5">
        <v>0.06</v>
      </c>
      <c r="C2" s="5">
        <v>7.0000000000000007E-2</v>
      </c>
      <c r="D2" s="5"/>
      <c r="E2" s="5"/>
      <c r="F2" s="5">
        <v>0.04</v>
      </c>
      <c r="G2" s="5">
        <v>0.05</v>
      </c>
      <c r="H2" s="5">
        <v>0.1</v>
      </c>
      <c r="I2" s="5">
        <v>0.17</v>
      </c>
      <c r="J2" s="5">
        <v>0.28000000000000003</v>
      </c>
      <c r="K2" s="5">
        <v>0.05</v>
      </c>
      <c r="L2" s="12">
        <v>0.16</v>
      </c>
      <c r="M2" s="12">
        <v>0.02</v>
      </c>
      <c r="N2" s="10">
        <f>SUM(B2:M2)</f>
        <v>1.0000000000000002</v>
      </c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Passive MPS 2</v>
      </c>
      <c r="B3" s="5">
        <v>0.12</v>
      </c>
      <c r="C3" s="5">
        <v>0.13</v>
      </c>
      <c r="D3" s="5"/>
      <c r="E3" s="5"/>
      <c r="F3" s="5">
        <v>0.06</v>
      </c>
      <c r="G3" s="5">
        <v>0.09</v>
      </c>
      <c r="H3" s="5">
        <v>0.06</v>
      </c>
      <c r="I3" s="5">
        <v>0.14000000000000001</v>
      </c>
      <c r="J3" s="5">
        <v>0.25</v>
      </c>
      <c r="K3" s="5">
        <v>0.05</v>
      </c>
      <c r="L3" s="12">
        <v>0.08</v>
      </c>
      <c r="M3" s="12">
        <v>0.02</v>
      </c>
      <c r="N3" s="10">
        <f t="shared" ref="N3:N29" si="0">SUM(B3:M3)</f>
        <v>1</v>
      </c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Passive MPS 3</v>
      </c>
      <c r="B4" s="5">
        <v>0.16</v>
      </c>
      <c r="C4" s="5">
        <v>0.14000000000000001</v>
      </c>
      <c r="D4" s="5"/>
      <c r="E4" s="5">
        <v>7.0000000000000007E-2</v>
      </c>
      <c r="F4" s="5">
        <v>0.06</v>
      </c>
      <c r="G4" s="5">
        <v>0.12</v>
      </c>
      <c r="H4" s="5">
        <v>0.03</v>
      </c>
      <c r="I4" s="5">
        <v>0.1</v>
      </c>
      <c r="J4" s="5">
        <v>0.21</v>
      </c>
      <c r="K4" s="5">
        <v>0.05</v>
      </c>
      <c r="L4" s="12">
        <v>0.04</v>
      </c>
      <c r="M4" s="12">
        <v>0.02</v>
      </c>
      <c r="N4" s="10">
        <f t="shared" si="0"/>
        <v>1</v>
      </c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Passive MPS 4</v>
      </c>
      <c r="B5" s="5">
        <v>0.2</v>
      </c>
      <c r="C5" s="5">
        <v>0.2</v>
      </c>
      <c r="D5" s="5">
        <v>0.03</v>
      </c>
      <c r="E5" s="5">
        <v>0.08</v>
      </c>
      <c r="F5" s="5">
        <v>0.05</v>
      </c>
      <c r="G5" s="5">
        <v>0.14000000000000001</v>
      </c>
      <c r="H5" s="5"/>
      <c r="I5" s="5">
        <v>0.08</v>
      </c>
      <c r="J5" s="5">
        <v>0.17</v>
      </c>
      <c r="K5" s="5">
        <v>0.03</v>
      </c>
      <c r="L5" s="12"/>
      <c r="M5" s="12">
        <v>0.02</v>
      </c>
      <c r="N5" s="10">
        <f t="shared" si="0"/>
        <v>1</v>
      </c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Passive MPS 5</v>
      </c>
      <c r="B6" s="5">
        <v>0.25</v>
      </c>
      <c r="C6" s="5">
        <v>0.24</v>
      </c>
      <c r="D6" s="5">
        <v>0.05</v>
      </c>
      <c r="E6" s="5">
        <v>0.1</v>
      </c>
      <c r="F6" s="5">
        <v>0.04</v>
      </c>
      <c r="G6" s="5">
        <v>0.17</v>
      </c>
      <c r="H6" s="5"/>
      <c r="I6" s="5"/>
      <c r="J6" s="5">
        <v>0.1</v>
      </c>
      <c r="K6" s="5">
        <v>0.03</v>
      </c>
      <c r="L6" s="12"/>
      <c r="M6" s="12">
        <v>0.02</v>
      </c>
      <c r="N6" s="10">
        <f t="shared" si="0"/>
        <v>1</v>
      </c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Passive MPS 6</v>
      </c>
      <c r="B7" s="5">
        <v>0.23</v>
      </c>
      <c r="C7" s="5">
        <v>0.13</v>
      </c>
      <c r="D7" s="5">
        <v>0.05</v>
      </c>
      <c r="E7" s="5">
        <v>0.08</v>
      </c>
      <c r="F7" s="5">
        <v>0.03</v>
      </c>
      <c r="G7" s="5">
        <v>0.36</v>
      </c>
      <c r="H7" s="5"/>
      <c r="I7" s="5"/>
      <c r="J7" s="5">
        <v>7.0000000000000007E-2</v>
      </c>
      <c r="K7" s="5">
        <v>0.03</v>
      </c>
      <c r="L7" s="12"/>
      <c r="M7" s="12">
        <v>0.02</v>
      </c>
      <c r="N7" s="10">
        <f t="shared" si="0"/>
        <v>1</v>
      </c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Income MPS 1</v>
      </c>
      <c r="B8" s="5">
        <v>0.16</v>
      </c>
      <c r="C8" s="5">
        <v>0.14000000000000001</v>
      </c>
      <c r="D8" s="5"/>
      <c r="E8" s="5">
        <v>7.0000000000000007E-2</v>
      </c>
      <c r="F8" s="5">
        <v>0.06</v>
      </c>
      <c r="G8" s="5">
        <v>0.12</v>
      </c>
      <c r="H8" s="5">
        <v>0.03</v>
      </c>
      <c r="I8" s="5">
        <v>0.1</v>
      </c>
      <c r="J8" s="5">
        <v>0.21</v>
      </c>
      <c r="K8" s="5">
        <v>0.05</v>
      </c>
      <c r="L8" s="12">
        <v>0.04</v>
      </c>
      <c r="M8" s="12">
        <v>0.02</v>
      </c>
      <c r="N8" s="10">
        <f t="shared" si="0"/>
        <v>1</v>
      </c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Passive Income MPS 2</v>
      </c>
      <c r="B9" s="5">
        <v>0.25</v>
      </c>
      <c r="C9" s="5">
        <v>0.24</v>
      </c>
      <c r="D9" s="5">
        <v>0.05</v>
      </c>
      <c r="E9" s="5">
        <v>0.1</v>
      </c>
      <c r="F9" s="5">
        <v>0.04</v>
      </c>
      <c r="G9" s="5">
        <v>0.17</v>
      </c>
      <c r="H9" s="5"/>
      <c r="I9" s="5"/>
      <c r="J9" s="5">
        <v>0.1</v>
      </c>
      <c r="K9" s="5">
        <v>0.03</v>
      </c>
      <c r="L9" s="12"/>
      <c r="M9" s="12">
        <v>0.02</v>
      </c>
      <c r="N9" s="10">
        <f t="shared" si="0"/>
        <v>1</v>
      </c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Active MPS 1</v>
      </c>
      <c r="B10" s="5">
        <v>0.06</v>
      </c>
      <c r="C10" s="5">
        <v>7.0000000000000007E-2</v>
      </c>
      <c r="D10" s="5"/>
      <c r="E10" s="5"/>
      <c r="F10" s="5">
        <v>0.04</v>
      </c>
      <c r="G10" s="5">
        <v>0.05</v>
      </c>
      <c r="H10" s="5">
        <v>0.1</v>
      </c>
      <c r="I10" s="5">
        <v>0.17</v>
      </c>
      <c r="J10" s="5">
        <v>0.28000000000000003</v>
      </c>
      <c r="K10" s="5">
        <v>0.05</v>
      </c>
      <c r="L10" s="12">
        <v>0.16</v>
      </c>
      <c r="M10" s="12">
        <v>0.02</v>
      </c>
      <c r="N10" s="10">
        <f t="shared" si="0"/>
        <v>1.0000000000000002</v>
      </c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Active MPS 2</v>
      </c>
      <c r="B11" s="5">
        <v>0.12</v>
      </c>
      <c r="C11" s="5">
        <v>0.13</v>
      </c>
      <c r="D11" s="5"/>
      <c r="E11" s="5"/>
      <c r="F11" s="5">
        <v>0.06</v>
      </c>
      <c r="G11" s="5">
        <v>0.09</v>
      </c>
      <c r="H11" s="5">
        <v>0.06</v>
      </c>
      <c r="I11" s="5">
        <v>0.14000000000000001</v>
      </c>
      <c r="J11" s="5">
        <v>0.25</v>
      </c>
      <c r="K11" s="5">
        <v>0.05</v>
      </c>
      <c r="L11" s="12">
        <v>0.08</v>
      </c>
      <c r="M11" s="12">
        <v>0.02</v>
      </c>
      <c r="N11" s="10">
        <f t="shared" si="0"/>
        <v>1</v>
      </c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>Active MPS 3</v>
      </c>
      <c r="B12" s="5">
        <v>0.16</v>
      </c>
      <c r="C12" s="5">
        <v>0.14000000000000001</v>
      </c>
      <c r="D12" s="5"/>
      <c r="E12" s="5">
        <v>7.0000000000000007E-2</v>
      </c>
      <c r="F12" s="5">
        <v>0.06</v>
      </c>
      <c r="G12" s="5">
        <v>0.12</v>
      </c>
      <c r="H12" s="5">
        <v>0.03</v>
      </c>
      <c r="I12" s="5">
        <v>0.1</v>
      </c>
      <c r="J12" s="5">
        <v>0.21</v>
      </c>
      <c r="K12" s="5">
        <v>0.05</v>
      </c>
      <c r="L12" s="12">
        <v>0.04</v>
      </c>
      <c r="M12" s="12">
        <v>0.02</v>
      </c>
      <c r="N12" s="10">
        <f t="shared" si="0"/>
        <v>1</v>
      </c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Active MPS 4</v>
      </c>
      <c r="B13" s="5">
        <v>0.2</v>
      </c>
      <c r="C13" s="5">
        <v>0.2</v>
      </c>
      <c r="D13" s="5">
        <v>0.03</v>
      </c>
      <c r="E13" s="5">
        <v>0.08</v>
      </c>
      <c r="F13" s="5">
        <v>0.05</v>
      </c>
      <c r="G13" s="5">
        <v>0.14000000000000001</v>
      </c>
      <c r="H13" s="5"/>
      <c r="I13" s="5">
        <v>0.08</v>
      </c>
      <c r="J13" s="5">
        <v>0.17</v>
      </c>
      <c r="K13" s="5">
        <v>0.03</v>
      </c>
      <c r="L13" s="12"/>
      <c r="M13" s="12">
        <v>0.02</v>
      </c>
      <c r="N13" s="10">
        <f t="shared" si="0"/>
        <v>1</v>
      </c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Active MPS 5</v>
      </c>
      <c r="B14" s="5">
        <v>0.25</v>
      </c>
      <c r="C14" s="5">
        <v>0.24</v>
      </c>
      <c r="D14" s="5">
        <v>0.05</v>
      </c>
      <c r="E14" s="5">
        <v>0.1</v>
      </c>
      <c r="F14" s="5">
        <v>0.04</v>
      </c>
      <c r="G14" s="5">
        <v>0.17</v>
      </c>
      <c r="H14" s="5"/>
      <c r="I14" s="5"/>
      <c r="J14" s="5">
        <v>0.1</v>
      </c>
      <c r="K14" s="5">
        <v>0.03</v>
      </c>
      <c r="L14" s="12"/>
      <c r="M14" s="12">
        <v>0.02</v>
      </c>
      <c r="N14" s="10">
        <f t="shared" si="0"/>
        <v>1</v>
      </c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Active MPS 6</v>
      </c>
      <c r="B15" s="5">
        <v>0.23</v>
      </c>
      <c r="C15" s="5">
        <v>0.13</v>
      </c>
      <c r="D15" s="5">
        <v>0.05</v>
      </c>
      <c r="E15" s="5">
        <v>0.17</v>
      </c>
      <c r="F15" s="5">
        <v>0.03</v>
      </c>
      <c r="G15" s="5">
        <v>0.27</v>
      </c>
      <c r="H15" s="5"/>
      <c r="I15" s="5"/>
      <c r="J15" s="5">
        <v>7.0000000000000007E-2</v>
      </c>
      <c r="K15" s="5">
        <v>0.03</v>
      </c>
      <c r="L15" s="12"/>
      <c r="M15" s="12">
        <v>0.02</v>
      </c>
      <c r="N15" s="10">
        <f t="shared" si="0"/>
        <v>1</v>
      </c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Active Income MPS 1</v>
      </c>
      <c r="B16" s="5">
        <v>0.16</v>
      </c>
      <c r="C16" s="5">
        <v>0.14000000000000001</v>
      </c>
      <c r="D16" s="5"/>
      <c r="E16" s="5">
        <v>7.0000000000000007E-2</v>
      </c>
      <c r="F16" s="5">
        <v>0.06</v>
      </c>
      <c r="G16" s="5">
        <v>0.12</v>
      </c>
      <c r="H16" s="5">
        <v>0.03</v>
      </c>
      <c r="I16" s="5">
        <v>0.1</v>
      </c>
      <c r="J16" s="5">
        <v>0.21</v>
      </c>
      <c r="K16" s="5">
        <v>0.05</v>
      </c>
      <c r="L16" s="12">
        <v>0.04</v>
      </c>
      <c r="M16" s="12">
        <v>0.02</v>
      </c>
      <c r="N16" s="10">
        <f t="shared" si="0"/>
        <v>1</v>
      </c>
      <c r="O16" s="5"/>
      <c r="Q16" s="5"/>
      <c r="R16" s="5"/>
      <c r="S16" s="5"/>
      <c r="T16" s="5"/>
    </row>
    <row r="17" spans="1:29" x14ac:dyDescent="0.25">
      <c r="A17" t="str">
        <f>IF(Input!A18="","",Input!A18)</f>
        <v>Active Income MPS 2</v>
      </c>
      <c r="B17" s="5">
        <v>0.25</v>
      </c>
      <c r="C17" s="5">
        <v>0.24</v>
      </c>
      <c r="D17" s="5">
        <v>0.05</v>
      </c>
      <c r="E17" s="5">
        <v>0.1</v>
      </c>
      <c r="F17" s="5">
        <v>0.04</v>
      </c>
      <c r="G17" s="5">
        <v>0.17</v>
      </c>
      <c r="H17" s="5"/>
      <c r="I17" s="5"/>
      <c r="J17" s="5">
        <v>0.1</v>
      </c>
      <c r="K17" s="5">
        <v>0.03</v>
      </c>
      <c r="L17" s="12"/>
      <c r="M17" s="12">
        <v>0.02</v>
      </c>
      <c r="N17" s="10">
        <f t="shared" si="0"/>
        <v>1</v>
      </c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Pactive MPS 1</v>
      </c>
      <c r="B18" s="5">
        <v>5.9400000000000001E-2</v>
      </c>
      <c r="C18" s="5">
        <v>6.93E-2</v>
      </c>
      <c r="D18" s="5"/>
      <c r="F18" s="5">
        <v>3.9599999999999996E-2</v>
      </c>
      <c r="G18" s="5">
        <v>4.9500000000000002E-2</v>
      </c>
      <c r="H18" s="5">
        <v>9.9000000000000005E-2</v>
      </c>
      <c r="I18" s="5">
        <v>0.16829999999999998</v>
      </c>
      <c r="J18" s="5">
        <v>0.2772</v>
      </c>
      <c r="K18" s="5">
        <v>4.9500000000000002E-2</v>
      </c>
      <c r="L18" s="12">
        <v>0.08</v>
      </c>
      <c r="M18" s="12">
        <v>0.1082</v>
      </c>
      <c r="N18" s="10">
        <f t="shared" si="0"/>
        <v>0.99999999999999989</v>
      </c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Pactive MPS 2</v>
      </c>
      <c r="B19" s="5">
        <v>0.1188</v>
      </c>
      <c r="C19" s="5">
        <v>0.12869999999999998</v>
      </c>
      <c r="D19" s="5"/>
      <c r="E19" s="5"/>
      <c r="F19" s="5">
        <v>5.9400000000000001E-2</v>
      </c>
      <c r="G19" s="5">
        <v>8.9099999999999999E-2</v>
      </c>
      <c r="H19" s="5">
        <v>5.9400000000000001E-2</v>
      </c>
      <c r="I19" s="5">
        <v>0.1386</v>
      </c>
      <c r="J19" s="5">
        <v>0.2475</v>
      </c>
      <c r="K19" s="5">
        <v>4.9500000000000002E-2</v>
      </c>
      <c r="L19" s="12">
        <v>0.04</v>
      </c>
      <c r="M19" s="12">
        <v>6.9000000000000006E-2</v>
      </c>
      <c r="N19" s="10">
        <f t="shared" si="0"/>
        <v>1.0000000000000002</v>
      </c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Pactive MPS 3</v>
      </c>
      <c r="B20" s="5">
        <v>0.15839999999999999</v>
      </c>
      <c r="C20" s="5">
        <v>0.1386</v>
      </c>
      <c r="E20" s="5">
        <v>4.4800000000000006E-2</v>
      </c>
      <c r="F20" s="5">
        <v>5.9400000000000001E-2</v>
      </c>
      <c r="G20" s="5">
        <v>0.14330000000000001</v>
      </c>
      <c r="H20" s="5">
        <v>2.9700000000000001E-2</v>
      </c>
      <c r="I20" s="5">
        <v>9.9000000000000005E-2</v>
      </c>
      <c r="J20" s="5">
        <v>0.2079</v>
      </c>
      <c r="K20" s="5">
        <v>4.9500000000000002E-2</v>
      </c>
      <c r="L20" s="12">
        <v>0.02</v>
      </c>
      <c r="M20" s="12">
        <v>4.9400000000000006E-2</v>
      </c>
      <c r="N20" s="10">
        <f t="shared" si="0"/>
        <v>0.99999999999999989</v>
      </c>
      <c r="O20" s="5"/>
      <c r="P20" s="5"/>
      <c r="Q20" s="5"/>
      <c r="R20" s="5"/>
      <c r="T20" s="5"/>
      <c r="W20" s="5"/>
      <c r="X20" s="5"/>
      <c r="Y20" s="5"/>
      <c r="AB20" s="5"/>
    </row>
    <row r="21" spans="1:29" s="11" customFormat="1" x14ac:dyDescent="0.25">
      <c r="A21" s="11" t="str">
        <f>IF(Input!A22="","",Input!A22)</f>
        <v>Pactive MPS 4</v>
      </c>
      <c r="B21" s="12">
        <v>0.19800000000000001</v>
      </c>
      <c r="C21" s="12">
        <v>0.19800000000000001</v>
      </c>
      <c r="D21" s="12">
        <v>2.9700000000000001E-2</v>
      </c>
      <c r="E21" s="12">
        <v>7.980000000000001E-2</v>
      </c>
      <c r="F21" s="12">
        <v>4.9500000000000002E-2</v>
      </c>
      <c r="G21" s="12">
        <v>0.13800000000000001</v>
      </c>
      <c r="H21" s="12"/>
      <c r="I21" s="12">
        <v>7.9199999999999993E-2</v>
      </c>
      <c r="J21" s="12">
        <v>0.16829999999999998</v>
      </c>
      <c r="K21" s="12">
        <v>2.9700000000000001E-2</v>
      </c>
      <c r="L21" s="12"/>
      <c r="M21" s="12">
        <v>2.98E-2</v>
      </c>
      <c r="N21" s="10">
        <f t="shared" si="0"/>
        <v>1</v>
      </c>
      <c r="O21" s="12"/>
      <c r="P21" s="12"/>
      <c r="Q21" s="12"/>
      <c r="R21" s="12"/>
      <c r="T21" s="12"/>
      <c r="U21" s="12"/>
      <c r="W21" s="12"/>
      <c r="X21" s="12"/>
      <c r="Y21" s="12"/>
    </row>
    <row r="22" spans="1:29" x14ac:dyDescent="0.25">
      <c r="A22" t="str">
        <f>IF(Input!A23="","",Input!A23)</f>
        <v>Pactive MPS 5</v>
      </c>
      <c r="B22" s="5">
        <v>0.2475</v>
      </c>
      <c r="C22" s="5">
        <v>0.23760000000000001</v>
      </c>
      <c r="D22" s="5">
        <v>4.9500000000000002E-2</v>
      </c>
      <c r="E22" s="5">
        <v>0.11470000000000001</v>
      </c>
      <c r="F22" s="5">
        <v>3.9599999999999996E-2</v>
      </c>
      <c r="G22" s="5">
        <v>0.15259999999999999</v>
      </c>
      <c r="H22" s="5"/>
      <c r="I22" s="5"/>
      <c r="J22" s="5">
        <v>9.9000000000000005E-2</v>
      </c>
      <c r="K22" s="5">
        <v>2.9700000000000001E-2</v>
      </c>
      <c r="L22" s="12"/>
      <c r="M22" s="12">
        <v>2.98E-2</v>
      </c>
      <c r="N22" s="10">
        <f t="shared" si="0"/>
        <v>0.99999999999999989</v>
      </c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Pactive MPS 6</v>
      </c>
      <c r="B23" s="5">
        <v>0.22769999999999999</v>
      </c>
      <c r="C23" s="5">
        <v>0.12869999999999998</v>
      </c>
      <c r="D23" s="5">
        <v>4.9500000000000002E-2</v>
      </c>
      <c r="E23" s="5">
        <v>0.20920000000000002</v>
      </c>
      <c r="F23" s="5">
        <v>2.9700000000000001E-2</v>
      </c>
      <c r="G23" s="5">
        <v>0.22640000000000002</v>
      </c>
      <c r="H23" s="5"/>
      <c r="I23" s="5"/>
      <c r="J23" s="5">
        <v>6.93E-2</v>
      </c>
      <c r="K23" s="5">
        <v>2.9700000000000001E-2</v>
      </c>
      <c r="L23" s="12"/>
      <c r="M23" s="12">
        <v>2.98E-2</v>
      </c>
      <c r="N23" s="10">
        <f t="shared" si="0"/>
        <v>1</v>
      </c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Responsible MPS 1</v>
      </c>
      <c r="B24" s="5">
        <v>6.25E-2</v>
      </c>
      <c r="C24" s="5">
        <v>0.06</v>
      </c>
      <c r="D24" s="5">
        <v>1.2500000000000001E-2</v>
      </c>
      <c r="E24" s="5">
        <v>7.4999999999999997E-3</v>
      </c>
      <c r="F24" s="5">
        <v>0.01</v>
      </c>
      <c r="G24" s="5">
        <v>0.06</v>
      </c>
      <c r="H24" s="5">
        <v>0.1</v>
      </c>
      <c r="I24" s="5">
        <v>0.17</v>
      </c>
      <c r="J24" s="5">
        <v>0.28499999999999998</v>
      </c>
      <c r="K24" s="5">
        <v>4.7500000000000001E-2</v>
      </c>
      <c r="L24" s="12">
        <v>0.16</v>
      </c>
      <c r="M24" s="12">
        <v>2.5000000000000001E-2</v>
      </c>
      <c r="N24" s="10">
        <f t="shared" si="0"/>
        <v>1</v>
      </c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Responsible MPS 2</v>
      </c>
      <c r="B25" s="5">
        <v>0.1125</v>
      </c>
      <c r="C25" s="5">
        <v>0.12</v>
      </c>
      <c r="D25" s="5">
        <v>1.2500000000000001E-2</v>
      </c>
      <c r="E25" s="5">
        <v>7.4999999999999997E-3</v>
      </c>
      <c r="F25" s="5">
        <v>0.04</v>
      </c>
      <c r="G25" s="5">
        <v>0.1</v>
      </c>
      <c r="H25" s="5">
        <v>0.06</v>
      </c>
      <c r="I25" s="5">
        <v>0.14000000000000001</v>
      </c>
      <c r="J25" s="5">
        <v>0.255</v>
      </c>
      <c r="K25" s="5">
        <v>4.7500000000000001E-2</v>
      </c>
      <c r="L25" s="12">
        <v>0.08</v>
      </c>
      <c r="M25" s="12">
        <v>2.5000000000000001E-2</v>
      </c>
      <c r="N25" s="10">
        <f t="shared" si="0"/>
        <v>1</v>
      </c>
      <c r="O25" s="5"/>
      <c r="P25" s="5"/>
      <c r="R25" s="5"/>
      <c r="U25" s="5"/>
      <c r="W25" s="5"/>
      <c r="AB25" s="5"/>
    </row>
    <row r="26" spans="1:29" s="11" customFormat="1" x14ac:dyDescent="0.25">
      <c r="A26" s="11" t="str">
        <f>IF(Input!A27="","",Input!A27)</f>
        <v>Responsible MPS 3</v>
      </c>
      <c r="B26" s="12">
        <v>0.16250000000000001</v>
      </c>
      <c r="C26" s="12">
        <v>0.14000000000000001</v>
      </c>
      <c r="D26" s="12">
        <v>1.2500000000000001E-2</v>
      </c>
      <c r="E26" s="12">
        <v>2.75E-2</v>
      </c>
      <c r="F26" s="12">
        <v>0.06</v>
      </c>
      <c r="G26" s="12">
        <v>0.15</v>
      </c>
      <c r="H26" s="12">
        <v>0.03</v>
      </c>
      <c r="I26" s="12">
        <v>0.1</v>
      </c>
      <c r="J26" s="12">
        <v>0.20499999999999999</v>
      </c>
      <c r="K26" s="12">
        <v>4.7500000000000001E-2</v>
      </c>
      <c r="L26" s="12">
        <v>0.04</v>
      </c>
      <c r="M26" s="12">
        <v>2.5000000000000001E-2</v>
      </c>
      <c r="N26" s="10">
        <f t="shared" si="0"/>
        <v>1</v>
      </c>
      <c r="O26" s="12"/>
      <c r="P26" s="12"/>
      <c r="R26" s="12"/>
      <c r="U26" s="12"/>
      <c r="W26" s="12"/>
      <c r="AB26" s="12"/>
    </row>
    <row r="27" spans="1:29" x14ac:dyDescent="0.25">
      <c r="A27" t="str">
        <f>IF(Input!A28="","",Input!A28)</f>
        <v>Responsible MPS 4</v>
      </c>
      <c r="B27" s="5">
        <v>0.20250000000000001</v>
      </c>
      <c r="C27" s="5">
        <v>0.2</v>
      </c>
      <c r="D27" s="5">
        <v>4.2500000000000003E-2</v>
      </c>
      <c r="E27" s="5">
        <v>2.75E-2</v>
      </c>
      <c r="F27" s="5">
        <v>0.05</v>
      </c>
      <c r="G27" s="5">
        <v>0.18</v>
      </c>
      <c r="H27" s="5"/>
      <c r="I27" s="5">
        <v>0.08</v>
      </c>
      <c r="J27" s="5">
        <v>0.16500000000000001</v>
      </c>
      <c r="K27" s="5">
        <v>2.75E-2</v>
      </c>
      <c r="L27" s="12"/>
      <c r="M27" s="12">
        <v>2.5000000000000001E-2</v>
      </c>
      <c r="N27" s="10">
        <f t="shared" si="0"/>
        <v>1</v>
      </c>
      <c r="P27" s="5"/>
      <c r="R27" s="5"/>
      <c r="U27" s="5"/>
      <c r="W27" s="5"/>
      <c r="AB27" s="5"/>
    </row>
    <row r="28" spans="1:29" x14ac:dyDescent="0.25">
      <c r="A28" t="str">
        <f>IF(Input!A29="","",Input!A29)</f>
        <v>Responsible MPS 5</v>
      </c>
      <c r="B28" s="5">
        <v>0.2525</v>
      </c>
      <c r="C28" s="5">
        <v>0.24</v>
      </c>
      <c r="D28" s="5">
        <v>5.2499999999999998E-2</v>
      </c>
      <c r="E28" s="5">
        <v>2.75E-2</v>
      </c>
      <c r="F28" s="5">
        <v>0.04</v>
      </c>
      <c r="G28" s="5">
        <v>0.23</v>
      </c>
      <c r="H28" s="5"/>
      <c r="I28" s="5"/>
      <c r="J28" s="5">
        <v>0.105</v>
      </c>
      <c r="K28" s="5">
        <v>2.75E-2</v>
      </c>
      <c r="L28" s="12"/>
      <c r="M28" s="12">
        <v>2.5000000000000001E-2</v>
      </c>
      <c r="N28" s="10">
        <f t="shared" si="0"/>
        <v>1</v>
      </c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Responsible MPS 6</v>
      </c>
      <c r="B29" s="5">
        <v>0.23250000000000001</v>
      </c>
      <c r="C29" s="5">
        <v>0.13</v>
      </c>
      <c r="D29" s="5">
        <v>5.2499999999999998E-2</v>
      </c>
      <c r="E29" s="5">
        <v>8.7499999999999994E-2</v>
      </c>
      <c r="F29" s="5">
        <v>0.04</v>
      </c>
      <c r="G29" s="5">
        <v>0.34</v>
      </c>
      <c r="H29" s="5"/>
      <c r="I29" s="5"/>
      <c r="J29" s="5">
        <v>6.5000000000000002E-2</v>
      </c>
      <c r="K29" s="5">
        <v>2.75E-2</v>
      </c>
      <c r="L29" s="12"/>
      <c r="M29" s="12">
        <v>2.5000000000000001E-2</v>
      </c>
      <c r="N29" s="10">
        <f t="shared" si="0"/>
        <v>1</v>
      </c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12"/>
      <c r="M30" s="11"/>
      <c r="N30" s="10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12"/>
      <c r="M31" s="11"/>
      <c r="N31" s="10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12"/>
      <c r="M32" s="11"/>
      <c r="N32" s="10"/>
      <c r="O32" s="5"/>
      <c r="P32" s="5"/>
      <c r="Q32" s="5"/>
      <c r="R32" s="5"/>
      <c r="S32" s="5"/>
      <c r="T32" s="5"/>
    </row>
    <row r="33" spans="1:27" x14ac:dyDescent="0.25">
      <c r="L33" s="11"/>
      <c r="M33" s="11"/>
      <c r="N33" s="10"/>
      <c r="O33" s="5"/>
      <c r="P33" s="5"/>
      <c r="Q33" s="5"/>
      <c r="R33" s="5"/>
      <c r="S33" s="5"/>
      <c r="T33" s="5"/>
    </row>
    <row r="34" spans="1:27" x14ac:dyDescent="0.25">
      <c r="L34" s="11"/>
      <c r="M34" s="11"/>
      <c r="N34" s="10"/>
      <c r="P34" s="5"/>
      <c r="Q34" s="5"/>
      <c r="R34" s="5"/>
      <c r="S34" s="5"/>
      <c r="AA34" s="5"/>
    </row>
    <row r="35" spans="1:27" x14ac:dyDescent="0.25">
      <c r="L35" s="11"/>
      <c r="M35" s="11"/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C2" sqref="C2"/>
    </sheetView>
  </sheetViews>
  <sheetFormatPr defaultRowHeight="15" x14ac:dyDescent="0.25"/>
  <cols>
    <col min="1" max="1" width="30.140625" bestFit="1" customWidth="1"/>
    <col min="2" max="2" width="68" bestFit="1" customWidth="1"/>
    <col min="3" max="3" width="23.85546875" bestFit="1" customWidth="1"/>
    <col min="4" max="4" width="63.2851562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Passive MPS 1</v>
      </c>
      <c r="B2" t="s">
        <v>56</v>
      </c>
      <c r="C2" t="s">
        <v>57</v>
      </c>
      <c r="D2" s="8" t="s">
        <v>58</v>
      </c>
    </row>
    <row r="3" spans="1:5" x14ac:dyDescent="0.25">
      <c r="A3" t="str">
        <f>IF(Input!A4="","",Input!A4)</f>
        <v>Passive MPS 2</v>
      </c>
      <c r="B3" t="s">
        <v>56</v>
      </c>
      <c r="C3" t="s">
        <v>57</v>
      </c>
      <c r="D3" s="8" t="s">
        <v>58</v>
      </c>
    </row>
    <row r="4" spans="1:5" x14ac:dyDescent="0.25">
      <c r="A4" t="str">
        <f>IF(Input!A5="","",Input!A5)</f>
        <v>Passive MPS 3</v>
      </c>
      <c r="B4" t="s">
        <v>56</v>
      </c>
      <c r="C4" t="s">
        <v>57</v>
      </c>
      <c r="D4" s="8" t="s">
        <v>58</v>
      </c>
    </row>
    <row r="5" spans="1:5" x14ac:dyDescent="0.25">
      <c r="A5" t="str">
        <f>IF(Input!A6="","",Input!A6)</f>
        <v>Passive MPS 4</v>
      </c>
      <c r="B5" t="s">
        <v>56</v>
      </c>
      <c r="C5" t="s">
        <v>57</v>
      </c>
      <c r="D5" s="8" t="s">
        <v>58</v>
      </c>
    </row>
    <row r="6" spans="1:5" x14ac:dyDescent="0.25">
      <c r="A6" t="str">
        <f>IF(Input!A7="","",Input!A7)</f>
        <v>Passive MPS 5</v>
      </c>
      <c r="B6" t="s">
        <v>56</v>
      </c>
      <c r="C6" t="s">
        <v>57</v>
      </c>
      <c r="D6" s="8" t="s">
        <v>58</v>
      </c>
    </row>
    <row r="7" spans="1:5" x14ac:dyDescent="0.25">
      <c r="A7" t="str">
        <f>IF(Input!A8="","",Input!A8)</f>
        <v>Passive MPS 6</v>
      </c>
      <c r="B7" t="s">
        <v>56</v>
      </c>
      <c r="C7" t="s">
        <v>57</v>
      </c>
      <c r="D7" s="8" t="s">
        <v>58</v>
      </c>
    </row>
    <row r="8" spans="1:5" x14ac:dyDescent="0.25">
      <c r="A8" t="str">
        <f>IF(Input!A9="","",Input!A9)</f>
        <v>Passive Income MPS 1</v>
      </c>
      <c r="B8" t="s">
        <v>56</v>
      </c>
      <c r="C8" t="s">
        <v>57</v>
      </c>
      <c r="D8" s="8" t="s">
        <v>58</v>
      </c>
    </row>
    <row r="9" spans="1:5" x14ac:dyDescent="0.25">
      <c r="A9" t="str">
        <f>IF(Input!A10="","",Input!A10)</f>
        <v>Passive Income MPS 2</v>
      </c>
      <c r="B9" t="s">
        <v>56</v>
      </c>
      <c r="C9" t="s">
        <v>57</v>
      </c>
      <c r="D9" s="8" t="s">
        <v>58</v>
      </c>
    </row>
    <row r="10" spans="1:5" x14ac:dyDescent="0.25">
      <c r="A10" t="str">
        <f>IF(Input!A11="","",Input!A11)</f>
        <v>Active MPS 1</v>
      </c>
      <c r="B10" t="s">
        <v>56</v>
      </c>
      <c r="C10" t="s">
        <v>57</v>
      </c>
      <c r="D10" s="8" t="s">
        <v>58</v>
      </c>
    </row>
    <row r="11" spans="1:5" x14ac:dyDescent="0.25">
      <c r="A11" t="str">
        <f>IF(Input!A12="","",Input!A12)</f>
        <v>Active MPS 2</v>
      </c>
      <c r="B11" t="s">
        <v>56</v>
      </c>
      <c r="C11" t="s">
        <v>57</v>
      </c>
      <c r="D11" s="8" t="s">
        <v>58</v>
      </c>
    </row>
    <row r="12" spans="1:5" x14ac:dyDescent="0.25">
      <c r="A12" t="str">
        <f>IF(Input!A13="","",Input!A13)</f>
        <v>Active MPS 3</v>
      </c>
      <c r="B12" t="s">
        <v>56</v>
      </c>
      <c r="C12" t="s">
        <v>57</v>
      </c>
      <c r="D12" s="8" t="s">
        <v>58</v>
      </c>
    </row>
    <row r="13" spans="1:5" x14ac:dyDescent="0.25">
      <c r="A13" t="str">
        <f>IF(Input!A14="","",Input!A14)</f>
        <v>Active MPS 4</v>
      </c>
      <c r="B13" t="s">
        <v>56</v>
      </c>
      <c r="C13" t="s">
        <v>57</v>
      </c>
      <c r="D13" s="8" t="s">
        <v>58</v>
      </c>
    </row>
    <row r="14" spans="1:5" x14ac:dyDescent="0.25">
      <c r="A14" t="str">
        <f>IF(Input!A15="","",Input!A15)</f>
        <v>Active MPS 5</v>
      </c>
      <c r="B14" t="s">
        <v>56</v>
      </c>
      <c r="C14" t="s">
        <v>57</v>
      </c>
      <c r="D14" s="8" t="s">
        <v>58</v>
      </c>
    </row>
    <row r="15" spans="1:5" x14ac:dyDescent="0.25">
      <c r="A15" t="str">
        <f>IF(Input!A16="","",Input!A16)</f>
        <v>Active MPS 6</v>
      </c>
      <c r="B15" t="s">
        <v>56</v>
      </c>
      <c r="C15" t="s">
        <v>57</v>
      </c>
      <c r="D15" s="8" t="s">
        <v>58</v>
      </c>
    </row>
    <row r="16" spans="1:5" x14ac:dyDescent="0.25">
      <c r="A16" t="str">
        <f>IF(Input!A17="","",Input!A17)</f>
        <v>Active Income MPS 1</v>
      </c>
      <c r="B16" t="s">
        <v>56</v>
      </c>
      <c r="C16" t="s">
        <v>57</v>
      </c>
      <c r="D16" s="8" t="s">
        <v>58</v>
      </c>
    </row>
    <row r="17" spans="1:4" x14ac:dyDescent="0.25">
      <c r="A17" t="str">
        <f>IF(Input!A18="","",Input!A18)</f>
        <v>Active Income MPS 2</v>
      </c>
      <c r="B17" t="s">
        <v>56</v>
      </c>
      <c r="C17" t="s">
        <v>57</v>
      </c>
      <c r="D17" s="8" t="s">
        <v>58</v>
      </c>
    </row>
    <row r="18" spans="1:4" x14ac:dyDescent="0.25">
      <c r="A18" t="str">
        <f>IF(Input!A19="","",Input!A19)</f>
        <v>Pactive MPS 1</v>
      </c>
      <c r="B18" t="s">
        <v>56</v>
      </c>
      <c r="C18" t="s">
        <v>57</v>
      </c>
      <c r="D18" s="8" t="s">
        <v>58</v>
      </c>
    </row>
    <row r="19" spans="1:4" x14ac:dyDescent="0.25">
      <c r="A19" t="str">
        <f>IF(Input!A20="","",Input!A20)</f>
        <v>Pactive MPS 2</v>
      </c>
      <c r="B19" t="s">
        <v>56</v>
      </c>
      <c r="C19" t="s">
        <v>57</v>
      </c>
      <c r="D19" s="8" t="s">
        <v>58</v>
      </c>
    </row>
    <row r="20" spans="1:4" x14ac:dyDescent="0.25">
      <c r="A20" t="str">
        <f>IF(Input!A21="","",Input!A21)</f>
        <v>Pactive MPS 3</v>
      </c>
      <c r="B20" t="s">
        <v>56</v>
      </c>
      <c r="C20" t="s">
        <v>57</v>
      </c>
      <c r="D20" s="8" t="s">
        <v>58</v>
      </c>
    </row>
    <row r="21" spans="1:4" x14ac:dyDescent="0.25">
      <c r="A21" t="str">
        <f>IF(Input!A22="","",Input!A22)</f>
        <v>Pactive MPS 4</v>
      </c>
      <c r="B21" t="s">
        <v>56</v>
      </c>
      <c r="C21" t="s">
        <v>57</v>
      </c>
      <c r="D21" s="8" t="s">
        <v>58</v>
      </c>
    </row>
    <row r="22" spans="1:4" x14ac:dyDescent="0.25">
      <c r="A22" t="str">
        <f>IF(Input!A23="","",Input!A23)</f>
        <v>Pactive MPS 5</v>
      </c>
      <c r="B22" t="s">
        <v>56</v>
      </c>
      <c r="C22" t="s">
        <v>57</v>
      </c>
      <c r="D22" s="8" t="s">
        <v>58</v>
      </c>
    </row>
    <row r="23" spans="1:4" x14ac:dyDescent="0.25">
      <c r="A23" t="str">
        <f>IF(Input!A24="","",Input!A24)</f>
        <v>Pactive MPS 6</v>
      </c>
      <c r="B23" t="s">
        <v>56</v>
      </c>
      <c r="C23" t="s">
        <v>57</v>
      </c>
      <c r="D23" s="8" t="s">
        <v>58</v>
      </c>
    </row>
    <row r="24" spans="1:4" x14ac:dyDescent="0.25">
      <c r="A24" t="str">
        <f>IF(Input!A25="","",Input!A25)</f>
        <v>Responsible MPS 1</v>
      </c>
      <c r="B24" t="s">
        <v>56</v>
      </c>
      <c r="C24" t="s">
        <v>57</v>
      </c>
      <c r="D24" s="8" t="s">
        <v>58</v>
      </c>
    </row>
    <row r="25" spans="1:4" x14ac:dyDescent="0.25">
      <c r="A25" t="str">
        <f>IF(Input!A26="","",Input!A26)</f>
        <v>Responsible MPS 2</v>
      </c>
      <c r="B25" t="s">
        <v>56</v>
      </c>
      <c r="C25" t="s">
        <v>57</v>
      </c>
      <c r="D25" s="8" t="s">
        <v>58</v>
      </c>
    </row>
    <row r="26" spans="1:4" x14ac:dyDescent="0.25">
      <c r="A26" t="str">
        <f>IF(Input!A27="","",Input!A27)</f>
        <v>Responsible MPS 3</v>
      </c>
      <c r="B26" t="s">
        <v>56</v>
      </c>
      <c r="C26" t="s">
        <v>57</v>
      </c>
      <c r="D26" s="8" t="s">
        <v>58</v>
      </c>
    </row>
    <row r="27" spans="1:4" x14ac:dyDescent="0.25">
      <c r="A27" t="str">
        <f>IF(Input!A28="","",Input!A28)</f>
        <v>Responsible MPS 4</v>
      </c>
      <c r="B27" t="s">
        <v>56</v>
      </c>
      <c r="C27" t="s">
        <v>57</v>
      </c>
      <c r="D27" s="8" t="s">
        <v>58</v>
      </c>
    </row>
    <row r="28" spans="1:4" x14ac:dyDescent="0.25">
      <c r="A28" t="str">
        <f>IF(Input!A29="","",Input!A29)</f>
        <v>Responsible MPS 5</v>
      </c>
      <c r="B28" t="s">
        <v>56</v>
      </c>
      <c r="C28" t="s">
        <v>57</v>
      </c>
      <c r="D28" s="8" t="s">
        <v>58</v>
      </c>
    </row>
    <row r="29" spans="1:4" x14ac:dyDescent="0.25">
      <c r="A29" t="str">
        <f>IF(Input!A30="","",Input!A30)</f>
        <v>Responsible MPS 6</v>
      </c>
      <c r="B29" t="s">
        <v>56</v>
      </c>
      <c r="C29" t="s">
        <v>57</v>
      </c>
      <c r="D29" s="8" t="s">
        <v>58</v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Passive MPS 1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Passive MPS 2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Passive MPS 3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Passive MPS 4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Passive MPS 5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MPS 6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Income MPS 1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Income MPS 2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Active MPS 1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Active MPS 2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Active MPS 3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Active MPS 4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Active MPS 5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Active MPS 6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Active Income MPS 1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Active Income MPS 2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Pactive MPS 1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Pactive MPS 2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>Pactive MPS 3</v>
      </c>
      <c r="B20" s="1">
        <f>IF(A20="","",EOMONTH(DATE(YEAR(IF(A20="","",'Additional Information'!B20)),MONTH(IF(A20="","",'Additional Information'!B20)),DAY(IF(A20="","",'Additional Information'!B20))),0))</f>
        <v>45230</v>
      </c>
    </row>
    <row r="21" spans="1:2" x14ac:dyDescent="0.25">
      <c r="A21" t="str">
        <f>IF(Input!A22="","",Input!A22)</f>
        <v>Pactive MPS 4</v>
      </c>
      <c r="B21" s="1">
        <f>IF(A21="","",EOMONTH(DATE(YEAR(IF(A21="","",'Additional Information'!B21)),MONTH(IF(A21="","",'Additional Information'!B21)),DAY(IF(A21="","",'Additional Information'!B21))),0))</f>
        <v>45230</v>
      </c>
    </row>
    <row r="22" spans="1:2" x14ac:dyDescent="0.25">
      <c r="A22" t="str">
        <f>IF(Input!A23="","",Input!A23)</f>
        <v>Pactive MPS 5</v>
      </c>
      <c r="B22" s="1">
        <f>IF(A22="","",EOMONTH(DATE(YEAR(IF(A22="","",'Additional Information'!B22)),MONTH(IF(A22="","",'Additional Information'!B22)),DAY(IF(A22="","",'Additional Information'!B22))),0))</f>
        <v>45230</v>
      </c>
    </row>
    <row r="23" spans="1:2" x14ac:dyDescent="0.25">
      <c r="A23" t="str">
        <f>IF(Input!A24="","",Input!A24)</f>
        <v>Pactive MPS 6</v>
      </c>
      <c r="B23" s="1">
        <f>IF(A23="","",EOMONTH(DATE(YEAR(IF(A23="","",'Additional Information'!B23)),MONTH(IF(A23="","",'Additional Information'!B23)),DAY(IF(A23="","",'Additional Information'!B23))),0))</f>
        <v>45230</v>
      </c>
    </row>
    <row r="24" spans="1:2" x14ac:dyDescent="0.25">
      <c r="A24" t="str">
        <f>IF(Input!A25="","",Input!A25)</f>
        <v>Responsible MPS 1</v>
      </c>
      <c r="B24" s="1">
        <f>IF(A24="","",EOMONTH(DATE(YEAR(IF(A24="","",'Additional Information'!B24)),MONTH(IF(A24="","",'Additional Information'!B24)),DAY(IF(A24="","",'Additional Information'!B24))),0))</f>
        <v>45230</v>
      </c>
    </row>
    <row r="25" spans="1:2" x14ac:dyDescent="0.25">
      <c r="A25" t="str">
        <f>IF(Input!A26="","",Input!A26)</f>
        <v>Responsible MPS 2</v>
      </c>
      <c r="B25" s="1">
        <f>IF(A25="","",EOMONTH(DATE(YEAR(IF(A25="","",'Additional Information'!B25)),MONTH(IF(A25="","",'Additional Information'!B25)),DAY(IF(A25="","",'Additional Information'!B25))),0))</f>
        <v>45230</v>
      </c>
    </row>
    <row r="26" spans="1:2" x14ac:dyDescent="0.25">
      <c r="A26" t="str">
        <f>IF(Input!A27="","",Input!A27)</f>
        <v>Responsible MPS 3</v>
      </c>
      <c r="B26" s="1">
        <f>IF(A26="","",EOMONTH(DATE(YEAR(IF(A26="","",'Additional Information'!B26)),MONTH(IF(A26="","",'Additional Information'!B26)),DAY(IF(A26="","",'Additional Information'!B26))),0))</f>
        <v>45230</v>
      </c>
    </row>
    <row r="27" spans="1:2" x14ac:dyDescent="0.25">
      <c r="A27" t="str">
        <f>IF(Input!A28="","",Input!A28)</f>
        <v>Responsible MPS 4</v>
      </c>
      <c r="B27" s="1">
        <f>IF(A27="","",EOMONTH(DATE(YEAR(IF(A27="","",'Additional Information'!B27)),MONTH(IF(A27="","",'Additional Information'!B27)),DAY(IF(A27="","",'Additional Information'!B27))),0))</f>
        <v>45230</v>
      </c>
    </row>
    <row r="28" spans="1:2" x14ac:dyDescent="0.25">
      <c r="A28" t="str">
        <f>IF(Input!A29="","",Input!A29)</f>
        <v>Responsible MPS 5</v>
      </c>
      <c r="B28" s="1">
        <f>IF(A28="","",EOMONTH(DATE(YEAR(IF(A28="","",'Additional Information'!B28)),MONTH(IF(A28="","",'Additional Information'!B28)),DAY(IF(A28="","",'Additional Information'!B28))),0))</f>
        <v>45230</v>
      </c>
    </row>
    <row r="29" spans="1:2" x14ac:dyDescent="0.25">
      <c r="A29" t="str">
        <f>IF(Input!A30="","",Input!A30)</f>
        <v>Responsible MPS 6</v>
      </c>
      <c r="B29" s="1">
        <f>IF(A29="","",EOMONTH(DATE(YEAR(IF(A29="","",'Additional Information'!B29)),MONTH(IF(A29="","",'Additional Information'!B29)),DAY(IF(A29="","",'Additional Information'!B29))),0))</f>
        <v>45230</v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E1" sqref="E1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59</v>
      </c>
    </row>
    <row r="2" spans="1:5" x14ac:dyDescent="0.25">
      <c r="A2" t="str">
        <f>IF(Input!A3="","",Input!A3)</f>
        <v>Passive MPS 1</v>
      </c>
      <c r="B2">
        <f>IF(A2="","",'Additional Information'!F2)</f>
        <v>1.9199999999999998E-2</v>
      </c>
      <c r="C2">
        <f>IF(A2="","",'Additional Information'!E2)</f>
        <v>4.3899999999999995E-2</v>
      </c>
      <c r="D2" s="5">
        <f>IF(A2="","",SUM('Additional Information'!C2,'Additional Information'!D2))</f>
        <v>9.7999999999999997E-3</v>
      </c>
    </row>
    <row r="3" spans="1:5" x14ac:dyDescent="0.25">
      <c r="A3" t="str">
        <f>IF(Input!A4="","",Input!A4)</f>
        <v>Passive MPS 2</v>
      </c>
      <c r="B3">
        <f>IF(A3="","",'Additional Information'!F3)</f>
        <v>7.0000000000000007E-2</v>
      </c>
      <c r="C3">
        <f>IF(A3="","",'Additional Information'!E3)</f>
        <v>-3.5499999999999997E-2</v>
      </c>
      <c r="D3" s="5">
        <f>IF(A3="","",SUM('Additional Information'!C3,'Additional Information'!D3))</f>
        <v>2.06E-2</v>
      </c>
    </row>
    <row r="4" spans="1:5" x14ac:dyDescent="0.25">
      <c r="A4" t="str">
        <f>IF(Input!A5="","",Input!A5)</f>
        <v>Passive MPS 3</v>
      </c>
      <c r="B4">
        <f>IF(A4="","",'Additional Information'!F4)</f>
        <v>0.1525</v>
      </c>
      <c r="C4">
        <f>IF(A4="","",'Additional Information'!E4)</f>
        <v>-4.6999999999999993E-3</v>
      </c>
      <c r="D4" s="5">
        <f>IF(A4="","",SUM('Additional Information'!C4,'Additional Information'!D4))</f>
        <v>3.0599999999999999E-2</v>
      </c>
    </row>
    <row r="5" spans="1:5" x14ac:dyDescent="0.25">
      <c r="A5" t="str">
        <f>IF(Input!A6="","",Input!A6)</f>
        <v>Passive MPS 4</v>
      </c>
      <c r="B5">
        <f>IF(A5="","",'Additional Information'!F5)</f>
        <v>0.21840000000000001</v>
      </c>
      <c r="C5">
        <f>IF(A5="","",'Additional Information'!E5)</f>
        <v>2.8999999999999998E-3</v>
      </c>
      <c r="D5" s="5">
        <f>IF(A5="","",SUM('Additional Information'!C5,'Additional Information'!D5))</f>
        <v>3.0799999999999998E-2</v>
      </c>
    </row>
    <row r="6" spans="1:5" x14ac:dyDescent="0.25">
      <c r="A6" t="str">
        <f>IF(Input!A7="","",Input!A7)</f>
        <v>Passive MPS 5</v>
      </c>
      <c r="B6">
        <f>IF(A6="","",'Additional Information'!F6)</f>
        <v>0.29249999999999998</v>
      </c>
      <c r="C6">
        <f>IF(A6="","",'Additional Information'!E6)</f>
        <v>2.7300000000000001E-2</v>
      </c>
      <c r="D6" s="5">
        <f>IF(A6="","",SUM('Additional Information'!C6,'Additional Information'!D6))</f>
        <v>3.4100000000000005E-2</v>
      </c>
    </row>
    <row r="7" spans="1:5" x14ac:dyDescent="0.25">
      <c r="A7" t="str">
        <f>IF(Input!A8="","",Input!A8)</f>
        <v>Passive MPS 6</v>
      </c>
      <c r="B7">
        <f>IF(A7="","",'Additional Information'!F7)</f>
        <v>0.28110000000000002</v>
      </c>
      <c r="C7">
        <f>IF(A7="","",'Additional Information'!E7)</f>
        <v>-2.5000000000000001E-3</v>
      </c>
      <c r="D7" s="5">
        <f>IF(A7="","",SUM('Additional Information'!C7,'Additional Information'!D7))</f>
        <v>1.84E-2</v>
      </c>
    </row>
    <row r="8" spans="1:5" x14ac:dyDescent="0.25">
      <c r="A8" t="str">
        <f>IF(Input!A9="","",Input!A9)</f>
        <v>Passive Income MPS 1</v>
      </c>
      <c r="B8">
        <f>IF(A8="","",'Additional Information'!F8)</f>
        <v>0.12470000000000001</v>
      </c>
      <c r="C8">
        <f>IF(A8="","",'Additional Information'!E8)</f>
        <v>9.4999999999999998E-3</v>
      </c>
      <c r="D8" s="5">
        <f>IF(A8="","",SUM('Additional Information'!C8,'Additional Information'!D8))</f>
        <v>1.0799999999999999E-2</v>
      </c>
    </row>
    <row r="9" spans="1:5" x14ac:dyDescent="0.25">
      <c r="A9" t="str">
        <f>IF(Input!A10="","",Input!A10)</f>
        <v>Passive Income MPS 2</v>
      </c>
      <c r="B9">
        <f>IF(A9="","",'Additional Information'!F9)</f>
        <v>0.24809999999999999</v>
      </c>
      <c r="C9">
        <f>IF(A9="","",'Additional Information'!E9)</f>
        <v>2.3099999999999999E-2</v>
      </c>
      <c r="D9" s="5">
        <f>IF(A9="","",SUM('Additional Information'!C9,'Additional Information'!D9))</f>
        <v>2.6000000000000002E-2</v>
      </c>
    </row>
    <row r="10" spans="1:5" x14ac:dyDescent="0.25">
      <c r="A10" t="str">
        <f>IF(Input!A11="","",Input!A11)</f>
        <v>Active MPS 1</v>
      </c>
      <c r="B10">
        <f>IF(A10="","",'Additional Information'!F10)</f>
        <v>7.000000000000001E-4</v>
      </c>
      <c r="C10">
        <f>IF(A10="","",'Additional Information'!E10)</f>
        <v>-6.0599999999999994E-2</v>
      </c>
      <c r="D10" s="5">
        <f>IF(A10="","",SUM('Additional Information'!C10,'Additional Information'!D10))</f>
        <v>1.6100000000000003E-2</v>
      </c>
    </row>
    <row r="11" spans="1:5" x14ac:dyDescent="0.25">
      <c r="A11" t="str">
        <f>IF(Input!A12="","",Input!A12)</f>
        <v>Active MPS 2</v>
      </c>
      <c r="B11">
        <f>IF(A11="","",'Additional Information'!F11)</f>
        <v>5.1699999999999996E-2</v>
      </c>
      <c r="C11">
        <f>IF(A11="","",'Additional Information'!E11)</f>
        <v>-5.3899999999999997E-2</v>
      </c>
      <c r="D11" s="5">
        <f>IF(A11="","",SUM('Additional Information'!C11,'Additional Information'!D11))</f>
        <v>2.7400000000000001E-2</v>
      </c>
    </row>
    <row r="12" spans="1:5" x14ac:dyDescent="0.25">
      <c r="A12" t="str">
        <f>IF(Input!A13="","",Input!A13)</f>
        <v>Active MPS 3</v>
      </c>
      <c r="B12">
        <f>IF(A12="","",'Additional Information'!F12)</f>
        <v>0.13369999999999999</v>
      </c>
      <c r="C12">
        <f>IF(A12="","",'Additional Information'!E12)</f>
        <v>-2.5899999999999999E-2</v>
      </c>
      <c r="D12" s="5">
        <f>IF(A12="","",SUM('Additional Information'!C12,'Additional Information'!D12))</f>
        <v>4.1800000000000004E-2</v>
      </c>
    </row>
    <row r="13" spans="1:5" x14ac:dyDescent="0.25">
      <c r="A13" t="str">
        <f>IF(Input!A14="","",Input!A14)</f>
        <v>Active MPS 4</v>
      </c>
      <c r="B13">
        <f>IF(A13="","",'Additional Information'!F13)</f>
        <v>0.15820000000000001</v>
      </c>
      <c r="C13">
        <f>IF(A13="","",'Additional Information'!E13)</f>
        <v>-4.24E-2</v>
      </c>
      <c r="D13" s="5">
        <f>IF(A13="","",SUM('Additional Information'!C13,'Additional Information'!D13))</f>
        <v>3.5799999999999998E-2</v>
      </c>
    </row>
    <row r="14" spans="1:5" x14ac:dyDescent="0.25">
      <c r="A14" t="str">
        <f>IF(Input!A15="","",Input!A15)</f>
        <v>Active MPS 5</v>
      </c>
      <c r="B14">
        <f>IF(A14="","",'Additional Information'!F14)</f>
        <v>0.20989999999999998</v>
      </c>
      <c r="C14">
        <f>IF(A14="","",'Additional Information'!E14)</f>
        <v>-3.2300000000000002E-2</v>
      </c>
      <c r="D14" s="5">
        <f>IF(A14="","",SUM('Additional Information'!C14,'Additional Information'!D14))</f>
        <v>3.8100000000000002E-2</v>
      </c>
    </row>
    <row r="15" spans="1:5" x14ac:dyDescent="0.25">
      <c r="A15" t="str">
        <f>IF(Input!A16="","",Input!A16)</f>
        <v>Active MPS 6</v>
      </c>
      <c r="B15">
        <f>IF(A15="","",'Additional Information'!F15)</f>
        <v>0.2712</v>
      </c>
      <c r="C15">
        <f>IF(A15="","",'Additional Information'!E15)</f>
        <v>0.23719999999999999</v>
      </c>
      <c r="D15" s="5">
        <f>IF(A15="","",SUM('Additional Information'!C15,'Additional Information'!D15))</f>
        <v>3.1399999999999997E-2</v>
      </c>
    </row>
    <row r="16" spans="1:5" x14ac:dyDescent="0.25">
      <c r="A16" t="str">
        <f>IF(Input!A17="","",Input!A17)</f>
        <v>Active Income MPS 1</v>
      </c>
      <c r="B16">
        <f>IF(A16="","",'Additional Information'!F16)</f>
        <v>0.1016</v>
      </c>
      <c r="C16">
        <f>IF(A16="","",'Additional Information'!E16)</f>
        <v>-1.6899999999999998E-2</v>
      </c>
      <c r="D16" s="5">
        <f>IF(A16="","",SUM('Additional Information'!C16,'Additional Information'!D16))</f>
        <v>2.0800000000000003E-2</v>
      </c>
    </row>
    <row r="17" spans="1:4" x14ac:dyDescent="0.25">
      <c r="A17" t="str">
        <f>IF(Input!A18="","",Input!A18)</f>
        <v>Active Income MPS 2</v>
      </c>
      <c r="B17">
        <f>IF(A17="","",'Additional Information'!F17)</f>
        <v>0.2152</v>
      </c>
      <c r="C17">
        <f>IF(A17="","",'Additional Information'!E17)</f>
        <v>-5.0000000000000001E-4</v>
      </c>
      <c r="D17" s="5">
        <f>IF(A17="","",SUM('Additional Information'!C17,'Additional Information'!D17))</f>
        <v>3.8399999999999997E-2</v>
      </c>
    </row>
    <row r="18" spans="1:4" x14ac:dyDescent="0.25">
      <c r="A18" t="str">
        <f>IF(Input!A19="","",Input!A19)</f>
        <v>Pactive MPS 1</v>
      </c>
      <c r="B18">
        <f>IF(A18="","",'Additional Information'!F18)</f>
        <v>-4.1900000000000007E-2</v>
      </c>
      <c r="C18">
        <f>IF(A18="","",'Additional Information'!E18)</f>
        <v>-0.1026</v>
      </c>
      <c r="D18" s="5">
        <f>IF(A18="","",SUM('Additional Information'!C18,'Additional Information'!D18))</f>
        <v>1.4499999999999999E-2</v>
      </c>
    </row>
    <row r="19" spans="1:4" x14ac:dyDescent="0.25">
      <c r="A19" t="str">
        <f>IF(Input!A20="","",Input!A20)</f>
        <v>Pactive MPS 2</v>
      </c>
      <c r="B19">
        <f>IF(A19="","",'Additional Information'!F19)</f>
        <v>5.1500000000000004E-2</v>
      </c>
      <c r="C19">
        <f>IF(A19="","",'Additional Information'!E19)</f>
        <v>-4.7400000000000005E-2</v>
      </c>
      <c r="D19" s="5">
        <f>IF(A19="","",SUM('Additional Information'!C19,'Additional Information'!D19))</f>
        <v>2.1600000000000001E-2</v>
      </c>
    </row>
    <row r="20" spans="1:4" x14ac:dyDescent="0.25">
      <c r="A20" t="str">
        <f>IF(Input!A21="","",Input!A21)</f>
        <v>Pactive MPS 3</v>
      </c>
      <c r="B20">
        <f>IF(A20="","",'Additional Information'!F20)</f>
        <v>0.1444</v>
      </c>
      <c r="C20">
        <f>IF(A20="","",'Additional Information'!E20)</f>
        <v>0.1353</v>
      </c>
      <c r="D20" s="5">
        <f>IF(A20="","",SUM('Additional Information'!C20,'Additional Information'!D20))</f>
        <v>-8.5000000000000006E-3</v>
      </c>
    </row>
    <row r="21" spans="1:4" x14ac:dyDescent="0.25">
      <c r="A21" t="str">
        <f>IF(Input!A22="","",Input!A22)</f>
        <v>Pactive MPS 4</v>
      </c>
      <c r="B21">
        <f>IF(A21="","",'Additional Information'!F21)</f>
        <v>0.18359999999999999</v>
      </c>
      <c r="C21">
        <f>IF(A21="","",'Additional Information'!E21)</f>
        <v>-1.7600000000000001E-2</v>
      </c>
      <c r="D21" s="5">
        <f>IF(A21="","",SUM('Additional Information'!C21,'Additional Information'!D21))</f>
        <v>3.2300000000000002E-2</v>
      </c>
    </row>
    <row r="22" spans="1:4" x14ac:dyDescent="0.25">
      <c r="A22" t="str">
        <f>IF(Input!A23="","",Input!A23)</f>
        <v>Pactive MPS 5</v>
      </c>
      <c r="B22">
        <f>IF(A22="","",'Additional Information'!F22)</f>
        <v>0.24679999999999999</v>
      </c>
      <c r="C22">
        <f>IF(A22="","",'Additional Information'!E22)</f>
        <v>1.7000000000000001E-3</v>
      </c>
      <c r="D22" s="5">
        <f>IF(A22="","",SUM('Additional Information'!C22,'Additional Information'!D22))</f>
        <v>3.7399999999999996E-2</v>
      </c>
    </row>
    <row r="23" spans="1:4" x14ac:dyDescent="0.25">
      <c r="A23" t="str">
        <f>IF(Input!A24="","",Input!A24)</f>
        <v>Pactive MPS 6</v>
      </c>
      <c r="B23">
        <f>IF(A23="","",'Additional Information'!F23)</f>
        <v>0.27160000000000001</v>
      </c>
      <c r="C23">
        <f>IF(A23="","",'Additional Information'!E23)</f>
        <v>0.24809999999999999</v>
      </c>
      <c r="D23" s="5">
        <f>IF(A23="","",SUM('Additional Information'!C23,'Additional Information'!D23))</f>
        <v>-1.2199999999999999E-2</v>
      </c>
    </row>
    <row r="24" spans="1:4" x14ac:dyDescent="0.25">
      <c r="A24" t="str">
        <f>IF(Input!A25="","",Input!A25)</f>
        <v>Responsible MPS 1</v>
      </c>
      <c r="B24">
        <f>IF(A24="","",'Additional Information'!F24)</f>
        <v>0</v>
      </c>
      <c r="C24">
        <f>IF(A24="","",'Additional Information'!E24)</f>
        <v>-8.5299999999999987E-2</v>
      </c>
      <c r="D24" s="5">
        <f>IF(A24="","",SUM('Additional Information'!C24,'Additional Information'!D24))</f>
        <v>1.5499999999999998E-2</v>
      </c>
    </row>
    <row r="25" spans="1:4" x14ac:dyDescent="0.25">
      <c r="A25" t="str">
        <f>IF(Input!A26="","",Input!A26)</f>
        <v>Responsible MPS 2</v>
      </c>
      <c r="B25">
        <f>IF(A25="","",'Additional Information'!F25)</f>
        <v>0</v>
      </c>
      <c r="C25">
        <f>IF(A25="","",'Additional Information'!E25)</f>
        <v>-8.9800000000000005E-2</v>
      </c>
      <c r="D25" s="5">
        <f>IF(A25="","",SUM('Additional Information'!C25,'Additional Information'!D25))</f>
        <v>1.6900000000000002E-2</v>
      </c>
    </row>
    <row r="26" spans="1:4" x14ac:dyDescent="0.25">
      <c r="A26" t="str">
        <f>IF(Input!A27="","",Input!A27)</f>
        <v>Responsible MPS 3</v>
      </c>
      <c r="B26">
        <f>IF(A26="","",'Additional Information'!F26)</f>
        <v>0</v>
      </c>
      <c r="C26">
        <f>IF(A26="","",'Additional Information'!E26)</f>
        <v>-8.8000000000000009E-2</v>
      </c>
      <c r="D26" s="5">
        <f>IF(A26="","",SUM('Additional Information'!C26,'Additional Information'!D26))</f>
        <v>1.7100000000000001E-2</v>
      </c>
    </row>
    <row r="27" spans="1:4" x14ac:dyDescent="0.25">
      <c r="A27" t="str">
        <f>IF(Input!A28="","",Input!A28)</f>
        <v>Responsible MPS 4</v>
      </c>
      <c r="B27">
        <f>IF(A27="","",'Additional Information'!F27)</f>
        <v>0</v>
      </c>
      <c r="C27">
        <f>IF(A27="","",'Additional Information'!E27)</f>
        <v>8.8800000000000004E-2</v>
      </c>
      <c r="D27" s="5">
        <f>IF(A27="","",SUM('Additional Information'!C27,'Additional Information'!D27))</f>
        <v>2.3699999999999999E-2</v>
      </c>
    </row>
    <row r="28" spans="1:4" x14ac:dyDescent="0.25">
      <c r="A28" t="str">
        <f>IF(Input!A29="","",Input!A29)</f>
        <v>Responsible MPS 5</v>
      </c>
      <c r="B28">
        <f>IF(A28="","",'Additional Information'!F28)</f>
        <v>0</v>
      </c>
      <c r="C28">
        <f>IF(A28="","",'Additional Information'!E28)</f>
        <v>-8.3299999999999999E-2</v>
      </c>
      <c r="D28" s="5">
        <f>IF(A28="","",SUM('Additional Information'!C28,'Additional Information'!D28))</f>
        <v>2.0900000000000002E-2</v>
      </c>
    </row>
    <row r="29" spans="1:4" x14ac:dyDescent="0.25">
      <c r="A29" t="str">
        <f>IF(Input!A30="","",Input!A30)</f>
        <v>Responsible MPS 6</v>
      </c>
      <c r="B29">
        <f>IF(A29="","",'Additional Information'!F29)</f>
        <v>0</v>
      </c>
      <c r="C29">
        <f>IF(A29="","",'Additional Information'!E29)</f>
        <v>-0.1116</v>
      </c>
      <c r="D29" s="5">
        <f>IF(A29="","",SUM('Additional Information'!C29,'Additional Information'!D29))</f>
        <v>2.3800000000000002E-2</v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Passive MPS 1</v>
      </c>
      <c r="B2">
        <f>IF(A2="","",SUM('Asset Allocation'!B2))</f>
        <v>0.06</v>
      </c>
      <c r="C2">
        <f>IF(A2="","",SUM('Asset Allocation'!C2))</f>
        <v>7.0000000000000007E-2</v>
      </c>
      <c r="D2">
        <f>IF(A2="","",SUM('Asset Allocation'!G2))</f>
        <v>0.05</v>
      </c>
      <c r="E2">
        <f>IF(A2="","",SUM('Asset Allocation'!F2))</f>
        <v>0.04</v>
      </c>
      <c r="F2">
        <f>IF(A2="","",SUM('Asset Allocation'!E2,'Asset Allocation'!H2))</f>
        <v>0.1</v>
      </c>
      <c r="G2">
        <f>IF(A2="","",SUM('Asset Allocation'!D2))</f>
        <v>0</v>
      </c>
      <c r="H2">
        <f t="shared" ref="H2:H50" si="0">IF(A2="","",1-SUM(B2:G2))</f>
        <v>0.67999999999999994</v>
      </c>
    </row>
    <row r="3" spans="1:8" x14ac:dyDescent="0.25">
      <c r="A3" t="str">
        <f>IF(Input!A4="","",Input!A4)</f>
        <v>Passive MPS 2</v>
      </c>
      <c r="B3">
        <f>IF(A3="","",SUM('Asset Allocation'!B3))</f>
        <v>0.12</v>
      </c>
      <c r="C3">
        <f>IF(A3="","",SUM('Asset Allocation'!C3))</f>
        <v>0.13</v>
      </c>
      <c r="D3">
        <f>IF(A3="","",SUM('Asset Allocation'!G3))</f>
        <v>0.09</v>
      </c>
      <c r="E3">
        <f>IF(A3="","",SUM('Asset Allocation'!F3))</f>
        <v>0.06</v>
      </c>
      <c r="F3">
        <f>IF(A3="","",SUM('Asset Allocation'!E3,'Asset Allocation'!H3))</f>
        <v>0.06</v>
      </c>
      <c r="G3">
        <f>IF(A3="","",SUM('Asset Allocation'!D3))</f>
        <v>0</v>
      </c>
      <c r="H3">
        <f t="shared" si="0"/>
        <v>0.54</v>
      </c>
    </row>
    <row r="4" spans="1:8" x14ac:dyDescent="0.25">
      <c r="A4" t="str">
        <f>IF(Input!A5="","",Input!A5)</f>
        <v>Passive MPS 3</v>
      </c>
      <c r="B4">
        <f>IF(A4="","",SUM('Asset Allocation'!B4))</f>
        <v>0.16</v>
      </c>
      <c r="C4">
        <f>IF(A4="","",SUM('Asset Allocation'!C4))</f>
        <v>0.14000000000000001</v>
      </c>
      <c r="D4">
        <f>IF(A4="","",SUM('Asset Allocation'!G4))</f>
        <v>0.12</v>
      </c>
      <c r="E4">
        <f>IF(A4="","",SUM('Asset Allocation'!F4))</f>
        <v>0.06</v>
      </c>
      <c r="F4">
        <f>IF(A4="","",SUM('Asset Allocation'!E4,'Asset Allocation'!H4))</f>
        <v>0.1</v>
      </c>
      <c r="G4">
        <f>IF(A4="","",SUM('Asset Allocation'!D4))</f>
        <v>0</v>
      </c>
      <c r="H4">
        <f t="shared" si="0"/>
        <v>0.41999999999999993</v>
      </c>
    </row>
    <row r="5" spans="1:8" x14ac:dyDescent="0.25">
      <c r="A5" t="str">
        <f>IF(Input!A6="","",Input!A6)</f>
        <v>Passive MPS 4</v>
      </c>
      <c r="B5">
        <f>IF(A5="","",SUM('Asset Allocation'!B5))</f>
        <v>0.2</v>
      </c>
      <c r="C5">
        <f>IF(A5="","",SUM('Asset Allocation'!C5))</f>
        <v>0.2</v>
      </c>
      <c r="D5">
        <f>IF(A5="","",SUM('Asset Allocation'!G5))</f>
        <v>0.14000000000000001</v>
      </c>
      <c r="E5">
        <f>IF(A5="","",SUM('Asset Allocation'!F5))</f>
        <v>0.05</v>
      </c>
      <c r="F5">
        <f>IF(A5="","",SUM('Asset Allocation'!E5,'Asset Allocation'!H5))</f>
        <v>0.08</v>
      </c>
      <c r="G5">
        <f>IF(A5="","",SUM('Asset Allocation'!D5))</f>
        <v>0.03</v>
      </c>
      <c r="H5">
        <f t="shared" si="0"/>
        <v>0.29999999999999993</v>
      </c>
    </row>
    <row r="6" spans="1:8" x14ac:dyDescent="0.25">
      <c r="A6" t="str">
        <f>IF(Input!A7="","",Input!A7)</f>
        <v>Passive MPS 5</v>
      </c>
      <c r="B6">
        <f>IF(A6="","",SUM('Asset Allocation'!B6))</f>
        <v>0.25</v>
      </c>
      <c r="C6">
        <f>IF(A6="","",SUM('Asset Allocation'!C6))</f>
        <v>0.24</v>
      </c>
      <c r="D6">
        <f>IF(A6="","",SUM('Asset Allocation'!G6))</f>
        <v>0.17</v>
      </c>
      <c r="E6">
        <f>IF(A6="","",SUM('Asset Allocation'!F6))</f>
        <v>0.04</v>
      </c>
      <c r="F6">
        <f>IF(A6="","",SUM('Asset Allocation'!E6,'Asset Allocation'!H6))</f>
        <v>0.1</v>
      </c>
      <c r="G6">
        <f>IF(A6="","",SUM('Asset Allocation'!D6))</f>
        <v>0.05</v>
      </c>
      <c r="H6">
        <f t="shared" si="0"/>
        <v>0.14999999999999991</v>
      </c>
    </row>
    <row r="7" spans="1:8" x14ac:dyDescent="0.25">
      <c r="A7" t="str">
        <f>IF(Input!A8="","",Input!A8)</f>
        <v>Passive MPS 6</v>
      </c>
      <c r="B7">
        <f>IF(A7="","",SUM('Asset Allocation'!B7))</f>
        <v>0.23</v>
      </c>
      <c r="C7">
        <f>IF(A7="","",SUM('Asset Allocation'!C7))</f>
        <v>0.13</v>
      </c>
      <c r="D7">
        <f>IF(A7="","",SUM('Asset Allocation'!G7))</f>
        <v>0.36</v>
      </c>
      <c r="E7">
        <f>IF(A7="","",SUM('Asset Allocation'!F7))</f>
        <v>0.03</v>
      </c>
      <c r="F7">
        <f>IF(A7="","",SUM('Asset Allocation'!E7,'Asset Allocation'!H7))</f>
        <v>0.08</v>
      </c>
      <c r="G7">
        <f>IF(A7="","",SUM('Asset Allocation'!D7))</f>
        <v>0.05</v>
      </c>
      <c r="H7">
        <f t="shared" si="0"/>
        <v>0.12</v>
      </c>
    </row>
    <row r="8" spans="1:8" x14ac:dyDescent="0.25">
      <c r="A8" t="str">
        <f>IF(Input!A9="","",Input!A9)</f>
        <v>Passive Income MPS 1</v>
      </c>
      <c r="B8">
        <f>IF(A8="","",SUM('Asset Allocation'!B8))</f>
        <v>0.16</v>
      </c>
      <c r="C8">
        <f>IF(A8="","",SUM('Asset Allocation'!C8))</f>
        <v>0.14000000000000001</v>
      </c>
      <c r="D8">
        <f>IF(A8="","",SUM('Asset Allocation'!G8))</f>
        <v>0.12</v>
      </c>
      <c r="E8">
        <f>IF(A8="","",SUM('Asset Allocation'!F8))</f>
        <v>0.06</v>
      </c>
      <c r="F8">
        <f>IF(A8="","",SUM('Asset Allocation'!E8,'Asset Allocation'!H8))</f>
        <v>0.1</v>
      </c>
      <c r="G8">
        <f>IF(A8="","",SUM('Asset Allocation'!D8))</f>
        <v>0</v>
      </c>
      <c r="H8">
        <f t="shared" si="0"/>
        <v>0.41999999999999993</v>
      </c>
    </row>
    <row r="9" spans="1:8" x14ac:dyDescent="0.25">
      <c r="A9" t="str">
        <f>IF(Input!A10="","",Input!A10)</f>
        <v>Passive Income MPS 2</v>
      </c>
      <c r="B9">
        <f>IF(A9="","",SUM('Asset Allocation'!B9))</f>
        <v>0.25</v>
      </c>
      <c r="C9">
        <f>IF(A9="","",SUM('Asset Allocation'!C9))</f>
        <v>0.24</v>
      </c>
      <c r="D9">
        <f>IF(A9="","",SUM('Asset Allocation'!G9))</f>
        <v>0.17</v>
      </c>
      <c r="E9">
        <f>IF(A9="","",SUM('Asset Allocation'!F9))</f>
        <v>0.04</v>
      </c>
      <c r="F9">
        <f>IF(A9="","",SUM('Asset Allocation'!E9,'Asset Allocation'!H9))</f>
        <v>0.1</v>
      </c>
      <c r="G9">
        <f>IF(A9="","",SUM('Asset Allocation'!D9))</f>
        <v>0.05</v>
      </c>
      <c r="H9">
        <f t="shared" si="0"/>
        <v>0.14999999999999991</v>
      </c>
    </row>
    <row r="10" spans="1:8" x14ac:dyDescent="0.25">
      <c r="A10" t="str">
        <f>IF(Input!A11="","",Input!A11)</f>
        <v>Active MPS 1</v>
      </c>
      <c r="B10">
        <f>IF(A10="","",SUM('Asset Allocation'!B10))</f>
        <v>0.06</v>
      </c>
      <c r="C10">
        <f>IF(A10="","",SUM('Asset Allocation'!C10))</f>
        <v>7.0000000000000007E-2</v>
      </c>
      <c r="D10">
        <f>IF(A10="","",SUM('Asset Allocation'!G10))</f>
        <v>0.05</v>
      </c>
      <c r="E10">
        <f>IF(A10="","",SUM('Asset Allocation'!F10))</f>
        <v>0.04</v>
      </c>
      <c r="F10">
        <f>IF(A10="","",SUM('Asset Allocation'!E10,'Asset Allocation'!H10))</f>
        <v>0.1</v>
      </c>
      <c r="G10">
        <f>IF(A10="","",SUM('Asset Allocation'!D10))</f>
        <v>0</v>
      </c>
      <c r="H10">
        <f t="shared" si="0"/>
        <v>0.67999999999999994</v>
      </c>
    </row>
    <row r="11" spans="1:8" x14ac:dyDescent="0.25">
      <c r="A11" t="str">
        <f>IF(Input!A12="","",Input!A12)</f>
        <v>Active MPS 2</v>
      </c>
      <c r="B11">
        <f>IF(A11="","",SUM('Asset Allocation'!B11))</f>
        <v>0.12</v>
      </c>
      <c r="C11">
        <f>IF(A11="","",SUM('Asset Allocation'!C11))</f>
        <v>0.13</v>
      </c>
      <c r="D11">
        <f>IF(A11="","",SUM('Asset Allocation'!G11))</f>
        <v>0.09</v>
      </c>
      <c r="E11">
        <f>IF(A11="","",SUM('Asset Allocation'!F11))</f>
        <v>0.06</v>
      </c>
      <c r="F11">
        <f>IF(A11="","",SUM('Asset Allocation'!E11,'Asset Allocation'!H11))</f>
        <v>0.06</v>
      </c>
      <c r="G11">
        <f>IF(A11="","",SUM('Asset Allocation'!D11))</f>
        <v>0</v>
      </c>
      <c r="H11">
        <f t="shared" si="0"/>
        <v>0.54</v>
      </c>
    </row>
    <row r="12" spans="1:8" x14ac:dyDescent="0.25">
      <c r="A12" t="str">
        <f>IF(Input!A13="","",Input!A13)</f>
        <v>Active MPS 3</v>
      </c>
      <c r="B12">
        <f>IF(A12="","",SUM('Asset Allocation'!B12))</f>
        <v>0.16</v>
      </c>
      <c r="C12">
        <f>IF(A12="","",SUM('Asset Allocation'!C12))</f>
        <v>0.14000000000000001</v>
      </c>
      <c r="D12">
        <f>IF(A12="","",SUM('Asset Allocation'!G12))</f>
        <v>0.12</v>
      </c>
      <c r="E12">
        <f>IF(A12="","",SUM('Asset Allocation'!F12))</f>
        <v>0.06</v>
      </c>
      <c r="F12">
        <f>IF(A12="","",SUM('Asset Allocation'!E12,'Asset Allocation'!H12))</f>
        <v>0.1</v>
      </c>
      <c r="G12">
        <f>IF(A12="","",SUM('Asset Allocation'!D12))</f>
        <v>0</v>
      </c>
      <c r="H12">
        <f t="shared" si="0"/>
        <v>0.41999999999999993</v>
      </c>
    </row>
    <row r="13" spans="1:8" x14ac:dyDescent="0.25">
      <c r="A13" t="str">
        <f>IF(Input!A14="","",Input!A14)</f>
        <v>Active MPS 4</v>
      </c>
      <c r="B13">
        <f>IF(A13="","",SUM('Asset Allocation'!B13))</f>
        <v>0.2</v>
      </c>
      <c r="C13">
        <f>IF(A13="","",SUM('Asset Allocation'!C13))</f>
        <v>0.2</v>
      </c>
      <c r="D13">
        <f>IF(A13="","",SUM('Asset Allocation'!G13))</f>
        <v>0.14000000000000001</v>
      </c>
      <c r="E13">
        <f>IF(A13="","",SUM('Asset Allocation'!F13))</f>
        <v>0.05</v>
      </c>
      <c r="F13">
        <f>IF(A13="","",SUM('Asset Allocation'!E13,'Asset Allocation'!H13))</f>
        <v>0.08</v>
      </c>
      <c r="G13">
        <f>IF(A13="","",SUM('Asset Allocation'!D13))</f>
        <v>0.03</v>
      </c>
      <c r="H13">
        <f t="shared" si="0"/>
        <v>0.29999999999999993</v>
      </c>
    </row>
    <row r="14" spans="1:8" x14ac:dyDescent="0.25">
      <c r="A14" t="str">
        <f>IF(Input!A15="","",Input!A15)</f>
        <v>Active MPS 5</v>
      </c>
      <c r="B14">
        <f>IF(A14="","",SUM('Asset Allocation'!B14))</f>
        <v>0.25</v>
      </c>
      <c r="C14">
        <f>IF(A14="","",SUM('Asset Allocation'!C14))</f>
        <v>0.24</v>
      </c>
      <c r="D14">
        <f>IF(A14="","",SUM('Asset Allocation'!G14))</f>
        <v>0.17</v>
      </c>
      <c r="E14">
        <f>IF(A14="","",SUM('Asset Allocation'!F14))</f>
        <v>0.04</v>
      </c>
      <c r="F14">
        <f>IF(A14="","",SUM('Asset Allocation'!E14,'Asset Allocation'!H14))</f>
        <v>0.1</v>
      </c>
      <c r="G14">
        <f>IF(A14="","",SUM('Asset Allocation'!D14))</f>
        <v>0.05</v>
      </c>
      <c r="H14">
        <f t="shared" si="0"/>
        <v>0.14999999999999991</v>
      </c>
    </row>
    <row r="15" spans="1:8" x14ac:dyDescent="0.25">
      <c r="A15" t="str">
        <f>IF(Input!A16="","",Input!A16)</f>
        <v>Active MPS 6</v>
      </c>
      <c r="B15">
        <f>IF(A15="","",SUM('Asset Allocation'!B15))</f>
        <v>0.23</v>
      </c>
      <c r="C15">
        <f>IF(A15="","",SUM('Asset Allocation'!C15))</f>
        <v>0.13</v>
      </c>
      <c r="D15">
        <f>IF(A15="","",SUM('Asset Allocation'!G15))</f>
        <v>0.27</v>
      </c>
      <c r="E15">
        <f>IF(A15="","",SUM('Asset Allocation'!F15))</f>
        <v>0.03</v>
      </c>
      <c r="F15">
        <f>IF(A15="","",SUM('Asset Allocation'!E15,'Asset Allocation'!H15))</f>
        <v>0.17</v>
      </c>
      <c r="G15">
        <f>IF(A15="","",SUM('Asset Allocation'!D15))</f>
        <v>0.05</v>
      </c>
      <c r="H15">
        <f t="shared" si="0"/>
        <v>0.11999999999999988</v>
      </c>
    </row>
    <row r="16" spans="1:8" x14ac:dyDescent="0.25">
      <c r="A16" t="str">
        <f>IF(Input!A17="","",Input!A17)</f>
        <v>Active Income MPS 1</v>
      </c>
      <c r="B16">
        <f>IF(A16="","",SUM('Asset Allocation'!B16))</f>
        <v>0.16</v>
      </c>
      <c r="C16">
        <f>IF(A16="","",SUM('Asset Allocation'!C16))</f>
        <v>0.14000000000000001</v>
      </c>
      <c r="D16">
        <f>IF(A16="","",SUM('Asset Allocation'!G16))</f>
        <v>0.12</v>
      </c>
      <c r="E16">
        <f>IF(A16="","",SUM('Asset Allocation'!F16))</f>
        <v>0.06</v>
      </c>
      <c r="F16">
        <f>IF(A16="","",SUM('Asset Allocation'!E16,'Asset Allocation'!H16))</f>
        <v>0.1</v>
      </c>
      <c r="G16">
        <f>IF(A16="","",SUM('Asset Allocation'!D16))</f>
        <v>0</v>
      </c>
      <c r="H16">
        <f t="shared" si="0"/>
        <v>0.41999999999999993</v>
      </c>
    </row>
    <row r="17" spans="1:8" x14ac:dyDescent="0.25">
      <c r="A17" t="str">
        <f>IF(Input!A18="","",Input!A18)</f>
        <v>Active Income MPS 2</v>
      </c>
      <c r="B17">
        <f>IF(A17="","",SUM('Asset Allocation'!B17))</f>
        <v>0.25</v>
      </c>
      <c r="C17">
        <f>IF(A17="","",SUM('Asset Allocation'!C17))</f>
        <v>0.24</v>
      </c>
      <c r="D17">
        <f>IF(A17="","",SUM('Asset Allocation'!G17))</f>
        <v>0.17</v>
      </c>
      <c r="E17">
        <f>IF(A17="","",SUM('Asset Allocation'!F17))</f>
        <v>0.04</v>
      </c>
      <c r="F17">
        <f>IF(A17="","",SUM('Asset Allocation'!E17,'Asset Allocation'!H17))</f>
        <v>0.1</v>
      </c>
      <c r="G17">
        <f>IF(A17="","",SUM('Asset Allocation'!D17))</f>
        <v>0.05</v>
      </c>
      <c r="H17">
        <f t="shared" si="0"/>
        <v>0.14999999999999991</v>
      </c>
    </row>
    <row r="18" spans="1:8" x14ac:dyDescent="0.25">
      <c r="A18" t="str">
        <f>IF(Input!A19="","",Input!A19)</f>
        <v>Pactive MPS 1</v>
      </c>
      <c r="B18">
        <f>IF(A18="","",SUM('Asset Allocation'!B18))</f>
        <v>5.9400000000000001E-2</v>
      </c>
      <c r="C18">
        <f>IF(A18="","",SUM('Asset Allocation'!C18))</f>
        <v>6.93E-2</v>
      </c>
      <c r="D18">
        <f>IF(A18="","",SUM('Asset Allocation'!G18))</f>
        <v>4.9500000000000002E-2</v>
      </c>
      <c r="E18">
        <f>IF(A18="","",SUM('Asset Allocation'!F18))</f>
        <v>3.9599999999999996E-2</v>
      </c>
      <c r="F18">
        <f>IF(A18="","",SUM('Asset Allocation'!E18,'Asset Allocation'!H18))</f>
        <v>9.9000000000000005E-2</v>
      </c>
      <c r="G18">
        <f>IF(A18="","",SUM('Asset Allocation'!D18))</f>
        <v>0</v>
      </c>
      <c r="H18">
        <f t="shared" si="0"/>
        <v>0.68320000000000003</v>
      </c>
    </row>
    <row r="19" spans="1:8" x14ac:dyDescent="0.25">
      <c r="A19" t="str">
        <f>IF(Input!A20="","",Input!A20)</f>
        <v>Pactive MPS 2</v>
      </c>
      <c r="B19">
        <f>IF(A19="","",SUM('Asset Allocation'!B19))</f>
        <v>0.1188</v>
      </c>
      <c r="C19">
        <f>IF(A19="","",SUM('Asset Allocation'!C19))</f>
        <v>0.12869999999999998</v>
      </c>
      <c r="D19">
        <f>IF(A19="","",SUM('Asset Allocation'!G19))</f>
        <v>8.9099999999999999E-2</v>
      </c>
      <c r="E19">
        <f>IF(A19="","",SUM('Asset Allocation'!F19))</f>
        <v>5.9400000000000001E-2</v>
      </c>
      <c r="F19">
        <f>IF(A19="","",SUM('Asset Allocation'!E19,'Asset Allocation'!H19))</f>
        <v>5.9400000000000001E-2</v>
      </c>
      <c r="G19">
        <f>IF(A19="","",SUM('Asset Allocation'!D19))</f>
        <v>0</v>
      </c>
      <c r="H19">
        <f t="shared" si="0"/>
        <v>0.54459999999999997</v>
      </c>
    </row>
    <row r="20" spans="1:8" x14ac:dyDescent="0.25">
      <c r="A20" t="str">
        <f>IF(Input!A21="","",Input!A21)</f>
        <v>Pactive MPS 3</v>
      </c>
      <c r="B20">
        <f>IF(A20="","",SUM('Asset Allocation'!B20))</f>
        <v>0.15839999999999999</v>
      </c>
      <c r="C20">
        <f>IF(A20="","",SUM('Asset Allocation'!C20))</f>
        <v>0.1386</v>
      </c>
      <c r="D20">
        <f>IF(A20="","",SUM('Asset Allocation'!G20))</f>
        <v>0.14330000000000001</v>
      </c>
      <c r="E20">
        <f>IF(A20="","",SUM('Asset Allocation'!F20))</f>
        <v>5.9400000000000001E-2</v>
      </c>
      <c r="F20">
        <f>IF(A20="","",SUM('Asset Allocation'!E20,'Asset Allocation'!H20))</f>
        <v>7.4500000000000011E-2</v>
      </c>
      <c r="G20">
        <f>IF(A20="","",SUM('Asset Allocation'!D20))</f>
        <v>0</v>
      </c>
      <c r="H20">
        <f t="shared" si="0"/>
        <v>0.42579999999999996</v>
      </c>
    </row>
    <row r="21" spans="1:8" x14ac:dyDescent="0.25">
      <c r="A21" t="str">
        <f>IF(Input!A22="","",Input!A22)</f>
        <v>Pactive MPS 4</v>
      </c>
      <c r="B21">
        <f>IF(A21="","",SUM('Asset Allocation'!B21))</f>
        <v>0.19800000000000001</v>
      </c>
      <c r="C21">
        <f>IF(A21="","",SUM('Asset Allocation'!C21))</f>
        <v>0.19800000000000001</v>
      </c>
      <c r="D21">
        <f>IF(A21="","",SUM('Asset Allocation'!G21))</f>
        <v>0.13800000000000001</v>
      </c>
      <c r="E21">
        <f>IF(A21="","",SUM('Asset Allocation'!F21))</f>
        <v>4.9500000000000002E-2</v>
      </c>
      <c r="F21">
        <f>IF(A21="","",SUM('Asset Allocation'!E21,'Asset Allocation'!H21))</f>
        <v>7.980000000000001E-2</v>
      </c>
      <c r="G21">
        <f>IF(A21="","",SUM('Asset Allocation'!D21))</f>
        <v>2.9700000000000001E-2</v>
      </c>
      <c r="H21">
        <f t="shared" si="0"/>
        <v>0.30700000000000005</v>
      </c>
    </row>
    <row r="22" spans="1:8" x14ac:dyDescent="0.25">
      <c r="A22" t="str">
        <f>IF(Input!A23="","",Input!A23)</f>
        <v>Pactive MPS 5</v>
      </c>
      <c r="B22">
        <f>IF(A22="","",SUM('Asset Allocation'!B22))</f>
        <v>0.2475</v>
      </c>
      <c r="C22">
        <f>IF(A22="","",SUM('Asset Allocation'!C22))</f>
        <v>0.23760000000000001</v>
      </c>
      <c r="D22">
        <f>IF(A22="","",SUM('Asset Allocation'!G22))</f>
        <v>0.15259999999999999</v>
      </c>
      <c r="E22">
        <f>IF(A22="","",SUM('Asset Allocation'!F22))</f>
        <v>3.9599999999999996E-2</v>
      </c>
      <c r="F22">
        <f>IF(A22="","",SUM('Asset Allocation'!E22,'Asset Allocation'!H22))</f>
        <v>0.11470000000000001</v>
      </c>
      <c r="G22">
        <f>IF(A22="","",SUM('Asset Allocation'!D22))</f>
        <v>4.9500000000000002E-2</v>
      </c>
      <c r="H22">
        <f t="shared" si="0"/>
        <v>0.15850000000000009</v>
      </c>
    </row>
    <row r="23" spans="1:8" x14ac:dyDescent="0.25">
      <c r="A23" t="str">
        <f>IF(Input!A24="","",Input!A24)</f>
        <v>Pactive MPS 6</v>
      </c>
      <c r="B23">
        <f>IF(A23="","",SUM('Asset Allocation'!B23))</f>
        <v>0.22769999999999999</v>
      </c>
      <c r="C23">
        <f>IF(A23="","",SUM('Asset Allocation'!C23))</f>
        <v>0.12869999999999998</v>
      </c>
      <c r="D23">
        <f>IF(A23="","",SUM('Asset Allocation'!G23))</f>
        <v>0.22640000000000002</v>
      </c>
      <c r="E23">
        <f>IF(A23="","",SUM('Asset Allocation'!F23))</f>
        <v>2.9700000000000001E-2</v>
      </c>
      <c r="F23">
        <f>IF(A23="","",SUM('Asset Allocation'!E23,'Asset Allocation'!H23))</f>
        <v>0.20920000000000002</v>
      </c>
      <c r="G23">
        <f>IF(A23="","",SUM('Asset Allocation'!D23))</f>
        <v>4.9500000000000002E-2</v>
      </c>
      <c r="H23">
        <f t="shared" si="0"/>
        <v>0.12880000000000003</v>
      </c>
    </row>
    <row r="24" spans="1:8" x14ac:dyDescent="0.25">
      <c r="A24" t="str">
        <f>IF(Input!A25="","",Input!A25)</f>
        <v>Responsible MPS 1</v>
      </c>
      <c r="B24">
        <f>IF(A24="","",SUM('Asset Allocation'!B24))</f>
        <v>6.25E-2</v>
      </c>
      <c r="C24">
        <f>IF(A24="","",SUM('Asset Allocation'!C24))</f>
        <v>0.06</v>
      </c>
      <c r="D24">
        <f>IF(A24="","",SUM('Asset Allocation'!G24))</f>
        <v>0.06</v>
      </c>
      <c r="E24">
        <f>IF(A24="","",SUM('Asset Allocation'!F24))</f>
        <v>0.01</v>
      </c>
      <c r="F24">
        <f>IF(A24="","",SUM('Asset Allocation'!E24,'Asset Allocation'!H24))</f>
        <v>0.10750000000000001</v>
      </c>
      <c r="G24">
        <f>IF(A24="","",SUM('Asset Allocation'!D24))</f>
        <v>1.2500000000000001E-2</v>
      </c>
      <c r="H24">
        <f t="shared" si="0"/>
        <v>0.6875</v>
      </c>
    </row>
    <row r="25" spans="1:8" x14ac:dyDescent="0.25">
      <c r="A25" t="str">
        <f>IF(Input!A26="","",Input!A26)</f>
        <v>Responsible MPS 2</v>
      </c>
      <c r="B25">
        <f>IF(A25="","",SUM('Asset Allocation'!B25))</f>
        <v>0.1125</v>
      </c>
      <c r="C25">
        <f>IF(A25="","",SUM('Asset Allocation'!C25))</f>
        <v>0.12</v>
      </c>
      <c r="D25">
        <f>IF(A25="","",SUM('Asset Allocation'!G25))</f>
        <v>0.1</v>
      </c>
      <c r="E25">
        <f>IF(A25="","",SUM('Asset Allocation'!F25))</f>
        <v>0.04</v>
      </c>
      <c r="F25">
        <f>IF(A25="","",SUM('Asset Allocation'!E25,'Asset Allocation'!H25))</f>
        <v>6.7500000000000004E-2</v>
      </c>
      <c r="G25">
        <f>IF(A25="","",SUM('Asset Allocation'!D25))</f>
        <v>1.2500000000000001E-2</v>
      </c>
      <c r="H25">
        <f t="shared" si="0"/>
        <v>0.54749999999999999</v>
      </c>
    </row>
    <row r="26" spans="1:8" x14ac:dyDescent="0.25">
      <c r="A26" t="str">
        <f>IF(Input!A27="","",Input!A27)</f>
        <v>Responsible MPS 3</v>
      </c>
      <c r="B26">
        <f>IF(A26="","",SUM('Asset Allocation'!B26))</f>
        <v>0.16250000000000001</v>
      </c>
      <c r="C26">
        <f>IF(A26="","",SUM('Asset Allocation'!C26))</f>
        <v>0.14000000000000001</v>
      </c>
      <c r="D26">
        <f>IF(A26="","",SUM('Asset Allocation'!G26))</f>
        <v>0.15</v>
      </c>
      <c r="E26">
        <f>IF(A26="","",SUM('Asset Allocation'!F26))</f>
        <v>0.06</v>
      </c>
      <c r="F26">
        <f>IF(A26="","",SUM('Asset Allocation'!E26,'Asset Allocation'!H26))</f>
        <v>5.7499999999999996E-2</v>
      </c>
      <c r="G26">
        <f>IF(A26="","",SUM('Asset Allocation'!D26))</f>
        <v>1.2500000000000001E-2</v>
      </c>
      <c r="H26">
        <f t="shared" si="0"/>
        <v>0.41750000000000009</v>
      </c>
    </row>
    <row r="27" spans="1:8" x14ac:dyDescent="0.25">
      <c r="A27" t="str">
        <f>IF(Input!A28="","",Input!A28)</f>
        <v>Responsible MPS 4</v>
      </c>
      <c r="B27">
        <f>IF(A27="","",SUM('Asset Allocation'!B27))</f>
        <v>0.20250000000000001</v>
      </c>
      <c r="C27">
        <f>IF(A27="","",SUM('Asset Allocation'!C27))</f>
        <v>0.2</v>
      </c>
      <c r="D27">
        <f>IF(A27="","",SUM('Asset Allocation'!G27))</f>
        <v>0.18</v>
      </c>
      <c r="E27">
        <f>IF(A27="","",SUM('Asset Allocation'!F27))</f>
        <v>0.05</v>
      </c>
      <c r="F27">
        <f>IF(A27="","",SUM('Asset Allocation'!E27,'Asset Allocation'!H27))</f>
        <v>2.75E-2</v>
      </c>
      <c r="G27">
        <f>IF(A27="","",SUM('Asset Allocation'!D27))</f>
        <v>4.2500000000000003E-2</v>
      </c>
      <c r="H27">
        <f t="shared" si="0"/>
        <v>0.29749999999999999</v>
      </c>
    </row>
    <row r="28" spans="1:8" x14ac:dyDescent="0.25">
      <c r="A28" t="str">
        <f>IF(Input!A29="","",Input!A29)</f>
        <v>Responsible MPS 5</v>
      </c>
      <c r="B28">
        <f>IF(A28="","",SUM('Asset Allocation'!B28))</f>
        <v>0.2525</v>
      </c>
      <c r="C28">
        <f>IF(A28="","",SUM('Asset Allocation'!C28))</f>
        <v>0.24</v>
      </c>
      <c r="D28">
        <f>IF(A28="","",SUM('Asset Allocation'!G28))</f>
        <v>0.23</v>
      </c>
      <c r="E28">
        <f>IF(A28="","",SUM('Asset Allocation'!F28))</f>
        <v>0.04</v>
      </c>
      <c r="F28">
        <f>IF(A28="","",SUM('Asset Allocation'!E28,'Asset Allocation'!H28))</f>
        <v>2.75E-2</v>
      </c>
      <c r="G28">
        <f>IF(A28="","",SUM('Asset Allocation'!D28))</f>
        <v>5.2499999999999998E-2</v>
      </c>
      <c r="H28">
        <f t="shared" si="0"/>
        <v>0.15749999999999997</v>
      </c>
    </row>
    <row r="29" spans="1:8" x14ac:dyDescent="0.25">
      <c r="A29" t="str">
        <f>IF(Input!A30="","",Input!A30)</f>
        <v>Responsible MPS 6</v>
      </c>
      <c r="B29">
        <f>IF(A29="","",SUM('Asset Allocation'!B29))</f>
        <v>0.23250000000000001</v>
      </c>
      <c r="C29">
        <f>IF(A29="","",SUM('Asset Allocation'!C29))</f>
        <v>0.13</v>
      </c>
      <c r="D29">
        <f>IF(A29="","",SUM('Asset Allocation'!G29))</f>
        <v>0.34</v>
      </c>
      <c r="E29">
        <f>IF(A29="","",SUM('Asset Allocation'!F29))</f>
        <v>0.04</v>
      </c>
      <c r="F29">
        <f>IF(A29="","",SUM('Asset Allocation'!E29,'Asset Allocation'!H29))</f>
        <v>8.7499999999999994E-2</v>
      </c>
      <c r="G29">
        <f>IF(A29="","",SUM('Asset Allocation'!D29))</f>
        <v>5.2499999999999998E-2</v>
      </c>
      <c r="H29">
        <f t="shared" si="0"/>
        <v>0.11749999999999983</v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Allocation'!G30))</f>
        <v/>
      </c>
      <c r="E30" t="str">
        <f>IF(A30="","",SUM('Asset Allocation'!F30))</f>
        <v/>
      </c>
      <c r="F30" t="str">
        <f>IF(A30="","",SUM('Asset Allocation'!E30,'Asset Allocation'!H30))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Allocation'!G31))</f>
        <v/>
      </c>
      <c r="E31" t="str">
        <f>IF(A31="","",SUM('Asset Allocation'!F31))</f>
        <v/>
      </c>
      <c r="F31" t="str">
        <f>IF(A31="","",SUM('Asset Allocation'!E31,'Asset Allocation'!H31))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Allocation'!G32))</f>
        <v/>
      </c>
      <c r="E32" t="str">
        <f>IF(A32="","",SUM('Asset Allocation'!F32))</f>
        <v/>
      </c>
      <c r="F32" t="str">
        <f>IF(A32="","",SUM('Asset Allocation'!E32,'Asset Allocation'!H32))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Allocation'!#REF!))</f>
        <v/>
      </c>
      <c r="C33" t="str">
        <f>IF(A33="","",SUM('Asset Allocation'!#REF!))</f>
        <v/>
      </c>
      <c r="D33" t="str">
        <f>IF(A33="","",SUM('Asset Allocation'!#REF!))</f>
        <v/>
      </c>
      <c r="E33" t="str">
        <f>IF(A33="","",SUM('Asset Allocation'!#REF!))</f>
        <v/>
      </c>
      <c r="F33" t="str">
        <f>IF(A33="","",SUM('Asset Allocation'!#REF!,'Asset Allocation'!#REF!))</f>
        <v/>
      </c>
      <c r="G33" t="str">
        <f>IF(A33="","",SUM('Asset Allocation'!#REF!))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Allocation'!#REF!))</f>
        <v/>
      </c>
      <c r="C34" t="str">
        <f>IF(A34="","",SUM('Asset Allocation'!#REF!))</f>
        <v/>
      </c>
      <c r="D34" t="str">
        <f>IF(A34="","",SUM('Asset Allocation'!#REF!))</f>
        <v/>
      </c>
      <c r="E34" t="str">
        <f>IF(A34="","",SUM('Asset Allocation'!#REF!))</f>
        <v/>
      </c>
      <c r="F34" t="str">
        <f>IF(A34="","",SUM('Asset Allocation'!#REF!,'Asset Allocation'!#REF!))</f>
        <v/>
      </c>
      <c r="G34" t="str">
        <f>IF(A34="","",SUM('Asset Allocation'!#REF!))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Allocation'!#REF!))</f>
        <v/>
      </c>
      <c r="C35" t="str">
        <f>IF(A35="","",SUM('Asset Allocation'!#REF!))</f>
        <v/>
      </c>
      <c r="D35" t="str">
        <f>IF(A35="","",SUM('Asset Allocation'!#REF!))</f>
        <v/>
      </c>
      <c r="E35" t="str">
        <f>IF(A35="","",SUM('Asset Allocation'!#REF!))</f>
        <v/>
      </c>
      <c r="F35" t="str">
        <f>IF(A35="","",SUM('Asset Allocation'!#REF!,'Asset Allocation'!#REF!))</f>
        <v/>
      </c>
      <c r="G35" t="str">
        <f>IF(A35="","",SUM('Asset Allocation'!#REF!))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Allocation'!#REF!))</f>
        <v/>
      </c>
      <c r="C36" t="str">
        <f>IF(A36="","",SUM('Asset Allocation'!#REF!))</f>
        <v/>
      </c>
      <c r="D36" t="str">
        <f>IF(A36="","",SUM('Asset Allocation'!#REF!))</f>
        <v/>
      </c>
      <c r="E36" t="str">
        <f>IF(A36="","",SUM('Asset Allocation'!#REF!))</f>
        <v/>
      </c>
      <c r="F36" t="str">
        <f>IF(A36="","",SUM('Asset Allocation'!#REF!,'Asset Allocation'!#REF!))</f>
        <v/>
      </c>
      <c r="G36" t="str">
        <f>IF(A36="","",SUM('Asset Allocation'!#REF!))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Allocation'!#REF!))</f>
        <v/>
      </c>
      <c r="C37" t="str">
        <f>IF(A37="","",SUM('Asset Allocation'!#REF!))</f>
        <v/>
      </c>
      <c r="D37" t="str">
        <f>IF(A37="","",SUM('Asset Allocation'!#REF!))</f>
        <v/>
      </c>
      <c r="E37" t="str">
        <f>IF(A37="","",SUM('Asset Allocation'!#REF!))</f>
        <v/>
      </c>
      <c r="F37" t="str">
        <f>IF(A37="","",SUM('Asset Allocation'!#REF!,'Asset Allocation'!#REF!))</f>
        <v/>
      </c>
      <c r="G37" t="str">
        <f>IF(A37="","",SUM('Asset Allocation'!#REF!))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Allocation'!#REF!))</f>
        <v/>
      </c>
      <c r="C38" t="str">
        <f>IF(A38="","",SUM('Asset Allocation'!#REF!))</f>
        <v/>
      </c>
      <c r="D38" t="str">
        <f>IF(A38="","",SUM('Asset Allocation'!#REF!))</f>
        <v/>
      </c>
      <c r="E38" t="str">
        <f>IF(A38="","",SUM('Asset Allocation'!#REF!))</f>
        <v/>
      </c>
      <c r="F38" t="str">
        <f>IF(A38="","",SUM('Asset Allocation'!#REF!,'Asset Allocation'!H38))</f>
        <v/>
      </c>
      <c r="G38" t="str">
        <f>IF(A38="","",SUM('Asset Allocation'!#REF!))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Allocation'!#REF!))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Allocation'!#REF!))</f>
        <v/>
      </c>
      <c r="F39" t="str">
        <f>IF(A39="","",SUM('Asset Allocation'!#REF!,'Asset Allocation'!H39))</f>
        <v/>
      </c>
      <c r="G39" t="str">
        <f>IF(A39="","",SUM('Asset Allocation'!#REF!))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Allocation'!#REF!))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Allocation'!#REF!,'Asset Allocation'!H40))</f>
        <v/>
      </c>
      <c r="G40" t="str">
        <f>IF(A40="","",SUM('Asset Allocation'!#REF!))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Allocation'!#REF!))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Allocation'!#REF!))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Allocation'!#REF!))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Allocation'!#REF!))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Passive MPS 1</v>
      </c>
      <c r="B2" s="6">
        <f>IFERROR(IF(A2="","",SUM('Asset Allocation'!I2)),0)</f>
        <v>0.17</v>
      </c>
      <c r="C2" s="6">
        <f>IFERROR(IF(A2="","",SUM('Asset Allocation'!L2)),0)</f>
        <v>0.16</v>
      </c>
      <c r="D2" s="6">
        <f>IFERROR(IF(A2="","",SUM('Asset Allocation'!R2,'Asset Allocation'!K2)),0)</f>
        <v>0.05</v>
      </c>
      <c r="E2" s="6">
        <f>IFERROR(IF(A2="","",SUM('Asset Allocation'!M2)),0)</f>
        <v>0.02</v>
      </c>
      <c r="F2" s="6">
        <f>IFERROR(IF(A2="","",SUM('Asset Allocation'!J2)),0)</f>
        <v>0.28000000000000003</v>
      </c>
      <c r="G2" s="6">
        <f>IFERROR(IF(A2="","",SUM('Asset Allocation'!P2,'Asset Allocation'!Q2)),0)</f>
        <v>0</v>
      </c>
      <c r="H2" s="6">
        <f>IFERROR(IF(A2="","",SUM('Asset Allocation'!N2)),0)</f>
        <v>1.0000000000000002</v>
      </c>
    </row>
    <row r="3" spans="1:8" x14ac:dyDescent="0.25">
      <c r="A3" t="str">
        <f>IF(Input!A4="","",Input!A4)</f>
        <v>Passive MPS 2</v>
      </c>
      <c r="B3" s="6">
        <f>IFERROR(IF(A3="","",SUM('Asset Allocation'!I3)),0)</f>
        <v>0.14000000000000001</v>
      </c>
      <c r="C3" s="6">
        <f>IFERROR(IF(A3="","",SUM('Asset Allocation'!L3)),0)</f>
        <v>0.08</v>
      </c>
      <c r="D3" s="6">
        <f>IFERROR(IF(A3="","",SUM('Asset Allocation'!R3,'Asset Allocation'!K3)),0)</f>
        <v>0.05</v>
      </c>
      <c r="E3" s="6">
        <f>IFERROR(IF(A3="","",SUM('Asset Allocation'!M3)),0)</f>
        <v>0.02</v>
      </c>
      <c r="F3" s="6">
        <f>IFERROR(IF(A3="","",SUM('Asset Allocation'!J3)),0)</f>
        <v>0.25</v>
      </c>
      <c r="G3" s="6">
        <f>IFERROR(IF(A3="","",SUM('Asset Allocation'!P3,'Asset Allocation'!Q3)),0)</f>
        <v>0</v>
      </c>
      <c r="H3" s="6">
        <f>IFERROR(IF(A3="","",SUM('Asset Allocation'!N3)),0)</f>
        <v>1</v>
      </c>
    </row>
    <row r="4" spans="1:8" x14ac:dyDescent="0.25">
      <c r="A4" t="str">
        <f>IF(Input!A5="","",Input!A5)</f>
        <v>Passive MPS 3</v>
      </c>
      <c r="B4" s="6">
        <f>IFERROR(IF(A4="","",SUM('Asset Allocation'!I4)),0)</f>
        <v>0.1</v>
      </c>
      <c r="C4" s="6">
        <f>IFERROR(IF(A4="","",SUM('Asset Allocation'!L4)),0)</f>
        <v>0.04</v>
      </c>
      <c r="D4" s="6">
        <f>IFERROR(IF(A4="","",SUM('Asset Allocation'!R4,'Asset Allocation'!K4)),0)</f>
        <v>0.05</v>
      </c>
      <c r="E4" s="6">
        <f>IFERROR(IF(A4="","",SUM('Asset Allocation'!M4)),0)</f>
        <v>0.02</v>
      </c>
      <c r="F4" s="6">
        <f>IFERROR(IF(A4="","",SUM('Asset Allocation'!J4)),0)</f>
        <v>0.21</v>
      </c>
      <c r="G4" s="6">
        <f>IFERROR(IF(A4="","",SUM('Asset Allocation'!P4,'Asset Allocation'!Q4)),0)</f>
        <v>0</v>
      </c>
      <c r="H4" s="6">
        <f>IFERROR(IF(A4="","",SUM('Asset Allocation'!N4)),0)</f>
        <v>1</v>
      </c>
    </row>
    <row r="5" spans="1:8" x14ac:dyDescent="0.25">
      <c r="A5" t="str">
        <f>IF(Input!A6="","",Input!A6)</f>
        <v>Passive MPS 4</v>
      </c>
      <c r="B5" s="6">
        <f>IFERROR(IF(A5="","",SUM('Asset Allocation'!I5)),0)</f>
        <v>0.08</v>
      </c>
      <c r="C5" s="6">
        <f>IFERROR(IF(A5="","",SUM('Asset Allocation'!L5)),0)</f>
        <v>0</v>
      </c>
      <c r="D5" s="6">
        <f>IFERROR(IF(A5="","",SUM('Asset Allocation'!R5,'Asset Allocation'!K5)),0)</f>
        <v>0.03</v>
      </c>
      <c r="E5" s="6">
        <f>IFERROR(IF(A5="","",SUM('Asset Allocation'!M5)),0)</f>
        <v>0.02</v>
      </c>
      <c r="F5" s="6">
        <f>IFERROR(IF(A5="","",SUM('Asset Allocation'!J5)),0)</f>
        <v>0.17</v>
      </c>
      <c r="G5" s="6">
        <f>IFERROR(IF(A5="","",SUM('Asset Allocation'!P5,'Asset Allocation'!Q5)),0)</f>
        <v>0</v>
      </c>
      <c r="H5" s="6">
        <f>IFERROR(IF(A5="","",SUM('Asset Allocation'!N5)),0)</f>
        <v>1</v>
      </c>
    </row>
    <row r="6" spans="1:8" x14ac:dyDescent="0.25">
      <c r="A6" t="str">
        <f>IF(Input!A7="","",Input!A7)</f>
        <v>Passive MPS 5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0.03</v>
      </c>
      <c r="E6" s="6">
        <f>IFERROR(IF(A6="","",SUM('Asset Allocation'!M6)),0)</f>
        <v>0.02</v>
      </c>
      <c r="F6" s="6">
        <f>IFERROR(IF(A6="","",SUM('Asset Allocation'!J6)),0)</f>
        <v>0.1</v>
      </c>
      <c r="G6" s="6">
        <f>IFERROR(IF(A6="","",SUM('Asset Allocation'!P6,'Asset Allocation'!Q6)),0)</f>
        <v>0</v>
      </c>
      <c r="H6" s="6">
        <f>IFERROR(IF(A6="","",SUM('Asset Allocation'!N6)),0)</f>
        <v>1</v>
      </c>
    </row>
    <row r="7" spans="1:8" x14ac:dyDescent="0.25">
      <c r="A7" t="str">
        <f>IF(Input!A8="","",Input!A8)</f>
        <v>Passive MPS 6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0.03</v>
      </c>
      <c r="E7" s="6">
        <f>IFERROR(IF(A7="","",SUM('Asset Allocation'!M7)),0)</f>
        <v>0.02</v>
      </c>
      <c r="F7" s="6">
        <f>IFERROR(IF(A7="","",SUM('Asset Allocation'!J7)),0)</f>
        <v>7.0000000000000007E-2</v>
      </c>
      <c r="G7" s="6">
        <f>IFERROR(IF(A7="","",SUM('Asset Allocation'!P7,'Asset Allocation'!Q7)),0)</f>
        <v>0</v>
      </c>
      <c r="H7" s="6">
        <f>IFERROR(IF(A7="","",SUM('Asset Allocation'!N7)),0)</f>
        <v>1</v>
      </c>
    </row>
    <row r="8" spans="1:8" x14ac:dyDescent="0.25">
      <c r="A8" t="str">
        <f>IF(Input!A9="","",Input!A9)</f>
        <v>Passive Income MPS 1</v>
      </c>
      <c r="B8" s="6">
        <f>IFERROR(IF(A8="","",SUM('Asset Allocation'!I8)),0)</f>
        <v>0.1</v>
      </c>
      <c r="C8" s="6">
        <f>IFERROR(IF(A8="","",SUM('Asset Allocation'!L8)),0)</f>
        <v>0.04</v>
      </c>
      <c r="D8" s="6">
        <f>IFERROR(IF(A8="","",SUM('Asset Allocation'!R8,'Asset Allocation'!K8)),0)</f>
        <v>0.05</v>
      </c>
      <c r="E8" s="6">
        <f>IFERROR(IF(A8="","",SUM('Asset Allocation'!M8)),0)</f>
        <v>0.02</v>
      </c>
      <c r="F8" s="6">
        <f>IFERROR(IF(A8="","",SUM('Asset Allocation'!J8)),0)</f>
        <v>0.21</v>
      </c>
      <c r="G8" s="6">
        <f>IFERROR(IF(A8="","",SUM('Asset Allocation'!P8,'Asset Allocation'!Q8)),0)</f>
        <v>0</v>
      </c>
      <c r="H8" s="6">
        <f>IFERROR(IF(A8="","",SUM('Asset Allocation'!N8)),0)</f>
        <v>1</v>
      </c>
    </row>
    <row r="9" spans="1:8" x14ac:dyDescent="0.25">
      <c r="A9" t="str">
        <f>IF(Input!A10="","",Input!A10)</f>
        <v>Passive Income MPS 2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0.03</v>
      </c>
      <c r="E9" s="6">
        <f>IFERROR(IF(A9="","",SUM('Asset Allocation'!M9)),0)</f>
        <v>0.02</v>
      </c>
      <c r="F9" s="6">
        <f>IFERROR(IF(A9="","",SUM('Asset Allocation'!J9)),0)</f>
        <v>0.1</v>
      </c>
      <c r="G9" s="6">
        <f>IFERROR(IF(A9="","",SUM('Asset Allocation'!P9,'Asset Allocation'!Q9)),0)</f>
        <v>0</v>
      </c>
      <c r="H9" s="6">
        <f>IFERROR(IF(A9="","",SUM('Asset Allocation'!N9)),0)</f>
        <v>1</v>
      </c>
    </row>
    <row r="10" spans="1:8" x14ac:dyDescent="0.25">
      <c r="A10" t="str">
        <f>IF(Input!A11="","",Input!A11)</f>
        <v>Active MPS 1</v>
      </c>
      <c r="B10" s="6">
        <f>IFERROR(IF(A10="","",SUM('Asset Allocation'!I10)),0)</f>
        <v>0.17</v>
      </c>
      <c r="C10" s="6">
        <f>IFERROR(IF(A10="","",SUM('Asset Allocation'!L10)),0)</f>
        <v>0.16</v>
      </c>
      <c r="D10" s="6">
        <f>IFERROR(IF(A10="","",SUM('Asset Allocation'!R10,'Asset Allocation'!K10)),0)</f>
        <v>0.05</v>
      </c>
      <c r="E10" s="6">
        <f>IFERROR(IF(A10="","",SUM('Asset Allocation'!M10)),0)</f>
        <v>0.02</v>
      </c>
      <c r="F10" s="6">
        <f>IFERROR(IF(A10="","",SUM('Asset Allocation'!J10)),0)</f>
        <v>0.28000000000000003</v>
      </c>
      <c r="G10" s="6">
        <f>IFERROR(IF(A10="","",SUM('Asset Allocation'!P10,'Asset Allocation'!Q10)),0)</f>
        <v>0</v>
      </c>
      <c r="H10" s="6">
        <f>IFERROR(IF(A10="","",SUM('Asset Allocation'!N10)),0)</f>
        <v>1.0000000000000002</v>
      </c>
    </row>
    <row r="11" spans="1:8" x14ac:dyDescent="0.25">
      <c r="A11" t="str">
        <f>IF(Input!A12="","",Input!A12)</f>
        <v>Active MPS 2</v>
      </c>
      <c r="B11" s="6">
        <f>IFERROR(IF(A11="","",SUM('Asset Allocation'!I11)),0)</f>
        <v>0.14000000000000001</v>
      </c>
      <c r="C11" s="6">
        <f>IFERROR(IF(A11="","",SUM('Asset Allocation'!L11)),0)</f>
        <v>0.08</v>
      </c>
      <c r="D11" s="6">
        <f>IFERROR(IF(A11="","",SUM('Asset Allocation'!R11,'Asset Allocation'!K11)),0)</f>
        <v>0.05</v>
      </c>
      <c r="E11" s="6">
        <f>IFERROR(IF(A11="","",SUM('Asset Allocation'!M11)),0)</f>
        <v>0.02</v>
      </c>
      <c r="F11" s="6">
        <f>IFERROR(IF(A11="","",SUM('Asset Allocation'!J11)),0)</f>
        <v>0.25</v>
      </c>
      <c r="G11" s="6">
        <f>IFERROR(IF(A11="","",SUM('Asset Allocation'!P11,'Asset Allocation'!Q11)),0)</f>
        <v>0</v>
      </c>
      <c r="H11" s="6">
        <f>IFERROR(IF(A11="","",SUM('Asset Allocation'!N11)),0)</f>
        <v>1</v>
      </c>
    </row>
    <row r="12" spans="1:8" x14ac:dyDescent="0.25">
      <c r="A12" t="str">
        <f>IF(Input!A13="","",Input!A13)</f>
        <v>Active MPS 3</v>
      </c>
      <c r="B12" s="6">
        <f>IFERROR(IF(A12="","",SUM('Asset Allocation'!I12)),0)</f>
        <v>0.1</v>
      </c>
      <c r="C12" s="6">
        <f>IFERROR(IF(A12="","",SUM('Asset Allocation'!L12)),0)</f>
        <v>0.04</v>
      </c>
      <c r="D12" s="6">
        <f>IFERROR(IF(A12="","",SUM('Asset Allocation'!R12,'Asset Allocation'!K12)),0)</f>
        <v>0.05</v>
      </c>
      <c r="E12" s="6">
        <f>IFERROR(IF(A12="","",SUM('Asset Allocation'!M12)),0)</f>
        <v>0.02</v>
      </c>
      <c r="F12" s="6">
        <f>IFERROR(IF(A12="","",SUM('Asset Allocation'!J12)),0)</f>
        <v>0.21</v>
      </c>
      <c r="G12" s="6">
        <f>IFERROR(IF(A12="","",SUM('Asset Allocation'!P12,'Asset Allocation'!Q12)),0)</f>
        <v>0</v>
      </c>
      <c r="H12" s="6">
        <f>IFERROR(IF(A12="","",SUM('Asset Allocation'!N12)),0)</f>
        <v>1</v>
      </c>
    </row>
    <row r="13" spans="1:8" x14ac:dyDescent="0.25">
      <c r="A13" t="str">
        <f>IF(Input!A14="","",Input!A14)</f>
        <v>Active MPS 4</v>
      </c>
      <c r="B13" s="6">
        <f>IFERROR(IF(A13="","",SUM('Asset Allocation'!I13)),0)</f>
        <v>0.08</v>
      </c>
      <c r="C13" s="6">
        <f>IFERROR(IF(A13="","",SUM('Asset Allocation'!L13)),0)</f>
        <v>0</v>
      </c>
      <c r="D13" s="6">
        <f>IFERROR(IF(A13="","",SUM('Asset Allocation'!R13,'Asset Allocation'!K13)),0)</f>
        <v>0.03</v>
      </c>
      <c r="E13" s="6">
        <f>IFERROR(IF(A13="","",SUM('Asset Allocation'!M13)),0)</f>
        <v>0.02</v>
      </c>
      <c r="F13" s="6">
        <f>IFERROR(IF(A13="","",SUM('Asset Allocation'!J13)),0)</f>
        <v>0.17</v>
      </c>
      <c r="G13" s="6">
        <f>IFERROR(IF(A13="","",SUM('Asset Allocation'!P13,'Asset Allocation'!Q13)),0)</f>
        <v>0</v>
      </c>
      <c r="H13" s="6">
        <f>IFERROR(IF(A13="","",SUM('Asset Allocation'!N13)),0)</f>
        <v>1</v>
      </c>
    </row>
    <row r="14" spans="1:8" x14ac:dyDescent="0.25">
      <c r="A14" t="str">
        <f>IF(Input!A15="","",Input!A15)</f>
        <v>Active MPS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0.03</v>
      </c>
      <c r="E14" s="6">
        <f>IFERROR(IF(A14="","",SUM('Asset Allocation'!M14)),0)</f>
        <v>0.02</v>
      </c>
      <c r="F14" s="6">
        <f>IFERROR(IF(A14="","",SUM('Asset Allocation'!J14)),0)</f>
        <v>0.1</v>
      </c>
      <c r="G14" s="6">
        <f>IFERROR(IF(A14="","",SUM('Asset Allocation'!P14,'Asset Allocation'!Q14)),0)</f>
        <v>0</v>
      </c>
      <c r="H14" s="6">
        <f>IFERROR(IF(A14="","",SUM('Asset Allocation'!N14)),0)</f>
        <v>1</v>
      </c>
    </row>
    <row r="15" spans="1:8" x14ac:dyDescent="0.25">
      <c r="A15" t="str">
        <f>IF(Input!A16="","",Input!A16)</f>
        <v>Active MPS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0.03</v>
      </c>
      <c r="E15" s="6">
        <f>IFERROR(IF(A15="","",SUM('Asset Allocation'!M15)),0)</f>
        <v>0.02</v>
      </c>
      <c r="F15" s="6">
        <f>IFERROR(IF(A15="","",SUM('Asset Allocation'!J15)),0)</f>
        <v>7.0000000000000007E-2</v>
      </c>
      <c r="G15" s="6">
        <f>IFERROR(IF(A15="","",SUM('Asset Allocation'!P15,'Asset Allocation'!Q15)),0)</f>
        <v>0</v>
      </c>
      <c r="H15" s="6">
        <f>IFERROR(IF(A15="","",SUM('Asset Allocation'!N15)),0)</f>
        <v>1</v>
      </c>
    </row>
    <row r="16" spans="1:8" x14ac:dyDescent="0.25">
      <c r="A16" t="str">
        <f>IF(Input!A17="","",Input!A17)</f>
        <v>Active Income MPS 1</v>
      </c>
      <c r="B16" s="6">
        <f>IFERROR(IF(A16="","",SUM('Asset Allocation'!I16)),0)</f>
        <v>0.1</v>
      </c>
      <c r="C16" s="6">
        <f>IFERROR(IF(A16="","",SUM('Asset Allocation'!L16)),0)</f>
        <v>0.04</v>
      </c>
      <c r="D16" s="6">
        <f>IFERROR(IF(A16="","",SUM('Asset Allocation'!R16,'Asset Allocation'!K16)),0)</f>
        <v>0.05</v>
      </c>
      <c r="E16" s="6">
        <f>IFERROR(IF(A16="","",SUM('Asset Allocation'!M16)),0)</f>
        <v>0.02</v>
      </c>
      <c r="F16" s="6">
        <f>IFERROR(IF(A16="","",SUM('Asset Allocation'!J16)),0)</f>
        <v>0.21</v>
      </c>
      <c r="G16" s="6">
        <f>IFERROR(IF(A16="","",SUM('Asset Allocation'!P16,'Asset Allocation'!Q16)),0)</f>
        <v>0</v>
      </c>
      <c r="H16" s="6">
        <f>IFERROR(IF(A16="","",SUM('Asset Allocation'!N16)),0)</f>
        <v>1</v>
      </c>
    </row>
    <row r="17" spans="1:8" x14ac:dyDescent="0.25">
      <c r="A17" t="str">
        <f>IF(Input!A18="","",Input!A18)</f>
        <v>Active Income MPS 2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0.03</v>
      </c>
      <c r="E17" s="6">
        <f>IFERROR(IF(A17="","",SUM('Asset Allocation'!M17)),0)</f>
        <v>0.02</v>
      </c>
      <c r="F17" s="6">
        <f>IFERROR(IF(A17="","",SUM('Asset Allocation'!J17)),0)</f>
        <v>0.1</v>
      </c>
      <c r="G17" s="6">
        <f>IFERROR(IF(A17="","",SUM('Asset Allocation'!P17,'Asset Allocation'!Q17)),0)</f>
        <v>0</v>
      </c>
      <c r="H17" s="6">
        <f>IFERROR(IF(A17="","",SUM('Asset Allocation'!N17)),0)</f>
        <v>1</v>
      </c>
    </row>
    <row r="18" spans="1:8" x14ac:dyDescent="0.25">
      <c r="A18" t="str">
        <f>IF(Input!A19="","",Input!A19)</f>
        <v>Pactive MPS 1</v>
      </c>
      <c r="B18" s="6">
        <f>IFERROR(IF(A18="","",SUM('Asset Allocation'!I18)),0)</f>
        <v>0.16829999999999998</v>
      </c>
      <c r="C18" s="6">
        <f>IFERROR(IF(A18="","",SUM('Asset Allocation'!L18)),0)</f>
        <v>0.08</v>
      </c>
      <c r="D18" s="6">
        <f>IFERROR(IF(A18="","",SUM('Asset Allocation'!R18,'Asset Allocation'!K18)),0)</f>
        <v>4.9500000000000002E-2</v>
      </c>
      <c r="E18" s="6">
        <f>IFERROR(IF(A18="","",SUM('Asset Allocation'!M18)),0)</f>
        <v>0.1082</v>
      </c>
      <c r="F18" s="6">
        <f>IFERROR(IF(A18="","",SUM('Asset Allocation'!J18)),0)</f>
        <v>0.2772</v>
      </c>
      <c r="G18" s="6">
        <f>IFERROR(IF(A18="","",SUM('Asset Allocation'!P18,'Asset Allocation'!Q18)),0)</f>
        <v>0</v>
      </c>
      <c r="H18" s="6">
        <f>IFERROR(IF(A18="","",SUM('Asset Allocation'!N18)),0)</f>
        <v>0.99999999999999989</v>
      </c>
    </row>
    <row r="19" spans="1:8" x14ac:dyDescent="0.25">
      <c r="A19" t="str">
        <f>IF(Input!A20="","",Input!A20)</f>
        <v>Pactive MPS 2</v>
      </c>
      <c r="B19" s="6">
        <f>IFERROR(IF(A19="","",SUM('Asset Allocation'!I19)),0)</f>
        <v>0.1386</v>
      </c>
      <c r="C19" s="6">
        <f>IFERROR(IF(A19="","",SUM('Asset Allocation'!L19)),0)</f>
        <v>0.04</v>
      </c>
      <c r="D19" s="6">
        <f>IFERROR(IF(A19="","",SUM('Asset Allocation'!R19,'Asset Allocation'!K19)),0)</f>
        <v>4.9500000000000002E-2</v>
      </c>
      <c r="E19" s="6">
        <f>IFERROR(IF(A19="","",SUM('Asset Allocation'!M19)),0)</f>
        <v>6.9000000000000006E-2</v>
      </c>
      <c r="F19" s="6">
        <f>IFERROR(IF(A19="","",SUM('Asset Allocation'!J19)),0)</f>
        <v>0.2475</v>
      </c>
      <c r="G19" s="6">
        <f>IFERROR(IF(A19="","",SUM('Asset Allocation'!P19,'Asset Allocation'!Q19)),0)</f>
        <v>0</v>
      </c>
      <c r="H19" s="6">
        <f>IFERROR(IF(A19="","",SUM('Asset Allocation'!N19)),0)</f>
        <v>1.0000000000000002</v>
      </c>
    </row>
    <row r="20" spans="1:8" x14ac:dyDescent="0.25">
      <c r="A20" t="str">
        <f>IF(Input!A21="","",Input!A21)</f>
        <v>Pactive MPS 3</v>
      </c>
      <c r="B20" s="6">
        <f>IFERROR(IF(A20="","",SUM('Asset Allocation'!I20)),0)</f>
        <v>9.9000000000000005E-2</v>
      </c>
      <c r="C20" s="6">
        <f>IFERROR(IF(A20="","",SUM('Asset Allocation'!L20)),0)</f>
        <v>0.02</v>
      </c>
      <c r="D20" s="6">
        <f>IFERROR(IF(A20="","",SUM('Asset Allocation'!R20,'Asset Allocation'!K20)),0)</f>
        <v>4.9500000000000002E-2</v>
      </c>
      <c r="E20" s="6">
        <f>IFERROR(IF(A20="","",SUM('Asset Allocation'!M20)),0)</f>
        <v>4.9400000000000006E-2</v>
      </c>
      <c r="F20" s="6">
        <f>IFERROR(IF(A20="","",SUM('Asset Allocation'!J20)),0)</f>
        <v>0.2079</v>
      </c>
      <c r="G20" s="6">
        <f>IFERROR(IF(A20="","",SUM('Asset Allocation'!P20,'Asset Allocation'!Q20)),0)</f>
        <v>0</v>
      </c>
      <c r="H20" s="6">
        <f>IFERROR(IF(A20="","",SUM('Asset Allocation'!N20)),0)</f>
        <v>0.99999999999999989</v>
      </c>
    </row>
    <row r="21" spans="1:8" x14ac:dyDescent="0.25">
      <c r="A21" t="str">
        <f>IF(Input!A22="","",Input!A22)</f>
        <v>Pactive MPS 4</v>
      </c>
      <c r="B21" s="6">
        <f>IFERROR(IF(A21="","",SUM('Asset Allocation'!I21)),0)</f>
        <v>7.9199999999999993E-2</v>
      </c>
      <c r="C21" s="6">
        <f>IFERROR(IF(A21="","",SUM('Asset Allocation'!L21)),0)</f>
        <v>0</v>
      </c>
      <c r="D21" s="6">
        <f>IFERROR(IF(A21="","",SUM('Asset Allocation'!R21,'Asset Allocation'!K21)),0)</f>
        <v>2.9700000000000001E-2</v>
      </c>
      <c r="E21" s="6">
        <f>IFERROR(IF(A21="","",SUM('Asset Allocation'!M21)),0)</f>
        <v>2.98E-2</v>
      </c>
      <c r="F21" s="6">
        <f>IFERROR(IF(A21="","",SUM('Asset Allocation'!J21)),0)</f>
        <v>0.16829999999999998</v>
      </c>
      <c r="G21" s="6">
        <f>IFERROR(IF(A21="","",SUM('Asset Allocation'!P21,'Asset Allocation'!Q21)),0)</f>
        <v>0</v>
      </c>
      <c r="H21" s="6">
        <f>IFERROR(IF(A21="","",SUM('Asset Allocation'!N21)),0)</f>
        <v>1</v>
      </c>
    </row>
    <row r="22" spans="1:8" x14ac:dyDescent="0.25">
      <c r="A22" t="str">
        <f>IF(Input!A23="","",Input!A23)</f>
        <v>Pactive MPS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2.9700000000000001E-2</v>
      </c>
      <c r="E22" s="6">
        <f>IFERROR(IF(A22="","",SUM('Asset Allocation'!M22)),0)</f>
        <v>2.98E-2</v>
      </c>
      <c r="F22" s="6">
        <f>IFERROR(IF(A22="","",SUM('Asset Allocation'!J22)),0)</f>
        <v>9.9000000000000005E-2</v>
      </c>
      <c r="G22" s="6">
        <f>IFERROR(IF(A22="","",SUM('Asset Allocation'!P22,'Asset Allocation'!Q22)),0)</f>
        <v>0</v>
      </c>
      <c r="H22" s="6">
        <f>IFERROR(IF(A22="","",SUM('Asset Allocation'!N22)),0)</f>
        <v>0.99999999999999989</v>
      </c>
    </row>
    <row r="23" spans="1:8" x14ac:dyDescent="0.25">
      <c r="A23" t="str">
        <f>IF(Input!A24="","",Input!A24)</f>
        <v>Pactive MPS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2.9700000000000001E-2</v>
      </c>
      <c r="E23" s="6">
        <f>IFERROR(IF(A23="","",SUM('Asset Allocation'!M23)),0)</f>
        <v>2.98E-2</v>
      </c>
      <c r="F23" s="6">
        <f>IFERROR(IF(A23="","",SUM('Asset Allocation'!J23)),0)</f>
        <v>6.93E-2</v>
      </c>
      <c r="G23" s="6">
        <f>IFERROR(IF(A23="","",SUM('Asset Allocation'!P23,'Asset Allocation'!Q23)),0)</f>
        <v>0</v>
      </c>
      <c r="H23" s="6">
        <f>IFERROR(IF(A23="","",SUM('Asset Allocation'!N23)),0)</f>
        <v>1</v>
      </c>
    </row>
    <row r="24" spans="1:8" x14ac:dyDescent="0.25">
      <c r="A24" t="str">
        <f>IF(Input!A25="","",Input!A25)</f>
        <v>Responsible MPS 1</v>
      </c>
      <c r="B24" s="6">
        <f>IFERROR(IF(A24="","",SUM('Asset Allocation'!I24)),0)</f>
        <v>0.17</v>
      </c>
      <c r="C24" s="6">
        <f>IFERROR(IF(A24="","",SUM('Asset Allocation'!L24)),0)</f>
        <v>0.16</v>
      </c>
      <c r="D24" s="6">
        <f>IFERROR(IF(A24="","",SUM('Asset Allocation'!R24,'Asset Allocation'!K24)),0)</f>
        <v>4.7500000000000001E-2</v>
      </c>
      <c r="E24" s="6">
        <f>IFERROR(IF(A24="","",SUM('Asset Allocation'!M24)),0)</f>
        <v>2.5000000000000001E-2</v>
      </c>
      <c r="F24" s="6">
        <f>IFERROR(IF(A24="","",SUM('Asset Allocation'!J24)),0)</f>
        <v>0.28499999999999998</v>
      </c>
      <c r="G24" s="6">
        <f>IFERROR(IF(A24="","",SUM('Asset Allocation'!P24,'Asset Allocation'!Q24)),0)</f>
        <v>0</v>
      </c>
      <c r="H24" s="6">
        <f>IFERROR(IF(A24="","",SUM('Asset Allocation'!N24)),0)</f>
        <v>1</v>
      </c>
    </row>
    <row r="25" spans="1:8" x14ac:dyDescent="0.25">
      <c r="A25" t="str">
        <f>IF(Input!A26="","",Input!A26)</f>
        <v>Responsible MPS 2</v>
      </c>
      <c r="B25" s="6">
        <f>IFERROR(IF(A25="","",SUM('Asset Allocation'!I25)),0)</f>
        <v>0.14000000000000001</v>
      </c>
      <c r="C25" s="6">
        <f>IFERROR(IF(A25="","",SUM('Asset Allocation'!L25)),0)</f>
        <v>0.08</v>
      </c>
      <c r="D25" s="6">
        <f>IFERROR(IF(A25="","",SUM('Asset Allocation'!R25,'Asset Allocation'!K25)),0)</f>
        <v>4.7500000000000001E-2</v>
      </c>
      <c r="E25" s="6">
        <f>IFERROR(IF(A25="","",SUM('Asset Allocation'!M25)),0)</f>
        <v>2.5000000000000001E-2</v>
      </c>
      <c r="F25" s="6">
        <f>IFERROR(IF(A25="","",SUM('Asset Allocation'!J25)),0)</f>
        <v>0.255</v>
      </c>
      <c r="G25" s="6">
        <f>IFERROR(IF(A25="","",SUM('Asset Allocation'!P25,'Asset Allocation'!Q25)),0)</f>
        <v>0</v>
      </c>
      <c r="H25" s="6">
        <f>IFERROR(IF(A25="","",SUM('Asset Allocation'!N25)),0)</f>
        <v>1</v>
      </c>
    </row>
    <row r="26" spans="1:8" x14ac:dyDescent="0.25">
      <c r="A26" t="str">
        <f>IF(Input!A27="","",Input!A27)</f>
        <v>Responsible MPS 3</v>
      </c>
      <c r="B26" s="6">
        <f>IFERROR(IF(A26="","",SUM('Asset Allocation'!I26)),0)</f>
        <v>0.1</v>
      </c>
      <c r="C26" s="6">
        <f>IFERROR(IF(A26="","",SUM('Asset Allocation'!L26)),0)</f>
        <v>0.04</v>
      </c>
      <c r="D26" s="6">
        <f>IFERROR(IF(A26="","",SUM('Asset Allocation'!R26,'Asset Allocation'!K26)),0)</f>
        <v>4.7500000000000001E-2</v>
      </c>
      <c r="E26" s="6">
        <f>IFERROR(IF(A26="","",SUM('Asset Allocation'!M26)),0)</f>
        <v>2.5000000000000001E-2</v>
      </c>
      <c r="F26" s="6">
        <f>IFERROR(IF(A26="","",SUM('Asset Allocation'!J26)),0)</f>
        <v>0.20499999999999999</v>
      </c>
      <c r="G26" s="6">
        <f>IFERROR(IF(A26="","",SUM('Asset Allocation'!P26,'Asset Allocation'!Q26)),0)</f>
        <v>0</v>
      </c>
      <c r="H26" s="6">
        <f>IFERROR(IF(A26="","",SUM('Asset Allocation'!N26)),0)</f>
        <v>1</v>
      </c>
    </row>
    <row r="27" spans="1:8" x14ac:dyDescent="0.25">
      <c r="A27" t="str">
        <f>IF(Input!A28="","",Input!A28)</f>
        <v>Responsible MPS 4</v>
      </c>
      <c r="B27" s="6">
        <f>IFERROR(IF(A27="","",SUM('Asset Allocation'!I27)),0)</f>
        <v>0.08</v>
      </c>
      <c r="C27" s="6">
        <f>IFERROR(IF(A27="","",SUM('Asset Allocation'!L27)),0)</f>
        <v>0</v>
      </c>
      <c r="D27" s="6">
        <f>IFERROR(IF(A27="","",SUM('Asset Allocation'!R27,'Asset Allocation'!K27)),0)</f>
        <v>2.75E-2</v>
      </c>
      <c r="E27" s="6">
        <f>IFERROR(IF(A27="","",SUM('Asset Allocation'!M27)),0)</f>
        <v>2.5000000000000001E-2</v>
      </c>
      <c r="F27" s="6">
        <f>IFERROR(IF(A27="","",SUM('Asset Allocation'!J27)),0)</f>
        <v>0.16500000000000001</v>
      </c>
      <c r="G27" s="6">
        <f>IFERROR(IF(A27="","",SUM('Asset Allocation'!P27,'Asset Allocation'!Q27)),0)</f>
        <v>0</v>
      </c>
      <c r="H27" s="6">
        <f>IFERROR(IF(A27="","",SUM('Asset Allocation'!N27)),0)</f>
        <v>1</v>
      </c>
    </row>
    <row r="28" spans="1:8" x14ac:dyDescent="0.25">
      <c r="A28" t="str">
        <f>IF(Input!A29="","",Input!A29)</f>
        <v>Responsible MPS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2.75E-2</v>
      </c>
      <c r="E28" s="6">
        <f>IFERROR(IF(A28="","",SUM('Asset Allocation'!M28)),0)</f>
        <v>2.5000000000000001E-2</v>
      </c>
      <c r="F28" s="6">
        <f>IFERROR(IF(A28="","",SUM('Asset Allocation'!J28)),0)</f>
        <v>0.105</v>
      </c>
      <c r="G28" s="6">
        <f>IFERROR(IF(A28="","",SUM('Asset Allocation'!P28,'Asset Allocation'!Q28)),0)</f>
        <v>0</v>
      </c>
      <c r="H28" s="6">
        <f>IFERROR(IF(A28="","",SUM('Asset Allocation'!N28)),0)</f>
        <v>1</v>
      </c>
    </row>
    <row r="29" spans="1:8" x14ac:dyDescent="0.25">
      <c r="A29" t="str">
        <f>IF(Input!A30="","",Input!A30)</f>
        <v>Responsible MPS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2.75E-2</v>
      </c>
      <c r="E29" s="6">
        <f>IFERROR(IF(A29="","",SUM('Asset Allocation'!M29)),0)</f>
        <v>2.5000000000000001E-2</v>
      </c>
      <c r="F29" s="6">
        <f>IFERROR(IF(A29="","",SUM('Asset Allocation'!J29)),0)</f>
        <v>6.5000000000000002E-2</v>
      </c>
      <c r="G29" s="6">
        <f>IFERROR(IF(A29="","",SUM('Asset Allocation'!P29,'Asset Allocation'!Q29)),0)</f>
        <v>0</v>
      </c>
      <c r="H29" s="6">
        <f>IFERROR(IF(A29="","",SUM('Asset Allocation'!N29)),0)</f>
        <v>1</v>
      </c>
    </row>
    <row r="30" spans="1:8" x14ac:dyDescent="0.25">
      <c r="A30" t="str">
        <f>IF(Input!A31="","",Input!A31)</f>
        <v/>
      </c>
      <c r="B30" s="6" t="str">
        <f>IFERROR(IF(A30="","",SUM('Asset Allocation'!I30)),0)</f>
        <v/>
      </c>
      <c r="C30" s="6" t="str">
        <f>IFERROR(IF(A30="","",SUM('Asset Allocation'!L30)),0)</f>
        <v/>
      </c>
      <c r="D30" s="6" t="str">
        <f>IFERROR(IF(A30="","",SUM('Asset Allocation'!R30,'Asset Allocation'!K30)),0)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Allocation'!P30,'Asset Allocation'!Q30)),0)</f>
        <v/>
      </c>
      <c r="H30" s="6" t="str">
        <f>IFERROR(IF(A30="","",SUM('Asset Allocation'!N30)),0)</f>
        <v/>
      </c>
    </row>
    <row r="31" spans="1:8" x14ac:dyDescent="0.25">
      <c r="A31" t="str">
        <f>IF(Input!A32="","",Input!A32)</f>
        <v/>
      </c>
      <c r="B31" s="6" t="str">
        <f>IFERROR(IF(A31="","",SUM('Asset Allocation'!I31)),0)</f>
        <v/>
      </c>
      <c r="C31" s="6" t="str">
        <f>IFERROR(IF(A31="","",SUM('Asset Allocation'!L31)),0)</f>
        <v/>
      </c>
      <c r="D31" s="6" t="str">
        <f>IFERROR(IF(A31="","",SUM('Asset Allocation'!R31,'Asset Allocation'!K31)),0)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Allocation'!P31,'Asset Allocation'!Q31)),0)</f>
        <v/>
      </c>
      <c r="H31" s="6" t="str">
        <f>IFERROR(IF(A31="","",SUM('Asset Allocation'!N31)),0)</f>
        <v/>
      </c>
    </row>
    <row r="32" spans="1:8" x14ac:dyDescent="0.25">
      <c r="A32" t="str">
        <f>IF(Input!A33="","",Input!A33)</f>
        <v/>
      </c>
      <c r="B32" s="6" t="str">
        <f>IFERROR(IF(A32="","",SUM('Asset Allocation'!I32)),0)</f>
        <v/>
      </c>
      <c r="C32" s="6" t="str">
        <f>IFERROR(IF(A32="","",SUM('Asset Allocation'!L32)),0)</f>
        <v/>
      </c>
      <c r="D32" s="6" t="str">
        <f>IFERROR(IF(A32="","",SUM('Asset Allocation'!R32,'Asset Allocation'!K32)),0)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Allocation'!P32,'Asset Allocation'!Q32)),0)</f>
        <v/>
      </c>
      <c r="H32" s="6" t="str">
        <f>IFERROR(IF(A32="","",SUM('Asset Allocation'!N32)),0)</f>
        <v/>
      </c>
    </row>
    <row r="33" spans="1:8" x14ac:dyDescent="0.25">
      <c r="A33" t="str">
        <f>IF(Input!A34="","",Input!A34)</f>
        <v/>
      </c>
      <c r="B33" s="6" t="str">
        <f>IFERROR(IF(A33="","",SUM('Asset Allocation'!#REF!)),0)</f>
        <v/>
      </c>
      <c r="C33" s="6" t="str">
        <f>IFERROR(IF(A33="","",SUM('Asset Allocation'!#REF!)),0)</f>
        <v/>
      </c>
      <c r="D33" s="6" t="str">
        <f>IFERROR(IF(A33="","",SUM('Asset Allocation'!R33,'Asset Allocation'!#REF!)),0)</f>
        <v/>
      </c>
      <c r="E33" s="6" t="str">
        <f>IFERROR(IF(A33="","",SUM('Asset Allocation'!M33)),0)</f>
        <v/>
      </c>
      <c r="F33" s="6" t="str">
        <f>IFERROR(IF(A33="","",SUM('Asset Allocation'!#REF!)),0)</f>
        <v/>
      </c>
      <c r="G33" s="6" t="str">
        <f>IFERROR(IF(A33="","",SUM('Asset Allocation'!P33,'Asset Allocation'!Q33)),0)</f>
        <v/>
      </c>
      <c r="H33" s="6" t="str">
        <f>IFERROR(IF(A33="","",SUM('Asset Allocation'!N33)),0)</f>
        <v/>
      </c>
    </row>
    <row r="34" spans="1:8" x14ac:dyDescent="0.25">
      <c r="A34" t="str">
        <f>IF(Input!A35="","",Input!A35)</f>
        <v/>
      </c>
      <c r="B34" s="6" t="str">
        <f>IFERROR(IF(A34="","",SUM('Asset Allocation'!#REF!)),0)</f>
        <v/>
      </c>
      <c r="C34" s="6" t="str">
        <f>IFERROR(IF(A34="","",SUM('Asset Allocation'!L34)),0)</f>
        <v/>
      </c>
      <c r="D34" s="6" t="str">
        <f>IFERROR(IF(A34="","",SUM('Asset Allocation'!R34,'Asset Allocation'!#REF!)),0)</f>
        <v/>
      </c>
      <c r="E34" s="6" t="str">
        <f>IFERROR(IF(A34="","",SUM('Asset Allocation'!M34)),0)</f>
        <v/>
      </c>
      <c r="F34" s="6" t="str">
        <f>IFERROR(IF(A34="","",SUM('Asset Allocation'!#REF!)),0)</f>
        <v/>
      </c>
      <c r="G34" s="6" t="str">
        <f>IFERROR(IF(A34="","",SUM('Asset Allocation'!P34,'Asset Allocation'!Q34)),0)</f>
        <v/>
      </c>
      <c r="H34" s="6" t="str">
        <f>IFERROR(IF(A34="","",SUM('Asset Allocation'!N34)),0)</f>
        <v/>
      </c>
    </row>
    <row r="35" spans="1:8" x14ac:dyDescent="0.25">
      <c r="A35" t="str">
        <f>IF(Input!A36="","",Input!A36)</f>
        <v/>
      </c>
      <c r="B35" s="6" t="str">
        <f>IFERROR(IF(A35="","",SUM('Asset Allocation'!#REF!)),0)</f>
        <v/>
      </c>
      <c r="C35" s="6" t="str">
        <f>IFERROR(IF(A35="","",SUM('Asset Allocation'!L35)),0)</f>
        <v/>
      </c>
      <c r="D35" s="6" t="str">
        <f>IFERROR(IF(A35="","",SUM('Asset Allocation'!R35,'Asset Allocation'!K35)),0)</f>
        <v/>
      </c>
      <c r="E35" s="6" t="str">
        <f>IFERROR(IF(A35="","",SUM('Asset Allocation'!M35)),0)</f>
        <v/>
      </c>
      <c r="F35" s="6" t="str">
        <f>IFERROR(IF(A35="","",SUM('Asset Allocation'!#REF!)),0)</f>
        <v/>
      </c>
      <c r="G35" s="6" t="str">
        <f>IFERROR(IF(A35="","",SUM('Asset Allocation'!P35,'Asset Allocation'!Q35)),0)</f>
        <v/>
      </c>
      <c r="H35" s="6" t="str">
        <f>IFERROR(IF(A35="","",SUM('Asset Allocation'!N35)),0)</f>
        <v/>
      </c>
    </row>
    <row r="36" spans="1:8" x14ac:dyDescent="0.25">
      <c r="A36" t="str">
        <f>IF(Input!A37="","",Input!A37)</f>
        <v/>
      </c>
      <c r="B36" s="6" t="str">
        <f>IFERROR(IF(A36="","",SUM('Asset Allocation'!#REF!)),0)</f>
        <v/>
      </c>
      <c r="C36" s="6" t="str">
        <f>IFERROR(IF(A36="","",SUM('Asset Allocation'!L36)),0)</f>
        <v/>
      </c>
      <c r="D36" s="6" t="str">
        <f>IFERROR(IF(A36="","",SUM('Asset Allocation'!R36,'Asset Allocation'!K36)),0)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Allocation'!P36,'Asset Allocation'!Q36)),0)</f>
        <v/>
      </c>
      <c r="H36" s="6" t="str">
        <f>IFERROR(IF(A36="","",SUM('Asset Allocation'!N36)),0)</f>
        <v/>
      </c>
    </row>
    <row r="37" spans="1:8" x14ac:dyDescent="0.25">
      <c r="A37" t="str">
        <f>IF(Input!A38="","",Input!A38)</f>
        <v/>
      </c>
      <c r="B37" s="6" t="str">
        <f>IFERROR(IF(A37="","",SUM('Asset Allocation'!I37)),0)</f>
        <v/>
      </c>
      <c r="C37" s="6" t="str">
        <f>IFERROR(IF(A37="","",SUM('Asset Allocation'!L37)),0)</f>
        <v/>
      </c>
      <c r="D37" s="6" t="str">
        <f>IFERROR(IF(A37="","",SUM('Asset Allocation'!R37,'Asset Allocation'!K37)),0)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Allocation'!P37,'Asset Allocation'!Q37)),0)</f>
        <v/>
      </c>
      <c r="H37" s="6" t="str">
        <f>IFERROR(IF(A37="","",SUM('Asset Allocation'!N37)),0)</f>
        <v/>
      </c>
    </row>
    <row r="38" spans="1:8" x14ac:dyDescent="0.25">
      <c r="A38" t="str">
        <f>IF(Input!A39="","",Input!A39)</f>
        <v/>
      </c>
      <c r="B38" s="6" t="str">
        <f>IFERROR(IF(A38="","",SUM('Asset Allocation'!I38)),0)</f>
        <v/>
      </c>
      <c r="C38" s="6" t="str">
        <f>IFERROR(IF(A38="","",SUM('Asset Allocation'!L38)),0)</f>
        <v/>
      </c>
      <c r="D38" s="6" t="str">
        <f>IFERROR(IF(A38="","",SUM('Asset Allocation'!R38,'Asset Allocation'!K38)),0)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Allocation'!P38,'Asset Allocation'!Q38)),0)</f>
        <v/>
      </c>
      <c r="H38" s="6" t="str">
        <f>IFERROR(IF(A38="","",SUM('Asset Allocation'!N38)),0)</f>
        <v/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H1" sqref="H1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60</v>
      </c>
      <c r="G1" t="s">
        <v>17</v>
      </c>
      <c r="H1" t="s">
        <v>61</v>
      </c>
    </row>
    <row r="2" spans="1:8" x14ac:dyDescent="0.25">
      <c r="A2" t="str">
        <f>IF(Input!A3="","",Input!A3)</f>
        <v>Passive MPS 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Passive MPS 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Passive MPS 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Passive MPS 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Passive MPS 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MPS 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Income MPS 1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Income MPS 2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Active MPS 1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Active MPS 2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Active MPS 3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Active MPS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Active MPS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Active MPS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Active Income MPS 1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Active Income MPS 2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Pactive MPS 1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Pactive MPS 2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Pactive MPS 3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Pactive MPS 4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Pactive MPS 5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Pactive MPS 6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Responsible MPS 1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Responsible MPS 2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Responsible MPS 3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Responsible MPS 4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Responsible MPS 5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Responsible MPS 6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Allocation'!#REF!)/'Broad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Allocation'!#REF!)/'Broad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Allocation'!#REF!)/'Broad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Allocation'!#REF!)/'Broad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Allocation'!#REF!)/'Broad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Allocation'!#REF!)/'Broad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activeCell="C19" sqref="C19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activeCell="C17" sqref="C17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D18" sqref="D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activeCell="F18" sqref="F18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Passive MPS 1</v>
      </c>
      <c r="C1" s="1" t="str">
        <v>Passive MPS 2</v>
      </c>
      <c r="D1" t="str">
        <v>Passive MPS 3</v>
      </c>
      <c r="E1" t="str">
        <v>Passive MPS 4</v>
      </c>
      <c r="F1" t="str">
        <v>Passive MPS 5</v>
      </c>
      <c r="G1" t="str">
        <v>Passive MPS 6</v>
      </c>
      <c r="H1" t="str">
        <v>Passive Income MPS 1</v>
      </c>
      <c r="I1" t="str">
        <v>Passive Income MPS 2</v>
      </c>
      <c r="J1" t="str">
        <v>Active MPS 1</v>
      </c>
      <c r="K1" t="str">
        <v>Active MPS 2</v>
      </c>
      <c r="L1" t="str">
        <v>Active MPS 3</v>
      </c>
      <c r="M1" t="str">
        <v>Active MPS 4</v>
      </c>
      <c r="N1" t="str">
        <v>Active MPS 5</v>
      </c>
      <c r="O1" t="str">
        <v>Active MPS 6</v>
      </c>
      <c r="P1" t="str">
        <v>Active Income MPS 1</v>
      </c>
      <c r="Q1" t="str">
        <v>Active Income MPS 2</v>
      </c>
      <c r="R1" t="str">
        <v>Pactive MPS 1</v>
      </c>
      <c r="S1" t="str">
        <v>Pactive MPS 2</v>
      </c>
      <c r="T1" t="str">
        <v>Pactive MPS 3</v>
      </c>
      <c r="U1" t="str">
        <v>Pactive MPS 4</v>
      </c>
      <c r="V1" t="str">
        <v>Pactive MPS 5</v>
      </c>
      <c r="W1" t="str">
        <v>Pactive MPS 6</v>
      </c>
      <c r="X1" t="str">
        <v>Responsible MPS 1</v>
      </c>
      <c r="Y1" t="str">
        <v>Responsible MPS 2</v>
      </c>
      <c r="Z1" t="str">
        <v>Responsible MPS 3</v>
      </c>
      <c r="AA1" t="str">
        <v>Responsible MPS 4</v>
      </c>
      <c r="AB1" t="str">
        <v>Responsible MPS 5</v>
      </c>
      <c r="AC1" t="str">
        <v>Responsible MPS 6</v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2023-11-25T07:45:54Z</dcterms:modified>
</cp:coreProperties>
</file>