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TAM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3" l="1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" i="3"/>
  <c r="B19" i="1" l="1"/>
  <c r="B20" i="1"/>
  <c r="B21" i="1"/>
  <c r="B22" i="1"/>
  <c r="B23" i="1"/>
  <c r="B9" i="1"/>
  <c r="B10" i="1"/>
  <c r="B11" i="1"/>
  <c r="B12" i="1"/>
  <c r="B13" i="1"/>
  <c r="B14" i="1"/>
  <c r="B15" i="1"/>
  <c r="B16" i="1"/>
  <c r="B17" i="1"/>
  <c r="B18" i="1"/>
  <c r="B3" i="1"/>
  <c r="B5" i="1"/>
  <c r="B6" i="1"/>
  <c r="B7" i="1"/>
  <c r="B8" i="1"/>
  <c r="B4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H16" i="8" s="1"/>
  <c r="B49" i="4"/>
  <c r="C49" i="4"/>
  <c r="G49" i="4"/>
  <c r="B6" i="4"/>
  <c r="C6" i="4"/>
  <c r="H6" i="8" s="1"/>
  <c r="G6" i="4"/>
  <c r="B14" i="4"/>
  <c r="C14" i="4"/>
  <c r="H14" i="8" s="1"/>
  <c r="G14" i="4"/>
  <c r="B22" i="4"/>
  <c r="C22" i="4"/>
  <c r="H22" i="8" s="1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H18" i="8" s="1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H15" i="8" s="1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H19" i="8" s="1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H12" i="8" s="1"/>
  <c r="G20" i="4"/>
  <c r="B20" i="4"/>
  <c r="C20" i="4"/>
  <c r="H20" i="8" s="1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H17" i="8" s="1"/>
  <c r="G17" i="4"/>
  <c r="B33" i="4"/>
  <c r="C33" i="4"/>
  <c r="G33" i="4"/>
  <c r="B5" i="4"/>
  <c r="C5" i="4"/>
  <c r="H5" i="8" s="1"/>
  <c r="G5" i="4"/>
  <c r="B13" i="4"/>
  <c r="C13" i="4"/>
  <c r="H13" i="8" s="1"/>
  <c r="G13" i="4"/>
  <c r="C21" i="4"/>
  <c r="H21" i="8" s="1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<sst xmlns="http://schemas.openxmlformats.org/spreadsheetml/2006/main" count="135" uniqueCount="108">
  <si>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</si>
  <si>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</si>
  <si>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</si>
  <si>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</si>
  <si>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</si>
  <si>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</si>
  <si>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</si>
  <si>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</si>
  <si>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</si>
  <si>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</si>
  <si>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</si>
  <si>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</si>
  <si>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</si>
  <si>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</si>
  <si>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</si>
  <si>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</si>
  <si>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</si>
  <si>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</si>
  <si>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</si>
  <si>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</si>
  <si>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</si>
  <si>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</si>
  <si>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</si>
  <si>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</si>
  <si>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</si>
  <si>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</si>
  <si>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</si>
  <si>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</si>
  <si>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</si>
  <si>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</si>
  <si>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</si>
  <si>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</si>
  <si>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</si>
  <si>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TAM AMC</t>
  </si>
  <si>
    <t>Underlying OCF</t>
  </si>
  <si>
    <t>Core Active Defensive</t>
  </si>
  <si>
    <t>Core Active Cautious</t>
  </si>
  <si>
    <t>Core Active Balanced</t>
  </si>
  <si>
    <t>Core Active Growth</t>
  </si>
  <si>
    <t>Core Active Adventurous</t>
  </si>
  <si>
    <t>Core Active Speculative</t>
  </si>
  <si>
    <t>Enhanced Passive Core Active Defensive</t>
  </si>
  <si>
    <t>Enhanced Passive Core Active Cautious</t>
  </si>
  <si>
    <t>Enhanced Passive Core Active Balanced</t>
  </si>
  <si>
    <t>Enhanced Passive Core Active Growth</t>
  </si>
  <si>
    <t>Enhanced Passive Core Active Adventurous</t>
  </si>
  <si>
    <t>Sustainabilty-focused Core Active Defensive</t>
  </si>
  <si>
    <t>Sustainabilty-focused Core Active Cautious</t>
  </si>
  <si>
    <t>Sustainabilty-focused Core Active Balanced</t>
  </si>
  <si>
    <t>Sustainabilty-focused Core Active Growth</t>
  </si>
  <si>
    <t>Sustainabilty-focused Core Active Adventurous</t>
  </si>
  <si>
    <t>Sharia Defensive</t>
  </si>
  <si>
    <t>Sharia Cautious</t>
  </si>
  <si>
    <t>Sharia Balanced</t>
  </si>
  <si>
    <t>Sharia Growth</t>
  </si>
  <si>
    <t>Sharia Adventurous</t>
  </si>
  <si>
    <t>Global Fixed Interest</t>
  </si>
  <si>
    <t>North American Equities</t>
  </si>
  <si>
    <t>European Equities</t>
  </si>
  <si>
    <t>UK Gilts</t>
  </si>
  <si>
    <t>Asia Pacific Equities</t>
  </si>
  <si>
    <t>Japanese Equities</t>
  </si>
  <si>
    <t>Money Market</t>
  </si>
  <si>
    <t>UK Equities</t>
  </si>
  <si>
    <t>UK Corporate Fixed…</t>
  </si>
  <si>
    <t>Global Emerging Market…</t>
  </si>
  <si>
    <t>Commodity &amp; Energy</t>
  </si>
  <si>
    <t>Alternative Investment…</t>
  </si>
  <si>
    <t>UK Index-Linked</t>
  </si>
  <si>
    <t>Global Emerging…</t>
  </si>
  <si>
    <t>https://www.tamassetmanagement.com/library/</t>
  </si>
  <si>
    <t>Active Defensive</t>
  </si>
  <si>
    <t>Active Speculative</t>
  </si>
  <si>
    <t>Active Adventurous</t>
  </si>
  <si>
    <t>Active Growth</t>
  </si>
  <si>
    <t>Active Balanced</t>
  </si>
  <si>
    <t>Active Cautious</t>
  </si>
  <si>
    <t>Enhanced Passive Defensive</t>
  </si>
  <si>
    <t>Enhanced Passive Cautious</t>
  </si>
  <si>
    <t>Enhanced Passive Balanced</t>
  </si>
  <si>
    <t>Enhanced Passive Growth</t>
  </si>
  <si>
    <t>Enhanced Passive Adventurous</t>
  </si>
  <si>
    <t>Sustainable World Defensive</t>
  </si>
  <si>
    <t>Sustainable World Cautious</t>
  </si>
  <si>
    <t>Sustainable World Balanced</t>
  </si>
  <si>
    <t>Sustainable World Growth</t>
  </si>
  <si>
    <t>Sustainable World Adventurous</t>
  </si>
  <si>
    <t>https://www.tamassetmanagement.com/data/uploads/factsheets/active-defensive-q4-2023.pdf</t>
  </si>
  <si>
    <t>https://www.tamassetmanagement.com/data/uploads/factsheets/enhanced-passive-defensive-q4-2023.pdf</t>
  </si>
  <si>
    <t>https://www.tamassetmanagement.com/data/uploads/factsheets/sustainable-world-defensive-q4-2023.pdf</t>
  </si>
  <si>
    <t>https://www.tamassetmanagement.com/data/uploads/factsheets/sharia-defensive-q4-2023.pdf</t>
  </si>
  <si>
    <t>https://www.tamassetmanagement.com/data/uploads/factsheets/active-cautious-q4-2023.pdf</t>
  </si>
  <si>
    <t>https://www.tamassetmanagement.com/data/uploads/factsheets/enhanced-passive-cautious-q4-2023.pdf</t>
  </si>
  <si>
    <t>https://www.tamassetmanagement.com/data/uploads/factsheets/sustainable-world-cautious-q4-2023.pdf</t>
  </si>
  <si>
    <t>https://www.tamassetmanagement.com/data/uploads/factsheets/sharia-cautious-q4-2023.pdf</t>
  </si>
  <si>
    <t>https://www.tamassetmanagement.com/data/uploads/factsheets/active-balanced-q4-2023.pdf</t>
  </si>
  <si>
    <t>https://www.tamassetmanagement.com/data/uploads/factsheets/enhanced-passive-balanced-q4-2023.pdf</t>
  </si>
  <si>
    <t>https://www.tamassetmanagement.com/data/uploads/factsheets/sustainable-world-balanced-q4-2023.pdf</t>
  </si>
  <si>
    <t>https://www.tamassetmanagement.com/data/uploads/factsheets/sharia-balanced-q4-2023.pdf</t>
  </si>
  <si>
    <t>https://www.tamassetmanagement.com/data/uploads/factsheets/active-growth-q4-2023.pdf</t>
  </si>
  <si>
    <t>https://www.tamassetmanagement.com/data/uploads/factsheets/enhanced-passive-growth-q4-2023.pdf</t>
  </si>
  <si>
    <t>https://www.tamassetmanagement.com/data/uploads/factsheets/sustainable-world-growth-q4-2023.pdf</t>
  </si>
  <si>
    <t>https://www.tamassetmanagement.com/data/uploads/factsheets/sharia-growth-q4-2023.pdf</t>
  </si>
  <si>
    <t>https://www.tamassetmanagement.com/data/uploads/factsheets/active-adventurous-q4-2023.pdf</t>
  </si>
  <si>
    <t>https://www.tamassetmanagement.com/data/uploads/factsheets/enhanced-passive-adventurous-q4-2023.pdf</t>
  </si>
  <si>
    <t>https://www.tamassetmanagement.com/data/uploads/factsheets/sustainable-world-adventurous-q4-2023.pdf</t>
  </si>
  <si>
    <t>https://www.tamassetmanagement.com/data/uploads/factsheets/sharia-adventurous-q4-2023.pdf</t>
  </si>
  <si>
    <t>https://www.tamassetmanagement.com/data/uploads/factsheets/active-speculative-q4-2023.pdf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</si>
</sst>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</xdr:row>
      <xdr:rowOff>38100</xdr:rowOff>
    </xdr:from>
    <xdr:to>
      <xdr:col>4</xdr:col>
      <xdr:colOff>593111</xdr:colOff>
      <xdr:row>16</xdr:row>
      <xdr:rowOff>19230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0BE4B7-856D-5569-BEAC-5EC16D44A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1" y="222250"/>
          <a:ext cx="2961660" cy="274338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</xdr:colOff>
      <xdr:row>16</xdr:row>
      <xdr:rowOff>27482</xdr:rowOff>
    </xdr:from>
    <xdr:to>
      <xdr:col>6</xdr:col>
      <xdr:colOff>381000</xdr:colOff>
      <xdr:row>22</xdr:row>
      <xdr:rowOff>95328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10406F5-CA35-7819-1DCF-3B21BBB47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" y="2973882"/>
          <a:ext cx="4032250" cy="117274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95443</xdr:colOff>
      <xdr:row>19</xdr:row>
      <xdr:rowOff>95425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2437D09-9B6F-60B8-AF8B-3ED62BF71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753043" cy="3410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3"/>
  <sheetViews>
    <sheetView topLeftCell="A7" workbookViewId="0">
      <selection activeCell="A10" sqref="A10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https://www.tamassetmanagement.com/data/uploads/factsheets/active-defensive-q4-2023.pdf</v>
      </c>
      <c r="J3" s="4"/>
    </row>
    <row r="4" spans="1:10" x14ac:dyDescent="0.25">
      <c r="A4" t="s">
        <v>36</v>
      </c>
      <c r="B4" t="str">
        <f>'PDF Scraping'!D3</f>
        <v>https://www.tamassetmanagement.com/data/uploads/factsheets/active-cautious-q4-2023.pdf</v>
      </c>
      <c r="J4" s="4"/>
    </row>
    <row r="5" spans="1:10" x14ac:dyDescent="0.25">
      <c r="A5" t="s">
        <v>37</v>
      </c>
      <c r="B5" t="str">
        <f>'PDF Scraping'!D4</f>
        <v>https://www.tamassetmanagement.com/data/uploads/factsheets/active-balanced-q4-2023.pdf</v>
      </c>
    </row>
    <row r="6" spans="1:10" x14ac:dyDescent="0.25">
      <c r="A6" t="s">
        <v>38</v>
      </c>
      <c r="B6" t="str">
        <f>'PDF Scraping'!D5</f>
        <v>https://www.tamassetmanagement.com/data/uploads/factsheets/active-growth-q4-2023.pdf</v>
      </c>
    </row>
    <row r="7" spans="1:10" x14ac:dyDescent="0.25">
      <c r="A7" t="s">
        <v>39</v>
      </c>
      <c r="B7" t="str">
        <f>'PDF Scraping'!D6</f>
        <v>https://www.tamassetmanagement.com/data/uploads/factsheets/active-adventurous-q4-2023.pdf</v>
      </c>
    </row>
    <row r="8" spans="1:10" x14ac:dyDescent="0.25">
      <c r="A8" t="s">
        <v>40</v>
      </c>
      <c r="B8" t="str">
        <f>'PDF Scraping'!D7</f>
        <v>https://www.tamassetmanagement.com/data/uploads/factsheets/active-speculative-q4-2023.pdf</v>
      </c>
    </row>
    <row r="9" spans="1:10" x14ac:dyDescent="0.25">
      <c r="A9" t="s">
        <v>41</v>
      </c>
      <c r="B9" t="str">
        <f>'PDF Scraping'!D8</f>
        <v>https://www.tamassetmanagement.com/data/uploads/factsheets/enhanced-passive-defensive-q4-2023.pdf</v>
      </c>
    </row>
    <row r="10" spans="1:10" x14ac:dyDescent="0.25">
      <c r="A10" t="s">
        <v>42</v>
      </c>
      <c r="B10" t="str">
        <f>'PDF Scraping'!D9</f>
        <v>https://www.tamassetmanagement.com/data/uploads/factsheets/enhanced-passive-cautious-q4-2023.pdf</v>
      </c>
    </row>
    <row r="11" spans="1:10" x14ac:dyDescent="0.25">
      <c r="A11" t="s">
        <v>43</v>
      </c>
      <c r="B11" t="str">
        <f>'PDF Scraping'!D10</f>
        <v>https://www.tamassetmanagement.com/data/uploads/factsheets/enhanced-passive-balanced-q4-2023.pdf</v>
      </c>
    </row>
    <row r="12" spans="1:10" x14ac:dyDescent="0.25">
      <c r="A12" t="s">
        <v>44</v>
      </c>
      <c r="B12" t="str">
        <f>'PDF Scraping'!D11</f>
        <v>https://www.tamassetmanagement.com/data/uploads/factsheets/enhanced-passive-growth-q4-2023.pdf</v>
      </c>
    </row>
    <row r="13" spans="1:10" x14ac:dyDescent="0.25">
      <c r="A13" t="s">
        <v>45</v>
      </c>
      <c r="B13" t="str">
        <f>'PDF Scraping'!D12</f>
        <v>https://www.tamassetmanagement.com/data/uploads/factsheets/enhanced-passive-adventurous-q4-2023.pdf</v>
      </c>
    </row>
    <row r="14" spans="1:10" x14ac:dyDescent="0.25">
      <c r="A14" t="s">
        <v>46</v>
      </c>
      <c r="B14" t="str">
        <f>'PDF Scraping'!D13</f>
        <v>https://www.tamassetmanagement.com/data/uploads/factsheets/sustainable-world-defensive-q4-2023.pdf</v>
      </c>
    </row>
    <row r="15" spans="1:10" x14ac:dyDescent="0.25">
      <c r="A15" t="s">
        <v>47</v>
      </c>
      <c r="B15" t="str">
        <f>'PDF Scraping'!D14</f>
        <v>https://www.tamassetmanagement.com/data/uploads/factsheets/sustainable-world-cautious-q4-2023.pdf</v>
      </c>
    </row>
    <row r="16" spans="1:10" x14ac:dyDescent="0.25">
      <c r="A16" t="s">
        <v>48</v>
      </c>
      <c r="B16" t="str">
        <f>'PDF Scraping'!D15</f>
        <v>https://www.tamassetmanagement.com/data/uploads/factsheets/sustainable-world-balanced-q4-2023.pdf</v>
      </c>
    </row>
    <row r="17" spans="1:2" x14ac:dyDescent="0.25">
      <c r="A17" t="s">
        <v>49</v>
      </c>
      <c r="B17" t="str">
        <f>'PDF Scraping'!D16</f>
        <v>https://www.tamassetmanagement.com/data/uploads/factsheets/sustainable-world-growth-q4-2023.pdf</v>
      </c>
    </row>
    <row r="18" spans="1:2" x14ac:dyDescent="0.25">
      <c r="A18" t="s">
        <v>50</v>
      </c>
      <c r="B18" t="str">
        <f>'PDF Scraping'!D17</f>
        <v>https://www.tamassetmanagement.com/data/uploads/factsheets/sustainable-world-adventurous-q4-2023.pdf</v>
      </c>
    </row>
    <row r="19" spans="1:2" x14ac:dyDescent="0.25">
      <c r="A19" t="s">
        <v>51</v>
      </c>
      <c r="B19" t="str">
        <f>'PDF Scraping'!D18</f>
        <v>https://www.tamassetmanagement.com/data/uploads/factsheets/sharia-defensive-q4-2023.pdf</v>
      </c>
    </row>
    <row r="20" spans="1:2" x14ac:dyDescent="0.25">
      <c r="A20" t="s">
        <v>52</v>
      </c>
      <c r="B20" t="str">
        <f>'PDF Scraping'!D19</f>
        <v>https://www.tamassetmanagement.com/data/uploads/factsheets/sharia-cautious-q4-2023.pdf</v>
      </c>
    </row>
    <row r="21" spans="1:2" x14ac:dyDescent="0.25">
      <c r="A21" t="s">
        <v>53</v>
      </c>
      <c r="B21" t="str">
        <f>'PDF Scraping'!D20</f>
        <v>https://www.tamassetmanagement.com/data/uploads/factsheets/sharia-balanced-q4-2023.pdf</v>
      </c>
    </row>
    <row r="22" spans="1:2" x14ac:dyDescent="0.25">
      <c r="A22" t="s">
        <v>54</v>
      </c>
      <c r="B22" t="str">
        <f>'PDF Scraping'!D21</f>
        <v>https://www.tamassetmanagement.com/data/uploads/factsheets/sharia-growth-q4-2023.pdf</v>
      </c>
    </row>
    <row r="23" spans="1:2" x14ac:dyDescent="0.25">
      <c r="A23" t="s">
        <v>55</v>
      </c>
      <c r="B23" t="str">
        <f>'PDF Scraping'!D22</f>
        <v>https://www.tamassetmanagement.com/data/uploads/factsheets/sharia-adventurous-q4-2023.pdf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B2" sqref="B2:E22"/>
    </sheetView>
  </sheetViews>
  <sheetFormatPr defaultRowHeight="15" x14ac:dyDescent="0.25"/>
  <cols>
    <col min="1" max="1" width="43.7109375" bestFit="1" customWidth="1"/>
    <col min="2" max="2" width="19.140625" customWidth="1"/>
    <col min="3" max="3" width="9.5703125" bestFit="1" customWidth="1"/>
    <col min="4" max="4" width="14.85546875" bestFit="1" customWidth="1"/>
    <col min="5" max="5" width="7.140625" bestFit="1" customWidth="1"/>
    <col min="6" max="6" width="13.7109375" bestFit="1" customWidth="1"/>
  </cols>
  <sheetData>
    <row r="1" spans="1:6" x14ac:dyDescent="0.25">
      <c r="B1" t="s">
        <v>26</v>
      </c>
      <c r="C1" t="s">
        <v>33</v>
      </c>
      <c r="D1" t="s">
        <v>34</v>
      </c>
      <c r="E1" t="s">
        <v>32</v>
      </c>
    </row>
    <row r="2" spans="1:6" x14ac:dyDescent="0.25">
      <c r="A2" t="str">
        <f>IF(Input!A3="","",Input!A3)</f>
        <v>Core Active Defensive</v>
      </c>
      <c r="B2" s="1"/>
      <c r="C2" s="5"/>
      <c r="D2" s="5"/>
      <c r="E2" s="5"/>
      <c r="F2" s="5"/>
    </row>
    <row r="3" spans="1:6" x14ac:dyDescent="0.25">
      <c r="A3" t="str">
        <f>IF(Input!A4="","",Input!A4)</f>
        <v>Core Active Cautious</v>
      </c>
      <c r="B3" s="1"/>
      <c r="C3" s="5"/>
      <c r="D3" s="5"/>
      <c r="E3" s="5"/>
      <c r="F3" s="5"/>
    </row>
    <row r="4" spans="1:6" x14ac:dyDescent="0.25">
      <c r="A4" t="str">
        <f>IF(Input!A5="","",Input!A5)</f>
        <v>Core Active Balanced</v>
      </c>
      <c r="B4" s="1"/>
      <c r="C4" s="5"/>
      <c r="D4" s="5"/>
      <c r="E4" s="5"/>
      <c r="F4" s="5"/>
    </row>
    <row r="5" spans="1:6" x14ac:dyDescent="0.25">
      <c r="A5" t="str">
        <f>IF(Input!A6="","",Input!A6)</f>
        <v>Core Active Growth</v>
      </c>
      <c r="B5" s="1"/>
      <c r="C5" s="5"/>
      <c r="D5" s="5"/>
      <c r="E5" s="5"/>
      <c r="F5" s="5"/>
    </row>
    <row r="6" spans="1:6" x14ac:dyDescent="0.25">
      <c r="A6" t="str">
        <f>IF(Input!A7="","",Input!A7)</f>
        <v>Core Active Adventurous</v>
      </c>
      <c r="B6" s="1"/>
      <c r="C6" s="5"/>
      <c r="D6" s="5"/>
      <c r="E6" s="5"/>
      <c r="F6" s="5"/>
    </row>
    <row r="7" spans="1:6" x14ac:dyDescent="0.25">
      <c r="A7" t="str">
        <f>IF(Input!A8="","",Input!A8)</f>
        <v>Core Active Speculative</v>
      </c>
      <c r="B7" s="1"/>
      <c r="C7" s="5"/>
      <c r="D7" s="5"/>
      <c r="E7" s="5"/>
      <c r="F7" s="5"/>
    </row>
    <row r="8" spans="1:6" x14ac:dyDescent="0.25">
      <c r="A8" t="str">
        <f>IF(Input!A9="","",Input!A9)</f>
        <v>Enhanced Passive Core Active Defensive</v>
      </c>
      <c r="B8" s="1"/>
      <c r="C8" s="5"/>
      <c r="D8" s="5"/>
      <c r="E8" s="5"/>
      <c r="F8" s="5"/>
    </row>
    <row r="9" spans="1:6" x14ac:dyDescent="0.25">
      <c r="A9" t="str">
        <f>IF(Input!A10="","",Input!A10)</f>
        <v>Enhanced Passive Core Active Cautious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Enhanced Passive Core Active Balanced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Enhanced Passive Core Active Growth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Enhanced Passive Core Active Adventurous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Sustainabilty-focused Core Active Defensive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Sustainabilty-focused Core Active Cautious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Sustainabilty-focused Core Active Balanced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Sustainabilty-focused Core Active Growth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Sustainabilty-focused Core Active Adventurous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Sharia Defensive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Sharia Cautious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Sharia Balanced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Sharia Growth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Sharia Adventurous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B2" sqref="B2:O24"/>
    </sheetView>
  </sheetViews>
  <sheetFormatPr defaultRowHeight="15" x14ac:dyDescent="0.25"/>
  <cols>
    <col min="1" max="1" width="40.140625" bestFit="1" customWidth="1"/>
    <col min="2" max="2" width="18.140625" bestFit="1" customWidth="1"/>
    <col min="3" max="3" width="21.28515625" bestFit="1" customWidth="1"/>
    <col min="4" max="4" width="16" bestFit="1" customWidth="1"/>
    <col min="5" max="5" width="7.140625" bestFit="1" customWidth="1"/>
    <col min="6" max="6" width="17.140625" bestFit="1" customWidth="1"/>
    <col min="7" max="7" width="15.5703125" bestFit="1" customWidth="1"/>
    <col min="8" max="8" width="13.140625" bestFit="1" customWidth="1"/>
    <col min="9" max="9" width="10.140625" bestFit="1" customWidth="1"/>
    <col min="10" max="10" width="18.42578125" bestFit="1" customWidth="1"/>
    <col min="11" max="11" width="25" bestFit="1" customWidth="1"/>
    <col min="12" max="12" width="18.5703125" bestFit="1" customWidth="1"/>
    <col min="13" max="13" width="21.42578125" bestFit="1" customWidth="1"/>
    <col min="14" max="14" width="14.28515625" bestFit="1" customWidth="1"/>
    <col min="15" max="15" width="18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  <c r="O1" t="s">
        <v>69</v>
      </c>
    </row>
    <row r="2" spans="1:30" x14ac:dyDescent="0.25">
      <c r="A2" t="str">
        <f>IF(Input!A3="","",Input!A3)</f>
        <v>Core Active Defensive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>
        <f>SUM(B2:O2)</f>
        <v>0</v>
      </c>
      <c r="Q2" s="5"/>
      <c r="R2" s="5"/>
      <c r="T2" s="5"/>
      <c r="U2" s="5"/>
      <c r="V2" s="5"/>
    </row>
    <row r="3" spans="1:30" x14ac:dyDescent="0.25">
      <c r="A3" t="str">
        <f>IF(Input!A4="","",Input!A4)</f>
        <v>Core Active Cautious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>
        <f t="shared" ref="P3:P22" si="0">SUM(B3:O3)</f>
        <v>0</v>
      </c>
      <c r="Q3" s="5"/>
      <c r="R3" s="5"/>
      <c r="S3" s="5"/>
      <c r="T3" s="5"/>
    </row>
    <row r="4" spans="1:30" x14ac:dyDescent="0.25">
      <c r="A4" t="str">
        <f>IF(Input!A5="","",Input!A5)</f>
        <v>Core Active Balanced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>
        <f t="shared" si="0"/>
        <v>0</v>
      </c>
      <c r="Q4" s="5"/>
      <c r="R4" s="5"/>
      <c r="S4" s="5"/>
      <c r="T4" s="5"/>
    </row>
    <row r="5" spans="1:30" x14ac:dyDescent="0.25">
      <c r="A5" t="str">
        <f>IF(Input!A6="","",Input!A6)</f>
        <v>Core Active Growth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>
        <f t="shared" si="0"/>
        <v>0</v>
      </c>
      <c r="Q5" s="5"/>
      <c r="R5" s="5"/>
      <c r="S5" s="5"/>
      <c r="T5" s="5"/>
    </row>
    <row r="6" spans="1:30" x14ac:dyDescent="0.25">
      <c r="A6" t="str">
        <f>IF(Input!A7="","",Input!A7)</f>
        <v>Core Active Adventurous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>
        <f t="shared" si="0"/>
        <v>0</v>
      </c>
      <c r="Q6" s="5"/>
      <c r="R6" s="5"/>
      <c r="S6" s="5"/>
      <c r="T6" s="5"/>
    </row>
    <row r="7" spans="1:30" x14ac:dyDescent="0.25">
      <c r="A7" t="str">
        <f>IF(Input!A8="","",Input!A8)</f>
        <v>Core Active Speculative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>
        <f t="shared" si="0"/>
        <v>0</v>
      </c>
      <c r="Q7" s="5"/>
      <c r="R7" s="5"/>
      <c r="S7" s="5"/>
      <c r="T7" s="5"/>
      <c r="AD7" s="5"/>
    </row>
    <row r="8" spans="1:30" x14ac:dyDescent="0.25">
      <c r="A8" t="str">
        <f>IF(Input!A9="","",Input!A9)</f>
        <v>Enhanced Passive Core Active Defensive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>
        <f t="shared" si="0"/>
        <v>0</v>
      </c>
      <c r="Q8" s="5"/>
      <c r="R8" s="5"/>
      <c r="S8" s="5"/>
      <c r="T8" s="5"/>
    </row>
    <row r="9" spans="1:30" x14ac:dyDescent="0.25">
      <c r="A9" t="str">
        <f>IF(Input!A10="","",Input!A10)</f>
        <v>Enhanced Passive Core Active Cautious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>
        <f t="shared" si="0"/>
        <v>0</v>
      </c>
      <c r="Q9" s="5"/>
      <c r="R9" s="5"/>
      <c r="S9" s="5"/>
      <c r="T9" s="5"/>
    </row>
    <row r="10" spans="1:30" x14ac:dyDescent="0.25">
      <c r="A10" t="str">
        <f>IF(Input!A11="","",Input!A11)</f>
        <v>Enhanced Passive Core Active Balanced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>
        <f t="shared" si="0"/>
        <v>0</v>
      </c>
      <c r="Q10" s="5"/>
      <c r="R10" s="5"/>
      <c r="S10" s="5"/>
      <c r="T10" s="5"/>
    </row>
    <row r="11" spans="1:30" x14ac:dyDescent="0.25">
      <c r="A11" t="str">
        <f>IF(Input!A12="","",Input!A12)</f>
        <v>Enhanced Passive Core Active Growth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>
        <f t="shared" si="0"/>
        <v>0</v>
      </c>
      <c r="Q11" s="5"/>
      <c r="R11" s="5"/>
      <c r="S11" s="5"/>
      <c r="T11" s="5"/>
    </row>
    <row r="12" spans="1:30" x14ac:dyDescent="0.25">
      <c r="A12" t="str">
        <f>IF(Input!A13="","",Input!A13)</f>
        <v>Enhanced Passive Core Active Adventurous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>
        <f t="shared" si="0"/>
        <v>0</v>
      </c>
      <c r="Q12" s="5"/>
      <c r="R12" s="5"/>
      <c r="S12" s="5"/>
      <c r="T12" s="5"/>
    </row>
    <row r="13" spans="1:30" x14ac:dyDescent="0.25">
      <c r="A13" t="str">
        <f>IF(Input!A14="","",Input!A14)</f>
        <v>Sustainabilty-focused Core Active Defensive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>
        <f t="shared" si="0"/>
        <v>0</v>
      </c>
      <c r="Q13" s="5"/>
      <c r="R13" s="5"/>
      <c r="S13" s="5"/>
      <c r="T13" s="5"/>
    </row>
    <row r="14" spans="1:30" s="10" customFormat="1" x14ac:dyDescent="0.25">
      <c r="A14" s="10" t="str">
        <f>IF(Input!A15="","",Input!A15)</f>
        <v>Sustainabilty-focused Core Active Cautious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>
        <f t="shared" si="0"/>
        <v>0</v>
      </c>
      <c r="Q14" s="11"/>
      <c r="R14" s="11"/>
      <c r="S14" s="11"/>
      <c r="T14" s="11"/>
    </row>
    <row r="15" spans="1:30" x14ac:dyDescent="0.25">
      <c r="A15" t="str">
        <f>IF(Input!A16="","",Input!A16)</f>
        <v>Sustainabilty-focused Core Active Balanced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>
        <f t="shared" si="0"/>
        <v>0</v>
      </c>
      <c r="Q15" s="5"/>
      <c r="R15" s="5"/>
      <c r="S15" s="5"/>
      <c r="T15" s="5"/>
    </row>
    <row r="16" spans="1:30" x14ac:dyDescent="0.25">
      <c r="A16" t="str">
        <f>IF(Input!A17="","",Input!A17)</f>
        <v>Sustainabilty-focused Core Active Growth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>
        <f t="shared" si="0"/>
        <v>0</v>
      </c>
      <c r="Q16" s="5"/>
      <c r="R16" s="5"/>
      <c r="S16" s="5"/>
      <c r="T16" s="5"/>
    </row>
    <row r="17" spans="1:29" x14ac:dyDescent="0.25">
      <c r="A17" t="str">
        <f>IF(Input!A18="","",Input!A18)</f>
        <v>Sustainabilty-focused Core Active Adventurous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>
        <f t="shared" si="0"/>
        <v>0</v>
      </c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Sharia Defensive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>
        <f t="shared" si="0"/>
        <v>0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Sharia Cautious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>
        <f t="shared" si="0"/>
        <v>0</v>
      </c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Sharia Balanced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>
        <f t="shared" si="0"/>
        <v>0</v>
      </c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Sharia Growth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>
        <f t="shared" si="0"/>
        <v>0</v>
      </c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Sharia Adventurous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>
        <f t="shared" si="0"/>
        <v>0</v>
      </c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B26" sqref="B26"/>
    </sheetView>
  </sheetViews>
  <sheetFormatPr defaultRowHeight="15" x14ac:dyDescent="0.25"/>
  <cols>
    <col min="1" max="1" width="43.7109375" bestFit="1" customWidth="1"/>
    <col min="2" max="2" width="77.28515625" bestFit="1" customWidth="1"/>
    <col min="3" max="3" width="34.5703125" bestFit="1" customWidth="1"/>
    <col min="4" max="4" width="102.71093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Core Active Defensive</v>
      </c>
      <c r="B2" t="s">
        <v>70</v>
      </c>
      <c r="C2" t="s">
        <v>71</v>
      </c>
      <c r="D2" s="8" t="s">
        <v>87</v>
      </c>
    </row>
    <row r="3" spans="1:5" x14ac:dyDescent="0.25">
      <c r="A3" t="str">
        <f>IF(Input!A4="","",Input!A4)</f>
        <v>Core Active Cautious</v>
      </c>
      <c r="B3" t="s">
        <v>70</v>
      </c>
      <c r="C3" t="s">
        <v>76</v>
      </c>
      <c r="D3" s="8" t="s">
        <v>91</v>
      </c>
    </row>
    <row r="4" spans="1:5" x14ac:dyDescent="0.25">
      <c r="A4" t="str">
        <f>IF(Input!A5="","",Input!A5)</f>
        <v>Core Active Balanced</v>
      </c>
      <c r="B4" t="s">
        <v>70</v>
      </c>
      <c r="C4" t="s">
        <v>75</v>
      </c>
      <c r="D4" s="8" t="s">
        <v>95</v>
      </c>
    </row>
    <row r="5" spans="1:5" x14ac:dyDescent="0.25">
      <c r="A5" t="str">
        <f>IF(Input!A6="","",Input!A6)</f>
        <v>Core Active Growth</v>
      </c>
      <c r="B5" t="s">
        <v>70</v>
      </c>
      <c r="C5" t="s">
        <v>74</v>
      </c>
      <c r="D5" s="8" t="s">
        <v>99</v>
      </c>
    </row>
    <row r="6" spans="1:5" x14ac:dyDescent="0.25">
      <c r="A6" t="str">
        <f>IF(Input!A7="","",Input!A7)</f>
        <v>Core Active Adventurous</v>
      </c>
      <c r="B6" t="s">
        <v>70</v>
      </c>
      <c r="C6" t="s">
        <v>73</v>
      </c>
      <c r="D6" s="8" t="s">
        <v>103</v>
      </c>
    </row>
    <row r="7" spans="1:5" x14ac:dyDescent="0.25">
      <c r="A7" t="str">
        <f>IF(Input!A8="","",Input!A8)</f>
        <v>Core Active Speculative</v>
      </c>
      <c r="B7" t="s">
        <v>70</v>
      </c>
      <c r="C7" t="s">
        <v>72</v>
      </c>
      <c r="D7" s="8" t="s">
        <v>107</v>
      </c>
    </row>
    <row r="8" spans="1:5" x14ac:dyDescent="0.25">
      <c r="A8" t="str">
        <f>IF(Input!A9="","",Input!A9)</f>
        <v>Enhanced Passive Core Active Defensive</v>
      </c>
      <c r="B8" t="s">
        <v>70</v>
      </c>
      <c r="C8" t="s">
        <v>77</v>
      </c>
      <c r="D8" s="8" t="s">
        <v>88</v>
      </c>
    </row>
    <row r="9" spans="1:5" x14ac:dyDescent="0.25">
      <c r="A9" t="str">
        <f>IF(Input!A10="","",Input!A10)</f>
        <v>Enhanced Passive Core Active Cautious</v>
      </c>
      <c r="B9" t="s">
        <v>70</v>
      </c>
      <c r="C9" t="s">
        <v>78</v>
      </c>
      <c r="D9" s="8" t="s">
        <v>92</v>
      </c>
    </row>
    <row r="10" spans="1:5" x14ac:dyDescent="0.25">
      <c r="A10" t="str">
        <f>IF(Input!A11="","",Input!A11)</f>
        <v>Enhanced Passive Core Active Balanced</v>
      </c>
      <c r="B10" t="s">
        <v>70</v>
      </c>
      <c r="C10" t="s">
        <v>79</v>
      </c>
      <c r="D10" s="8" t="s">
        <v>96</v>
      </c>
    </row>
    <row r="11" spans="1:5" x14ac:dyDescent="0.25">
      <c r="A11" t="str">
        <f>IF(Input!A12="","",Input!A12)</f>
        <v>Enhanced Passive Core Active Growth</v>
      </c>
      <c r="B11" t="s">
        <v>70</v>
      </c>
      <c r="C11" t="s">
        <v>80</v>
      </c>
      <c r="D11" s="8" t="s">
        <v>100</v>
      </c>
    </row>
    <row r="12" spans="1:5" x14ac:dyDescent="0.25">
      <c r="A12" t="str">
        <f>IF(Input!A13="","",Input!A13)</f>
        <v>Enhanced Passive Core Active Adventurous</v>
      </c>
      <c r="B12" t="s">
        <v>70</v>
      </c>
      <c r="C12" t="s">
        <v>81</v>
      </c>
      <c r="D12" s="8" t="s">
        <v>104</v>
      </c>
    </row>
    <row r="13" spans="1:5" x14ac:dyDescent="0.25">
      <c r="A13" t="str">
        <f>IF(Input!A14="","",Input!A14)</f>
        <v>Sustainabilty-focused Core Active Defensive</v>
      </c>
      <c r="B13" t="s">
        <v>70</v>
      </c>
      <c r="C13" t="s">
        <v>82</v>
      </c>
      <c r="D13" s="8" t="s">
        <v>89</v>
      </c>
    </row>
    <row r="14" spans="1:5" x14ac:dyDescent="0.25">
      <c r="A14" t="str">
        <f>IF(Input!A15="","",Input!A15)</f>
        <v>Sustainabilty-focused Core Active Cautious</v>
      </c>
      <c r="B14" t="s">
        <v>70</v>
      </c>
      <c r="C14" t="s">
        <v>83</v>
      </c>
      <c r="D14" s="8" t="s">
        <v>93</v>
      </c>
    </row>
    <row r="15" spans="1:5" x14ac:dyDescent="0.25">
      <c r="A15" t="str">
        <f>IF(Input!A16="","",Input!A16)</f>
        <v>Sustainabilty-focused Core Active Balanced</v>
      </c>
      <c r="B15" t="s">
        <v>70</v>
      </c>
      <c r="C15" t="s">
        <v>84</v>
      </c>
      <c r="D15" s="8" t="s">
        <v>97</v>
      </c>
    </row>
    <row r="16" spans="1:5" x14ac:dyDescent="0.25">
      <c r="A16" t="str">
        <f>IF(Input!A17="","",Input!A17)</f>
        <v>Sustainabilty-focused Core Active Growth</v>
      </c>
      <c r="B16" t="s">
        <v>70</v>
      </c>
      <c r="C16" t="s">
        <v>85</v>
      </c>
      <c r="D16" s="8" t="s">
        <v>101</v>
      </c>
    </row>
    <row r="17" spans="1:4" x14ac:dyDescent="0.25">
      <c r="A17" t="str">
        <f>IF(Input!A18="","",Input!A18)</f>
        <v>Sustainabilty-focused Core Active Adventurous</v>
      </c>
      <c r="B17" t="s">
        <v>70</v>
      </c>
      <c r="C17" t="s">
        <v>86</v>
      </c>
      <c r="D17" s="8" t="s">
        <v>105</v>
      </c>
    </row>
    <row r="18" spans="1:4" x14ac:dyDescent="0.25">
      <c r="A18" t="str">
        <f>IF(Input!A19="","",Input!A19)</f>
        <v>Sharia Defensive</v>
      </c>
      <c r="B18" t="s">
        <v>70</v>
      </c>
      <c r="C18" t="s">
        <v>51</v>
      </c>
      <c r="D18" s="8" t="s">
        <v>90</v>
      </c>
    </row>
    <row r="19" spans="1:4" x14ac:dyDescent="0.25">
      <c r="A19" t="str">
        <f>IF(Input!A20="","",Input!A20)</f>
        <v>Sharia Cautious</v>
      </c>
      <c r="B19" t="s">
        <v>70</v>
      </c>
      <c r="C19" t="s">
        <v>52</v>
      </c>
      <c r="D19" s="8" t="s">
        <v>94</v>
      </c>
    </row>
    <row r="20" spans="1:4" x14ac:dyDescent="0.25">
      <c r="A20" t="str">
        <f>IF(Input!A21="","",Input!A21)</f>
        <v>Sharia Balanced</v>
      </c>
      <c r="B20" t="s">
        <v>70</v>
      </c>
      <c r="C20" t="s">
        <v>53</v>
      </c>
      <c r="D20" s="8" t="s">
        <v>98</v>
      </c>
    </row>
    <row r="21" spans="1:4" x14ac:dyDescent="0.25">
      <c r="A21" t="str">
        <f>IF(Input!A22="","",Input!A22)</f>
        <v>Sharia Growth</v>
      </c>
      <c r="B21" t="s">
        <v>70</v>
      </c>
      <c r="C21" t="s">
        <v>54</v>
      </c>
      <c r="D21" s="8" t="s">
        <v>102</v>
      </c>
    </row>
    <row r="22" spans="1:4" x14ac:dyDescent="0.25">
      <c r="A22" t="str">
        <f>IF(Input!A23="","",Input!A23)</f>
        <v>Sharia Adventurous</v>
      </c>
      <c r="B22" t="s">
        <v>70</v>
      </c>
      <c r="C22" t="s">
        <v>55</v>
      </c>
      <c r="D22" s="8" t="s">
        <v>106</v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Core Active Defensive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Active Cautious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Active Balanced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Active Growth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Active Adventurous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Core Active Speculative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Enhanced Passive Core Active Defensive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Enhanced Passive Core Active Cautious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Enhanced Passive Core Active Balanced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Enhanced Passive Core Active Growth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Enhanced Passive Core Active Adventurous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Sustainabilty-focused Core Active Defensive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Sustainabilty-focused Core Active Cautious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Sustainabilty-focused Core Active Balanced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Sustainabilty-focused Core Active Growth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Sustainabilty-focused Core Active Adventurous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Sharia Defensive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Sharia Cautious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Sharia Balanced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Sharia Growth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Sharia Adventurous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Core Active Defensive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Core Active Cautious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Core Active Balanced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Core Active Growth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Core Active Adventurous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Core Active Speculative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Enhanced Passive Core Active Defensive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Enhanced Passive Core Active Cautious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Enhanced Passive Core Active Balanced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Enhanced Passive Core Active Growth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Enhanced Passive Core Active Adventurous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Sustainabilty-focused Core Active Defensive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Sustainabilty-focused Core Active Cautious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Sustainabilty-focused Core Active Balanced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Sustainabilty-focused Core Active Growth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Sustainabilty-focused Core Active Adventurous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Sharia Defensive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Sharia Cautious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Sharia Balanced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Sharia Growth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Sharia Adventurous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Core Active Defensive</v>
      </c>
      <c r="B2">
        <f>IF(A2="","",SUM('Asset Allocation'!C2))</f>
        <v>0</v>
      </c>
      <c r="C2">
        <f>IF(A2="","",SUM('Asset Allocation'!B2))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Active Cautious</v>
      </c>
      <c r="B3">
        <f>IF(A3="","",SUM('Asset Allocation'!C3))</f>
        <v>0</v>
      </c>
      <c r="C3">
        <f>IF(A3="","",SUM('Asset Allocation'!B3))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Core Active Balanced</v>
      </c>
      <c r="B4">
        <f>IF(A4="","",SUM('Asset Allocation'!C4))</f>
        <v>0</v>
      </c>
      <c r="C4">
        <f>IF(A4="","",SUM('Asset Allocation'!B4))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Core Active Growth</v>
      </c>
      <c r="B5">
        <f>IF(A5="","",SUM('Asset Allocation'!C5))</f>
        <v>0</v>
      </c>
      <c r="C5">
        <f>IF(A5="","",SUM('Asset Allocation'!B5))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Core Active Adventurous</v>
      </c>
      <c r="B6">
        <f>IF(A6="","",SUM('Asset Allocation'!C6))</f>
        <v>0</v>
      </c>
      <c r="C6">
        <f>IF(A6="","",SUM('Asset Allocation'!B6))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Core Active Speculative</v>
      </c>
      <c r="B7">
        <f>IF(A7="","",SUM('Asset Allocation'!C7))</f>
        <v>0</v>
      </c>
      <c r="C7">
        <f>IF(A7="","",SUM('Asset Allocation'!B7))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Enhanced Passive Core Active Defensive</v>
      </c>
      <c r="B8">
        <f>IF(A8="","",SUM('Asset Allocation'!C8))</f>
        <v>0</v>
      </c>
      <c r="C8">
        <f>IF(A8="","",SUM('Asset Allocation'!B8))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Enhanced Passive Core Active Cautious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Enhanced Passive Core Active Balanced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Enhanced Passive Core Active Growth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Enhanced Passive Core Active Adventurous</v>
      </c>
      <c r="B12">
        <f>IF(A12="","",SUM('Asset Allocation'!C12))</f>
        <v>0</v>
      </c>
      <c r="C12">
        <f>IF(A12="","",SUM('Asset Allocation'!B12))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Sustainabilty-focused Core Active Defensive</v>
      </c>
      <c r="B13">
        <f>IF(A13="","",SUM('Asset Allocation'!C13))</f>
        <v>0</v>
      </c>
      <c r="C13">
        <f>IF(A13="","",SUM('Asset Allocation'!B13))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Sustainabilty-focused Core Active Cautious</v>
      </c>
      <c r="B14">
        <f>IF(A14="","",SUM('Asset Allocation'!C14))</f>
        <v>0</v>
      </c>
      <c r="C14">
        <f>IF(A14="","",SUM('Asset Allocation'!B14))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Sustainabilty-focused Core Active Balanced</v>
      </c>
      <c r="B15">
        <f>IF(A15="","",SUM('Asset Allocation'!C15))</f>
        <v>0</v>
      </c>
      <c r="C15">
        <f>IF(A15="","",SUM('Asset Allocation'!B15))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Sustainabilty-focused Core Active Growth</v>
      </c>
      <c r="B16">
        <f>IF(A16="","",SUM('Asset Allocation'!C16))</f>
        <v>0</v>
      </c>
      <c r="C16">
        <f>IF(A16="","",SUM('Asset Allocation'!B16))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Sustainabilty-focused Core Active Adventurous</v>
      </c>
      <c r="B17">
        <f>IF(A17="","",SUM('Asset Allocation'!C17))</f>
        <v>0</v>
      </c>
      <c r="C17">
        <f>IF(A17="","",SUM('Asset Allocation'!B17))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Sharia Defensive</v>
      </c>
      <c r="B18">
        <f>IF(A18="","",SUM('Asset Allocation'!C18))</f>
        <v>0</v>
      </c>
      <c r="C18">
        <f>IF(A18="","",SUM('Asset Allocation'!B18))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Sharia Cautious</v>
      </c>
      <c r="B19">
        <f>IF(A19="","",SUM('Asset Allocation'!C19))</f>
        <v>0</v>
      </c>
      <c r="C19">
        <f>IF(A19="","",SUM('Asset Allocation'!B19))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Sharia Balanced</v>
      </c>
      <c r="B20">
        <f>IF(A20="","",SUM('Asset Allocation'!C20))</f>
        <v>0</v>
      </c>
      <c r="C20">
        <f>IF(A20="","",SUM('Asset Allocation'!B20))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Sharia Growth</v>
      </c>
      <c r="B21">
        <f>IF(A21="","",SUM('Asset Allocation'!C21))</f>
        <v>0</v>
      </c>
      <c r="C21">
        <f>IF(A21="","",SUM('Asset Allocation'!B21))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Sharia Adventurous</v>
      </c>
      <c r="B22">
        <f>IF(A22="","",SUM('Asset Allocation'!C22))</f>
        <v>0</v>
      </c>
      <c r="C22">
        <f>IF(A22="","",SUM('Asset Allocation'!B22))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Core Active Defensive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Core Active Cautious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Core Active Balanced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Core Active Growth</v>
      </c>
      <c r="B5" s="6">
        <f>IFERROR(IF(A5="","",SUM('Asset Allocation'!F5)),0)</f>
        <v>0</v>
      </c>
      <c r="C5" s="6">
        <f>IFERROR(IF(A5="","",SUM('Asset Allocation'!E5)),0)</f>
        <v>0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Core Active Adventurous</v>
      </c>
      <c r="B6" s="6">
        <f>IFERROR(IF(A6="","",SUM('Asset Allocation'!F6)),0)</f>
        <v>0</v>
      </c>
      <c r="C6" s="6">
        <f>IFERROR(IF(A6="","",SUM('Asset Allocation'!E6)),0)</f>
        <v>0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Core Active Speculative</v>
      </c>
      <c r="B7" s="6">
        <f>IFERROR(IF(A7="","",SUM('Asset Allocation'!F7)),0)</f>
        <v>0</v>
      </c>
      <c r="C7" s="6">
        <f>IFERROR(IF(A7="","",SUM('Asset Allocation'!E7)),0)</f>
        <v>0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Enhanced Passive Core Active Defensive</v>
      </c>
      <c r="B8" s="6">
        <f>IFERROR(IF(A8="","",SUM('Asset Allocation'!F8)),0)</f>
        <v>0</v>
      </c>
      <c r="C8" s="6">
        <f>IFERROR(IF(A8="","",SUM('Asset Allocation'!E8)),0)</f>
        <v>0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Enhanced Passive Core Active Cautious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0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Enhanced Passive Core Active Balanced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0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Enhanced Passive Core Active Growth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0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>Enhanced Passive Core Active Adventurous</v>
      </c>
      <c r="B12" s="6">
        <f>IFERROR(IF(A12="","",SUM('Asset Allocation'!F12)),0)</f>
        <v>0</v>
      </c>
      <c r="C12" s="6">
        <f>IFERROR(IF(A12="","",SUM('Asset Allocation'!E12)),0)</f>
        <v>0</v>
      </c>
      <c r="D12" s="6">
        <f>IFERROR(IF(A12="","",SUM('Asset Allocation'!I12)),0)</f>
        <v>0</v>
      </c>
      <c r="E12" s="6">
        <f>IFERROR(IF(A12="","",SUM('Asset Allocation'!G12)),0)</f>
        <v>0</v>
      </c>
      <c r="F12" s="6">
        <f>IFERROR(IF(A12="","",SUM('Asset Allocation'!J12,'Asset Allocation'!N12)),0)</f>
        <v>0</v>
      </c>
      <c r="G12" s="6">
        <f>IFERROR(IF(A12="","",SUM('Asset Allocation'!H12,'Asset Allocation'!K12,'Asset Allocation'!L12,'Asset Allocation'!M12)),0)</f>
        <v>0</v>
      </c>
      <c r="H12" s="6"/>
    </row>
    <row r="13" spans="1:8" x14ac:dyDescent="0.25">
      <c r="A13" t="str">
        <f>IF(Input!A14="","",Input!A14)</f>
        <v>Sustainabilty-focused Core Active Defensive</v>
      </c>
      <c r="B13" s="6">
        <f>IFERROR(IF(A13="","",SUM('Asset Allocation'!F13)),0)</f>
        <v>0</v>
      </c>
      <c r="C13" s="6">
        <f>IFERROR(IF(A13="","",SUM('Asset Allocation'!E13)),0)</f>
        <v>0</v>
      </c>
      <c r="D13" s="6">
        <f>IFERROR(IF(A13="","",SUM('Asset Allocation'!I13)),0)</f>
        <v>0</v>
      </c>
      <c r="E13" s="6">
        <f>IFERROR(IF(A13="","",SUM('Asset Allocation'!G13)),0)</f>
        <v>0</v>
      </c>
      <c r="F13" s="6">
        <f>IFERROR(IF(A13="","",SUM('Asset Allocation'!J13,'Asset Allocation'!N13)),0)</f>
        <v>0</v>
      </c>
      <c r="G13" s="6">
        <f>IFERROR(IF(A13="","",SUM('Asset Allocation'!H13,'Asset Allocation'!K13,'Asset Allocation'!L13,'Asset Allocation'!M13)),0)</f>
        <v>0</v>
      </c>
      <c r="H13" s="6"/>
    </row>
    <row r="14" spans="1:8" x14ac:dyDescent="0.25">
      <c r="A14" t="str">
        <f>IF(Input!A15="","",Input!A15)</f>
        <v>Sustainabilty-focused Core Active Cautious</v>
      </c>
      <c r="B14" s="6">
        <f>IFERROR(IF(A14="","",SUM('Asset Allocation'!F14)),0)</f>
        <v>0</v>
      </c>
      <c r="C14" s="6">
        <f>IFERROR(IF(A14="","",SUM('Asset Allocation'!E14)),0)</f>
        <v>0</v>
      </c>
      <c r="D14" s="6">
        <f>IFERROR(IF(A14="","",SUM('Asset Allocation'!I14)),0)</f>
        <v>0</v>
      </c>
      <c r="E14" s="6">
        <f>IFERROR(IF(A14="","",SUM('Asset Allocation'!G14)),0)</f>
        <v>0</v>
      </c>
      <c r="F14" s="6">
        <f>IFERROR(IF(A14="","",SUM('Asset Allocation'!J14,'Asset Allocation'!N14)),0)</f>
        <v>0</v>
      </c>
      <c r="G14" s="6">
        <f>IFERROR(IF(A14="","",SUM('Asset Allocation'!H14,'Asset Allocation'!K14,'Asset Allocation'!L14,'Asset Allocation'!M14)),0)</f>
        <v>0</v>
      </c>
      <c r="H14" s="6"/>
    </row>
    <row r="15" spans="1:8" x14ac:dyDescent="0.25">
      <c r="A15" t="str">
        <f>IF(Input!A16="","",Input!A16)</f>
        <v>Sustainabilty-focused Core Active Balanced</v>
      </c>
      <c r="B15" s="6">
        <f>IFERROR(IF(A15="","",SUM('Asset Allocation'!F15)),0)</f>
        <v>0</v>
      </c>
      <c r="C15" s="6">
        <f>IFERROR(IF(A15="","",SUM('Asset Allocation'!E15)),0)</f>
        <v>0</v>
      </c>
      <c r="D15" s="6">
        <f>IFERROR(IF(A15="","",SUM('Asset Allocation'!I15)),0)</f>
        <v>0</v>
      </c>
      <c r="E15" s="6">
        <f>IFERROR(IF(A15="","",SUM('Asset Allocation'!G15)),0)</f>
        <v>0</v>
      </c>
      <c r="F15" s="6">
        <f>IFERROR(IF(A15="","",SUM('Asset Allocation'!J15,'Asset Allocation'!N15)),0)</f>
        <v>0</v>
      </c>
      <c r="G15" s="6">
        <f>IFERROR(IF(A15="","",SUM('Asset Allocation'!H15,'Asset Allocation'!K15,'Asset Allocation'!L15,'Asset Allocation'!M15)),0)</f>
        <v>0</v>
      </c>
      <c r="H15" s="6"/>
    </row>
    <row r="16" spans="1:8" x14ac:dyDescent="0.25">
      <c r="A16" t="str">
        <f>IF(Input!A17="","",Input!A17)</f>
        <v>Sustainabilty-focused Core Active Growth</v>
      </c>
      <c r="B16" s="6">
        <f>IFERROR(IF(A16="","",SUM('Asset Allocation'!F16)),0)</f>
        <v>0</v>
      </c>
      <c r="C16" s="6">
        <f>IFERROR(IF(A16="","",SUM('Asset Allocation'!E16)),0)</f>
        <v>0</v>
      </c>
      <c r="D16" s="6">
        <f>IFERROR(IF(A16="","",SUM('Asset Allocation'!I16)),0)</f>
        <v>0</v>
      </c>
      <c r="E16" s="6">
        <f>IFERROR(IF(A16="","",SUM('Asset Allocation'!G16)),0)</f>
        <v>0</v>
      </c>
      <c r="F16" s="6">
        <f>IFERROR(IF(A16="","",SUM('Asset Allocation'!J16,'Asset Allocation'!N16)),0)</f>
        <v>0</v>
      </c>
      <c r="G16" s="6">
        <f>IFERROR(IF(A16="","",SUM('Asset Allocation'!H16,'Asset Allocation'!K16,'Asset Allocation'!L16,'Asset Allocation'!M16)),0)</f>
        <v>0</v>
      </c>
      <c r="H16" s="6"/>
    </row>
    <row r="17" spans="1:8" x14ac:dyDescent="0.25">
      <c r="A17" t="str">
        <f>IF(Input!A18="","",Input!A18)</f>
        <v>Sustainabilty-focused Core Active Adventurous</v>
      </c>
      <c r="B17" s="6">
        <f>IFERROR(IF(A17="","",SUM('Asset Allocation'!F17)),0)</f>
        <v>0</v>
      </c>
      <c r="C17" s="6">
        <f>IFERROR(IF(A17="","",SUM('Asset Allocation'!E17)),0)</f>
        <v>0</v>
      </c>
      <c r="D17" s="6">
        <f>IFERROR(IF(A17="","",SUM('Asset Allocation'!I17)),0)</f>
        <v>0</v>
      </c>
      <c r="E17" s="6">
        <f>IFERROR(IF(A17="","",SUM('Asset Allocation'!G17)),0)</f>
        <v>0</v>
      </c>
      <c r="F17" s="6">
        <f>IFERROR(IF(A17="","",SUM('Asset Allocation'!J17,'Asset Allocation'!N17)),0)</f>
        <v>0</v>
      </c>
      <c r="G17" s="6">
        <f>IFERROR(IF(A17="","",SUM('Asset Allocation'!H17,'Asset Allocation'!K17,'Asset Allocation'!L17,'Asset Allocation'!M17)),0)</f>
        <v>0</v>
      </c>
      <c r="H17" s="6"/>
    </row>
    <row r="18" spans="1:8" x14ac:dyDescent="0.25">
      <c r="A18" t="str">
        <f>IF(Input!A19="","",Input!A19)</f>
        <v>Sharia Defensive</v>
      </c>
      <c r="B18" s="6">
        <f>IFERROR(IF(A18="","",SUM('Asset Allocation'!F18)),0)</f>
        <v>0</v>
      </c>
      <c r="C18" s="6">
        <f>IFERROR(IF(A18="","",SUM('Asset Allocation'!E18)),0)</f>
        <v>0</v>
      </c>
      <c r="D18" s="6">
        <f>IFERROR(IF(A18="","",SUM('Asset Allocation'!I18)),0)</f>
        <v>0</v>
      </c>
      <c r="E18" s="6">
        <f>IFERROR(IF(A18="","",SUM('Asset Allocation'!G18)),0)</f>
        <v>0</v>
      </c>
      <c r="F18" s="6">
        <f>IFERROR(IF(A18="","",SUM('Asset Allocation'!J18,'Asset Allocation'!N18)),0)</f>
        <v>0</v>
      </c>
      <c r="G18" s="6">
        <f>IFERROR(IF(A18="","",SUM('Asset Allocation'!H18,'Asset Allocation'!K18,'Asset Allocation'!L18,'Asset Allocation'!M18)),0)</f>
        <v>0</v>
      </c>
      <c r="H18" s="6"/>
    </row>
    <row r="19" spans="1:8" x14ac:dyDescent="0.25">
      <c r="A19" t="str">
        <f>IF(Input!A20="","",Input!A20)</f>
        <v>Sharia Cautious</v>
      </c>
      <c r="B19" s="6">
        <f>IFERROR(IF(A19="","",SUM('Asset Allocation'!F19)),0)</f>
        <v>0</v>
      </c>
      <c r="C19" s="6">
        <f>IFERROR(IF(A19="","",SUM('Asset Allocation'!E19)),0)</f>
        <v>0</v>
      </c>
      <c r="D19" s="6">
        <f>IFERROR(IF(A19="","",SUM('Asset Allocation'!I19)),0)</f>
        <v>0</v>
      </c>
      <c r="E19" s="6">
        <f>IFERROR(IF(A19="","",SUM('Asset Allocation'!G19)),0)</f>
        <v>0</v>
      </c>
      <c r="F19" s="6">
        <f>IFERROR(IF(A19="","",SUM('Asset Allocation'!J19,'Asset Allocation'!N19)),0)</f>
        <v>0</v>
      </c>
      <c r="G19" s="6">
        <f>IFERROR(IF(A19="","",SUM('Asset Allocation'!H19,'Asset Allocation'!K19,'Asset Allocation'!L19,'Asset Allocation'!M19)),0)</f>
        <v>0</v>
      </c>
      <c r="H19" s="6"/>
    </row>
    <row r="20" spans="1:8" x14ac:dyDescent="0.25">
      <c r="A20" t="str">
        <f>IF(Input!A21="","",Input!A21)</f>
        <v>Sharia Balanced</v>
      </c>
      <c r="B20" s="6">
        <f>IFERROR(IF(A20="","",SUM('Asset Allocation'!F20)),0)</f>
        <v>0</v>
      </c>
      <c r="C20" s="6">
        <f>IFERROR(IF(A20="","",SUM('Asset Allocation'!E20)),0)</f>
        <v>0</v>
      </c>
      <c r="D20" s="6">
        <f>IFERROR(IF(A20="","",SUM('Asset Allocation'!I20)),0)</f>
        <v>0</v>
      </c>
      <c r="E20" s="6">
        <f>IFERROR(IF(A20="","",SUM('Asset Allocation'!G20)),0)</f>
        <v>0</v>
      </c>
      <c r="F20" s="6">
        <f>IFERROR(IF(A20="","",SUM('Asset Allocation'!J20,'Asset Allocation'!N20)),0)</f>
        <v>0</v>
      </c>
      <c r="G20" s="6">
        <f>IFERROR(IF(A20="","",SUM('Asset Allocation'!H20,'Asset Allocation'!K20,'Asset Allocation'!L20,'Asset Allocation'!M20)),0)</f>
        <v>0</v>
      </c>
      <c r="H20" s="6"/>
    </row>
    <row r="21" spans="1:8" x14ac:dyDescent="0.25">
      <c r="A21" t="str">
        <f>IF(Input!A22="","",Input!A22)</f>
        <v>Sharia Growth</v>
      </c>
      <c r="B21" s="6">
        <f>IFERROR(IF(A21="","",SUM('Asset Allocation'!F21)),0)</f>
        <v>0</v>
      </c>
      <c r="C21" s="6">
        <f>IFERROR(IF(A21="","",SUM('Asset Allocation'!E21)),0)</f>
        <v>0</v>
      </c>
      <c r="D21" s="6">
        <f>IFERROR(IF(A21="","",SUM('Asset Allocation'!I21)),0)</f>
        <v>0</v>
      </c>
      <c r="E21" s="6">
        <f>IFERROR(IF(A21="","",SUM('Asset Allocation'!G21)),0)</f>
        <v>0</v>
      </c>
      <c r="F21" s="6">
        <f>IFERROR(IF(A21="","",SUM('Asset Allocation'!J21,'Asset Allocation'!N21)),0)</f>
        <v>0</v>
      </c>
      <c r="G21" s="6">
        <f>IFERROR(IF(A21="","",SUM('Asset Allocation'!H21,'Asset Allocation'!K21,'Asset Allocation'!L21,'Asset Allocation'!M21)),0)</f>
        <v>0</v>
      </c>
      <c r="H21" s="6"/>
    </row>
    <row r="22" spans="1:8" x14ac:dyDescent="0.25">
      <c r="A22" t="str">
        <f>IF(Input!A23="","",Input!A23)</f>
        <v>Sharia Adventurous</v>
      </c>
      <c r="B22" s="6">
        <f>IFERROR(IF(A22="","",SUM('Asset Allocation'!F22)),0)</f>
        <v>0</v>
      </c>
      <c r="C22" s="6">
        <f>IFERROR(IF(A22="","",SUM('Asset Allocation'!E22)),0)</f>
        <v>0</v>
      </c>
      <c r="D22" s="6">
        <f>IFERROR(IF(A22="","",SUM('Asset Allocation'!I22)),0)</f>
        <v>0</v>
      </c>
      <c r="E22" s="6">
        <f>IFERROR(IF(A22="","",SUM('Asset Allocation'!G22)),0)</f>
        <v>0</v>
      </c>
      <c r="F22" s="6">
        <f>IFERROR(IF(A22="","",SUM('Asset Allocation'!J22,'Asset Allocation'!N22)),0)</f>
        <v>0</v>
      </c>
      <c r="G22" s="6">
        <f>IFERROR(IF(A22="","",SUM('Asset Allocation'!H22,'Asset Allocation'!K22,'Asset Allocation'!L22,'Asset Allocation'!M22)),0)</f>
        <v>0</v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Core Active Defensive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Core Active Cautious</v>
      </c>
      <c r="H3">
        <f>IFERROR(IF(A3="","",SUM('Asset Allocation'!B3)/'Broad Asset Allocation'!C3),0)</f>
        <v>0</v>
      </c>
    </row>
    <row r="4" spans="1:8" x14ac:dyDescent="0.25">
      <c r="A4" t="str">
        <f>IF(Input!A5="","",Input!A5)</f>
        <v>Core Active Balanced</v>
      </c>
      <c r="H4">
        <f>IFERROR(IF(A4="","",SUM('Asset Allocation'!B4)/'Broad Asset Allocation'!C4),0)</f>
        <v>0</v>
      </c>
    </row>
    <row r="5" spans="1:8" x14ac:dyDescent="0.25">
      <c r="A5" t="str">
        <f>IF(Input!A6="","",Input!A6)</f>
        <v>Core Active Growth</v>
      </c>
      <c r="H5">
        <f>IFERROR(IF(A5="","",SUM('Asset Allocation'!B5)/'Broad Asset Allocation'!C5),0)</f>
        <v>0</v>
      </c>
    </row>
    <row r="6" spans="1:8" x14ac:dyDescent="0.25">
      <c r="A6" t="str">
        <f>IF(Input!A7="","",Input!A7)</f>
        <v>Core Active Adventurous</v>
      </c>
      <c r="H6">
        <f>IFERROR(IF(A6="","",SUM('Asset Allocation'!B6)/'Broad Asset Allocation'!C6),0)</f>
        <v>0</v>
      </c>
    </row>
    <row r="7" spans="1:8" x14ac:dyDescent="0.25">
      <c r="A7" t="str">
        <f>IF(Input!A8="","",Input!A8)</f>
        <v>Core Active Speculative</v>
      </c>
      <c r="H7">
        <f>IFERROR(IF(A7="","",SUM('Asset Allocation'!B7)/'Broad Asset Allocation'!C7),0)</f>
        <v>0</v>
      </c>
    </row>
    <row r="8" spans="1:8" x14ac:dyDescent="0.25">
      <c r="A8" t="str">
        <f>IF(Input!A9="","",Input!A9)</f>
        <v>Enhanced Passive Core Active Defensive</v>
      </c>
      <c r="H8">
        <f>IFERROR(IF(A8="","",SUM('Asset Allocation'!B8)/'Broad Asset Allocation'!C8),0)</f>
        <v>0</v>
      </c>
    </row>
    <row r="9" spans="1:8" x14ac:dyDescent="0.25">
      <c r="A9" t="str">
        <f>IF(Input!A10="","",Input!A10)</f>
        <v>Enhanced Passive Core Active Cautious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Enhanced Passive Core Active Balanced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Enhanced Passive Core Active Growth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>Enhanced Passive Core Active Adventurous</v>
      </c>
      <c r="H12">
        <f>IFERROR(IF(A12="","",SUM('Asset Allocation'!B12)/'Broad Asset Allocation'!C12),0)</f>
        <v>0</v>
      </c>
    </row>
    <row r="13" spans="1:8" x14ac:dyDescent="0.25">
      <c r="A13" t="str">
        <f>IF(Input!A14="","",Input!A14)</f>
        <v>Sustainabilty-focused Core Active Defensive</v>
      </c>
      <c r="H13">
        <f>IFERROR(IF(A13="","",SUM('Asset Allocation'!B13)/'Broad Asset Allocation'!C13),0)</f>
        <v>0</v>
      </c>
    </row>
    <row r="14" spans="1:8" x14ac:dyDescent="0.25">
      <c r="A14" t="str">
        <f>IF(Input!A15="","",Input!A15)</f>
        <v>Sustainabilty-focused Core Active Cautious</v>
      </c>
      <c r="H14">
        <f>IFERROR(IF(A14="","",SUM('Asset Allocation'!B14)/'Broad Asset Allocation'!C14),0)</f>
        <v>0</v>
      </c>
    </row>
    <row r="15" spans="1:8" x14ac:dyDescent="0.25">
      <c r="A15" t="str">
        <f>IF(Input!A16="","",Input!A16)</f>
        <v>Sustainabilty-focused Core Active Balanced</v>
      </c>
      <c r="H15">
        <f>IFERROR(IF(A15="","",SUM('Asset Allocation'!B15)/'Broad Asset Allocation'!C15),0)</f>
        <v>0</v>
      </c>
    </row>
    <row r="16" spans="1:8" x14ac:dyDescent="0.25">
      <c r="A16" t="str">
        <f>IF(Input!A17="","",Input!A17)</f>
        <v>Sustainabilty-focused Core Active Growth</v>
      </c>
      <c r="H16">
        <f>IFERROR(IF(A16="","",SUM('Asset Allocation'!B16)/'Broad Asset Allocation'!C16),0)</f>
        <v>0</v>
      </c>
    </row>
    <row r="17" spans="1:8" x14ac:dyDescent="0.25">
      <c r="A17" t="str">
        <f>IF(Input!A18="","",Input!A18)</f>
        <v>Sustainabilty-focused Core Active Adventurous</v>
      </c>
      <c r="H17">
        <f>IFERROR(IF(A17="","",SUM('Asset Allocation'!B17)/'Broad Asset Allocation'!C17),0)</f>
        <v>0</v>
      </c>
    </row>
    <row r="18" spans="1:8" x14ac:dyDescent="0.25">
      <c r="A18" t="str">
        <f>IF(Input!A19="","",Input!A19)</f>
        <v>Sharia Defensive</v>
      </c>
      <c r="H18">
        <f>IFERROR(IF(A18="","",SUM('Asset Allocation'!B18)/'Broad Asset Allocation'!C18),0)</f>
        <v>0</v>
      </c>
    </row>
    <row r="19" spans="1:8" x14ac:dyDescent="0.25">
      <c r="A19" t="str">
        <f>IF(Input!A20="","",Input!A20)</f>
        <v>Sharia Cautious</v>
      </c>
      <c r="H19">
        <f>IFERROR(IF(A19="","",SUM('Asset Allocation'!B19)/'Broad Asset Allocation'!C19),0)</f>
        <v>0</v>
      </c>
    </row>
    <row r="20" spans="1:8" x14ac:dyDescent="0.25">
      <c r="A20" t="str">
        <f>IF(Input!A21="","",Input!A21)</f>
        <v>Sharia Balanced</v>
      </c>
      <c r="H20">
        <f>IFERROR(IF(A20="","",SUM('Asset Allocation'!B20)/'Broad Asset Allocation'!C20),0)</f>
        <v>0</v>
      </c>
    </row>
    <row r="21" spans="1:8" x14ac:dyDescent="0.25">
      <c r="A21" t="str">
        <f>IF(Input!A22="","",Input!A22)</f>
        <v>Sharia Growth</v>
      </c>
      <c r="H21">
        <f>IFERROR(IF(A21="","",SUM('Asset Allocation'!B21)/'Broad Asset Allocation'!C21),0)</f>
        <v>0</v>
      </c>
    </row>
    <row r="22" spans="1:8" x14ac:dyDescent="0.25">
      <c r="A22" t="str">
        <f>IF(Input!A23="","",Input!A23)</f>
        <v>Sharia Adventurous</v>
      </c>
      <c r="H22">
        <f>IFERROR(IF(A22="","",SUM('Asset Allocation'!B22)/'Broad Asset Allocation'!C22),0)</f>
        <v>0</v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2024-01-13T14:04:48Z</dcterms:modified>
</cp:coreProperties>
</file>