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Scraping\milestone 11-13\TAM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3" l="1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" i="3"/>
  <c r="B19" i="1" l="1"/>
  <c r="B20" i="1"/>
  <c r="B21" i="1"/>
  <c r="B22" i="1"/>
  <c r="B23" i="1"/>
  <c r="B9" i="1"/>
  <c r="B10" i="1"/>
  <c r="B11" i="1"/>
  <c r="B12" i="1"/>
  <c r="B13" i="1"/>
  <c r="B14" i="1"/>
  <c r="B15" i="1"/>
  <c r="B16" i="1"/>
  <c r="B17" i="1"/>
  <c r="B18" i="1"/>
  <c r="B3" i="1"/>
  <c r="B5" i="1"/>
  <c r="B6" i="1"/>
  <c r="B7" i="1"/>
  <c r="B8" i="1"/>
  <c r="B4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H16" i="8" s="1"/>
  <c r="B49" i="4"/>
  <c r="C49" i="4"/>
  <c r="G49" i="4"/>
  <c r="B6" i="4"/>
  <c r="C6" i="4"/>
  <c r="H6" i="8" s="1"/>
  <c r="G6" i="4"/>
  <c r="B14" i="4"/>
  <c r="C14" i="4"/>
  <c r="H14" i="8" s="1"/>
  <c r="G14" i="4"/>
  <c r="B22" i="4"/>
  <c r="C22" i="4"/>
  <c r="H22" i="8" s="1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H10" i="8" s="1"/>
  <c r="G10" i="4"/>
  <c r="B18" i="4"/>
  <c r="G18" i="4"/>
  <c r="C18" i="4"/>
  <c r="H18" i="8" s="1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H15" i="8" s="1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H11" i="8" s="1"/>
  <c r="G11" i="4"/>
  <c r="B11" i="4"/>
  <c r="C19" i="4"/>
  <c r="H19" i="8" s="1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H12" i="8" s="1"/>
  <c r="G20" i="4"/>
  <c r="B20" i="4"/>
  <c r="C20" i="4"/>
  <c r="H20" i="8" s="1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H17" i="8" s="1"/>
  <c r="G17" i="4"/>
  <c r="B33" i="4"/>
  <c r="C33" i="4"/>
  <c r="G33" i="4"/>
  <c r="B5" i="4"/>
  <c r="C5" i="4"/>
  <c r="H5" i="8" s="1"/>
  <c r="G5" i="4"/>
  <c r="B13" i="4"/>
  <c r="C13" i="4"/>
  <c r="H13" i="8" s="1"/>
  <c r="G13" i="4"/>
  <c r="C21" i="4"/>
  <c r="H21" i="8" s="1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<sst xmlns="http://schemas.openxmlformats.org/spreadsheetml/2006/main" count="135" uniqueCount="115">
  <si>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</si>
  <si>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</si>
  <si>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</si>
  <si>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</si>
  <si>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</si>
  <si>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</si>
  <si>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</si>
  <si>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</si>
  <si>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</si>
  <si>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</si>
  <si>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</si>
  <si>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</si>
  <si>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</si>
  <si>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</si>
  <si>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</si>
  <si>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</si>
  <si>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</si>
  <si>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</si>
  <si>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</si>
  <si>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</si>
  <si>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</si>
  <si>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</si>
  <si>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</si>
  <si>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</si>
  <si>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</si>
  <si>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</si>
  <si>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</si>
  <si>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</si>
  <si>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</si>
  <si>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</si>
  <si>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</si>
  <si>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</si>
  <si>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</si>
  <si>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https://www.tamassetmanagement.com/model-portfolios/tam-active/</t>
  </si>
  <si>
    <t>TAM AMC</t>
  </si>
  <si>
    <t>Underlying OCF</t>
  </si>
  <si>
    <t>Core Active Defensive</t>
  </si>
  <si>
    <t>Core Active Cautious</t>
  </si>
  <si>
    <t>Core Active Balanced</t>
  </si>
  <si>
    <t>Core Active Growth</t>
  </si>
  <si>
    <t>Core Active Adventurous</t>
  </si>
  <si>
    <t>Core Active Speculative</t>
  </si>
  <si>
    <t>Enhanced Passive Core Active Defensive</t>
  </si>
  <si>
    <t>Enhanced Passive Core Active Cautious</t>
  </si>
  <si>
    <t>Enhanced Passive Core Active Balanced</t>
  </si>
  <si>
    <t>Enhanced Passive Core Active Growth</t>
  </si>
  <si>
    <t>Enhanced Passive Core Active Adventurous</t>
  </si>
  <si>
    <t>https://www.tamassetmanagement.com/model-portfolios/tam-enhanced-passive/</t>
  </si>
  <si>
    <t>Sustainabilty-focused Core Active Defensive</t>
  </si>
  <si>
    <t>Sustainabilty-focused Core Active Cautious</t>
  </si>
  <si>
    <t>Sustainabilty-focused Core Active Balanced</t>
  </si>
  <si>
    <t>Sustainabilty-focused Core Active Growth</t>
  </si>
  <si>
    <t>Sustainabilty-focused Core Active Adventurous</t>
  </si>
  <si>
    <t>Sharia Defensive</t>
  </si>
  <si>
    <t>Sharia Cautious</t>
  </si>
  <si>
    <t>Sharia Balanced</t>
  </si>
  <si>
    <t>Sharia Growth</t>
  </si>
  <si>
    <t>Sharia Adventurous</t>
  </si>
  <si>
    <t>https://www.tamassetmanagement.com/model-portfolios/tam-sharia/</t>
  </si>
  <si>
    <t>Global Fixed Interest</t>
  </si>
  <si>
    <t>North American Equities</t>
  </si>
  <si>
    <t>European Equities</t>
  </si>
  <si>
    <t>UK Gilts</t>
  </si>
  <si>
    <t>Asia Pacific Equities</t>
  </si>
  <si>
    <t>Japanese Equities</t>
  </si>
  <si>
    <t>Money Market</t>
  </si>
  <si>
    <t>UK Equities</t>
  </si>
  <si>
    <t>UK Corporate Fixed…</t>
  </si>
  <si>
    <t>Global Emerging Market…</t>
  </si>
  <si>
    <t>Commodity &amp; Energy</t>
  </si>
  <si>
    <t>Alternative Investment…</t>
  </si>
  <si>
    <t>UK Index-Linked</t>
  </si>
  <si>
    <t>Global Emerging…</t>
  </si>
  <si>
    <t>https://www.tamassetmanagement.com/model-portfolios/tam-sustainable-world/</t>
  </si>
  <si>
    <t>Sharia-compliant Sharia Defensive</t>
  </si>
  <si>
    <t>Sharia-compliant Sharia Cautious</t>
  </si>
  <si>
    <t>Sharia-compliant Sharia Balanced</t>
  </si>
  <si>
    <t>Sharia-compliant Sharia Growth</t>
  </si>
  <si>
    <t>Sharia-compliant Sharia Adventurous</t>
  </si>
  <si>
    <t>sustainabilty-focused Adventurous</t>
  </si>
  <si>
    <t>sustainabilty-focused Growth</t>
  </si>
  <si>
    <t>sustainabilty-focused Balanced</t>
  </si>
  <si>
    <t>sustainabilty-focused Cautious</t>
  </si>
  <si>
    <t>sustainabilty-focused Defensive</t>
  </si>
  <si>
    <t>core active Defensive</t>
  </si>
  <si>
    <t>core active Balanced</t>
  </si>
  <si>
    <t>core active Cautious</t>
  </si>
  <si>
    <t>core active Growth</t>
  </si>
  <si>
    <t>core active Adventurous</t>
  </si>
  <si>
    <t>core active Speculative</t>
  </si>
  <si>
    <t>enhanced passive Adventurous</t>
  </si>
  <si>
    <t>enhanced passive Defensive</t>
  </si>
  <si>
    <t>enhanced passive Cautious</t>
  </si>
  <si>
    <t>enhanced passive Balanced</t>
  </si>
  <si>
    <t>enhanced passive Growth</t>
  </si>
  <si>
    <t>https://www.tamassetmanagement.com/data/uploads/factsheets/active-defensive-q2-2023.pdf</t>
  </si>
  <si>
    <t>https://www.tamassetmanagement.com/data/uploads/factsheets/active-cautious-q2-2023.pdf</t>
  </si>
  <si>
    <t>https://www.tamassetmanagement.com/data/uploads/factsheets/active-balanced-q2-2023.pdf</t>
  </si>
  <si>
    <t>https://www.tamassetmanagement.com/data/uploads/factsheets/active-growth-q2-2023.pdf</t>
  </si>
  <si>
    <t>https://www.tamassetmanagement.com/data/uploads/factsheets/active-adventurous-q2-2023.pdf</t>
  </si>
  <si>
    <t>https://www.tamassetmanagement.com/data/uploads/factsheets/active-speculative-q2-2023.pdf</t>
  </si>
  <si>
    <t>https://www.tamassetmanagement.com/data/uploads/factsheets/enhanced-passive-defensive-q2-2023.pdf</t>
  </si>
  <si>
    <t>https://www.tamassetmanagement.com/data/uploads/factsheets/enhanced-passive-cautious-q2-2023.pdf</t>
  </si>
  <si>
    <t>https://www.tamassetmanagement.com/data/uploads/factsheets/enhanced-passive-balanced-q2-2023.pdf</t>
  </si>
  <si>
    <t>https://www.tamassetmanagement.com/data/uploads/factsheets/enhanced-passive-growth-q2-2023.pdf</t>
  </si>
  <si>
    <t>https://www.tamassetmanagement.com/data/uploads/factsheets/enhanced-passive-adventurous-q2-2023.pdf</t>
  </si>
  <si>
    <t>https://www.tamassetmanagement.com/data/uploads/factsheets/sustainable-world-defensive-q2-2023.pdf</t>
  </si>
  <si>
    <t>https://www.tamassetmanagement.com/data/uploads/factsheets/sustainable-world-cautious-q2-2023.pdf</t>
  </si>
  <si>
    <t>https://www.tamassetmanagement.com/data/uploads/factsheets/sustainable-world-balanced-q2-2023.pdf</t>
  </si>
  <si>
    <t>https://www.tamassetmanagement.com/data/uploads/factsheets/sustainable-world-growth-q2-2023.pdf</t>
  </si>
  <si>
    <t>https://www.tamassetmanagement.com/data/uploads/factsheets/sustainable-world-adventurous-q2-2023.pdf</t>
  </si>
  <si>
    <t>https://www.tamassetmanagement.com/data/uploads/factsheets/sharia-defensive-q2-2023.pdf</t>
  </si>
  <si>
    <t>https://www.tamassetmanagement.com/data/uploads/factsheets/sharia-cautious-q2-2023.pdf</t>
  </si>
  <si>
    <t>https://www.tamassetmanagement.com/data/uploads/factsheets/sharia-growth-q2-2023.pdf</t>
  </si>
  <si>
    <t>https://www.tamassetmanagement.com/data/uploads/factsheets/sharia-adventurous-q2-2023.pdf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</si>
</sst>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0" borderId="0" xfId="0" applyFill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69851</xdr:colOff>
      <xdr:row>1</xdr:row>
      <xdr:rowOff>38100</xdr:rowOff>
    </xdr:from>
    <xdr:to>
      <xdr:col>4</xdr:col>
      <xdr:colOff>593111</xdr:colOff>
      <xdr:row>16</xdr:row>
      <xdr:rowOff>19230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A0BE4B7-856D-5569-BEAC-5EC16D44A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851" y="222250"/>
          <a:ext cx="2961660" cy="274338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</xdr:colOff>
      <xdr:row>16</xdr:row>
      <xdr:rowOff>27482</xdr:rowOff>
    </xdr:from>
    <xdr:to>
      <xdr:col>6</xdr:col>
      <xdr:colOff>381000</xdr:colOff>
      <xdr:row>22</xdr:row>
      <xdr:rowOff>95328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10406F5-CA35-7819-1DCF-3B21BBB47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" y="2973882"/>
          <a:ext cx="4032250" cy="117274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95443</xdr:colOff>
      <xdr:row>19</xdr:row>
      <xdr:rowOff>95425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2437D09-9B6F-60B8-AF8B-3ED62BF71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753043" cy="3410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3"/>
  <sheetViews>
    <sheetView topLeftCell="A7" workbookViewId="0">
      <selection activeCell="A10" sqref="A10"/>
    </sheetView>
  </sheetViews>
  <sheetFormatPr defaultRowHeight="15" x14ac:dyDescent="0.25"/>
  <cols>
    <col min="1" max="1" width="37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36</v>
      </c>
      <c r="B3" t="str">
        <f>'PDF Scraping'!D2</f>
        <v>https://www.tamassetmanagement.com/data/uploads/factsheets/active-defensive-q2-2023.pdf</v>
      </c>
      <c r="J3" s="4"/>
    </row>
    <row r="4" spans="1:10" x14ac:dyDescent="0.25">
      <c r="A4" t="s">
        <v>37</v>
      </c>
      <c r="B4" t="str">
        <f>'PDF Scraping'!D3</f>
        <v>https://www.tamassetmanagement.com/data/uploads/factsheets/active-cautious-q2-2023.pdf</v>
      </c>
      <c r="J4" s="4"/>
    </row>
    <row r="5" spans="1:10" x14ac:dyDescent="0.25">
      <c r="A5" t="s">
        <v>38</v>
      </c>
      <c r="B5" t="str">
        <f>'PDF Scraping'!D4</f>
        <v>https://www.tamassetmanagement.com/data/uploads/factsheets/active-balanced-q2-2023.pdf</v>
      </c>
    </row>
    <row r="6" spans="1:10" x14ac:dyDescent="0.25">
      <c r="A6" t="s">
        <v>39</v>
      </c>
      <c r="B6" t="str">
        <f>'PDF Scraping'!D5</f>
        <v>https://www.tamassetmanagement.com/data/uploads/factsheets/active-growth-q2-2023.pdf</v>
      </c>
    </row>
    <row r="7" spans="1:10" x14ac:dyDescent="0.25">
      <c r="A7" t="s">
        <v>40</v>
      </c>
      <c r="B7" t="str">
        <f>'PDF Scraping'!D6</f>
        <v>https://www.tamassetmanagement.com/data/uploads/factsheets/active-adventurous-q2-2023.pdf</v>
      </c>
    </row>
    <row r="8" spans="1:10" x14ac:dyDescent="0.25">
      <c r="A8" t="s">
        <v>41</v>
      </c>
      <c r="B8" t="str">
        <f>'PDF Scraping'!D7</f>
        <v>https://www.tamassetmanagement.com/data/uploads/factsheets/active-speculative-q2-2023.pdf</v>
      </c>
    </row>
    <row r="9" spans="1:10" x14ac:dyDescent="0.25">
      <c r="A9" t="s">
        <v>42</v>
      </c>
      <c r="B9" t="str">
        <f>'PDF Scraping'!D8</f>
        <v>https://www.tamassetmanagement.com/data/uploads/factsheets/enhanced-passive-defensive-q2-2023.pdf</v>
      </c>
    </row>
    <row r="10" spans="1:10" x14ac:dyDescent="0.25">
      <c r="A10" t="s">
        <v>43</v>
      </c>
      <c r="B10" t="str">
        <f>'PDF Scraping'!D9</f>
        <v>https://www.tamassetmanagement.com/data/uploads/factsheets/enhanced-passive-cautious-q2-2023.pdf</v>
      </c>
    </row>
    <row r="11" spans="1:10" x14ac:dyDescent="0.25">
      <c r="A11" t="s">
        <v>44</v>
      </c>
      <c r="B11" t="str">
        <f>'PDF Scraping'!D10</f>
        <v>https://www.tamassetmanagement.com/data/uploads/factsheets/enhanced-passive-balanced-q2-2023.pdf</v>
      </c>
    </row>
    <row r="12" spans="1:10" x14ac:dyDescent="0.25">
      <c r="A12" t="s">
        <v>45</v>
      </c>
      <c r="B12" t="str">
        <f>'PDF Scraping'!D11</f>
        <v>https://www.tamassetmanagement.com/data/uploads/factsheets/enhanced-passive-growth-q2-2023.pdf</v>
      </c>
    </row>
    <row r="13" spans="1:10" x14ac:dyDescent="0.25">
      <c r="A13" t="s">
        <v>46</v>
      </c>
      <c r="B13" t="str">
        <f>'PDF Scraping'!D12</f>
        <v>https://www.tamassetmanagement.com/data/uploads/factsheets/enhanced-passive-adventurous-q2-2023.pdf</v>
      </c>
    </row>
    <row r="14" spans="1:10" x14ac:dyDescent="0.25">
      <c r="A14" t="s">
        <v>48</v>
      </c>
      <c r="B14" t="str">
        <f>'PDF Scraping'!D13</f>
        <v>https://www.tamassetmanagement.com/data/uploads/factsheets/sustainable-world-defensive-q2-2023.pdf</v>
      </c>
    </row>
    <row r="15" spans="1:10" x14ac:dyDescent="0.25">
      <c r="A15" t="s">
        <v>49</v>
      </c>
      <c r="B15" t="str">
        <f>'PDF Scraping'!D14</f>
        <v>https://www.tamassetmanagement.com/data/uploads/factsheets/sustainable-world-cautious-q2-2023.pdf</v>
      </c>
    </row>
    <row r="16" spans="1:10" x14ac:dyDescent="0.25">
      <c r="A16" t="s">
        <v>50</v>
      </c>
      <c r="B16" t="str">
        <f>'PDF Scraping'!D15</f>
        <v>https://www.tamassetmanagement.com/data/uploads/factsheets/sustainable-world-balanced-q2-2023.pdf</v>
      </c>
    </row>
    <row r="17" spans="1:2" x14ac:dyDescent="0.25">
      <c r="A17" t="s">
        <v>51</v>
      </c>
      <c r="B17" t="str">
        <f>'PDF Scraping'!D16</f>
        <v>https://www.tamassetmanagement.com/data/uploads/factsheets/sustainable-world-growth-q2-2023.pdf</v>
      </c>
    </row>
    <row r="18" spans="1:2" x14ac:dyDescent="0.25">
      <c r="A18" t="s">
        <v>52</v>
      </c>
      <c r="B18" t="str">
        <f>'PDF Scraping'!D17</f>
        <v>https://www.tamassetmanagement.com/data/uploads/factsheets/sustainable-world-adventurous-q2-2023.pdf</v>
      </c>
    </row>
    <row r="19" spans="1:2" x14ac:dyDescent="0.25">
      <c r="A19" t="s">
        <v>53</v>
      </c>
      <c r="B19" t="str">
        <f>'PDF Scraping'!D18</f>
        <v>https://www.tamassetmanagement.com/data/uploads/factsheets/sharia-defensive-q2-2023.pdf</v>
      </c>
    </row>
    <row r="20" spans="1:2" x14ac:dyDescent="0.25">
      <c r="A20" t="s">
        <v>54</v>
      </c>
      <c r="B20" t="str">
        <f>'PDF Scraping'!D19</f>
        <v>https://www.tamassetmanagement.com/data/uploads/factsheets/sharia-cautious-q2-2023.pdf</v>
      </c>
    </row>
    <row r="21" spans="1:2" x14ac:dyDescent="0.25">
      <c r="A21" t="s">
        <v>55</v>
      </c>
      <c r="B21" t="str">
        <f>'PDF Scraping'!D20</f>
        <v>https://www.tamassetmanagement.com/data/uploads/factsheets/sharia-growth-q2-2023.pdf</v>
      </c>
    </row>
    <row r="22" spans="1:2" x14ac:dyDescent="0.25">
      <c r="A22" t="s">
        <v>56</v>
      </c>
      <c r="B22" t="str">
        <f>'PDF Scraping'!D21</f>
        <v>https://www.tamassetmanagement.com/data/uploads/factsheets/sharia-growth-q2-2023.pdf</v>
      </c>
    </row>
    <row r="23" spans="1:2" x14ac:dyDescent="0.25">
      <c r="A23" t="s">
        <v>57</v>
      </c>
      <c r="B23" t="str">
        <f>'PDF Scraping'!D22</f>
        <v>https://www.tamassetmanagement.com/data/uploads/factsheets/sharia-adventurous-q2-2023.pdf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tabSelected="1" workbookViewId="0">
      <selection activeCell="I13" sqref="I13"/>
    </sheetView>
  </sheetViews>
  <sheetFormatPr defaultRowHeight="15" x14ac:dyDescent="0.25"/>
  <cols>
    <col min="1" max="1" width="43.7109375" bestFit="1" customWidth="1"/>
    <col min="2" max="2" width="19.140625" customWidth="1"/>
    <col min="3" max="3" width="9.5703125" bestFit="1" customWidth="1"/>
    <col min="4" max="4" width="14.85546875" bestFit="1" customWidth="1"/>
    <col min="5" max="5" width="7.140625" bestFit="1" customWidth="1"/>
    <col min="6" max="6" width="13.7109375" bestFit="1" customWidth="1"/>
  </cols>
  <sheetData>
    <row r="1" spans="1:6" x14ac:dyDescent="0.25">
      <c r="B1" t="s">
        <v>26</v>
      </c>
      <c r="C1" t="s">
        <v>34</v>
      </c>
      <c r="D1" t="s">
        <v>35</v>
      </c>
      <c r="E1" t="s">
        <v>32</v>
      </c>
    </row>
    <row r="2" spans="1:6" x14ac:dyDescent="0.25">
      <c r="A2" t="str">
        <f>IF(Input!A3="","",Input!A3)</f>
        <v>Core Active Defensive</v>
      </c>
      <c r="B2" s="1">
        <v>45107</v>
      </c>
      <c r="C2" s="5">
        <v>3.0000000000000001E-3</v>
      </c>
      <c r="D2" s="5">
        <v>3.0000000000000001E-3</v>
      </c>
      <c r="E2" s="5">
        <v>-4.0099999999999997E-2</v>
      </c>
      <c r="F2" s="5"/>
    </row>
    <row r="3" spans="1:6" x14ac:dyDescent="0.25">
      <c r="A3" t="str">
        <f>IF(Input!A4="","",Input!A4)</f>
        <v>Core Active Cautious</v>
      </c>
      <c r="B3" s="1">
        <v>45107</v>
      </c>
      <c r="C3" s="5">
        <v>3.0000000000000001E-3</v>
      </c>
      <c r="D3" s="5">
        <v>3.4000000000000002E-3</v>
      </c>
      <c r="E3" s="5">
        <v>-4.0000000000000002E-4</v>
      </c>
      <c r="F3" s="5"/>
    </row>
    <row r="4" spans="1:6" x14ac:dyDescent="0.25">
      <c r="A4" t="str">
        <f>IF(Input!A5="","",Input!A5)</f>
        <v>Core Active Balanced</v>
      </c>
      <c r="B4" s="1">
        <v>45107</v>
      </c>
      <c r="C4" s="5">
        <v>3.0000000000000001E-3</v>
      </c>
      <c r="D4" s="5">
        <v>4.0999999999999995E-3</v>
      </c>
      <c r="E4" s="5">
        <v>2.3E-2</v>
      </c>
      <c r="F4" s="5"/>
    </row>
    <row r="5" spans="1:6" x14ac:dyDescent="0.25">
      <c r="A5" t="str">
        <f>IF(Input!A6="","",Input!A6)</f>
        <v>Core Active Growth</v>
      </c>
      <c r="B5" s="1">
        <v>45107</v>
      </c>
      <c r="C5" s="5">
        <v>3.0000000000000001E-3</v>
      </c>
      <c r="D5" s="5">
        <v>4.8999999999999998E-3</v>
      </c>
      <c r="E5" s="5">
        <v>3.7499999999999999E-2</v>
      </c>
      <c r="F5" s="5"/>
    </row>
    <row r="6" spans="1:6" x14ac:dyDescent="0.25">
      <c r="A6" t="str">
        <f>IF(Input!A7="","",Input!A7)</f>
        <v>Core Active Adventurous</v>
      </c>
      <c r="B6" s="1">
        <v>45107</v>
      </c>
      <c r="C6" s="5">
        <v>3.0000000000000001E-3</v>
      </c>
      <c r="D6" s="5">
        <v>5.5000000000000005E-3</v>
      </c>
      <c r="E6" s="5">
        <v>5.5599999999999997E-2</v>
      </c>
      <c r="F6" s="5"/>
    </row>
    <row r="7" spans="1:6" x14ac:dyDescent="0.25">
      <c r="A7" t="str">
        <f>IF(Input!A8="","",Input!A8)</f>
        <v>Core Active Speculative</v>
      </c>
      <c r="B7" s="1">
        <v>45107</v>
      </c>
      <c r="C7" s="5">
        <v>3.0000000000000001E-3</v>
      </c>
      <c r="D7" s="5">
        <v>6.5000000000000006E-3</v>
      </c>
      <c r="E7" s="5">
        <v>8.1900000000000001E-2</v>
      </c>
      <c r="F7" s="5"/>
    </row>
    <row r="8" spans="1:6" x14ac:dyDescent="0.25">
      <c r="A8" t="str">
        <f>IF(Input!A9="","",Input!A9)</f>
        <v>Enhanced Passive Core Active Defensive</v>
      </c>
      <c r="B8" s="1">
        <v>45107</v>
      </c>
      <c r="C8" s="5">
        <v>1.5E-3</v>
      </c>
      <c r="D8" s="5">
        <v>1.2999999999999999E-3</v>
      </c>
      <c r="E8" s="5">
        <v>-3.3399999999999999E-2</v>
      </c>
      <c r="F8" s="5"/>
    </row>
    <row r="9" spans="1:6" x14ac:dyDescent="0.25">
      <c r="A9" t="str">
        <f>IF(Input!A10="","",Input!A10)</f>
        <v>Enhanced Passive Core Active Cautious</v>
      </c>
      <c r="B9" s="1">
        <v>45107</v>
      </c>
      <c r="C9" s="5">
        <v>1.5E-3</v>
      </c>
      <c r="D9" s="5">
        <v>1.4000000000000002E-3</v>
      </c>
      <c r="E9" s="5">
        <v>-2.5999999999999999E-3</v>
      </c>
      <c r="F9" s="5"/>
    </row>
    <row r="10" spans="1:6" x14ac:dyDescent="0.25">
      <c r="A10" t="str">
        <f>IF(Input!A11="","",Input!A11)</f>
        <v>Enhanced Passive Core Active Balanced</v>
      </c>
      <c r="B10" s="1">
        <v>45107</v>
      </c>
      <c r="C10" s="5">
        <v>1.5E-3</v>
      </c>
      <c r="D10" s="5">
        <v>1.5E-3</v>
      </c>
      <c r="E10" s="5">
        <v>2.9500000000000002E-2</v>
      </c>
      <c r="F10" s="5"/>
    </row>
    <row r="11" spans="1:6" x14ac:dyDescent="0.25">
      <c r="A11" t="str">
        <f>IF(Input!A12="","",Input!A12)</f>
        <v>Enhanced Passive Core Active Growth</v>
      </c>
      <c r="B11" s="1">
        <v>45107</v>
      </c>
      <c r="C11" s="5">
        <v>1.5E-3</v>
      </c>
      <c r="D11" s="5">
        <v>1.5E-3</v>
      </c>
      <c r="E11" s="5">
        <v>6.5700000000000008E-2</v>
      </c>
      <c r="F11" s="5"/>
    </row>
    <row r="12" spans="1:6" x14ac:dyDescent="0.25">
      <c r="A12" t="str">
        <f>IF(Input!A13="","",Input!A13)</f>
        <v>Enhanced Passive Core Active Adventurous</v>
      </c>
      <c r="B12" s="1">
        <v>45107</v>
      </c>
      <c r="C12" s="5">
        <v>1.5E-3</v>
      </c>
      <c r="D12" s="5">
        <v>1.6000000000000001E-3</v>
      </c>
      <c r="E12" s="5">
        <v>9.820000000000001E-2</v>
      </c>
      <c r="F12" s="5"/>
    </row>
    <row r="13" spans="1:6" x14ac:dyDescent="0.25">
      <c r="A13" t="str">
        <f>IF(Input!A14="","",Input!A14)</f>
        <v>Sustainabilty-focused Core Active Defensive</v>
      </c>
      <c r="B13" s="1">
        <v>45107</v>
      </c>
      <c r="C13" s="5">
        <v>4.0000000000000001E-3</v>
      </c>
      <c r="D13" s="5">
        <v>4.0999999999999995E-3</v>
      </c>
      <c r="E13" s="5">
        <v>-1.8600000000000002E-2</v>
      </c>
      <c r="F13" s="5"/>
    </row>
    <row r="14" spans="1:6" x14ac:dyDescent="0.25">
      <c r="A14" t="str">
        <f>IF(Input!A15="","",Input!A15)</f>
        <v>Sustainabilty-focused Core Active Cautious</v>
      </c>
      <c r="B14" s="1">
        <v>45107</v>
      </c>
      <c r="C14" s="5">
        <v>4.0000000000000001E-3</v>
      </c>
      <c r="D14" s="5">
        <v>4.7999999999999996E-3</v>
      </c>
      <c r="E14" s="5">
        <v>1.7000000000000001E-3</v>
      </c>
      <c r="F14" s="5"/>
    </row>
    <row r="15" spans="1:6" x14ac:dyDescent="0.25">
      <c r="A15" t="str">
        <f>IF(Input!A16="","",Input!A16)</f>
        <v>Sustainabilty-focused Core Active Balanced</v>
      </c>
      <c r="B15" s="1">
        <v>45107</v>
      </c>
      <c r="C15" s="5">
        <v>4.0000000000000001E-3</v>
      </c>
      <c r="D15" s="5">
        <v>6.0000000000000001E-3</v>
      </c>
      <c r="E15" s="5">
        <v>1.8500000000000003E-2</v>
      </c>
      <c r="F15" s="5"/>
    </row>
    <row r="16" spans="1:6" x14ac:dyDescent="0.25">
      <c r="A16" t="str">
        <f>IF(Input!A17="","",Input!A17)</f>
        <v>Sustainabilty-focused Core Active Growth</v>
      </c>
      <c r="B16" s="1">
        <v>45107</v>
      </c>
      <c r="C16" s="5">
        <v>4.0000000000000001E-3</v>
      </c>
      <c r="D16" s="5">
        <v>7.0999999999999995E-3</v>
      </c>
      <c r="E16" s="5">
        <v>2.46E-2</v>
      </c>
      <c r="F16" s="5"/>
    </row>
    <row r="17" spans="1:6" x14ac:dyDescent="0.25">
      <c r="A17" t="str">
        <f>IF(Input!A18="","",Input!A18)</f>
        <v>Sustainabilty-focused Core Active Adventurous</v>
      </c>
      <c r="B17" s="1">
        <v>45107</v>
      </c>
      <c r="C17" s="5">
        <v>4.0000000000000001E-3</v>
      </c>
      <c r="D17" s="5">
        <v>7.1999999999999998E-3</v>
      </c>
      <c r="E17" s="5">
        <v>4.2199999999999994E-2</v>
      </c>
      <c r="F17" s="5"/>
    </row>
    <row r="18" spans="1:6" x14ac:dyDescent="0.25">
      <c r="A18" t="str">
        <f>IF(Input!A19="","",Input!A19)</f>
        <v>Sharia Defensive</v>
      </c>
      <c r="B18" s="1">
        <v>45107</v>
      </c>
      <c r="C18" s="5">
        <v>5.0000000000000001E-3</v>
      </c>
      <c r="D18" s="5">
        <v>1.1000000000000001E-2</v>
      </c>
      <c r="E18" s="5">
        <v>-5.6000000000000008E-3</v>
      </c>
      <c r="F18" s="5"/>
    </row>
    <row r="19" spans="1:6" x14ac:dyDescent="0.25">
      <c r="A19" t="str">
        <f>IF(Input!A20="","",Input!A20)</f>
        <v>Sharia Cautious</v>
      </c>
      <c r="B19" s="1">
        <v>45107</v>
      </c>
      <c r="C19" s="5">
        <v>5.0000000000000001E-3</v>
      </c>
      <c r="D19" s="5">
        <v>1.03E-2</v>
      </c>
      <c r="E19" s="5">
        <v>3.0200000000000001E-2</v>
      </c>
      <c r="F19" s="5"/>
    </row>
    <row r="20" spans="1:6" x14ac:dyDescent="0.25">
      <c r="A20" t="str">
        <f>IF(Input!A21="","",Input!A21)</f>
        <v>Sharia Balanced</v>
      </c>
      <c r="B20" s="1">
        <v>45107</v>
      </c>
      <c r="C20" s="5">
        <v>5.0000000000000001E-3</v>
      </c>
      <c r="D20" s="5">
        <v>7.9000000000000008E-3</v>
      </c>
      <c r="E20" s="5">
        <v>0.1009</v>
      </c>
      <c r="F20" s="5"/>
    </row>
    <row r="21" spans="1:6" x14ac:dyDescent="0.25">
      <c r="A21" t="str">
        <f>IF(Input!A22="","",Input!A22)</f>
        <v>Sharia Growth</v>
      </c>
      <c r="B21" s="1">
        <v>45107</v>
      </c>
      <c r="C21" s="5">
        <v>5.0000000000000001E-3</v>
      </c>
      <c r="D21" s="5">
        <v>7.9000000000000008E-3</v>
      </c>
      <c r="E21" s="5">
        <v>0.1009</v>
      </c>
      <c r="F21" s="5"/>
    </row>
    <row r="22" spans="1:6" x14ac:dyDescent="0.25">
      <c r="A22" t="str">
        <f>IF(Input!A23="","",Input!A23)</f>
        <v>Sharia Adventurous</v>
      </c>
      <c r="B22" s="1">
        <v>45107</v>
      </c>
      <c r="C22" s="5">
        <v>5.0000000000000001E-3</v>
      </c>
      <c r="D22" s="5">
        <v>7.0999999999999995E-3</v>
      </c>
      <c r="E22" s="5">
        <v>0.1293</v>
      </c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85" zoomScaleNormal="85" workbookViewId="0">
      <selection activeCell="H16" sqref="H16"/>
    </sheetView>
  </sheetViews>
  <sheetFormatPr defaultRowHeight="15" x14ac:dyDescent="0.25"/>
  <cols>
    <col min="1" max="1" width="40.140625" bestFit="1" customWidth="1"/>
    <col min="2" max="2" width="18.140625" bestFit="1" customWidth="1"/>
    <col min="3" max="3" width="21.28515625" bestFit="1" customWidth="1"/>
    <col min="4" max="4" width="16" bestFit="1" customWidth="1"/>
    <col min="5" max="5" width="7.140625" bestFit="1" customWidth="1"/>
    <col min="6" max="6" width="17.140625" bestFit="1" customWidth="1"/>
    <col min="7" max="7" width="15.5703125" bestFit="1" customWidth="1"/>
    <col min="8" max="8" width="13.140625" bestFit="1" customWidth="1"/>
    <col min="9" max="9" width="10.140625" bestFit="1" customWidth="1"/>
    <col min="10" max="10" width="18.42578125" bestFit="1" customWidth="1"/>
    <col min="11" max="11" width="25" bestFit="1" customWidth="1"/>
    <col min="12" max="12" width="18.5703125" bestFit="1" customWidth="1"/>
    <col min="13" max="13" width="21.42578125" bestFit="1" customWidth="1"/>
    <col min="14" max="14" width="14.28515625" bestFit="1" customWidth="1"/>
    <col min="15" max="15" width="18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</row>
    <row r="2" spans="1:30" x14ac:dyDescent="0.25">
      <c r="A2" t="str">
        <f>IF(Input!A3="","",Input!A3)</f>
        <v>Core Active Defensive</v>
      </c>
      <c r="B2" s="5">
        <v>0.68799999999999994</v>
      </c>
      <c r="C2" s="5">
        <v>8.1000000000000003E-2</v>
      </c>
      <c r="D2" s="5">
        <v>0.03</v>
      </c>
      <c r="E2" s="5">
        <v>8.5999999999999993E-2</v>
      </c>
      <c r="F2" s="5">
        <v>0</v>
      </c>
      <c r="G2" s="5">
        <v>0</v>
      </c>
      <c r="H2" s="5">
        <v>5.5E-2</v>
      </c>
      <c r="I2" s="5">
        <v>2E-3</v>
      </c>
      <c r="J2" s="5">
        <v>2.3E-2</v>
      </c>
      <c r="K2" s="5">
        <v>0</v>
      </c>
      <c r="L2" s="5">
        <v>3.5000000000000003E-2</v>
      </c>
      <c r="M2" s="5">
        <v>0</v>
      </c>
      <c r="N2" s="5">
        <v>0</v>
      </c>
      <c r="O2" s="5">
        <v>0</v>
      </c>
      <c r="P2" s="5">
        <f>SUM(B2:O2)</f>
        <v>1</v>
      </c>
      <c r="Q2" s="5"/>
      <c r="R2" s="5"/>
      <c r="T2" s="5"/>
      <c r="U2" s="5"/>
      <c r="V2" s="5"/>
    </row>
    <row r="3" spans="1:30" x14ac:dyDescent="0.25">
      <c r="A3" t="str">
        <f>IF(Input!A4="","",Input!A4)</f>
        <v>Core Active Cautious</v>
      </c>
      <c r="B3" s="5">
        <v>0.50900000000000001</v>
      </c>
      <c r="C3" s="5">
        <v>0.22</v>
      </c>
      <c r="D3" s="5">
        <v>6.4000000000000001E-2</v>
      </c>
      <c r="E3" s="5">
        <v>7.2999999999999995E-2</v>
      </c>
      <c r="F3" s="5">
        <v>2.7000000000000003E-2</v>
      </c>
      <c r="G3" s="5">
        <v>2.5000000000000001E-2</v>
      </c>
      <c r="H3" s="5">
        <v>3.5000000000000003E-2</v>
      </c>
      <c r="I3" s="5">
        <v>1.3000000000000001E-2</v>
      </c>
      <c r="J3" s="5">
        <v>1.2E-2</v>
      </c>
      <c r="K3" s="5">
        <v>0</v>
      </c>
      <c r="L3" s="5">
        <v>2.3E-2</v>
      </c>
      <c r="M3" s="5">
        <v>0</v>
      </c>
      <c r="N3" s="5">
        <v>0</v>
      </c>
      <c r="O3" s="5">
        <v>0</v>
      </c>
      <c r="P3" s="5">
        <f t="shared" ref="P3:P22" si="0">SUM(B3:O3)</f>
        <v>1.0009999999999999</v>
      </c>
      <c r="Q3" s="5"/>
      <c r="R3" s="5"/>
      <c r="S3" s="5"/>
      <c r="T3" s="5"/>
    </row>
    <row r="4" spans="1:30" x14ac:dyDescent="0.25">
      <c r="A4" t="str">
        <f>IF(Input!A5="","",Input!A5)</f>
        <v>Core Active Balanced</v>
      </c>
      <c r="B4" s="5">
        <v>0.34299999999999997</v>
      </c>
      <c r="C4" s="5">
        <v>0.34100000000000003</v>
      </c>
      <c r="D4" s="5">
        <v>9.9000000000000005E-2</v>
      </c>
      <c r="E4" s="5">
        <v>5.9000000000000004E-2</v>
      </c>
      <c r="F4" s="5">
        <v>5.2000000000000005E-2</v>
      </c>
      <c r="G4" s="5">
        <v>3.7000000000000005E-2</v>
      </c>
      <c r="H4" s="5">
        <v>3.5000000000000003E-2</v>
      </c>
      <c r="I4" s="5">
        <v>1.8000000000000002E-2</v>
      </c>
      <c r="J4" s="5">
        <v>9.0000000000000011E-3</v>
      </c>
      <c r="K4" s="5">
        <v>6.9999999999999993E-3</v>
      </c>
      <c r="L4" s="5">
        <v>0</v>
      </c>
      <c r="M4" s="5">
        <v>0</v>
      </c>
      <c r="N4" s="5">
        <v>0</v>
      </c>
      <c r="O4" s="5">
        <v>0</v>
      </c>
      <c r="P4" s="5">
        <f t="shared" si="0"/>
        <v>1</v>
      </c>
      <c r="Q4" s="5"/>
      <c r="R4" s="5"/>
      <c r="S4" s="5"/>
      <c r="T4" s="5"/>
    </row>
    <row r="5" spans="1:30" x14ac:dyDescent="0.25">
      <c r="A5" t="str">
        <f>IF(Input!A6="","",Input!A6)</f>
        <v>Core Active Growth</v>
      </c>
      <c r="B5" s="5">
        <v>0.191</v>
      </c>
      <c r="C5" s="5">
        <v>0.45</v>
      </c>
      <c r="D5" s="5">
        <v>0.11900000000000001</v>
      </c>
      <c r="E5" s="5">
        <v>4.4000000000000004E-2</v>
      </c>
      <c r="F5" s="5">
        <v>6.3E-2</v>
      </c>
      <c r="G5" s="5">
        <v>4.5999999999999999E-2</v>
      </c>
      <c r="H5" s="5">
        <v>0.03</v>
      </c>
      <c r="I5" s="5">
        <v>4.2000000000000003E-2</v>
      </c>
      <c r="J5" s="5">
        <v>5.0000000000000001E-3</v>
      </c>
      <c r="K5" s="5">
        <v>9.0000000000000011E-3</v>
      </c>
      <c r="L5" s="5">
        <v>0</v>
      </c>
      <c r="M5" s="5">
        <v>0</v>
      </c>
      <c r="N5" s="5">
        <v>0</v>
      </c>
      <c r="O5" s="5">
        <v>0</v>
      </c>
      <c r="P5" s="5">
        <f t="shared" si="0"/>
        <v>0.99900000000000011</v>
      </c>
      <c r="Q5" s="5"/>
      <c r="R5" s="5"/>
      <c r="S5" s="5"/>
      <c r="T5" s="5"/>
    </row>
    <row r="6" spans="1:30" x14ac:dyDescent="0.25">
      <c r="A6" t="str">
        <f>IF(Input!A7="","",Input!A7)</f>
        <v>Core Active Adventurous</v>
      </c>
      <c r="B6" s="5">
        <v>0.05</v>
      </c>
      <c r="C6" s="5">
        <v>0.51100000000000001</v>
      </c>
      <c r="D6" s="5">
        <v>0.152</v>
      </c>
      <c r="E6" s="5">
        <v>3.1E-2</v>
      </c>
      <c r="F6" s="5">
        <v>9.4E-2</v>
      </c>
      <c r="G6" s="5">
        <v>4.5999999999999999E-2</v>
      </c>
      <c r="H6" s="5">
        <v>4.4999999999999998E-2</v>
      </c>
      <c r="I6" s="5">
        <v>5.5999999999999994E-2</v>
      </c>
      <c r="J6" s="5">
        <v>1E-3</v>
      </c>
      <c r="K6" s="5">
        <v>1.3999999999999999E-2</v>
      </c>
      <c r="L6" s="5">
        <v>0</v>
      </c>
      <c r="M6" s="5">
        <v>0</v>
      </c>
      <c r="N6" s="5">
        <v>0</v>
      </c>
      <c r="O6" s="5">
        <v>0</v>
      </c>
      <c r="P6" s="5">
        <f t="shared" si="0"/>
        <v>1</v>
      </c>
      <c r="Q6" s="5"/>
      <c r="R6" s="5"/>
      <c r="S6" s="5"/>
      <c r="T6" s="5"/>
    </row>
    <row r="7" spans="1:30" x14ac:dyDescent="0.25">
      <c r="A7" t="str">
        <f>IF(Input!A8="","",Input!A8)</f>
        <v>Core Active Speculative</v>
      </c>
      <c r="B7" s="5">
        <v>7.4999999999999997E-2</v>
      </c>
      <c r="C7" s="5">
        <v>0.42399999999999999</v>
      </c>
      <c r="D7" s="5">
        <v>0.19399999999999998</v>
      </c>
      <c r="E7" s="5">
        <v>0</v>
      </c>
      <c r="F7" s="5">
        <v>0.13</v>
      </c>
      <c r="G7" s="5">
        <v>7.0999999999999994E-2</v>
      </c>
      <c r="H7" s="5">
        <v>0.02</v>
      </c>
      <c r="I7" s="5">
        <v>7.0000000000000007E-2</v>
      </c>
      <c r="J7" s="5">
        <v>1E-3</v>
      </c>
      <c r="K7" s="5">
        <v>1.7000000000000001E-2</v>
      </c>
      <c r="L7" s="5">
        <v>0</v>
      </c>
      <c r="M7" s="5">
        <v>0</v>
      </c>
      <c r="N7" s="5">
        <v>0</v>
      </c>
      <c r="O7" s="5">
        <v>0</v>
      </c>
      <c r="P7" s="5">
        <f t="shared" si="0"/>
        <v>1.002</v>
      </c>
      <c r="Q7" s="5"/>
      <c r="R7" s="5"/>
      <c r="S7" s="5"/>
      <c r="T7" s="5"/>
      <c r="AD7" s="5"/>
    </row>
    <row r="8" spans="1:30" x14ac:dyDescent="0.25">
      <c r="A8" t="str">
        <f>IF(Input!A9="","",Input!A9)</f>
        <v>Enhanced Passive Core Active Defensive</v>
      </c>
      <c r="B8" s="5">
        <v>0.68299999999999994</v>
      </c>
      <c r="C8" s="5">
        <v>0.06</v>
      </c>
      <c r="D8" s="5">
        <v>2.1000000000000001E-2</v>
      </c>
      <c r="E8" s="5">
        <v>7.5999999999999998E-2</v>
      </c>
      <c r="F8" s="5">
        <v>1.4999999999999999E-2</v>
      </c>
      <c r="G8" s="5">
        <v>0</v>
      </c>
      <c r="H8" s="5">
        <v>6.5000000000000002E-2</v>
      </c>
      <c r="I8" s="5">
        <v>0</v>
      </c>
      <c r="J8" s="5">
        <v>9.0000000000000011E-3</v>
      </c>
      <c r="K8" s="5">
        <v>0</v>
      </c>
      <c r="L8" s="5">
        <v>6.6000000000000003E-2</v>
      </c>
      <c r="M8" s="5">
        <v>0</v>
      </c>
      <c r="N8" s="5">
        <v>0</v>
      </c>
      <c r="O8" s="5">
        <v>4.0000000000000001E-3</v>
      </c>
      <c r="P8" s="5">
        <f t="shared" si="0"/>
        <v>0.99899999999999989</v>
      </c>
      <c r="Q8" s="5"/>
      <c r="R8" s="5"/>
      <c r="S8" s="5"/>
      <c r="T8" s="5"/>
    </row>
    <row r="9" spans="1:30" x14ac:dyDescent="0.25">
      <c r="A9" t="str">
        <f>IF(Input!A10="","",Input!A10)</f>
        <v>Enhanced Passive Core Active Cautious</v>
      </c>
      <c r="B9" s="5">
        <v>0.51700000000000002</v>
      </c>
      <c r="C9" s="5">
        <v>0.19</v>
      </c>
      <c r="D9" s="5">
        <v>4.2000000000000003E-2</v>
      </c>
      <c r="E9" s="5">
        <v>6.4000000000000001E-2</v>
      </c>
      <c r="F9" s="5">
        <v>5.2999999999999999E-2</v>
      </c>
      <c r="G9" s="5">
        <v>0</v>
      </c>
      <c r="H9" s="5">
        <v>0.06</v>
      </c>
      <c r="I9" s="5">
        <v>1E-3</v>
      </c>
      <c r="J9" s="5">
        <v>8.0000000000000002E-3</v>
      </c>
      <c r="K9" s="5">
        <v>1.4999999999999999E-2</v>
      </c>
      <c r="L9" s="5">
        <v>5.0999999999999997E-2</v>
      </c>
      <c r="M9" s="5">
        <v>0</v>
      </c>
      <c r="N9" s="5">
        <v>0</v>
      </c>
      <c r="O9" s="5">
        <v>0</v>
      </c>
      <c r="P9" s="5">
        <f t="shared" si="0"/>
        <v>1.0010000000000001</v>
      </c>
      <c r="Q9" s="5"/>
      <c r="R9" s="5"/>
      <c r="S9" s="5"/>
      <c r="T9" s="5"/>
    </row>
    <row r="10" spans="1:30" x14ac:dyDescent="0.25">
      <c r="A10" t="str">
        <f>IF(Input!A11="","",Input!A11)</f>
        <v>Enhanced Passive Core Active Balanced</v>
      </c>
      <c r="B10" s="5">
        <v>0.36</v>
      </c>
      <c r="C10" s="5">
        <v>0.29600000000000004</v>
      </c>
      <c r="D10" s="5">
        <v>6.4000000000000001E-2</v>
      </c>
      <c r="E10" s="5">
        <v>5.2999999999999999E-2</v>
      </c>
      <c r="F10" s="5">
        <v>6.4000000000000001E-2</v>
      </c>
      <c r="G10" s="5">
        <v>0.04</v>
      </c>
      <c r="H10" s="5">
        <v>0.04</v>
      </c>
      <c r="I10" s="5">
        <v>1.9E-2</v>
      </c>
      <c r="J10" s="5">
        <v>0</v>
      </c>
      <c r="K10" s="5">
        <v>1.8000000000000002E-2</v>
      </c>
      <c r="L10" s="5">
        <v>4.0999999999999995E-2</v>
      </c>
      <c r="M10" s="5">
        <v>0</v>
      </c>
      <c r="N10" s="5">
        <v>0</v>
      </c>
      <c r="O10" s="5">
        <v>0</v>
      </c>
      <c r="P10" s="5">
        <f t="shared" si="0"/>
        <v>0.99500000000000011</v>
      </c>
      <c r="Q10" s="5"/>
      <c r="R10" s="5"/>
      <c r="S10" s="5"/>
      <c r="T10" s="5"/>
    </row>
    <row r="11" spans="1:30" x14ac:dyDescent="0.25">
      <c r="A11" t="str">
        <f>IF(Input!A12="","",Input!A12)</f>
        <v>Enhanced Passive Core Active Growth</v>
      </c>
      <c r="B11" s="5">
        <v>0.19899999999999998</v>
      </c>
      <c r="C11" s="5">
        <v>0.41100000000000003</v>
      </c>
      <c r="D11" s="5">
        <v>0.1</v>
      </c>
      <c r="E11" s="5">
        <v>2.7000000000000003E-2</v>
      </c>
      <c r="F11" s="5">
        <v>8.6999999999999994E-2</v>
      </c>
      <c r="G11" s="5">
        <v>5.5E-2</v>
      </c>
      <c r="H11" s="5">
        <v>7.0000000000000007E-2</v>
      </c>
      <c r="I11" s="5">
        <v>2.4E-2</v>
      </c>
      <c r="J11" s="5">
        <v>3.0000000000000001E-3</v>
      </c>
      <c r="K11" s="5">
        <v>0</v>
      </c>
      <c r="L11" s="5">
        <v>0</v>
      </c>
      <c r="M11" s="5">
        <v>0</v>
      </c>
      <c r="N11" s="5">
        <v>0</v>
      </c>
      <c r="O11" s="5">
        <v>2.5000000000000001E-2</v>
      </c>
      <c r="P11" s="5">
        <f t="shared" si="0"/>
        <v>1.0010000000000001</v>
      </c>
      <c r="Q11" s="5"/>
      <c r="R11" s="5"/>
      <c r="S11" s="5"/>
      <c r="T11" s="5"/>
    </row>
    <row r="12" spans="1:30" x14ac:dyDescent="0.25">
      <c r="A12" t="str">
        <f>IF(Input!A13="","",Input!A13)</f>
        <v>Enhanced Passive Core Active Adventurous</v>
      </c>
      <c r="B12" s="5">
        <v>3.7999999999999999E-2</v>
      </c>
      <c r="C12" s="5">
        <v>0.54600000000000004</v>
      </c>
      <c r="D12" s="5">
        <v>0.126</v>
      </c>
      <c r="E12" s="5">
        <v>1E-3</v>
      </c>
      <c r="F12" s="5">
        <v>0.106</v>
      </c>
      <c r="G12" s="5">
        <v>0.06</v>
      </c>
      <c r="H12" s="5">
        <v>0.06</v>
      </c>
      <c r="I12" s="5">
        <v>3.3000000000000002E-2</v>
      </c>
      <c r="J12" s="5">
        <v>1E-3</v>
      </c>
      <c r="K12" s="5">
        <v>0.03</v>
      </c>
      <c r="L12" s="5">
        <v>0</v>
      </c>
      <c r="M12" s="5">
        <v>0</v>
      </c>
      <c r="N12" s="5">
        <v>0</v>
      </c>
      <c r="O12" s="5">
        <v>0</v>
      </c>
      <c r="P12" s="5">
        <f t="shared" si="0"/>
        <v>1.0010000000000001</v>
      </c>
      <c r="Q12" s="5"/>
      <c r="R12" s="5"/>
      <c r="S12" s="5"/>
      <c r="T12" s="5"/>
    </row>
    <row r="13" spans="1:30" x14ac:dyDescent="0.25">
      <c r="A13" t="str">
        <f>IF(Input!A14="","",Input!A14)</f>
        <v>Sustainabilty-focused Core Active Defensive</v>
      </c>
      <c r="B13" s="5">
        <v>0.51800000000000002</v>
      </c>
      <c r="C13" s="5">
        <v>9.5000000000000001E-2</v>
      </c>
      <c r="D13" s="5">
        <v>3.6000000000000004E-2</v>
      </c>
      <c r="E13" s="5">
        <v>2.5000000000000001E-2</v>
      </c>
      <c r="F13" s="5">
        <v>0</v>
      </c>
      <c r="G13" s="5">
        <v>6.9999999999999993E-3</v>
      </c>
      <c r="H13" s="5">
        <v>0.1</v>
      </c>
      <c r="I13" s="5">
        <v>2.1000000000000001E-2</v>
      </c>
      <c r="J13" s="5">
        <v>0.1</v>
      </c>
      <c r="K13" s="5">
        <v>0</v>
      </c>
      <c r="L13" s="5">
        <v>7.8E-2</v>
      </c>
      <c r="M13" s="5">
        <v>0</v>
      </c>
      <c r="N13" s="5">
        <v>1.3999999999999999E-2</v>
      </c>
      <c r="O13" s="5">
        <v>0</v>
      </c>
      <c r="P13" s="5">
        <f t="shared" si="0"/>
        <v>0.99399999999999999</v>
      </c>
      <c r="Q13" s="5"/>
      <c r="R13" s="5"/>
      <c r="S13" s="5"/>
      <c r="T13" s="5"/>
    </row>
    <row r="14" spans="1:30" s="10" customFormat="1" x14ac:dyDescent="0.25">
      <c r="A14" s="10" t="str">
        <f>IF(Input!A15="","",Input!A15)</f>
        <v>Sustainabilty-focused Core Active Cautious</v>
      </c>
      <c r="B14" s="11">
        <v>0.38700000000000001</v>
      </c>
      <c r="C14" s="11">
        <v>0.192</v>
      </c>
      <c r="D14" s="11">
        <v>7.6999999999999999E-2</v>
      </c>
      <c r="E14" s="11">
        <v>0.02</v>
      </c>
      <c r="F14" s="11">
        <v>4.7E-2</v>
      </c>
      <c r="G14" s="11">
        <v>1.3999999999999999E-2</v>
      </c>
      <c r="H14" s="11">
        <v>0.09</v>
      </c>
      <c r="I14" s="11">
        <v>2.7999999999999997E-2</v>
      </c>
      <c r="J14" s="11">
        <v>5.7999999999999996E-2</v>
      </c>
      <c r="K14" s="11">
        <v>0</v>
      </c>
      <c r="L14" s="11">
        <v>7.2000000000000008E-2</v>
      </c>
      <c r="M14" s="11">
        <v>0</v>
      </c>
      <c r="N14" s="11">
        <v>0</v>
      </c>
      <c r="O14" s="11">
        <v>0</v>
      </c>
      <c r="P14" s="11">
        <f t="shared" si="0"/>
        <v>0.9850000000000001</v>
      </c>
      <c r="Q14" s="11"/>
      <c r="R14" s="11"/>
      <c r="S14" s="11"/>
      <c r="T14" s="11"/>
    </row>
    <row r="15" spans="1:30" x14ac:dyDescent="0.25">
      <c r="A15" t="str">
        <f>IF(Input!A16="","",Input!A16)</f>
        <v>Sustainabilty-focused Core Active Balanced</v>
      </c>
      <c r="B15" s="5">
        <v>0.255</v>
      </c>
      <c r="C15" s="5">
        <v>0.32400000000000001</v>
      </c>
      <c r="D15" s="5">
        <v>0.105</v>
      </c>
      <c r="E15" s="5">
        <v>1.3000000000000001E-2</v>
      </c>
      <c r="F15" s="5">
        <v>7.6999999999999999E-2</v>
      </c>
      <c r="G15" s="5">
        <v>1.8000000000000002E-2</v>
      </c>
      <c r="H15" s="5">
        <v>7.0000000000000007E-2</v>
      </c>
      <c r="I15" s="5">
        <v>3.3000000000000002E-2</v>
      </c>
      <c r="J15" s="5">
        <v>2.7999999999999997E-2</v>
      </c>
      <c r="K15" s="5">
        <v>0</v>
      </c>
      <c r="L15" s="5">
        <v>6.5000000000000002E-2</v>
      </c>
      <c r="M15" s="5">
        <v>0</v>
      </c>
      <c r="N15" s="5">
        <v>0</v>
      </c>
      <c r="O15" s="5">
        <v>0</v>
      </c>
      <c r="P15" s="5">
        <f t="shared" si="0"/>
        <v>0.98799999999999999</v>
      </c>
      <c r="Q15" s="5"/>
      <c r="R15" s="5"/>
      <c r="S15" s="5"/>
      <c r="T15" s="5"/>
    </row>
    <row r="16" spans="1:30" x14ac:dyDescent="0.25">
      <c r="A16" t="str">
        <f>IF(Input!A17="","",Input!A17)</f>
        <v>Sustainabilty-focused Core Active Growth</v>
      </c>
      <c r="B16" s="5">
        <v>0.14400000000000002</v>
      </c>
      <c r="C16" s="5">
        <v>0.40100000000000002</v>
      </c>
      <c r="D16" s="5">
        <v>0.14899999999999999</v>
      </c>
      <c r="E16" s="5">
        <v>6.0000000000000001E-3</v>
      </c>
      <c r="F16" s="5">
        <v>0.111</v>
      </c>
      <c r="G16" s="5">
        <v>2.7999999999999997E-2</v>
      </c>
      <c r="H16" s="5">
        <v>0.04</v>
      </c>
      <c r="I16" s="5">
        <v>4.7E-2</v>
      </c>
      <c r="J16" s="5">
        <v>0</v>
      </c>
      <c r="K16" s="5">
        <v>8.0000000000000002E-3</v>
      </c>
      <c r="L16" s="5">
        <v>5.7999999999999996E-2</v>
      </c>
      <c r="M16" s="5">
        <v>0</v>
      </c>
      <c r="N16" s="5">
        <v>0</v>
      </c>
      <c r="O16" s="5">
        <v>0</v>
      </c>
      <c r="P16" s="5">
        <f t="shared" si="0"/>
        <v>0.99200000000000021</v>
      </c>
      <c r="Q16" s="5"/>
      <c r="R16" s="5"/>
      <c r="S16" s="5"/>
      <c r="T16" s="5"/>
    </row>
    <row r="17" spans="1:29" x14ac:dyDescent="0.25">
      <c r="A17" t="str">
        <f>IF(Input!A18="","",Input!A18)</f>
        <v>Sustainabilty-focused Core Active Adventurous</v>
      </c>
      <c r="B17" s="5">
        <v>0</v>
      </c>
      <c r="C17" s="5">
        <v>0.47600000000000003</v>
      </c>
      <c r="D17" s="5">
        <v>0.18600000000000003</v>
      </c>
      <c r="E17" s="5">
        <v>0</v>
      </c>
      <c r="F17" s="5">
        <v>0.13400000000000001</v>
      </c>
      <c r="G17" s="5">
        <v>3.6000000000000004E-2</v>
      </c>
      <c r="H17" s="5">
        <v>0.05</v>
      </c>
      <c r="I17" s="5">
        <v>5.7000000000000002E-2</v>
      </c>
      <c r="J17" s="5">
        <v>0</v>
      </c>
      <c r="K17" s="5">
        <v>0.01</v>
      </c>
      <c r="L17" s="5">
        <v>5.0999999999999997E-2</v>
      </c>
      <c r="M17" s="5">
        <v>0</v>
      </c>
      <c r="N17" s="5">
        <v>0</v>
      </c>
      <c r="O17" s="5">
        <v>0</v>
      </c>
      <c r="P17" s="5">
        <f t="shared" si="0"/>
        <v>1.0000000000000002</v>
      </c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Sharia Defensive</v>
      </c>
      <c r="B18" s="5">
        <v>0.72599999999999998</v>
      </c>
      <c r="C18" s="5">
        <v>0.124</v>
      </c>
      <c r="D18" s="5">
        <v>5.4000000000000006E-2</v>
      </c>
      <c r="E18" s="5">
        <v>0</v>
      </c>
      <c r="F18" s="5">
        <v>9.0000000000000011E-3</v>
      </c>
      <c r="G18" s="5">
        <v>6.0000000000000001E-3</v>
      </c>
      <c r="H18" s="5">
        <v>0.02</v>
      </c>
      <c r="I18" s="5">
        <v>1.2E-2</v>
      </c>
      <c r="J18" s="5">
        <v>6.9999999999999993E-3</v>
      </c>
      <c r="K18" s="5">
        <v>0</v>
      </c>
      <c r="L18" s="5">
        <v>4.2999999999999997E-2</v>
      </c>
      <c r="M18" s="5">
        <v>0</v>
      </c>
      <c r="N18" s="5">
        <v>0</v>
      </c>
      <c r="O18" s="5">
        <v>0</v>
      </c>
      <c r="P18" s="5">
        <f t="shared" si="0"/>
        <v>1.0010000000000001</v>
      </c>
      <c r="Q18" s="5"/>
      <c r="R18" s="5"/>
      <c r="T18" s="5"/>
      <c r="U18" s="5"/>
      <c r="Z18" s="5"/>
    </row>
    <row r="19" spans="1:29" x14ac:dyDescent="0.25">
      <c r="A19" t="str">
        <f>IF(Input!A20="","",Input!A20)</f>
        <v>Sharia Cautious</v>
      </c>
      <c r="B19" s="5">
        <v>0.55299999999999994</v>
      </c>
      <c r="C19" s="5">
        <v>0.27600000000000002</v>
      </c>
      <c r="D19" s="5">
        <v>0.08</v>
      </c>
      <c r="E19" s="5">
        <v>0</v>
      </c>
      <c r="F19" s="5">
        <v>1.3999999999999999E-2</v>
      </c>
      <c r="G19" s="5">
        <v>9.0000000000000011E-3</v>
      </c>
      <c r="H19" s="5">
        <v>0.01</v>
      </c>
      <c r="I19" s="5">
        <v>0.02</v>
      </c>
      <c r="J19" s="5">
        <v>6.0000000000000001E-3</v>
      </c>
      <c r="K19" s="5">
        <v>1E-3</v>
      </c>
      <c r="L19" s="5">
        <v>3.2000000000000001E-2</v>
      </c>
      <c r="M19" s="5">
        <v>0</v>
      </c>
      <c r="N19" s="5">
        <v>0</v>
      </c>
      <c r="O19" s="5">
        <v>0</v>
      </c>
      <c r="P19" s="5">
        <f t="shared" si="0"/>
        <v>1.0009999999999999</v>
      </c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Sharia Balanced</v>
      </c>
      <c r="B20" s="5">
        <v>0.19600000000000001</v>
      </c>
      <c r="C20" s="5">
        <v>0.504</v>
      </c>
      <c r="D20" s="5">
        <v>0.13600000000000001</v>
      </c>
      <c r="E20" s="5">
        <v>0</v>
      </c>
      <c r="F20" s="5">
        <v>5.9000000000000004E-2</v>
      </c>
      <c r="G20" s="5">
        <v>1.9E-2</v>
      </c>
      <c r="H20" s="5">
        <v>2.5000000000000001E-2</v>
      </c>
      <c r="I20" s="5">
        <v>3.2000000000000001E-2</v>
      </c>
      <c r="J20" s="5">
        <v>3.0000000000000001E-3</v>
      </c>
      <c r="K20" s="5">
        <v>1E-3</v>
      </c>
      <c r="L20" s="5">
        <v>2.6000000000000002E-2</v>
      </c>
      <c r="M20" s="5">
        <v>0</v>
      </c>
      <c r="N20" s="5">
        <v>0</v>
      </c>
      <c r="O20" s="5">
        <v>0</v>
      </c>
      <c r="P20" s="5">
        <f t="shared" si="0"/>
        <v>1.0010000000000001</v>
      </c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Sharia Growth</v>
      </c>
      <c r="B21" s="5">
        <v>0.19600000000000001</v>
      </c>
      <c r="C21" s="5">
        <v>0.504</v>
      </c>
      <c r="D21" s="5">
        <v>0.13600000000000001</v>
      </c>
      <c r="E21" s="5">
        <v>0</v>
      </c>
      <c r="F21" s="5">
        <v>5.9000000000000004E-2</v>
      </c>
      <c r="G21" s="5">
        <v>1.9E-2</v>
      </c>
      <c r="H21" s="5">
        <v>2.5000000000000001E-2</v>
      </c>
      <c r="I21" s="5">
        <v>3.2000000000000001E-2</v>
      </c>
      <c r="J21" s="5">
        <v>3.0000000000000001E-3</v>
      </c>
      <c r="K21" s="5">
        <v>1E-3</v>
      </c>
      <c r="L21" s="5">
        <v>2.6000000000000002E-2</v>
      </c>
      <c r="M21" s="5">
        <v>0</v>
      </c>
      <c r="N21" s="5">
        <v>0</v>
      </c>
      <c r="O21" s="5">
        <v>0</v>
      </c>
      <c r="P21" s="5">
        <f t="shared" si="0"/>
        <v>1.0010000000000001</v>
      </c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Sharia Adventurous</v>
      </c>
      <c r="B22" s="5">
        <v>5.7999999999999996E-2</v>
      </c>
      <c r="C22" s="5">
        <v>0.60699999999999998</v>
      </c>
      <c r="D22" s="5">
        <v>0.16800000000000001</v>
      </c>
      <c r="E22" s="5">
        <v>0</v>
      </c>
      <c r="F22" s="5">
        <v>7.2999999999999995E-2</v>
      </c>
      <c r="G22" s="5">
        <v>2.3E-2</v>
      </c>
      <c r="H22" s="5">
        <v>0.01</v>
      </c>
      <c r="I22" s="5">
        <v>3.7999999999999999E-2</v>
      </c>
      <c r="J22" s="5">
        <v>1E-3</v>
      </c>
      <c r="K22" s="5">
        <v>2E-3</v>
      </c>
      <c r="L22" s="5">
        <v>0.02</v>
      </c>
      <c r="M22" s="5">
        <v>0</v>
      </c>
      <c r="N22" s="5">
        <v>0</v>
      </c>
      <c r="O22" s="5">
        <v>0</v>
      </c>
      <c r="P22" s="5">
        <f t="shared" si="0"/>
        <v>1</v>
      </c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B1" workbookViewId="0">
      <selection activeCell="D24" sqref="D2:D24"/>
    </sheetView>
  </sheetViews>
  <sheetFormatPr defaultRowHeight="15" x14ac:dyDescent="0.25"/>
  <cols>
    <col min="1" max="1" width="43.7109375" bestFit="1" customWidth="1"/>
    <col min="2" max="2" width="77.28515625" bestFit="1" customWidth="1"/>
    <col min="3" max="3" width="34.5703125" bestFit="1" customWidth="1"/>
    <col min="4" max="4" width="102.710937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Core Active Defensive</v>
      </c>
      <c r="B2" t="s">
        <v>33</v>
      </c>
      <c r="C2" t="s">
        <v>84</v>
      </c>
      <c r="D2" s="8" t="s">
        <v>95</v>
      </c>
    </row>
    <row r="3" spans="1:5" x14ac:dyDescent="0.25">
      <c r="A3" t="str">
        <f>IF(Input!A4="","",Input!A4)</f>
        <v>Core Active Cautious</v>
      </c>
      <c r="B3" t="s">
        <v>33</v>
      </c>
      <c r="C3" t="s">
        <v>86</v>
      </c>
      <c r="D3" s="8" t="s">
        <v>96</v>
      </c>
    </row>
    <row r="4" spans="1:5" x14ac:dyDescent="0.25">
      <c r="A4" t="str">
        <f>IF(Input!A5="","",Input!A5)</f>
        <v>Core Active Balanced</v>
      </c>
      <c r="B4" t="s">
        <v>33</v>
      </c>
      <c r="C4" t="s">
        <v>85</v>
      </c>
      <c r="D4" s="8" t="s">
        <v>97</v>
      </c>
    </row>
    <row r="5" spans="1:5" x14ac:dyDescent="0.25">
      <c r="A5" t="str">
        <f>IF(Input!A6="","",Input!A6)</f>
        <v>Core Active Growth</v>
      </c>
      <c r="B5" t="s">
        <v>33</v>
      </c>
      <c r="C5" t="s">
        <v>87</v>
      </c>
      <c r="D5" s="8" t="s">
        <v>98</v>
      </c>
    </row>
    <row r="6" spans="1:5" x14ac:dyDescent="0.25">
      <c r="A6" t="str">
        <f>IF(Input!A7="","",Input!A7)</f>
        <v>Core Active Adventurous</v>
      </c>
      <c r="B6" t="s">
        <v>33</v>
      </c>
      <c r="C6" t="s">
        <v>88</v>
      </c>
      <c r="D6" s="8" t="s">
        <v>99</v>
      </c>
    </row>
    <row r="7" spans="1:5" x14ac:dyDescent="0.25">
      <c r="A7" t="str">
        <f>IF(Input!A8="","",Input!A8)</f>
        <v>Core Active Speculative</v>
      </c>
      <c r="B7" t="s">
        <v>33</v>
      </c>
      <c r="C7" t="s">
        <v>89</v>
      </c>
      <c r="D7" s="8" t="s">
        <v>100</v>
      </c>
    </row>
    <row r="8" spans="1:5" x14ac:dyDescent="0.25">
      <c r="A8" t="str">
        <f>IF(Input!A9="","",Input!A9)</f>
        <v>Enhanced Passive Core Active Defensive</v>
      </c>
      <c r="B8" t="s">
        <v>47</v>
      </c>
      <c r="C8" t="s">
        <v>91</v>
      </c>
      <c r="D8" s="8" t="s">
        <v>101</v>
      </c>
    </row>
    <row r="9" spans="1:5" x14ac:dyDescent="0.25">
      <c r="A9" t="str">
        <f>IF(Input!A10="","",Input!A10)</f>
        <v>Enhanced Passive Core Active Cautious</v>
      </c>
      <c r="B9" t="s">
        <v>47</v>
      </c>
      <c r="C9" t="s">
        <v>92</v>
      </c>
      <c r="D9" s="8" t="s">
        <v>102</v>
      </c>
    </row>
    <row r="10" spans="1:5" x14ac:dyDescent="0.25">
      <c r="A10" t="str">
        <f>IF(Input!A11="","",Input!A11)</f>
        <v>Enhanced Passive Core Active Balanced</v>
      </c>
      <c r="B10" t="s">
        <v>47</v>
      </c>
      <c r="C10" t="s">
        <v>93</v>
      </c>
      <c r="D10" s="8" t="s">
        <v>103</v>
      </c>
    </row>
    <row r="11" spans="1:5" x14ac:dyDescent="0.25">
      <c r="A11" t="str">
        <f>IF(Input!A12="","",Input!A12)</f>
        <v>Enhanced Passive Core Active Growth</v>
      </c>
      <c r="B11" t="s">
        <v>47</v>
      </c>
      <c r="C11" t="s">
        <v>94</v>
      </c>
      <c r="D11" s="8" t="s">
        <v>104</v>
      </c>
    </row>
    <row r="12" spans="1:5" x14ac:dyDescent="0.25">
      <c r="A12" t="str">
        <f>IF(Input!A13="","",Input!A13)</f>
        <v>Enhanced Passive Core Active Adventurous</v>
      </c>
      <c r="B12" t="s">
        <v>47</v>
      </c>
      <c r="C12" t="s">
        <v>90</v>
      </c>
      <c r="D12" s="8" t="s">
        <v>105</v>
      </c>
    </row>
    <row r="13" spans="1:5" x14ac:dyDescent="0.25">
      <c r="A13" t="str">
        <f>IF(Input!A14="","",Input!A14)</f>
        <v>Sustainabilty-focused Core Active Defensive</v>
      </c>
      <c r="B13" t="s">
        <v>73</v>
      </c>
      <c r="C13" t="s">
        <v>83</v>
      </c>
      <c r="D13" s="8" t="s">
        <v>106</v>
      </c>
    </row>
    <row r="14" spans="1:5" x14ac:dyDescent="0.25">
      <c r="A14" t="str">
        <f>IF(Input!A15="","",Input!A15)</f>
        <v>Sustainabilty-focused Core Active Cautious</v>
      </c>
      <c r="B14" t="s">
        <v>73</v>
      </c>
      <c r="C14" t="s">
        <v>82</v>
      </c>
      <c r="D14" s="8" t="s">
        <v>107</v>
      </c>
    </row>
    <row r="15" spans="1:5" x14ac:dyDescent="0.25">
      <c r="A15" t="str">
        <f>IF(Input!A16="","",Input!A16)</f>
        <v>Sustainabilty-focused Core Active Balanced</v>
      </c>
      <c r="B15" t="s">
        <v>73</v>
      </c>
      <c r="C15" t="s">
        <v>81</v>
      </c>
      <c r="D15" s="8" t="s">
        <v>108</v>
      </c>
    </row>
    <row r="16" spans="1:5" x14ac:dyDescent="0.25">
      <c r="A16" t="str">
        <f>IF(Input!A17="","",Input!A17)</f>
        <v>Sustainabilty-focused Core Active Growth</v>
      </c>
      <c r="B16" t="s">
        <v>73</v>
      </c>
      <c r="C16" t="s">
        <v>80</v>
      </c>
      <c r="D16" s="8" t="s">
        <v>109</v>
      </c>
    </row>
    <row r="17" spans="1:4" x14ac:dyDescent="0.25">
      <c r="A17" t="str">
        <f>IF(Input!A18="","",Input!A18)</f>
        <v>Sustainabilty-focused Core Active Adventurous</v>
      </c>
      <c r="B17" t="s">
        <v>73</v>
      </c>
      <c r="C17" t="s">
        <v>79</v>
      </c>
      <c r="D17" s="8" t="s">
        <v>110</v>
      </c>
    </row>
    <row r="18" spans="1:4" x14ac:dyDescent="0.25">
      <c r="A18" t="str">
        <f>IF(Input!A19="","",Input!A19)</f>
        <v>Sharia Defensive</v>
      </c>
      <c r="B18" t="s">
        <v>58</v>
      </c>
      <c r="C18" t="s">
        <v>74</v>
      </c>
      <c r="D18" s="8" t="s">
        <v>111</v>
      </c>
    </row>
    <row r="19" spans="1:4" x14ac:dyDescent="0.25">
      <c r="A19" t="str">
        <f>IF(Input!A20="","",Input!A20)</f>
        <v>Sharia Cautious</v>
      </c>
      <c r="B19" t="s">
        <v>58</v>
      </c>
      <c r="C19" t="s">
        <v>75</v>
      </c>
      <c r="D19" s="8" t="s">
        <v>112</v>
      </c>
    </row>
    <row r="20" spans="1:4" x14ac:dyDescent="0.25">
      <c r="A20" t="str">
        <f>IF(Input!A21="","",Input!A21)</f>
        <v>Sharia Balanced</v>
      </c>
      <c r="B20" t="s">
        <v>58</v>
      </c>
      <c r="C20" t="s">
        <v>76</v>
      </c>
      <c r="D20" s="8" t="s">
        <v>113</v>
      </c>
    </row>
    <row r="21" spans="1:4" x14ac:dyDescent="0.25">
      <c r="A21" t="str">
        <f>IF(Input!A22="","",Input!A22)</f>
        <v>Sharia Growth</v>
      </c>
      <c r="B21" t="s">
        <v>58</v>
      </c>
      <c r="C21" t="s">
        <v>77</v>
      </c>
      <c r="D21" s="8" t="s">
        <v>113</v>
      </c>
    </row>
    <row r="22" spans="1:4" x14ac:dyDescent="0.25">
      <c r="A22" t="str">
        <f>IF(Input!A23="","",Input!A23)</f>
        <v>Sharia Adventurous</v>
      </c>
      <c r="B22" t="s">
        <v>58</v>
      </c>
      <c r="C22" t="s">
        <v>78</v>
      </c>
      <c r="D22" s="8" t="s">
        <v>114</v>
      </c>
    </row>
    <row r="23" spans="1:4" x14ac:dyDescent="0.25">
      <c r="A23" t="str">
        <f>IF(Input!A24="","",Input!A24)</f>
        <v/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Core Active Defensive</v>
      </c>
      <c r="B2" s="1">
        <f>IF(A2="","",EOMONTH(DATE(YEAR(IF(A2="","",'Additional Information'!B2)),MONTH(IF(A2="","",'Additional Information'!B2)),DAY(IF(A2="","",'Additional Information'!B2))),0))</f>
        <v>45107</v>
      </c>
    </row>
    <row r="3" spans="1:2" x14ac:dyDescent="0.25">
      <c r="A3" t="str">
        <f>IF(Input!A4="","",Input!A4)</f>
        <v>Core Active Cautious</v>
      </c>
      <c r="B3" s="1">
        <f>IF(A3="","",EOMONTH(DATE(YEAR(IF(A3="","",'Additional Information'!B3)),MONTH(IF(A3="","",'Additional Information'!B3)),DAY(IF(A3="","",'Additional Information'!B3))),0))</f>
        <v>45107</v>
      </c>
    </row>
    <row r="4" spans="1:2" x14ac:dyDescent="0.25">
      <c r="A4" t="str">
        <f>IF(Input!A5="","",Input!A5)</f>
        <v>Core Active Balanced</v>
      </c>
      <c r="B4" s="1">
        <f>IF(A4="","",EOMONTH(DATE(YEAR(IF(A4="","",'Additional Information'!B4)),MONTH(IF(A4="","",'Additional Information'!B4)),DAY(IF(A4="","",'Additional Information'!B4))),0))</f>
        <v>45107</v>
      </c>
    </row>
    <row r="5" spans="1:2" x14ac:dyDescent="0.25">
      <c r="A5" t="str">
        <f>IF(Input!A6="","",Input!A6)</f>
        <v>Core Active Growth</v>
      </c>
      <c r="B5" s="1">
        <f>IF(A5="","",EOMONTH(DATE(YEAR(IF(A5="","",'Additional Information'!B5)),MONTH(IF(A5="","",'Additional Information'!B5)),DAY(IF(A5="","",'Additional Information'!B5))),0))</f>
        <v>45107</v>
      </c>
    </row>
    <row r="6" spans="1:2" x14ac:dyDescent="0.25">
      <c r="A6" t="str">
        <f>IF(Input!A7="","",Input!A7)</f>
        <v>Core Active Adventurous</v>
      </c>
      <c r="B6" s="1">
        <f>IF(A6="","",EOMONTH(DATE(YEAR(IF(A6="","",'Additional Information'!B6)),MONTH(IF(A6="","",'Additional Information'!B6)),DAY(IF(A6="","",'Additional Information'!B6))),0))</f>
        <v>45107</v>
      </c>
    </row>
    <row r="7" spans="1:2" x14ac:dyDescent="0.25">
      <c r="A7" t="str">
        <f>IF(Input!A8="","",Input!A8)</f>
        <v>Core Active Speculative</v>
      </c>
      <c r="B7" s="1">
        <f>IF(A7="","",EOMONTH(DATE(YEAR(IF(A7="","",'Additional Information'!B7)),MONTH(IF(A7="","",'Additional Information'!B7)),DAY(IF(A7="","",'Additional Information'!B7))),0))</f>
        <v>45107</v>
      </c>
    </row>
    <row r="8" spans="1:2" x14ac:dyDescent="0.25">
      <c r="A8" t="str">
        <f>IF(Input!A9="","",Input!A9)</f>
        <v>Enhanced Passive Core Active Defensive</v>
      </c>
      <c r="B8" s="1">
        <f>IF(A8="","",EOMONTH(DATE(YEAR(IF(A8="","",'Additional Information'!B8)),MONTH(IF(A8="","",'Additional Information'!B8)),DAY(IF(A8="","",'Additional Information'!B8))),0))</f>
        <v>45107</v>
      </c>
    </row>
    <row r="9" spans="1:2" x14ac:dyDescent="0.25">
      <c r="A9" t="str">
        <f>IF(Input!A10="","",Input!A10)</f>
        <v>Enhanced Passive Core Active Cautious</v>
      </c>
      <c r="B9" s="1">
        <f>IF(A9="","",EOMONTH(DATE(YEAR(IF(A9="","",'Additional Information'!B9)),MONTH(IF(A9="","",'Additional Information'!B9)),DAY(IF(A9="","",'Additional Information'!B9))),0))</f>
        <v>45107</v>
      </c>
    </row>
    <row r="10" spans="1:2" x14ac:dyDescent="0.25">
      <c r="A10" t="str">
        <f>IF(Input!A11="","",Input!A11)</f>
        <v>Enhanced Passive Core Active Balanced</v>
      </c>
      <c r="B10" s="1">
        <f>IF(A10="","",EOMONTH(DATE(YEAR(IF(A10="","",'Additional Information'!B10)),MONTH(IF(A10="","",'Additional Information'!B10)),DAY(IF(A10="","",'Additional Information'!B10))),0))</f>
        <v>45107</v>
      </c>
    </row>
    <row r="11" spans="1:2" x14ac:dyDescent="0.25">
      <c r="A11" t="str">
        <f>IF(Input!A12="","",Input!A12)</f>
        <v>Enhanced Passive Core Active Growth</v>
      </c>
      <c r="B11" s="1">
        <f>IF(A11="","",EOMONTH(DATE(YEAR(IF(A11="","",'Additional Information'!B11)),MONTH(IF(A11="","",'Additional Information'!B11)),DAY(IF(A11="","",'Additional Information'!B11))),0))</f>
        <v>45107</v>
      </c>
    </row>
    <row r="12" spans="1:2" x14ac:dyDescent="0.25">
      <c r="A12" t="str">
        <f>IF(Input!A13="","",Input!A13)</f>
        <v>Enhanced Passive Core Active Adventurous</v>
      </c>
      <c r="B12" s="1">
        <f>IF(A12="","",EOMONTH(DATE(YEAR(IF(A12="","",'Additional Information'!B12)),MONTH(IF(A12="","",'Additional Information'!B12)),DAY(IF(A12="","",'Additional Information'!B12))),0))</f>
        <v>45107</v>
      </c>
    </row>
    <row r="13" spans="1:2" x14ac:dyDescent="0.25">
      <c r="A13" t="str">
        <f>IF(Input!A14="","",Input!A14)</f>
        <v>Sustainabilty-focused Core Active Defensive</v>
      </c>
      <c r="B13" s="1">
        <f>IF(A13="","",EOMONTH(DATE(YEAR(IF(A13="","",'Additional Information'!B13)),MONTH(IF(A13="","",'Additional Information'!B13)),DAY(IF(A13="","",'Additional Information'!B13))),0))</f>
        <v>45107</v>
      </c>
    </row>
    <row r="14" spans="1:2" x14ac:dyDescent="0.25">
      <c r="A14" t="str">
        <f>IF(Input!A15="","",Input!A15)</f>
        <v>Sustainabilty-focused Core Active Cautious</v>
      </c>
      <c r="B14" s="1">
        <f>IF(A14="","",EOMONTH(DATE(YEAR(IF(A14="","",'Additional Information'!B14)),MONTH(IF(A14="","",'Additional Information'!B14)),DAY(IF(A14="","",'Additional Information'!B14))),0))</f>
        <v>45107</v>
      </c>
    </row>
    <row r="15" spans="1:2" x14ac:dyDescent="0.25">
      <c r="A15" t="str">
        <f>IF(Input!A16="","",Input!A16)</f>
        <v>Sustainabilty-focused Core Active Balanced</v>
      </c>
      <c r="B15" s="1">
        <f>IF(A15="","",EOMONTH(DATE(YEAR(IF(A15="","",'Additional Information'!B15)),MONTH(IF(A15="","",'Additional Information'!B15)),DAY(IF(A15="","",'Additional Information'!B15))),0))</f>
        <v>45107</v>
      </c>
    </row>
    <row r="16" spans="1:2" x14ac:dyDescent="0.25">
      <c r="A16" t="str">
        <f>IF(Input!A17="","",Input!A17)</f>
        <v>Sustainabilty-focused Core Active Growth</v>
      </c>
      <c r="B16" s="1">
        <f>IF(A16="","",EOMONTH(DATE(YEAR(IF(A16="","",'Additional Information'!B16)),MONTH(IF(A16="","",'Additional Information'!B16)),DAY(IF(A16="","",'Additional Information'!B16))),0))</f>
        <v>45107</v>
      </c>
    </row>
    <row r="17" spans="1:2" x14ac:dyDescent="0.25">
      <c r="A17" t="str">
        <f>IF(Input!A18="","",Input!A18)</f>
        <v>Sustainabilty-focused Core Active Adventurous</v>
      </c>
      <c r="B17" s="1">
        <f>IF(A17="","",EOMONTH(DATE(YEAR(IF(A17="","",'Additional Information'!B17)),MONTH(IF(A17="","",'Additional Information'!B17)),DAY(IF(A17="","",'Additional Information'!B17))),0))</f>
        <v>45107</v>
      </c>
    </row>
    <row r="18" spans="1:2" x14ac:dyDescent="0.25">
      <c r="A18" t="str">
        <f>IF(Input!A19="","",Input!A19)</f>
        <v>Sharia Defensive</v>
      </c>
      <c r="B18" s="1">
        <f>IF(A18="","",EOMONTH(DATE(YEAR(IF(A18="","",'Additional Information'!B18)),MONTH(IF(A18="","",'Additional Information'!B18)),DAY(IF(A18="","",'Additional Information'!B18))),0))</f>
        <v>45107</v>
      </c>
    </row>
    <row r="19" spans="1:2" x14ac:dyDescent="0.25">
      <c r="A19" t="str">
        <f>IF(Input!A20="","",Input!A20)</f>
        <v>Sharia Cautious</v>
      </c>
      <c r="B19" s="1">
        <f>IF(A19="","",EOMONTH(DATE(YEAR(IF(A19="","",'Additional Information'!B19)),MONTH(IF(A19="","",'Additional Information'!B19)),DAY(IF(A19="","",'Additional Information'!B19))),0))</f>
        <v>45107</v>
      </c>
    </row>
    <row r="20" spans="1:2" x14ac:dyDescent="0.25">
      <c r="A20" t="str">
        <f>IF(Input!A21="","",Input!A21)</f>
        <v>Sharia Balanced</v>
      </c>
      <c r="B20" s="1">
        <f>IF(A20="","",EOMONTH(DATE(YEAR(IF(A20="","",'Additional Information'!B20)),MONTH(IF(A20="","",'Additional Information'!B20)),DAY(IF(A20="","",'Additional Information'!B20))),0))</f>
        <v>45107</v>
      </c>
    </row>
    <row r="21" spans="1:2" x14ac:dyDescent="0.25">
      <c r="A21" t="str">
        <f>IF(Input!A22="","",Input!A22)</f>
        <v>Sharia Growth</v>
      </c>
      <c r="B21" s="1">
        <f>IF(A21="","",EOMONTH(DATE(YEAR(IF(A21="","",'Additional Information'!B21)),MONTH(IF(A21="","",'Additional Information'!B21)),DAY(IF(A21="","",'Additional Information'!B21))),0))</f>
        <v>45107</v>
      </c>
    </row>
    <row r="22" spans="1:2" x14ac:dyDescent="0.25">
      <c r="A22" t="str">
        <f>IF(Input!A23="","",Input!A23)</f>
        <v>Sharia Adventurous</v>
      </c>
      <c r="B22" s="1">
        <f>IF(A22="","",EOMONTH(DATE(YEAR(IF(A22="","",'Additional Information'!B22)),MONTH(IF(A22="","",'Additional Information'!B22)),DAY(IF(A22="","",'Additional Information'!B22))),0))</f>
        <v>45107</v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Core Active Defensive</v>
      </c>
      <c r="B2">
        <f>IF(A2="","",'Additional Information'!F2)</f>
        <v>0</v>
      </c>
      <c r="C2">
        <f>IF(A2="","",'Additional Information'!E2)</f>
        <v>-4.0099999999999997E-2</v>
      </c>
      <c r="D2" s="5">
        <f>IF(A2="","",SUM('Additional Information'!C2,'Additional Information'!D2))</f>
        <v>6.0000000000000001E-3</v>
      </c>
    </row>
    <row r="3" spans="1:4" x14ac:dyDescent="0.25">
      <c r="A3" t="str">
        <f>IF(Input!A4="","",Input!A4)</f>
        <v>Core Active Cautious</v>
      </c>
      <c r="B3">
        <f>IF(A3="","",'Additional Information'!F3)</f>
        <v>0</v>
      </c>
      <c r="C3">
        <f>IF(A3="","",'Additional Information'!E3)</f>
        <v>-4.0000000000000002E-4</v>
      </c>
      <c r="D3" s="5">
        <f>IF(A3="","",SUM('Additional Information'!C3,'Additional Information'!D3))</f>
        <v>6.4000000000000003E-3</v>
      </c>
    </row>
    <row r="4" spans="1:4" x14ac:dyDescent="0.25">
      <c r="A4" t="str">
        <f>IF(Input!A5="","",Input!A5)</f>
        <v>Core Active Balanced</v>
      </c>
      <c r="B4">
        <f>IF(A4="","",'Additional Information'!F4)</f>
        <v>0</v>
      </c>
      <c r="C4">
        <f>IF(A4="","",'Additional Information'!E4)</f>
        <v>2.3E-2</v>
      </c>
      <c r="D4" s="5">
        <f>IF(A4="","",SUM('Additional Information'!C4,'Additional Information'!D4))</f>
        <v>7.0999999999999995E-3</v>
      </c>
    </row>
    <row r="5" spans="1:4" x14ac:dyDescent="0.25">
      <c r="A5" t="str">
        <f>IF(Input!A6="","",Input!A6)</f>
        <v>Core Active Growth</v>
      </c>
      <c r="B5">
        <f>IF(A5="","",'Additional Information'!F5)</f>
        <v>0</v>
      </c>
      <c r="C5">
        <f>IF(A5="","",'Additional Information'!E5)</f>
        <v>3.7499999999999999E-2</v>
      </c>
      <c r="D5" s="5">
        <f>IF(A5="","",SUM('Additional Information'!C5,'Additional Information'!D5))</f>
        <v>7.9000000000000008E-3</v>
      </c>
    </row>
    <row r="6" spans="1:4" x14ac:dyDescent="0.25">
      <c r="A6" t="str">
        <f>IF(Input!A7="","",Input!A7)</f>
        <v>Core Active Adventurous</v>
      </c>
      <c r="B6">
        <f>IF(A6="","",'Additional Information'!F6)</f>
        <v>0</v>
      </c>
      <c r="C6">
        <f>IF(A6="","",'Additional Information'!E6)</f>
        <v>5.5599999999999997E-2</v>
      </c>
      <c r="D6" s="5">
        <f>IF(A6="","",SUM('Additional Information'!C6,'Additional Information'!D6))</f>
        <v>8.5000000000000006E-3</v>
      </c>
    </row>
    <row r="7" spans="1:4" x14ac:dyDescent="0.25">
      <c r="A7" t="str">
        <f>IF(Input!A8="","",Input!A8)</f>
        <v>Core Active Speculative</v>
      </c>
      <c r="B7">
        <f>IF(A7="","",'Additional Information'!F7)</f>
        <v>0</v>
      </c>
      <c r="C7">
        <f>IF(A7="","",'Additional Information'!E7)</f>
        <v>8.1900000000000001E-2</v>
      </c>
      <c r="D7" s="5">
        <f>IF(A7="","",SUM('Additional Information'!C7,'Additional Information'!D7))</f>
        <v>9.5000000000000015E-3</v>
      </c>
    </row>
    <row r="8" spans="1:4" x14ac:dyDescent="0.25">
      <c r="A8" t="str">
        <f>IF(Input!A9="","",Input!A9)</f>
        <v>Enhanced Passive Core Active Defensive</v>
      </c>
      <c r="B8">
        <f>IF(A8="","",'Additional Information'!F8)</f>
        <v>0</v>
      </c>
      <c r="C8">
        <f>IF(A8="","",'Additional Information'!E8)</f>
        <v>-3.3399999999999999E-2</v>
      </c>
      <c r="D8" s="5">
        <f>IF(A8="","",SUM('Additional Information'!C8,'Additional Information'!D8))</f>
        <v>2.8E-3</v>
      </c>
    </row>
    <row r="9" spans="1:4" x14ac:dyDescent="0.25">
      <c r="A9" t="str">
        <f>IF(Input!A10="","",Input!A10)</f>
        <v>Enhanced Passive Core Active Cautious</v>
      </c>
      <c r="B9">
        <f>IF(A9="","",'Additional Information'!F9)</f>
        <v>0</v>
      </c>
      <c r="C9">
        <f>IF(A9="","",'Additional Information'!E9)</f>
        <v>-2.5999999999999999E-3</v>
      </c>
      <c r="D9" s="5">
        <f>IF(A9="","",SUM('Additional Information'!C9,'Additional Information'!D9))</f>
        <v>2.9000000000000002E-3</v>
      </c>
    </row>
    <row r="10" spans="1:4" x14ac:dyDescent="0.25">
      <c r="A10" t="str">
        <f>IF(Input!A11="","",Input!A11)</f>
        <v>Enhanced Passive Core Active Balanced</v>
      </c>
      <c r="B10">
        <f>IF(A10="","",'Additional Information'!F10)</f>
        <v>0</v>
      </c>
      <c r="C10">
        <f>IF(A10="","",'Additional Information'!E10)</f>
        <v>2.9500000000000002E-2</v>
      </c>
      <c r="D10" s="5">
        <f>IF(A10="","",SUM('Additional Information'!C10,'Additional Information'!D10))</f>
        <v>3.0000000000000001E-3</v>
      </c>
    </row>
    <row r="11" spans="1:4" x14ac:dyDescent="0.25">
      <c r="A11" t="str">
        <f>IF(Input!A12="","",Input!A12)</f>
        <v>Enhanced Passive Core Active Growth</v>
      </c>
      <c r="B11">
        <f>IF(A11="","",'Additional Information'!F11)</f>
        <v>0</v>
      </c>
      <c r="C11">
        <f>IF(A11="","",'Additional Information'!E11)</f>
        <v>6.5700000000000008E-2</v>
      </c>
      <c r="D11" s="5">
        <f>IF(A11="","",SUM('Additional Information'!C11,'Additional Information'!D11))</f>
        <v>3.0000000000000001E-3</v>
      </c>
    </row>
    <row r="12" spans="1:4" x14ac:dyDescent="0.25">
      <c r="A12" t="str">
        <f>IF(Input!A13="","",Input!A13)</f>
        <v>Enhanced Passive Core Active Adventurous</v>
      </c>
      <c r="B12">
        <f>IF(A12="","",'Additional Information'!F12)</f>
        <v>0</v>
      </c>
      <c r="C12">
        <f>IF(A12="","",'Additional Information'!E12)</f>
        <v>9.820000000000001E-2</v>
      </c>
      <c r="D12" s="5">
        <f>IF(A12="","",SUM('Additional Information'!C12,'Additional Information'!D12))</f>
        <v>3.1000000000000003E-3</v>
      </c>
    </row>
    <row r="13" spans="1:4" x14ac:dyDescent="0.25">
      <c r="A13" t="str">
        <f>IF(Input!A14="","",Input!A14)</f>
        <v>Sustainabilty-focused Core Active Defensive</v>
      </c>
      <c r="B13">
        <f>IF(A13="","",'Additional Information'!F13)</f>
        <v>0</v>
      </c>
      <c r="C13">
        <f>IF(A13="","",'Additional Information'!E13)</f>
        <v>-1.8600000000000002E-2</v>
      </c>
      <c r="D13" s="5">
        <f>IF(A13="","",SUM('Additional Information'!C13,'Additional Information'!D13))</f>
        <v>8.0999999999999996E-3</v>
      </c>
    </row>
    <row r="14" spans="1:4" x14ac:dyDescent="0.25">
      <c r="A14" t="str">
        <f>IF(Input!A15="","",Input!A15)</f>
        <v>Sustainabilty-focused Core Active Cautious</v>
      </c>
      <c r="B14">
        <f>IF(A14="","",'Additional Information'!F14)</f>
        <v>0</v>
      </c>
      <c r="C14">
        <f>IF(A14="","",'Additional Information'!E14)</f>
        <v>1.7000000000000001E-3</v>
      </c>
      <c r="D14" s="5">
        <f>IF(A14="","",SUM('Additional Information'!C14,'Additional Information'!D14))</f>
        <v>8.7999999999999988E-3</v>
      </c>
    </row>
    <row r="15" spans="1:4" x14ac:dyDescent="0.25">
      <c r="A15" t="str">
        <f>IF(Input!A16="","",Input!A16)</f>
        <v>Sustainabilty-focused Core Active Balanced</v>
      </c>
      <c r="B15">
        <f>IF(A15="","",'Additional Information'!F15)</f>
        <v>0</v>
      </c>
      <c r="C15">
        <f>IF(A15="","",'Additional Information'!E15)</f>
        <v>1.8500000000000003E-2</v>
      </c>
      <c r="D15" s="5">
        <f>IF(A15="","",SUM('Additional Information'!C15,'Additional Information'!D15))</f>
        <v>0.01</v>
      </c>
    </row>
    <row r="16" spans="1:4" x14ac:dyDescent="0.25">
      <c r="A16" t="str">
        <f>IF(Input!A17="","",Input!A17)</f>
        <v>Sustainabilty-focused Core Active Growth</v>
      </c>
      <c r="B16">
        <f>IF(A16="","",'Additional Information'!F16)</f>
        <v>0</v>
      </c>
      <c r="C16">
        <f>IF(A16="","",'Additional Information'!E16)</f>
        <v>2.46E-2</v>
      </c>
      <c r="D16" s="5">
        <f>IF(A16="","",SUM('Additional Information'!C16,'Additional Information'!D16))</f>
        <v>1.1099999999999999E-2</v>
      </c>
    </row>
    <row r="17" spans="1:4" x14ac:dyDescent="0.25">
      <c r="A17" t="str">
        <f>IF(Input!A18="","",Input!A18)</f>
        <v>Sustainabilty-focused Core Active Adventurous</v>
      </c>
      <c r="B17">
        <f>IF(A17="","",'Additional Information'!F17)</f>
        <v>0</v>
      </c>
      <c r="C17">
        <f>IF(A17="","",'Additional Information'!E17)</f>
        <v>4.2199999999999994E-2</v>
      </c>
      <c r="D17" s="5">
        <f>IF(A17="","",SUM('Additional Information'!C17,'Additional Information'!D17))</f>
        <v>1.12E-2</v>
      </c>
    </row>
    <row r="18" spans="1:4" x14ac:dyDescent="0.25">
      <c r="A18" t="str">
        <f>IF(Input!A19="","",Input!A19)</f>
        <v>Sharia Defensive</v>
      </c>
      <c r="B18">
        <f>IF(A18="","",'Additional Information'!F18)</f>
        <v>0</v>
      </c>
      <c r="C18">
        <f>IF(A18="","",'Additional Information'!E18)</f>
        <v>-5.6000000000000008E-3</v>
      </c>
      <c r="D18" s="5">
        <f>IF(A18="","",SUM('Additional Information'!C18,'Additional Information'!D18))</f>
        <v>1.6E-2</v>
      </c>
    </row>
    <row r="19" spans="1:4" x14ac:dyDescent="0.25">
      <c r="A19" t="str">
        <f>IF(Input!A20="","",Input!A20)</f>
        <v>Sharia Cautious</v>
      </c>
      <c r="B19">
        <f>IF(A19="","",'Additional Information'!F19)</f>
        <v>0</v>
      </c>
      <c r="C19">
        <f>IF(A19="","",'Additional Information'!E19)</f>
        <v>3.0200000000000001E-2</v>
      </c>
      <c r="D19" s="5">
        <f>IF(A19="","",SUM('Additional Information'!C19,'Additional Information'!D19))</f>
        <v>1.5300000000000001E-2</v>
      </c>
    </row>
    <row r="20" spans="1:4" x14ac:dyDescent="0.25">
      <c r="A20" t="str">
        <f>IF(Input!A21="","",Input!A21)</f>
        <v>Sharia Balanced</v>
      </c>
      <c r="B20">
        <f>IF(A20="","",'Additional Information'!F20)</f>
        <v>0</v>
      </c>
      <c r="C20">
        <f>IF(A20="","",'Additional Information'!E20)</f>
        <v>0.1009</v>
      </c>
      <c r="D20" s="5">
        <f>IF(A20="","",SUM('Additional Information'!C20,'Additional Information'!D20))</f>
        <v>1.2900000000000002E-2</v>
      </c>
    </row>
    <row r="21" spans="1:4" x14ac:dyDescent="0.25">
      <c r="A21" t="str">
        <f>IF(Input!A22="","",Input!A22)</f>
        <v>Sharia Growth</v>
      </c>
      <c r="B21">
        <f>IF(A21="","",'Additional Information'!F21)</f>
        <v>0</v>
      </c>
      <c r="C21">
        <f>IF(A21="","",'Additional Information'!E21)</f>
        <v>0.1009</v>
      </c>
      <c r="D21" s="5">
        <f>IF(A21="","",SUM('Additional Information'!C21,'Additional Information'!D21))</f>
        <v>1.2900000000000002E-2</v>
      </c>
    </row>
    <row r="22" spans="1:4" x14ac:dyDescent="0.25">
      <c r="A22" t="str">
        <f>IF(Input!A23="","",Input!A23)</f>
        <v>Sharia Adventurous</v>
      </c>
      <c r="B22">
        <f>IF(A22="","",'Additional Information'!F22)</f>
        <v>0</v>
      </c>
      <c r="C22">
        <f>IF(A22="","",'Additional Information'!E22)</f>
        <v>0.1293</v>
      </c>
      <c r="D22" s="5">
        <f>IF(A22="","",SUM('Additional Information'!C22,'Additional Information'!D22))</f>
        <v>1.21E-2</v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Core Active Defensive</v>
      </c>
      <c r="B2">
        <f>IF(A2="","",SUM('Asset Allocation'!C2))</f>
        <v>8.1000000000000003E-2</v>
      </c>
      <c r="C2">
        <f>IF(A2="","",SUM('Asset Allocation'!B2))</f>
        <v>0.68799999999999994</v>
      </c>
      <c r="G2">
        <f>IF(A2="","",SUM('Asset Allocation'!D2))</f>
        <v>0.03</v>
      </c>
      <c r="H2">
        <f t="shared" ref="H2:H50" si="0">IF(A2="","",1-SUM(B2:G2))</f>
        <v>0.20100000000000007</v>
      </c>
    </row>
    <row r="3" spans="1:8" x14ac:dyDescent="0.25">
      <c r="A3" t="str">
        <f>IF(Input!A4="","",Input!A4)</f>
        <v>Core Active Cautious</v>
      </c>
      <c r="B3">
        <f>IF(A3="","",SUM('Asset Allocation'!C3))</f>
        <v>0.22</v>
      </c>
      <c r="C3">
        <f>IF(A3="","",SUM('Asset Allocation'!B3))</f>
        <v>0.50900000000000001</v>
      </c>
      <c r="G3">
        <f>IF(A3="","",SUM('Asset Allocation'!D3))</f>
        <v>6.4000000000000001E-2</v>
      </c>
      <c r="H3">
        <f t="shared" si="0"/>
        <v>0.20700000000000007</v>
      </c>
    </row>
    <row r="4" spans="1:8" x14ac:dyDescent="0.25">
      <c r="A4" t="str">
        <f>IF(Input!A5="","",Input!A5)</f>
        <v>Core Active Balanced</v>
      </c>
      <c r="B4">
        <f>IF(A4="","",SUM('Asset Allocation'!C4))</f>
        <v>0.34100000000000003</v>
      </c>
      <c r="C4">
        <f>IF(A4="","",SUM('Asset Allocation'!B4))</f>
        <v>0.34299999999999997</v>
      </c>
      <c r="G4">
        <f>IF(A4="","",SUM('Asset Allocation'!D4))</f>
        <v>9.9000000000000005E-2</v>
      </c>
      <c r="H4">
        <f t="shared" si="0"/>
        <v>0.21700000000000008</v>
      </c>
    </row>
    <row r="5" spans="1:8" x14ac:dyDescent="0.25">
      <c r="A5" t="str">
        <f>IF(Input!A6="","",Input!A6)</f>
        <v>Core Active Growth</v>
      </c>
      <c r="B5">
        <f>IF(A5="","",SUM('Asset Allocation'!C5))</f>
        <v>0.45</v>
      </c>
      <c r="C5">
        <f>IF(A5="","",SUM('Asset Allocation'!B5))</f>
        <v>0.191</v>
      </c>
      <c r="G5">
        <f>IF(A5="","",SUM('Asset Allocation'!D5))</f>
        <v>0.11900000000000001</v>
      </c>
      <c r="H5">
        <f t="shared" si="0"/>
        <v>0.24</v>
      </c>
    </row>
    <row r="6" spans="1:8" x14ac:dyDescent="0.25">
      <c r="A6" t="str">
        <f>IF(Input!A7="","",Input!A7)</f>
        <v>Core Active Adventurous</v>
      </c>
      <c r="B6">
        <f>IF(A6="","",SUM('Asset Allocation'!C6))</f>
        <v>0.51100000000000001</v>
      </c>
      <c r="C6">
        <f>IF(A6="","",SUM('Asset Allocation'!B6))</f>
        <v>0.05</v>
      </c>
      <c r="G6">
        <f>IF(A6="","",SUM('Asset Allocation'!D6))</f>
        <v>0.152</v>
      </c>
      <c r="H6">
        <f t="shared" si="0"/>
        <v>0.28699999999999992</v>
      </c>
    </row>
    <row r="7" spans="1:8" x14ac:dyDescent="0.25">
      <c r="A7" t="str">
        <f>IF(Input!A8="","",Input!A8)</f>
        <v>Core Active Speculative</v>
      </c>
      <c r="B7">
        <f>IF(A7="","",SUM('Asset Allocation'!C7))</f>
        <v>0.42399999999999999</v>
      </c>
      <c r="C7">
        <f>IF(A7="","",SUM('Asset Allocation'!B7))</f>
        <v>7.4999999999999997E-2</v>
      </c>
      <c r="G7">
        <f>IF(A7="","",SUM('Asset Allocation'!D7))</f>
        <v>0.19399999999999998</v>
      </c>
      <c r="H7">
        <f t="shared" si="0"/>
        <v>0.30700000000000005</v>
      </c>
    </row>
    <row r="8" spans="1:8" x14ac:dyDescent="0.25">
      <c r="A8" t="str">
        <f>IF(Input!A9="","",Input!A9)</f>
        <v>Enhanced Passive Core Active Defensive</v>
      </c>
      <c r="B8">
        <f>IF(A8="","",SUM('Asset Allocation'!C8))</f>
        <v>0.06</v>
      </c>
      <c r="C8">
        <f>IF(A8="","",SUM('Asset Allocation'!B8))</f>
        <v>0.68299999999999994</v>
      </c>
      <c r="G8">
        <f>IF(A8="","",SUM('Asset Allocation'!D8))</f>
        <v>2.1000000000000001E-2</v>
      </c>
      <c r="H8">
        <f t="shared" si="0"/>
        <v>0.2360000000000001</v>
      </c>
    </row>
    <row r="9" spans="1:8" x14ac:dyDescent="0.25">
      <c r="A9" t="str">
        <f>IF(Input!A10="","",Input!A10)</f>
        <v>Enhanced Passive Core Active Cautious</v>
      </c>
      <c r="B9">
        <f>IF(A9="","",SUM('Asset Allocation'!C9))</f>
        <v>0.19</v>
      </c>
      <c r="C9">
        <f>IF(A9="","",SUM('Asset Allocation'!B9))</f>
        <v>0.51700000000000002</v>
      </c>
      <c r="G9">
        <f>IF(A9="","",SUM('Asset Allocation'!D9))</f>
        <v>4.2000000000000003E-2</v>
      </c>
      <c r="H9">
        <f t="shared" si="0"/>
        <v>0.25099999999999989</v>
      </c>
    </row>
    <row r="10" spans="1:8" x14ac:dyDescent="0.25">
      <c r="A10" t="str">
        <f>IF(Input!A11="","",Input!A11)</f>
        <v>Enhanced Passive Core Active Balanced</v>
      </c>
      <c r="B10">
        <f>IF(A10="","",SUM('Asset Allocation'!C10))</f>
        <v>0.29600000000000004</v>
      </c>
      <c r="C10">
        <f>IF(A10="","",SUM('Asset Allocation'!B10))</f>
        <v>0.36</v>
      </c>
      <c r="G10">
        <f>IF(A10="","",SUM('Asset Allocation'!D10))</f>
        <v>6.4000000000000001E-2</v>
      </c>
      <c r="H10">
        <f t="shared" si="0"/>
        <v>0.28000000000000003</v>
      </c>
    </row>
    <row r="11" spans="1:8" x14ac:dyDescent="0.25">
      <c r="A11" t="str">
        <f>IF(Input!A12="","",Input!A12)</f>
        <v>Enhanced Passive Core Active Growth</v>
      </c>
      <c r="B11">
        <f>IF(A11="","",SUM('Asset Allocation'!C11))</f>
        <v>0.41100000000000003</v>
      </c>
      <c r="C11">
        <f>IF(A11="","",SUM('Asset Allocation'!B11))</f>
        <v>0.19899999999999998</v>
      </c>
      <c r="G11">
        <f>IF(A11="","",SUM('Asset Allocation'!D11))</f>
        <v>0.1</v>
      </c>
      <c r="H11">
        <f t="shared" si="0"/>
        <v>0.29000000000000004</v>
      </c>
    </row>
    <row r="12" spans="1:8" x14ac:dyDescent="0.25">
      <c r="A12" t="str">
        <f>IF(Input!A13="","",Input!A13)</f>
        <v>Enhanced Passive Core Active Adventurous</v>
      </c>
      <c r="B12">
        <f>IF(A12="","",SUM('Asset Allocation'!C12))</f>
        <v>0.54600000000000004</v>
      </c>
      <c r="C12">
        <f>IF(A12="","",SUM('Asset Allocation'!B12))</f>
        <v>3.7999999999999999E-2</v>
      </c>
      <c r="G12">
        <f>IF(A12="","",SUM('Asset Allocation'!D12))</f>
        <v>0.126</v>
      </c>
      <c r="H12">
        <f t="shared" si="0"/>
        <v>0.28999999999999992</v>
      </c>
    </row>
    <row r="13" spans="1:8" x14ac:dyDescent="0.25">
      <c r="A13" t="str">
        <f>IF(Input!A14="","",Input!A14)</f>
        <v>Sustainabilty-focused Core Active Defensive</v>
      </c>
      <c r="B13">
        <f>IF(A13="","",SUM('Asset Allocation'!C13))</f>
        <v>9.5000000000000001E-2</v>
      </c>
      <c r="C13">
        <f>IF(A13="","",SUM('Asset Allocation'!B13))</f>
        <v>0.51800000000000002</v>
      </c>
      <c r="G13">
        <f>IF(A13="","",SUM('Asset Allocation'!D13))</f>
        <v>3.6000000000000004E-2</v>
      </c>
      <c r="H13">
        <f t="shared" si="0"/>
        <v>0.35099999999999998</v>
      </c>
    </row>
    <row r="14" spans="1:8" x14ac:dyDescent="0.25">
      <c r="A14" t="str">
        <f>IF(Input!A15="","",Input!A15)</f>
        <v>Sustainabilty-focused Core Active Cautious</v>
      </c>
      <c r="B14">
        <f>IF(A14="","",SUM('Asset Allocation'!C14))</f>
        <v>0.192</v>
      </c>
      <c r="C14">
        <f>IF(A14="","",SUM('Asset Allocation'!B14))</f>
        <v>0.38700000000000001</v>
      </c>
      <c r="G14">
        <f>IF(A14="","",SUM('Asset Allocation'!D14))</f>
        <v>7.6999999999999999E-2</v>
      </c>
      <c r="H14">
        <f t="shared" si="0"/>
        <v>0.34400000000000008</v>
      </c>
    </row>
    <row r="15" spans="1:8" x14ac:dyDescent="0.25">
      <c r="A15" t="str">
        <f>IF(Input!A16="","",Input!A16)</f>
        <v>Sustainabilty-focused Core Active Balanced</v>
      </c>
      <c r="B15">
        <f>IF(A15="","",SUM('Asset Allocation'!C15))</f>
        <v>0.32400000000000001</v>
      </c>
      <c r="C15">
        <f>IF(A15="","",SUM('Asset Allocation'!B15))</f>
        <v>0.255</v>
      </c>
      <c r="G15">
        <f>IF(A15="","",SUM('Asset Allocation'!D15))</f>
        <v>0.105</v>
      </c>
      <c r="H15">
        <f t="shared" si="0"/>
        <v>0.31600000000000006</v>
      </c>
    </row>
    <row r="16" spans="1:8" x14ac:dyDescent="0.25">
      <c r="A16" t="str">
        <f>IF(Input!A17="","",Input!A17)</f>
        <v>Sustainabilty-focused Core Active Growth</v>
      </c>
      <c r="B16">
        <f>IF(A16="","",SUM('Asset Allocation'!C16))</f>
        <v>0.40100000000000002</v>
      </c>
      <c r="C16">
        <f>IF(A16="","",SUM('Asset Allocation'!B16))</f>
        <v>0.14400000000000002</v>
      </c>
      <c r="G16">
        <f>IF(A16="","",SUM('Asset Allocation'!D16))</f>
        <v>0.14899999999999999</v>
      </c>
      <c r="H16">
        <f t="shared" si="0"/>
        <v>0.30599999999999994</v>
      </c>
    </row>
    <row r="17" spans="1:8" x14ac:dyDescent="0.25">
      <c r="A17" t="str">
        <f>IF(Input!A18="","",Input!A18)</f>
        <v>Sustainabilty-focused Core Active Adventurous</v>
      </c>
      <c r="B17">
        <f>IF(A17="","",SUM('Asset Allocation'!C17))</f>
        <v>0.47600000000000003</v>
      </c>
      <c r="C17">
        <f>IF(A17="","",SUM('Asset Allocation'!B17))</f>
        <v>0</v>
      </c>
      <c r="G17">
        <f>IF(A17="","",SUM('Asset Allocation'!D17))</f>
        <v>0.18600000000000003</v>
      </c>
      <c r="H17">
        <f t="shared" si="0"/>
        <v>0.33799999999999997</v>
      </c>
    </row>
    <row r="18" spans="1:8" x14ac:dyDescent="0.25">
      <c r="A18" t="str">
        <f>IF(Input!A19="","",Input!A19)</f>
        <v>Sharia Defensive</v>
      </c>
      <c r="B18">
        <f>IF(A18="","",SUM('Asset Allocation'!C18))</f>
        <v>0.124</v>
      </c>
      <c r="C18">
        <f>IF(A18="","",SUM('Asset Allocation'!B18))</f>
        <v>0.72599999999999998</v>
      </c>
      <c r="G18">
        <f>IF(A18="","",SUM('Asset Allocation'!D18))</f>
        <v>5.4000000000000006E-2</v>
      </c>
      <c r="H18">
        <f t="shared" si="0"/>
        <v>9.5999999999999974E-2</v>
      </c>
    </row>
    <row r="19" spans="1:8" x14ac:dyDescent="0.25">
      <c r="A19" t="str">
        <f>IF(Input!A20="","",Input!A20)</f>
        <v>Sharia Cautious</v>
      </c>
      <c r="B19">
        <f>IF(A19="","",SUM('Asset Allocation'!C19))</f>
        <v>0.27600000000000002</v>
      </c>
      <c r="C19">
        <f>IF(A19="","",SUM('Asset Allocation'!B19))</f>
        <v>0.55299999999999994</v>
      </c>
      <c r="G19">
        <f>IF(A19="","",SUM('Asset Allocation'!D19))</f>
        <v>0.08</v>
      </c>
      <c r="H19">
        <f t="shared" si="0"/>
        <v>9.1000000000000081E-2</v>
      </c>
    </row>
    <row r="20" spans="1:8" x14ac:dyDescent="0.25">
      <c r="A20" t="str">
        <f>IF(Input!A21="","",Input!A21)</f>
        <v>Sharia Balanced</v>
      </c>
      <c r="B20">
        <f>IF(A20="","",SUM('Asset Allocation'!C20))</f>
        <v>0.504</v>
      </c>
      <c r="C20">
        <f>IF(A20="","",SUM('Asset Allocation'!B20))</f>
        <v>0.19600000000000001</v>
      </c>
      <c r="G20">
        <f>IF(A20="","",SUM('Asset Allocation'!D20))</f>
        <v>0.13600000000000001</v>
      </c>
      <c r="H20">
        <f t="shared" si="0"/>
        <v>0.16400000000000003</v>
      </c>
    </row>
    <row r="21" spans="1:8" x14ac:dyDescent="0.25">
      <c r="A21" t="str">
        <f>IF(Input!A22="","",Input!A22)</f>
        <v>Sharia Growth</v>
      </c>
      <c r="B21">
        <f>IF(A21="","",SUM('Asset Allocation'!C21))</f>
        <v>0.504</v>
      </c>
      <c r="C21">
        <f>IF(A21="","",SUM('Asset Allocation'!B21))</f>
        <v>0.19600000000000001</v>
      </c>
      <c r="G21">
        <f>IF(A21="","",SUM('Asset Allocation'!D21))</f>
        <v>0.13600000000000001</v>
      </c>
      <c r="H21">
        <f t="shared" si="0"/>
        <v>0.16400000000000003</v>
      </c>
    </row>
    <row r="22" spans="1:8" x14ac:dyDescent="0.25">
      <c r="A22" t="str">
        <f>IF(Input!A23="","",Input!A23)</f>
        <v>Sharia Adventurous</v>
      </c>
      <c r="B22">
        <f>IF(A22="","",SUM('Asset Allocation'!C22))</f>
        <v>0.60699999999999998</v>
      </c>
      <c r="C22">
        <f>IF(A22="","",SUM('Asset Allocation'!B22))</f>
        <v>5.7999999999999996E-2</v>
      </c>
      <c r="G22">
        <f>IF(A22="","",SUM('Asset Allocation'!D22))</f>
        <v>0.16800000000000001</v>
      </c>
      <c r="H22">
        <f t="shared" si="0"/>
        <v>0.16699999999999993</v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Core Active Defensive</v>
      </c>
      <c r="B2" s="6">
        <f>IFERROR(IF(A2="","",SUM('Asset Allocation'!F2)),0)</f>
        <v>0</v>
      </c>
      <c r="C2" s="6">
        <f>IFERROR(IF(A2="","",SUM('Asset Allocation'!E2)),0)</f>
        <v>8.5999999999999993E-2</v>
      </c>
      <c r="D2" s="6">
        <f>IFERROR(IF(A2="","",SUM('Asset Allocation'!I2)),0)</f>
        <v>2E-3</v>
      </c>
      <c r="E2" s="6">
        <f>IFERROR(IF(A2="","",SUM('Asset Allocation'!G2)),0)</f>
        <v>0</v>
      </c>
      <c r="F2" s="6">
        <f>IFERROR(IF(A2="","",SUM('Asset Allocation'!J2,'Asset Allocation'!N2)),0)</f>
        <v>2.3E-2</v>
      </c>
      <c r="G2" s="6">
        <f>IFERROR(IF(A2="","",SUM('Asset Allocation'!H2,'Asset Allocation'!K2,'Asset Allocation'!L2,'Asset Allocation'!M2)),0)</f>
        <v>0.09</v>
      </c>
      <c r="H2" s="6"/>
    </row>
    <row r="3" spans="1:8" x14ac:dyDescent="0.25">
      <c r="A3" t="str">
        <f>IF(Input!A4="","",Input!A4)</f>
        <v>Core Active Cautious</v>
      </c>
      <c r="B3" s="6">
        <f>IFERROR(IF(A3="","",SUM('Asset Allocation'!F3)),0)</f>
        <v>2.7000000000000003E-2</v>
      </c>
      <c r="C3" s="6">
        <f>IFERROR(IF(A3="","",SUM('Asset Allocation'!E3)),0)</f>
        <v>7.2999999999999995E-2</v>
      </c>
      <c r="D3" s="6">
        <f>IFERROR(IF(A3="","",SUM('Asset Allocation'!I3)),0)</f>
        <v>1.3000000000000001E-2</v>
      </c>
      <c r="E3" s="6">
        <f>IFERROR(IF(A3="","",SUM('Asset Allocation'!G3)),0)</f>
        <v>2.5000000000000001E-2</v>
      </c>
      <c r="F3" s="6">
        <f>IFERROR(IF(A3="","",SUM('Asset Allocation'!J3,'Asset Allocation'!N3)),0)</f>
        <v>1.2E-2</v>
      </c>
      <c r="G3" s="6">
        <f>IFERROR(IF(A3="","",SUM('Asset Allocation'!H3,'Asset Allocation'!K3,'Asset Allocation'!L3,'Asset Allocation'!M3)),0)</f>
        <v>5.8000000000000003E-2</v>
      </c>
      <c r="H3" s="6"/>
    </row>
    <row r="4" spans="1:8" x14ac:dyDescent="0.25">
      <c r="A4" t="str">
        <f>IF(Input!A5="","",Input!A5)</f>
        <v>Core Active Balanced</v>
      </c>
      <c r="B4" s="6">
        <f>IFERROR(IF(A4="","",SUM('Asset Allocation'!F4)),0)</f>
        <v>5.2000000000000005E-2</v>
      </c>
      <c r="C4" s="6">
        <f>IFERROR(IF(A4="","",SUM('Asset Allocation'!E4)),0)</f>
        <v>5.9000000000000004E-2</v>
      </c>
      <c r="D4" s="6">
        <f>IFERROR(IF(A4="","",SUM('Asset Allocation'!I4)),0)</f>
        <v>1.8000000000000002E-2</v>
      </c>
      <c r="E4" s="6">
        <f>IFERROR(IF(A4="","",SUM('Asset Allocation'!G4)),0)</f>
        <v>3.7000000000000005E-2</v>
      </c>
      <c r="F4" s="6">
        <f>IFERROR(IF(A4="","",SUM('Asset Allocation'!J4,'Asset Allocation'!N4)),0)</f>
        <v>9.0000000000000011E-3</v>
      </c>
      <c r="G4" s="6">
        <f>IFERROR(IF(A4="","",SUM('Asset Allocation'!H4,'Asset Allocation'!K4,'Asset Allocation'!L4,'Asset Allocation'!M4)),0)</f>
        <v>4.2000000000000003E-2</v>
      </c>
      <c r="H4" s="6"/>
    </row>
    <row r="5" spans="1:8" x14ac:dyDescent="0.25">
      <c r="A5" t="str">
        <f>IF(Input!A6="","",Input!A6)</f>
        <v>Core Active Growth</v>
      </c>
      <c r="B5" s="6">
        <f>IFERROR(IF(A5="","",SUM('Asset Allocation'!F5)),0)</f>
        <v>6.3E-2</v>
      </c>
      <c r="C5" s="6">
        <f>IFERROR(IF(A5="","",SUM('Asset Allocation'!E5)),0)</f>
        <v>4.4000000000000004E-2</v>
      </c>
      <c r="D5" s="6">
        <f>IFERROR(IF(A5="","",SUM('Asset Allocation'!I5)),0)</f>
        <v>4.2000000000000003E-2</v>
      </c>
      <c r="E5" s="6">
        <f>IFERROR(IF(A5="","",SUM('Asset Allocation'!G5)),0)</f>
        <v>4.5999999999999999E-2</v>
      </c>
      <c r="F5" s="6">
        <f>IFERROR(IF(A5="","",SUM('Asset Allocation'!J5,'Asset Allocation'!N5)),0)</f>
        <v>5.0000000000000001E-3</v>
      </c>
      <c r="G5" s="6">
        <f>IFERROR(IF(A5="","",SUM('Asset Allocation'!H5,'Asset Allocation'!K5,'Asset Allocation'!L5,'Asset Allocation'!M5)),0)</f>
        <v>3.9E-2</v>
      </c>
      <c r="H5" s="6"/>
    </row>
    <row r="6" spans="1:8" x14ac:dyDescent="0.25">
      <c r="A6" t="str">
        <f>IF(Input!A7="","",Input!A7)</f>
        <v>Core Active Adventurous</v>
      </c>
      <c r="B6" s="6">
        <f>IFERROR(IF(A6="","",SUM('Asset Allocation'!F6)),0)</f>
        <v>9.4E-2</v>
      </c>
      <c r="C6" s="6">
        <f>IFERROR(IF(A6="","",SUM('Asset Allocation'!E6)),0)</f>
        <v>3.1E-2</v>
      </c>
      <c r="D6" s="6">
        <f>IFERROR(IF(A6="","",SUM('Asset Allocation'!I6)),0)</f>
        <v>5.5999999999999994E-2</v>
      </c>
      <c r="E6" s="6">
        <f>IFERROR(IF(A6="","",SUM('Asset Allocation'!G6)),0)</f>
        <v>4.5999999999999999E-2</v>
      </c>
      <c r="F6" s="6">
        <f>IFERROR(IF(A6="","",SUM('Asset Allocation'!J6,'Asset Allocation'!N6)),0)</f>
        <v>1E-3</v>
      </c>
      <c r="G6" s="6">
        <f>IFERROR(IF(A6="","",SUM('Asset Allocation'!H6,'Asset Allocation'!K6,'Asset Allocation'!L6,'Asset Allocation'!M6)),0)</f>
        <v>5.8999999999999997E-2</v>
      </c>
      <c r="H6" s="6"/>
    </row>
    <row r="7" spans="1:8" x14ac:dyDescent="0.25">
      <c r="A7" t="str">
        <f>IF(Input!A8="","",Input!A8)</f>
        <v>Core Active Speculative</v>
      </c>
      <c r="B7" s="6">
        <f>IFERROR(IF(A7="","",SUM('Asset Allocation'!F7)),0)</f>
        <v>0.13</v>
      </c>
      <c r="C7" s="6">
        <f>IFERROR(IF(A7="","",SUM('Asset Allocation'!E7)),0)</f>
        <v>0</v>
      </c>
      <c r="D7" s="6">
        <f>IFERROR(IF(A7="","",SUM('Asset Allocation'!I7)),0)</f>
        <v>7.0000000000000007E-2</v>
      </c>
      <c r="E7" s="6">
        <f>IFERROR(IF(A7="","",SUM('Asset Allocation'!G7)),0)</f>
        <v>7.0999999999999994E-2</v>
      </c>
      <c r="F7" s="6">
        <f>IFERROR(IF(A7="","",SUM('Asset Allocation'!J7,'Asset Allocation'!N7)),0)</f>
        <v>1E-3</v>
      </c>
      <c r="G7" s="6">
        <f>IFERROR(IF(A7="","",SUM('Asset Allocation'!H7,'Asset Allocation'!K7,'Asset Allocation'!L7,'Asset Allocation'!M7)),0)</f>
        <v>3.7000000000000005E-2</v>
      </c>
      <c r="H7" s="6"/>
    </row>
    <row r="8" spans="1:8" x14ac:dyDescent="0.25">
      <c r="A8" t="str">
        <f>IF(Input!A9="","",Input!A9)</f>
        <v>Enhanced Passive Core Active Defensive</v>
      </c>
      <c r="B8" s="6">
        <f>IFERROR(IF(A8="","",SUM('Asset Allocation'!F8)),0)</f>
        <v>1.4999999999999999E-2</v>
      </c>
      <c r="C8" s="6">
        <f>IFERROR(IF(A8="","",SUM('Asset Allocation'!E8)),0)</f>
        <v>7.5999999999999998E-2</v>
      </c>
      <c r="D8" s="6">
        <f>IFERROR(IF(A8="","",SUM('Asset Allocation'!I8)),0)</f>
        <v>0</v>
      </c>
      <c r="E8" s="6">
        <f>IFERROR(IF(A8="","",SUM('Asset Allocation'!G8)),0)</f>
        <v>0</v>
      </c>
      <c r="F8" s="6">
        <f>IFERROR(IF(A8="","",SUM('Asset Allocation'!J8,'Asset Allocation'!N8)),0)</f>
        <v>9.0000000000000011E-3</v>
      </c>
      <c r="G8" s="6">
        <f>IFERROR(IF(A8="","",SUM('Asset Allocation'!H8,'Asset Allocation'!K8,'Asset Allocation'!L8,'Asset Allocation'!M8)),0)</f>
        <v>0.13100000000000001</v>
      </c>
      <c r="H8" s="6"/>
    </row>
    <row r="9" spans="1:8" x14ac:dyDescent="0.25">
      <c r="A9" t="str">
        <f>IF(Input!A10="","",Input!A10)</f>
        <v>Enhanced Passive Core Active Cautious</v>
      </c>
      <c r="B9" s="6">
        <f>IFERROR(IF(A9="","",SUM('Asset Allocation'!F9)),0)</f>
        <v>5.2999999999999999E-2</v>
      </c>
      <c r="C9" s="6">
        <f>IFERROR(IF(A9="","",SUM('Asset Allocation'!E9)),0)</f>
        <v>6.4000000000000001E-2</v>
      </c>
      <c r="D9" s="6">
        <f>IFERROR(IF(A9="","",SUM('Asset Allocation'!I9)),0)</f>
        <v>1E-3</v>
      </c>
      <c r="E9" s="6">
        <f>IFERROR(IF(A9="","",SUM('Asset Allocation'!G9)),0)</f>
        <v>0</v>
      </c>
      <c r="F9" s="6">
        <f>IFERROR(IF(A9="","",SUM('Asset Allocation'!J9,'Asset Allocation'!N9)),0)</f>
        <v>8.0000000000000002E-3</v>
      </c>
      <c r="G9" s="6">
        <f>IFERROR(IF(A9="","",SUM('Asset Allocation'!H9,'Asset Allocation'!K9,'Asset Allocation'!L9,'Asset Allocation'!M9)),0)</f>
        <v>0.126</v>
      </c>
      <c r="H9" s="6"/>
    </row>
    <row r="10" spans="1:8" x14ac:dyDescent="0.25">
      <c r="A10" t="str">
        <f>IF(Input!A11="","",Input!A11)</f>
        <v>Enhanced Passive Core Active Balanced</v>
      </c>
      <c r="B10" s="6">
        <f>IFERROR(IF(A10="","",SUM('Asset Allocation'!F10)),0)</f>
        <v>6.4000000000000001E-2</v>
      </c>
      <c r="C10" s="6">
        <f>IFERROR(IF(A10="","",SUM('Asset Allocation'!E10)),0)</f>
        <v>5.2999999999999999E-2</v>
      </c>
      <c r="D10" s="6">
        <f>IFERROR(IF(A10="","",SUM('Asset Allocation'!I10)),0)</f>
        <v>1.9E-2</v>
      </c>
      <c r="E10" s="6">
        <f>IFERROR(IF(A10="","",SUM('Asset Allocation'!G10)),0)</f>
        <v>0.04</v>
      </c>
      <c r="F10" s="6">
        <f>IFERROR(IF(A10="","",SUM('Asset Allocation'!J10,'Asset Allocation'!N10)),0)</f>
        <v>0</v>
      </c>
      <c r="G10" s="6">
        <f>IFERROR(IF(A10="","",SUM('Asset Allocation'!H10,'Asset Allocation'!K10,'Asset Allocation'!L10,'Asset Allocation'!M10)),0)</f>
        <v>9.9000000000000005E-2</v>
      </c>
      <c r="H10" s="6"/>
    </row>
    <row r="11" spans="1:8" x14ac:dyDescent="0.25">
      <c r="A11" t="str">
        <f>IF(Input!A12="","",Input!A12)</f>
        <v>Enhanced Passive Core Active Growth</v>
      </c>
      <c r="B11" s="6">
        <f>IFERROR(IF(A11="","",SUM('Asset Allocation'!F11)),0)</f>
        <v>8.6999999999999994E-2</v>
      </c>
      <c r="C11" s="6">
        <f>IFERROR(IF(A11="","",SUM('Asset Allocation'!E11)),0)</f>
        <v>2.7000000000000003E-2</v>
      </c>
      <c r="D11" s="6">
        <f>IFERROR(IF(A11="","",SUM('Asset Allocation'!I11)),0)</f>
        <v>2.4E-2</v>
      </c>
      <c r="E11" s="6">
        <f>IFERROR(IF(A11="","",SUM('Asset Allocation'!G11)),0)</f>
        <v>5.5E-2</v>
      </c>
      <c r="F11" s="6">
        <f>IFERROR(IF(A11="","",SUM('Asset Allocation'!J11,'Asset Allocation'!N11)),0)</f>
        <v>3.0000000000000001E-3</v>
      </c>
      <c r="G11" s="6">
        <f>IFERROR(IF(A11="","",SUM('Asset Allocation'!H11,'Asset Allocation'!K11,'Asset Allocation'!L11,'Asset Allocation'!M11)),0)</f>
        <v>7.0000000000000007E-2</v>
      </c>
      <c r="H11" s="6"/>
    </row>
    <row r="12" spans="1:8" x14ac:dyDescent="0.25">
      <c r="A12" t="str">
        <f>IF(Input!A13="","",Input!A13)</f>
        <v>Enhanced Passive Core Active Adventurous</v>
      </c>
      <c r="B12" s="6">
        <f>IFERROR(IF(A12="","",SUM('Asset Allocation'!F12)),0)</f>
        <v>0.106</v>
      </c>
      <c r="C12" s="6">
        <f>IFERROR(IF(A12="","",SUM('Asset Allocation'!E12)),0)</f>
        <v>1E-3</v>
      </c>
      <c r="D12" s="6">
        <f>IFERROR(IF(A12="","",SUM('Asset Allocation'!I12)),0)</f>
        <v>3.3000000000000002E-2</v>
      </c>
      <c r="E12" s="6">
        <f>IFERROR(IF(A12="","",SUM('Asset Allocation'!G12)),0)</f>
        <v>0.06</v>
      </c>
      <c r="F12" s="6">
        <f>IFERROR(IF(A12="","",SUM('Asset Allocation'!J12,'Asset Allocation'!N12)),0)</f>
        <v>1E-3</v>
      </c>
      <c r="G12" s="6">
        <f>IFERROR(IF(A12="","",SUM('Asset Allocation'!H12,'Asset Allocation'!K12,'Asset Allocation'!L12,'Asset Allocation'!M12)),0)</f>
        <v>0.09</v>
      </c>
      <c r="H12" s="6"/>
    </row>
    <row r="13" spans="1:8" x14ac:dyDescent="0.25">
      <c r="A13" t="str">
        <f>IF(Input!A14="","",Input!A14)</f>
        <v>Sustainabilty-focused Core Active Defensive</v>
      </c>
      <c r="B13" s="6">
        <f>IFERROR(IF(A13="","",SUM('Asset Allocation'!F13)),0)</f>
        <v>0</v>
      </c>
      <c r="C13" s="6">
        <f>IFERROR(IF(A13="","",SUM('Asset Allocation'!E13)),0)</f>
        <v>2.5000000000000001E-2</v>
      </c>
      <c r="D13" s="6">
        <f>IFERROR(IF(A13="","",SUM('Asset Allocation'!I13)),0)</f>
        <v>2.1000000000000001E-2</v>
      </c>
      <c r="E13" s="6">
        <f>IFERROR(IF(A13="","",SUM('Asset Allocation'!G13)),0)</f>
        <v>6.9999999999999993E-3</v>
      </c>
      <c r="F13" s="6">
        <f>IFERROR(IF(A13="","",SUM('Asset Allocation'!J13,'Asset Allocation'!N13)),0)</f>
        <v>0.114</v>
      </c>
      <c r="G13" s="6">
        <f>IFERROR(IF(A13="","",SUM('Asset Allocation'!H13,'Asset Allocation'!K13,'Asset Allocation'!L13,'Asset Allocation'!M13)),0)</f>
        <v>0.17799999999999999</v>
      </c>
      <c r="H13" s="6"/>
    </row>
    <row r="14" spans="1:8" x14ac:dyDescent="0.25">
      <c r="A14" t="str">
        <f>IF(Input!A15="","",Input!A15)</f>
        <v>Sustainabilty-focused Core Active Cautious</v>
      </c>
      <c r="B14" s="6">
        <f>IFERROR(IF(A14="","",SUM('Asset Allocation'!F14)),0)</f>
        <v>4.7E-2</v>
      </c>
      <c r="C14" s="6">
        <f>IFERROR(IF(A14="","",SUM('Asset Allocation'!E14)),0)</f>
        <v>0.02</v>
      </c>
      <c r="D14" s="6">
        <f>IFERROR(IF(A14="","",SUM('Asset Allocation'!I14)),0)</f>
        <v>2.7999999999999997E-2</v>
      </c>
      <c r="E14" s="6">
        <f>IFERROR(IF(A14="","",SUM('Asset Allocation'!G14)),0)</f>
        <v>1.3999999999999999E-2</v>
      </c>
      <c r="F14" s="6">
        <f>IFERROR(IF(A14="","",SUM('Asset Allocation'!J14,'Asset Allocation'!N14)),0)</f>
        <v>5.7999999999999996E-2</v>
      </c>
      <c r="G14" s="6">
        <f>IFERROR(IF(A14="","",SUM('Asset Allocation'!H14,'Asset Allocation'!K14,'Asset Allocation'!L14,'Asset Allocation'!M14)),0)</f>
        <v>0.16200000000000001</v>
      </c>
      <c r="H14" s="6"/>
    </row>
    <row r="15" spans="1:8" x14ac:dyDescent="0.25">
      <c r="A15" t="str">
        <f>IF(Input!A16="","",Input!A16)</f>
        <v>Sustainabilty-focused Core Active Balanced</v>
      </c>
      <c r="B15" s="6">
        <f>IFERROR(IF(A15="","",SUM('Asset Allocation'!F15)),0)</f>
        <v>7.6999999999999999E-2</v>
      </c>
      <c r="C15" s="6">
        <f>IFERROR(IF(A15="","",SUM('Asset Allocation'!E15)),0)</f>
        <v>1.3000000000000001E-2</v>
      </c>
      <c r="D15" s="6">
        <f>IFERROR(IF(A15="","",SUM('Asset Allocation'!I15)),0)</f>
        <v>3.3000000000000002E-2</v>
      </c>
      <c r="E15" s="6">
        <f>IFERROR(IF(A15="","",SUM('Asset Allocation'!G15)),0)</f>
        <v>1.8000000000000002E-2</v>
      </c>
      <c r="F15" s="6">
        <f>IFERROR(IF(A15="","",SUM('Asset Allocation'!J15,'Asset Allocation'!N15)),0)</f>
        <v>2.7999999999999997E-2</v>
      </c>
      <c r="G15" s="6">
        <f>IFERROR(IF(A15="","",SUM('Asset Allocation'!H15,'Asset Allocation'!K15,'Asset Allocation'!L15,'Asset Allocation'!M15)),0)</f>
        <v>0.13500000000000001</v>
      </c>
      <c r="H15" s="6"/>
    </row>
    <row r="16" spans="1:8" x14ac:dyDescent="0.25">
      <c r="A16" t="str">
        <f>IF(Input!A17="","",Input!A17)</f>
        <v>Sustainabilty-focused Core Active Growth</v>
      </c>
      <c r="B16" s="6">
        <f>IFERROR(IF(A16="","",SUM('Asset Allocation'!F16)),0)</f>
        <v>0.111</v>
      </c>
      <c r="C16" s="6">
        <f>IFERROR(IF(A16="","",SUM('Asset Allocation'!E16)),0)</f>
        <v>6.0000000000000001E-3</v>
      </c>
      <c r="D16" s="6">
        <f>IFERROR(IF(A16="","",SUM('Asset Allocation'!I16)),0)</f>
        <v>4.7E-2</v>
      </c>
      <c r="E16" s="6">
        <f>IFERROR(IF(A16="","",SUM('Asset Allocation'!G16)),0)</f>
        <v>2.7999999999999997E-2</v>
      </c>
      <c r="F16" s="6">
        <f>IFERROR(IF(A16="","",SUM('Asset Allocation'!J16,'Asset Allocation'!N16)),0)</f>
        <v>0</v>
      </c>
      <c r="G16" s="6">
        <f>IFERROR(IF(A16="","",SUM('Asset Allocation'!H16,'Asset Allocation'!K16,'Asset Allocation'!L16,'Asset Allocation'!M16)),0)</f>
        <v>0.106</v>
      </c>
      <c r="H16" s="6"/>
    </row>
    <row r="17" spans="1:8" x14ac:dyDescent="0.25">
      <c r="A17" t="str">
        <f>IF(Input!A18="","",Input!A18)</f>
        <v>Sustainabilty-focused Core Active Adventurous</v>
      </c>
      <c r="B17" s="6">
        <f>IFERROR(IF(A17="","",SUM('Asset Allocation'!F17)),0)</f>
        <v>0.13400000000000001</v>
      </c>
      <c r="C17" s="6">
        <f>IFERROR(IF(A17="","",SUM('Asset Allocation'!E17)),0)</f>
        <v>0</v>
      </c>
      <c r="D17" s="6">
        <f>IFERROR(IF(A17="","",SUM('Asset Allocation'!I17)),0)</f>
        <v>5.7000000000000002E-2</v>
      </c>
      <c r="E17" s="6">
        <f>IFERROR(IF(A17="","",SUM('Asset Allocation'!G17)),0)</f>
        <v>3.6000000000000004E-2</v>
      </c>
      <c r="F17" s="6">
        <f>IFERROR(IF(A17="","",SUM('Asset Allocation'!J17,'Asset Allocation'!N17)),0)</f>
        <v>0</v>
      </c>
      <c r="G17" s="6">
        <f>IFERROR(IF(A17="","",SUM('Asset Allocation'!H17,'Asset Allocation'!K17,'Asset Allocation'!L17,'Asset Allocation'!M17)),0)</f>
        <v>0.111</v>
      </c>
      <c r="H17" s="6"/>
    </row>
    <row r="18" spans="1:8" x14ac:dyDescent="0.25">
      <c r="A18" t="str">
        <f>IF(Input!A19="","",Input!A19)</f>
        <v>Sharia Defensive</v>
      </c>
      <c r="B18" s="6">
        <f>IFERROR(IF(A18="","",SUM('Asset Allocation'!F18)),0)</f>
        <v>9.0000000000000011E-3</v>
      </c>
      <c r="C18" s="6">
        <f>IFERROR(IF(A18="","",SUM('Asset Allocation'!E18)),0)</f>
        <v>0</v>
      </c>
      <c r="D18" s="6">
        <f>IFERROR(IF(A18="","",SUM('Asset Allocation'!I18)),0)</f>
        <v>1.2E-2</v>
      </c>
      <c r="E18" s="6">
        <f>IFERROR(IF(A18="","",SUM('Asset Allocation'!G18)),0)</f>
        <v>6.0000000000000001E-3</v>
      </c>
      <c r="F18" s="6">
        <f>IFERROR(IF(A18="","",SUM('Asset Allocation'!J18,'Asset Allocation'!N18)),0)</f>
        <v>6.9999999999999993E-3</v>
      </c>
      <c r="G18" s="6">
        <f>IFERROR(IF(A18="","",SUM('Asset Allocation'!H18,'Asset Allocation'!K18,'Asset Allocation'!L18,'Asset Allocation'!M18)),0)</f>
        <v>6.3E-2</v>
      </c>
      <c r="H18" s="6"/>
    </row>
    <row r="19" spans="1:8" x14ac:dyDescent="0.25">
      <c r="A19" t="str">
        <f>IF(Input!A20="","",Input!A20)</f>
        <v>Sharia Cautious</v>
      </c>
      <c r="B19" s="6">
        <f>IFERROR(IF(A19="","",SUM('Asset Allocation'!F19)),0)</f>
        <v>1.3999999999999999E-2</v>
      </c>
      <c r="C19" s="6">
        <f>IFERROR(IF(A19="","",SUM('Asset Allocation'!E19)),0)</f>
        <v>0</v>
      </c>
      <c r="D19" s="6">
        <f>IFERROR(IF(A19="","",SUM('Asset Allocation'!I19)),0)</f>
        <v>0.02</v>
      </c>
      <c r="E19" s="6">
        <f>IFERROR(IF(A19="","",SUM('Asset Allocation'!G19)),0)</f>
        <v>9.0000000000000011E-3</v>
      </c>
      <c r="F19" s="6">
        <f>IFERROR(IF(A19="","",SUM('Asset Allocation'!J19,'Asset Allocation'!N19)),0)</f>
        <v>6.0000000000000001E-3</v>
      </c>
      <c r="G19" s="6">
        <f>IFERROR(IF(A19="","",SUM('Asset Allocation'!H19,'Asset Allocation'!K19,'Asset Allocation'!L19,'Asset Allocation'!M19)),0)</f>
        <v>4.2999999999999997E-2</v>
      </c>
      <c r="H19" s="6"/>
    </row>
    <row r="20" spans="1:8" x14ac:dyDescent="0.25">
      <c r="A20" t="str">
        <f>IF(Input!A21="","",Input!A21)</f>
        <v>Sharia Balanced</v>
      </c>
      <c r="B20" s="6">
        <f>IFERROR(IF(A20="","",SUM('Asset Allocation'!F20)),0)</f>
        <v>5.9000000000000004E-2</v>
      </c>
      <c r="C20" s="6">
        <f>IFERROR(IF(A20="","",SUM('Asset Allocation'!E20)),0)</f>
        <v>0</v>
      </c>
      <c r="D20" s="6">
        <f>IFERROR(IF(A20="","",SUM('Asset Allocation'!I20)),0)</f>
        <v>3.2000000000000001E-2</v>
      </c>
      <c r="E20" s="6">
        <f>IFERROR(IF(A20="","",SUM('Asset Allocation'!G20)),0)</f>
        <v>1.9E-2</v>
      </c>
      <c r="F20" s="6">
        <f>IFERROR(IF(A20="","",SUM('Asset Allocation'!J20,'Asset Allocation'!N20)),0)</f>
        <v>3.0000000000000001E-3</v>
      </c>
      <c r="G20" s="6">
        <f>IFERROR(IF(A20="","",SUM('Asset Allocation'!H20,'Asset Allocation'!K20,'Asset Allocation'!L20,'Asset Allocation'!M20)),0)</f>
        <v>5.2000000000000005E-2</v>
      </c>
      <c r="H20" s="6"/>
    </row>
    <row r="21" spans="1:8" x14ac:dyDescent="0.25">
      <c r="A21" t="str">
        <f>IF(Input!A22="","",Input!A22)</f>
        <v>Sharia Growth</v>
      </c>
      <c r="B21" s="6">
        <f>IFERROR(IF(A21="","",SUM('Asset Allocation'!F21)),0)</f>
        <v>5.9000000000000004E-2</v>
      </c>
      <c r="C21" s="6">
        <f>IFERROR(IF(A21="","",SUM('Asset Allocation'!E21)),0)</f>
        <v>0</v>
      </c>
      <c r="D21" s="6">
        <f>IFERROR(IF(A21="","",SUM('Asset Allocation'!I21)),0)</f>
        <v>3.2000000000000001E-2</v>
      </c>
      <c r="E21" s="6">
        <f>IFERROR(IF(A21="","",SUM('Asset Allocation'!G21)),0)</f>
        <v>1.9E-2</v>
      </c>
      <c r="F21" s="6">
        <f>IFERROR(IF(A21="","",SUM('Asset Allocation'!J21,'Asset Allocation'!N21)),0)</f>
        <v>3.0000000000000001E-3</v>
      </c>
      <c r="G21" s="6">
        <f>IFERROR(IF(A21="","",SUM('Asset Allocation'!H21,'Asset Allocation'!K21,'Asset Allocation'!L21,'Asset Allocation'!M21)),0)</f>
        <v>5.2000000000000005E-2</v>
      </c>
      <c r="H21" s="6"/>
    </row>
    <row r="22" spans="1:8" x14ac:dyDescent="0.25">
      <c r="A22" t="str">
        <f>IF(Input!A23="","",Input!A23)</f>
        <v>Sharia Adventurous</v>
      </c>
      <c r="B22" s="6">
        <f>IFERROR(IF(A22="","",SUM('Asset Allocation'!F22)),0)</f>
        <v>7.2999999999999995E-2</v>
      </c>
      <c r="C22" s="6">
        <f>IFERROR(IF(A22="","",SUM('Asset Allocation'!E22)),0)</f>
        <v>0</v>
      </c>
      <c r="D22" s="6">
        <f>IFERROR(IF(A22="","",SUM('Asset Allocation'!I22)),0)</f>
        <v>3.7999999999999999E-2</v>
      </c>
      <c r="E22" s="6">
        <f>IFERROR(IF(A22="","",SUM('Asset Allocation'!G22)),0)</f>
        <v>2.3E-2</v>
      </c>
      <c r="F22" s="6">
        <f>IFERROR(IF(A22="","",SUM('Asset Allocation'!J22,'Asset Allocation'!N22)),0)</f>
        <v>1E-3</v>
      </c>
      <c r="G22" s="6">
        <f>IFERROR(IF(A22="","",SUM('Asset Allocation'!H22,'Asset Allocation'!K22,'Asset Allocation'!L22,'Asset Allocation'!M22)),0)</f>
        <v>3.2000000000000001E-2</v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Core Active Defensive</v>
      </c>
      <c r="H2">
        <f>IFERROR(IF(A2="","",SUM('Asset Allocation'!B2)/'Broad Asset Allocation'!C2),0)</f>
        <v>1</v>
      </c>
    </row>
    <row r="3" spans="1:8" x14ac:dyDescent="0.25">
      <c r="A3" t="str">
        <f>IF(Input!A4="","",Input!A4)</f>
        <v>Core Active Cautious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Core Active Balanced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Core Active Growth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Core Active Adventurous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Core Active Speculative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Enhanced Passive Core Active Defensive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>Enhanced Passive Core Active Cautious</v>
      </c>
      <c r="H9">
        <f>IFERROR(IF(A9="","",SUM('Asset Allocation'!B9)/'Broad Asset Allocation'!C9),0)</f>
        <v>1</v>
      </c>
    </row>
    <row r="10" spans="1:8" x14ac:dyDescent="0.25">
      <c r="A10" t="str">
        <f>IF(Input!A11="","",Input!A11)</f>
        <v>Enhanced Passive Core Active Balanced</v>
      </c>
      <c r="H10">
        <f>IFERROR(IF(A10="","",SUM('Asset Allocation'!B10)/'Broad Asset Allocation'!C10),0)</f>
        <v>1</v>
      </c>
    </row>
    <row r="11" spans="1:8" x14ac:dyDescent="0.25">
      <c r="A11" t="str">
        <f>IF(Input!A12="","",Input!A12)</f>
        <v>Enhanced Passive Core Active Growth</v>
      </c>
      <c r="H11">
        <f>IFERROR(IF(A11="","",SUM('Asset Allocation'!B11)/'Broad Asset Allocation'!C11),0)</f>
        <v>1</v>
      </c>
    </row>
    <row r="12" spans="1:8" x14ac:dyDescent="0.25">
      <c r="A12" t="str">
        <f>IF(Input!A13="","",Input!A13)</f>
        <v>Enhanced Passive Core Active Adventurous</v>
      </c>
      <c r="H12">
        <f>IFERROR(IF(A12="","",SUM('Asset Allocation'!B12)/'Broad Asset Allocation'!C12),0)</f>
        <v>1</v>
      </c>
    </row>
    <row r="13" spans="1:8" x14ac:dyDescent="0.25">
      <c r="A13" t="str">
        <f>IF(Input!A14="","",Input!A14)</f>
        <v>Sustainabilty-focused Core Active Defensive</v>
      </c>
      <c r="H13">
        <f>IFERROR(IF(A13="","",SUM('Asset Allocation'!B13)/'Broad Asset Allocation'!C13),0)</f>
        <v>1</v>
      </c>
    </row>
    <row r="14" spans="1:8" x14ac:dyDescent="0.25">
      <c r="A14" t="str">
        <f>IF(Input!A15="","",Input!A15)</f>
        <v>Sustainabilty-focused Core Active Cautious</v>
      </c>
      <c r="H14">
        <f>IFERROR(IF(A14="","",SUM('Asset Allocation'!B14)/'Broad Asset Allocation'!C14),0)</f>
        <v>1</v>
      </c>
    </row>
    <row r="15" spans="1:8" x14ac:dyDescent="0.25">
      <c r="A15" t="str">
        <f>IF(Input!A16="","",Input!A16)</f>
        <v>Sustainabilty-focused Core Active Balanced</v>
      </c>
      <c r="H15">
        <f>IFERROR(IF(A15="","",SUM('Asset Allocation'!B15)/'Broad Asset Allocation'!C15),0)</f>
        <v>1</v>
      </c>
    </row>
    <row r="16" spans="1:8" x14ac:dyDescent="0.25">
      <c r="A16" t="str">
        <f>IF(Input!A17="","",Input!A17)</f>
        <v>Sustainabilty-focused Core Active Growth</v>
      </c>
      <c r="H16">
        <f>IFERROR(IF(A16="","",SUM('Asset Allocation'!B16)/'Broad Asset Allocation'!C16),0)</f>
        <v>1</v>
      </c>
    </row>
    <row r="17" spans="1:8" x14ac:dyDescent="0.25">
      <c r="A17" t="str">
        <f>IF(Input!A18="","",Input!A18)</f>
        <v>Sustainabilty-focused Core Active Adventurous</v>
      </c>
      <c r="H17">
        <f>IFERROR(IF(A17="","",SUM('Asset Allocation'!B17)/'Broad Asset Allocation'!C17),0)</f>
        <v>0</v>
      </c>
    </row>
    <row r="18" spans="1:8" x14ac:dyDescent="0.25">
      <c r="A18" t="str">
        <f>IF(Input!A19="","",Input!A19)</f>
        <v>Sharia Defensive</v>
      </c>
      <c r="H18">
        <f>IFERROR(IF(A18="","",SUM('Asset Allocation'!B18)/'Broad Asset Allocation'!C18),0)</f>
        <v>1</v>
      </c>
    </row>
    <row r="19" spans="1:8" x14ac:dyDescent="0.25">
      <c r="A19" t="str">
        <f>IF(Input!A20="","",Input!A20)</f>
        <v>Sharia Cautious</v>
      </c>
      <c r="H19">
        <f>IFERROR(IF(A19="","",SUM('Asset Allocation'!B19)/'Broad Asset Allocation'!C19),0)</f>
        <v>1</v>
      </c>
    </row>
    <row r="20" spans="1:8" x14ac:dyDescent="0.25">
      <c r="A20" t="str">
        <f>IF(Input!A21="","",Input!A21)</f>
        <v>Sharia Balanced</v>
      </c>
      <c r="H20">
        <f>IFERROR(IF(A20="","",SUM('Asset Allocation'!B20)/'Broad Asset Allocation'!C20),0)</f>
        <v>1</v>
      </c>
    </row>
    <row r="21" spans="1:8" x14ac:dyDescent="0.25">
      <c r="A21" t="str">
        <f>IF(Input!A22="","",Input!A22)</f>
        <v>Sharia Growth</v>
      </c>
      <c r="H21">
        <f>IFERROR(IF(A21="","",SUM('Asset Allocation'!B21)/'Broad Asset Allocation'!C21),0)</f>
        <v>1</v>
      </c>
    </row>
    <row r="22" spans="1:8" x14ac:dyDescent="0.25">
      <c r="A22" t="str">
        <f>IF(Input!A23="","",Input!A23)</f>
        <v>Sharia Adventurous</v>
      </c>
      <c r="H22">
        <f>IFERROR(IF(A22="","",SUM('Asset Allocation'!B22)/'Broad Asset Allocation'!C22),0)</f>
        <v>1</v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Active Defensive</v>
      </c>
      <c r="C1" s="1" t="str">
        <v>Core Active Cautious</v>
      </c>
      <c r="D1" t="str">
        <v>Core Active Balanced</v>
      </c>
      <c r="E1" t="str">
        <v>Core Active Growth</v>
      </c>
      <c r="F1" t="str">
        <v>Core Active Adventurous</v>
      </c>
      <c r="G1" t="str">
        <v>Core Active Speculative</v>
      </c>
      <c r="H1" t="str">
        <v>Enhanced Passive Core Active Defensive</v>
      </c>
      <c r="I1" t="str">
        <v>Enhanced Passive Core Active Cautious</v>
      </c>
      <c r="J1" t="str">
        <v>Enhanced Passive Core Active Balanced</v>
      </c>
      <c r="K1" t="str">
        <v>Enhanced Passive Core Active Growth</v>
      </c>
      <c r="L1" t="str">
        <v>Enhanced Passive Core Active Adventurous</v>
      </c>
      <c r="M1" t="str">
        <v>Sustainabilty-focused Core Active Defensive</v>
      </c>
      <c r="N1" t="str">
        <v>Sustainabilty-focused Core Active Cautious</v>
      </c>
      <c r="O1" t="str">
        <v>Sustainabilty-focused Core Active Balanced</v>
      </c>
      <c r="P1" t="str">
        <v>Sustainabilty-focused Core Active Growth</v>
      </c>
      <c r="Q1" t="str">
        <v>Sustainabilty-focused Core Active Adventurous</v>
      </c>
      <c r="R1" t="str">
        <v>Sharia Defensive</v>
      </c>
      <c r="S1" t="str">
        <v>Sharia Cautious</v>
      </c>
      <c r="T1" t="str">
        <v>Sharia Balanced</v>
      </c>
      <c r="U1" t="str">
        <v>Sharia Growth</v>
      </c>
      <c r="V1" t="str">
        <v>Sharia Adventurous</v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2023-08-27T08:54:04Z</dcterms:modified>
</cp:coreProperties>
</file>