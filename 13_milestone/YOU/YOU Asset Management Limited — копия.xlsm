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YOU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15" i="1"/>
  <c r="B16" i="1"/>
  <c r="B17" i="1"/>
  <c r="B18" i="1"/>
  <c r="B19" i="1"/>
  <c r="B20" i="1"/>
  <c r="B21" i="1"/>
  <c r="B22" i="1"/>
  <c r="B23" i="1"/>
  <c r="B24" i="1"/>
  <c r="B25" i="1"/>
  <c r="B26" i="1"/>
  <c r="B4" i="1"/>
  <c r="B5" i="1"/>
  <c r="B6" i="1"/>
  <c r="B7" i="1"/>
  <c r="B8" i="1"/>
  <c r="B9" i="1"/>
  <c r="B10" i="1"/>
  <c r="B11" i="1"/>
  <c r="B12" i="1"/>
  <c r="B13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H23" i="8" s="1"/>
  <c r="B23" i="4"/>
  <c r="G23" i="4"/>
  <c r="G16" i="4"/>
  <c r="B16" i="4"/>
  <c r="C16" i="4"/>
  <c r="H16" i="8" s="1"/>
  <c r="B49" i="4"/>
  <c r="C49" i="4"/>
  <c r="G49" i="4"/>
  <c r="B6" i="4"/>
  <c r="C6" i="4"/>
  <c r="H6" i="8" s="1"/>
  <c r="G6" i="4"/>
  <c r="B14" i="4"/>
  <c r="C14" i="4"/>
  <c r="H14" i="8" s="1"/>
  <c r="G14" i="4"/>
  <c r="B22" i="4"/>
  <c r="C22" i="4"/>
  <c r="H22" i="8" s="1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H18" i="8" s="1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H15" i="8" s="1"/>
  <c r="B15" i="4"/>
  <c r="G15" i="4"/>
  <c r="G8" i="4"/>
  <c r="B8" i="4"/>
  <c r="C8" i="4"/>
  <c r="H8" i="8" s="1"/>
  <c r="G24" i="4"/>
  <c r="B24" i="4"/>
  <c r="C24" i="4"/>
  <c r="H24" i="8" s="1"/>
  <c r="B25" i="4"/>
  <c r="C25" i="4"/>
  <c r="H25" i="8" s="1"/>
  <c r="G25" i="4"/>
  <c r="C3" i="4"/>
  <c r="H3" i="8" s="1"/>
  <c r="G3" i="4"/>
  <c r="B3" i="4"/>
  <c r="C11" i="4"/>
  <c r="H11" i="8" s="1"/>
  <c r="G11" i="4"/>
  <c r="B11" i="4"/>
  <c r="C19" i="4"/>
  <c r="H19" i="8" s="1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H12" i="8" s="1"/>
  <c r="G20" i="4"/>
  <c r="B20" i="4"/>
  <c r="C20" i="4"/>
  <c r="H20" i="8" s="1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H17" i="8" s="1"/>
  <c r="G17" i="4"/>
  <c r="B33" i="4"/>
  <c r="C33" i="4"/>
  <c r="G33" i="4"/>
  <c r="B5" i="4"/>
  <c r="C5" i="4"/>
  <c r="H5" i="8" s="1"/>
  <c r="G5" i="4"/>
  <c r="B13" i="4"/>
  <c r="C13" i="4"/>
  <c r="H13" i="8" s="1"/>
  <c r="G13" i="4"/>
  <c r="C21" i="4"/>
  <c r="H21" i="8" s="1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<sst xmlns="http://schemas.openxmlformats.org/spreadsheetml/2006/main" count="167" uniqueCount="98">
  <si>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</si>
  <si>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</si>
  <si>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</si>
  <si>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</si>
  <si>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</si>
  <si>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</si>
  <si>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</si>
  <si>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</si>
  <si>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</si>
  <si>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</si>
  <si>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</si>
  <si>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</si>
  <si>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</si>
  <si>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</si>
  <si>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</si>
  <si>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</si>
  <si>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</si>
  <si>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</si>
  <si>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</si>
  <si>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</si>
  <si>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</si>
  <si>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</si>
  <si>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</si>
  <si>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</si>
  <si>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</si>
  <si>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</si>
  <si>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</si>
  <si>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</si>
  <si>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</si>
  <si>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</si>
  <si>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</si>
  <si>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</si>
  <si>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Investment Management Charge (p.a.)</t>
  </si>
  <si>
    <t>Underlying Fund OCF (Weighted)*</t>
  </si>
  <si>
    <t>1YR</t>
  </si>
  <si>
    <t>ACTIVE 01</t>
  </si>
  <si>
    <t>ACTIVE 02</t>
  </si>
  <si>
    <t>ACTIVE 03</t>
  </si>
  <si>
    <t>ACTIVE 04</t>
  </si>
  <si>
    <t>ACTIVE 05</t>
  </si>
  <si>
    <t>ACTIVE 06</t>
  </si>
  <si>
    <t>ACTIVE 07</t>
  </si>
  <si>
    <t>ACTIVE 08</t>
  </si>
  <si>
    <t>ACTIVE 09</t>
  </si>
  <si>
    <t>ACTIVE 10</t>
  </si>
  <si>
    <t>INCOME PORTFOLIO</t>
  </si>
  <si>
    <t>https://you-asset.co.uk/latest-reports/</t>
  </si>
  <si>
    <t>https://you-asset.co.uk/wp-content/uploads/2023/08/Active-01.pdf</t>
  </si>
  <si>
    <t>https://you-asset.co.uk/wp-content/uploads/2023/08/Active-02.pdf</t>
  </si>
  <si>
    <t>https://you-asset.co.uk/wp-content/uploads/2023/08/Active-03.pdf</t>
  </si>
  <si>
    <t>https://you-asset.co.uk/wp-content/uploads/2023/08/Active-04.pdf</t>
  </si>
  <si>
    <t>https://you-asset.co.uk/wp-content/uploads/2023/08/Active-05.pdf</t>
  </si>
  <si>
    <t>https://you-asset.co.uk/wp-content/uploads/2023/08/Active-06.pdf</t>
  </si>
  <si>
    <t>https://you-asset.co.uk/wp-content/uploads/2023/08/Active-07.pdf</t>
  </si>
  <si>
    <t>https://you-asset.co.uk/wp-content/uploads/2023/08/Active-08.pdf</t>
  </si>
  <si>
    <t>https://you-asset.co.uk/wp-content/uploads/2023/08/Active-09.pdf</t>
  </si>
  <si>
    <t>https://you-asset.co.uk/wp-content/uploads/2023/08/Active-10.pdf</t>
  </si>
  <si>
    <t>https://you-asset.co.uk/wp-content/uploads/2023/08/Income.pdf</t>
  </si>
  <si>
    <t>ENHANCED PASSIVE 01</t>
  </si>
  <si>
    <t>ENHANCED PASSIVE 02</t>
  </si>
  <si>
    <t>ENHANCED PASSIVE 03</t>
  </si>
  <si>
    <t>ENHANCED PASSIVE 04</t>
  </si>
  <si>
    <t>ENHANCED PASSIVE 05</t>
  </si>
  <si>
    <t>ENHANCED PASSIVE 06</t>
  </si>
  <si>
    <t>ENHANCED PASSIVE 07</t>
  </si>
  <si>
    <t>ENHANCED PASSIVE 08</t>
  </si>
  <si>
    <t>ENHANCED PASSIVE 09</t>
  </si>
  <si>
    <t>ENHANCED PASSIVE 10</t>
  </si>
  <si>
    <t>Active &amp; Income</t>
  </si>
  <si>
    <t>Enhanced Passive</t>
  </si>
  <si>
    <t>https://you-asset.co.uk/wp-content/uploads/2023/08/Enhanced-Passive-01.pdf</t>
  </si>
  <si>
    <t>https://you-asset.co.uk/wp-content/uploads/2023/08/Enhanced-Passive-02.pdf</t>
  </si>
  <si>
    <t>https://you-asset.co.uk/wp-content/uploads/2023/08/Enhanced-Passive-03.pdf</t>
  </si>
  <si>
    <t>https://you-asset.co.uk/wp-content/uploads/2023/08/Enhanced-Passive-04.pdf</t>
  </si>
  <si>
    <t>https://you-asset.co.uk/wp-content/uploads/2023/08/Enhanced-Passive-05.pdf</t>
  </si>
  <si>
    <t>https://you-asset.co.uk/wp-content/uploads/2023/08/Enhanced-Passive-06.pdf</t>
  </si>
  <si>
    <t>https://you-asset.co.uk/wp-content/uploads/2023/08/Enhanced-Passive-07.pdf</t>
  </si>
  <si>
    <t>https://you-asset.co.uk/wp-content/uploads/2023/08/Enhanced-Passive-08.pdf</t>
  </si>
  <si>
    <t>https://you-asset.co.uk/wp-content/uploads/2023/08/Enhanced-Passive-09.pdf</t>
  </si>
  <si>
    <t>https://you-asset.co.uk/wp-content/uploads/2023/08/Enhanced-Passive-10.pdf</t>
  </si>
  <si>
    <t>Ethical Cautious</t>
  </si>
  <si>
    <t>Ethical Balanced</t>
  </si>
  <si>
    <t>Ethical Growth</t>
  </si>
  <si>
    <t>CAUTIOUS</t>
  </si>
  <si>
    <t>BALANCED</t>
  </si>
  <si>
    <t>GROWTH</t>
  </si>
  <si>
    <t>Ethical</t>
  </si>
  <si>
    <t>https://you-asset.co.uk/wp-content/uploads/2023/08/Ethical-Cautious.pdf</t>
  </si>
  <si>
    <t>https://you-asset.co.uk/wp-content/uploads/2023/08/Ethical-Balanced.pdf</t>
  </si>
  <si>
    <t>https://you-asset.co.uk/wp-content/uploads/2023/08/Ethical-Growth.pdf</t>
  </si>
  <si>
    <t>Fixed Income</t>
  </si>
  <si>
    <t>Property &amp; Real Assets</t>
  </si>
  <si>
    <t>UK Equity</t>
  </si>
  <si>
    <t>US Equity</t>
  </si>
  <si>
    <t>Europe ex-UK Equity</t>
  </si>
  <si>
    <t>Japanese Equity</t>
  </si>
  <si>
    <t>Global Emerging Market Equity</t>
  </si>
  <si>
    <t>Global Developed Market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</si>
</sst>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94634</xdr:rowOff>
    </xdr:from>
    <xdr:to>
      <xdr:col>6</xdr:col>
      <xdr:colOff>114300</xdr:colOff>
      <xdr:row>9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80B1A3-9A2C-E017-EBA6-87291B6AD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8784"/>
          <a:ext cx="3771900" cy="1403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7</xdr:col>
      <xdr:colOff>38321</xdr:colOff>
      <xdr:row>19</xdr:row>
      <xdr:rowOff>44547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0537D52-4639-A17F-240E-C663E0F15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57350"/>
          <a:ext cx="4305521" cy="18860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235119</xdr:colOff>
      <xdr:row>14</xdr:row>
      <xdr:rowOff>50926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ED7F662-CCA0-4518-FBCC-F4EE5F4AA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283119" cy="24448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O11" sqref="O11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6"/>
  <sheetViews>
    <sheetView workbookViewId="0">
      <selection activeCell="A14" sqref="A14:A23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https://you-asset.co.uk/wp-content/uploads/2023/08/Active-01.pdf</v>
      </c>
      <c r="J3" s="4"/>
    </row>
    <row r="4" spans="1:10" x14ac:dyDescent="0.25">
      <c r="A4" t="s">
        <v>36</v>
      </c>
      <c r="B4" t="str">
        <f>'PDF Scraping'!D3</f>
        <v>https://you-asset.co.uk/wp-content/uploads/2023/08/Active-02.pdf</v>
      </c>
      <c r="J4" s="4"/>
    </row>
    <row r="5" spans="1:10" x14ac:dyDescent="0.25">
      <c r="A5" t="s">
        <v>37</v>
      </c>
      <c r="B5" t="str">
        <f>'PDF Scraping'!D4</f>
        <v>https://you-asset.co.uk/wp-content/uploads/2023/08/Active-03.pdf</v>
      </c>
    </row>
    <row r="6" spans="1:10" x14ac:dyDescent="0.25">
      <c r="A6" t="s">
        <v>38</v>
      </c>
      <c r="B6" t="str">
        <f>'PDF Scraping'!D5</f>
        <v>https://you-asset.co.uk/wp-content/uploads/2023/08/Active-04.pdf</v>
      </c>
    </row>
    <row r="7" spans="1:10" x14ac:dyDescent="0.25">
      <c r="A7" t="s">
        <v>39</v>
      </c>
      <c r="B7" t="str">
        <f>'PDF Scraping'!D6</f>
        <v>https://you-asset.co.uk/wp-content/uploads/2023/08/Active-05.pdf</v>
      </c>
    </row>
    <row r="8" spans="1:10" x14ac:dyDescent="0.25">
      <c r="A8" t="s">
        <v>40</v>
      </c>
      <c r="B8" t="str">
        <f>'PDF Scraping'!D7</f>
        <v>https://you-asset.co.uk/wp-content/uploads/2023/08/Active-06.pdf</v>
      </c>
    </row>
    <row r="9" spans="1:10" x14ac:dyDescent="0.25">
      <c r="A9" t="s">
        <v>41</v>
      </c>
      <c r="B9" t="str">
        <f>'PDF Scraping'!D8</f>
        <v>https://you-asset.co.uk/wp-content/uploads/2023/08/Active-07.pdf</v>
      </c>
    </row>
    <row r="10" spans="1:10" x14ac:dyDescent="0.25">
      <c r="A10" t="s">
        <v>42</v>
      </c>
      <c r="B10" t="str">
        <f>'PDF Scraping'!D9</f>
        <v>https://you-asset.co.uk/wp-content/uploads/2023/08/Active-08.pdf</v>
      </c>
    </row>
    <row r="11" spans="1:10" x14ac:dyDescent="0.25">
      <c r="A11" t="s">
        <v>43</v>
      </c>
      <c r="B11" t="str">
        <f>'PDF Scraping'!D10</f>
        <v>https://you-asset.co.uk/wp-content/uploads/2023/08/Active-09.pdf</v>
      </c>
    </row>
    <row r="12" spans="1:10" x14ac:dyDescent="0.25">
      <c r="A12" t="s">
        <v>44</v>
      </c>
      <c r="B12" t="str">
        <f>'PDF Scraping'!D11</f>
        <v>https://you-asset.co.uk/wp-content/uploads/2023/08/Active-10.pdf</v>
      </c>
    </row>
    <row r="13" spans="1:10" x14ac:dyDescent="0.25">
      <c r="A13" t="s">
        <v>45</v>
      </c>
      <c r="B13" t="str">
        <f>'PDF Scraping'!D12</f>
        <v>https://you-asset.co.uk/wp-content/uploads/2023/08/Income.pdf</v>
      </c>
    </row>
    <row r="14" spans="1:10" x14ac:dyDescent="0.25">
      <c r="A14" t="s">
        <v>58</v>
      </c>
      <c r="B14" t="str">
        <f>'PDF Scraping'!D13</f>
        <v>https://you-asset.co.uk/wp-content/uploads/2023/08/Enhanced-Passive-01.pdf</v>
      </c>
    </row>
    <row r="15" spans="1:10" x14ac:dyDescent="0.25">
      <c r="A15" t="s">
        <v>59</v>
      </c>
      <c r="B15" t="str">
        <f>'PDF Scraping'!D14</f>
        <v>https://you-asset.co.uk/wp-content/uploads/2023/08/Enhanced-Passive-02.pdf</v>
      </c>
    </row>
    <row r="16" spans="1:10" x14ac:dyDescent="0.25">
      <c r="A16" t="s">
        <v>60</v>
      </c>
      <c r="B16" t="str">
        <f>'PDF Scraping'!D15</f>
        <v>https://you-asset.co.uk/wp-content/uploads/2023/08/Enhanced-Passive-03.pdf</v>
      </c>
    </row>
    <row r="17" spans="1:2" x14ac:dyDescent="0.25">
      <c r="A17" t="s">
        <v>61</v>
      </c>
      <c r="B17" t="str">
        <f>'PDF Scraping'!D16</f>
        <v>https://you-asset.co.uk/wp-content/uploads/2023/08/Enhanced-Passive-04.pdf</v>
      </c>
    </row>
    <row r="18" spans="1:2" x14ac:dyDescent="0.25">
      <c r="A18" t="s">
        <v>62</v>
      </c>
      <c r="B18" t="str">
        <f>'PDF Scraping'!D17</f>
        <v>https://you-asset.co.uk/wp-content/uploads/2023/08/Enhanced-Passive-05.pdf</v>
      </c>
    </row>
    <row r="19" spans="1:2" x14ac:dyDescent="0.25">
      <c r="A19" t="s">
        <v>63</v>
      </c>
      <c r="B19" t="str">
        <f>'PDF Scraping'!D18</f>
        <v>https://you-asset.co.uk/wp-content/uploads/2023/08/Enhanced-Passive-06.pdf</v>
      </c>
    </row>
    <row r="20" spans="1:2" x14ac:dyDescent="0.25">
      <c r="A20" t="s">
        <v>64</v>
      </c>
      <c r="B20" t="str">
        <f>'PDF Scraping'!D19</f>
        <v>https://you-asset.co.uk/wp-content/uploads/2023/08/Enhanced-Passive-07.pdf</v>
      </c>
    </row>
    <row r="21" spans="1:2" x14ac:dyDescent="0.25">
      <c r="A21" t="s">
        <v>65</v>
      </c>
      <c r="B21" t="str">
        <f>'PDF Scraping'!D20</f>
        <v>https://you-asset.co.uk/wp-content/uploads/2023/08/Enhanced-Passive-08.pdf</v>
      </c>
    </row>
    <row r="22" spans="1:2" x14ac:dyDescent="0.25">
      <c r="A22" t="s">
        <v>66</v>
      </c>
      <c r="B22" t="str">
        <f>'PDF Scraping'!D21</f>
        <v>https://you-asset.co.uk/wp-content/uploads/2023/08/Enhanced-Passive-09.pdf</v>
      </c>
    </row>
    <row r="23" spans="1:2" x14ac:dyDescent="0.25">
      <c r="A23" t="s">
        <v>67</v>
      </c>
      <c r="B23" t="str">
        <f>'PDF Scraping'!D22</f>
        <v>https://you-asset.co.uk/wp-content/uploads/2023/08/Enhanced-Passive-10.pdf</v>
      </c>
    </row>
    <row r="24" spans="1:2" x14ac:dyDescent="0.25">
      <c r="A24" t="s">
        <v>80</v>
      </c>
      <c r="B24" t="str">
        <f>'PDF Scraping'!D23</f>
        <v>https://you-asset.co.uk/wp-content/uploads/2023/08/Ethical-Cautious.pdf</v>
      </c>
    </row>
    <row r="25" spans="1:2" x14ac:dyDescent="0.25">
      <c r="A25" t="s">
        <v>81</v>
      </c>
      <c r="B25" t="str">
        <f>'PDF Scraping'!D24</f>
        <v>https://you-asset.co.uk/wp-content/uploads/2023/08/Ethical-Balanced.pdf</v>
      </c>
    </row>
    <row r="26" spans="1:2" x14ac:dyDescent="0.25">
      <c r="A26" t="s">
        <v>82</v>
      </c>
      <c r="B26" t="str">
        <f>'PDF Scraping'!D25</f>
        <v>https://you-asset.co.uk/wp-content/uploads/2023/08/Ethical-Growth.pdf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E2" sqref="E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32</v>
      </c>
      <c r="D1" t="s">
        <v>33</v>
      </c>
      <c r="E1" t="s">
        <v>34</v>
      </c>
    </row>
    <row r="2" spans="1:6" x14ac:dyDescent="0.25">
      <c r="A2" t="str">
        <f>IF(Input!A3="","",Input!A3)</f>
        <v>ACTIVE 01</v>
      </c>
      <c r="B2" s="1"/>
      <c r="C2" s="5"/>
      <c r="D2" s="5"/>
      <c r="E2" s="5"/>
      <c r="F2" s="5"/>
    </row>
    <row r="3" spans="1:6" x14ac:dyDescent="0.25">
      <c r="A3" t="str">
        <f>IF(Input!A4="","",Input!A4)</f>
        <v>ACTIVE 02</v>
      </c>
      <c r="B3" s="1"/>
      <c r="C3" s="5"/>
      <c r="D3" s="5"/>
      <c r="E3" s="5"/>
      <c r="F3" s="5"/>
    </row>
    <row r="4" spans="1:6" x14ac:dyDescent="0.25">
      <c r="A4" t="str">
        <f>IF(Input!A5="","",Input!A5)</f>
        <v>ACTIVE 03</v>
      </c>
      <c r="B4" s="1"/>
      <c r="C4" s="5"/>
      <c r="D4" s="5"/>
      <c r="E4" s="5"/>
      <c r="F4" s="5"/>
    </row>
    <row r="5" spans="1:6" x14ac:dyDescent="0.25">
      <c r="A5" t="str">
        <f>IF(Input!A6="","",Input!A6)</f>
        <v>ACTIVE 04</v>
      </c>
      <c r="B5" s="1"/>
      <c r="C5" s="5"/>
      <c r="D5" s="5"/>
      <c r="E5" s="5"/>
      <c r="F5" s="5"/>
    </row>
    <row r="6" spans="1:6" x14ac:dyDescent="0.25">
      <c r="A6" t="str">
        <f>IF(Input!A7="","",Input!A7)</f>
        <v>ACTIVE 05</v>
      </c>
      <c r="B6" s="1"/>
      <c r="C6" s="5"/>
      <c r="D6" s="5"/>
      <c r="E6" s="5"/>
      <c r="F6" s="5"/>
    </row>
    <row r="7" spans="1:6" x14ac:dyDescent="0.25">
      <c r="A7" t="str">
        <f>IF(Input!A8="","",Input!A8)</f>
        <v>ACTIVE 06</v>
      </c>
      <c r="B7" s="1"/>
      <c r="C7" s="5"/>
      <c r="D7" s="5"/>
      <c r="E7" s="5"/>
      <c r="F7" s="5"/>
    </row>
    <row r="8" spans="1:6" x14ac:dyDescent="0.25">
      <c r="A8" t="str">
        <f>IF(Input!A9="","",Input!A9)</f>
        <v>ACTIVE 07</v>
      </c>
      <c r="B8" s="1"/>
      <c r="C8" s="5"/>
      <c r="D8" s="5"/>
      <c r="E8" s="5"/>
      <c r="F8" s="5"/>
    </row>
    <row r="9" spans="1:6" x14ac:dyDescent="0.25">
      <c r="A9" t="str">
        <f>IF(Input!A10="","",Input!A10)</f>
        <v>ACTIVE 08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ACTIVE 09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ACTIVE 10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>INCOME PORTFOLIO</v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>ENHANCED PASSIVE 01</v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>ENHANCED PASSIVE 02</v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>ENHANCED PASSIVE 03</v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>ENHANCED PASSIVE 04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ENHANCED PASSIVE 05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ENHANCED PASSIVE 06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ENHANCED PASSIVE 07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ENHANCED PASSIVE 08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ENHANCED PASSIVE 09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ENHANCED PASSIVE 10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Ethical Cautious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Ethical Balanced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Ethical Growth</v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/>
  </sheetViews>
  <sheetFormatPr defaultRowHeight="15" x14ac:dyDescent="0.25"/>
  <cols>
    <col min="1" max="1" width="19.85546875" bestFit="1" customWidth="1"/>
    <col min="2" max="2" width="4.85546875" bestFit="1" customWidth="1"/>
    <col min="3" max="3" width="11.85546875" bestFit="1" customWidth="1"/>
    <col min="4" max="4" width="19.7109375" bestFit="1" customWidth="1"/>
    <col min="5" max="5" width="14.42578125" bestFit="1" customWidth="1"/>
    <col min="6" max="6" width="8.7109375" bestFit="1" customWidth="1"/>
    <col min="7" max="7" width="8.5703125" bestFit="1" customWidth="1"/>
    <col min="8" max="8" width="17.85546875" bestFit="1" customWidth="1"/>
    <col min="9" max="9" width="14.140625" bestFit="1" customWidth="1"/>
    <col min="10" max="10" width="26.85546875" bestFit="1" customWidth="1"/>
    <col min="11" max="11" width="28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</v>
      </c>
      <c r="C1" t="s">
        <v>90</v>
      </c>
      <c r="D1" t="s">
        <v>91</v>
      </c>
      <c r="E1" t="s">
        <v>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</row>
    <row r="2" spans="1:30" x14ac:dyDescent="0.25">
      <c r="A2" t="str">
        <f>IF(Input!A3="","",Input!A3)</f>
        <v>ACTIVE 01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02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ACTIVE 03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ACTIVE 04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ACTIVE 05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ACTIVE 06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ACTIVE 07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ACTIVE 08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09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10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INCOME PORTFOLIO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ENHANCED PASSIVE 01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ENHANCED PASSIVE 02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ENHANCED PASSIVE 03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ENHANCED PASSIVE 04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ENHANCED PASSIVE 05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ENHANCED PASSIVE 06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ENHANCED PASSIVE 07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ENHANCED PASSIVE 08</v>
      </c>
      <c r="B20" s="5"/>
      <c r="C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ENHANCED PASSIVE 09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ENHANCED PASSIVE 10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Ethical Cautious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Ethical Balanced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Ethical Growth</v>
      </c>
      <c r="B25" s="5"/>
      <c r="C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B26" s="5"/>
      <c r="C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C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C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B29" s="5"/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B30" s="5"/>
      <c r="C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B31" s="5"/>
      <c r="C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B32" s="5"/>
      <c r="C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B33" s="5"/>
      <c r="C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  <c r="B35" s="5"/>
      <c r="C35" s="5"/>
    </row>
    <row r="36" spans="1:27" x14ac:dyDescent="0.25">
      <c r="A36" t="str">
        <f>IF(Input!A37="","",Input!A37)</f>
        <v/>
      </c>
      <c r="B36" s="5"/>
      <c r="C36" s="5"/>
    </row>
    <row r="37" spans="1:27" x14ac:dyDescent="0.25">
      <c r="A37" t="str">
        <f>IF(Input!A38="","",Input!A38)</f>
        <v/>
      </c>
      <c r="B37" s="5"/>
      <c r="C37" s="5"/>
    </row>
    <row r="38" spans="1:27" x14ac:dyDescent="0.25">
      <c r="A38" t="str">
        <f>IF(Input!A39="","",Input!A39)</f>
        <v/>
      </c>
      <c r="B38" s="5"/>
      <c r="C38" s="5"/>
    </row>
    <row r="39" spans="1:27" x14ac:dyDescent="0.25">
      <c r="A39" t="str">
        <f>IF(Input!A40="","",Input!A40)</f>
        <v/>
      </c>
      <c r="B39" s="5"/>
      <c r="C39" s="5"/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H18" sqref="H18"/>
    </sheetView>
  </sheetViews>
  <sheetFormatPr defaultRowHeight="15" x14ac:dyDescent="0.25"/>
  <cols>
    <col min="1" max="1" width="21.42578125" bestFit="1" customWidth="1"/>
    <col min="2" max="2" width="36.42578125" bestFit="1" customWidth="1"/>
    <col min="3" max="3" width="21.42578125" bestFit="1" customWidth="1"/>
    <col min="4" max="4" width="73.57031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ACTIVE 01</v>
      </c>
      <c r="B2" t="s">
        <v>46</v>
      </c>
      <c r="C2" t="s">
        <v>35</v>
      </c>
      <c r="D2" s="8" t="s">
        <v>47</v>
      </c>
      <c r="E2" t="s">
        <v>68</v>
      </c>
    </row>
    <row r="3" spans="1:5" x14ac:dyDescent="0.25">
      <c r="A3" t="str">
        <f>IF(Input!A4="","",Input!A4)</f>
        <v>ACTIVE 02</v>
      </c>
      <c r="B3" t="s">
        <v>46</v>
      </c>
      <c r="C3" t="s">
        <v>36</v>
      </c>
      <c r="D3" s="8" t="s">
        <v>48</v>
      </c>
      <c r="E3" t="s">
        <v>68</v>
      </c>
    </row>
    <row r="4" spans="1:5" x14ac:dyDescent="0.25">
      <c r="A4" t="str">
        <f>IF(Input!A5="","",Input!A5)</f>
        <v>ACTIVE 03</v>
      </c>
      <c r="B4" t="s">
        <v>46</v>
      </c>
      <c r="C4" t="s">
        <v>37</v>
      </c>
      <c r="D4" s="8" t="s">
        <v>49</v>
      </c>
      <c r="E4" t="s">
        <v>68</v>
      </c>
    </row>
    <row r="5" spans="1:5" x14ac:dyDescent="0.25">
      <c r="A5" t="str">
        <f>IF(Input!A6="","",Input!A6)</f>
        <v>ACTIVE 04</v>
      </c>
      <c r="B5" t="s">
        <v>46</v>
      </c>
      <c r="C5" t="s">
        <v>38</v>
      </c>
      <c r="D5" s="8" t="s">
        <v>50</v>
      </c>
      <c r="E5" t="s">
        <v>68</v>
      </c>
    </row>
    <row r="6" spans="1:5" x14ac:dyDescent="0.25">
      <c r="A6" t="str">
        <f>IF(Input!A7="","",Input!A7)</f>
        <v>ACTIVE 05</v>
      </c>
      <c r="B6" t="s">
        <v>46</v>
      </c>
      <c r="C6" t="s">
        <v>39</v>
      </c>
      <c r="D6" s="8" t="s">
        <v>51</v>
      </c>
      <c r="E6" t="s">
        <v>68</v>
      </c>
    </row>
    <row r="7" spans="1:5" x14ac:dyDescent="0.25">
      <c r="A7" t="str">
        <f>IF(Input!A8="","",Input!A8)</f>
        <v>ACTIVE 06</v>
      </c>
      <c r="B7" t="s">
        <v>46</v>
      </c>
      <c r="C7" t="s">
        <v>40</v>
      </c>
      <c r="D7" s="8" t="s">
        <v>52</v>
      </c>
      <c r="E7" t="s">
        <v>68</v>
      </c>
    </row>
    <row r="8" spans="1:5" x14ac:dyDescent="0.25">
      <c r="A8" t="str">
        <f>IF(Input!A9="","",Input!A9)</f>
        <v>ACTIVE 07</v>
      </c>
      <c r="B8" t="s">
        <v>46</v>
      </c>
      <c r="C8" t="s">
        <v>41</v>
      </c>
      <c r="D8" s="8" t="s">
        <v>53</v>
      </c>
      <c r="E8" t="s">
        <v>68</v>
      </c>
    </row>
    <row r="9" spans="1:5" x14ac:dyDescent="0.25">
      <c r="A9" t="str">
        <f>IF(Input!A10="","",Input!A10)</f>
        <v>ACTIVE 08</v>
      </c>
      <c r="B9" t="s">
        <v>46</v>
      </c>
      <c r="C9" t="s">
        <v>42</v>
      </c>
      <c r="D9" s="8" t="s">
        <v>54</v>
      </c>
      <c r="E9" t="s">
        <v>68</v>
      </c>
    </row>
    <row r="10" spans="1:5" x14ac:dyDescent="0.25">
      <c r="A10" t="str">
        <f>IF(Input!A11="","",Input!A11)</f>
        <v>ACTIVE 09</v>
      </c>
      <c r="B10" t="s">
        <v>46</v>
      </c>
      <c r="C10" t="s">
        <v>43</v>
      </c>
      <c r="D10" s="8" t="s">
        <v>55</v>
      </c>
      <c r="E10" t="s">
        <v>68</v>
      </c>
    </row>
    <row r="11" spans="1:5" x14ac:dyDescent="0.25">
      <c r="A11" t="str">
        <f>IF(Input!A12="","",Input!A12)</f>
        <v>ACTIVE 10</v>
      </c>
      <c r="B11" t="s">
        <v>46</v>
      </c>
      <c r="C11" t="s">
        <v>44</v>
      </c>
      <c r="D11" s="8" t="s">
        <v>56</v>
      </c>
      <c r="E11" t="s">
        <v>68</v>
      </c>
    </row>
    <row r="12" spans="1:5" x14ac:dyDescent="0.25">
      <c r="A12" t="str">
        <f>IF(Input!A13="","",Input!A13)</f>
        <v>INCOME PORTFOLIO</v>
      </c>
      <c r="B12" t="s">
        <v>46</v>
      </c>
      <c r="C12" t="s">
        <v>45</v>
      </c>
      <c r="D12" s="8" t="s">
        <v>57</v>
      </c>
      <c r="E12" t="s">
        <v>68</v>
      </c>
    </row>
    <row r="13" spans="1:5" x14ac:dyDescent="0.25">
      <c r="A13" t="str">
        <f>IF(Input!A14="","",Input!A14)</f>
        <v>ENHANCED PASSIVE 01</v>
      </c>
      <c r="B13" t="s">
        <v>46</v>
      </c>
      <c r="C13" t="s">
        <v>58</v>
      </c>
      <c r="D13" s="8" t="s">
        <v>70</v>
      </c>
      <c r="E13" t="s">
        <v>69</v>
      </c>
    </row>
    <row r="14" spans="1:5" x14ac:dyDescent="0.25">
      <c r="A14" t="str">
        <f>IF(Input!A15="","",Input!A15)</f>
        <v>ENHANCED PASSIVE 02</v>
      </c>
      <c r="B14" t="s">
        <v>46</v>
      </c>
      <c r="C14" t="s">
        <v>59</v>
      </c>
      <c r="D14" s="8" t="s">
        <v>71</v>
      </c>
      <c r="E14" t="s">
        <v>69</v>
      </c>
    </row>
    <row r="15" spans="1:5" x14ac:dyDescent="0.25">
      <c r="A15" t="str">
        <f>IF(Input!A16="","",Input!A16)</f>
        <v>ENHANCED PASSIVE 03</v>
      </c>
      <c r="B15" t="s">
        <v>46</v>
      </c>
      <c r="C15" t="s">
        <v>60</v>
      </c>
      <c r="D15" s="8" t="s">
        <v>72</v>
      </c>
      <c r="E15" t="s">
        <v>69</v>
      </c>
    </row>
    <row r="16" spans="1:5" x14ac:dyDescent="0.25">
      <c r="A16" t="str">
        <f>IF(Input!A17="","",Input!A17)</f>
        <v>ENHANCED PASSIVE 04</v>
      </c>
      <c r="B16" t="s">
        <v>46</v>
      </c>
      <c r="C16" t="s">
        <v>61</v>
      </c>
      <c r="D16" s="8" t="s">
        <v>73</v>
      </c>
      <c r="E16" t="s">
        <v>69</v>
      </c>
    </row>
    <row r="17" spans="1:5" x14ac:dyDescent="0.25">
      <c r="A17" t="str">
        <f>IF(Input!A18="","",Input!A18)</f>
        <v>ENHANCED PASSIVE 05</v>
      </c>
      <c r="B17" t="s">
        <v>46</v>
      </c>
      <c r="C17" t="s">
        <v>62</v>
      </c>
      <c r="D17" s="8" t="s">
        <v>74</v>
      </c>
      <c r="E17" t="s">
        <v>69</v>
      </c>
    </row>
    <row r="18" spans="1:5" x14ac:dyDescent="0.25">
      <c r="A18" t="str">
        <f>IF(Input!A19="","",Input!A19)</f>
        <v>ENHANCED PASSIVE 06</v>
      </c>
      <c r="B18" t="s">
        <v>46</v>
      </c>
      <c r="C18" t="s">
        <v>63</v>
      </c>
      <c r="D18" s="8" t="s">
        <v>75</v>
      </c>
      <c r="E18" t="s">
        <v>69</v>
      </c>
    </row>
    <row r="19" spans="1:5" x14ac:dyDescent="0.25">
      <c r="A19" t="str">
        <f>IF(Input!A20="","",Input!A20)</f>
        <v>ENHANCED PASSIVE 07</v>
      </c>
      <c r="B19" t="s">
        <v>46</v>
      </c>
      <c r="C19" t="s">
        <v>64</v>
      </c>
      <c r="D19" s="8" t="s">
        <v>76</v>
      </c>
      <c r="E19" t="s">
        <v>69</v>
      </c>
    </row>
    <row r="20" spans="1:5" x14ac:dyDescent="0.25">
      <c r="A20" t="str">
        <f>IF(Input!A21="","",Input!A21)</f>
        <v>ENHANCED PASSIVE 08</v>
      </c>
      <c r="B20" t="s">
        <v>46</v>
      </c>
      <c r="C20" t="s">
        <v>65</v>
      </c>
      <c r="D20" s="8" t="s">
        <v>77</v>
      </c>
      <c r="E20" t="s">
        <v>69</v>
      </c>
    </row>
    <row r="21" spans="1:5" x14ac:dyDescent="0.25">
      <c r="A21" t="str">
        <f>IF(Input!A22="","",Input!A22)</f>
        <v>ENHANCED PASSIVE 09</v>
      </c>
      <c r="B21" t="s">
        <v>46</v>
      </c>
      <c r="C21" t="s">
        <v>66</v>
      </c>
      <c r="D21" s="8" t="s">
        <v>78</v>
      </c>
      <c r="E21" t="s">
        <v>69</v>
      </c>
    </row>
    <row r="22" spans="1:5" x14ac:dyDescent="0.25">
      <c r="A22" t="str">
        <f>IF(Input!A23="","",Input!A23)</f>
        <v>ENHANCED PASSIVE 10</v>
      </c>
      <c r="B22" t="s">
        <v>46</v>
      </c>
      <c r="C22" t="s">
        <v>67</v>
      </c>
      <c r="D22" s="8" t="s">
        <v>79</v>
      </c>
      <c r="E22" t="s">
        <v>69</v>
      </c>
    </row>
    <row r="23" spans="1:5" x14ac:dyDescent="0.25">
      <c r="A23" t="str">
        <f>IF(Input!A24="","",Input!A24)</f>
        <v>Ethical Cautious</v>
      </c>
      <c r="B23" t="s">
        <v>46</v>
      </c>
      <c r="C23" t="s">
        <v>83</v>
      </c>
      <c r="D23" s="8" t="s">
        <v>87</v>
      </c>
      <c r="E23" t="s">
        <v>86</v>
      </c>
    </row>
    <row r="24" spans="1:5" x14ac:dyDescent="0.25">
      <c r="A24" t="str">
        <f>IF(Input!A25="","",Input!A25)</f>
        <v>Ethical Balanced</v>
      </c>
      <c r="B24" t="s">
        <v>46</v>
      </c>
      <c r="C24" t="s">
        <v>84</v>
      </c>
      <c r="D24" s="8" t="s">
        <v>88</v>
      </c>
      <c r="E24" t="s">
        <v>86</v>
      </c>
    </row>
    <row r="25" spans="1:5" x14ac:dyDescent="0.25">
      <c r="A25" t="str">
        <f>IF(Input!A26="","",Input!A26)</f>
        <v>Ethical Growth</v>
      </c>
      <c r="B25" t="s">
        <v>46</v>
      </c>
      <c r="C25" t="s">
        <v>85</v>
      </c>
      <c r="D25" s="8" t="s">
        <v>89</v>
      </c>
      <c r="E25" t="s">
        <v>86</v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ACTIVE 01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ACTIVE 02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ACTIVE 03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ACTIVE 04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ACTIVE 05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ACTIVE 06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ACTIVE 07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ACTIVE 08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ACTIVE 09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ACTIVE 10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INCOME PORTFOLIO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ENHANCED PASSIVE 01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ENHANCED PASSIVE 02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ENHANCED PASSIVE 03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ENHANCED PASSIVE 04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ENHANCED PASSIVE 05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ENHANCED PASSIVE 06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ENHANCED PASSIVE 07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ENHANCED PASSIVE 08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ENHANCED PASSIVE 09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ENHANCED PASSIVE 10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Ethical Cautious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Ethical Balanced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Ethical Growth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ACTIVE 01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ACTIVE 02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ACTIVE 03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ACTIVE 04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ACTIVE 05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ACTIVE 06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ACTIVE 07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ACTIVE 08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ACTIVE 09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ACTIVE 10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INCOME PORTFOLIO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ENHANCED PASSIVE 01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ENHANCED PASSIVE 02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ENHANCED PASSIVE 03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ENHANCED PASSIVE 04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ENHANCED PASSIVE 05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ENHANCED PASSIVE 06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ENHANCED PASSIVE 07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ENHANCED PASSIVE 08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ENHANCED PASSIVE 09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ENHANCED PASSIVE 10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Ethical Cautious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Ethical Balanced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Ethical Growth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ACTIVE 01</v>
      </c>
      <c r="B2">
        <f>IF(A2="","",SUM('Asset Allocation'!C2))</f>
        <v>0</v>
      </c>
      <c r="C2">
        <f>IF(A2="","",SUM('Asset Allocation'!B2))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ACTIVE 02</v>
      </c>
      <c r="B3">
        <f>IF(A3="","",SUM('Asset Allocation'!C3))</f>
        <v>0</v>
      </c>
      <c r="C3">
        <f>IF(A3="","",SUM('Asset Allocation'!B3))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ACTIVE 03</v>
      </c>
      <c r="B4">
        <f>IF(A4="","",SUM('Asset Allocation'!C4))</f>
        <v>0</v>
      </c>
      <c r="C4">
        <f>IF(A4="","",SUM('Asset Allocation'!B4))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ACTIVE 04</v>
      </c>
      <c r="B5">
        <f>IF(A5="","",SUM('Asset Allocation'!C5))</f>
        <v>0</v>
      </c>
      <c r="C5">
        <f>IF(A5="","",SUM('Asset Allocation'!B5))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ACTIVE 05</v>
      </c>
      <c r="B6">
        <f>IF(A6="","",SUM('Asset Allocation'!C6))</f>
        <v>0</v>
      </c>
      <c r="C6">
        <f>IF(A6="","",SUM('Asset Allocation'!B6))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ACTIVE 06</v>
      </c>
      <c r="B7">
        <f>IF(A7="","",SUM('Asset Allocation'!C7))</f>
        <v>0</v>
      </c>
      <c r="C7">
        <f>IF(A7="","",SUM('Asset Allocation'!B7))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ACTIVE 07</v>
      </c>
      <c r="B8">
        <f>IF(A8="","",SUM('Asset Allocation'!C8))</f>
        <v>0</v>
      </c>
      <c r="C8">
        <f>IF(A8="","",SUM('Asset Allocation'!B8))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ACTIVE 08</v>
      </c>
      <c r="B9">
        <f>IF(A9="","",SUM('Asset Allocation'!C9))</f>
        <v>0</v>
      </c>
      <c r="C9">
        <f>IF(A9="","",SUM('Asset Allocation'!B9))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ACTIVE 09</v>
      </c>
      <c r="B10">
        <f>IF(A10="","",SUM('Asset Allocation'!C10))</f>
        <v>0</v>
      </c>
      <c r="C10">
        <f>IF(A10="","",SUM('Asset Allocation'!B10))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ACTIVE 10</v>
      </c>
      <c r="B11">
        <f>IF(A11="","",SUM('Asset Allocation'!C11))</f>
        <v>0</v>
      </c>
      <c r="C11">
        <f>IF(A11="","",SUM('Asset Allocation'!B11))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INCOME PORTFOLIO</v>
      </c>
      <c r="B12">
        <f>IF(A12="","",SUM('Asset Allocation'!C12))</f>
        <v>0</v>
      </c>
      <c r="C12">
        <f>IF(A12="","",SUM('Asset Allocation'!B12))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ENHANCED PASSIVE 01</v>
      </c>
      <c r="B13">
        <f>IF(A13="","",SUM('Asset Allocation'!C13))</f>
        <v>0</v>
      </c>
      <c r="C13">
        <f>IF(A13="","",SUM('Asset Allocation'!B13))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ENHANCED PASSIVE 02</v>
      </c>
      <c r="B14">
        <f>IF(A14="","",SUM('Asset Allocation'!C14))</f>
        <v>0</v>
      </c>
      <c r="C14">
        <f>IF(A14="","",SUM('Asset Allocation'!B14))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ENHANCED PASSIVE 03</v>
      </c>
      <c r="B15">
        <f>IF(A15="","",SUM('Asset Allocation'!C15))</f>
        <v>0</v>
      </c>
      <c r="C15">
        <f>IF(A15="","",SUM('Asset Allocation'!B15))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ENHANCED PASSIVE 04</v>
      </c>
      <c r="B16">
        <f>IF(A16="","",SUM('Asset Allocation'!C16))</f>
        <v>0</v>
      </c>
      <c r="C16">
        <f>IF(A16="","",SUM('Asset Allocation'!B16))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ENHANCED PASSIVE 05</v>
      </c>
      <c r="B17">
        <f>IF(A17="","",SUM('Asset Allocation'!C17))</f>
        <v>0</v>
      </c>
      <c r="C17">
        <f>IF(A17="","",SUM('Asset Allocation'!B17))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ENHANCED PASSIVE 06</v>
      </c>
      <c r="B18">
        <f>IF(A18="","",SUM('Asset Allocation'!C18))</f>
        <v>0</v>
      </c>
      <c r="C18">
        <f>IF(A18="","",SUM('Asset Allocation'!B18))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ENHANCED PASSIVE 07</v>
      </c>
      <c r="B19">
        <f>IF(A19="","",SUM('Asset Allocation'!C19))</f>
        <v>0</v>
      </c>
      <c r="C19">
        <f>IF(A19="","",SUM('Asset Allocation'!B19))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ENHANCED PASSIVE 08</v>
      </c>
      <c r="B20">
        <f>IF(A20="","",SUM('Asset Allocation'!C20))</f>
        <v>0</v>
      </c>
      <c r="C20">
        <f>IF(A20="","",SUM('Asset Allocation'!B20))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ENHANCED PASSIVE 09</v>
      </c>
      <c r="B21">
        <f>IF(A21="","",SUM('Asset Allocation'!C21))</f>
        <v>0</v>
      </c>
      <c r="C21">
        <f>IF(A21="","",SUM('Asset Allocation'!B21))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ENHANCED PASSIVE 10</v>
      </c>
      <c r="B22">
        <f>IF(A22="","",SUM('Asset Allocation'!C22))</f>
        <v>0</v>
      </c>
      <c r="C22">
        <f>IF(A22="","",SUM('Asset Allocation'!B22))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Ethical Cautious</v>
      </c>
      <c r="B23">
        <f>IF(A23="","",SUM('Asset Allocation'!C23))</f>
        <v>0</v>
      </c>
      <c r="C23">
        <f>IF(A23="","",SUM('Asset Allocation'!B23))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Ethical Balanced</v>
      </c>
      <c r="B24">
        <f>IF(A24="","",SUM('Asset Allocation'!C24))</f>
        <v>0</v>
      </c>
      <c r="C24">
        <f>IF(A24="","",SUM('Asset Allocation'!B24))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Ethical Growth</v>
      </c>
      <c r="B25">
        <f>IF(A25="","",SUM('Asset Allocation'!C25))</f>
        <v>0</v>
      </c>
      <c r="C25">
        <f>IF(A25="","",SUM('Asset Allocation'!B25))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ACTIVE 01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ACTIVE 02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ACTIVE 03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ACTIVE 04</v>
      </c>
      <c r="B5" s="6">
        <f>IFERROR(IF(A5="","",SUM('Asset Allocation'!F5)),0)</f>
        <v>0</v>
      </c>
      <c r="C5" s="6">
        <f>IFERROR(IF(A5="","",SUM('Asset Allocation'!E5)),0)</f>
        <v>0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ACTIVE 05</v>
      </c>
      <c r="B6" s="6">
        <f>IFERROR(IF(A6="","",SUM('Asset Allocation'!F6)),0)</f>
        <v>0</v>
      </c>
      <c r="C6" s="6">
        <f>IFERROR(IF(A6="","",SUM('Asset Allocation'!E6)),0)</f>
        <v>0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ACTIVE 06</v>
      </c>
      <c r="B7" s="6">
        <f>IFERROR(IF(A7="","",SUM('Asset Allocation'!F7)),0)</f>
        <v>0</v>
      </c>
      <c r="C7" s="6">
        <f>IFERROR(IF(A7="","",SUM('Asset Allocation'!E7)),0)</f>
        <v>0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ACTIVE 07</v>
      </c>
      <c r="B8" s="6">
        <f>IFERROR(IF(A8="","",SUM('Asset Allocation'!F8)),0)</f>
        <v>0</v>
      </c>
      <c r="C8" s="6">
        <f>IFERROR(IF(A8="","",SUM('Asset Allocation'!E8)),0)</f>
        <v>0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ACTIVE 08</v>
      </c>
      <c r="B9" s="6">
        <f>IFERROR(IF(A9="","",SUM('Asset Allocation'!F9)),0)</f>
        <v>0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0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ACTIVE 09</v>
      </c>
      <c r="B10" s="6">
        <f>IFERROR(IF(A10="","",SUM('Asset Allocation'!F10)),0)</f>
        <v>0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0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ACTIVE 10</v>
      </c>
      <c r="B11" s="6">
        <f>IFERROR(IF(A11="","",SUM('Asset Allocation'!F11)),0)</f>
        <v>0</v>
      </c>
      <c r="C11" s="6">
        <f>IFERROR(IF(A11="","",SUM('Asset Allocation'!E11)),0)</f>
        <v>0</v>
      </c>
      <c r="D11" s="6">
        <f>IFERROR(IF(A11="","",SUM('Asset Allocation'!I11)),0)</f>
        <v>0</v>
      </c>
      <c r="E11" s="6">
        <f>IFERROR(IF(A11="","",SUM('Asset Allocation'!G11)),0)</f>
        <v>0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>INCOME PORTFOLIO</v>
      </c>
      <c r="B12" s="6">
        <f>IFERROR(IF(A12="","",SUM('Asset Allocation'!F12)),0)</f>
        <v>0</v>
      </c>
      <c r="C12" s="6">
        <f>IFERROR(IF(A12="","",SUM('Asset Allocation'!E12)),0)</f>
        <v>0</v>
      </c>
      <c r="D12" s="6">
        <f>IFERROR(IF(A12="","",SUM('Asset Allocation'!I12)),0)</f>
        <v>0</v>
      </c>
      <c r="E12" s="6">
        <f>IFERROR(IF(A12="","",SUM('Asset Allocation'!G12)),0)</f>
        <v>0</v>
      </c>
      <c r="F12" s="6">
        <f>IFERROR(IF(A12="","",SUM('Asset Allocation'!J12,'Asset Allocation'!N12)),0)</f>
        <v>0</v>
      </c>
      <c r="G12" s="6">
        <f>IFERROR(IF(A12="","",SUM('Asset Allocation'!H12,'Asset Allocation'!K12,'Asset Allocation'!L12,'Asset Allocation'!M12)),0)</f>
        <v>0</v>
      </c>
      <c r="H12" s="6"/>
    </row>
    <row r="13" spans="1:8" x14ac:dyDescent="0.25">
      <c r="A13" t="str">
        <f>IF(Input!A14="","",Input!A14)</f>
        <v>ENHANCED PASSIVE 01</v>
      </c>
      <c r="B13" s="6">
        <f>IFERROR(IF(A13="","",SUM('Asset Allocation'!F13)),0)</f>
        <v>0</v>
      </c>
      <c r="C13" s="6">
        <f>IFERROR(IF(A13="","",SUM('Asset Allocation'!E13)),0)</f>
        <v>0</v>
      </c>
      <c r="D13" s="6">
        <f>IFERROR(IF(A13="","",SUM('Asset Allocation'!I13)),0)</f>
        <v>0</v>
      </c>
      <c r="E13" s="6">
        <f>IFERROR(IF(A13="","",SUM('Asset Allocation'!G13)),0)</f>
        <v>0</v>
      </c>
      <c r="F13" s="6">
        <f>IFERROR(IF(A13="","",SUM('Asset Allocation'!J13,'Asset Allocation'!N13)),0)</f>
        <v>0</v>
      </c>
      <c r="G13" s="6">
        <f>IFERROR(IF(A13="","",SUM('Asset Allocation'!H13,'Asset Allocation'!K13,'Asset Allocation'!L13,'Asset Allocation'!M13)),0)</f>
        <v>0</v>
      </c>
      <c r="H13" s="6"/>
    </row>
    <row r="14" spans="1:8" x14ac:dyDescent="0.25">
      <c r="A14" t="str">
        <f>IF(Input!A15="","",Input!A15)</f>
        <v>ENHANCED PASSIVE 02</v>
      </c>
      <c r="B14" s="6">
        <f>IFERROR(IF(A14="","",SUM('Asset Allocation'!F14)),0)</f>
        <v>0</v>
      </c>
      <c r="C14" s="6">
        <f>IFERROR(IF(A14="","",SUM('Asset Allocation'!E14)),0)</f>
        <v>0</v>
      </c>
      <c r="D14" s="6">
        <f>IFERROR(IF(A14="","",SUM('Asset Allocation'!I14)),0)</f>
        <v>0</v>
      </c>
      <c r="E14" s="6">
        <f>IFERROR(IF(A14="","",SUM('Asset Allocation'!G14)),0)</f>
        <v>0</v>
      </c>
      <c r="F14" s="6">
        <f>IFERROR(IF(A14="","",SUM('Asset Allocation'!J14,'Asset Allocation'!N14)),0)</f>
        <v>0</v>
      </c>
      <c r="G14" s="6">
        <f>IFERROR(IF(A14="","",SUM('Asset Allocation'!H14,'Asset Allocation'!K14,'Asset Allocation'!L14,'Asset Allocation'!M14)),0)</f>
        <v>0</v>
      </c>
      <c r="H14" s="6"/>
    </row>
    <row r="15" spans="1:8" x14ac:dyDescent="0.25">
      <c r="A15" t="str">
        <f>IF(Input!A16="","",Input!A16)</f>
        <v>ENHANCED PASSIVE 03</v>
      </c>
      <c r="B15" s="6">
        <f>IFERROR(IF(A15="","",SUM('Asset Allocation'!F15)),0)</f>
        <v>0</v>
      </c>
      <c r="C15" s="6">
        <f>IFERROR(IF(A15="","",SUM('Asset Allocation'!E15)),0)</f>
        <v>0</v>
      </c>
      <c r="D15" s="6">
        <f>IFERROR(IF(A15="","",SUM('Asset Allocation'!I15)),0)</f>
        <v>0</v>
      </c>
      <c r="E15" s="6">
        <f>IFERROR(IF(A15="","",SUM('Asset Allocation'!G15)),0)</f>
        <v>0</v>
      </c>
      <c r="F15" s="6">
        <f>IFERROR(IF(A15="","",SUM('Asset Allocation'!J15,'Asset Allocation'!N15)),0)</f>
        <v>0</v>
      </c>
      <c r="G15" s="6">
        <f>IFERROR(IF(A15="","",SUM('Asset Allocation'!H15,'Asset Allocation'!K15,'Asset Allocation'!L15,'Asset Allocation'!M15)),0)</f>
        <v>0</v>
      </c>
      <c r="H15" s="6"/>
    </row>
    <row r="16" spans="1:8" x14ac:dyDescent="0.25">
      <c r="A16" t="str">
        <f>IF(Input!A17="","",Input!A17)</f>
        <v>ENHANCED PASSIVE 04</v>
      </c>
      <c r="B16" s="6">
        <f>IFERROR(IF(A16="","",SUM('Asset Allocation'!F16)),0)</f>
        <v>0</v>
      </c>
      <c r="C16" s="6">
        <f>IFERROR(IF(A16="","",SUM('Asset Allocation'!E16)),0)</f>
        <v>0</v>
      </c>
      <c r="D16" s="6">
        <f>IFERROR(IF(A16="","",SUM('Asset Allocation'!I16)),0)</f>
        <v>0</v>
      </c>
      <c r="E16" s="6">
        <f>IFERROR(IF(A16="","",SUM('Asset Allocation'!G16)),0)</f>
        <v>0</v>
      </c>
      <c r="F16" s="6">
        <f>IFERROR(IF(A16="","",SUM('Asset Allocation'!J16,'Asset Allocation'!N16)),0)</f>
        <v>0</v>
      </c>
      <c r="G16" s="6">
        <f>IFERROR(IF(A16="","",SUM('Asset Allocation'!H16,'Asset Allocation'!K16,'Asset Allocation'!L16,'Asset Allocation'!M16)),0)</f>
        <v>0</v>
      </c>
      <c r="H16" s="6"/>
    </row>
    <row r="17" spans="1:8" x14ac:dyDescent="0.25">
      <c r="A17" t="str">
        <f>IF(Input!A18="","",Input!A18)</f>
        <v>ENHANCED PASSIVE 05</v>
      </c>
      <c r="B17" s="6">
        <f>IFERROR(IF(A17="","",SUM('Asset Allocation'!F17)),0)</f>
        <v>0</v>
      </c>
      <c r="C17" s="6">
        <f>IFERROR(IF(A17="","",SUM('Asset Allocation'!E17)),0)</f>
        <v>0</v>
      </c>
      <c r="D17" s="6">
        <f>IFERROR(IF(A17="","",SUM('Asset Allocation'!I17)),0)</f>
        <v>0</v>
      </c>
      <c r="E17" s="6">
        <f>IFERROR(IF(A17="","",SUM('Asset Allocation'!G17)),0)</f>
        <v>0</v>
      </c>
      <c r="F17" s="6">
        <f>IFERROR(IF(A17="","",SUM('Asset Allocation'!J17,'Asset Allocation'!N17)),0)</f>
        <v>0</v>
      </c>
      <c r="G17" s="6">
        <f>IFERROR(IF(A17="","",SUM('Asset Allocation'!H17,'Asset Allocation'!K17,'Asset Allocation'!L17,'Asset Allocation'!M17)),0)</f>
        <v>0</v>
      </c>
      <c r="H17" s="6"/>
    </row>
    <row r="18" spans="1:8" x14ac:dyDescent="0.25">
      <c r="A18" t="str">
        <f>IF(Input!A19="","",Input!A19)</f>
        <v>ENHANCED PASSIVE 06</v>
      </c>
      <c r="B18" s="6">
        <f>IFERROR(IF(A18="","",SUM('Asset Allocation'!F18)),0)</f>
        <v>0</v>
      </c>
      <c r="C18" s="6">
        <f>IFERROR(IF(A18="","",SUM('Asset Allocation'!E18)),0)</f>
        <v>0</v>
      </c>
      <c r="D18" s="6">
        <f>IFERROR(IF(A18="","",SUM('Asset Allocation'!I18)),0)</f>
        <v>0</v>
      </c>
      <c r="E18" s="6">
        <f>IFERROR(IF(A18="","",SUM('Asset Allocation'!G18)),0)</f>
        <v>0</v>
      </c>
      <c r="F18" s="6">
        <f>IFERROR(IF(A18="","",SUM('Asset Allocation'!J18,'Asset Allocation'!N18)),0)</f>
        <v>0</v>
      </c>
      <c r="G18" s="6">
        <f>IFERROR(IF(A18="","",SUM('Asset Allocation'!H18,'Asset Allocation'!K18,'Asset Allocation'!L18,'Asset Allocation'!M18)),0)</f>
        <v>0</v>
      </c>
      <c r="H18" s="6"/>
    </row>
    <row r="19" spans="1:8" x14ac:dyDescent="0.25">
      <c r="A19" t="str">
        <f>IF(Input!A20="","",Input!A20)</f>
        <v>ENHANCED PASSIVE 07</v>
      </c>
      <c r="B19" s="6">
        <f>IFERROR(IF(A19="","",SUM('Asset Allocation'!F19)),0)</f>
        <v>0</v>
      </c>
      <c r="C19" s="6">
        <f>IFERROR(IF(A19="","",SUM('Asset Allocation'!E19)),0)</f>
        <v>0</v>
      </c>
      <c r="D19" s="6">
        <f>IFERROR(IF(A19="","",SUM('Asset Allocation'!I19)),0)</f>
        <v>0</v>
      </c>
      <c r="E19" s="6">
        <f>IFERROR(IF(A19="","",SUM('Asset Allocation'!G19)),0)</f>
        <v>0</v>
      </c>
      <c r="F19" s="6">
        <f>IFERROR(IF(A19="","",SUM('Asset Allocation'!J19,'Asset Allocation'!N19)),0)</f>
        <v>0</v>
      </c>
      <c r="G19" s="6">
        <f>IFERROR(IF(A19="","",SUM('Asset Allocation'!H19,'Asset Allocation'!K19,'Asset Allocation'!L19,'Asset Allocation'!M19)),0)</f>
        <v>0</v>
      </c>
      <c r="H19" s="6"/>
    </row>
    <row r="20" spans="1:8" x14ac:dyDescent="0.25">
      <c r="A20" t="str">
        <f>IF(Input!A21="","",Input!A21)</f>
        <v>ENHANCED PASSIVE 08</v>
      </c>
      <c r="B20" s="6">
        <f>IFERROR(IF(A20="","",SUM('Asset Allocation'!F20)),0)</f>
        <v>0</v>
      </c>
      <c r="C20" s="6">
        <f>IFERROR(IF(A20="","",SUM('Asset Allocation'!E20)),0)</f>
        <v>0</v>
      </c>
      <c r="D20" s="6">
        <f>IFERROR(IF(A20="","",SUM('Asset Allocation'!I20)),0)</f>
        <v>0</v>
      </c>
      <c r="E20" s="6">
        <f>IFERROR(IF(A20="","",SUM('Asset Allocation'!G20)),0)</f>
        <v>0</v>
      </c>
      <c r="F20" s="6">
        <f>IFERROR(IF(A20="","",SUM('Asset Allocation'!J20,'Asset Allocation'!N20)),0)</f>
        <v>0</v>
      </c>
      <c r="G20" s="6">
        <f>IFERROR(IF(A20="","",SUM('Asset Allocation'!H20,'Asset Allocation'!K20,'Asset Allocation'!L20,'Asset Allocation'!M20)),0)</f>
        <v>0</v>
      </c>
      <c r="H20" s="6"/>
    </row>
    <row r="21" spans="1:8" x14ac:dyDescent="0.25">
      <c r="A21" t="str">
        <f>IF(Input!A22="","",Input!A22)</f>
        <v>ENHANCED PASSIVE 09</v>
      </c>
      <c r="B21" s="6">
        <f>IFERROR(IF(A21="","",SUM('Asset Allocation'!F21)),0)</f>
        <v>0</v>
      </c>
      <c r="C21" s="6">
        <f>IFERROR(IF(A21="","",SUM('Asset Allocation'!E21)),0)</f>
        <v>0</v>
      </c>
      <c r="D21" s="6">
        <f>IFERROR(IF(A21="","",SUM('Asset Allocation'!I21)),0)</f>
        <v>0</v>
      </c>
      <c r="E21" s="6">
        <f>IFERROR(IF(A21="","",SUM('Asset Allocation'!G21)),0)</f>
        <v>0</v>
      </c>
      <c r="F21" s="6">
        <f>IFERROR(IF(A21="","",SUM('Asset Allocation'!J21,'Asset Allocation'!N21)),0)</f>
        <v>0</v>
      </c>
      <c r="G21" s="6">
        <f>IFERROR(IF(A21="","",SUM('Asset Allocation'!H21,'Asset Allocation'!K21,'Asset Allocation'!L21,'Asset Allocation'!M21)),0)</f>
        <v>0</v>
      </c>
      <c r="H21" s="6"/>
    </row>
    <row r="22" spans="1:8" x14ac:dyDescent="0.25">
      <c r="A22" t="str">
        <f>IF(Input!A23="","",Input!A23)</f>
        <v>ENHANCED PASSIVE 10</v>
      </c>
      <c r="B22" s="6">
        <f>IFERROR(IF(A22="","",SUM('Asset Allocation'!F22)),0)</f>
        <v>0</v>
      </c>
      <c r="C22" s="6">
        <f>IFERROR(IF(A22="","",SUM('Asset Allocation'!E22)),0)</f>
        <v>0</v>
      </c>
      <c r="D22" s="6">
        <f>IFERROR(IF(A22="","",SUM('Asset Allocation'!I22)),0)</f>
        <v>0</v>
      </c>
      <c r="E22" s="6">
        <f>IFERROR(IF(A22="","",SUM('Asset Allocation'!G22)),0)</f>
        <v>0</v>
      </c>
      <c r="F22" s="6">
        <f>IFERROR(IF(A22="","",SUM('Asset Allocation'!J22,'Asset Allocation'!N22)),0)</f>
        <v>0</v>
      </c>
      <c r="G22" s="6">
        <f>IFERROR(IF(A22="","",SUM('Asset Allocation'!H22,'Asset Allocation'!K22,'Asset Allocation'!L22,'Asset Allocation'!M22)),0)</f>
        <v>0</v>
      </c>
      <c r="H22" s="6"/>
    </row>
    <row r="23" spans="1:8" x14ac:dyDescent="0.25">
      <c r="A23" t="str">
        <f>IF(Input!A24="","",Input!A24)</f>
        <v>Ethical Cautious</v>
      </c>
      <c r="B23" s="6">
        <f>IFERROR(IF(A23="","",SUM('Asset Allocation'!F23)),0)</f>
        <v>0</v>
      </c>
      <c r="C23" s="6">
        <f>IFERROR(IF(A23="","",SUM('Asset Allocation'!E23)),0)</f>
        <v>0</v>
      </c>
      <c r="D23" s="6">
        <f>IFERROR(IF(A23="","",SUM('Asset Allocation'!I23)),0)</f>
        <v>0</v>
      </c>
      <c r="E23" s="6">
        <f>IFERROR(IF(A23="","",SUM('Asset Allocation'!G23)),0)</f>
        <v>0</v>
      </c>
      <c r="F23" s="6">
        <f>IFERROR(IF(A23="","",SUM('Asset Allocation'!J23,'Asset Allocation'!N23)),0)</f>
        <v>0</v>
      </c>
      <c r="G23" s="6">
        <f>IFERROR(IF(A23="","",SUM('Asset Allocation'!H23,'Asset Allocation'!K23,'Asset Allocation'!L23,'Asset Allocation'!M23)),0)</f>
        <v>0</v>
      </c>
      <c r="H23" s="6"/>
    </row>
    <row r="24" spans="1:8" x14ac:dyDescent="0.25">
      <c r="A24" t="str">
        <f>IF(Input!A25="","",Input!A25)</f>
        <v>Ethical Balanced</v>
      </c>
      <c r="B24" s="6">
        <f>IFERROR(IF(A24="","",SUM('Asset Allocation'!F24)),0)</f>
        <v>0</v>
      </c>
      <c r="C24" s="6">
        <f>IFERROR(IF(A24="","",SUM('Asset Allocation'!E24)),0)</f>
        <v>0</v>
      </c>
      <c r="D24" s="6">
        <f>IFERROR(IF(A24="","",SUM('Asset Allocation'!I24)),0)</f>
        <v>0</v>
      </c>
      <c r="E24" s="6">
        <f>IFERROR(IF(A24="","",SUM('Asset Allocation'!G24)),0)</f>
        <v>0</v>
      </c>
      <c r="F24" s="6">
        <f>IFERROR(IF(A24="","",SUM('Asset Allocation'!J24,'Asset Allocation'!N24)),0)</f>
        <v>0</v>
      </c>
      <c r="G24" s="6">
        <f>IFERROR(IF(A24="","",SUM('Asset Allocation'!H24,'Asset Allocation'!K24,'Asset Allocation'!L24,'Asset Allocation'!M24)),0)</f>
        <v>0</v>
      </c>
      <c r="H24" s="6"/>
    </row>
    <row r="25" spans="1:8" x14ac:dyDescent="0.25">
      <c r="A25" t="str">
        <f>IF(Input!A26="","",Input!A26)</f>
        <v>Ethical Growth</v>
      </c>
      <c r="B25" s="6">
        <f>IFERROR(IF(A25="","",SUM('Asset Allocation'!F25)),0)</f>
        <v>0</v>
      </c>
      <c r="C25" s="6">
        <f>IFERROR(IF(A25="","",SUM('Asset Allocation'!E25)),0)</f>
        <v>0</v>
      </c>
      <c r="D25" s="6">
        <f>IFERROR(IF(A25="","",SUM('Asset Allocation'!I25)),0)</f>
        <v>0</v>
      </c>
      <c r="E25" s="6">
        <f>IFERROR(IF(A25="","",SUM('Asset Allocation'!G25)),0)</f>
        <v>0</v>
      </c>
      <c r="F25" s="6">
        <f>IFERROR(IF(A25="","",SUM('Asset Allocation'!J25,'Asset Allocation'!N25)),0)</f>
        <v>0</v>
      </c>
      <c r="G25" s="6">
        <f>IFERROR(IF(A25="","",SUM('Asset Allocation'!H25,'Asset Allocation'!K25,'Asset Allocation'!L25,'Asset Allocation'!M25)),0)</f>
        <v>0</v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ACTIVE 01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ACTIVE 02</v>
      </c>
      <c r="H3">
        <f>IFERROR(IF(A3="","",SUM('Asset Allocation'!B3)/'Broad Asset Allocation'!C3),0)</f>
        <v>0</v>
      </c>
    </row>
    <row r="4" spans="1:8" x14ac:dyDescent="0.25">
      <c r="A4" t="str">
        <f>IF(Input!A5="","",Input!A5)</f>
        <v>ACTIVE 03</v>
      </c>
      <c r="H4">
        <f>IFERROR(IF(A4="","",SUM('Asset Allocation'!B4)/'Broad Asset Allocation'!C4),0)</f>
        <v>0</v>
      </c>
    </row>
    <row r="5" spans="1:8" x14ac:dyDescent="0.25">
      <c r="A5" t="str">
        <f>IF(Input!A6="","",Input!A6)</f>
        <v>ACTIVE 04</v>
      </c>
      <c r="H5">
        <f>IFERROR(IF(A5="","",SUM('Asset Allocation'!B5)/'Broad Asset Allocation'!C5),0)</f>
        <v>0</v>
      </c>
    </row>
    <row r="6" spans="1:8" x14ac:dyDescent="0.25">
      <c r="A6" t="str">
        <f>IF(Input!A7="","",Input!A7)</f>
        <v>ACTIVE 05</v>
      </c>
      <c r="H6">
        <f>IFERROR(IF(A6="","",SUM('Asset Allocation'!B6)/'Broad Asset Allocation'!C6),0)</f>
        <v>0</v>
      </c>
    </row>
    <row r="7" spans="1:8" x14ac:dyDescent="0.25">
      <c r="A7" t="str">
        <f>IF(Input!A8="","",Input!A8)</f>
        <v>ACTIVE 06</v>
      </c>
      <c r="H7">
        <f>IFERROR(IF(A7="","",SUM('Asset Allocation'!B7)/'Broad Asset Allocation'!C7),0)</f>
        <v>0</v>
      </c>
    </row>
    <row r="8" spans="1:8" x14ac:dyDescent="0.25">
      <c r="A8" t="str">
        <f>IF(Input!A9="","",Input!A9)</f>
        <v>ACTIVE 07</v>
      </c>
      <c r="H8">
        <f>IFERROR(IF(A8="","",SUM('Asset Allocation'!B8)/'Broad Asset Allocation'!C8),0)</f>
        <v>0</v>
      </c>
    </row>
    <row r="9" spans="1:8" x14ac:dyDescent="0.25">
      <c r="A9" t="str">
        <f>IF(Input!A10="","",Input!A10)</f>
        <v>ACTIVE 08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>ACTIVE 09</v>
      </c>
      <c r="H10">
        <f>IFERROR(IF(A10="","",SUM('Asset Allocation'!B10)/'Broad Asset Allocation'!C10),0)</f>
        <v>0</v>
      </c>
    </row>
    <row r="11" spans="1:8" x14ac:dyDescent="0.25">
      <c r="A11" t="str">
        <f>IF(Input!A12="","",Input!A12)</f>
        <v>ACTIVE 10</v>
      </c>
      <c r="H11">
        <f>IFERROR(IF(A11="","",SUM('Asset Allocation'!B11)/'Broad Asset Allocation'!C11),0)</f>
        <v>0</v>
      </c>
    </row>
    <row r="12" spans="1:8" x14ac:dyDescent="0.25">
      <c r="A12" t="str">
        <f>IF(Input!A13="","",Input!A13)</f>
        <v>INCOME PORTFOLIO</v>
      </c>
      <c r="H12">
        <f>IFERROR(IF(A12="","",SUM('Asset Allocation'!B12)/'Broad Asset Allocation'!C12),0)</f>
        <v>0</v>
      </c>
    </row>
    <row r="13" spans="1:8" x14ac:dyDescent="0.25">
      <c r="A13" t="str">
        <f>IF(Input!A14="","",Input!A14)</f>
        <v>ENHANCED PASSIVE 01</v>
      </c>
      <c r="H13">
        <f>IFERROR(IF(A13="","",SUM('Asset Allocation'!B13)/'Broad Asset Allocation'!C13),0)</f>
        <v>0</v>
      </c>
    </row>
    <row r="14" spans="1:8" x14ac:dyDescent="0.25">
      <c r="A14" t="str">
        <f>IF(Input!A15="","",Input!A15)</f>
        <v>ENHANCED PASSIVE 02</v>
      </c>
      <c r="H14">
        <f>IFERROR(IF(A14="","",SUM('Asset Allocation'!B14)/'Broad Asset Allocation'!C14),0)</f>
        <v>0</v>
      </c>
    </row>
    <row r="15" spans="1:8" x14ac:dyDescent="0.25">
      <c r="A15" t="str">
        <f>IF(Input!A16="","",Input!A16)</f>
        <v>ENHANCED PASSIVE 03</v>
      </c>
      <c r="H15">
        <f>IFERROR(IF(A15="","",SUM('Asset Allocation'!B15)/'Broad Asset Allocation'!C15),0)</f>
        <v>0</v>
      </c>
    </row>
    <row r="16" spans="1:8" x14ac:dyDescent="0.25">
      <c r="A16" t="str">
        <f>IF(Input!A17="","",Input!A17)</f>
        <v>ENHANCED PASSIVE 04</v>
      </c>
      <c r="H16">
        <f>IFERROR(IF(A16="","",SUM('Asset Allocation'!B16)/'Broad Asset Allocation'!C16),0)</f>
        <v>0</v>
      </c>
    </row>
    <row r="17" spans="1:8" x14ac:dyDescent="0.25">
      <c r="A17" t="str">
        <f>IF(Input!A18="","",Input!A18)</f>
        <v>ENHANCED PASSIVE 05</v>
      </c>
      <c r="H17">
        <f>IFERROR(IF(A17="","",SUM('Asset Allocation'!B17)/'Broad Asset Allocation'!C17),0)</f>
        <v>0</v>
      </c>
    </row>
    <row r="18" spans="1:8" x14ac:dyDescent="0.25">
      <c r="A18" t="str">
        <f>IF(Input!A19="","",Input!A19)</f>
        <v>ENHANCED PASSIVE 06</v>
      </c>
      <c r="H18">
        <f>IFERROR(IF(A18="","",SUM('Asset Allocation'!B18)/'Broad Asset Allocation'!C18),0)</f>
        <v>0</v>
      </c>
    </row>
    <row r="19" spans="1:8" x14ac:dyDescent="0.25">
      <c r="A19" t="str">
        <f>IF(Input!A20="","",Input!A20)</f>
        <v>ENHANCED PASSIVE 07</v>
      </c>
      <c r="H19">
        <f>IFERROR(IF(A19="","",SUM('Asset Allocation'!B19)/'Broad Asset Allocation'!C19),0)</f>
        <v>0</v>
      </c>
    </row>
    <row r="20" spans="1:8" x14ac:dyDescent="0.25">
      <c r="A20" t="str">
        <f>IF(Input!A21="","",Input!A21)</f>
        <v>ENHANCED PASSIVE 08</v>
      </c>
      <c r="H20">
        <f>IFERROR(IF(A20="","",SUM('Asset Allocation'!B20)/'Broad Asset Allocation'!C20),0)</f>
        <v>0</v>
      </c>
    </row>
    <row r="21" spans="1:8" x14ac:dyDescent="0.25">
      <c r="A21" t="str">
        <f>IF(Input!A22="","",Input!A22)</f>
        <v>ENHANCED PASSIVE 09</v>
      </c>
      <c r="H21">
        <f>IFERROR(IF(A21="","",SUM('Asset Allocation'!B21)/'Broad Asset Allocation'!C21),0)</f>
        <v>0</v>
      </c>
    </row>
    <row r="22" spans="1:8" x14ac:dyDescent="0.25">
      <c r="A22" t="str">
        <f>IF(Input!A23="","",Input!A23)</f>
        <v>ENHANCED PASSIVE 10</v>
      </c>
      <c r="H22">
        <f>IFERROR(IF(A22="","",SUM('Asset Allocation'!B22)/'Broad Asset Allocation'!C22),0)</f>
        <v>0</v>
      </c>
    </row>
    <row r="23" spans="1:8" x14ac:dyDescent="0.25">
      <c r="A23" t="str">
        <f>IF(Input!A24="","",Input!A24)</f>
        <v>Ethical Cautious</v>
      </c>
      <c r="H23">
        <f>IFERROR(IF(A23="","",SUM('Asset Allocation'!B23)/'Broad Asset Allocation'!C23),0)</f>
        <v>0</v>
      </c>
    </row>
    <row r="24" spans="1:8" x14ac:dyDescent="0.25">
      <c r="A24" t="str">
        <f>IF(Input!A25="","",Input!A25)</f>
        <v>Ethical Balanced</v>
      </c>
      <c r="H24">
        <f>IFERROR(IF(A24="","",SUM('Asset Allocation'!B24)/'Broad Asset Allocation'!C24),0)</f>
        <v>0</v>
      </c>
    </row>
    <row r="25" spans="1:8" x14ac:dyDescent="0.25">
      <c r="A25" t="str">
        <f>IF(Input!A26="","",Input!A26)</f>
        <v>Ethical Growth</v>
      </c>
      <c r="H25">
        <f>IFERROR(IF(A25="","",SUM('Asset Allocation'!B25)/'Broad Asset Allocation'!C25),0)</f>
        <v>0</v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01</v>
      </c>
      <c r="C1" s="1" t="str">
        <v>ACTIVE 02</v>
      </c>
      <c r="D1" t="str">
        <v>ACTIVE 03</v>
      </c>
      <c r="E1" t="str">
        <v>ACTIVE 04</v>
      </c>
      <c r="F1" t="str">
        <v>ACTIVE 05</v>
      </c>
      <c r="G1" t="str">
        <v>ACTIVE 06</v>
      </c>
      <c r="H1" t="str">
        <v>ACTIVE 07</v>
      </c>
      <c r="I1" t="str">
        <v>ACTIVE 08</v>
      </c>
      <c r="J1" t="str">
        <v>ACTIVE 09</v>
      </c>
      <c r="K1" t="str">
        <v>ACTIVE 10</v>
      </c>
      <c r="L1" t="str">
        <v>INCOME PORTFOLIO</v>
      </c>
      <c r="M1" t="str">
        <v>ENHANCED PASSIVE 01</v>
      </c>
      <c r="N1" t="str">
        <v>ENHANCED PASSIVE 02</v>
      </c>
      <c r="O1" t="str">
        <v>ENHANCED PASSIVE 03</v>
      </c>
      <c r="P1" t="str">
        <v>ENHANCED PASSIVE 04</v>
      </c>
      <c r="Q1" t="str">
        <v>ENHANCED PASSIVE 05</v>
      </c>
      <c r="R1" t="str">
        <v>ENHANCED PASSIVE 06</v>
      </c>
      <c r="S1" t="str">
        <v>ENHANCED PASSIVE 07</v>
      </c>
      <c r="T1" t="str">
        <v>ENHANCED PASSIVE 08</v>
      </c>
      <c r="U1" t="str">
        <v>ENHANCED PASSIVE 09</v>
      </c>
      <c r="V1" t="str">
        <v>ENHANCED PASSIVE 10</v>
      </c>
      <c r="W1" t="str">
        <v>Ethical Cautious</v>
      </c>
      <c r="X1" t="str">
        <v>Ethical Balanced</v>
      </c>
      <c r="Y1" t="str">
        <v>Ethical Growth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2023-08-26T17:22:28Z</dcterms:modified>
</cp:coreProperties>
</file>